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macro reducido\"/>
    </mc:Choice>
  </mc:AlternateContent>
  <xr:revisionPtr revIDLastSave="0" documentId="8_{00BD9DB8-2F1D-4BFB-9FB0-6DD0E17BEF01}" xr6:coauthVersionLast="47" xr6:coauthVersionMax="47" xr10:uidLastSave="{00000000-0000-0000-0000-000000000000}"/>
  <bookViews>
    <workbookView xWindow="-108" yWindow="-108" windowWidth="23256" windowHeight="12456" activeTab="2" xr2:uid="{229D0627-1098-418B-9389-D3DECE8C8E97}"/>
  </bookViews>
  <sheets>
    <sheet name="analisis may25" sheetId="1" r:id="rId1"/>
    <sheet name="Lista de precios may25" sheetId="2" r:id="rId2"/>
    <sheet name="MO 25" sheetId="3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32" i="3" l="1"/>
  <c r="N631" i="3"/>
  <c r="N630" i="3"/>
  <c r="N629" i="3"/>
  <c r="N628" i="3"/>
  <c r="N627" i="3"/>
  <c r="A627" i="3"/>
  <c r="A628" i="3" s="1"/>
  <c r="A629" i="3" s="1"/>
  <c r="A630" i="3" s="1"/>
  <c r="A631" i="3" s="1"/>
  <c r="A632" i="3" s="1"/>
  <c r="N626" i="3"/>
  <c r="A626" i="3"/>
  <c r="N622" i="3"/>
  <c r="N621" i="3"/>
  <c r="N620" i="3"/>
  <c r="N619" i="3"/>
  <c r="N618" i="3"/>
  <c r="A618" i="3"/>
  <c r="A619" i="3" s="1"/>
  <c r="A620" i="3" s="1"/>
  <c r="A621" i="3" s="1"/>
  <c r="A622" i="3" s="1"/>
  <c r="N617" i="3"/>
  <c r="A617" i="3"/>
  <c r="N616" i="3"/>
  <c r="N612" i="3"/>
  <c r="N611" i="3"/>
  <c r="N610" i="3"/>
  <c r="N609" i="3"/>
  <c r="N608" i="3"/>
  <c r="N607" i="3"/>
  <c r="N606" i="3"/>
  <c r="N605" i="3"/>
  <c r="A605" i="3"/>
  <c r="A606" i="3" s="1"/>
  <c r="A607" i="3" s="1"/>
  <c r="A608" i="3" s="1"/>
  <c r="A609" i="3" s="1"/>
  <c r="A610" i="3" s="1"/>
  <c r="A611" i="3" s="1"/>
  <c r="A612" i="3" s="1"/>
  <c r="N604" i="3"/>
  <c r="N600" i="3"/>
  <c r="N599" i="3"/>
  <c r="N598" i="3"/>
  <c r="N597" i="3"/>
  <c r="A597" i="3"/>
  <c r="A598" i="3" s="1"/>
  <c r="A599" i="3" s="1"/>
  <c r="A600" i="3" s="1"/>
  <c r="N596" i="3"/>
  <c r="A596" i="3"/>
  <c r="N595" i="3"/>
  <c r="A595" i="3"/>
  <c r="N594" i="3"/>
  <c r="N590" i="3"/>
  <c r="N589" i="3"/>
  <c r="A589" i="3"/>
  <c r="A590" i="3" s="1"/>
  <c r="N588" i="3"/>
  <c r="A588" i="3"/>
  <c r="N587" i="3"/>
  <c r="N583" i="3"/>
  <c r="A583" i="3"/>
  <c r="N582" i="3"/>
  <c r="A582" i="3"/>
  <c r="N581" i="3"/>
  <c r="N577" i="3"/>
  <c r="N576" i="3"/>
  <c r="N575" i="3"/>
  <c r="N574" i="3"/>
  <c r="N573" i="3"/>
  <c r="A573" i="3"/>
  <c r="A574" i="3" s="1"/>
  <c r="A575" i="3" s="1"/>
  <c r="A576" i="3" s="1"/>
  <c r="A577" i="3" s="1"/>
  <c r="N572" i="3"/>
  <c r="N568" i="3"/>
  <c r="N567" i="3"/>
  <c r="N566" i="3"/>
  <c r="N565" i="3"/>
  <c r="N564" i="3"/>
  <c r="N563" i="3"/>
  <c r="N562" i="3"/>
  <c r="A562" i="3"/>
  <c r="A563" i="3" s="1"/>
  <c r="A564" i="3" s="1"/>
  <c r="A565" i="3" s="1"/>
  <c r="A566" i="3" s="1"/>
  <c r="A567" i="3" s="1"/>
  <c r="A568" i="3" s="1"/>
  <c r="N561" i="3"/>
  <c r="N556" i="3"/>
  <c r="A556" i="3"/>
  <c r="N555" i="3"/>
  <c r="A555" i="3"/>
  <c r="N554" i="3"/>
  <c r="N551" i="3"/>
  <c r="A551" i="3"/>
  <c r="N550" i="3"/>
  <c r="A550" i="3"/>
  <c r="N549" i="3"/>
  <c r="N546" i="3"/>
  <c r="N545" i="3"/>
  <c r="N544" i="3"/>
  <c r="N543" i="3"/>
  <c r="N542" i="3"/>
  <c r="A542" i="3"/>
  <c r="A543" i="3" s="1"/>
  <c r="A544" i="3" s="1"/>
  <c r="A545" i="3" s="1"/>
  <c r="A546" i="3" s="1"/>
  <c r="N541" i="3"/>
  <c r="A541" i="3"/>
  <c r="N540" i="3"/>
  <c r="N534" i="3"/>
  <c r="N533" i="3"/>
  <c r="N532" i="3"/>
  <c r="N531" i="3"/>
  <c r="N530" i="3"/>
  <c r="N529" i="3"/>
  <c r="A529" i="3"/>
  <c r="A530" i="3" s="1"/>
  <c r="A531" i="3" s="1"/>
  <c r="A532" i="3" s="1"/>
  <c r="A533" i="3" s="1"/>
  <c r="A534" i="3" s="1"/>
  <c r="N528" i="3"/>
  <c r="N525" i="3"/>
  <c r="N524" i="3"/>
  <c r="N523" i="3"/>
  <c r="A523" i="3"/>
  <c r="A524" i="3" s="1"/>
  <c r="A525" i="3" s="1"/>
  <c r="N522" i="3"/>
  <c r="N519" i="3"/>
  <c r="N518" i="3"/>
  <c r="N517" i="3"/>
  <c r="N516" i="3"/>
  <c r="N515" i="3"/>
  <c r="A515" i="3"/>
  <c r="A516" i="3" s="1"/>
  <c r="A517" i="3" s="1"/>
  <c r="A518" i="3" s="1"/>
  <c r="A519" i="3" s="1"/>
  <c r="N514" i="3"/>
  <c r="A514" i="3"/>
  <c r="N513" i="3"/>
  <c r="A513" i="3"/>
  <c r="N512" i="3"/>
  <c r="N509" i="3"/>
  <c r="N508" i="3"/>
  <c r="N506" i="3"/>
  <c r="N505" i="3"/>
  <c r="N504" i="3"/>
  <c r="A504" i="3"/>
  <c r="A505" i="3" s="1"/>
  <c r="A506" i="3" s="1"/>
  <c r="A508" i="3" s="1"/>
  <c r="A509" i="3" s="1"/>
  <c r="N503" i="3"/>
  <c r="N499" i="3"/>
  <c r="N497" i="3"/>
  <c r="N495" i="3"/>
  <c r="N494" i="3"/>
  <c r="N493" i="3"/>
  <c r="N492" i="3"/>
  <c r="N491" i="3"/>
  <c r="N490" i="3"/>
  <c r="N489" i="3"/>
  <c r="N487" i="3"/>
  <c r="N486" i="3"/>
  <c r="N485" i="3"/>
  <c r="N484" i="3"/>
  <c r="N483" i="3"/>
  <c r="N482" i="3"/>
  <c r="A482" i="3"/>
  <c r="A483" i="3" s="1"/>
  <c r="A484" i="3" s="1"/>
  <c r="A485" i="3" s="1"/>
  <c r="A486" i="3" s="1"/>
  <c r="A487" i="3" s="1"/>
  <c r="A489" i="3" s="1"/>
  <c r="A490" i="3" s="1"/>
  <c r="A491" i="3" s="1"/>
  <c r="A492" i="3" s="1"/>
  <c r="A493" i="3" s="1"/>
  <c r="A494" i="3" s="1"/>
  <c r="A495" i="3" s="1"/>
  <c r="N481" i="3"/>
  <c r="N477" i="3"/>
  <c r="A477" i="3"/>
  <c r="N476" i="3"/>
  <c r="N473" i="3"/>
  <c r="N472" i="3"/>
  <c r="N470" i="3"/>
  <c r="N469" i="3"/>
  <c r="N468" i="3"/>
  <c r="N467" i="3"/>
  <c r="N465" i="3"/>
  <c r="N464" i="3"/>
  <c r="N463" i="3"/>
  <c r="N462" i="3"/>
  <c r="N461" i="3"/>
  <c r="N460" i="3"/>
  <c r="N459" i="3"/>
  <c r="N457" i="3"/>
  <c r="N456" i="3"/>
  <c r="N455" i="3"/>
  <c r="N454" i="3"/>
  <c r="N453" i="3"/>
  <c r="A453" i="3"/>
  <c r="A454" i="3" s="1"/>
  <c r="A455" i="3" s="1"/>
  <c r="A456" i="3" s="1"/>
  <c r="A457" i="3" s="1"/>
  <c r="A459" i="3" s="1"/>
  <c r="A460" i="3" s="1"/>
  <c r="A461" i="3" s="1"/>
  <c r="A462" i="3" s="1"/>
  <c r="A463" i="3" s="1"/>
  <c r="A464" i="3" s="1"/>
  <c r="A465" i="3" s="1"/>
  <c r="A467" i="3" s="1"/>
  <c r="A468" i="3" s="1"/>
  <c r="A469" i="3" s="1"/>
  <c r="A470" i="3" s="1"/>
  <c r="A472" i="3" s="1"/>
  <c r="A473" i="3" s="1"/>
  <c r="N452" i="3"/>
  <c r="A452" i="3"/>
  <c r="N451" i="3"/>
  <c r="A451" i="3"/>
  <c r="N450" i="3"/>
  <c r="N447" i="3"/>
  <c r="N443" i="3"/>
  <c r="N442" i="3"/>
  <c r="N441" i="3"/>
  <c r="A441" i="3"/>
  <c r="A442" i="3" s="1"/>
  <c r="A443" i="3" s="1"/>
  <c r="N440" i="3"/>
  <c r="N437" i="3"/>
  <c r="N436" i="3"/>
  <c r="N435" i="3"/>
  <c r="N434" i="3"/>
  <c r="N433" i="3"/>
  <c r="N431" i="3"/>
  <c r="N430" i="3"/>
  <c r="N429" i="3"/>
  <c r="N427" i="3"/>
  <c r="N426" i="3"/>
  <c r="N425" i="3"/>
  <c r="N424" i="3"/>
  <c r="N422" i="3"/>
  <c r="N421" i="3"/>
  <c r="N420" i="3"/>
  <c r="N419" i="3"/>
  <c r="N418" i="3"/>
  <c r="N417" i="3"/>
  <c r="A417" i="3"/>
  <c r="A418" i="3" s="1"/>
  <c r="A419" i="3" s="1"/>
  <c r="A420" i="3" s="1"/>
  <c r="A421" i="3" s="1"/>
  <c r="A422" i="3" s="1"/>
  <c r="A424" i="3" s="1"/>
  <c r="A425" i="3" s="1"/>
  <c r="A426" i="3" s="1"/>
  <c r="A427" i="3" s="1"/>
  <c r="A429" i="3" s="1"/>
  <c r="A430" i="3" s="1"/>
  <c r="A431" i="3" s="1"/>
  <c r="A433" i="3" s="1"/>
  <c r="A434" i="3" s="1"/>
  <c r="A435" i="3" s="1"/>
  <c r="A436" i="3" s="1"/>
  <c r="A437" i="3" s="1"/>
  <c r="N416" i="3"/>
  <c r="N412" i="3"/>
  <c r="A412" i="3"/>
  <c r="N411" i="3"/>
  <c r="N405" i="3"/>
  <c r="L405" i="3"/>
  <c r="N404" i="3"/>
  <c r="L403" i="3"/>
  <c r="N403" i="3" s="1"/>
  <c r="N402" i="3"/>
  <c r="L401" i="3"/>
  <c r="N401" i="3" s="1"/>
  <c r="A401" i="3"/>
  <c r="A402" i="3" s="1"/>
  <c r="A403" i="3" s="1"/>
  <c r="A404" i="3" s="1"/>
  <c r="A405" i="3" s="1"/>
  <c r="N400" i="3"/>
  <c r="N397" i="3"/>
  <c r="N396" i="3"/>
  <c r="N395" i="3"/>
  <c r="N393" i="3"/>
  <c r="N392" i="3"/>
  <c r="N391" i="3"/>
  <c r="N389" i="3"/>
  <c r="N388" i="3"/>
  <c r="N386" i="3"/>
  <c r="N385" i="3"/>
  <c r="N383" i="3"/>
  <c r="N382" i="3"/>
  <c r="N380" i="3"/>
  <c r="N379" i="3"/>
  <c r="N378" i="3"/>
  <c r="A378" i="3"/>
  <c r="A379" i="3" s="1"/>
  <c r="A380" i="3" s="1"/>
  <c r="A382" i="3" s="1"/>
  <c r="A383" i="3" s="1"/>
  <c r="A385" i="3" s="1"/>
  <c r="A386" i="3" s="1"/>
  <c r="A388" i="3" s="1"/>
  <c r="A389" i="3" s="1"/>
  <c r="A391" i="3" s="1"/>
  <c r="A392" i="3" s="1"/>
  <c r="A393" i="3" s="1"/>
  <c r="A395" i="3" s="1"/>
  <c r="A396" i="3" s="1"/>
  <c r="A397" i="3" s="1"/>
  <c r="N377" i="3"/>
  <c r="N371" i="3"/>
  <c r="N370" i="3"/>
  <c r="N369" i="3"/>
  <c r="N368" i="3"/>
  <c r="N367" i="3"/>
  <c r="A367" i="3"/>
  <c r="A368" i="3" s="1"/>
  <c r="A369" i="3" s="1"/>
  <c r="A370" i="3" s="1"/>
  <c r="A371" i="3" s="1"/>
  <c r="N366" i="3"/>
  <c r="N360" i="3"/>
  <c r="N359" i="3"/>
  <c r="N358" i="3"/>
  <c r="N357" i="3"/>
  <c r="N356" i="3"/>
  <c r="N355" i="3"/>
  <c r="N354" i="3"/>
  <c r="A354" i="3"/>
  <c r="A355" i="3" s="1"/>
  <c r="A356" i="3" s="1"/>
  <c r="A357" i="3" s="1"/>
  <c r="A358" i="3" s="1"/>
  <c r="A359" i="3" s="1"/>
  <c r="A360" i="3" s="1"/>
  <c r="N353" i="3"/>
  <c r="N350" i="3"/>
  <c r="N349" i="3"/>
  <c r="A349" i="3"/>
  <c r="A350" i="3" s="1"/>
  <c r="N348" i="3"/>
  <c r="A348" i="3"/>
  <c r="N347" i="3"/>
  <c r="N344" i="3"/>
  <c r="N343" i="3"/>
  <c r="A343" i="3"/>
  <c r="A344" i="3" s="1"/>
  <c r="N342" i="3"/>
  <c r="N339" i="3"/>
  <c r="N338" i="3"/>
  <c r="N337" i="3"/>
  <c r="N336" i="3"/>
  <c r="A336" i="3"/>
  <c r="A337" i="3" s="1"/>
  <c r="A338" i="3" s="1"/>
  <c r="A339" i="3" s="1"/>
  <c r="N335" i="3"/>
  <c r="N329" i="3"/>
  <c r="A329" i="3"/>
  <c r="N328" i="3"/>
  <c r="A328" i="3"/>
  <c r="N327" i="3"/>
  <c r="N324" i="3"/>
  <c r="A324" i="3"/>
  <c r="N323" i="3"/>
  <c r="N321" i="3"/>
  <c r="A321" i="3"/>
  <c r="N320" i="3"/>
  <c r="N316" i="3"/>
  <c r="A316" i="3"/>
  <c r="N315" i="3"/>
  <c r="N312" i="3"/>
  <c r="N311" i="3"/>
  <c r="N310" i="3"/>
  <c r="N309" i="3"/>
  <c r="N308" i="3"/>
  <c r="A308" i="3"/>
  <c r="N307" i="3"/>
  <c r="A307" i="3"/>
  <c r="A309" i="3" s="1"/>
  <c r="A310" i="3" s="1"/>
  <c r="A311" i="3" s="1"/>
  <c r="A312" i="3" s="1"/>
  <c r="N306" i="3"/>
  <c r="N303" i="3"/>
  <c r="N302" i="3"/>
  <c r="N301" i="3"/>
  <c r="N300" i="3"/>
  <c r="N299" i="3"/>
  <c r="N298" i="3"/>
  <c r="N297" i="3"/>
  <c r="A297" i="3"/>
  <c r="A298" i="3" s="1"/>
  <c r="A299" i="3" s="1"/>
  <c r="A300" i="3" s="1"/>
  <c r="A301" i="3" s="1"/>
  <c r="A302" i="3" s="1"/>
  <c r="A303" i="3" s="1"/>
  <c r="N296" i="3"/>
  <c r="N290" i="3"/>
  <c r="N288" i="3"/>
  <c r="N287" i="3"/>
  <c r="N286" i="3"/>
  <c r="A286" i="3"/>
  <c r="A290" i="3" s="1"/>
  <c r="N285" i="3"/>
  <c r="A285" i="3"/>
  <c r="N284" i="3"/>
  <c r="N280" i="3"/>
  <c r="N279" i="3"/>
  <c r="N278" i="3"/>
  <c r="N277" i="3"/>
  <c r="N276" i="3"/>
  <c r="N274" i="3"/>
  <c r="N273" i="3"/>
  <c r="N272" i="3"/>
  <c r="N270" i="3"/>
  <c r="N269" i="3"/>
  <c r="N268" i="3"/>
  <c r="N266" i="3"/>
  <c r="N265" i="3"/>
  <c r="N264" i="3"/>
  <c r="N263" i="3"/>
  <c r="A263" i="3"/>
  <c r="A264" i="3" s="1"/>
  <c r="A265" i="3" s="1"/>
  <c r="A266" i="3" s="1"/>
  <c r="A268" i="3" s="1"/>
  <c r="A269" i="3" s="1"/>
  <c r="A270" i="3" s="1"/>
  <c r="A272" i="3" s="1"/>
  <c r="A273" i="3" s="1"/>
  <c r="A274" i="3" s="1"/>
  <c r="A276" i="3" s="1"/>
  <c r="A277" i="3" s="1"/>
  <c r="A278" i="3" s="1"/>
  <c r="A279" i="3" s="1"/>
  <c r="A280" i="3" s="1"/>
  <c r="N262" i="3"/>
  <c r="N258" i="3"/>
  <c r="N257" i="3"/>
  <c r="N255" i="3"/>
  <c r="N253" i="3"/>
  <c r="N252" i="3"/>
  <c r="N250" i="3"/>
  <c r="N249" i="3"/>
  <c r="N247" i="3"/>
  <c r="N246" i="3"/>
  <c r="N244" i="3"/>
  <c r="N243" i="3"/>
  <c r="N242" i="3"/>
  <c r="N240" i="3"/>
  <c r="A240" i="3"/>
  <c r="A242" i="3" s="1"/>
  <c r="A243" i="3" s="1"/>
  <c r="A244" i="3" s="1"/>
  <c r="A246" i="3" s="1"/>
  <c r="A247" i="3" s="1"/>
  <c r="A249" i="3" s="1"/>
  <c r="A250" i="3" s="1"/>
  <c r="A252" i="3" s="1"/>
  <c r="A253" i="3" s="1"/>
  <c r="A255" i="3" s="1"/>
  <c r="A257" i="3" s="1"/>
  <c r="A258" i="3" s="1"/>
  <c r="N239" i="3"/>
  <c r="A239" i="3"/>
  <c r="N238" i="3"/>
  <c r="A238" i="3"/>
  <c r="N236" i="3"/>
  <c r="N233" i="3"/>
  <c r="N232" i="3"/>
  <c r="A232" i="3"/>
  <c r="A233" i="3" s="1"/>
  <c r="N230" i="3"/>
  <c r="A230" i="3"/>
  <c r="N229" i="3"/>
  <c r="N223" i="3"/>
  <c r="N222" i="3"/>
  <c r="N221" i="3"/>
  <c r="N220" i="3"/>
  <c r="N219" i="3"/>
  <c r="N218" i="3"/>
  <c r="N217" i="3"/>
  <c r="N216" i="3"/>
  <c r="N215" i="3"/>
  <c r="A215" i="3"/>
  <c r="A217" i="3" s="1"/>
  <c r="N214" i="3"/>
  <c r="O211" i="3"/>
  <c r="N211" i="3"/>
  <c r="O210" i="3"/>
  <c r="N210" i="3"/>
  <c r="O209" i="3"/>
  <c r="N209" i="3"/>
  <c r="N208" i="3"/>
  <c r="N207" i="3"/>
  <c r="N206" i="3"/>
  <c r="N205" i="3"/>
  <c r="O204" i="3"/>
  <c r="N204" i="3"/>
  <c r="A204" i="3"/>
  <c r="A205" i="3" s="1"/>
  <c r="N203" i="3"/>
  <c r="O203" i="3" s="1"/>
  <c r="N200" i="3"/>
  <c r="N199" i="3"/>
  <c r="A199" i="3"/>
  <c r="A200" i="3" s="1"/>
  <c r="N198" i="3"/>
  <c r="A198" i="3"/>
  <c r="N197" i="3"/>
  <c r="A197" i="3"/>
  <c r="N196" i="3"/>
  <c r="N193" i="3"/>
  <c r="N191" i="3"/>
  <c r="A191" i="3"/>
  <c r="A193" i="3" s="1"/>
  <c r="N190" i="3"/>
  <c r="N189" i="3"/>
  <c r="N188" i="3"/>
  <c r="A188" i="3"/>
  <c r="A189" i="3" s="1"/>
  <c r="A190" i="3" s="1"/>
  <c r="N187" i="3"/>
  <c r="A187" i="3"/>
  <c r="N186" i="3"/>
  <c r="N182" i="3"/>
  <c r="N181" i="3"/>
  <c r="N180" i="3"/>
  <c r="N179" i="3"/>
  <c r="N178" i="3"/>
  <c r="N177" i="3"/>
  <c r="A177" i="3"/>
  <c r="A178" i="3" s="1"/>
  <c r="A179" i="3" s="1"/>
  <c r="A180" i="3" s="1"/>
  <c r="A181" i="3" s="1"/>
  <c r="A182" i="3" s="1"/>
  <c r="N176" i="3"/>
  <c r="N174" i="3"/>
  <c r="N173" i="3"/>
  <c r="N172" i="3"/>
  <c r="A172" i="3"/>
  <c r="A173" i="3" s="1"/>
  <c r="A174" i="3" s="1"/>
  <c r="N171" i="3"/>
  <c r="N169" i="3"/>
  <c r="N168" i="3"/>
  <c r="A168" i="3"/>
  <c r="A169" i="3" s="1"/>
  <c r="N167" i="3"/>
  <c r="N165" i="3"/>
  <c r="N164" i="3"/>
  <c r="N163" i="3"/>
  <c r="A163" i="3"/>
  <c r="A164" i="3" s="1"/>
  <c r="A165" i="3" s="1"/>
  <c r="N162" i="3"/>
  <c r="N160" i="3"/>
  <c r="N159" i="3"/>
  <c r="N158" i="3"/>
  <c r="A158" i="3"/>
  <c r="N157" i="3"/>
  <c r="N156" i="3"/>
  <c r="A156" i="3"/>
  <c r="N155" i="3"/>
  <c r="A155" i="3"/>
  <c r="N154" i="3"/>
  <c r="N153" i="3"/>
  <c r="N152" i="3"/>
  <c r="N151" i="3"/>
  <c r="N150" i="3"/>
  <c r="N149" i="3"/>
  <c r="N148" i="3"/>
  <c r="A148" i="3"/>
  <c r="A149" i="3" s="1"/>
  <c r="A150" i="3" s="1"/>
  <c r="N147" i="3"/>
  <c r="N145" i="3"/>
  <c r="A145" i="3"/>
  <c r="N144" i="3"/>
  <c r="A144" i="3"/>
  <c r="N143" i="3"/>
  <c r="N139" i="3"/>
  <c r="N138" i="3"/>
  <c r="N137" i="3"/>
  <c r="A137" i="3"/>
  <c r="A138" i="3" s="1"/>
  <c r="A139" i="3" s="1"/>
  <c r="N136" i="3"/>
  <c r="A136" i="3"/>
  <c r="N135" i="3"/>
  <c r="N133" i="3"/>
  <c r="N132" i="3"/>
  <c r="N131" i="3"/>
  <c r="N130" i="3"/>
  <c r="A130" i="3"/>
  <c r="A131" i="3" s="1"/>
  <c r="A132" i="3" s="1"/>
  <c r="A133" i="3" s="1"/>
  <c r="N129" i="3"/>
  <c r="N127" i="3"/>
  <c r="N126" i="3"/>
  <c r="N125" i="3"/>
  <c r="A125" i="3"/>
  <c r="A126" i="3" s="1"/>
  <c r="A127" i="3" s="1"/>
  <c r="N124" i="3"/>
  <c r="A124" i="3"/>
  <c r="N123" i="3"/>
  <c r="N116" i="3"/>
  <c r="N113" i="3"/>
  <c r="N112" i="3"/>
  <c r="N111" i="3"/>
  <c r="N110" i="3"/>
  <c r="N109" i="3"/>
  <c r="N108" i="3"/>
  <c r="N107" i="3"/>
  <c r="A107" i="3"/>
  <c r="A108" i="3" s="1"/>
  <c r="A109" i="3" s="1"/>
  <c r="A110" i="3" s="1"/>
  <c r="A111" i="3" s="1"/>
  <c r="A112" i="3" s="1"/>
  <c r="A113" i="3" s="1"/>
  <c r="N106" i="3"/>
  <c r="A106" i="3"/>
  <c r="N105" i="3"/>
  <c r="N102" i="3"/>
  <c r="N101" i="3"/>
  <c r="N100" i="3"/>
  <c r="N99" i="3"/>
  <c r="N98" i="3"/>
  <c r="N97" i="3"/>
  <c r="A97" i="3"/>
  <c r="A98" i="3" s="1"/>
  <c r="A99" i="3" s="1"/>
  <c r="A100" i="3" s="1"/>
  <c r="A101" i="3" s="1"/>
  <c r="A102" i="3" s="1"/>
  <c r="N96" i="3"/>
  <c r="A96" i="3"/>
  <c r="N95" i="3"/>
  <c r="A95" i="3"/>
  <c r="N94" i="3"/>
  <c r="N91" i="3"/>
  <c r="N90" i="3"/>
  <c r="N89" i="3"/>
  <c r="N88" i="3"/>
  <c r="N87" i="3"/>
  <c r="N86" i="3"/>
  <c r="N85" i="3"/>
  <c r="N84" i="3"/>
  <c r="A84" i="3"/>
  <c r="A85" i="3" s="1"/>
  <c r="A86" i="3" s="1"/>
  <c r="A87" i="3" s="1"/>
  <c r="A88" i="3" s="1"/>
  <c r="A89" i="3" s="1"/>
  <c r="A90" i="3" s="1"/>
  <c r="A91" i="3" s="1"/>
  <c r="N83" i="3"/>
  <c r="A83" i="3"/>
  <c r="N82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A66" i="3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N65" i="3"/>
  <c r="N61" i="3"/>
  <c r="N60" i="3"/>
  <c r="N59" i="3"/>
  <c r="N58" i="3"/>
  <c r="N57" i="3"/>
  <c r="N55" i="3"/>
  <c r="N54" i="3"/>
  <c r="N53" i="3"/>
  <c r="N52" i="3"/>
  <c r="N51" i="3"/>
  <c r="N50" i="3"/>
  <c r="N49" i="3"/>
  <c r="N48" i="3"/>
  <c r="A48" i="3"/>
  <c r="A49" i="3" s="1"/>
  <c r="A50" i="3" s="1"/>
  <c r="A51" i="3" s="1"/>
  <c r="A52" i="3" s="1"/>
  <c r="A53" i="3" s="1"/>
  <c r="A54" i="3" s="1"/>
  <c r="N47" i="3"/>
  <c r="N43" i="3"/>
  <c r="N42" i="3"/>
  <c r="N41" i="3"/>
  <c r="N40" i="3"/>
  <c r="N39" i="3"/>
  <c r="N38" i="3"/>
  <c r="N37" i="3"/>
  <c r="A37" i="3"/>
  <c r="A38" i="3" s="1"/>
  <c r="A39" i="3" s="1"/>
  <c r="A40" i="3" s="1"/>
  <c r="A41" i="3" s="1"/>
  <c r="A42" i="3" s="1"/>
  <c r="A43" i="3" s="1"/>
  <c r="N36" i="3"/>
  <c r="A36" i="3"/>
  <c r="N35" i="3"/>
  <c r="N33" i="3"/>
  <c r="L30" i="3"/>
  <c r="N30" i="3" s="1"/>
  <c r="L29" i="3"/>
  <c r="N29" i="3" s="1"/>
  <c r="L28" i="3"/>
  <c r="N28" i="3" s="1"/>
  <c r="N27" i="3"/>
  <c r="N24" i="3"/>
  <c r="N23" i="3"/>
  <c r="N22" i="3"/>
  <c r="N21" i="3"/>
  <c r="N20" i="3"/>
  <c r="A20" i="3"/>
  <c r="A21" i="3" s="1"/>
  <c r="A22" i="3" s="1"/>
  <c r="A23" i="3" s="1"/>
  <c r="A24" i="3" s="1"/>
  <c r="N19" i="3"/>
  <c r="N16" i="3"/>
  <c r="A16" i="3"/>
  <c r="N15" i="3"/>
  <c r="A15" i="3"/>
  <c r="N14" i="3"/>
  <c r="E491" i="2"/>
  <c r="A489" i="2"/>
  <c r="A490" i="2" s="1"/>
  <c r="A491" i="2" s="1"/>
  <c r="A492" i="2" s="1"/>
  <c r="A493" i="2" s="1"/>
  <c r="A494" i="2" s="1"/>
  <c r="A495" i="2" s="1"/>
  <c r="A496" i="2" s="1"/>
  <c r="A497" i="2" s="1"/>
  <c r="A488" i="2"/>
  <c r="A480" i="2"/>
  <c r="A481" i="2" s="1"/>
  <c r="A482" i="2" s="1"/>
  <c r="A483" i="2" s="1"/>
  <c r="A479" i="2"/>
  <c r="A470" i="2"/>
  <c r="A471" i="2" s="1"/>
  <c r="A472" i="2" s="1"/>
  <c r="A473" i="2" s="1"/>
  <c r="A474" i="2" s="1"/>
  <c r="A475" i="2" s="1"/>
  <c r="A476" i="2" s="1"/>
  <c r="A477" i="2" s="1"/>
  <c r="A469" i="2"/>
  <c r="A468" i="2"/>
  <c r="A461" i="2"/>
  <c r="A462" i="2" s="1"/>
  <c r="A463" i="2" s="1"/>
  <c r="A460" i="2"/>
  <c r="A458" i="2"/>
  <c r="E451" i="2"/>
  <c r="E448" i="2"/>
  <c r="A445" i="2"/>
  <c r="A446" i="2" s="1"/>
  <c r="A447" i="2" s="1"/>
  <c r="A448" i="2" s="1"/>
  <c r="A449" i="2" s="1"/>
  <c r="A443" i="2"/>
  <c r="A442" i="2"/>
  <c r="A438" i="2"/>
  <c r="A437" i="2"/>
  <c r="A436" i="2"/>
  <c r="A439" i="2" s="1"/>
  <c r="A432" i="2"/>
  <c r="A435" i="2" s="1"/>
  <c r="E426" i="2"/>
  <c r="E424" i="2"/>
  <c r="A420" i="2"/>
  <c r="A422" i="2" s="1"/>
  <c r="A419" i="2"/>
  <c r="A431" i="2" s="1"/>
  <c r="A415" i="2"/>
  <c r="A416" i="2" s="1"/>
  <c r="A414" i="2"/>
  <c r="A413" i="2"/>
  <c r="A410" i="2"/>
  <c r="A409" i="2"/>
  <c r="E399" i="2"/>
  <c r="A399" i="2"/>
  <c r="A400" i="2" s="1"/>
  <c r="A401" i="2" s="1"/>
  <c r="A402" i="2" s="1"/>
  <c r="A403" i="2" s="1"/>
  <c r="A404" i="2" s="1"/>
  <c r="A405" i="2" s="1"/>
  <c r="A406" i="2" s="1"/>
  <c r="E398" i="2"/>
  <c r="E397" i="2"/>
  <c r="E396" i="2"/>
  <c r="E395" i="2"/>
  <c r="A395" i="2"/>
  <c r="E394" i="2"/>
  <c r="A393" i="2"/>
  <c r="E391" i="2"/>
  <c r="E390" i="2"/>
  <c r="E389" i="2"/>
  <c r="E386" i="2"/>
  <c r="D386" i="2"/>
  <c r="E385" i="2"/>
  <c r="A385" i="2"/>
  <c r="A390" i="2" s="1"/>
  <c r="A391" i="2" s="1"/>
  <c r="A392" i="2" s="1"/>
  <c r="E384" i="2"/>
  <c r="E383" i="2"/>
  <c r="E382" i="2"/>
  <c r="E381" i="2"/>
  <c r="E380" i="2"/>
  <c r="A379" i="2"/>
  <c r="A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A355" i="2"/>
  <c r="A356" i="2" s="1"/>
  <c r="E354" i="2"/>
  <c r="A354" i="2"/>
  <c r="A353" i="2"/>
  <c r="D350" i="2"/>
  <c r="E350" i="2" s="1"/>
  <c r="E349" i="2"/>
  <c r="E348" i="2"/>
  <c r="A347" i="2"/>
  <c r="E345" i="2"/>
  <c r="A345" i="2"/>
  <c r="E342" i="2"/>
  <c r="D340" i="2"/>
  <c r="E340" i="2" s="1"/>
  <c r="E339" i="2"/>
  <c r="D339" i="2"/>
  <c r="D338" i="2"/>
  <c r="E338" i="2" s="1"/>
  <c r="E337" i="2"/>
  <c r="D337" i="2"/>
  <c r="E336" i="2"/>
  <c r="D336" i="2"/>
  <c r="D335" i="2"/>
  <c r="E335" i="2" s="1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A319" i="2"/>
  <c r="A344" i="2" s="1"/>
  <c r="A304" i="2"/>
  <c r="E296" i="2"/>
  <c r="A295" i="2"/>
  <c r="A296" i="2" s="1"/>
  <c r="A297" i="2" s="1"/>
  <c r="E293" i="2"/>
  <c r="E297" i="2" s="1"/>
  <c r="E292" i="2"/>
  <c r="A292" i="2"/>
  <c r="A293" i="2" s="1"/>
  <c r="E289" i="2"/>
  <c r="E288" i="2"/>
  <c r="E291" i="2" s="1"/>
  <c r="A280" i="2"/>
  <c r="A279" i="2"/>
  <c r="A278" i="2"/>
  <c r="A277" i="2"/>
  <c r="A276" i="2"/>
  <c r="A275" i="2"/>
  <c r="A274" i="2"/>
  <c r="A273" i="2"/>
  <c r="A244" i="2"/>
  <c r="A228" i="2"/>
  <c r="A221" i="2"/>
  <c r="A215" i="2"/>
  <c r="A223" i="2" s="1"/>
  <c r="E192" i="2"/>
  <c r="E191" i="2"/>
  <c r="A187" i="2"/>
  <c r="A184" i="2"/>
  <c r="E180" i="2"/>
  <c r="E179" i="2"/>
  <c r="E177" i="2"/>
  <c r="A177" i="2"/>
  <c r="A178" i="2" s="1"/>
  <c r="E176" i="2"/>
  <c r="A176" i="2"/>
  <c r="F162" i="2"/>
  <c r="E162" i="2"/>
  <c r="E161" i="2"/>
  <c r="E160" i="2"/>
  <c r="A159" i="2"/>
  <c r="E156" i="2"/>
  <c r="E155" i="2"/>
  <c r="E154" i="2"/>
  <c r="A154" i="2"/>
  <c r="E153" i="2"/>
  <c r="A153" i="2"/>
  <c r="E150" i="2"/>
  <c r="E146" i="2"/>
  <c r="E145" i="2"/>
  <c r="E144" i="2"/>
  <c r="A143" i="2"/>
  <c r="E142" i="2"/>
  <c r="A142" i="2"/>
  <c r="E141" i="2"/>
  <c r="A141" i="2"/>
  <c r="E139" i="2"/>
  <c r="A139" i="2"/>
  <c r="F138" i="2"/>
  <c r="A138" i="2"/>
  <c r="E137" i="2"/>
  <c r="H133" i="2"/>
  <c r="E129" i="2"/>
  <c r="A128" i="2"/>
  <c r="A127" i="2"/>
  <c r="A123" i="2"/>
  <c r="E120" i="2"/>
  <c r="F117" i="2"/>
  <c r="E117" i="2"/>
  <c r="E112" i="2"/>
  <c r="E99" i="2"/>
  <c r="E95" i="2"/>
  <c r="F94" i="2"/>
  <c r="E94" i="2"/>
  <c r="E128" i="2" s="1"/>
  <c r="E92" i="2"/>
  <c r="E91" i="2"/>
  <c r="F90" i="2"/>
  <c r="E90" i="2" s="1"/>
  <c r="E85" i="2"/>
  <c r="E83" i="2"/>
  <c r="E79" i="2"/>
  <c r="E103" i="2" s="1"/>
  <c r="E78" i="2"/>
  <c r="A78" i="2"/>
  <c r="A79" i="2" s="1"/>
  <c r="A76" i="2"/>
  <c r="A75" i="2"/>
  <c r="E71" i="2"/>
  <c r="E70" i="2"/>
  <c r="E69" i="2"/>
  <c r="E68" i="2"/>
  <c r="E67" i="2"/>
  <c r="A67" i="2"/>
  <c r="A70" i="2" s="1"/>
  <c r="A72" i="2" s="1"/>
  <c r="E64" i="2"/>
  <c r="E63" i="2"/>
  <c r="E62" i="2"/>
  <c r="A62" i="2"/>
  <c r="A63" i="2" s="1"/>
  <c r="G61" i="2"/>
  <c r="E61" i="2"/>
  <c r="A61" i="2"/>
  <c r="E60" i="2"/>
  <c r="A60" i="2"/>
  <c r="E57" i="2"/>
  <c r="A57" i="2"/>
  <c r="E56" i="2"/>
  <c r="A56" i="2"/>
  <c r="E55" i="2"/>
  <c r="A55" i="2"/>
  <c r="F54" i="2"/>
  <c r="A54" i="2"/>
  <c r="E51" i="2"/>
  <c r="E50" i="2"/>
  <c r="E49" i="2"/>
  <c r="E48" i="2"/>
  <c r="K46" i="2"/>
  <c r="G46" i="2"/>
  <c r="H46" i="2" s="1"/>
  <c r="E46" i="2"/>
  <c r="K45" i="2"/>
  <c r="I45" i="2"/>
  <c r="F45" i="2"/>
  <c r="E45" i="2"/>
  <c r="K44" i="2"/>
  <c r="G44" i="2"/>
  <c r="F44" i="2"/>
  <c r="E44" i="2" s="1"/>
  <c r="K43" i="2"/>
  <c r="E43" i="2"/>
  <c r="A43" i="2"/>
  <c r="A44" i="2" s="1"/>
  <c r="A46" i="2" s="1"/>
  <c r="A45" i="2" s="1"/>
  <c r="E42" i="2"/>
  <c r="A42" i="2"/>
  <c r="K41" i="2"/>
  <c r="E41" i="2"/>
  <c r="A41" i="2"/>
  <c r="K40" i="2"/>
  <c r="E40" i="2"/>
  <c r="A40" i="2"/>
  <c r="A33" i="2"/>
  <c r="A34" i="2" s="1"/>
  <c r="E32" i="2"/>
  <c r="A32" i="2"/>
  <c r="K30" i="2"/>
  <c r="E28" i="2"/>
  <c r="E27" i="2"/>
  <c r="A26" i="2"/>
  <c r="A27" i="2" s="1"/>
  <c r="I25" i="2"/>
  <c r="A25" i="2"/>
  <c r="F22" i="2"/>
  <c r="E22" i="2"/>
  <c r="A22" i="2"/>
  <c r="G21" i="2"/>
  <c r="E21" i="2"/>
  <c r="E20" i="2"/>
  <c r="A19" i="2"/>
  <c r="A20" i="2" s="1"/>
  <c r="A21" i="2" s="1"/>
  <c r="L18" i="2"/>
  <c r="E16" i="2"/>
  <c r="G15" i="2"/>
  <c r="G16" i="2" s="1"/>
  <c r="F15" i="2"/>
  <c r="R14" i="2"/>
  <c r="F13" i="2"/>
  <c r="G13" i="2" s="1"/>
  <c r="A13" i="2"/>
  <c r="I12" i="2"/>
  <c r="G12" i="2"/>
  <c r="E12" i="2" s="1"/>
  <c r="L19" i="2" s="1"/>
  <c r="F12" i="2"/>
  <c r="A12" i="2"/>
  <c r="I11" i="2"/>
  <c r="F11" i="2"/>
  <c r="G11" i="2" s="1"/>
  <c r="E11" i="2" s="1"/>
  <c r="K10" i="2"/>
  <c r="G10" i="2"/>
  <c r="F10" i="2"/>
  <c r="E10" i="2" s="1"/>
  <c r="K9" i="2"/>
  <c r="J9" i="2"/>
  <c r="I9" i="2"/>
  <c r="F9" i="2"/>
  <c r="E9" i="2" s="1"/>
  <c r="A9" i="2"/>
  <c r="A11" i="2" s="1"/>
  <c r="A15" i="2" s="1"/>
  <c r="A16" i="2" s="1"/>
  <c r="H2407" i="1"/>
  <c r="E2407" i="1"/>
  <c r="F2407" i="1" s="1"/>
  <c r="H2406" i="1"/>
  <c r="E2406" i="1"/>
  <c r="F2406" i="1" s="1"/>
  <c r="H2405" i="1"/>
  <c r="G2405" i="1"/>
  <c r="F2405" i="1"/>
  <c r="E2405" i="1"/>
  <c r="C2405" i="1"/>
  <c r="H2404" i="1"/>
  <c r="F2404" i="1"/>
  <c r="E2404" i="1"/>
  <c r="H2403" i="1"/>
  <c r="E2403" i="1"/>
  <c r="F2403" i="1" s="1"/>
  <c r="H2402" i="1"/>
  <c r="F2402" i="1"/>
  <c r="E2402" i="1"/>
  <c r="E2401" i="1"/>
  <c r="C2401" i="1"/>
  <c r="H2401" i="1" s="1"/>
  <c r="E2400" i="1"/>
  <c r="C2400" i="1"/>
  <c r="H2400" i="1" s="1"/>
  <c r="H2399" i="1"/>
  <c r="F2399" i="1"/>
  <c r="E2399" i="1"/>
  <c r="H2398" i="1"/>
  <c r="F2398" i="1"/>
  <c r="E2398" i="1"/>
  <c r="H2397" i="1"/>
  <c r="F2397" i="1"/>
  <c r="E2397" i="1"/>
  <c r="G2391" i="1"/>
  <c r="F2390" i="1"/>
  <c r="E2390" i="1"/>
  <c r="H2389" i="1"/>
  <c r="I2389" i="1" s="1"/>
  <c r="G2389" i="1"/>
  <c r="F2386" i="1"/>
  <c r="E2384" i="1"/>
  <c r="F2384" i="1" s="1"/>
  <c r="F2383" i="1"/>
  <c r="E2383" i="1"/>
  <c r="F2382" i="1"/>
  <c r="G2378" i="1"/>
  <c r="E2378" i="1"/>
  <c r="F2377" i="1"/>
  <c r="G2377" i="1" s="1"/>
  <c r="F2376" i="1"/>
  <c r="G2376" i="1" s="1"/>
  <c r="G2375" i="1"/>
  <c r="F2375" i="1"/>
  <c r="G2374" i="1"/>
  <c r="F2374" i="1"/>
  <c r="F2373" i="1"/>
  <c r="G2373" i="1" s="1"/>
  <c r="G2372" i="1"/>
  <c r="F2372" i="1"/>
  <c r="F2371" i="1"/>
  <c r="G2371" i="1" s="1"/>
  <c r="G2370" i="1"/>
  <c r="G2369" i="1"/>
  <c r="E2368" i="1"/>
  <c r="F2368" i="1" s="1"/>
  <c r="G2368" i="1" s="1"/>
  <c r="E2367" i="1"/>
  <c r="F2367" i="1" s="1"/>
  <c r="G2367" i="1" s="1"/>
  <c r="G2366" i="1"/>
  <c r="F2366" i="1"/>
  <c r="F2365" i="1"/>
  <c r="G2365" i="1" s="1"/>
  <c r="F2364" i="1"/>
  <c r="G2364" i="1" s="1"/>
  <c r="E2363" i="1"/>
  <c r="F2363" i="1" s="1"/>
  <c r="G2363" i="1" s="1"/>
  <c r="G2362" i="1"/>
  <c r="E2362" i="1"/>
  <c r="F2361" i="1"/>
  <c r="G2361" i="1" s="1"/>
  <c r="G2360" i="1"/>
  <c r="F2359" i="1"/>
  <c r="G2359" i="1" s="1"/>
  <c r="E2359" i="1"/>
  <c r="G2355" i="1"/>
  <c r="E2355" i="1"/>
  <c r="F2355" i="1" s="1"/>
  <c r="G2354" i="1"/>
  <c r="E2354" i="1"/>
  <c r="F2354" i="1" s="1"/>
  <c r="E2350" i="1"/>
  <c r="G2350" i="1" s="1"/>
  <c r="E2349" i="1"/>
  <c r="G2349" i="1" s="1"/>
  <c r="F2348" i="1"/>
  <c r="E2348" i="1"/>
  <c r="G2348" i="1" s="1"/>
  <c r="E2344" i="1"/>
  <c r="F2344" i="1" s="1"/>
  <c r="F2343" i="1"/>
  <c r="E2343" i="1"/>
  <c r="F2342" i="1"/>
  <c r="E2342" i="1"/>
  <c r="E2341" i="1"/>
  <c r="F2341" i="1" s="1"/>
  <c r="E2340" i="1"/>
  <c r="F2340" i="1" s="1"/>
  <c r="E2339" i="1"/>
  <c r="F2339" i="1" s="1"/>
  <c r="F2335" i="1"/>
  <c r="E2335" i="1"/>
  <c r="C2335" i="1"/>
  <c r="F2334" i="1"/>
  <c r="E2334" i="1"/>
  <c r="C2334" i="1"/>
  <c r="C2333" i="1"/>
  <c r="C2332" i="1"/>
  <c r="F2332" i="1" s="1"/>
  <c r="E2331" i="1"/>
  <c r="F2330" i="1"/>
  <c r="E2330" i="1"/>
  <c r="F2329" i="1"/>
  <c r="E2329" i="1"/>
  <c r="E2328" i="1"/>
  <c r="F2328" i="1" s="1"/>
  <c r="E2327" i="1"/>
  <c r="F2327" i="1" s="1"/>
  <c r="G2336" i="1" s="1"/>
  <c r="E2322" i="1"/>
  <c r="F2322" i="1" s="1"/>
  <c r="F2321" i="1"/>
  <c r="F2315" i="1"/>
  <c r="E2315" i="1"/>
  <c r="E2314" i="1"/>
  <c r="F2314" i="1" s="1"/>
  <c r="E2313" i="1"/>
  <c r="F2313" i="1" s="1"/>
  <c r="F2308" i="1"/>
  <c r="E2307" i="1"/>
  <c r="F2307" i="1" s="1"/>
  <c r="C2307" i="1"/>
  <c r="E2306" i="1"/>
  <c r="F2306" i="1" s="1"/>
  <c r="C2306" i="1"/>
  <c r="E2305" i="1"/>
  <c r="F2305" i="1" s="1"/>
  <c r="E2301" i="1"/>
  <c r="F2301" i="1" s="1"/>
  <c r="F2299" i="1"/>
  <c r="E2299" i="1"/>
  <c r="E2298" i="1"/>
  <c r="F2298" i="1" s="1"/>
  <c r="E2297" i="1"/>
  <c r="F2297" i="1" s="1"/>
  <c r="F2292" i="1"/>
  <c r="E2292" i="1"/>
  <c r="E2291" i="1"/>
  <c r="F2291" i="1" s="1"/>
  <c r="E2293" i="1" s="1"/>
  <c r="F2293" i="1" s="1"/>
  <c r="F2290" i="1"/>
  <c r="E2290" i="1"/>
  <c r="E2288" i="1"/>
  <c r="F2288" i="1" s="1"/>
  <c r="F2287" i="1"/>
  <c r="F2286" i="1"/>
  <c r="F2285" i="1"/>
  <c r="E2285" i="1"/>
  <c r="C2285" i="1"/>
  <c r="F2279" i="1"/>
  <c r="E2279" i="1"/>
  <c r="E2278" i="1"/>
  <c r="F2278" i="1" s="1"/>
  <c r="E2280" i="1" s="1"/>
  <c r="F2280" i="1" s="1"/>
  <c r="F2275" i="1"/>
  <c r="F2274" i="1"/>
  <c r="F2273" i="1"/>
  <c r="E2270" i="1"/>
  <c r="C2267" i="1"/>
  <c r="F2267" i="1" s="1"/>
  <c r="E2266" i="1"/>
  <c r="F2266" i="1" s="1"/>
  <c r="C2266" i="1"/>
  <c r="C2264" i="1"/>
  <c r="E2263" i="1"/>
  <c r="F2263" i="1" s="1"/>
  <c r="C2263" i="1"/>
  <c r="E2262" i="1"/>
  <c r="F2262" i="1" s="1"/>
  <c r="C2262" i="1"/>
  <c r="C2261" i="1"/>
  <c r="E2260" i="1"/>
  <c r="F2260" i="1" s="1"/>
  <c r="A2260" i="1"/>
  <c r="F2255" i="1"/>
  <c r="E2255" i="1"/>
  <c r="E2254" i="1"/>
  <c r="F2254" i="1" s="1"/>
  <c r="F2253" i="1"/>
  <c r="E2253" i="1"/>
  <c r="F2252" i="1"/>
  <c r="E2252" i="1"/>
  <c r="E2251" i="1"/>
  <c r="F2251" i="1" s="1"/>
  <c r="E2249" i="1"/>
  <c r="F2249" i="1" s="1"/>
  <c r="E2248" i="1"/>
  <c r="F2248" i="1" s="1"/>
  <c r="E2247" i="1"/>
  <c r="F2247" i="1" s="1"/>
  <c r="E2246" i="1"/>
  <c r="F2246" i="1" s="1"/>
  <c r="G2250" i="1" s="1"/>
  <c r="F2245" i="1"/>
  <c r="E2245" i="1"/>
  <c r="F2243" i="1"/>
  <c r="E2243" i="1"/>
  <c r="F2242" i="1"/>
  <c r="E2242" i="1"/>
  <c r="E2241" i="1"/>
  <c r="F2241" i="1" s="1"/>
  <c r="F2240" i="1"/>
  <c r="E2240" i="1"/>
  <c r="F2239" i="1"/>
  <c r="E2239" i="1"/>
  <c r="I2237" i="1"/>
  <c r="I2238" i="1" s="1"/>
  <c r="E2237" i="1"/>
  <c r="F2237" i="1" s="1"/>
  <c r="I2236" i="1"/>
  <c r="E2236" i="1"/>
  <c r="F2236" i="1" s="1"/>
  <c r="F2235" i="1"/>
  <c r="E2235" i="1"/>
  <c r="F2234" i="1"/>
  <c r="E2234" i="1"/>
  <c r="I2232" i="1"/>
  <c r="I2231" i="1"/>
  <c r="E2230" i="1"/>
  <c r="F2230" i="1" s="1"/>
  <c r="E2229" i="1"/>
  <c r="F2229" i="1" s="1"/>
  <c r="E2228" i="1"/>
  <c r="F2228" i="1" s="1"/>
  <c r="J2227" i="1"/>
  <c r="E2227" i="1"/>
  <c r="F2227" i="1" s="1"/>
  <c r="G2226" i="1"/>
  <c r="H2227" i="1" s="1"/>
  <c r="F2226" i="1"/>
  <c r="E2226" i="1"/>
  <c r="I2221" i="1"/>
  <c r="I2220" i="1"/>
  <c r="E2216" i="1"/>
  <c r="E2217" i="1" s="1"/>
  <c r="C2216" i="1"/>
  <c r="F2216" i="1" s="1"/>
  <c r="F2215" i="1"/>
  <c r="F2214" i="1"/>
  <c r="E2214" i="1"/>
  <c r="F2213" i="1"/>
  <c r="E2203" i="1"/>
  <c r="C2203" i="1"/>
  <c r="F2203" i="1" s="1"/>
  <c r="E2202" i="1"/>
  <c r="F2202" i="1" s="1"/>
  <c r="E2201" i="1"/>
  <c r="F2201" i="1" s="1"/>
  <c r="C2201" i="1"/>
  <c r="E2199" i="1"/>
  <c r="F2199" i="1" s="1"/>
  <c r="C2199" i="1"/>
  <c r="E2198" i="1"/>
  <c r="F2198" i="1" s="1"/>
  <c r="C2198" i="1"/>
  <c r="E2197" i="1"/>
  <c r="C2197" i="1"/>
  <c r="F2197" i="1" s="1"/>
  <c r="A2196" i="1"/>
  <c r="J2195" i="1"/>
  <c r="F2194" i="1"/>
  <c r="E2191" i="1"/>
  <c r="F2191" i="1" s="1"/>
  <c r="A2191" i="1"/>
  <c r="E2188" i="1"/>
  <c r="F2188" i="1" s="1"/>
  <c r="F2187" i="1"/>
  <c r="E2187" i="1"/>
  <c r="E2186" i="1"/>
  <c r="F2186" i="1" s="1"/>
  <c r="F2182" i="1"/>
  <c r="E2182" i="1"/>
  <c r="E2181" i="1"/>
  <c r="F2181" i="1" s="1"/>
  <c r="F2179" i="1"/>
  <c r="E2179" i="1"/>
  <c r="F2176" i="1"/>
  <c r="E2176" i="1"/>
  <c r="F2175" i="1"/>
  <c r="E2175" i="1"/>
  <c r="F2173" i="1"/>
  <c r="E2173" i="1"/>
  <c r="E2170" i="1"/>
  <c r="F2170" i="1" s="1"/>
  <c r="F2169" i="1"/>
  <c r="E2169" i="1"/>
  <c r="E2166" i="1"/>
  <c r="F2166" i="1" s="1"/>
  <c r="F2165" i="1"/>
  <c r="E2165" i="1"/>
  <c r="E2163" i="1"/>
  <c r="F2163" i="1" s="1"/>
  <c r="E2160" i="1"/>
  <c r="F2160" i="1" s="1"/>
  <c r="J2159" i="1"/>
  <c r="J2160" i="1" s="1"/>
  <c r="F2159" i="1"/>
  <c r="E2159" i="1"/>
  <c r="J2158" i="1"/>
  <c r="E2157" i="1"/>
  <c r="F2157" i="1" s="1"/>
  <c r="E2154" i="1"/>
  <c r="F2154" i="1" s="1"/>
  <c r="E2153" i="1"/>
  <c r="F2153" i="1" s="1"/>
  <c r="E2150" i="1"/>
  <c r="F2150" i="1" s="1"/>
  <c r="A2150" i="1"/>
  <c r="A2157" i="1" s="1"/>
  <c r="A2163" i="1" s="1"/>
  <c r="A2169" i="1" s="1"/>
  <c r="A2173" i="1" s="1"/>
  <c r="A2179" i="1" s="1"/>
  <c r="E2147" i="1"/>
  <c r="F2147" i="1" s="1"/>
  <c r="E2146" i="1"/>
  <c r="F2146" i="1" s="1"/>
  <c r="F2144" i="1"/>
  <c r="E2144" i="1"/>
  <c r="A2144" i="1"/>
  <c r="F2137" i="1"/>
  <c r="C2133" i="1"/>
  <c r="F2133" i="1" s="1"/>
  <c r="E2132" i="1"/>
  <c r="C2132" i="1"/>
  <c r="F2132" i="1" s="1"/>
  <c r="C2130" i="1"/>
  <c r="F2129" i="1"/>
  <c r="E2129" i="1"/>
  <c r="C2129" i="1"/>
  <c r="E2128" i="1"/>
  <c r="F2128" i="1" s="1"/>
  <c r="C2128" i="1"/>
  <c r="C2127" i="1"/>
  <c r="E2126" i="1"/>
  <c r="F2126" i="1" s="1"/>
  <c r="A2126" i="1"/>
  <c r="F2122" i="1"/>
  <c r="E2122" i="1"/>
  <c r="C2122" i="1"/>
  <c r="F2121" i="1"/>
  <c r="E2121" i="1"/>
  <c r="F2120" i="1"/>
  <c r="E2119" i="1"/>
  <c r="C2119" i="1"/>
  <c r="F2119" i="1" s="1"/>
  <c r="F2118" i="1"/>
  <c r="E2118" i="1"/>
  <c r="C2118" i="1"/>
  <c r="E2116" i="1"/>
  <c r="F2115" i="1"/>
  <c r="E2115" i="1"/>
  <c r="C2115" i="1"/>
  <c r="E2114" i="1"/>
  <c r="C2114" i="1"/>
  <c r="F2114" i="1" s="1"/>
  <c r="E2113" i="1"/>
  <c r="F2113" i="1" s="1"/>
  <c r="E2112" i="1"/>
  <c r="C2112" i="1"/>
  <c r="F2112" i="1" s="1"/>
  <c r="F2109" i="1"/>
  <c r="G2107" i="1" s="1"/>
  <c r="E2109" i="1"/>
  <c r="C2109" i="1"/>
  <c r="F2108" i="1"/>
  <c r="F2105" i="1"/>
  <c r="C2104" i="1"/>
  <c r="F2103" i="1"/>
  <c r="E2102" i="1"/>
  <c r="C2102" i="1"/>
  <c r="F2102" i="1" s="1"/>
  <c r="F2101" i="1"/>
  <c r="C2100" i="1"/>
  <c r="C2097" i="1"/>
  <c r="C2096" i="1"/>
  <c r="F2095" i="1"/>
  <c r="E2094" i="1"/>
  <c r="F2094" i="1" s="1"/>
  <c r="D2094" i="1"/>
  <c r="C2094" i="1"/>
  <c r="K2093" i="1"/>
  <c r="H2093" i="1"/>
  <c r="F2093" i="1"/>
  <c r="F2091" i="1"/>
  <c r="F2090" i="1"/>
  <c r="F2087" i="1"/>
  <c r="E2087" i="1"/>
  <c r="F2084" i="1"/>
  <c r="C2080" i="1"/>
  <c r="J2079" i="1"/>
  <c r="C2079" i="1"/>
  <c r="J2078" i="1"/>
  <c r="F2078" i="1"/>
  <c r="E2078" i="1"/>
  <c r="C2078" i="1"/>
  <c r="E2077" i="1"/>
  <c r="F2077" i="1" s="1"/>
  <c r="C2077" i="1"/>
  <c r="J2076" i="1"/>
  <c r="F2076" i="1"/>
  <c r="E2075" i="1"/>
  <c r="F2075" i="1" s="1"/>
  <c r="C2075" i="1"/>
  <c r="E2074" i="1"/>
  <c r="F2074" i="1" s="1"/>
  <c r="C2074" i="1"/>
  <c r="I2071" i="1"/>
  <c r="C2070" i="1"/>
  <c r="C2083" i="1" s="1"/>
  <c r="F2063" i="1"/>
  <c r="C2063" i="1"/>
  <c r="C2060" i="1"/>
  <c r="F2056" i="1"/>
  <c r="F2055" i="1"/>
  <c r="C2055" i="1"/>
  <c r="C2053" i="1"/>
  <c r="C2052" i="1"/>
  <c r="C2054" i="1" s="1"/>
  <c r="F2046" i="1"/>
  <c r="E2046" i="1"/>
  <c r="E2044" i="1"/>
  <c r="F2044" i="1" s="1"/>
  <c r="C2038" i="1"/>
  <c r="E2025" i="1"/>
  <c r="F2025" i="1" s="1"/>
  <c r="E2024" i="1"/>
  <c r="F2024" i="1" s="1"/>
  <c r="F2021" i="1"/>
  <c r="E2021" i="1"/>
  <c r="E2016" i="1"/>
  <c r="F2016" i="1" s="1"/>
  <c r="F2013" i="1"/>
  <c r="E2013" i="1"/>
  <c r="E2009" i="1"/>
  <c r="F2009" i="1" s="1"/>
  <c r="E2008" i="1"/>
  <c r="F2008" i="1" s="1"/>
  <c r="C2008" i="1"/>
  <c r="E2006" i="1"/>
  <c r="E2014" i="1" s="1"/>
  <c r="E2005" i="1"/>
  <c r="F2004" i="1"/>
  <c r="E2004" i="1"/>
  <c r="F2003" i="1"/>
  <c r="E2003" i="1"/>
  <c r="E2276" i="1" s="1"/>
  <c r="F2276" i="1" s="1"/>
  <c r="E2277" i="1" s="1"/>
  <c r="F2277" i="1" s="1"/>
  <c r="E1998" i="1"/>
  <c r="F1998" i="1" s="1"/>
  <c r="E1997" i="1"/>
  <c r="F1997" i="1" s="1"/>
  <c r="F1996" i="1"/>
  <c r="E1996" i="1"/>
  <c r="F1995" i="1"/>
  <c r="E1995" i="1"/>
  <c r="F1994" i="1"/>
  <c r="E1994" i="1"/>
  <c r="E2037" i="1" s="1"/>
  <c r="F2037" i="1" s="1"/>
  <c r="E1990" i="1"/>
  <c r="F1990" i="1" s="1"/>
  <c r="F1988" i="1"/>
  <c r="E1988" i="1"/>
  <c r="F1987" i="1"/>
  <c r="E1987" i="1"/>
  <c r="F1986" i="1"/>
  <c r="E1986" i="1"/>
  <c r="E1985" i="1"/>
  <c r="E2002" i="1" s="1"/>
  <c r="F1979" i="1"/>
  <c r="E1979" i="1"/>
  <c r="E1977" i="1"/>
  <c r="F1977" i="1" s="1"/>
  <c r="F1975" i="1"/>
  <c r="E1975" i="1"/>
  <c r="E1970" i="1"/>
  <c r="F1970" i="1" s="1"/>
  <c r="F1967" i="1"/>
  <c r="E1967" i="1"/>
  <c r="F1965" i="1"/>
  <c r="E1965" i="1"/>
  <c r="E1964" i="1"/>
  <c r="F1964" i="1" s="1"/>
  <c r="C1964" i="1"/>
  <c r="F1963" i="1"/>
  <c r="E1963" i="1"/>
  <c r="F1958" i="1"/>
  <c r="F1957" i="1"/>
  <c r="E1957" i="1"/>
  <c r="F1956" i="1"/>
  <c r="E1956" i="1"/>
  <c r="C1956" i="1"/>
  <c r="F1955" i="1"/>
  <c r="E1955" i="1"/>
  <c r="C1955" i="1"/>
  <c r="F1953" i="1"/>
  <c r="E1953" i="1"/>
  <c r="I1952" i="1"/>
  <c r="E1951" i="1"/>
  <c r="J1950" i="1"/>
  <c r="E1950" i="1"/>
  <c r="F1950" i="1" s="1"/>
  <c r="C1950" i="1"/>
  <c r="C1949" i="1"/>
  <c r="A1949" i="1"/>
  <c r="I1948" i="1"/>
  <c r="F1948" i="1"/>
  <c r="E1948" i="1"/>
  <c r="C1948" i="1"/>
  <c r="C1951" i="1" s="1"/>
  <c r="F1951" i="1" s="1"/>
  <c r="I1945" i="1"/>
  <c r="E1944" i="1"/>
  <c r="F1944" i="1" s="1"/>
  <c r="E1943" i="1"/>
  <c r="F1943" i="1" s="1"/>
  <c r="E1942" i="1"/>
  <c r="C1942" i="1"/>
  <c r="F1942" i="1" s="1"/>
  <c r="E1941" i="1"/>
  <c r="F1941" i="1" s="1"/>
  <c r="C1941" i="1"/>
  <c r="C1940" i="1"/>
  <c r="F1938" i="1"/>
  <c r="E1938" i="1"/>
  <c r="C1938" i="1"/>
  <c r="C1937" i="1"/>
  <c r="E1936" i="1"/>
  <c r="E1935" i="1"/>
  <c r="F1935" i="1" s="1"/>
  <c r="C1935" i="1"/>
  <c r="E1933" i="1"/>
  <c r="E1974" i="1" s="1"/>
  <c r="F1974" i="1" s="1"/>
  <c r="C1933" i="1"/>
  <c r="A1933" i="1"/>
  <c r="E1932" i="1"/>
  <c r="C1932" i="1"/>
  <c r="F1932" i="1" s="1"/>
  <c r="F1929" i="1"/>
  <c r="F1928" i="1"/>
  <c r="F1927" i="1"/>
  <c r="C1926" i="1"/>
  <c r="F1926" i="1" s="1"/>
  <c r="C1925" i="1"/>
  <c r="F1925" i="1" s="1"/>
  <c r="C1924" i="1"/>
  <c r="F1924" i="1" s="1"/>
  <c r="C1923" i="1"/>
  <c r="C1922" i="1"/>
  <c r="F1922" i="1" s="1"/>
  <c r="F1920" i="1"/>
  <c r="C1920" i="1"/>
  <c r="C1919" i="1"/>
  <c r="F1918" i="1"/>
  <c r="E1918" i="1"/>
  <c r="C1918" i="1"/>
  <c r="E1917" i="1"/>
  <c r="F1917" i="1" s="1"/>
  <c r="C1917" i="1"/>
  <c r="F1916" i="1"/>
  <c r="C1915" i="1"/>
  <c r="E1914" i="1"/>
  <c r="F1914" i="1" s="1"/>
  <c r="C1914" i="1"/>
  <c r="F1913" i="1"/>
  <c r="F1910" i="1"/>
  <c r="E1909" i="1"/>
  <c r="C1909" i="1"/>
  <c r="F1909" i="1" s="1"/>
  <c r="F1908" i="1"/>
  <c r="E1908" i="1"/>
  <c r="C1908" i="1"/>
  <c r="C1907" i="1"/>
  <c r="F1905" i="1"/>
  <c r="E1905" i="1"/>
  <c r="E1919" i="1" s="1"/>
  <c r="F1919" i="1" s="1"/>
  <c r="C1905" i="1"/>
  <c r="F1904" i="1"/>
  <c r="E1904" i="1"/>
  <c r="E1903" i="1"/>
  <c r="F1902" i="1"/>
  <c r="E1902" i="1"/>
  <c r="C1902" i="1"/>
  <c r="C1901" i="1"/>
  <c r="C1903" i="1" s="1"/>
  <c r="F1903" i="1" s="1"/>
  <c r="C1900" i="1"/>
  <c r="F1897" i="1"/>
  <c r="C1893" i="1"/>
  <c r="C1892" i="1"/>
  <c r="F1891" i="1"/>
  <c r="C1891" i="1"/>
  <c r="E1885" i="1"/>
  <c r="F1885" i="1" s="1"/>
  <c r="E1884" i="1"/>
  <c r="F1884" i="1" s="1"/>
  <c r="E1883" i="1"/>
  <c r="F1883" i="1" s="1"/>
  <c r="K1881" i="1"/>
  <c r="F1878" i="1"/>
  <c r="E1878" i="1"/>
  <c r="A1878" i="1"/>
  <c r="C1874" i="1"/>
  <c r="C1873" i="1" s="1"/>
  <c r="C1872" i="1"/>
  <c r="C1871" i="1"/>
  <c r="F1866" i="1"/>
  <c r="I1866" i="1" s="1"/>
  <c r="E1866" i="1"/>
  <c r="F1865" i="1"/>
  <c r="K1864" i="1"/>
  <c r="E1864" i="1"/>
  <c r="F1864" i="1" s="1"/>
  <c r="E1862" i="1"/>
  <c r="F1862" i="1" s="1"/>
  <c r="I1861" i="1"/>
  <c r="E1860" i="1"/>
  <c r="E1879" i="1" s="1"/>
  <c r="E1859" i="1"/>
  <c r="F1859" i="1" s="1"/>
  <c r="I1856" i="1"/>
  <c r="F1855" i="1"/>
  <c r="F1854" i="1"/>
  <c r="E1854" i="1"/>
  <c r="F1853" i="1"/>
  <c r="E1849" i="1"/>
  <c r="F1849" i="1" s="1"/>
  <c r="E1848" i="1"/>
  <c r="F1848" i="1" s="1"/>
  <c r="C1848" i="1"/>
  <c r="F1847" i="1"/>
  <c r="F1844" i="1"/>
  <c r="F1843" i="1"/>
  <c r="E1842" i="1"/>
  <c r="F1842" i="1" s="1"/>
  <c r="E1840" i="1"/>
  <c r="F1837" i="1"/>
  <c r="F1833" i="1"/>
  <c r="E1833" i="1"/>
  <c r="F1832" i="1"/>
  <c r="E1832" i="1"/>
  <c r="F1831" i="1"/>
  <c r="E1831" i="1"/>
  <c r="E1829" i="1"/>
  <c r="F1829" i="1" s="1"/>
  <c r="F1827" i="1"/>
  <c r="E1827" i="1"/>
  <c r="E1838" i="1" s="1"/>
  <c r="F1838" i="1" s="1"/>
  <c r="F1826" i="1"/>
  <c r="E1826" i="1"/>
  <c r="F1822" i="1"/>
  <c r="E1818" i="1"/>
  <c r="F1818" i="1" s="1"/>
  <c r="F1815" i="1"/>
  <c r="E1811" i="1"/>
  <c r="F1811" i="1" s="1"/>
  <c r="I1810" i="1"/>
  <c r="E1810" i="1"/>
  <c r="F1810" i="1" s="1"/>
  <c r="E1809" i="1"/>
  <c r="F1807" i="1"/>
  <c r="E1807" i="1"/>
  <c r="E1805" i="1"/>
  <c r="F1805" i="1" s="1"/>
  <c r="E1804" i="1"/>
  <c r="F1804" i="1" s="1"/>
  <c r="F1801" i="1"/>
  <c r="E1800" i="1"/>
  <c r="F1800" i="1" s="1"/>
  <c r="E1799" i="1"/>
  <c r="F1799" i="1" s="1"/>
  <c r="K1797" i="1"/>
  <c r="F1794" i="1"/>
  <c r="K1791" i="1"/>
  <c r="F1790" i="1"/>
  <c r="F1789" i="1"/>
  <c r="E1789" i="1"/>
  <c r="F1788" i="1"/>
  <c r="E1788" i="1"/>
  <c r="C1785" i="1"/>
  <c r="E1784" i="1"/>
  <c r="F1784" i="1" s="1"/>
  <c r="C1784" i="1"/>
  <c r="E1783" i="1"/>
  <c r="C1783" i="1"/>
  <c r="F1783" i="1" s="1"/>
  <c r="F1778" i="1"/>
  <c r="F1777" i="1"/>
  <c r="E1776" i="1"/>
  <c r="F1776" i="1" s="1"/>
  <c r="E1775" i="1"/>
  <c r="F1775" i="1" s="1"/>
  <c r="F1772" i="1"/>
  <c r="E1772" i="1"/>
  <c r="C1772" i="1"/>
  <c r="E1771" i="1"/>
  <c r="F1771" i="1" s="1"/>
  <c r="C1771" i="1"/>
  <c r="F1770" i="1"/>
  <c r="F1765" i="1"/>
  <c r="F1764" i="1"/>
  <c r="E1763" i="1"/>
  <c r="F1763" i="1" s="1"/>
  <c r="C1759" i="1"/>
  <c r="F1758" i="1"/>
  <c r="E1758" i="1"/>
  <c r="C1758" i="1"/>
  <c r="E1757" i="1"/>
  <c r="F1757" i="1" s="1"/>
  <c r="F1752" i="1"/>
  <c r="F1751" i="1"/>
  <c r="E1751" i="1"/>
  <c r="E1748" i="1"/>
  <c r="F1748" i="1" s="1"/>
  <c r="E1746" i="1"/>
  <c r="F1746" i="1" s="1"/>
  <c r="F1745" i="1"/>
  <c r="E1741" i="1"/>
  <c r="E1753" i="1" s="1"/>
  <c r="E1740" i="1"/>
  <c r="F1740" i="1" s="1"/>
  <c r="F1739" i="1"/>
  <c r="E1739" i="1"/>
  <c r="F1738" i="1"/>
  <c r="E1738" i="1"/>
  <c r="E1750" i="1" s="1"/>
  <c r="H1736" i="1"/>
  <c r="F1736" i="1"/>
  <c r="E1736" i="1"/>
  <c r="E1734" i="1"/>
  <c r="F1734" i="1" s="1"/>
  <c r="F1733" i="1"/>
  <c r="E1733" i="1"/>
  <c r="E1727" i="1"/>
  <c r="F1727" i="1" s="1"/>
  <c r="E1726" i="1"/>
  <c r="F1726" i="1" s="1"/>
  <c r="F1724" i="1"/>
  <c r="E1724" i="1"/>
  <c r="C1724" i="1"/>
  <c r="E1723" i="1"/>
  <c r="F1723" i="1" s="1"/>
  <c r="F1722" i="1"/>
  <c r="E1722" i="1"/>
  <c r="A1721" i="1"/>
  <c r="E1718" i="1"/>
  <c r="F1718" i="1" s="1"/>
  <c r="F1717" i="1"/>
  <c r="E1717" i="1"/>
  <c r="E1715" i="1"/>
  <c r="C1715" i="1"/>
  <c r="F1715" i="1" s="1"/>
  <c r="E1714" i="1"/>
  <c r="F1714" i="1" s="1"/>
  <c r="E1713" i="1"/>
  <c r="F1713" i="1" s="1"/>
  <c r="F1708" i="1"/>
  <c r="E1708" i="1"/>
  <c r="F1707" i="1"/>
  <c r="E1707" i="1"/>
  <c r="E1705" i="1"/>
  <c r="F1705" i="1" s="1"/>
  <c r="C1705" i="1"/>
  <c r="F1704" i="1"/>
  <c r="E1704" i="1"/>
  <c r="F1703" i="1"/>
  <c r="E1703" i="1"/>
  <c r="C1702" i="1"/>
  <c r="F1698" i="1"/>
  <c r="E1698" i="1"/>
  <c r="E1696" i="1"/>
  <c r="F1696" i="1" s="1"/>
  <c r="C1696" i="1"/>
  <c r="F1695" i="1"/>
  <c r="E1695" i="1"/>
  <c r="E1694" i="1"/>
  <c r="F1694" i="1" s="1"/>
  <c r="C1693" i="1"/>
  <c r="E1683" i="1"/>
  <c r="F1683" i="1" s="1"/>
  <c r="C1676" i="1"/>
  <c r="C1674" i="1"/>
  <c r="F1673" i="1"/>
  <c r="E1669" i="1"/>
  <c r="F1668" i="1"/>
  <c r="E1668" i="1"/>
  <c r="C1665" i="1"/>
  <c r="F1663" i="1"/>
  <c r="E1663" i="1"/>
  <c r="E1674" i="1" s="1"/>
  <c r="C1663" i="1"/>
  <c r="F1662" i="1"/>
  <c r="E1662" i="1"/>
  <c r="E1658" i="1"/>
  <c r="F1658" i="1" s="1"/>
  <c r="F1657" i="1"/>
  <c r="E1657" i="1"/>
  <c r="E1667" i="1" s="1"/>
  <c r="C1655" i="1"/>
  <c r="E1653" i="1"/>
  <c r="F1653" i="1" s="1"/>
  <c r="C1653" i="1"/>
  <c r="E1648" i="1"/>
  <c r="F1648" i="1" s="1"/>
  <c r="E1647" i="1"/>
  <c r="F1647" i="1" s="1"/>
  <c r="F1645" i="1"/>
  <c r="E1645" i="1"/>
  <c r="E1655" i="1" s="1"/>
  <c r="C1645" i="1"/>
  <c r="E1643" i="1"/>
  <c r="C1643" i="1"/>
  <c r="F1643" i="1" s="1"/>
  <c r="F1638" i="1"/>
  <c r="E1638" i="1"/>
  <c r="F1637" i="1"/>
  <c r="E1636" i="1"/>
  <c r="F1636" i="1" s="1"/>
  <c r="F1635" i="1"/>
  <c r="E1635" i="1"/>
  <c r="E1633" i="1"/>
  <c r="C1633" i="1"/>
  <c r="F1633" i="1" s="1"/>
  <c r="F1632" i="1"/>
  <c r="E1632" i="1"/>
  <c r="C1632" i="1"/>
  <c r="E1631" i="1"/>
  <c r="F1631" i="1" s="1"/>
  <c r="C1631" i="1"/>
  <c r="C1630" i="1"/>
  <c r="E1624" i="1"/>
  <c r="F1624" i="1" s="1"/>
  <c r="C1621" i="1"/>
  <c r="C1620" i="1"/>
  <c r="C1619" i="1"/>
  <c r="XFC1618" i="1"/>
  <c r="XFB1618" i="1"/>
  <c r="XFA1618" i="1"/>
  <c r="XEZ1618" i="1"/>
  <c r="XEY1618" i="1"/>
  <c r="XEX1618" i="1"/>
  <c r="XEW1618" i="1"/>
  <c r="XEV1618" i="1"/>
  <c r="XEU1618" i="1"/>
  <c r="XET1618" i="1"/>
  <c r="XES1618" i="1"/>
  <c r="XER1618" i="1"/>
  <c r="XEQ1618" i="1"/>
  <c r="XEP1618" i="1"/>
  <c r="XEO1618" i="1"/>
  <c r="XEN1618" i="1"/>
  <c r="XEM1618" i="1"/>
  <c r="XEL1618" i="1"/>
  <c r="XEK1618" i="1"/>
  <c r="XEJ1618" i="1"/>
  <c r="XEI1618" i="1"/>
  <c r="XEH1618" i="1"/>
  <c r="XEG1618" i="1"/>
  <c r="XEF1618" i="1"/>
  <c r="XEE1618" i="1"/>
  <c r="XED1618" i="1"/>
  <c r="XEC1618" i="1"/>
  <c r="XEB1618" i="1"/>
  <c r="XEA1618" i="1"/>
  <c r="XDZ1618" i="1"/>
  <c r="XDY1618" i="1"/>
  <c r="XDX1618" i="1"/>
  <c r="XDW1618" i="1"/>
  <c r="XDV1618" i="1"/>
  <c r="XDU1618" i="1"/>
  <c r="XDT1618" i="1"/>
  <c r="XDS1618" i="1"/>
  <c r="XDR1618" i="1"/>
  <c r="XDQ1618" i="1"/>
  <c r="XDP1618" i="1"/>
  <c r="XDO1618" i="1"/>
  <c r="XDN1618" i="1"/>
  <c r="XDM1618" i="1"/>
  <c r="XDL1618" i="1"/>
  <c r="XDK1618" i="1"/>
  <c r="XDJ1618" i="1"/>
  <c r="XDI1618" i="1"/>
  <c r="XDH1618" i="1"/>
  <c r="XDG1618" i="1"/>
  <c r="XDF1618" i="1"/>
  <c r="XDE1618" i="1"/>
  <c r="XDD1618" i="1"/>
  <c r="XDC1618" i="1"/>
  <c r="XDB1618" i="1"/>
  <c r="XDA1618" i="1"/>
  <c r="XCZ1618" i="1"/>
  <c r="XCY1618" i="1"/>
  <c r="XCX1618" i="1"/>
  <c r="XCW1618" i="1"/>
  <c r="XCV1618" i="1"/>
  <c r="XCU1618" i="1"/>
  <c r="XCT1618" i="1"/>
  <c r="XCS1618" i="1"/>
  <c r="XCR1618" i="1"/>
  <c r="XCQ1618" i="1"/>
  <c r="XCP1618" i="1"/>
  <c r="XCO1618" i="1"/>
  <c r="XCN1618" i="1"/>
  <c r="XCM1618" i="1"/>
  <c r="XCL1618" i="1"/>
  <c r="XCK1618" i="1"/>
  <c r="XCJ1618" i="1"/>
  <c r="XCI1618" i="1"/>
  <c r="XCH1618" i="1"/>
  <c r="XCG1618" i="1"/>
  <c r="XCF1618" i="1"/>
  <c r="XCE1618" i="1"/>
  <c r="XCD1618" i="1"/>
  <c r="XCC1618" i="1"/>
  <c r="XCB1618" i="1"/>
  <c r="XCA1618" i="1"/>
  <c r="XBZ1618" i="1"/>
  <c r="XBY1618" i="1"/>
  <c r="XBX1618" i="1"/>
  <c r="XBW1618" i="1"/>
  <c r="XBV1618" i="1"/>
  <c r="XBU1618" i="1"/>
  <c r="XBT1618" i="1"/>
  <c r="XBS1618" i="1"/>
  <c r="XBR1618" i="1"/>
  <c r="XBQ1618" i="1"/>
  <c r="XBP1618" i="1"/>
  <c r="XBO1618" i="1"/>
  <c r="XBN1618" i="1"/>
  <c r="XBM1618" i="1"/>
  <c r="XBL1618" i="1"/>
  <c r="XBK1618" i="1"/>
  <c r="XBJ1618" i="1"/>
  <c r="XBI1618" i="1"/>
  <c r="XBH1618" i="1"/>
  <c r="XBG1618" i="1"/>
  <c r="XBF1618" i="1"/>
  <c r="XBE1618" i="1"/>
  <c r="XBD1618" i="1"/>
  <c r="XBC1618" i="1"/>
  <c r="XBB1618" i="1"/>
  <c r="XBA1618" i="1"/>
  <c r="XAZ1618" i="1"/>
  <c r="XAY1618" i="1"/>
  <c r="XAX1618" i="1"/>
  <c r="XAW1618" i="1"/>
  <c r="XAV1618" i="1"/>
  <c r="XAU1618" i="1"/>
  <c r="XAT1618" i="1"/>
  <c r="XAS1618" i="1"/>
  <c r="XAR1618" i="1"/>
  <c r="XAQ1618" i="1"/>
  <c r="XAP1618" i="1"/>
  <c r="XAO1618" i="1"/>
  <c r="XAN1618" i="1"/>
  <c r="XAM1618" i="1"/>
  <c r="XAL1618" i="1"/>
  <c r="XAK1618" i="1"/>
  <c r="XAJ1618" i="1"/>
  <c r="XAI1618" i="1"/>
  <c r="XAH1618" i="1"/>
  <c r="XAG1618" i="1"/>
  <c r="XAF1618" i="1"/>
  <c r="XAE1618" i="1"/>
  <c r="XAD1618" i="1"/>
  <c r="XAC1618" i="1"/>
  <c r="XAB1618" i="1"/>
  <c r="XAA1618" i="1"/>
  <c r="WZZ1618" i="1"/>
  <c r="WZY1618" i="1"/>
  <c r="WZX1618" i="1"/>
  <c r="WZW1618" i="1"/>
  <c r="WZV1618" i="1"/>
  <c r="WZU1618" i="1"/>
  <c r="WZT1618" i="1"/>
  <c r="WZS1618" i="1"/>
  <c r="WZR1618" i="1"/>
  <c r="WZQ1618" i="1"/>
  <c r="WZP1618" i="1"/>
  <c r="WZO1618" i="1"/>
  <c r="WZN1618" i="1"/>
  <c r="WZM1618" i="1"/>
  <c r="WZL1618" i="1"/>
  <c r="WZK1618" i="1"/>
  <c r="WZJ1618" i="1"/>
  <c r="WZI1618" i="1"/>
  <c r="WZH1618" i="1"/>
  <c r="WZG1618" i="1"/>
  <c r="WZF1618" i="1"/>
  <c r="WZE1618" i="1"/>
  <c r="WZD1618" i="1"/>
  <c r="WZC1618" i="1"/>
  <c r="WZB1618" i="1"/>
  <c r="WZA1618" i="1"/>
  <c r="WYZ1618" i="1"/>
  <c r="WYY1618" i="1"/>
  <c r="WYX1618" i="1"/>
  <c r="WYW1618" i="1"/>
  <c r="WYV1618" i="1"/>
  <c r="WYU1618" i="1"/>
  <c r="WYT1618" i="1"/>
  <c r="WYS1618" i="1"/>
  <c r="WYR1618" i="1"/>
  <c r="WYQ1618" i="1"/>
  <c r="WYP1618" i="1"/>
  <c r="WYO1618" i="1"/>
  <c r="WYN1618" i="1"/>
  <c r="WYM1618" i="1"/>
  <c r="WYL1618" i="1"/>
  <c r="WYK1618" i="1"/>
  <c r="WYJ1618" i="1"/>
  <c r="WYI1618" i="1"/>
  <c r="WYH1618" i="1"/>
  <c r="WYG1618" i="1"/>
  <c r="WYF1618" i="1"/>
  <c r="WYE1618" i="1"/>
  <c r="WYD1618" i="1"/>
  <c r="WYC1618" i="1"/>
  <c r="WYB1618" i="1"/>
  <c r="WYA1618" i="1"/>
  <c r="WXZ1618" i="1"/>
  <c r="WXY1618" i="1"/>
  <c r="WXX1618" i="1"/>
  <c r="WXW1618" i="1"/>
  <c r="WXV1618" i="1"/>
  <c r="WXU1618" i="1"/>
  <c r="WXT1618" i="1"/>
  <c r="WXS1618" i="1"/>
  <c r="WXR1618" i="1"/>
  <c r="WXQ1618" i="1"/>
  <c r="WXP1618" i="1"/>
  <c r="WXO1618" i="1"/>
  <c r="WXN1618" i="1"/>
  <c r="WXM1618" i="1"/>
  <c r="WXL1618" i="1"/>
  <c r="WXK1618" i="1"/>
  <c r="WXJ1618" i="1"/>
  <c r="WXI1618" i="1"/>
  <c r="WXH1618" i="1"/>
  <c r="WXG1618" i="1"/>
  <c r="WXF1618" i="1"/>
  <c r="WXE1618" i="1"/>
  <c r="WXD1618" i="1"/>
  <c r="WXC1618" i="1"/>
  <c r="WXB1618" i="1"/>
  <c r="WXA1618" i="1"/>
  <c r="WWZ1618" i="1"/>
  <c r="WWY1618" i="1"/>
  <c r="WWX1618" i="1"/>
  <c r="WWW1618" i="1"/>
  <c r="WWV1618" i="1"/>
  <c r="WWU1618" i="1"/>
  <c r="WWT1618" i="1"/>
  <c r="WWS1618" i="1"/>
  <c r="WWR1618" i="1"/>
  <c r="WWQ1618" i="1"/>
  <c r="WWP1618" i="1"/>
  <c r="WWO1618" i="1"/>
  <c r="WWN1618" i="1"/>
  <c r="WWM1618" i="1"/>
  <c r="WWL1618" i="1"/>
  <c r="WWK1618" i="1"/>
  <c r="WWJ1618" i="1"/>
  <c r="WWI1618" i="1"/>
  <c r="WWH1618" i="1"/>
  <c r="WWG1618" i="1"/>
  <c r="WWF1618" i="1"/>
  <c r="WWE1618" i="1"/>
  <c r="WWD1618" i="1"/>
  <c r="WWC1618" i="1"/>
  <c r="WWB1618" i="1"/>
  <c r="WWA1618" i="1"/>
  <c r="WVZ1618" i="1"/>
  <c r="WVY1618" i="1"/>
  <c r="WVX1618" i="1"/>
  <c r="WVW1618" i="1"/>
  <c r="WVV1618" i="1"/>
  <c r="WVU1618" i="1"/>
  <c r="WVT1618" i="1"/>
  <c r="WVS1618" i="1"/>
  <c r="WVR1618" i="1"/>
  <c r="WVQ1618" i="1"/>
  <c r="WVP1618" i="1"/>
  <c r="WVO1618" i="1"/>
  <c r="WVN1618" i="1"/>
  <c r="WVM1618" i="1"/>
  <c r="WVL1618" i="1"/>
  <c r="WVK1618" i="1"/>
  <c r="WVJ1618" i="1"/>
  <c r="WVI1618" i="1"/>
  <c r="WVH1618" i="1"/>
  <c r="WVG1618" i="1"/>
  <c r="WVF1618" i="1"/>
  <c r="WVE1618" i="1"/>
  <c r="WVD1618" i="1"/>
  <c r="WVC1618" i="1"/>
  <c r="WVB1618" i="1"/>
  <c r="WVA1618" i="1"/>
  <c r="WUZ1618" i="1"/>
  <c r="WUY1618" i="1"/>
  <c r="WUX1618" i="1"/>
  <c r="WUW1618" i="1"/>
  <c r="WUV1618" i="1"/>
  <c r="WUU1618" i="1"/>
  <c r="WUT1618" i="1"/>
  <c r="WUS1618" i="1"/>
  <c r="WUR1618" i="1"/>
  <c r="WUQ1618" i="1"/>
  <c r="WUP1618" i="1"/>
  <c r="WUO1618" i="1"/>
  <c r="WUN1618" i="1"/>
  <c r="WUM1618" i="1"/>
  <c r="WUL1618" i="1"/>
  <c r="WUK1618" i="1"/>
  <c r="WUJ1618" i="1"/>
  <c r="WUI1618" i="1"/>
  <c r="WUH1618" i="1"/>
  <c r="WUG1618" i="1"/>
  <c r="WUF1618" i="1"/>
  <c r="WUE1618" i="1"/>
  <c r="WUD1618" i="1"/>
  <c r="WUC1618" i="1"/>
  <c r="WUB1618" i="1"/>
  <c r="WUA1618" i="1"/>
  <c r="WTZ1618" i="1"/>
  <c r="WTY1618" i="1"/>
  <c r="WTX1618" i="1"/>
  <c r="WTW1618" i="1"/>
  <c r="WTV1618" i="1"/>
  <c r="WTU1618" i="1"/>
  <c r="WTT1618" i="1"/>
  <c r="WTS1618" i="1"/>
  <c r="WTR1618" i="1"/>
  <c r="WTQ1618" i="1"/>
  <c r="WTP1618" i="1"/>
  <c r="WTO1618" i="1"/>
  <c r="WTN1618" i="1"/>
  <c r="WTM1618" i="1"/>
  <c r="WTL1618" i="1"/>
  <c r="WTK1618" i="1"/>
  <c r="WTJ1618" i="1"/>
  <c r="WTI1618" i="1"/>
  <c r="WTH1618" i="1"/>
  <c r="WTG1618" i="1"/>
  <c r="WTF1618" i="1"/>
  <c r="WTE1618" i="1"/>
  <c r="WTD1618" i="1"/>
  <c r="WTC1618" i="1"/>
  <c r="WTB1618" i="1"/>
  <c r="WTA1618" i="1"/>
  <c r="WSZ1618" i="1"/>
  <c r="WSY1618" i="1"/>
  <c r="WSX1618" i="1"/>
  <c r="WSW1618" i="1"/>
  <c r="WSV1618" i="1"/>
  <c r="WSU1618" i="1"/>
  <c r="WST1618" i="1"/>
  <c r="WSS1618" i="1"/>
  <c r="WSR1618" i="1"/>
  <c r="WSQ1618" i="1"/>
  <c r="WSP1618" i="1"/>
  <c r="WSO1618" i="1"/>
  <c r="WSN1618" i="1"/>
  <c r="WSM1618" i="1"/>
  <c r="WSL1618" i="1"/>
  <c r="WSK1618" i="1"/>
  <c r="WSJ1618" i="1"/>
  <c r="WSI1618" i="1"/>
  <c r="WSH1618" i="1"/>
  <c r="WSG1618" i="1"/>
  <c r="WSF1618" i="1"/>
  <c r="WSE1618" i="1"/>
  <c r="WSD1618" i="1"/>
  <c r="WSC1618" i="1"/>
  <c r="WSB1618" i="1"/>
  <c r="WSA1618" i="1"/>
  <c r="WRZ1618" i="1"/>
  <c r="WRY1618" i="1"/>
  <c r="WRX1618" i="1"/>
  <c r="WRW1618" i="1"/>
  <c r="WRV1618" i="1"/>
  <c r="WRU1618" i="1"/>
  <c r="WRT1618" i="1"/>
  <c r="WRS1618" i="1"/>
  <c r="WRR1618" i="1"/>
  <c r="WRQ1618" i="1"/>
  <c r="WRP1618" i="1"/>
  <c r="WRO1618" i="1"/>
  <c r="WRN1618" i="1"/>
  <c r="WRM1618" i="1"/>
  <c r="WRL1618" i="1"/>
  <c r="WRK1618" i="1"/>
  <c r="WRJ1618" i="1"/>
  <c r="WRI1618" i="1"/>
  <c r="WRH1618" i="1"/>
  <c r="WRG1618" i="1"/>
  <c r="WRF1618" i="1"/>
  <c r="WRE1618" i="1"/>
  <c r="WRD1618" i="1"/>
  <c r="WRC1618" i="1"/>
  <c r="WRB1618" i="1"/>
  <c r="WRA1618" i="1"/>
  <c r="WQZ1618" i="1"/>
  <c r="WQY1618" i="1"/>
  <c r="WQX1618" i="1"/>
  <c r="WQW1618" i="1"/>
  <c r="WQV1618" i="1"/>
  <c r="WQU1618" i="1"/>
  <c r="WQT1618" i="1"/>
  <c r="WQS1618" i="1"/>
  <c r="WQR1618" i="1"/>
  <c r="WQQ1618" i="1"/>
  <c r="WQP1618" i="1"/>
  <c r="WQO1618" i="1"/>
  <c r="WQN1618" i="1"/>
  <c r="WQM1618" i="1"/>
  <c r="WQL1618" i="1"/>
  <c r="WQK1618" i="1"/>
  <c r="WQJ1618" i="1"/>
  <c r="WQI1618" i="1"/>
  <c r="WQH1618" i="1"/>
  <c r="WQG1618" i="1"/>
  <c r="WQF1618" i="1"/>
  <c r="WQE1618" i="1"/>
  <c r="WQD1618" i="1"/>
  <c r="WQC1618" i="1"/>
  <c r="WQB1618" i="1"/>
  <c r="WQA1618" i="1"/>
  <c r="WPZ1618" i="1"/>
  <c r="WPY1618" i="1"/>
  <c r="WPX1618" i="1"/>
  <c r="WPW1618" i="1"/>
  <c r="WPV1618" i="1"/>
  <c r="WPU1618" i="1"/>
  <c r="WPT1618" i="1"/>
  <c r="WPS1618" i="1"/>
  <c r="WPR1618" i="1"/>
  <c r="WPQ1618" i="1"/>
  <c r="WPP1618" i="1"/>
  <c r="WPO1618" i="1"/>
  <c r="WPN1618" i="1"/>
  <c r="WPM1618" i="1"/>
  <c r="WPL1618" i="1"/>
  <c r="WPK1618" i="1"/>
  <c r="WPJ1618" i="1"/>
  <c r="WPI1618" i="1"/>
  <c r="WPH1618" i="1"/>
  <c r="WPG1618" i="1"/>
  <c r="WPF1618" i="1"/>
  <c r="WPE1618" i="1"/>
  <c r="WPD1618" i="1"/>
  <c r="WPC1618" i="1"/>
  <c r="WPB1618" i="1"/>
  <c r="WPA1618" i="1"/>
  <c r="WOZ1618" i="1"/>
  <c r="WOY1618" i="1"/>
  <c r="WOX1618" i="1"/>
  <c r="WOW1618" i="1"/>
  <c r="WOV1618" i="1"/>
  <c r="WOU1618" i="1"/>
  <c r="WOT1618" i="1"/>
  <c r="WOS1618" i="1"/>
  <c r="WOR1618" i="1"/>
  <c r="WOQ1618" i="1"/>
  <c r="WOP1618" i="1"/>
  <c r="WOO1618" i="1"/>
  <c r="WON1618" i="1"/>
  <c r="WOM1618" i="1"/>
  <c r="WOL1618" i="1"/>
  <c r="WOK1618" i="1"/>
  <c r="WOJ1618" i="1"/>
  <c r="WOI1618" i="1"/>
  <c r="WOH1618" i="1"/>
  <c r="WOG1618" i="1"/>
  <c r="WOF1618" i="1"/>
  <c r="WOE1618" i="1"/>
  <c r="WOD1618" i="1"/>
  <c r="WOC1618" i="1"/>
  <c r="WOB1618" i="1"/>
  <c r="WOA1618" i="1"/>
  <c r="WNZ1618" i="1"/>
  <c r="WNY1618" i="1"/>
  <c r="WNX1618" i="1"/>
  <c r="WNW1618" i="1"/>
  <c r="WNV1618" i="1"/>
  <c r="WNU1618" i="1"/>
  <c r="WNT1618" i="1"/>
  <c r="WNS1618" i="1"/>
  <c r="WNR1618" i="1"/>
  <c r="WNQ1618" i="1"/>
  <c r="WNP1618" i="1"/>
  <c r="WNO1618" i="1"/>
  <c r="WNN1618" i="1"/>
  <c r="WNM1618" i="1"/>
  <c r="WNL1618" i="1"/>
  <c r="WNK1618" i="1"/>
  <c r="WNJ1618" i="1"/>
  <c r="WNI1618" i="1"/>
  <c r="WNH1618" i="1"/>
  <c r="WNG1618" i="1"/>
  <c r="WNF1618" i="1"/>
  <c r="WNE1618" i="1"/>
  <c r="WND1618" i="1"/>
  <c r="WNC1618" i="1"/>
  <c r="WNB1618" i="1"/>
  <c r="WNA1618" i="1"/>
  <c r="WMZ1618" i="1"/>
  <c r="WMY1618" i="1"/>
  <c r="WMX1618" i="1"/>
  <c r="WMW1618" i="1"/>
  <c r="WMV1618" i="1"/>
  <c r="WMU1618" i="1"/>
  <c r="WMT1618" i="1"/>
  <c r="WMS1618" i="1"/>
  <c r="WMR1618" i="1"/>
  <c r="WMQ1618" i="1"/>
  <c r="WMP1618" i="1"/>
  <c r="WMO1618" i="1"/>
  <c r="WMN1618" i="1"/>
  <c r="WMM1618" i="1"/>
  <c r="WML1618" i="1"/>
  <c r="WMK1618" i="1"/>
  <c r="WMJ1618" i="1"/>
  <c r="WMI1618" i="1"/>
  <c r="WMH1618" i="1"/>
  <c r="WMG1618" i="1"/>
  <c r="WMF1618" i="1"/>
  <c r="WME1618" i="1"/>
  <c r="WMD1618" i="1"/>
  <c r="WMC1618" i="1"/>
  <c r="WMB1618" i="1"/>
  <c r="WMA1618" i="1"/>
  <c r="WLZ1618" i="1"/>
  <c r="WLY1618" i="1"/>
  <c r="WLX1618" i="1"/>
  <c r="WLW1618" i="1"/>
  <c r="WLV1618" i="1"/>
  <c r="WLU1618" i="1"/>
  <c r="WLT1618" i="1"/>
  <c r="WLS1618" i="1"/>
  <c r="WLR1618" i="1"/>
  <c r="WLQ1618" i="1"/>
  <c r="WLP1618" i="1"/>
  <c r="WLO1618" i="1"/>
  <c r="WLN1618" i="1"/>
  <c r="WLM1618" i="1"/>
  <c r="WLL1618" i="1"/>
  <c r="WLK1618" i="1"/>
  <c r="WLJ1618" i="1"/>
  <c r="WLI1618" i="1"/>
  <c r="WLH1618" i="1"/>
  <c r="WLG1618" i="1"/>
  <c r="WLF1618" i="1"/>
  <c r="WLE1618" i="1"/>
  <c r="WLD1618" i="1"/>
  <c r="WLC1618" i="1"/>
  <c r="WLB1618" i="1"/>
  <c r="WLA1618" i="1"/>
  <c r="WKZ1618" i="1"/>
  <c r="WKY1618" i="1"/>
  <c r="WKX1618" i="1"/>
  <c r="WKW1618" i="1"/>
  <c r="WKV1618" i="1"/>
  <c r="WKU1618" i="1"/>
  <c r="WKT1618" i="1"/>
  <c r="WKS1618" i="1"/>
  <c r="WKR1618" i="1"/>
  <c r="WKQ1618" i="1"/>
  <c r="WKP1618" i="1"/>
  <c r="WKO1618" i="1"/>
  <c r="WKN1618" i="1"/>
  <c r="WKM1618" i="1"/>
  <c r="WKL1618" i="1"/>
  <c r="WKK1618" i="1"/>
  <c r="WKJ1618" i="1"/>
  <c r="WKI1618" i="1"/>
  <c r="WKH1618" i="1"/>
  <c r="WKG1618" i="1"/>
  <c r="WKF1618" i="1"/>
  <c r="WKE1618" i="1"/>
  <c r="WKD1618" i="1"/>
  <c r="WKC1618" i="1"/>
  <c r="WKB1618" i="1"/>
  <c r="WKA1618" i="1"/>
  <c r="WJZ1618" i="1"/>
  <c r="WJY1618" i="1"/>
  <c r="WJX1618" i="1"/>
  <c r="WJW1618" i="1"/>
  <c r="WJV1618" i="1"/>
  <c r="WJU1618" i="1"/>
  <c r="WJT1618" i="1"/>
  <c r="WJS1618" i="1"/>
  <c r="WJR1618" i="1"/>
  <c r="WJQ1618" i="1"/>
  <c r="WJP1618" i="1"/>
  <c r="WJO1618" i="1"/>
  <c r="WJN1618" i="1"/>
  <c r="WJM1618" i="1"/>
  <c r="WJL1618" i="1"/>
  <c r="WJK1618" i="1"/>
  <c r="WJJ1618" i="1"/>
  <c r="WJI1618" i="1"/>
  <c r="WJH1618" i="1"/>
  <c r="WJG1618" i="1"/>
  <c r="WJF1618" i="1"/>
  <c r="WJE1618" i="1"/>
  <c r="WJD1618" i="1"/>
  <c r="WJC1618" i="1"/>
  <c r="WJB1618" i="1"/>
  <c r="WJA1618" i="1"/>
  <c r="WIZ1618" i="1"/>
  <c r="WIY1618" i="1"/>
  <c r="WIX1618" i="1"/>
  <c r="WIW1618" i="1"/>
  <c r="WIV1618" i="1"/>
  <c r="WIU1618" i="1"/>
  <c r="WIT1618" i="1"/>
  <c r="WIS1618" i="1"/>
  <c r="WIR1618" i="1"/>
  <c r="WIQ1618" i="1"/>
  <c r="WIP1618" i="1"/>
  <c r="WIO1618" i="1"/>
  <c r="WIN1618" i="1"/>
  <c r="WIM1618" i="1"/>
  <c r="WIL1618" i="1"/>
  <c r="WIK1618" i="1"/>
  <c r="WIJ1618" i="1"/>
  <c r="WII1618" i="1"/>
  <c r="WIH1618" i="1"/>
  <c r="WIG1618" i="1"/>
  <c r="WIF1618" i="1"/>
  <c r="WIE1618" i="1"/>
  <c r="WID1618" i="1"/>
  <c r="WIC1618" i="1"/>
  <c r="WIB1618" i="1"/>
  <c r="WIA1618" i="1"/>
  <c r="WHZ1618" i="1"/>
  <c r="WHY1618" i="1"/>
  <c r="WHX1618" i="1"/>
  <c r="WHW1618" i="1"/>
  <c r="WHV1618" i="1"/>
  <c r="WHU1618" i="1"/>
  <c r="WHT1618" i="1"/>
  <c r="WHS1618" i="1"/>
  <c r="WHR1618" i="1"/>
  <c r="WHQ1618" i="1"/>
  <c r="WHP1618" i="1"/>
  <c r="WHO1618" i="1"/>
  <c r="WHN1618" i="1"/>
  <c r="WHM1618" i="1"/>
  <c r="WHL1618" i="1"/>
  <c r="WHK1618" i="1"/>
  <c r="WHJ1618" i="1"/>
  <c r="WHI1618" i="1"/>
  <c r="WHH1618" i="1"/>
  <c r="WHG1618" i="1"/>
  <c r="WHF1618" i="1"/>
  <c r="WHE1618" i="1"/>
  <c r="WHD1618" i="1"/>
  <c r="WHC1618" i="1"/>
  <c r="WHB1618" i="1"/>
  <c r="WHA1618" i="1"/>
  <c r="WGZ1618" i="1"/>
  <c r="WGY1618" i="1"/>
  <c r="WGX1618" i="1"/>
  <c r="WGW1618" i="1"/>
  <c r="WGV1618" i="1"/>
  <c r="WGU1618" i="1"/>
  <c r="WGT1618" i="1"/>
  <c r="WGS1618" i="1"/>
  <c r="WGR1618" i="1"/>
  <c r="WGQ1618" i="1"/>
  <c r="WGP1618" i="1"/>
  <c r="WGO1618" i="1"/>
  <c r="WGN1618" i="1"/>
  <c r="WGM1618" i="1"/>
  <c r="WGL1618" i="1"/>
  <c r="WGK1618" i="1"/>
  <c r="WGJ1618" i="1"/>
  <c r="WGI1618" i="1"/>
  <c r="WGH1618" i="1"/>
  <c r="WGG1618" i="1"/>
  <c r="WGF1618" i="1"/>
  <c r="WGE1618" i="1"/>
  <c r="WGD1618" i="1"/>
  <c r="WGC1618" i="1"/>
  <c r="WGB1618" i="1"/>
  <c r="WGA1618" i="1"/>
  <c r="WFZ1618" i="1"/>
  <c r="WFY1618" i="1"/>
  <c r="WFX1618" i="1"/>
  <c r="WFW1618" i="1"/>
  <c r="WFV1618" i="1"/>
  <c r="WFU1618" i="1"/>
  <c r="WFT1618" i="1"/>
  <c r="WFS1618" i="1"/>
  <c r="WFR1618" i="1"/>
  <c r="WFQ1618" i="1"/>
  <c r="WFP1618" i="1"/>
  <c r="WFO1618" i="1"/>
  <c r="WFN1618" i="1"/>
  <c r="WFM1618" i="1"/>
  <c r="WFL1618" i="1"/>
  <c r="WFK1618" i="1"/>
  <c r="WFJ1618" i="1"/>
  <c r="WFI1618" i="1"/>
  <c r="WFH1618" i="1"/>
  <c r="WFG1618" i="1"/>
  <c r="WFF1618" i="1"/>
  <c r="WFE1618" i="1"/>
  <c r="WFD1618" i="1"/>
  <c r="WFC1618" i="1"/>
  <c r="WFB1618" i="1"/>
  <c r="WFA1618" i="1"/>
  <c r="WEZ1618" i="1"/>
  <c r="WEY1618" i="1"/>
  <c r="WEX1618" i="1"/>
  <c r="WEW1618" i="1"/>
  <c r="WEV1618" i="1"/>
  <c r="WEU1618" i="1"/>
  <c r="WET1618" i="1"/>
  <c r="WES1618" i="1"/>
  <c r="WER1618" i="1"/>
  <c r="WEQ1618" i="1"/>
  <c r="WEP1618" i="1"/>
  <c r="WEO1618" i="1"/>
  <c r="WEN1618" i="1"/>
  <c r="WEM1618" i="1"/>
  <c r="WEL1618" i="1"/>
  <c r="WEK1618" i="1"/>
  <c r="WEJ1618" i="1"/>
  <c r="WEI1618" i="1"/>
  <c r="WEH1618" i="1"/>
  <c r="WEG1618" i="1"/>
  <c r="WEF1618" i="1"/>
  <c r="WEE1618" i="1"/>
  <c r="WED1618" i="1"/>
  <c r="WEC1618" i="1"/>
  <c r="WEB1618" i="1"/>
  <c r="WEA1618" i="1"/>
  <c r="WDZ1618" i="1"/>
  <c r="WDY1618" i="1"/>
  <c r="WDX1618" i="1"/>
  <c r="WDW1618" i="1"/>
  <c r="WDV1618" i="1"/>
  <c r="WDU1618" i="1"/>
  <c r="WDT1618" i="1"/>
  <c r="WDS1618" i="1"/>
  <c r="WDR1618" i="1"/>
  <c r="WDQ1618" i="1"/>
  <c r="WDP1618" i="1"/>
  <c r="WDO1618" i="1"/>
  <c r="WDN1618" i="1"/>
  <c r="WDM1618" i="1"/>
  <c r="WDL1618" i="1"/>
  <c r="WDK1618" i="1"/>
  <c r="WDJ1618" i="1"/>
  <c r="WDI1618" i="1"/>
  <c r="WDH1618" i="1"/>
  <c r="WDG1618" i="1"/>
  <c r="WDF1618" i="1"/>
  <c r="WDE1618" i="1"/>
  <c r="WDD1618" i="1"/>
  <c r="WDC1618" i="1"/>
  <c r="WDB1618" i="1"/>
  <c r="WDA1618" i="1"/>
  <c r="WCZ1618" i="1"/>
  <c r="WCY1618" i="1"/>
  <c r="WCX1618" i="1"/>
  <c r="WCW1618" i="1"/>
  <c r="WCV1618" i="1"/>
  <c r="WCU1618" i="1"/>
  <c r="WCT1618" i="1"/>
  <c r="WCS1618" i="1"/>
  <c r="WCR1618" i="1"/>
  <c r="WCQ1618" i="1"/>
  <c r="WCP1618" i="1"/>
  <c r="WCO1618" i="1"/>
  <c r="WCN1618" i="1"/>
  <c r="WCM1618" i="1"/>
  <c r="WCL1618" i="1"/>
  <c r="WCK1618" i="1"/>
  <c r="WCJ1618" i="1"/>
  <c r="WCI1618" i="1"/>
  <c r="WCH1618" i="1"/>
  <c r="WCG1618" i="1"/>
  <c r="WCF1618" i="1"/>
  <c r="WCE1618" i="1"/>
  <c r="WCD1618" i="1"/>
  <c r="WCC1618" i="1"/>
  <c r="WCB1618" i="1"/>
  <c r="WCA1618" i="1"/>
  <c r="WBZ1618" i="1"/>
  <c r="WBY1618" i="1"/>
  <c r="WBX1618" i="1"/>
  <c r="WBW1618" i="1"/>
  <c r="WBV1618" i="1"/>
  <c r="WBU1618" i="1"/>
  <c r="WBT1618" i="1"/>
  <c r="WBS1618" i="1"/>
  <c r="WBR1618" i="1"/>
  <c r="WBQ1618" i="1"/>
  <c r="WBP1618" i="1"/>
  <c r="WBO1618" i="1"/>
  <c r="WBN1618" i="1"/>
  <c r="WBM1618" i="1"/>
  <c r="WBL1618" i="1"/>
  <c r="WBK1618" i="1"/>
  <c r="WBJ1618" i="1"/>
  <c r="WBI1618" i="1"/>
  <c r="WBH1618" i="1"/>
  <c r="WBG1618" i="1"/>
  <c r="WBF1618" i="1"/>
  <c r="WBE1618" i="1"/>
  <c r="WBD1618" i="1"/>
  <c r="WBC1618" i="1"/>
  <c r="WBB1618" i="1"/>
  <c r="WBA1618" i="1"/>
  <c r="WAZ1618" i="1"/>
  <c r="WAY1618" i="1"/>
  <c r="WAX1618" i="1"/>
  <c r="WAW1618" i="1"/>
  <c r="WAV1618" i="1"/>
  <c r="WAU1618" i="1"/>
  <c r="WAT1618" i="1"/>
  <c r="WAS1618" i="1"/>
  <c r="WAR1618" i="1"/>
  <c r="WAQ1618" i="1"/>
  <c r="WAP1618" i="1"/>
  <c r="WAO1618" i="1"/>
  <c r="WAN1618" i="1"/>
  <c r="WAM1618" i="1"/>
  <c r="WAL1618" i="1"/>
  <c r="WAK1618" i="1"/>
  <c r="WAJ1618" i="1"/>
  <c r="WAI1618" i="1"/>
  <c r="WAH1618" i="1"/>
  <c r="WAG1618" i="1"/>
  <c r="WAF1618" i="1"/>
  <c r="WAE1618" i="1"/>
  <c r="WAD1618" i="1"/>
  <c r="WAC1618" i="1"/>
  <c r="WAB1618" i="1"/>
  <c r="WAA1618" i="1"/>
  <c r="VZZ1618" i="1"/>
  <c r="VZY1618" i="1"/>
  <c r="VZX1618" i="1"/>
  <c r="VZW1618" i="1"/>
  <c r="VZV1618" i="1"/>
  <c r="VZU1618" i="1"/>
  <c r="VZT1618" i="1"/>
  <c r="VZS1618" i="1"/>
  <c r="VZR1618" i="1"/>
  <c r="VZQ1618" i="1"/>
  <c r="VZP1618" i="1"/>
  <c r="VZO1618" i="1"/>
  <c r="VZN1618" i="1"/>
  <c r="VZM1618" i="1"/>
  <c r="VZL1618" i="1"/>
  <c r="VZK1618" i="1"/>
  <c r="VZJ1618" i="1"/>
  <c r="VZI1618" i="1"/>
  <c r="VZH1618" i="1"/>
  <c r="VZG1618" i="1"/>
  <c r="VZF1618" i="1"/>
  <c r="VZE1618" i="1"/>
  <c r="VZD1618" i="1"/>
  <c r="VZC1618" i="1"/>
  <c r="VZB1618" i="1"/>
  <c r="VZA1618" i="1"/>
  <c r="VYZ1618" i="1"/>
  <c r="VYY1618" i="1"/>
  <c r="VYX1618" i="1"/>
  <c r="VYW1618" i="1"/>
  <c r="VYV1618" i="1"/>
  <c r="VYU1618" i="1"/>
  <c r="VYT1618" i="1"/>
  <c r="VYS1618" i="1"/>
  <c r="VYR1618" i="1"/>
  <c r="VYQ1618" i="1"/>
  <c r="VYP1618" i="1"/>
  <c r="VYO1618" i="1"/>
  <c r="VYN1618" i="1"/>
  <c r="VYM1618" i="1"/>
  <c r="VYL1618" i="1"/>
  <c r="VYK1618" i="1"/>
  <c r="VYJ1618" i="1"/>
  <c r="VYI1618" i="1"/>
  <c r="VYH1618" i="1"/>
  <c r="VYG1618" i="1"/>
  <c r="VYF1618" i="1"/>
  <c r="VYE1618" i="1"/>
  <c r="VYD1618" i="1"/>
  <c r="VYC1618" i="1"/>
  <c r="VYB1618" i="1"/>
  <c r="VYA1618" i="1"/>
  <c r="VXZ1618" i="1"/>
  <c r="VXY1618" i="1"/>
  <c r="VXX1618" i="1"/>
  <c r="VXW1618" i="1"/>
  <c r="VXV1618" i="1"/>
  <c r="VXU1618" i="1"/>
  <c r="VXT1618" i="1"/>
  <c r="VXS1618" i="1"/>
  <c r="VXR1618" i="1"/>
  <c r="VXQ1618" i="1"/>
  <c r="VXP1618" i="1"/>
  <c r="VXO1618" i="1"/>
  <c r="VXN1618" i="1"/>
  <c r="VXM1618" i="1"/>
  <c r="VXL1618" i="1"/>
  <c r="VXK1618" i="1"/>
  <c r="VXJ1618" i="1"/>
  <c r="VXI1618" i="1"/>
  <c r="VXH1618" i="1"/>
  <c r="VXG1618" i="1"/>
  <c r="VXF1618" i="1"/>
  <c r="VXE1618" i="1"/>
  <c r="VXD1618" i="1"/>
  <c r="VXC1618" i="1"/>
  <c r="VXB1618" i="1"/>
  <c r="VXA1618" i="1"/>
  <c r="VWZ1618" i="1"/>
  <c r="VWY1618" i="1"/>
  <c r="VWX1618" i="1"/>
  <c r="VWW1618" i="1"/>
  <c r="VWV1618" i="1"/>
  <c r="VWU1618" i="1"/>
  <c r="VWT1618" i="1"/>
  <c r="VWS1618" i="1"/>
  <c r="VWR1618" i="1"/>
  <c r="VWQ1618" i="1"/>
  <c r="VWP1618" i="1"/>
  <c r="VWO1618" i="1"/>
  <c r="VWN1618" i="1"/>
  <c r="VWM1618" i="1"/>
  <c r="VWL1618" i="1"/>
  <c r="VWK1618" i="1"/>
  <c r="VWJ1618" i="1"/>
  <c r="VWI1618" i="1"/>
  <c r="VWH1618" i="1"/>
  <c r="VWG1618" i="1"/>
  <c r="VWF1618" i="1"/>
  <c r="VWE1618" i="1"/>
  <c r="VWD1618" i="1"/>
  <c r="VWC1618" i="1"/>
  <c r="VWB1618" i="1"/>
  <c r="VWA1618" i="1"/>
  <c r="VVZ1618" i="1"/>
  <c r="VVY1618" i="1"/>
  <c r="VVX1618" i="1"/>
  <c r="VVW1618" i="1"/>
  <c r="VVV1618" i="1"/>
  <c r="VVU1618" i="1"/>
  <c r="VVT1618" i="1"/>
  <c r="VVS1618" i="1"/>
  <c r="VVR1618" i="1"/>
  <c r="VVQ1618" i="1"/>
  <c r="VVP1618" i="1"/>
  <c r="VVO1618" i="1"/>
  <c r="VVN1618" i="1"/>
  <c r="VVM1618" i="1"/>
  <c r="VVL1618" i="1"/>
  <c r="VVK1618" i="1"/>
  <c r="VVJ1618" i="1"/>
  <c r="VVI1618" i="1"/>
  <c r="VVH1618" i="1"/>
  <c r="VVG1618" i="1"/>
  <c r="VVF1618" i="1"/>
  <c r="VVE1618" i="1"/>
  <c r="VVD1618" i="1"/>
  <c r="VVC1618" i="1"/>
  <c r="VVB1618" i="1"/>
  <c r="VVA1618" i="1"/>
  <c r="VUZ1618" i="1"/>
  <c r="VUY1618" i="1"/>
  <c r="VUX1618" i="1"/>
  <c r="VUW1618" i="1"/>
  <c r="VUV1618" i="1"/>
  <c r="VUU1618" i="1"/>
  <c r="VUT1618" i="1"/>
  <c r="VUS1618" i="1"/>
  <c r="VUR1618" i="1"/>
  <c r="VUQ1618" i="1"/>
  <c r="VUP1618" i="1"/>
  <c r="VUO1618" i="1"/>
  <c r="VUN1618" i="1"/>
  <c r="VUM1618" i="1"/>
  <c r="VUL1618" i="1"/>
  <c r="VUK1618" i="1"/>
  <c r="VUJ1618" i="1"/>
  <c r="VUI1618" i="1"/>
  <c r="VUH1618" i="1"/>
  <c r="VUG1618" i="1"/>
  <c r="VUF1618" i="1"/>
  <c r="VUE1618" i="1"/>
  <c r="VUD1618" i="1"/>
  <c r="VUC1618" i="1"/>
  <c r="VUB1618" i="1"/>
  <c r="VUA1618" i="1"/>
  <c r="VTZ1618" i="1"/>
  <c r="VTY1618" i="1"/>
  <c r="VTX1618" i="1"/>
  <c r="VTW1618" i="1"/>
  <c r="VTV1618" i="1"/>
  <c r="VTU1618" i="1"/>
  <c r="VTT1618" i="1"/>
  <c r="VTS1618" i="1"/>
  <c r="VTR1618" i="1"/>
  <c r="VTQ1618" i="1"/>
  <c r="VTP1618" i="1"/>
  <c r="VTO1618" i="1"/>
  <c r="VTN1618" i="1"/>
  <c r="VTM1618" i="1"/>
  <c r="VTL1618" i="1"/>
  <c r="VTK1618" i="1"/>
  <c r="VTJ1618" i="1"/>
  <c r="VTI1618" i="1"/>
  <c r="VTH1618" i="1"/>
  <c r="VTG1618" i="1"/>
  <c r="VTF1618" i="1"/>
  <c r="VTE1618" i="1"/>
  <c r="VTD1618" i="1"/>
  <c r="VTC1618" i="1"/>
  <c r="VTB1618" i="1"/>
  <c r="VTA1618" i="1"/>
  <c r="VSZ1618" i="1"/>
  <c r="VSY1618" i="1"/>
  <c r="VSX1618" i="1"/>
  <c r="VSW1618" i="1"/>
  <c r="VSV1618" i="1"/>
  <c r="VSU1618" i="1"/>
  <c r="VST1618" i="1"/>
  <c r="VSS1618" i="1"/>
  <c r="VSR1618" i="1"/>
  <c r="VSQ1618" i="1"/>
  <c r="VSP1618" i="1"/>
  <c r="VSO1618" i="1"/>
  <c r="VSN1618" i="1"/>
  <c r="VSM1618" i="1"/>
  <c r="VSL1618" i="1"/>
  <c r="VSK1618" i="1"/>
  <c r="VSJ1618" i="1"/>
  <c r="VSI1618" i="1"/>
  <c r="VSH1618" i="1"/>
  <c r="VSG1618" i="1"/>
  <c r="VSF1618" i="1"/>
  <c r="VSE1618" i="1"/>
  <c r="VSD1618" i="1"/>
  <c r="VSC1618" i="1"/>
  <c r="VSB1618" i="1"/>
  <c r="VSA1618" i="1"/>
  <c r="VRZ1618" i="1"/>
  <c r="VRY1618" i="1"/>
  <c r="VRX1618" i="1"/>
  <c r="VRW1618" i="1"/>
  <c r="VRV1618" i="1"/>
  <c r="VRU1618" i="1"/>
  <c r="VRT1618" i="1"/>
  <c r="VRS1618" i="1"/>
  <c r="VRR1618" i="1"/>
  <c r="VRQ1618" i="1"/>
  <c r="VRP1618" i="1"/>
  <c r="VRO1618" i="1"/>
  <c r="VRN1618" i="1"/>
  <c r="VRM1618" i="1"/>
  <c r="VRL1618" i="1"/>
  <c r="VRK1618" i="1"/>
  <c r="VRJ1618" i="1"/>
  <c r="VRI1618" i="1"/>
  <c r="VRH1618" i="1"/>
  <c r="VRG1618" i="1"/>
  <c r="VRF1618" i="1"/>
  <c r="VRE1618" i="1"/>
  <c r="VRD1618" i="1"/>
  <c r="VRC1618" i="1"/>
  <c r="VRB1618" i="1"/>
  <c r="VRA1618" i="1"/>
  <c r="VQZ1618" i="1"/>
  <c r="VQY1618" i="1"/>
  <c r="VQX1618" i="1"/>
  <c r="VQW1618" i="1"/>
  <c r="VQV1618" i="1"/>
  <c r="VQU1618" i="1"/>
  <c r="VQT1618" i="1"/>
  <c r="VQS1618" i="1"/>
  <c r="VQR1618" i="1"/>
  <c r="VQQ1618" i="1"/>
  <c r="VQP1618" i="1"/>
  <c r="VQO1618" i="1"/>
  <c r="VQN1618" i="1"/>
  <c r="VQM1618" i="1"/>
  <c r="VQL1618" i="1"/>
  <c r="VQK1618" i="1"/>
  <c r="VQJ1618" i="1"/>
  <c r="VQI1618" i="1"/>
  <c r="VQH1618" i="1"/>
  <c r="VQG1618" i="1"/>
  <c r="VQF1618" i="1"/>
  <c r="VQE1618" i="1"/>
  <c r="VQD1618" i="1"/>
  <c r="VQC1618" i="1"/>
  <c r="VQB1618" i="1"/>
  <c r="VQA1618" i="1"/>
  <c r="VPZ1618" i="1"/>
  <c r="VPY1618" i="1"/>
  <c r="VPX1618" i="1"/>
  <c r="VPW1618" i="1"/>
  <c r="VPV1618" i="1"/>
  <c r="VPU1618" i="1"/>
  <c r="VPT1618" i="1"/>
  <c r="VPS1618" i="1"/>
  <c r="VPR1618" i="1"/>
  <c r="VPQ1618" i="1"/>
  <c r="VPP1618" i="1"/>
  <c r="VPO1618" i="1"/>
  <c r="VPN1618" i="1"/>
  <c r="VPM1618" i="1"/>
  <c r="VPL1618" i="1"/>
  <c r="VPK1618" i="1"/>
  <c r="VPJ1618" i="1"/>
  <c r="VPI1618" i="1"/>
  <c r="VPH1618" i="1"/>
  <c r="VPG1618" i="1"/>
  <c r="VPF1618" i="1"/>
  <c r="VPE1618" i="1"/>
  <c r="VPD1618" i="1"/>
  <c r="VPC1618" i="1"/>
  <c r="VPB1618" i="1"/>
  <c r="VPA1618" i="1"/>
  <c r="VOZ1618" i="1"/>
  <c r="VOY1618" i="1"/>
  <c r="VOX1618" i="1"/>
  <c r="VOW1618" i="1"/>
  <c r="VOV1618" i="1"/>
  <c r="VOU1618" i="1"/>
  <c r="VOT1618" i="1"/>
  <c r="VOS1618" i="1"/>
  <c r="VOR1618" i="1"/>
  <c r="VOQ1618" i="1"/>
  <c r="VOP1618" i="1"/>
  <c r="VOO1618" i="1"/>
  <c r="VON1618" i="1"/>
  <c r="VOM1618" i="1"/>
  <c r="VOL1618" i="1"/>
  <c r="VOK1618" i="1"/>
  <c r="VOJ1618" i="1"/>
  <c r="VOI1618" i="1"/>
  <c r="VOH1618" i="1"/>
  <c r="VOG1618" i="1"/>
  <c r="VOF1618" i="1"/>
  <c r="VOE1618" i="1"/>
  <c r="VOD1618" i="1"/>
  <c r="VOC1618" i="1"/>
  <c r="VOB1618" i="1"/>
  <c r="VOA1618" i="1"/>
  <c r="VNZ1618" i="1"/>
  <c r="VNY1618" i="1"/>
  <c r="VNX1618" i="1"/>
  <c r="VNW1618" i="1"/>
  <c r="VNV1618" i="1"/>
  <c r="VNU1618" i="1"/>
  <c r="VNT1618" i="1"/>
  <c r="VNS1618" i="1"/>
  <c r="VNR1618" i="1"/>
  <c r="VNQ1618" i="1"/>
  <c r="VNP1618" i="1"/>
  <c r="VNO1618" i="1"/>
  <c r="VNN1618" i="1"/>
  <c r="VNM1618" i="1"/>
  <c r="VNL1618" i="1"/>
  <c r="VNK1618" i="1"/>
  <c r="VNJ1618" i="1"/>
  <c r="VNI1618" i="1"/>
  <c r="VNH1618" i="1"/>
  <c r="VNG1618" i="1"/>
  <c r="VNF1618" i="1"/>
  <c r="VNE1618" i="1"/>
  <c r="VND1618" i="1"/>
  <c r="VNC1618" i="1"/>
  <c r="VNB1618" i="1"/>
  <c r="VNA1618" i="1"/>
  <c r="VMZ1618" i="1"/>
  <c r="VMY1618" i="1"/>
  <c r="VMX1618" i="1"/>
  <c r="VMW1618" i="1"/>
  <c r="VMV1618" i="1"/>
  <c r="VMU1618" i="1"/>
  <c r="VMT1618" i="1"/>
  <c r="VMS1618" i="1"/>
  <c r="VMR1618" i="1"/>
  <c r="VMQ1618" i="1"/>
  <c r="VMP1618" i="1"/>
  <c r="VMO1618" i="1"/>
  <c r="VMN1618" i="1"/>
  <c r="VMM1618" i="1"/>
  <c r="VML1618" i="1"/>
  <c r="VMK1618" i="1"/>
  <c r="VMJ1618" i="1"/>
  <c r="VMI1618" i="1"/>
  <c r="VMH1618" i="1"/>
  <c r="VMG1618" i="1"/>
  <c r="VMF1618" i="1"/>
  <c r="VME1618" i="1"/>
  <c r="VMD1618" i="1"/>
  <c r="VMC1618" i="1"/>
  <c r="VMB1618" i="1"/>
  <c r="VMA1618" i="1"/>
  <c r="VLZ1618" i="1"/>
  <c r="VLY1618" i="1"/>
  <c r="VLX1618" i="1"/>
  <c r="VLW1618" i="1"/>
  <c r="VLV1618" i="1"/>
  <c r="VLU1618" i="1"/>
  <c r="VLT1618" i="1"/>
  <c r="VLS1618" i="1"/>
  <c r="VLR1618" i="1"/>
  <c r="VLQ1618" i="1"/>
  <c r="VLP1618" i="1"/>
  <c r="VLO1618" i="1"/>
  <c r="VLN1618" i="1"/>
  <c r="VLM1618" i="1"/>
  <c r="VLL1618" i="1"/>
  <c r="VLK1618" i="1"/>
  <c r="VLJ1618" i="1"/>
  <c r="VLI1618" i="1"/>
  <c r="VLH1618" i="1"/>
  <c r="VLG1618" i="1"/>
  <c r="VLF1618" i="1"/>
  <c r="VLE1618" i="1"/>
  <c r="VLD1618" i="1"/>
  <c r="VLC1618" i="1"/>
  <c r="VLB1618" i="1"/>
  <c r="VLA1618" i="1"/>
  <c r="VKZ1618" i="1"/>
  <c r="VKY1618" i="1"/>
  <c r="VKX1618" i="1"/>
  <c r="VKW1618" i="1"/>
  <c r="VKV1618" i="1"/>
  <c r="VKU1618" i="1"/>
  <c r="VKT1618" i="1"/>
  <c r="VKS1618" i="1"/>
  <c r="VKR1618" i="1"/>
  <c r="VKQ1618" i="1"/>
  <c r="VKP1618" i="1"/>
  <c r="VKO1618" i="1"/>
  <c r="VKN1618" i="1"/>
  <c r="VKM1618" i="1"/>
  <c r="VKL1618" i="1"/>
  <c r="VKK1618" i="1"/>
  <c r="VKJ1618" i="1"/>
  <c r="VKI1618" i="1"/>
  <c r="VKH1618" i="1"/>
  <c r="VKG1618" i="1"/>
  <c r="VKF1618" i="1"/>
  <c r="VKE1618" i="1"/>
  <c r="VKD1618" i="1"/>
  <c r="VKC1618" i="1"/>
  <c r="VKB1618" i="1"/>
  <c r="VKA1618" i="1"/>
  <c r="VJZ1618" i="1"/>
  <c r="VJY1618" i="1"/>
  <c r="VJX1618" i="1"/>
  <c r="VJW1618" i="1"/>
  <c r="VJV1618" i="1"/>
  <c r="VJU1618" i="1"/>
  <c r="VJT1618" i="1"/>
  <c r="VJS1618" i="1"/>
  <c r="VJR1618" i="1"/>
  <c r="VJQ1618" i="1"/>
  <c r="VJP1618" i="1"/>
  <c r="VJO1618" i="1"/>
  <c r="VJN1618" i="1"/>
  <c r="VJM1618" i="1"/>
  <c r="VJL1618" i="1"/>
  <c r="VJK1618" i="1"/>
  <c r="VJJ1618" i="1"/>
  <c r="VJI1618" i="1"/>
  <c r="VJH1618" i="1"/>
  <c r="VJG1618" i="1"/>
  <c r="VJF1618" i="1"/>
  <c r="VJE1618" i="1"/>
  <c r="VJD1618" i="1"/>
  <c r="VJC1618" i="1"/>
  <c r="VJB1618" i="1"/>
  <c r="VJA1618" i="1"/>
  <c r="VIZ1618" i="1"/>
  <c r="VIY1618" i="1"/>
  <c r="VIX1618" i="1"/>
  <c r="VIW1618" i="1"/>
  <c r="VIV1618" i="1"/>
  <c r="VIU1618" i="1"/>
  <c r="VIT1618" i="1"/>
  <c r="VIS1618" i="1"/>
  <c r="VIR1618" i="1"/>
  <c r="VIQ1618" i="1"/>
  <c r="VIP1618" i="1"/>
  <c r="VIO1618" i="1"/>
  <c r="VIN1618" i="1"/>
  <c r="VIM1618" i="1"/>
  <c r="VIL1618" i="1"/>
  <c r="VIK1618" i="1"/>
  <c r="VIJ1618" i="1"/>
  <c r="VII1618" i="1"/>
  <c r="VIH1618" i="1"/>
  <c r="VIG1618" i="1"/>
  <c r="VIF1618" i="1"/>
  <c r="VIE1618" i="1"/>
  <c r="VID1618" i="1"/>
  <c r="VIC1618" i="1"/>
  <c r="VIB1618" i="1"/>
  <c r="VIA1618" i="1"/>
  <c r="VHZ1618" i="1"/>
  <c r="VHY1618" i="1"/>
  <c r="VHX1618" i="1"/>
  <c r="VHW1618" i="1"/>
  <c r="VHV1618" i="1"/>
  <c r="VHU1618" i="1"/>
  <c r="VHT1618" i="1"/>
  <c r="VHS1618" i="1"/>
  <c r="VHR1618" i="1"/>
  <c r="VHQ1618" i="1"/>
  <c r="VHP1618" i="1"/>
  <c r="VHO1618" i="1"/>
  <c r="VHN1618" i="1"/>
  <c r="VHM1618" i="1"/>
  <c r="VHL1618" i="1"/>
  <c r="VHK1618" i="1"/>
  <c r="VHJ1618" i="1"/>
  <c r="VHI1618" i="1"/>
  <c r="VHH1618" i="1"/>
  <c r="VHG1618" i="1"/>
  <c r="VHF1618" i="1"/>
  <c r="VHE1618" i="1"/>
  <c r="VHD1618" i="1"/>
  <c r="VHC1618" i="1"/>
  <c r="VHB1618" i="1"/>
  <c r="VHA1618" i="1"/>
  <c r="VGZ1618" i="1"/>
  <c r="VGY1618" i="1"/>
  <c r="VGX1618" i="1"/>
  <c r="VGW1618" i="1"/>
  <c r="VGV1618" i="1"/>
  <c r="VGU1618" i="1"/>
  <c r="VGT1618" i="1"/>
  <c r="VGS1618" i="1"/>
  <c r="VGR1618" i="1"/>
  <c r="VGQ1618" i="1"/>
  <c r="VGP1618" i="1"/>
  <c r="VGO1618" i="1"/>
  <c r="VGN1618" i="1"/>
  <c r="VGM1618" i="1"/>
  <c r="VGL1618" i="1"/>
  <c r="VGK1618" i="1"/>
  <c r="VGJ1618" i="1"/>
  <c r="VGI1618" i="1"/>
  <c r="VGH1618" i="1"/>
  <c r="VGG1618" i="1"/>
  <c r="VGF1618" i="1"/>
  <c r="VGE1618" i="1"/>
  <c r="VGD1618" i="1"/>
  <c r="VGC1618" i="1"/>
  <c r="VGB1618" i="1"/>
  <c r="VGA1618" i="1"/>
  <c r="VFZ1618" i="1"/>
  <c r="VFY1618" i="1"/>
  <c r="VFX1618" i="1"/>
  <c r="VFW1618" i="1"/>
  <c r="VFV1618" i="1"/>
  <c r="VFU1618" i="1"/>
  <c r="VFT1618" i="1"/>
  <c r="VFS1618" i="1"/>
  <c r="VFR1618" i="1"/>
  <c r="VFQ1618" i="1"/>
  <c r="VFP1618" i="1"/>
  <c r="VFO1618" i="1"/>
  <c r="VFN1618" i="1"/>
  <c r="VFM1618" i="1"/>
  <c r="VFL1618" i="1"/>
  <c r="VFK1618" i="1"/>
  <c r="VFJ1618" i="1"/>
  <c r="VFI1618" i="1"/>
  <c r="VFH1618" i="1"/>
  <c r="VFG1618" i="1"/>
  <c r="VFF1618" i="1"/>
  <c r="VFE1618" i="1"/>
  <c r="VFD1618" i="1"/>
  <c r="VFC1618" i="1"/>
  <c r="VFB1618" i="1"/>
  <c r="VFA1618" i="1"/>
  <c r="VEZ1618" i="1"/>
  <c r="VEY1618" i="1"/>
  <c r="VEX1618" i="1"/>
  <c r="VEW1618" i="1"/>
  <c r="VEV1618" i="1"/>
  <c r="VEU1618" i="1"/>
  <c r="VET1618" i="1"/>
  <c r="VES1618" i="1"/>
  <c r="VER1618" i="1"/>
  <c r="VEQ1618" i="1"/>
  <c r="VEP1618" i="1"/>
  <c r="VEO1618" i="1"/>
  <c r="VEN1618" i="1"/>
  <c r="VEM1618" i="1"/>
  <c r="VEL1618" i="1"/>
  <c r="VEK1618" i="1"/>
  <c r="VEJ1618" i="1"/>
  <c r="VEI1618" i="1"/>
  <c r="VEH1618" i="1"/>
  <c r="VEG1618" i="1"/>
  <c r="VEF1618" i="1"/>
  <c r="VEE1618" i="1"/>
  <c r="VED1618" i="1"/>
  <c r="VEC1618" i="1"/>
  <c r="VEB1618" i="1"/>
  <c r="VEA1618" i="1"/>
  <c r="VDZ1618" i="1"/>
  <c r="VDY1618" i="1"/>
  <c r="VDX1618" i="1"/>
  <c r="VDW1618" i="1"/>
  <c r="VDV1618" i="1"/>
  <c r="VDU1618" i="1"/>
  <c r="VDT1618" i="1"/>
  <c r="VDS1618" i="1"/>
  <c r="VDR1618" i="1"/>
  <c r="VDQ1618" i="1"/>
  <c r="VDP1618" i="1"/>
  <c r="VDO1618" i="1"/>
  <c r="VDN1618" i="1"/>
  <c r="VDM1618" i="1"/>
  <c r="VDL1618" i="1"/>
  <c r="VDK1618" i="1"/>
  <c r="VDJ1618" i="1"/>
  <c r="VDI1618" i="1"/>
  <c r="VDH1618" i="1"/>
  <c r="VDG1618" i="1"/>
  <c r="VDF1618" i="1"/>
  <c r="VDE1618" i="1"/>
  <c r="VDD1618" i="1"/>
  <c r="VDC1618" i="1"/>
  <c r="VDB1618" i="1"/>
  <c r="VDA1618" i="1"/>
  <c r="VCZ1618" i="1"/>
  <c r="VCY1618" i="1"/>
  <c r="VCX1618" i="1"/>
  <c r="VCW1618" i="1"/>
  <c r="VCV1618" i="1"/>
  <c r="VCU1618" i="1"/>
  <c r="VCT1618" i="1"/>
  <c r="VCS1618" i="1"/>
  <c r="VCR1618" i="1"/>
  <c r="VCQ1618" i="1"/>
  <c r="VCP1618" i="1"/>
  <c r="VCO1618" i="1"/>
  <c r="VCN1618" i="1"/>
  <c r="VCM1618" i="1"/>
  <c r="VCL1618" i="1"/>
  <c r="VCK1618" i="1"/>
  <c r="VCJ1618" i="1"/>
  <c r="VCI1618" i="1"/>
  <c r="VCH1618" i="1"/>
  <c r="VCG1618" i="1"/>
  <c r="VCF1618" i="1"/>
  <c r="VCE1618" i="1"/>
  <c r="VCD1618" i="1"/>
  <c r="VCC1618" i="1"/>
  <c r="VCB1618" i="1"/>
  <c r="VCA1618" i="1"/>
  <c r="VBZ1618" i="1"/>
  <c r="VBY1618" i="1"/>
  <c r="VBX1618" i="1"/>
  <c r="VBW1618" i="1"/>
  <c r="VBV1618" i="1"/>
  <c r="VBU1618" i="1"/>
  <c r="VBT1618" i="1"/>
  <c r="VBS1618" i="1"/>
  <c r="VBR1618" i="1"/>
  <c r="VBQ1618" i="1"/>
  <c r="VBP1618" i="1"/>
  <c r="VBO1618" i="1"/>
  <c r="VBN1618" i="1"/>
  <c r="VBM1618" i="1"/>
  <c r="VBL1618" i="1"/>
  <c r="VBK1618" i="1"/>
  <c r="VBJ1618" i="1"/>
  <c r="VBI1618" i="1"/>
  <c r="VBH1618" i="1"/>
  <c r="VBG1618" i="1"/>
  <c r="VBF1618" i="1"/>
  <c r="VBE1618" i="1"/>
  <c r="VBD1618" i="1"/>
  <c r="VBC1618" i="1"/>
  <c r="VBB1618" i="1"/>
  <c r="VBA1618" i="1"/>
  <c r="VAZ1618" i="1"/>
  <c r="VAY1618" i="1"/>
  <c r="VAX1618" i="1"/>
  <c r="VAW1618" i="1"/>
  <c r="VAV1618" i="1"/>
  <c r="VAU1618" i="1"/>
  <c r="VAT1618" i="1"/>
  <c r="VAS1618" i="1"/>
  <c r="VAR1618" i="1"/>
  <c r="VAQ1618" i="1"/>
  <c r="VAP1618" i="1"/>
  <c r="VAO1618" i="1"/>
  <c r="VAN1618" i="1"/>
  <c r="VAM1618" i="1"/>
  <c r="VAL1618" i="1"/>
  <c r="VAK1618" i="1"/>
  <c r="VAJ1618" i="1"/>
  <c r="VAI1618" i="1"/>
  <c r="VAH1618" i="1"/>
  <c r="VAG1618" i="1"/>
  <c r="VAF1618" i="1"/>
  <c r="VAE1618" i="1"/>
  <c r="VAD1618" i="1"/>
  <c r="VAC1618" i="1"/>
  <c r="VAB1618" i="1"/>
  <c r="VAA1618" i="1"/>
  <c r="UZZ1618" i="1"/>
  <c r="UZY1618" i="1"/>
  <c r="UZX1618" i="1"/>
  <c r="UZW1618" i="1"/>
  <c r="UZV1618" i="1"/>
  <c r="UZU1618" i="1"/>
  <c r="UZT1618" i="1"/>
  <c r="UZS1618" i="1"/>
  <c r="UZR1618" i="1"/>
  <c r="UZQ1618" i="1"/>
  <c r="UZP1618" i="1"/>
  <c r="UZO1618" i="1"/>
  <c r="UZN1618" i="1"/>
  <c r="UZM1618" i="1"/>
  <c r="UZL1618" i="1"/>
  <c r="UZK1618" i="1"/>
  <c r="UZJ1618" i="1"/>
  <c r="UZI1618" i="1"/>
  <c r="UZH1618" i="1"/>
  <c r="UZG1618" i="1"/>
  <c r="UZF1618" i="1"/>
  <c r="UZE1618" i="1"/>
  <c r="UZD1618" i="1"/>
  <c r="UZC1618" i="1"/>
  <c r="UZB1618" i="1"/>
  <c r="UZA1618" i="1"/>
  <c r="UYZ1618" i="1"/>
  <c r="UYY1618" i="1"/>
  <c r="UYX1618" i="1"/>
  <c r="UYW1618" i="1"/>
  <c r="UYV1618" i="1"/>
  <c r="UYU1618" i="1"/>
  <c r="UYT1618" i="1"/>
  <c r="UYS1618" i="1"/>
  <c r="UYR1618" i="1"/>
  <c r="UYQ1618" i="1"/>
  <c r="UYP1618" i="1"/>
  <c r="UYO1618" i="1"/>
  <c r="UYN1618" i="1"/>
  <c r="UYM1618" i="1"/>
  <c r="UYL1618" i="1"/>
  <c r="UYK1618" i="1"/>
  <c r="UYJ1618" i="1"/>
  <c r="UYI1618" i="1"/>
  <c r="UYH1618" i="1"/>
  <c r="UYG1618" i="1"/>
  <c r="UYF1618" i="1"/>
  <c r="UYE1618" i="1"/>
  <c r="UYD1618" i="1"/>
  <c r="UYC1618" i="1"/>
  <c r="UYB1618" i="1"/>
  <c r="UYA1618" i="1"/>
  <c r="UXZ1618" i="1"/>
  <c r="UXY1618" i="1"/>
  <c r="UXX1618" i="1"/>
  <c r="UXW1618" i="1"/>
  <c r="UXV1618" i="1"/>
  <c r="UXU1618" i="1"/>
  <c r="UXT1618" i="1"/>
  <c r="UXS1618" i="1"/>
  <c r="UXR1618" i="1"/>
  <c r="UXQ1618" i="1"/>
  <c r="UXP1618" i="1"/>
  <c r="UXO1618" i="1"/>
  <c r="UXN1618" i="1"/>
  <c r="UXM1618" i="1"/>
  <c r="UXL1618" i="1"/>
  <c r="UXK1618" i="1"/>
  <c r="UXJ1618" i="1"/>
  <c r="UXI1618" i="1"/>
  <c r="UXH1618" i="1"/>
  <c r="UXG1618" i="1"/>
  <c r="UXF1618" i="1"/>
  <c r="UXE1618" i="1"/>
  <c r="UXD1618" i="1"/>
  <c r="UXC1618" i="1"/>
  <c r="UXB1618" i="1"/>
  <c r="UXA1618" i="1"/>
  <c r="UWZ1618" i="1"/>
  <c r="UWY1618" i="1"/>
  <c r="UWX1618" i="1"/>
  <c r="UWW1618" i="1"/>
  <c r="UWV1618" i="1"/>
  <c r="UWU1618" i="1"/>
  <c r="UWT1618" i="1"/>
  <c r="UWS1618" i="1"/>
  <c r="UWR1618" i="1"/>
  <c r="UWQ1618" i="1"/>
  <c r="UWP1618" i="1"/>
  <c r="UWO1618" i="1"/>
  <c r="UWN1618" i="1"/>
  <c r="UWM1618" i="1"/>
  <c r="UWL1618" i="1"/>
  <c r="UWK1618" i="1"/>
  <c r="UWJ1618" i="1"/>
  <c r="UWI1618" i="1"/>
  <c r="UWH1618" i="1"/>
  <c r="UWG1618" i="1"/>
  <c r="UWF1618" i="1"/>
  <c r="UWE1618" i="1"/>
  <c r="UWD1618" i="1"/>
  <c r="UWC1618" i="1"/>
  <c r="UWB1618" i="1"/>
  <c r="UWA1618" i="1"/>
  <c r="UVZ1618" i="1"/>
  <c r="UVY1618" i="1"/>
  <c r="UVX1618" i="1"/>
  <c r="UVW1618" i="1"/>
  <c r="UVV1618" i="1"/>
  <c r="UVU1618" i="1"/>
  <c r="UVT1618" i="1"/>
  <c r="UVS1618" i="1"/>
  <c r="UVR1618" i="1"/>
  <c r="UVQ1618" i="1"/>
  <c r="UVP1618" i="1"/>
  <c r="UVO1618" i="1"/>
  <c r="UVN1618" i="1"/>
  <c r="UVM1618" i="1"/>
  <c r="UVL1618" i="1"/>
  <c r="UVK1618" i="1"/>
  <c r="UVJ1618" i="1"/>
  <c r="UVI1618" i="1"/>
  <c r="UVH1618" i="1"/>
  <c r="UVG1618" i="1"/>
  <c r="UVF1618" i="1"/>
  <c r="UVE1618" i="1"/>
  <c r="UVD1618" i="1"/>
  <c r="UVC1618" i="1"/>
  <c r="UVB1618" i="1"/>
  <c r="UVA1618" i="1"/>
  <c r="UUZ1618" i="1"/>
  <c r="UUY1618" i="1"/>
  <c r="UUX1618" i="1"/>
  <c r="UUW1618" i="1"/>
  <c r="UUV1618" i="1"/>
  <c r="UUU1618" i="1"/>
  <c r="UUT1618" i="1"/>
  <c r="UUS1618" i="1"/>
  <c r="UUR1618" i="1"/>
  <c r="UUQ1618" i="1"/>
  <c r="UUP1618" i="1"/>
  <c r="UUO1618" i="1"/>
  <c r="UUN1618" i="1"/>
  <c r="UUM1618" i="1"/>
  <c r="UUL1618" i="1"/>
  <c r="UUK1618" i="1"/>
  <c r="UUJ1618" i="1"/>
  <c r="UUI1618" i="1"/>
  <c r="UUH1618" i="1"/>
  <c r="UUG1618" i="1"/>
  <c r="UUF1618" i="1"/>
  <c r="UUE1618" i="1"/>
  <c r="UUD1618" i="1"/>
  <c r="UUC1618" i="1"/>
  <c r="UUB1618" i="1"/>
  <c r="UUA1618" i="1"/>
  <c r="UTZ1618" i="1"/>
  <c r="UTY1618" i="1"/>
  <c r="UTX1618" i="1"/>
  <c r="UTW1618" i="1"/>
  <c r="UTV1618" i="1"/>
  <c r="UTU1618" i="1"/>
  <c r="UTT1618" i="1"/>
  <c r="UTS1618" i="1"/>
  <c r="UTR1618" i="1"/>
  <c r="UTQ1618" i="1"/>
  <c r="UTP1618" i="1"/>
  <c r="UTO1618" i="1"/>
  <c r="UTN1618" i="1"/>
  <c r="UTM1618" i="1"/>
  <c r="UTL1618" i="1"/>
  <c r="UTK1618" i="1"/>
  <c r="UTJ1618" i="1"/>
  <c r="UTI1618" i="1"/>
  <c r="UTH1618" i="1"/>
  <c r="UTG1618" i="1"/>
  <c r="UTF1618" i="1"/>
  <c r="UTE1618" i="1"/>
  <c r="UTD1618" i="1"/>
  <c r="UTC1618" i="1"/>
  <c r="UTB1618" i="1"/>
  <c r="UTA1618" i="1"/>
  <c r="USZ1618" i="1"/>
  <c r="USY1618" i="1"/>
  <c r="USX1618" i="1"/>
  <c r="USW1618" i="1"/>
  <c r="USV1618" i="1"/>
  <c r="USU1618" i="1"/>
  <c r="UST1618" i="1"/>
  <c r="USS1618" i="1"/>
  <c r="USR1618" i="1"/>
  <c r="USQ1618" i="1"/>
  <c r="USP1618" i="1"/>
  <c r="USO1618" i="1"/>
  <c r="USN1618" i="1"/>
  <c r="USM1618" i="1"/>
  <c r="USL1618" i="1"/>
  <c r="USK1618" i="1"/>
  <c r="USJ1618" i="1"/>
  <c r="USI1618" i="1"/>
  <c r="USH1618" i="1"/>
  <c r="USG1618" i="1"/>
  <c r="USF1618" i="1"/>
  <c r="USE1618" i="1"/>
  <c r="USD1618" i="1"/>
  <c r="USC1618" i="1"/>
  <c r="USB1618" i="1"/>
  <c r="USA1618" i="1"/>
  <c r="URZ1618" i="1"/>
  <c r="URY1618" i="1"/>
  <c r="URX1618" i="1"/>
  <c r="URW1618" i="1"/>
  <c r="URV1618" i="1"/>
  <c r="URU1618" i="1"/>
  <c r="URT1618" i="1"/>
  <c r="URS1618" i="1"/>
  <c r="URR1618" i="1"/>
  <c r="URQ1618" i="1"/>
  <c r="URP1618" i="1"/>
  <c r="URO1618" i="1"/>
  <c r="URN1618" i="1"/>
  <c r="URM1618" i="1"/>
  <c r="URL1618" i="1"/>
  <c r="URK1618" i="1"/>
  <c r="URJ1618" i="1"/>
  <c r="URI1618" i="1"/>
  <c r="URH1618" i="1"/>
  <c r="URG1618" i="1"/>
  <c r="URF1618" i="1"/>
  <c r="URE1618" i="1"/>
  <c r="URD1618" i="1"/>
  <c r="URC1618" i="1"/>
  <c r="URB1618" i="1"/>
  <c r="URA1618" i="1"/>
  <c r="UQZ1618" i="1"/>
  <c r="UQY1618" i="1"/>
  <c r="UQX1618" i="1"/>
  <c r="UQW1618" i="1"/>
  <c r="UQV1618" i="1"/>
  <c r="UQU1618" i="1"/>
  <c r="UQT1618" i="1"/>
  <c r="UQS1618" i="1"/>
  <c r="UQR1618" i="1"/>
  <c r="UQQ1618" i="1"/>
  <c r="UQP1618" i="1"/>
  <c r="UQO1618" i="1"/>
  <c r="UQN1618" i="1"/>
  <c r="UQM1618" i="1"/>
  <c r="UQL1618" i="1"/>
  <c r="UQK1618" i="1"/>
  <c r="UQJ1618" i="1"/>
  <c r="UQI1618" i="1"/>
  <c r="UQH1618" i="1"/>
  <c r="UQG1618" i="1"/>
  <c r="UQF1618" i="1"/>
  <c r="UQE1618" i="1"/>
  <c r="UQD1618" i="1"/>
  <c r="UQC1618" i="1"/>
  <c r="UQB1618" i="1"/>
  <c r="UQA1618" i="1"/>
  <c r="UPZ1618" i="1"/>
  <c r="UPY1618" i="1"/>
  <c r="UPX1618" i="1"/>
  <c r="UPW1618" i="1"/>
  <c r="UPV1618" i="1"/>
  <c r="UPU1618" i="1"/>
  <c r="UPT1618" i="1"/>
  <c r="UPS1618" i="1"/>
  <c r="UPR1618" i="1"/>
  <c r="UPQ1618" i="1"/>
  <c r="UPP1618" i="1"/>
  <c r="UPO1618" i="1"/>
  <c r="UPN1618" i="1"/>
  <c r="UPM1618" i="1"/>
  <c r="UPL1618" i="1"/>
  <c r="UPK1618" i="1"/>
  <c r="UPJ1618" i="1"/>
  <c r="UPI1618" i="1"/>
  <c r="UPH1618" i="1"/>
  <c r="UPG1618" i="1"/>
  <c r="UPF1618" i="1"/>
  <c r="UPE1618" i="1"/>
  <c r="UPD1618" i="1"/>
  <c r="UPC1618" i="1"/>
  <c r="UPB1618" i="1"/>
  <c r="UPA1618" i="1"/>
  <c r="UOZ1618" i="1"/>
  <c r="UOY1618" i="1"/>
  <c r="UOX1618" i="1"/>
  <c r="UOW1618" i="1"/>
  <c r="UOV1618" i="1"/>
  <c r="UOU1618" i="1"/>
  <c r="UOT1618" i="1"/>
  <c r="UOS1618" i="1"/>
  <c r="UOR1618" i="1"/>
  <c r="UOQ1618" i="1"/>
  <c r="UOP1618" i="1"/>
  <c r="UOO1618" i="1"/>
  <c r="UON1618" i="1"/>
  <c r="UOM1618" i="1"/>
  <c r="UOL1618" i="1"/>
  <c r="UOK1618" i="1"/>
  <c r="UOJ1618" i="1"/>
  <c r="UOI1618" i="1"/>
  <c r="UOH1618" i="1"/>
  <c r="UOG1618" i="1"/>
  <c r="UOF1618" i="1"/>
  <c r="UOE1618" i="1"/>
  <c r="UOD1618" i="1"/>
  <c r="UOC1618" i="1"/>
  <c r="UOB1618" i="1"/>
  <c r="UOA1618" i="1"/>
  <c r="UNZ1618" i="1"/>
  <c r="UNY1618" i="1"/>
  <c r="UNX1618" i="1"/>
  <c r="UNW1618" i="1"/>
  <c r="UNV1618" i="1"/>
  <c r="UNU1618" i="1"/>
  <c r="UNT1618" i="1"/>
  <c r="UNS1618" i="1"/>
  <c r="UNR1618" i="1"/>
  <c r="UNQ1618" i="1"/>
  <c r="UNP1618" i="1"/>
  <c r="UNO1618" i="1"/>
  <c r="UNN1618" i="1"/>
  <c r="UNM1618" i="1"/>
  <c r="UNL1618" i="1"/>
  <c r="UNK1618" i="1"/>
  <c r="UNJ1618" i="1"/>
  <c r="UNI1618" i="1"/>
  <c r="UNH1618" i="1"/>
  <c r="UNG1618" i="1"/>
  <c r="UNF1618" i="1"/>
  <c r="UNE1618" i="1"/>
  <c r="UND1618" i="1"/>
  <c r="UNC1618" i="1"/>
  <c r="UNB1618" i="1"/>
  <c r="UNA1618" i="1"/>
  <c r="UMZ1618" i="1"/>
  <c r="UMY1618" i="1"/>
  <c r="UMX1618" i="1"/>
  <c r="UMW1618" i="1"/>
  <c r="UMV1618" i="1"/>
  <c r="UMU1618" i="1"/>
  <c r="UMT1618" i="1"/>
  <c r="UMS1618" i="1"/>
  <c r="UMR1618" i="1"/>
  <c r="UMQ1618" i="1"/>
  <c r="UMP1618" i="1"/>
  <c r="UMO1618" i="1"/>
  <c r="UMN1618" i="1"/>
  <c r="UMM1618" i="1"/>
  <c r="UML1618" i="1"/>
  <c r="UMK1618" i="1"/>
  <c r="UMJ1618" i="1"/>
  <c r="UMI1618" i="1"/>
  <c r="UMH1618" i="1"/>
  <c r="UMG1618" i="1"/>
  <c r="UMF1618" i="1"/>
  <c r="UME1618" i="1"/>
  <c r="UMD1618" i="1"/>
  <c r="UMC1618" i="1"/>
  <c r="UMB1618" i="1"/>
  <c r="UMA1618" i="1"/>
  <c r="ULZ1618" i="1"/>
  <c r="ULY1618" i="1"/>
  <c r="ULX1618" i="1"/>
  <c r="ULW1618" i="1"/>
  <c r="ULV1618" i="1"/>
  <c r="ULU1618" i="1"/>
  <c r="ULT1618" i="1"/>
  <c r="ULS1618" i="1"/>
  <c r="ULR1618" i="1"/>
  <c r="ULQ1618" i="1"/>
  <c r="ULP1618" i="1"/>
  <c r="ULO1618" i="1"/>
  <c r="ULN1618" i="1"/>
  <c r="ULM1618" i="1"/>
  <c r="ULL1618" i="1"/>
  <c r="ULK1618" i="1"/>
  <c r="ULJ1618" i="1"/>
  <c r="ULI1618" i="1"/>
  <c r="ULH1618" i="1"/>
  <c r="ULG1618" i="1"/>
  <c r="ULF1618" i="1"/>
  <c r="ULE1618" i="1"/>
  <c r="ULD1618" i="1"/>
  <c r="ULC1618" i="1"/>
  <c r="ULB1618" i="1"/>
  <c r="ULA1618" i="1"/>
  <c r="UKZ1618" i="1"/>
  <c r="UKY1618" i="1"/>
  <c r="UKX1618" i="1"/>
  <c r="UKW1618" i="1"/>
  <c r="UKV1618" i="1"/>
  <c r="UKU1618" i="1"/>
  <c r="UKT1618" i="1"/>
  <c r="UKS1618" i="1"/>
  <c r="UKR1618" i="1"/>
  <c r="UKQ1618" i="1"/>
  <c r="UKP1618" i="1"/>
  <c r="UKO1618" i="1"/>
  <c r="UKN1618" i="1"/>
  <c r="UKM1618" i="1"/>
  <c r="UKL1618" i="1"/>
  <c r="UKK1618" i="1"/>
  <c r="UKJ1618" i="1"/>
  <c r="UKI1618" i="1"/>
  <c r="UKH1618" i="1"/>
  <c r="UKG1618" i="1"/>
  <c r="UKF1618" i="1"/>
  <c r="UKE1618" i="1"/>
  <c r="UKD1618" i="1"/>
  <c r="UKC1618" i="1"/>
  <c r="UKB1618" i="1"/>
  <c r="UKA1618" i="1"/>
  <c r="UJZ1618" i="1"/>
  <c r="UJY1618" i="1"/>
  <c r="UJX1618" i="1"/>
  <c r="UJW1618" i="1"/>
  <c r="UJV1618" i="1"/>
  <c r="UJU1618" i="1"/>
  <c r="UJT1618" i="1"/>
  <c r="UJS1618" i="1"/>
  <c r="UJR1618" i="1"/>
  <c r="UJQ1618" i="1"/>
  <c r="UJP1618" i="1"/>
  <c r="UJO1618" i="1"/>
  <c r="UJN1618" i="1"/>
  <c r="UJM1618" i="1"/>
  <c r="UJL1618" i="1"/>
  <c r="UJK1618" i="1"/>
  <c r="UJJ1618" i="1"/>
  <c r="UJI1618" i="1"/>
  <c r="UJH1618" i="1"/>
  <c r="UJG1618" i="1"/>
  <c r="UJF1618" i="1"/>
  <c r="UJE1618" i="1"/>
  <c r="UJD1618" i="1"/>
  <c r="UJC1618" i="1"/>
  <c r="UJB1618" i="1"/>
  <c r="UJA1618" i="1"/>
  <c r="UIZ1618" i="1"/>
  <c r="UIY1618" i="1"/>
  <c r="UIX1618" i="1"/>
  <c r="UIW1618" i="1"/>
  <c r="UIV1618" i="1"/>
  <c r="UIU1618" i="1"/>
  <c r="UIT1618" i="1"/>
  <c r="UIS1618" i="1"/>
  <c r="UIR1618" i="1"/>
  <c r="UIQ1618" i="1"/>
  <c r="UIP1618" i="1"/>
  <c r="UIO1618" i="1"/>
  <c r="UIN1618" i="1"/>
  <c r="UIM1618" i="1"/>
  <c r="UIL1618" i="1"/>
  <c r="UIK1618" i="1"/>
  <c r="UIJ1618" i="1"/>
  <c r="UII1618" i="1"/>
  <c r="UIH1618" i="1"/>
  <c r="UIG1618" i="1"/>
  <c r="UIF1618" i="1"/>
  <c r="UIE1618" i="1"/>
  <c r="UID1618" i="1"/>
  <c r="UIC1618" i="1"/>
  <c r="UIB1618" i="1"/>
  <c r="UIA1618" i="1"/>
  <c r="UHZ1618" i="1"/>
  <c r="UHY1618" i="1"/>
  <c r="UHX1618" i="1"/>
  <c r="UHW1618" i="1"/>
  <c r="UHV1618" i="1"/>
  <c r="UHU1618" i="1"/>
  <c r="UHT1618" i="1"/>
  <c r="UHS1618" i="1"/>
  <c r="UHR1618" i="1"/>
  <c r="UHQ1618" i="1"/>
  <c r="UHP1618" i="1"/>
  <c r="UHO1618" i="1"/>
  <c r="UHN1618" i="1"/>
  <c r="UHM1618" i="1"/>
  <c r="UHL1618" i="1"/>
  <c r="UHK1618" i="1"/>
  <c r="UHJ1618" i="1"/>
  <c r="UHI1618" i="1"/>
  <c r="UHH1618" i="1"/>
  <c r="UHG1618" i="1"/>
  <c r="UHF1618" i="1"/>
  <c r="UHE1618" i="1"/>
  <c r="UHD1618" i="1"/>
  <c r="UHC1618" i="1"/>
  <c r="UHB1618" i="1"/>
  <c r="UHA1618" i="1"/>
  <c r="UGZ1618" i="1"/>
  <c r="UGY1618" i="1"/>
  <c r="UGX1618" i="1"/>
  <c r="UGW1618" i="1"/>
  <c r="UGV1618" i="1"/>
  <c r="UGU1618" i="1"/>
  <c r="UGT1618" i="1"/>
  <c r="UGS1618" i="1"/>
  <c r="UGR1618" i="1"/>
  <c r="UGQ1618" i="1"/>
  <c r="UGP1618" i="1"/>
  <c r="UGO1618" i="1"/>
  <c r="UGN1618" i="1"/>
  <c r="UGM1618" i="1"/>
  <c r="UGL1618" i="1"/>
  <c r="UGK1618" i="1"/>
  <c r="UGJ1618" i="1"/>
  <c r="UGI1618" i="1"/>
  <c r="UGH1618" i="1"/>
  <c r="UGG1618" i="1"/>
  <c r="UGF1618" i="1"/>
  <c r="UGE1618" i="1"/>
  <c r="UGD1618" i="1"/>
  <c r="UGC1618" i="1"/>
  <c r="UGB1618" i="1"/>
  <c r="UGA1618" i="1"/>
  <c r="UFZ1618" i="1"/>
  <c r="UFY1618" i="1"/>
  <c r="UFX1618" i="1"/>
  <c r="UFW1618" i="1"/>
  <c r="UFV1618" i="1"/>
  <c r="UFU1618" i="1"/>
  <c r="UFT1618" i="1"/>
  <c r="UFS1618" i="1"/>
  <c r="UFR1618" i="1"/>
  <c r="UFQ1618" i="1"/>
  <c r="UFP1618" i="1"/>
  <c r="UFO1618" i="1"/>
  <c r="UFN1618" i="1"/>
  <c r="UFM1618" i="1"/>
  <c r="UFL1618" i="1"/>
  <c r="UFK1618" i="1"/>
  <c r="UFJ1618" i="1"/>
  <c r="UFI1618" i="1"/>
  <c r="UFH1618" i="1"/>
  <c r="UFG1618" i="1"/>
  <c r="UFF1618" i="1"/>
  <c r="UFE1618" i="1"/>
  <c r="UFD1618" i="1"/>
  <c r="UFC1618" i="1"/>
  <c r="UFB1618" i="1"/>
  <c r="UFA1618" i="1"/>
  <c r="UEZ1618" i="1"/>
  <c r="UEY1618" i="1"/>
  <c r="UEX1618" i="1"/>
  <c r="UEW1618" i="1"/>
  <c r="UEV1618" i="1"/>
  <c r="UEU1618" i="1"/>
  <c r="UET1618" i="1"/>
  <c r="UES1618" i="1"/>
  <c r="UER1618" i="1"/>
  <c r="UEQ1618" i="1"/>
  <c r="UEP1618" i="1"/>
  <c r="UEO1618" i="1"/>
  <c r="UEN1618" i="1"/>
  <c r="UEM1618" i="1"/>
  <c r="UEL1618" i="1"/>
  <c r="UEK1618" i="1"/>
  <c r="UEJ1618" i="1"/>
  <c r="UEI1618" i="1"/>
  <c r="UEH1618" i="1"/>
  <c r="UEG1618" i="1"/>
  <c r="UEF1618" i="1"/>
  <c r="UEE1618" i="1"/>
  <c r="UED1618" i="1"/>
  <c r="UEC1618" i="1"/>
  <c r="UEB1618" i="1"/>
  <c r="UEA1618" i="1"/>
  <c r="UDZ1618" i="1"/>
  <c r="UDY1618" i="1"/>
  <c r="UDX1618" i="1"/>
  <c r="UDW1618" i="1"/>
  <c r="UDV1618" i="1"/>
  <c r="UDU1618" i="1"/>
  <c r="UDT1618" i="1"/>
  <c r="UDS1618" i="1"/>
  <c r="UDR1618" i="1"/>
  <c r="UDQ1618" i="1"/>
  <c r="UDP1618" i="1"/>
  <c r="UDO1618" i="1"/>
  <c r="UDN1618" i="1"/>
  <c r="UDM1618" i="1"/>
  <c r="UDL1618" i="1"/>
  <c r="UDK1618" i="1"/>
  <c r="UDJ1618" i="1"/>
  <c r="UDI1618" i="1"/>
  <c r="UDH1618" i="1"/>
  <c r="UDG1618" i="1"/>
  <c r="UDF1618" i="1"/>
  <c r="UDE1618" i="1"/>
  <c r="UDD1618" i="1"/>
  <c r="UDC1618" i="1"/>
  <c r="UDB1618" i="1"/>
  <c r="UDA1618" i="1"/>
  <c r="UCZ1618" i="1"/>
  <c r="UCY1618" i="1"/>
  <c r="UCX1618" i="1"/>
  <c r="UCW1618" i="1"/>
  <c r="UCV1618" i="1"/>
  <c r="UCU1618" i="1"/>
  <c r="UCT1618" i="1"/>
  <c r="UCS1618" i="1"/>
  <c r="UCR1618" i="1"/>
  <c r="UCQ1618" i="1"/>
  <c r="UCP1618" i="1"/>
  <c r="UCO1618" i="1"/>
  <c r="UCN1618" i="1"/>
  <c r="UCM1618" i="1"/>
  <c r="UCL1618" i="1"/>
  <c r="UCK1618" i="1"/>
  <c r="UCJ1618" i="1"/>
  <c r="UCI1618" i="1"/>
  <c r="UCH1618" i="1"/>
  <c r="UCG1618" i="1"/>
  <c r="UCF1618" i="1"/>
  <c r="UCE1618" i="1"/>
  <c r="UCD1618" i="1"/>
  <c r="UCC1618" i="1"/>
  <c r="UCB1618" i="1"/>
  <c r="UCA1618" i="1"/>
  <c r="UBZ1618" i="1"/>
  <c r="UBY1618" i="1"/>
  <c r="UBX1618" i="1"/>
  <c r="UBW1618" i="1"/>
  <c r="UBV1618" i="1"/>
  <c r="UBU1618" i="1"/>
  <c r="UBT1618" i="1"/>
  <c r="UBS1618" i="1"/>
  <c r="UBR1618" i="1"/>
  <c r="UBQ1618" i="1"/>
  <c r="UBP1618" i="1"/>
  <c r="UBO1618" i="1"/>
  <c r="UBN1618" i="1"/>
  <c r="UBM1618" i="1"/>
  <c r="UBL1618" i="1"/>
  <c r="UBK1618" i="1"/>
  <c r="UBJ1618" i="1"/>
  <c r="UBI1618" i="1"/>
  <c r="UBH1618" i="1"/>
  <c r="UBG1618" i="1"/>
  <c r="UBF1618" i="1"/>
  <c r="UBE1618" i="1"/>
  <c r="UBD1618" i="1"/>
  <c r="UBC1618" i="1"/>
  <c r="UBB1618" i="1"/>
  <c r="UBA1618" i="1"/>
  <c r="UAZ1618" i="1"/>
  <c r="UAY1618" i="1"/>
  <c r="UAX1618" i="1"/>
  <c r="UAW1618" i="1"/>
  <c r="UAV1618" i="1"/>
  <c r="UAU1618" i="1"/>
  <c r="UAT1618" i="1"/>
  <c r="UAS1618" i="1"/>
  <c r="UAR1618" i="1"/>
  <c r="UAQ1618" i="1"/>
  <c r="UAP1618" i="1"/>
  <c r="UAO1618" i="1"/>
  <c r="UAN1618" i="1"/>
  <c r="UAM1618" i="1"/>
  <c r="UAL1618" i="1"/>
  <c r="UAK1618" i="1"/>
  <c r="UAJ1618" i="1"/>
  <c r="UAI1618" i="1"/>
  <c r="UAH1618" i="1"/>
  <c r="UAG1618" i="1"/>
  <c r="UAF1618" i="1"/>
  <c r="UAE1618" i="1"/>
  <c r="UAD1618" i="1"/>
  <c r="UAC1618" i="1"/>
  <c r="UAB1618" i="1"/>
  <c r="UAA1618" i="1"/>
  <c r="TZZ1618" i="1"/>
  <c r="TZY1618" i="1"/>
  <c r="TZX1618" i="1"/>
  <c r="TZW1618" i="1"/>
  <c r="TZV1618" i="1"/>
  <c r="TZU1618" i="1"/>
  <c r="TZT1618" i="1"/>
  <c r="TZS1618" i="1"/>
  <c r="TZR1618" i="1"/>
  <c r="TZQ1618" i="1"/>
  <c r="TZP1618" i="1"/>
  <c r="TZO1618" i="1"/>
  <c r="TZN1618" i="1"/>
  <c r="TZM1618" i="1"/>
  <c r="TZL1618" i="1"/>
  <c r="TZK1618" i="1"/>
  <c r="TZJ1618" i="1"/>
  <c r="TZI1618" i="1"/>
  <c r="TZH1618" i="1"/>
  <c r="TZG1618" i="1"/>
  <c r="TZF1618" i="1"/>
  <c r="TZE1618" i="1"/>
  <c r="TZD1618" i="1"/>
  <c r="TZC1618" i="1"/>
  <c r="TZB1618" i="1"/>
  <c r="TZA1618" i="1"/>
  <c r="TYZ1618" i="1"/>
  <c r="TYY1618" i="1"/>
  <c r="TYX1618" i="1"/>
  <c r="TYW1618" i="1"/>
  <c r="TYV1618" i="1"/>
  <c r="TYU1618" i="1"/>
  <c r="TYT1618" i="1"/>
  <c r="TYS1618" i="1"/>
  <c r="TYR1618" i="1"/>
  <c r="TYQ1618" i="1"/>
  <c r="TYP1618" i="1"/>
  <c r="TYO1618" i="1"/>
  <c r="TYN1618" i="1"/>
  <c r="TYM1618" i="1"/>
  <c r="TYL1618" i="1"/>
  <c r="TYK1618" i="1"/>
  <c r="TYJ1618" i="1"/>
  <c r="TYI1618" i="1"/>
  <c r="TYH1618" i="1"/>
  <c r="TYG1618" i="1"/>
  <c r="TYF1618" i="1"/>
  <c r="TYE1618" i="1"/>
  <c r="TYD1618" i="1"/>
  <c r="TYC1618" i="1"/>
  <c r="TYB1618" i="1"/>
  <c r="TYA1618" i="1"/>
  <c r="TXZ1618" i="1"/>
  <c r="TXY1618" i="1"/>
  <c r="TXX1618" i="1"/>
  <c r="TXW1618" i="1"/>
  <c r="TXV1618" i="1"/>
  <c r="TXU1618" i="1"/>
  <c r="TXT1618" i="1"/>
  <c r="TXS1618" i="1"/>
  <c r="TXR1618" i="1"/>
  <c r="TXQ1618" i="1"/>
  <c r="TXP1618" i="1"/>
  <c r="TXO1618" i="1"/>
  <c r="TXN1618" i="1"/>
  <c r="TXM1618" i="1"/>
  <c r="TXL1618" i="1"/>
  <c r="TXK1618" i="1"/>
  <c r="TXJ1618" i="1"/>
  <c r="TXI1618" i="1"/>
  <c r="TXH1618" i="1"/>
  <c r="TXG1618" i="1"/>
  <c r="TXF1618" i="1"/>
  <c r="TXE1618" i="1"/>
  <c r="TXD1618" i="1"/>
  <c r="TXC1618" i="1"/>
  <c r="TXB1618" i="1"/>
  <c r="TXA1618" i="1"/>
  <c r="TWZ1618" i="1"/>
  <c r="TWY1618" i="1"/>
  <c r="TWX1618" i="1"/>
  <c r="TWW1618" i="1"/>
  <c r="TWV1618" i="1"/>
  <c r="TWU1618" i="1"/>
  <c r="TWT1618" i="1"/>
  <c r="TWS1618" i="1"/>
  <c r="TWR1618" i="1"/>
  <c r="TWQ1618" i="1"/>
  <c r="TWP1618" i="1"/>
  <c r="TWO1618" i="1"/>
  <c r="TWN1618" i="1"/>
  <c r="TWM1618" i="1"/>
  <c r="TWL1618" i="1"/>
  <c r="TWK1618" i="1"/>
  <c r="TWJ1618" i="1"/>
  <c r="TWI1618" i="1"/>
  <c r="TWH1618" i="1"/>
  <c r="TWG1618" i="1"/>
  <c r="TWF1618" i="1"/>
  <c r="TWE1618" i="1"/>
  <c r="TWD1618" i="1"/>
  <c r="TWC1618" i="1"/>
  <c r="TWB1618" i="1"/>
  <c r="TWA1618" i="1"/>
  <c r="TVZ1618" i="1"/>
  <c r="TVY1618" i="1"/>
  <c r="TVX1618" i="1"/>
  <c r="TVW1618" i="1"/>
  <c r="TVV1618" i="1"/>
  <c r="TVU1618" i="1"/>
  <c r="TVT1618" i="1"/>
  <c r="TVS1618" i="1"/>
  <c r="TVR1618" i="1"/>
  <c r="TVQ1618" i="1"/>
  <c r="TVP1618" i="1"/>
  <c r="TVO1618" i="1"/>
  <c r="TVN1618" i="1"/>
  <c r="TVM1618" i="1"/>
  <c r="TVL1618" i="1"/>
  <c r="TVK1618" i="1"/>
  <c r="TVJ1618" i="1"/>
  <c r="TVI1618" i="1"/>
  <c r="TVH1618" i="1"/>
  <c r="TVG1618" i="1"/>
  <c r="TVF1618" i="1"/>
  <c r="TVE1618" i="1"/>
  <c r="TVD1618" i="1"/>
  <c r="TVC1618" i="1"/>
  <c r="TVB1618" i="1"/>
  <c r="TVA1618" i="1"/>
  <c r="TUZ1618" i="1"/>
  <c r="TUY1618" i="1"/>
  <c r="TUX1618" i="1"/>
  <c r="TUW1618" i="1"/>
  <c r="TUV1618" i="1"/>
  <c r="TUU1618" i="1"/>
  <c r="TUT1618" i="1"/>
  <c r="TUS1618" i="1"/>
  <c r="TUR1618" i="1"/>
  <c r="TUQ1618" i="1"/>
  <c r="TUP1618" i="1"/>
  <c r="TUO1618" i="1"/>
  <c r="TUN1618" i="1"/>
  <c r="TUM1618" i="1"/>
  <c r="TUL1618" i="1"/>
  <c r="TUK1618" i="1"/>
  <c r="TUJ1618" i="1"/>
  <c r="TUI1618" i="1"/>
  <c r="TUH1618" i="1"/>
  <c r="TUG1618" i="1"/>
  <c r="TUF1618" i="1"/>
  <c r="TUE1618" i="1"/>
  <c r="TUD1618" i="1"/>
  <c r="TUC1618" i="1"/>
  <c r="TUB1618" i="1"/>
  <c r="TUA1618" i="1"/>
  <c r="TTZ1618" i="1"/>
  <c r="TTY1618" i="1"/>
  <c r="TTX1618" i="1"/>
  <c r="TTW1618" i="1"/>
  <c r="TTV1618" i="1"/>
  <c r="TTU1618" i="1"/>
  <c r="TTT1618" i="1"/>
  <c r="TTS1618" i="1"/>
  <c r="TTR1618" i="1"/>
  <c r="TTQ1618" i="1"/>
  <c r="TTP1618" i="1"/>
  <c r="TTO1618" i="1"/>
  <c r="TTN1618" i="1"/>
  <c r="TTM1618" i="1"/>
  <c r="TTL1618" i="1"/>
  <c r="TTK1618" i="1"/>
  <c r="TTJ1618" i="1"/>
  <c r="TTI1618" i="1"/>
  <c r="TTH1618" i="1"/>
  <c r="TTG1618" i="1"/>
  <c r="TTF1618" i="1"/>
  <c r="TTE1618" i="1"/>
  <c r="TTD1618" i="1"/>
  <c r="TTC1618" i="1"/>
  <c r="TTB1618" i="1"/>
  <c r="TTA1618" i="1"/>
  <c r="TSZ1618" i="1"/>
  <c r="TSY1618" i="1"/>
  <c r="TSX1618" i="1"/>
  <c r="TSW1618" i="1"/>
  <c r="TSV1618" i="1"/>
  <c r="TSU1618" i="1"/>
  <c r="TST1618" i="1"/>
  <c r="TSS1618" i="1"/>
  <c r="TSR1618" i="1"/>
  <c r="TSQ1618" i="1"/>
  <c r="TSP1618" i="1"/>
  <c r="TSO1618" i="1"/>
  <c r="TSN1618" i="1"/>
  <c r="TSM1618" i="1"/>
  <c r="TSL1618" i="1"/>
  <c r="TSK1618" i="1"/>
  <c r="TSJ1618" i="1"/>
  <c r="TSI1618" i="1"/>
  <c r="TSH1618" i="1"/>
  <c r="TSG1618" i="1"/>
  <c r="TSF1618" i="1"/>
  <c r="TSE1618" i="1"/>
  <c r="TSD1618" i="1"/>
  <c r="TSC1618" i="1"/>
  <c r="TSB1618" i="1"/>
  <c r="TSA1618" i="1"/>
  <c r="TRZ1618" i="1"/>
  <c r="TRY1618" i="1"/>
  <c r="TRX1618" i="1"/>
  <c r="TRW1618" i="1"/>
  <c r="TRV1618" i="1"/>
  <c r="TRU1618" i="1"/>
  <c r="TRT1618" i="1"/>
  <c r="TRS1618" i="1"/>
  <c r="TRR1618" i="1"/>
  <c r="TRQ1618" i="1"/>
  <c r="TRP1618" i="1"/>
  <c r="TRO1618" i="1"/>
  <c r="TRN1618" i="1"/>
  <c r="TRM1618" i="1"/>
  <c r="TRL1618" i="1"/>
  <c r="TRK1618" i="1"/>
  <c r="TRJ1618" i="1"/>
  <c r="TRI1618" i="1"/>
  <c r="TRH1618" i="1"/>
  <c r="TRG1618" i="1"/>
  <c r="TRF1618" i="1"/>
  <c r="TRE1618" i="1"/>
  <c r="TRD1618" i="1"/>
  <c r="TRC1618" i="1"/>
  <c r="TRB1618" i="1"/>
  <c r="TRA1618" i="1"/>
  <c r="TQZ1618" i="1"/>
  <c r="TQY1618" i="1"/>
  <c r="TQX1618" i="1"/>
  <c r="TQW1618" i="1"/>
  <c r="TQV1618" i="1"/>
  <c r="TQU1618" i="1"/>
  <c r="TQT1618" i="1"/>
  <c r="TQS1618" i="1"/>
  <c r="TQR1618" i="1"/>
  <c r="TQQ1618" i="1"/>
  <c r="TQP1618" i="1"/>
  <c r="TQO1618" i="1"/>
  <c r="TQN1618" i="1"/>
  <c r="TQM1618" i="1"/>
  <c r="TQL1618" i="1"/>
  <c r="TQK1618" i="1"/>
  <c r="TQJ1618" i="1"/>
  <c r="TQI1618" i="1"/>
  <c r="TQH1618" i="1"/>
  <c r="TQG1618" i="1"/>
  <c r="TQF1618" i="1"/>
  <c r="TQE1618" i="1"/>
  <c r="TQD1618" i="1"/>
  <c r="TQC1618" i="1"/>
  <c r="TQB1618" i="1"/>
  <c r="TQA1618" i="1"/>
  <c r="TPZ1618" i="1"/>
  <c r="TPY1618" i="1"/>
  <c r="TPX1618" i="1"/>
  <c r="TPW1618" i="1"/>
  <c r="TPV1618" i="1"/>
  <c r="TPU1618" i="1"/>
  <c r="TPT1618" i="1"/>
  <c r="TPS1618" i="1"/>
  <c r="TPR1618" i="1"/>
  <c r="TPQ1618" i="1"/>
  <c r="TPP1618" i="1"/>
  <c r="TPO1618" i="1"/>
  <c r="TPN1618" i="1"/>
  <c r="TPM1618" i="1"/>
  <c r="TPL1618" i="1"/>
  <c r="TPK1618" i="1"/>
  <c r="TPJ1618" i="1"/>
  <c r="TPI1618" i="1"/>
  <c r="TPH1618" i="1"/>
  <c r="TPG1618" i="1"/>
  <c r="TPF1618" i="1"/>
  <c r="TPE1618" i="1"/>
  <c r="TPD1618" i="1"/>
  <c r="TPC1618" i="1"/>
  <c r="TPB1618" i="1"/>
  <c r="TPA1618" i="1"/>
  <c r="TOZ1618" i="1"/>
  <c r="TOY1618" i="1"/>
  <c r="TOX1618" i="1"/>
  <c r="TOW1618" i="1"/>
  <c r="TOV1618" i="1"/>
  <c r="TOU1618" i="1"/>
  <c r="TOT1618" i="1"/>
  <c r="TOS1618" i="1"/>
  <c r="TOR1618" i="1"/>
  <c r="TOQ1618" i="1"/>
  <c r="TOP1618" i="1"/>
  <c r="TOO1618" i="1"/>
  <c r="TON1618" i="1"/>
  <c r="TOM1618" i="1"/>
  <c r="TOL1618" i="1"/>
  <c r="TOK1618" i="1"/>
  <c r="TOJ1618" i="1"/>
  <c r="TOI1618" i="1"/>
  <c r="TOH1618" i="1"/>
  <c r="TOG1618" i="1"/>
  <c r="TOF1618" i="1"/>
  <c r="TOE1618" i="1"/>
  <c r="TOD1618" i="1"/>
  <c r="TOC1618" i="1"/>
  <c r="TOB1618" i="1"/>
  <c r="TOA1618" i="1"/>
  <c r="TNZ1618" i="1"/>
  <c r="TNY1618" i="1"/>
  <c r="TNX1618" i="1"/>
  <c r="TNW1618" i="1"/>
  <c r="TNV1618" i="1"/>
  <c r="TNU1618" i="1"/>
  <c r="TNT1618" i="1"/>
  <c r="TNS1618" i="1"/>
  <c r="TNR1618" i="1"/>
  <c r="TNQ1618" i="1"/>
  <c r="TNP1618" i="1"/>
  <c r="TNO1618" i="1"/>
  <c r="TNN1618" i="1"/>
  <c r="TNM1618" i="1"/>
  <c r="TNL1618" i="1"/>
  <c r="TNK1618" i="1"/>
  <c r="TNJ1618" i="1"/>
  <c r="TNI1618" i="1"/>
  <c r="TNH1618" i="1"/>
  <c r="TNG1618" i="1"/>
  <c r="TNF1618" i="1"/>
  <c r="TNE1618" i="1"/>
  <c r="TND1618" i="1"/>
  <c r="TNC1618" i="1"/>
  <c r="TNB1618" i="1"/>
  <c r="TNA1618" i="1"/>
  <c r="TMZ1618" i="1"/>
  <c r="TMY1618" i="1"/>
  <c r="TMX1618" i="1"/>
  <c r="TMW1618" i="1"/>
  <c r="TMV1618" i="1"/>
  <c r="TMU1618" i="1"/>
  <c r="TMT1618" i="1"/>
  <c r="TMS1618" i="1"/>
  <c r="TMR1618" i="1"/>
  <c r="TMQ1618" i="1"/>
  <c r="TMP1618" i="1"/>
  <c r="TMO1618" i="1"/>
  <c r="TMN1618" i="1"/>
  <c r="TMM1618" i="1"/>
  <c r="TML1618" i="1"/>
  <c r="TMK1618" i="1"/>
  <c r="TMJ1618" i="1"/>
  <c r="TMI1618" i="1"/>
  <c r="TMH1618" i="1"/>
  <c r="TMG1618" i="1"/>
  <c r="TMF1618" i="1"/>
  <c r="TME1618" i="1"/>
  <c r="TMD1618" i="1"/>
  <c r="TMC1618" i="1"/>
  <c r="TMB1618" i="1"/>
  <c r="TMA1618" i="1"/>
  <c r="TLZ1618" i="1"/>
  <c r="TLY1618" i="1"/>
  <c r="TLX1618" i="1"/>
  <c r="TLW1618" i="1"/>
  <c r="TLV1618" i="1"/>
  <c r="TLU1618" i="1"/>
  <c r="TLT1618" i="1"/>
  <c r="TLS1618" i="1"/>
  <c r="TLR1618" i="1"/>
  <c r="TLQ1618" i="1"/>
  <c r="TLP1618" i="1"/>
  <c r="TLO1618" i="1"/>
  <c r="TLN1618" i="1"/>
  <c r="TLM1618" i="1"/>
  <c r="TLL1618" i="1"/>
  <c r="TLK1618" i="1"/>
  <c r="TLJ1618" i="1"/>
  <c r="TLI1618" i="1"/>
  <c r="TLH1618" i="1"/>
  <c r="TLG1618" i="1"/>
  <c r="TLF1618" i="1"/>
  <c r="TLE1618" i="1"/>
  <c r="TLD1618" i="1"/>
  <c r="TLC1618" i="1"/>
  <c r="TLB1618" i="1"/>
  <c r="TLA1618" i="1"/>
  <c r="TKZ1618" i="1"/>
  <c r="TKY1618" i="1"/>
  <c r="TKX1618" i="1"/>
  <c r="TKW1618" i="1"/>
  <c r="TKV1618" i="1"/>
  <c r="TKU1618" i="1"/>
  <c r="TKT1618" i="1"/>
  <c r="TKS1618" i="1"/>
  <c r="TKR1618" i="1"/>
  <c r="TKQ1618" i="1"/>
  <c r="TKP1618" i="1"/>
  <c r="TKO1618" i="1"/>
  <c r="TKN1618" i="1"/>
  <c r="TKM1618" i="1"/>
  <c r="TKL1618" i="1"/>
  <c r="TKK1618" i="1"/>
  <c r="TKJ1618" i="1"/>
  <c r="TKI1618" i="1"/>
  <c r="TKH1618" i="1"/>
  <c r="TKG1618" i="1"/>
  <c r="TKF1618" i="1"/>
  <c r="TKE1618" i="1"/>
  <c r="TKD1618" i="1"/>
  <c r="TKC1618" i="1"/>
  <c r="TKB1618" i="1"/>
  <c r="TKA1618" i="1"/>
  <c r="TJZ1618" i="1"/>
  <c r="TJY1618" i="1"/>
  <c r="TJX1618" i="1"/>
  <c r="TJW1618" i="1"/>
  <c r="TJV1618" i="1"/>
  <c r="TJU1618" i="1"/>
  <c r="TJT1618" i="1"/>
  <c r="TJS1618" i="1"/>
  <c r="TJR1618" i="1"/>
  <c r="TJQ1618" i="1"/>
  <c r="TJP1618" i="1"/>
  <c r="TJO1618" i="1"/>
  <c r="TJN1618" i="1"/>
  <c r="TJM1618" i="1"/>
  <c r="TJL1618" i="1"/>
  <c r="TJK1618" i="1"/>
  <c r="TJJ1618" i="1"/>
  <c r="TJI1618" i="1"/>
  <c r="TJH1618" i="1"/>
  <c r="TJG1618" i="1"/>
  <c r="TJF1618" i="1"/>
  <c r="TJE1618" i="1"/>
  <c r="TJD1618" i="1"/>
  <c r="TJC1618" i="1"/>
  <c r="TJB1618" i="1"/>
  <c r="TJA1618" i="1"/>
  <c r="TIZ1618" i="1"/>
  <c r="TIY1618" i="1"/>
  <c r="TIX1618" i="1"/>
  <c r="TIW1618" i="1"/>
  <c r="TIV1618" i="1"/>
  <c r="TIU1618" i="1"/>
  <c r="TIT1618" i="1"/>
  <c r="TIS1618" i="1"/>
  <c r="TIR1618" i="1"/>
  <c r="TIQ1618" i="1"/>
  <c r="TIP1618" i="1"/>
  <c r="TIO1618" i="1"/>
  <c r="TIN1618" i="1"/>
  <c r="TIM1618" i="1"/>
  <c r="TIL1618" i="1"/>
  <c r="TIK1618" i="1"/>
  <c r="TIJ1618" i="1"/>
  <c r="TII1618" i="1"/>
  <c r="TIH1618" i="1"/>
  <c r="TIG1618" i="1"/>
  <c r="TIF1618" i="1"/>
  <c r="TIE1618" i="1"/>
  <c r="TID1618" i="1"/>
  <c r="TIC1618" i="1"/>
  <c r="TIB1618" i="1"/>
  <c r="TIA1618" i="1"/>
  <c r="THZ1618" i="1"/>
  <c r="THY1618" i="1"/>
  <c r="THX1618" i="1"/>
  <c r="THW1618" i="1"/>
  <c r="THV1618" i="1"/>
  <c r="THU1618" i="1"/>
  <c r="THT1618" i="1"/>
  <c r="THS1618" i="1"/>
  <c r="THR1618" i="1"/>
  <c r="THQ1618" i="1"/>
  <c r="THP1618" i="1"/>
  <c r="THO1618" i="1"/>
  <c r="THN1618" i="1"/>
  <c r="THM1618" i="1"/>
  <c r="THL1618" i="1"/>
  <c r="THK1618" i="1"/>
  <c r="THJ1618" i="1"/>
  <c r="THI1618" i="1"/>
  <c r="THH1618" i="1"/>
  <c r="THG1618" i="1"/>
  <c r="THF1618" i="1"/>
  <c r="THE1618" i="1"/>
  <c r="THD1618" i="1"/>
  <c r="THC1618" i="1"/>
  <c r="THB1618" i="1"/>
  <c r="THA1618" i="1"/>
  <c r="TGZ1618" i="1"/>
  <c r="TGY1618" i="1"/>
  <c r="TGX1618" i="1"/>
  <c r="TGW1618" i="1"/>
  <c r="TGV1618" i="1"/>
  <c r="TGU1618" i="1"/>
  <c r="TGT1618" i="1"/>
  <c r="TGS1618" i="1"/>
  <c r="TGR1618" i="1"/>
  <c r="TGQ1618" i="1"/>
  <c r="TGP1618" i="1"/>
  <c r="TGO1618" i="1"/>
  <c r="TGN1618" i="1"/>
  <c r="TGM1618" i="1"/>
  <c r="TGL1618" i="1"/>
  <c r="TGK1618" i="1"/>
  <c r="TGJ1618" i="1"/>
  <c r="TGI1618" i="1"/>
  <c r="TGH1618" i="1"/>
  <c r="TGG1618" i="1"/>
  <c r="TGF1618" i="1"/>
  <c r="TGE1618" i="1"/>
  <c r="TGD1618" i="1"/>
  <c r="TGC1618" i="1"/>
  <c r="TGB1618" i="1"/>
  <c r="TGA1618" i="1"/>
  <c r="TFZ1618" i="1"/>
  <c r="TFY1618" i="1"/>
  <c r="TFX1618" i="1"/>
  <c r="TFW1618" i="1"/>
  <c r="TFV1618" i="1"/>
  <c r="TFU1618" i="1"/>
  <c r="TFT1618" i="1"/>
  <c r="TFS1618" i="1"/>
  <c r="TFR1618" i="1"/>
  <c r="TFQ1618" i="1"/>
  <c r="TFP1618" i="1"/>
  <c r="TFO1618" i="1"/>
  <c r="TFN1618" i="1"/>
  <c r="TFM1618" i="1"/>
  <c r="TFL1618" i="1"/>
  <c r="TFK1618" i="1"/>
  <c r="TFJ1618" i="1"/>
  <c r="TFI1618" i="1"/>
  <c r="TFH1618" i="1"/>
  <c r="TFG1618" i="1"/>
  <c r="TFF1618" i="1"/>
  <c r="TFE1618" i="1"/>
  <c r="TFD1618" i="1"/>
  <c r="TFC1618" i="1"/>
  <c r="TFB1618" i="1"/>
  <c r="TFA1618" i="1"/>
  <c r="TEZ1618" i="1"/>
  <c r="TEY1618" i="1"/>
  <c r="TEX1618" i="1"/>
  <c r="TEW1618" i="1"/>
  <c r="TEV1618" i="1"/>
  <c r="TEU1618" i="1"/>
  <c r="TET1618" i="1"/>
  <c r="TES1618" i="1"/>
  <c r="TER1618" i="1"/>
  <c r="TEQ1618" i="1"/>
  <c r="TEP1618" i="1"/>
  <c r="TEO1618" i="1"/>
  <c r="TEN1618" i="1"/>
  <c r="TEM1618" i="1"/>
  <c r="TEL1618" i="1"/>
  <c r="TEK1618" i="1"/>
  <c r="TEJ1618" i="1"/>
  <c r="TEI1618" i="1"/>
  <c r="TEH1618" i="1"/>
  <c r="TEG1618" i="1"/>
  <c r="TEF1618" i="1"/>
  <c r="TEE1618" i="1"/>
  <c r="TED1618" i="1"/>
  <c r="TEC1618" i="1"/>
  <c r="TEB1618" i="1"/>
  <c r="TEA1618" i="1"/>
  <c r="TDZ1618" i="1"/>
  <c r="TDY1618" i="1"/>
  <c r="TDX1618" i="1"/>
  <c r="TDW1618" i="1"/>
  <c r="TDV1618" i="1"/>
  <c r="TDU1618" i="1"/>
  <c r="TDT1618" i="1"/>
  <c r="TDS1618" i="1"/>
  <c r="TDR1618" i="1"/>
  <c r="TDQ1618" i="1"/>
  <c r="TDP1618" i="1"/>
  <c r="TDO1618" i="1"/>
  <c r="TDN1618" i="1"/>
  <c r="TDM1618" i="1"/>
  <c r="TDL1618" i="1"/>
  <c r="TDK1618" i="1"/>
  <c r="TDJ1618" i="1"/>
  <c r="TDI1618" i="1"/>
  <c r="TDH1618" i="1"/>
  <c r="TDG1618" i="1"/>
  <c r="TDF1618" i="1"/>
  <c r="TDE1618" i="1"/>
  <c r="TDD1618" i="1"/>
  <c r="TDC1618" i="1"/>
  <c r="TDB1618" i="1"/>
  <c r="TDA1618" i="1"/>
  <c r="TCZ1618" i="1"/>
  <c r="TCY1618" i="1"/>
  <c r="TCX1618" i="1"/>
  <c r="TCW1618" i="1"/>
  <c r="TCV1618" i="1"/>
  <c r="TCU1618" i="1"/>
  <c r="TCT1618" i="1"/>
  <c r="TCS1618" i="1"/>
  <c r="TCR1618" i="1"/>
  <c r="TCQ1618" i="1"/>
  <c r="TCP1618" i="1"/>
  <c r="TCO1618" i="1"/>
  <c r="TCN1618" i="1"/>
  <c r="TCM1618" i="1"/>
  <c r="TCL1618" i="1"/>
  <c r="TCK1618" i="1"/>
  <c r="TCJ1618" i="1"/>
  <c r="TCI1618" i="1"/>
  <c r="TCH1618" i="1"/>
  <c r="TCG1618" i="1"/>
  <c r="TCF1618" i="1"/>
  <c r="TCE1618" i="1"/>
  <c r="TCD1618" i="1"/>
  <c r="TCC1618" i="1"/>
  <c r="TCB1618" i="1"/>
  <c r="TCA1618" i="1"/>
  <c r="TBZ1618" i="1"/>
  <c r="TBY1618" i="1"/>
  <c r="TBX1618" i="1"/>
  <c r="TBW1618" i="1"/>
  <c r="TBV1618" i="1"/>
  <c r="TBU1618" i="1"/>
  <c r="TBT1618" i="1"/>
  <c r="TBS1618" i="1"/>
  <c r="TBR1618" i="1"/>
  <c r="TBQ1618" i="1"/>
  <c r="TBP1618" i="1"/>
  <c r="TBO1618" i="1"/>
  <c r="TBN1618" i="1"/>
  <c r="TBM1618" i="1"/>
  <c r="TBL1618" i="1"/>
  <c r="TBK1618" i="1"/>
  <c r="TBJ1618" i="1"/>
  <c r="TBI1618" i="1"/>
  <c r="TBH1618" i="1"/>
  <c r="TBG1618" i="1"/>
  <c r="TBF1618" i="1"/>
  <c r="TBE1618" i="1"/>
  <c r="TBD1618" i="1"/>
  <c r="TBC1618" i="1"/>
  <c r="TBB1618" i="1"/>
  <c r="TBA1618" i="1"/>
  <c r="TAZ1618" i="1"/>
  <c r="TAY1618" i="1"/>
  <c r="TAX1618" i="1"/>
  <c r="TAW1618" i="1"/>
  <c r="TAV1618" i="1"/>
  <c r="TAU1618" i="1"/>
  <c r="TAT1618" i="1"/>
  <c r="TAS1618" i="1"/>
  <c r="TAR1618" i="1"/>
  <c r="TAQ1618" i="1"/>
  <c r="TAP1618" i="1"/>
  <c r="TAO1618" i="1"/>
  <c r="TAN1618" i="1"/>
  <c r="TAM1618" i="1"/>
  <c r="TAL1618" i="1"/>
  <c r="TAK1618" i="1"/>
  <c r="TAJ1618" i="1"/>
  <c r="TAI1618" i="1"/>
  <c r="TAH1618" i="1"/>
  <c r="TAG1618" i="1"/>
  <c r="TAF1618" i="1"/>
  <c r="TAE1618" i="1"/>
  <c r="TAD1618" i="1"/>
  <c r="TAC1618" i="1"/>
  <c r="TAB1618" i="1"/>
  <c r="TAA1618" i="1"/>
  <c r="SZZ1618" i="1"/>
  <c r="SZY1618" i="1"/>
  <c r="SZX1618" i="1"/>
  <c r="SZW1618" i="1"/>
  <c r="SZV1618" i="1"/>
  <c r="SZU1618" i="1"/>
  <c r="SZT1618" i="1"/>
  <c r="SZS1618" i="1"/>
  <c r="SZR1618" i="1"/>
  <c r="SZQ1618" i="1"/>
  <c r="SZP1618" i="1"/>
  <c r="SZO1618" i="1"/>
  <c r="SZN1618" i="1"/>
  <c r="SZM1618" i="1"/>
  <c r="SZL1618" i="1"/>
  <c r="SZK1618" i="1"/>
  <c r="SZJ1618" i="1"/>
  <c r="SZI1618" i="1"/>
  <c r="SZH1618" i="1"/>
  <c r="SZG1618" i="1"/>
  <c r="SZF1618" i="1"/>
  <c r="SZE1618" i="1"/>
  <c r="SZD1618" i="1"/>
  <c r="SZC1618" i="1"/>
  <c r="SZB1618" i="1"/>
  <c r="SZA1618" i="1"/>
  <c r="SYZ1618" i="1"/>
  <c r="SYY1618" i="1"/>
  <c r="SYX1618" i="1"/>
  <c r="SYW1618" i="1"/>
  <c r="SYV1618" i="1"/>
  <c r="SYU1618" i="1"/>
  <c r="SYT1618" i="1"/>
  <c r="SYS1618" i="1"/>
  <c r="SYR1618" i="1"/>
  <c r="SYQ1618" i="1"/>
  <c r="SYP1618" i="1"/>
  <c r="SYO1618" i="1"/>
  <c r="SYN1618" i="1"/>
  <c r="SYM1618" i="1"/>
  <c r="SYL1618" i="1"/>
  <c r="SYK1618" i="1"/>
  <c r="SYJ1618" i="1"/>
  <c r="SYI1618" i="1"/>
  <c r="SYH1618" i="1"/>
  <c r="SYG1618" i="1"/>
  <c r="SYF1618" i="1"/>
  <c r="SYE1618" i="1"/>
  <c r="SYD1618" i="1"/>
  <c r="SYC1618" i="1"/>
  <c r="SYB1618" i="1"/>
  <c r="SYA1618" i="1"/>
  <c r="SXZ1618" i="1"/>
  <c r="SXY1618" i="1"/>
  <c r="SXX1618" i="1"/>
  <c r="SXW1618" i="1"/>
  <c r="SXV1618" i="1"/>
  <c r="SXU1618" i="1"/>
  <c r="SXT1618" i="1"/>
  <c r="SXS1618" i="1"/>
  <c r="SXR1618" i="1"/>
  <c r="SXQ1618" i="1"/>
  <c r="SXP1618" i="1"/>
  <c r="SXO1618" i="1"/>
  <c r="SXN1618" i="1"/>
  <c r="SXM1618" i="1"/>
  <c r="SXL1618" i="1"/>
  <c r="SXK1618" i="1"/>
  <c r="SXJ1618" i="1"/>
  <c r="SXI1618" i="1"/>
  <c r="SXH1618" i="1"/>
  <c r="SXG1618" i="1"/>
  <c r="SXF1618" i="1"/>
  <c r="SXE1618" i="1"/>
  <c r="SXD1618" i="1"/>
  <c r="SXC1618" i="1"/>
  <c r="SXB1618" i="1"/>
  <c r="SXA1618" i="1"/>
  <c r="SWZ1618" i="1"/>
  <c r="SWY1618" i="1"/>
  <c r="SWX1618" i="1"/>
  <c r="SWW1618" i="1"/>
  <c r="SWV1618" i="1"/>
  <c r="SWU1618" i="1"/>
  <c r="SWT1618" i="1"/>
  <c r="SWS1618" i="1"/>
  <c r="SWR1618" i="1"/>
  <c r="SWQ1618" i="1"/>
  <c r="SWP1618" i="1"/>
  <c r="SWO1618" i="1"/>
  <c r="SWN1618" i="1"/>
  <c r="SWM1618" i="1"/>
  <c r="SWL1618" i="1"/>
  <c r="SWK1618" i="1"/>
  <c r="SWJ1618" i="1"/>
  <c r="SWI1618" i="1"/>
  <c r="SWH1618" i="1"/>
  <c r="SWG1618" i="1"/>
  <c r="SWF1618" i="1"/>
  <c r="SWE1618" i="1"/>
  <c r="SWD1618" i="1"/>
  <c r="SWC1618" i="1"/>
  <c r="SWB1618" i="1"/>
  <c r="SWA1618" i="1"/>
  <c r="SVZ1618" i="1"/>
  <c r="SVY1618" i="1"/>
  <c r="SVX1618" i="1"/>
  <c r="SVW1618" i="1"/>
  <c r="SVV1618" i="1"/>
  <c r="SVU1618" i="1"/>
  <c r="SVT1618" i="1"/>
  <c r="SVS1618" i="1"/>
  <c r="SVR1618" i="1"/>
  <c r="SVQ1618" i="1"/>
  <c r="SVP1618" i="1"/>
  <c r="SVO1618" i="1"/>
  <c r="SVN1618" i="1"/>
  <c r="SVM1618" i="1"/>
  <c r="SVL1618" i="1"/>
  <c r="SVK1618" i="1"/>
  <c r="SVJ1618" i="1"/>
  <c r="SVI1618" i="1"/>
  <c r="SVH1618" i="1"/>
  <c r="SVG1618" i="1"/>
  <c r="SVF1618" i="1"/>
  <c r="SVE1618" i="1"/>
  <c r="SVD1618" i="1"/>
  <c r="SVC1618" i="1"/>
  <c r="SVB1618" i="1"/>
  <c r="SVA1618" i="1"/>
  <c r="SUZ1618" i="1"/>
  <c r="SUY1618" i="1"/>
  <c r="SUX1618" i="1"/>
  <c r="SUW1618" i="1"/>
  <c r="SUV1618" i="1"/>
  <c r="SUU1618" i="1"/>
  <c r="SUT1618" i="1"/>
  <c r="SUS1618" i="1"/>
  <c r="SUR1618" i="1"/>
  <c r="SUQ1618" i="1"/>
  <c r="SUP1618" i="1"/>
  <c r="SUO1618" i="1"/>
  <c r="SUN1618" i="1"/>
  <c r="SUM1618" i="1"/>
  <c r="SUL1618" i="1"/>
  <c r="SUK1618" i="1"/>
  <c r="SUJ1618" i="1"/>
  <c r="SUI1618" i="1"/>
  <c r="SUH1618" i="1"/>
  <c r="SUG1618" i="1"/>
  <c r="SUF1618" i="1"/>
  <c r="SUE1618" i="1"/>
  <c r="SUD1618" i="1"/>
  <c r="SUC1618" i="1"/>
  <c r="SUB1618" i="1"/>
  <c r="SUA1618" i="1"/>
  <c r="STZ1618" i="1"/>
  <c r="STY1618" i="1"/>
  <c r="STX1618" i="1"/>
  <c r="STW1618" i="1"/>
  <c r="STV1618" i="1"/>
  <c r="STU1618" i="1"/>
  <c r="STT1618" i="1"/>
  <c r="STS1618" i="1"/>
  <c r="STR1618" i="1"/>
  <c r="STQ1618" i="1"/>
  <c r="STP1618" i="1"/>
  <c r="STO1618" i="1"/>
  <c r="STN1618" i="1"/>
  <c r="STM1618" i="1"/>
  <c r="STL1618" i="1"/>
  <c r="STK1618" i="1"/>
  <c r="STJ1618" i="1"/>
  <c r="STI1618" i="1"/>
  <c r="STH1618" i="1"/>
  <c r="STG1618" i="1"/>
  <c r="STF1618" i="1"/>
  <c r="STE1618" i="1"/>
  <c r="STD1618" i="1"/>
  <c r="STC1618" i="1"/>
  <c r="STB1618" i="1"/>
  <c r="STA1618" i="1"/>
  <c r="SSZ1618" i="1"/>
  <c r="SSY1618" i="1"/>
  <c r="SSX1618" i="1"/>
  <c r="SSW1618" i="1"/>
  <c r="SSV1618" i="1"/>
  <c r="SSU1618" i="1"/>
  <c r="SST1618" i="1"/>
  <c r="SSS1618" i="1"/>
  <c r="SSR1618" i="1"/>
  <c r="SSQ1618" i="1"/>
  <c r="SSP1618" i="1"/>
  <c r="SSO1618" i="1"/>
  <c r="SSN1618" i="1"/>
  <c r="SSM1618" i="1"/>
  <c r="SSL1618" i="1"/>
  <c r="SSK1618" i="1"/>
  <c r="SSJ1618" i="1"/>
  <c r="SSI1618" i="1"/>
  <c r="SSH1618" i="1"/>
  <c r="SSG1618" i="1"/>
  <c r="SSF1618" i="1"/>
  <c r="SSE1618" i="1"/>
  <c r="SSD1618" i="1"/>
  <c r="SSC1618" i="1"/>
  <c r="SSB1618" i="1"/>
  <c r="SSA1618" i="1"/>
  <c r="SRZ1618" i="1"/>
  <c r="SRY1618" i="1"/>
  <c r="SRX1618" i="1"/>
  <c r="SRW1618" i="1"/>
  <c r="SRV1618" i="1"/>
  <c r="SRU1618" i="1"/>
  <c r="SRT1618" i="1"/>
  <c r="SRS1618" i="1"/>
  <c r="SRR1618" i="1"/>
  <c r="SRQ1618" i="1"/>
  <c r="SRP1618" i="1"/>
  <c r="SRO1618" i="1"/>
  <c r="SRN1618" i="1"/>
  <c r="SRM1618" i="1"/>
  <c r="SRL1618" i="1"/>
  <c r="SRK1618" i="1"/>
  <c r="SRJ1618" i="1"/>
  <c r="SRI1618" i="1"/>
  <c r="SRH1618" i="1"/>
  <c r="SRG1618" i="1"/>
  <c r="SRF1618" i="1"/>
  <c r="SRE1618" i="1"/>
  <c r="SRD1618" i="1"/>
  <c r="SRC1618" i="1"/>
  <c r="SRB1618" i="1"/>
  <c r="SRA1618" i="1"/>
  <c r="SQZ1618" i="1"/>
  <c r="SQY1618" i="1"/>
  <c r="SQX1618" i="1"/>
  <c r="SQW1618" i="1"/>
  <c r="SQV1618" i="1"/>
  <c r="SQU1618" i="1"/>
  <c r="SQT1618" i="1"/>
  <c r="SQS1618" i="1"/>
  <c r="SQR1618" i="1"/>
  <c r="SQQ1618" i="1"/>
  <c r="SQP1618" i="1"/>
  <c r="SQO1618" i="1"/>
  <c r="SQN1618" i="1"/>
  <c r="SQM1618" i="1"/>
  <c r="SQL1618" i="1"/>
  <c r="SQK1618" i="1"/>
  <c r="SQJ1618" i="1"/>
  <c r="SQI1618" i="1"/>
  <c r="SQH1618" i="1"/>
  <c r="SQG1618" i="1"/>
  <c r="SQF1618" i="1"/>
  <c r="SQE1618" i="1"/>
  <c r="SQD1618" i="1"/>
  <c r="SQC1618" i="1"/>
  <c r="SQB1618" i="1"/>
  <c r="SQA1618" i="1"/>
  <c r="SPZ1618" i="1"/>
  <c r="SPY1618" i="1"/>
  <c r="SPX1618" i="1"/>
  <c r="SPW1618" i="1"/>
  <c r="SPV1618" i="1"/>
  <c r="SPU1618" i="1"/>
  <c r="SPT1618" i="1"/>
  <c r="SPS1618" i="1"/>
  <c r="SPR1618" i="1"/>
  <c r="SPQ1618" i="1"/>
  <c r="SPP1618" i="1"/>
  <c r="SPO1618" i="1"/>
  <c r="SPN1618" i="1"/>
  <c r="SPM1618" i="1"/>
  <c r="SPL1618" i="1"/>
  <c r="SPK1618" i="1"/>
  <c r="SPJ1618" i="1"/>
  <c r="SPI1618" i="1"/>
  <c r="SPH1618" i="1"/>
  <c r="SPG1618" i="1"/>
  <c r="SPF1618" i="1"/>
  <c r="SPE1618" i="1"/>
  <c r="SPD1618" i="1"/>
  <c r="SPC1618" i="1"/>
  <c r="SPB1618" i="1"/>
  <c r="SPA1618" i="1"/>
  <c r="SOZ1618" i="1"/>
  <c r="SOY1618" i="1"/>
  <c r="SOX1618" i="1"/>
  <c r="SOW1618" i="1"/>
  <c r="SOV1618" i="1"/>
  <c r="SOU1618" i="1"/>
  <c r="SOT1618" i="1"/>
  <c r="SOS1618" i="1"/>
  <c r="SOR1618" i="1"/>
  <c r="SOQ1618" i="1"/>
  <c r="SOP1618" i="1"/>
  <c r="SOO1618" i="1"/>
  <c r="SON1618" i="1"/>
  <c r="SOM1618" i="1"/>
  <c r="SOL1618" i="1"/>
  <c r="SOK1618" i="1"/>
  <c r="SOJ1618" i="1"/>
  <c r="SOI1618" i="1"/>
  <c r="SOH1618" i="1"/>
  <c r="SOG1618" i="1"/>
  <c r="SOF1618" i="1"/>
  <c r="SOE1618" i="1"/>
  <c r="SOD1618" i="1"/>
  <c r="SOC1618" i="1"/>
  <c r="SOB1618" i="1"/>
  <c r="SOA1618" i="1"/>
  <c r="SNZ1618" i="1"/>
  <c r="SNY1618" i="1"/>
  <c r="SNX1618" i="1"/>
  <c r="SNW1618" i="1"/>
  <c r="SNV1618" i="1"/>
  <c r="SNU1618" i="1"/>
  <c r="SNT1618" i="1"/>
  <c r="SNS1618" i="1"/>
  <c r="SNR1618" i="1"/>
  <c r="SNQ1618" i="1"/>
  <c r="SNP1618" i="1"/>
  <c r="SNO1618" i="1"/>
  <c r="SNN1618" i="1"/>
  <c r="SNM1618" i="1"/>
  <c r="SNL1618" i="1"/>
  <c r="SNK1618" i="1"/>
  <c r="SNJ1618" i="1"/>
  <c r="SNI1618" i="1"/>
  <c r="SNH1618" i="1"/>
  <c r="SNG1618" i="1"/>
  <c r="SNF1618" i="1"/>
  <c r="SNE1618" i="1"/>
  <c r="SND1618" i="1"/>
  <c r="SNC1618" i="1"/>
  <c r="SNB1618" i="1"/>
  <c r="SNA1618" i="1"/>
  <c r="SMZ1618" i="1"/>
  <c r="SMY1618" i="1"/>
  <c r="SMX1618" i="1"/>
  <c r="SMW1618" i="1"/>
  <c r="SMV1618" i="1"/>
  <c r="SMU1618" i="1"/>
  <c r="SMT1618" i="1"/>
  <c r="SMS1618" i="1"/>
  <c r="SMR1618" i="1"/>
  <c r="SMQ1618" i="1"/>
  <c r="SMP1618" i="1"/>
  <c r="SMO1618" i="1"/>
  <c r="SMN1618" i="1"/>
  <c r="SMM1618" i="1"/>
  <c r="SML1618" i="1"/>
  <c r="SMK1618" i="1"/>
  <c r="SMJ1618" i="1"/>
  <c r="SMI1618" i="1"/>
  <c r="SMH1618" i="1"/>
  <c r="SMG1618" i="1"/>
  <c r="SMF1618" i="1"/>
  <c r="SME1618" i="1"/>
  <c r="SMD1618" i="1"/>
  <c r="SMC1618" i="1"/>
  <c r="SMB1618" i="1"/>
  <c r="SMA1618" i="1"/>
  <c r="SLZ1618" i="1"/>
  <c r="SLY1618" i="1"/>
  <c r="SLX1618" i="1"/>
  <c r="SLW1618" i="1"/>
  <c r="SLV1618" i="1"/>
  <c r="SLU1618" i="1"/>
  <c r="SLT1618" i="1"/>
  <c r="SLS1618" i="1"/>
  <c r="SLR1618" i="1"/>
  <c r="SLQ1618" i="1"/>
  <c r="SLP1618" i="1"/>
  <c r="SLO1618" i="1"/>
  <c r="SLN1618" i="1"/>
  <c r="SLM1618" i="1"/>
  <c r="SLL1618" i="1"/>
  <c r="SLK1618" i="1"/>
  <c r="SLJ1618" i="1"/>
  <c r="SLI1618" i="1"/>
  <c r="SLH1618" i="1"/>
  <c r="SLG1618" i="1"/>
  <c r="SLF1618" i="1"/>
  <c r="SLE1618" i="1"/>
  <c r="SLD1618" i="1"/>
  <c r="SLC1618" i="1"/>
  <c r="SLB1618" i="1"/>
  <c r="SLA1618" i="1"/>
  <c r="SKZ1618" i="1"/>
  <c r="SKY1618" i="1"/>
  <c r="SKX1618" i="1"/>
  <c r="SKW1618" i="1"/>
  <c r="SKV1618" i="1"/>
  <c r="SKU1618" i="1"/>
  <c r="SKT1618" i="1"/>
  <c r="SKS1618" i="1"/>
  <c r="SKR1618" i="1"/>
  <c r="SKQ1618" i="1"/>
  <c r="SKP1618" i="1"/>
  <c r="SKO1618" i="1"/>
  <c r="SKN1618" i="1"/>
  <c r="SKM1618" i="1"/>
  <c r="SKL1618" i="1"/>
  <c r="SKK1618" i="1"/>
  <c r="SKJ1618" i="1"/>
  <c r="SKI1618" i="1"/>
  <c r="SKH1618" i="1"/>
  <c r="SKG1618" i="1"/>
  <c r="SKF1618" i="1"/>
  <c r="SKE1618" i="1"/>
  <c r="SKD1618" i="1"/>
  <c r="SKC1618" i="1"/>
  <c r="SKB1618" i="1"/>
  <c r="SKA1618" i="1"/>
  <c r="SJZ1618" i="1"/>
  <c r="SJY1618" i="1"/>
  <c r="SJX1618" i="1"/>
  <c r="SJW1618" i="1"/>
  <c r="SJV1618" i="1"/>
  <c r="SJU1618" i="1"/>
  <c r="SJT1618" i="1"/>
  <c r="SJS1618" i="1"/>
  <c r="SJR1618" i="1"/>
  <c r="SJQ1618" i="1"/>
  <c r="SJP1618" i="1"/>
  <c r="SJO1618" i="1"/>
  <c r="SJN1618" i="1"/>
  <c r="SJM1618" i="1"/>
  <c r="SJL1618" i="1"/>
  <c r="SJK1618" i="1"/>
  <c r="SJJ1618" i="1"/>
  <c r="SJI1618" i="1"/>
  <c r="SJH1618" i="1"/>
  <c r="SJG1618" i="1"/>
  <c r="SJF1618" i="1"/>
  <c r="SJE1618" i="1"/>
  <c r="SJD1618" i="1"/>
  <c r="SJC1618" i="1"/>
  <c r="SJB1618" i="1"/>
  <c r="SJA1618" i="1"/>
  <c r="SIZ1618" i="1"/>
  <c r="SIY1618" i="1"/>
  <c r="SIX1618" i="1"/>
  <c r="SIW1618" i="1"/>
  <c r="SIV1618" i="1"/>
  <c r="SIU1618" i="1"/>
  <c r="SIT1618" i="1"/>
  <c r="SIS1618" i="1"/>
  <c r="SIR1618" i="1"/>
  <c r="SIQ1618" i="1"/>
  <c r="SIP1618" i="1"/>
  <c r="SIO1618" i="1"/>
  <c r="SIN1618" i="1"/>
  <c r="SIM1618" i="1"/>
  <c r="SIL1618" i="1"/>
  <c r="SIK1618" i="1"/>
  <c r="SIJ1618" i="1"/>
  <c r="SII1618" i="1"/>
  <c r="SIH1618" i="1"/>
  <c r="SIG1618" i="1"/>
  <c r="SIF1618" i="1"/>
  <c r="SIE1618" i="1"/>
  <c r="SID1618" i="1"/>
  <c r="SIC1618" i="1"/>
  <c r="SIB1618" i="1"/>
  <c r="SIA1618" i="1"/>
  <c r="SHZ1618" i="1"/>
  <c r="SHY1618" i="1"/>
  <c r="SHX1618" i="1"/>
  <c r="SHW1618" i="1"/>
  <c r="SHV1618" i="1"/>
  <c r="SHU1618" i="1"/>
  <c r="SHT1618" i="1"/>
  <c r="SHS1618" i="1"/>
  <c r="SHR1618" i="1"/>
  <c r="SHQ1618" i="1"/>
  <c r="SHP1618" i="1"/>
  <c r="SHO1618" i="1"/>
  <c r="SHN1618" i="1"/>
  <c r="SHM1618" i="1"/>
  <c r="SHL1618" i="1"/>
  <c r="SHK1618" i="1"/>
  <c r="SHJ1618" i="1"/>
  <c r="SHI1618" i="1"/>
  <c r="SHH1618" i="1"/>
  <c r="SHG1618" i="1"/>
  <c r="SHF1618" i="1"/>
  <c r="SHE1618" i="1"/>
  <c r="SHD1618" i="1"/>
  <c r="SHC1618" i="1"/>
  <c r="SHB1618" i="1"/>
  <c r="SHA1618" i="1"/>
  <c r="SGZ1618" i="1"/>
  <c r="SGY1618" i="1"/>
  <c r="SGX1618" i="1"/>
  <c r="SGW1618" i="1"/>
  <c r="SGV1618" i="1"/>
  <c r="SGU1618" i="1"/>
  <c r="SGT1618" i="1"/>
  <c r="SGS1618" i="1"/>
  <c r="SGR1618" i="1"/>
  <c r="SGQ1618" i="1"/>
  <c r="SGP1618" i="1"/>
  <c r="SGO1618" i="1"/>
  <c r="SGN1618" i="1"/>
  <c r="SGM1618" i="1"/>
  <c r="SGL1618" i="1"/>
  <c r="SGK1618" i="1"/>
  <c r="SGJ1618" i="1"/>
  <c r="SGI1618" i="1"/>
  <c r="SGH1618" i="1"/>
  <c r="SGG1618" i="1"/>
  <c r="SGF1618" i="1"/>
  <c r="SGE1618" i="1"/>
  <c r="SGD1618" i="1"/>
  <c r="SGC1618" i="1"/>
  <c r="SGB1618" i="1"/>
  <c r="SGA1618" i="1"/>
  <c r="SFZ1618" i="1"/>
  <c r="SFY1618" i="1"/>
  <c r="SFX1618" i="1"/>
  <c r="SFW1618" i="1"/>
  <c r="SFV1618" i="1"/>
  <c r="SFU1618" i="1"/>
  <c r="SFT1618" i="1"/>
  <c r="SFS1618" i="1"/>
  <c r="SFR1618" i="1"/>
  <c r="SFQ1618" i="1"/>
  <c r="SFP1618" i="1"/>
  <c r="SFO1618" i="1"/>
  <c r="SFN1618" i="1"/>
  <c r="SFM1618" i="1"/>
  <c r="SFL1618" i="1"/>
  <c r="SFK1618" i="1"/>
  <c r="SFJ1618" i="1"/>
  <c r="SFI1618" i="1"/>
  <c r="SFH1618" i="1"/>
  <c r="SFG1618" i="1"/>
  <c r="SFF1618" i="1"/>
  <c r="SFE1618" i="1"/>
  <c r="SFD1618" i="1"/>
  <c r="SFC1618" i="1"/>
  <c r="SFB1618" i="1"/>
  <c r="SFA1618" i="1"/>
  <c r="SEZ1618" i="1"/>
  <c r="SEY1618" i="1"/>
  <c r="SEX1618" i="1"/>
  <c r="SEW1618" i="1"/>
  <c r="SEV1618" i="1"/>
  <c r="SEU1618" i="1"/>
  <c r="SET1618" i="1"/>
  <c r="SES1618" i="1"/>
  <c r="SER1618" i="1"/>
  <c r="SEQ1618" i="1"/>
  <c r="SEP1618" i="1"/>
  <c r="SEO1618" i="1"/>
  <c r="SEN1618" i="1"/>
  <c r="SEM1618" i="1"/>
  <c r="SEL1618" i="1"/>
  <c r="SEK1618" i="1"/>
  <c r="SEJ1618" i="1"/>
  <c r="SEI1618" i="1"/>
  <c r="SEH1618" i="1"/>
  <c r="SEG1618" i="1"/>
  <c r="SEF1618" i="1"/>
  <c r="SEE1618" i="1"/>
  <c r="SED1618" i="1"/>
  <c r="SEC1618" i="1"/>
  <c r="SEB1618" i="1"/>
  <c r="SEA1618" i="1"/>
  <c r="SDZ1618" i="1"/>
  <c r="SDY1618" i="1"/>
  <c r="SDX1618" i="1"/>
  <c r="SDW1618" i="1"/>
  <c r="SDV1618" i="1"/>
  <c r="SDU1618" i="1"/>
  <c r="SDT1618" i="1"/>
  <c r="SDS1618" i="1"/>
  <c r="SDR1618" i="1"/>
  <c r="SDQ1618" i="1"/>
  <c r="SDP1618" i="1"/>
  <c r="SDO1618" i="1"/>
  <c r="SDN1618" i="1"/>
  <c r="SDM1618" i="1"/>
  <c r="SDL1618" i="1"/>
  <c r="SDK1618" i="1"/>
  <c r="SDJ1618" i="1"/>
  <c r="SDI1618" i="1"/>
  <c r="SDH1618" i="1"/>
  <c r="SDG1618" i="1"/>
  <c r="SDF1618" i="1"/>
  <c r="SDE1618" i="1"/>
  <c r="SDD1618" i="1"/>
  <c r="SDC1618" i="1"/>
  <c r="SDB1618" i="1"/>
  <c r="SDA1618" i="1"/>
  <c r="SCZ1618" i="1"/>
  <c r="SCY1618" i="1"/>
  <c r="SCX1618" i="1"/>
  <c r="SCW1618" i="1"/>
  <c r="SCV1618" i="1"/>
  <c r="SCU1618" i="1"/>
  <c r="SCT1618" i="1"/>
  <c r="SCS1618" i="1"/>
  <c r="SCR1618" i="1"/>
  <c r="SCQ1618" i="1"/>
  <c r="SCP1618" i="1"/>
  <c r="SCO1618" i="1"/>
  <c r="SCN1618" i="1"/>
  <c r="SCM1618" i="1"/>
  <c r="SCL1618" i="1"/>
  <c r="SCK1618" i="1"/>
  <c r="SCJ1618" i="1"/>
  <c r="SCI1618" i="1"/>
  <c r="SCH1618" i="1"/>
  <c r="SCG1618" i="1"/>
  <c r="SCF1618" i="1"/>
  <c r="SCE1618" i="1"/>
  <c r="SCD1618" i="1"/>
  <c r="SCC1618" i="1"/>
  <c r="SCB1618" i="1"/>
  <c r="SCA1618" i="1"/>
  <c r="SBZ1618" i="1"/>
  <c r="SBY1618" i="1"/>
  <c r="SBX1618" i="1"/>
  <c r="SBW1618" i="1"/>
  <c r="SBV1618" i="1"/>
  <c r="SBU1618" i="1"/>
  <c r="SBT1618" i="1"/>
  <c r="SBS1618" i="1"/>
  <c r="SBR1618" i="1"/>
  <c r="SBQ1618" i="1"/>
  <c r="SBP1618" i="1"/>
  <c r="SBO1618" i="1"/>
  <c r="SBN1618" i="1"/>
  <c r="SBM1618" i="1"/>
  <c r="SBL1618" i="1"/>
  <c r="SBK1618" i="1"/>
  <c r="SBJ1618" i="1"/>
  <c r="SBI1618" i="1"/>
  <c r="SBH1618" i="1"/>
  <c r="SBG1618" i="1"/>
  <c r="SBF1618" i="1"/>
  <c r="SBE1618" i="1"/>
  <c r="SBD1618" i="1"/>
  <c r="SBC1618" i="1"/>
  <c r="SBB1618" i="1"/>
  <c r="SBA1618" i="1"/>
  <c r="SAZ1618" i="1"/>
  <c r="SAY1618" i="1"/>
  <c r="SAX1618" i="1"/>
  <c r="SAW1618" i="1"/>
  <c r="SAV1618" i="1"/>
  <c r="SAU1618" i="1"/>
  <c r="SAT1618" i="1"/>
  <c r="SAS1618" i="1"/>
  <c r="SAR1618" i="1"/>
  <c r="SAQ1618" i="1"/>
  <c r="SAP1618" i="1"/>
  <c r="SAO1618" i="1"/>
  <c r="SAN1618" i="1"/>
  <c r="SAM1618" i="1"/>
  <c r="SAL1618" i="1"/>
  <c r="SAK1618" i="1"/>
  <c r="SAJ1618" i="1"/>
  <c r="SAI1618" i="1"/>
  <c r="SAH1618" i="1"/>
  <c r="SAG1618" i="1"/>
  <c r="SAF1618" i="1"/>
  <c r="SAE1618" i="1"/>
  <c r="SAD1618" i="1"/>
  <c r="SAC1618" i="1"/>
  <c r="SAB1618" i="1"/>
  <c r="SAA1618" i="1"/>
  <c r="RZZ1618" i="1"/>
  <c r="RZY1618" i="1"/>
  <c r="RZX1618" i="1"/>
  <c r="RZW1618" i="1"/>
  <c r="RZV1618" i="1"/>
  <c r="RZU1618" i="1"/>
  <c r="RZT1618" i="1"/>
  <c r="RZS1618" i="1"/>
  <c r="RZR1618" i="1"/>
  <c r="RZQ1618" i="1"/>
  <c r="RZP1618" i="1"/>
  <c r="RZO1618" i="1"/>
  <c r="RZN1618" i="1"/>
  <c r="RZM1618" i="1"/>
  <c r="RZL1618" i="1"/>
  <c r="RZK1618" i="1"/>
  <c r="RZJ1618" i="1"/>
  <c r="RZI1618" i="1"/>
  <c r="RZH1618" i="1"/>
  <c r="RZG1618" i="1"/>
  <c r="RZF1618" i="1"/>
  <c r="RZE1618" i="1"/>
  <c r="RZD1618" i="1"/>
  <c r="RZC1618" i="1"/>
  <c r="RZB1618" i="1"/>
  <c r="RZA1618" i="1"/>
  <c r="RYZ1618" i="1"/>
  <c r="RYY1618" i="1"/>
  <c r="RYX1618" i="1"/>
  <c r="RYW1618" i="1"/>
  <c r="RYV1618" i="1"/>
  <c r="RYU1618" i="1"/>
  <c r="RYT1618" i="1"/>
  <c r="RYS1618" i="1"/>
  <c r="RYR1618" i="1"/>
  <c r="RYQ1618" i="1"/>
  <c r="RYP1618" i="1"/>
  <c r="RYO1618" i="1"/>
  <c r="RYN1618" i="1"/>
  <c r="RYM1618" i="1"/>
  <c r="RYL1618" i="1"/>
  <c r="RYK1618" i="1"/>
  <c r="RYJ1618" i="1"/>
  <c r="RYI1618" i="1"/>
  <c r="RYH1618" i="1"/>
  <c r="RYG1618" i="1"/>
  <c r="RYF1618" i="1"/>
  <c r="RYE1618" i="1"/>
  <c r="RYD1618" i="1"/>
  <c r="RYC1618" i="1"/>
  <c r="RYB1618" i="1"/>
  <c r="RYA1618" i="1"/>
  <c r="RXZ1618" i="1"/>
  <c r="RXY1618" i="1"/>
  <c r="RXX1618" i="1"/>
  <c r="RXW1618" i="1"/>
  <c r="RXV1618" i="1"/>
  <c r="RXU1618" i="1"/>
  <c r="RXT1618" i="1"/>
  <c r="RXS1618" i="1"/>
  <c r="RXR1618" i="1"/>
  <c r="RXQ1618" i="1"/>
  <c r="RXP1618" i="1"/>
  <c r="RXO1618" i="1"/>
  <c r="RXN1618" i="1"/>
  <c r="RXM1618" i="1"/>
  <c r="RXL1618" i="1"/>
  <c r="RXK1618" i="1"/>
  <c r="RXJ1618" i="1"/>
  <c r="RXI1618" i="1"/>
  <c r="RXH1618" i="1"/>
  <c r="RXG1618" i="1"/>
  <c r="RXF1618" i="1"/>
  <c r="RXE1618" i="1"/>
  <c r="RXD1618" i="1"/>
  <c r="RXC1618" i="1"/>
  <c r="RXB1618" i="1"/>
  <c r="RXA1618" i="1"/>
  <c r="RWZ1618" i="1"/>
  <c r="RWY1618" i="1"/>
  <c r="RWX1618" i="1"/>
  <c r="RWW1618" i="1"/>
  <c r="RWV1618" i="1"/>
  <c r="RWU1618" i="1"/>
  <c r="RWT1618" i="1"/>
  <c r="RWS1618" i="1"/>
  <c r="RWR1618" i="1"/>
  <c r="RWQ1618" i="1"/>
  <c r="RWP1618" i="1"/>
  <c r="RWO1618" i="1"/>
  <c r="RWN1618" i="1"/>
  <c r="RWM1618" i="1"/>
  <c r="RWL1618" i="1"/>
  <c r="RWK1618" i="1"/>
  <c r="RWJ1618" i="1"/>
  <c r="RWI1618" i="1"/>
  <c r="RWH1618" i="1"/>
  <c r="RWG1618" i="1"/>
  <c r="RWF1618" i="1"/>
  <c r="RWE1618" i="1"/>
  <c r="RWD1618" i="1"/>
  <c r="RWC1618" i="1"/>
  <c r="RWB1618" i="1"/>
  <c r="RWA1618" i="1"/>
  <c r="RVZ1618" i="1"/>
  <c r="RVY1618" i="1"/>
  <c r="RVX1618" i="1"/>
  <c r="RVW1618" i="1"/>
  <c r="RVV1618" i="1"/>
  <c r="RVU1618" i="1"/>
  <c r="RVT1618" i="1"/>
  <c r="RVS1618" i="1"/>
  <c r="RVR1618" i="1"/>
  <c r="RVQ1618" i="1"/>
  <c r="RVP1618" i="1"/>
  <c r="RVO1618" i="1"/>
  <c r="RVN1618" i="1"/>
  <c r="RVM1618" i="1"/>
  <c r="RVL1618" i="1"/>
  <c r="RVK1618" i="1"/>
  <c r="RVJ1618" i="1"/>
  <c r="RVI1618" i="1"/>
  <c r="RVH1618" i="1"/>
  <c r="RVG1618" i="1"/>
  <c r="RVF1618" i="1"/>
  <c r="RVE1618" i="1"/>
  <c r="RVD1618" i="1"/>
  <c r="RVC1618" i="1"/>
  <c r="RVB1618" i="1"/>
  <c r="RVA1618" i="1"/>
  <c r="RUZ1618" i="1"/>
  <c r="RUY1618" i="1"/>
  <c r="RUX1618" i="1"/>
  <c r="RUW1618" i="1"/>
  <c r="RUV1618" i="1"/>
  <c r="RUU1618" i="1"/>
  <c r="RUT1618" i="1"/>
  <c r="RUS1618" i="1"/>
  <c r="RUR1618" i="1"/>
  <c r="RUQ1618" i="1"/>
  <c r="RUP1618" i="1"/>
  <c r="RUO1618" i="1"/>
  <c r="RUN1618" i="1"/>
  <c r="RUM1618" i="1"/>
  <c r="RUL1618" i="1"/>
  <c r="RUK1618" i="1"/>
  <c r="RUJ1618" i="1"/>
  <c r="RUI1618" i="1"/>
  <c r="RUH1618" i="1"/>
  <c r="RUG1618" i="1"/>
  <c r="RUF1618" i="1"/>
  <c r="RUE1618" i="1"/>
  <c r="RUD1618" i="1"/>
  <c r="RUC1618" i="1"/>
  <c r="RUB1618" i="1"/>
  <c r="RUA1618" i="1"/>
  <c r="RTZ1618" i="1"/>
  <c r="RTY1618" i="1"/>
  <c r="RTX1618" i="1"/>
  <c r="RTW1618" i="1"/>
  <c r="RTV1618" i="1"/>
  <c r="RTU1618" i="1"/>
  <c r="RTT1618" i="1"/>
  <c r="RTS1618" i="1"/>
  <c r="RTR1618" i="1"/>
  <c r="RTQ1618" i="1"/>
  <c r="RTP1618" i="1"/>
  <c r="RTO1618" i="1"/>
  <c r="RTN1618" i="1"/>
  <c r="RTM1618" i="1"/>
  <c r="RTL1618" i="1"/>
  <c r="RTK1618" i="1"/>
  <c r="RTJ1618" i="1"/>
  <c r="RTI1618" i="1"/>
  <c r="RTH1618" i="1"/>
  <c r="RTG1618" i="1"/>
  <c r="RTF1618" i="1"/>
  <c r="RTE1618" i="1"/>
  <c r="RTD1618" i="1"/>
  <c r="RTC1618" i="1"/>
  <c r="RTB1618" i="1"/>
  <c r="RTA1618" i="1"/>
  <c r="RSZ1618" i="1"/>
  <c r="RSY1618" i="1"/>
  <c r="RSX1618" i="1"/>
  <c r="RSW1618" i="1"/>
  <c r="RSV1618" i="1"/>
  <c r="RSU1618" i="1"/>
  <c r="RST1618" i="1"/>
  <c r="RSS1618" i="1"/>
  <c r="RSR1618" i="1"/>
  <c r="RSQ1618" i="1"/>
  <c r="RSP1618" i="1"/>
  <c r="RSO1618" i="1"/>
  <c r="RSN1618" i="1"/>
  <c r="RSM1618" i="1"/>
  <c r="RSL1618" i="1"/>
  <c r="RSK1618" i="1"/>
  <c r="RSJ1618" i="1"/>
  <c r="RSI1618" i="1"/>
  <c r="RSH1618" i="1"/>
  <c r="RSG1618" i="1"/>
  <c r="RSF1618" i="1"/>
  <c r="RSE1618" i="1"/>
  <c r="RSD1618" i="1"/>
  <c r="RSC1618" i="1"/>
  <c r="RSB1618" i="1"/>
  <c r="RSA1618" i="1"/>
  <c r="RRZ1618" i="1"/>
  <c r="RRY1618" i="1"/>
  <c r="RRX1618" i="1"/>
  <c r="RRW1618" i="1"/>
  <c r="RRV1618" i="1"/>
  <c r="RRU1618" i="1"/>
  <c r="RRT1618" i="1"/>
  <c r="RRS1618" i="1"/>
  <c r="RRR1618" i="1"/>
  <c r="RRQ1618" i="1"/>
  <c r="RRP1618" i="1"/>
  <c r="RRO1618" i="1"/>
  <c r="RRN1618" i="1"/>
  <c r="RRM1618" i="1"/>
  <c r="RRL1618" i="1"/>
  <c r="RRK1618" i="1"/>
  <c r="RRJ1618" i="1"/>
  <c r="RRI1618" i="1"/>
  <c r="RRH1618" i="1"/>
  <c r="RRG1618" i="1"/>
  <c r="RRF1618" i="1"/>
  <c r="RRE1618" i="1"/>
  <c r="RRD1618" i="1"/>
  <c r="RRC1618" i="1"/>
  <c r="RRB1618" i="1"/>
  <c r="RRA1618" i="1"/>
  <c r="RQZ1618" i="1"/>
  <c r="RQY1618" i="1"/>
  <c r="RQX1618" i="1"/>
  <c r="RQW1618" i="1"/>
  <c r="RQV1618" i="1"/>
  <c r="RQU1618" i="1"/>
  <c r="RQT1618" i="1"/>
  <c r="RQS1618" i="1"/>
  <c r="RQR1618" i="1"/>
  <c r="RQQ1618" i="1"/>
  <c r="RQP1618" i="1"/>
  <c r="RQO1618" i="1"/>
  <c r="RQN1618" i="1"/>
  <c r="RQM1618" i="1"/>
  <c r="RQL1618" i="1"/>
  <c r="RQK1618" i="1"/>
  <c r="RQJ1618" i="1"/>
  <c r="RQI1618" i="1"/>
  <c r="RQH1618" i="1"/>
  <c r="RQG1618" i="1"/>
  <c r="RQF1618" i="1"/>
  <c r="RQE1618" i="1"/>
  <c r="RQD1618" i="1"/>
  <c r="RQC1618" i="1"/>
  <c r="RQB1618" i="1"/>
  <c r="RQA1618" i="1"/>
  <c r="RPZ1618" i="1"/>
  <c r="RPY1618" i="1"/>
  <c r="RPX1618" i="1"/>
  <c r="RPW1618" i="1"/>
  <c r="RPV1618" i="1"/>
  <c r="RPU1618" i="1"/>
  <c r="RPT1618" i="1"/>
  <c r="RPS1618" i="1"/>
  <c r="RPR1618" i="1"/>
  <c r="RPQ1618" i="1"/>
  <c r="RPP1618" i="1"/>
  <c r="RPO1618" i="1"/>
  <c r="RPN1618" i="1"/>
  <c r="RPM1618" i="1"/>
  <c r="RPL1618" i="1"/>
  <c r="RPK1618" i="1"/>
  <c r="RPJ1618" i="1"/>
  <c r="RPI1618" i="1"/>
  <c r="RPH1618" i="1"/>
  <c r="RPG1618" i="1"/>
  <c r="RPF1618" i="1"/>
  <c r="RPE1618" i="1"/>
  <c r="RPD1618" i="1"/>
  <c r="RPC1618" i="1"/>
  <c r="RPB1618" i="1"/>
  <c r="RPA1618" i="1"/>
  <c r="ROZ1618" i="1"/>
  <c r="ROY1618" i="1"/>
  <c r="ROX1618" i="1"/>
  <c r="ROW1618" i="1"/>
  <c r="ROV1618" i="1"/>
  <c r="ROU1618" i="1"/>
  <c r="ROT1618" i="1"/>
  <c r="ROS1618" i="1"/>
  <c r="ROR1618" i="1"/>
  <c r="ROQ1618" i="1"/>
  <c r="ROP1618" i="1"/>
  <c r="ROO1618" i="1"/>
  <c r="RON1618" i="1"/>
  <c r="ROM1618" i="1"/>
  <c r="ROL1618" i="1"/>
  <c r="ROK1618" i="1"/>
  <c r="ROJ1618" i="1"/>
  <c r="ROI1618" i="1"/>
  <c r="ROH1618" i="1"/>
  <c r="ROG1618" i="1"/>
  <c r="ROF1618" i="1"/>
  <c r="ROE1618" i="1"/>
  <c r="ROD1618" i="1"/>
  <c r="ROC1618" i="1"/>
  <c r="ROB1618" i="1"/>
  <c r="ROA1618" i="1"/>
  <c r="RNZ1618" i="1"/>
  <c r="RNY1618" i="1"/>
  <c r="RNX1618" i="1"/>
  <c r="RNW1618" i="1"/>
  <c r="RNV1618" i="1"/>
  <c r="RNU1618" i="1"/>
  <c r="RNT1618" i="1"/>
  <c r="RNS1618" i="1"/>
  <c r="RNR1618" i="1"/>
  <c r="RNQ1618" i="1"/>
  <c r="RNP1618" i="1"/>
  <c r="RNO1618" i="1"/>
  <c r="RNN1618" i="1"/>
  <c r="RNM1618" i="1"/>
  <c r="RNL1618" i="1"/>
  <c r="RNK1618" i="1"/>
  <c r="RNJ1618" i="1"/>
  <c r="RNI1618" i="1"/>
  <c r="RNH1618" i="1"/>
  <c r="RNG1618" i="1"/>
  <c r="RNF1618" i="1"/>
  <c r="RNE1618" i="1"/>
  <c r="RND1618" i="1"/>
  <c r="RNC1618" i="1"/>
  <c r="RNB1618" i="1"/>
  <c r="RNA1618" i="1"/>
  <c r="RMZ1618" i="1"/>
  <c r="RMY1618" i="1"/>
  <c r="RMX1618" i="1"/>
  <c r="RMW1618" i="1"/>
  <c r="RMV1618" i="1"/>
  <c r="RMU1618" i="1"/>
  <c r="RMT1618" i="1"/>
  <c r="RMS1618" i="1"/>
  <c r="RMR1618" i="1"/>
  <c r="RMQ1618" i="1"/>
  <c r="RMP1618" i="1"/>
  <c r="RMO1618" i="1"/>
  <c r="RMN1618" i="1"/>
  <c r="RMM1618" i="1"/>
  <c r="RML1618" i="1"/>
  <c r="RMK1618" i="1"/>
  <c r="RMJ1618" i="1"/>
  <c r="RMI1618" i="1"/>
  <c r="RMH1618" i="1"/>
  <c r="RMG1618" i="1"/>
  <c r="RMF1618" i="1"/>
  <c r="RME1618" i="1"/>
  <c r="RMD1618" i="1"/>
  <c r="RMC1618" i="1"/>
  <c r="RMB1618" i="1"/>
  <c r="RMA1618" i="1"/>
  <c r="RLZ1618" i="1"/>
  <c r="RLY1618" i="1"/>
  <c r="RLX1618" i="1"/>
  <c r="RLW1618" i="1"/>
  <c r="RLV1618" i="1"/>
  <c r="RLU1618" i="1"/>
  <c r="RLT1618" i="1"/>
  <c r="RLS1618" i="1"/>
  <c r="RLR1618" i="1"/>
  <c r="RLQ1618" i="1"/>
  <c r="RLP1618" i="1"/>
  <c r="RLO1618" i="1"/>
  <c r="RLN1618" i="1"/>
  <c r="RLM1618" i="1"/>
  <c r="RLL1618" i="1"/>
  <c r="RLK1618" i="1"/>
  <c r="RLJ1618" i="1"/>
  <c r="RLI1618" i="1"/>
  <c r="RLH1618" i="1"/>
  <c r="RLG1618" i="1"/>
  <c r="RLF1618" i="1"/>
  <c r="RLE1618" i="1"/>
  <c r="RLD1618" i="1"/>
  <c r="RLC1618" i="1"/>
  <c r="RLB1618" i="1"/>
  <c r="RLA1618" i="1"/>
  <c r="RKZ1618" i="1"/>
  <c r="RKY1618" i="1"/>
  <c r="RKX1618" i="1"/>
  <c r="RKW1618" i="1"/>
  <c r="RKV1618" i="1"/>
  <c r="RKU1618" i="1"/>
  <c r="RKT1618" i="1"/>
  <c r="RKS1618" i="1"/>
  <c r="RKR1618" i="1"/>
  <c r="RKQ1618" i="1"/>
  <c r="RKP1618" i="1"/>
  <c r="RKO1618" i="1"/>
  <c r="RKN1618" i="1"/>
  <c r="RKM1618" i="1"/>
  <c r="RKL1618" i="1"/>
  <c r="RKK1618" i="1"/>
  <c r="RKJ1618" i="1"/>
  <c r="RKI1618" i="1"/>
  <c r="RKH1618" i="1"/>
  <c r="RKG1618" i="1"/>
  <c r="RKF1618" i="1"/>
  <c r="RKE1618" i="1"/>
  <c r="RKD1618" i="1"/>
  <c r="RKC1618" i="1"/>
  <c r="RKB1618" i="1"/>
  <c r="RKA1618" i="1"/>
  <c r="RJZ1618" i="1"/>
  <c r="RJY1618" i="1"/>
  <c r="RJX1618" i="1"/>
  <c r="RJW1618" i="1"/>
  <c r="RJV1618" i="1"/>
  <c r="RJU1618" i="1"/>
  <c r="RJT1618" i="1"/>
  <c r="RJS1618" i="1"/>
  <c r="RJR1618" i="1"/>
  <c r="RJQ1618" i="1"/>
  <c r="RJP1618" i="1"/>
  <c r="RJO1618" i="1"/>
  <c r="RJN1618" i="1"/>
  <c r="RJM1618" i="1"/>
  <c r="RJL1618" i="1"/>
  <c r="RJK1618" i="1"/>
  <c r="RJJ1618" i="1"/>
  <c r="RJI1618" i="1"/>
  <c r="RJH1618" i="1"/>
  <c r="RJG1618" i="1"/>
  <c r="RJF1618" i="1"/>
  <c r="RJE1618" i="1"/>
  <c r="RJD1618" i="1"/>
  <c r="RJC1618" i="1"/>
  <c r="RJB1618" i="1"/>
  <c r="RJA1618" i="1"/>
  <c r="RIZ1618" i="1"/>
  <c r="RIY1618" i="1"/>
  <c r="RIX1618" i="1"/>
  <c r="RIW1618" i="1"/>
  <c r="RIV1618" i="1"/>
  <c r="RIU1618" i="1"/>
  <c r="RIT1618" i="1"/>
  <c r="RIS1618" i="1"/>
  <c r="RIR1618" i="1"/>
  <c r="RIQ1618" i="1"/>
  <c r="RIP1618" i="1"/>
  <c r="RIO1618" i="1"/>
  <c r="RIN1618" i="1"/>
  <c r="RIM1618" i="1"/>
  <c r="RIL1618" i="1"/>
  <c r="RIK1618" i="1"/>
  <c r="RIJ1618" i="1"/>
  <c r="RII1618" i="1"/>
  <c r="RIH1618" i="1"/>
  <c r="RIG1618" i="1"/>
  <c r="RIF1618" i="1"/>
  <c r="RIE1618" i="1"/>
  <c r="RID1618" i="1"/>
  <c r="RIC1618" i="1"/>
  <c r="RIB1618" i="1"/>
  <c r="RIA1618" i="1"/>
  <c r="RHZ1618" i="1"/>
  <c r="RHY1618" i="1"/>
  <c r="RHX1618" i="1"/>
  <c r="RHW1618" i="1"/>
  <c r="RHV1618" i="1"/>
  <c r="RHU1618" i="1"/>
  <c r="RHT1618" i="1"/>
  <c r="RHS1618" i="1"/>
  <c r="RHR1618" i="1"/>
  <c r="RHQ1618" i="1"/>
  <c r="RHP1618" i="1"/>
  <c r="RHO1618" i="1"/>
  <c r="RHN1618" i="1"/>
  <c r="RHM1618" i="1"/>
  <c r="RHL1618" i="1"/>
  <c r="RHK1618" i="1"/>
  <c r="RHJ1618" i="1"/>
  <c r="RHI1618" i="1"/>
  <c r="RHH1618" i="1"/>
  <c r="RHG1618" i="1"/>
  <c r="RHF1618" i="1"/>
  <c r="RHE1618" i="1"/>
  <c r="RHD1618" i="1"/>
  <c r="RHC1618" i="1"/>
  <c r="RHB1618" i="1"/>
  <c r="RHA1618" i="1"/>
  <c r="RGZ1618" i="1"/>
  <c r="RGY1618" i="1"/>
  <c r="RGX1618" i="1"/>
  <c r="RGW1618" i="1"/>
  <c r="RGV1618" i="1"/>
  <c r="RGU1618" i="1"/>
  <c r="RGT1618" i="1"/>
  <c r="RGS1618" i="1"/>
  <c r="RGR1618" i="1"/>
  <c r="RGQ1618" i="1"/>
  <c r="RGP1618" i="1"/>
  <c r="RGO1618" i="1"/>
  <c r="RGN1618" i="1"/>
  <c r="RGM1618" i="1"/>
  <c r="RGL1618" i="1"/>
  <c r="RGK1618" i="1"/>
  <c r="RGJ1618" i="1"/>
  <c r="RGI1618" i="1"/>
  <c r="RGH1618" i="1"/>
  <c r="RGG1618" i="1"/>
  <c r="RGF1618" i="1"/>
  <c r="RGE1618" i="1"/>
  <c r="RGD1618" i="1"/>
  <c r="RGC1618" i="1"/>
  <c r="RGB1618" i="1"/>
  <c r="RGA1618" i="1"/>
  <c r="RFZ1618" i="1"/>
  <c r="RFY1618" i="1"/>
  <c r="RFX1618" i="1"/>
  <c r="RFW1618" i="1"/>
  <c r="RFV1618" i="1"/>
  <c r="RFU1618" i="1"/>
  <c r="RFT1618" i="1"/>
  <c r="RFS1618" i="1"/>
  <c r="RFR1618" i="1"/>
  <c r="RFQ1618" i="1"/>
  <c r="RFP1618" i="1"/>
  <c r="RFO1618" i="1"/>
  <c r="RFN1618" i="1"/>
  <c r="RFM1618" i="1"/>
  <c r="RFL1618" i="1"/>
  <c r="RFK1618" i="1"/>
  <c r="RFJ1618" i="1"/>
  <c r="RFI1618" i="1"/>
  <c r="RFH1618" i="1"/>
  <c r="RFG1618" i="1"/>
  <c r="RFF1618" i="1"/>
  <c r="RFE1618" i="1"/>
  <c r="RFD1618" i="1"/>
  <c r="RFC1618" i="1"/>
  <c r="RFB1618" i="1"/>
  <c r="RFA1618" i="1"/>
  <c r="REZ1618" i="1"/>
  <c r="REY1618" i="1"/>
  <c r="REX1618" i="1"/>
  <c r="REW1618" i="1"/>
  <c r="REV1618" i="1"/>
  <c r="REU1618" i="1"/>
  <c r="RET1618" i="1"/>
  <c r="RES1618" i="1"/>
  <c r="RER1618" i="1"/>
  <c r="REQ1618" i="1"/>
  <c r="REP1618" i="1"/>
  <c r="REO1618" i="1"/>
  <c r="REN1618" i="1"/>
  <c r="REM1618" i="1"/>
  <c r="REL1618" i="1"/>
  <c r="REK1618" i="1"/>
  <c r="REJ1618" i="1"/>
  <c r="REI1618" i="1"/>
  <c r="REH1618" i="1"/>
  <c r="REG1618" i="1"/>
  <c r="REF1618" i="1"/>
  <c r="REE1618" i="1"/>
  <c r="RED1618" i="1"/>
  <c r="REC1618" i="1"/>
  <c r="REB1618" i="1"/>
  <c r="REA1618" i="1"/>
  <c r="RDZ1618" i="1"/>
  <c r="RDY1618" i="1"/>
  <c r="RDX1618" i="1"/>
  <c r="RDW1618" i="1"/>
  <c r="RDV1618" i="1"/>
  <c r="RDU1618" i="1"/>
  <c r="RDT1618" i="1"/>
  <c r="RDS1618" i="1"/>
  <c r="RDR1618" i="1"/>
  <c r="RDQ1618" i="1"/>
  <c r="RDP1618" i="1"/>
  <c r="RDO1618" i="1"/>
  <c r="RDN1618" i="1"/>
  <c r="RDM1618" i="1"/>
  <c r="RDL1618" i="1"/>
  <c r="RDK1618" i="1"/>
  <c r="RDJ1618" i="1"/>
  <c r="RDI1618" i="1"/>
  <c r="RDH1618" i="1"/>
  <c r="RDG1618" i="1"/>
  <c r="RDF1618" i="1"/>
  <c r="RDE1618" i="1"/>
  <c r="RDD1618" i="1"/>
  <c r="RDC1618" i="1"/>
  <c r="RDB1618" i="1"/>
  <c r="RDA1618" i="1"/>
  <c r="RCZ1618" i="1"/>
  <c r="RCY1618" i="1"/>
  <c r="RCX1618" i="1"/>
  <c r="RCW1618" i="1"/>
  <c r="RCV1618" i="1"/>
  <c r="RCU1618" i="1"/>
  <c r="RCT1618" i="1"/>
  <c r="RCS1618" i="1"/>
  <c r="RCR1618" i="1"/>
  <c r="RCQ1618" i="1"/>
  <c r="RCP1618" i="1"/>
  <c r="RCO1618" i="1"/>
  <c r="RCN1618" i="1"/>
  <c r="RCM1618" i="1"/>
  <c r="RCL1618" i="1"/>
  <c r="RCK1618" i="1"/>
  <c r="RCJ1618" i="1"/>
  <c r="RCI1618" i="1"/>
  <c r="RCH1618" i="1"/>
  <c r="RCG1618" i="1"/>
  <c r="RCF1618" i="1"/>
  <c r="RCE1618" i="1"/>
  <c r="RCD1618" i="1"/>
  <c r="RCC1618" i="1"/>
  <c r="RCB1618" i="1"/>
  <c r="RCA1618" i="1"/>
  <c r="RBZ1618" i="1"/>
  <c r="RBY1618" i="1"/>
  <c r="RBX1618" i="1"/>
  <c r="RBW1618" i="1"/>
  <c r="RBV1618" i="1"/>
  <c r="RBU1618" i="1"/>
  <c r="RBT1618" i="1"/>
  <c r="RBS1618" i="1"/>
  <c r="RBR1618" i="1"/>
  <c r="RBQ1618" i="1"/>
  <c r="RBP1618" i="1"/>
  <c r="RBO1618" i="1"/>
  <c r="RBN1618" i="1"/>
  <c r="RBM1618" i="1"/>
  <c r="RBL1618" i="1"/>
  <c r="RBK1618" i="1"/>
  <c r="RBJ1618" i="1"/>
  <c r="RBI1618" i="1"/>
  <c r="RBH1618" i="1"/>
  <c r="RBG1618" i="1"/>
  <c r="RBF1618" i="1"/>
  <c r="RBE1618" i="1"/>
  <c r="RBD1618" i="1"/>
  <c r="RBC1618" i="1"/>
  <c r="RBB1618" i="1"/>
  <c r="RBA1618" i="1"/>
  <c r="RAZ1618" i="1"/>
  <c r="RAY1618" i="1"/>
  <c r="RAX1618" i="1"/>
  <c r="RAW1618" i="1"/>
  <c r="RAV1618" i="1"/>
  <c r="RAU1618" i="1"/>
  <c r="RAT1618" i="1"/>
  <c r="RAS1618" i="1"/>
  <c r="RAR1618" i="1"/>
  <c r="RAQ1618" i="1"/>
  <c r="RAP1618" i="1"/>
  <c r="RAO1618" i="1"/>
  <c r="RAN1618" i="1"/>
  <c r="RAM1618" i="1"/>
  <c r="RAL1618" i="1"/>
  <c r="RAK1618" i="1"/>
  <c r="RAJ1618" i="1"/>
  <c r="RAI1618" i="1"/>
  <c r="RAH1618" i="1"/>
  <c r="RAG1618" i="1"/>
  <c r="RAF1618" i="1"/>
  <c r="RAE1618" i="1"/>
  <c r="RAD1618" i="1"/>
  <c r="RAC1618" i="1"/>
  <c r="RAB1618" i="1"/>
  <c r="RAA1618" i="1"/>
  <c r="QZZ1618" i="1"/>
  <c r="QZY1618" i="1"/>
  <c r="QZX1618" i="1"/>
  <c r="QZW1618" i="1"/>
  <c r="QZV1618" i="1"/>
  <c r="QZU1618" i="1"/>
  <c r="QZT1618" i="1"/>
  <c r="QZS1618" i="1"/>
  <c r="QZR1618" i="1"/>
  <c r="QZQ1618" i="1"/>
  <c r="QZP1618" i="1"/>
  <c r="QZO1618" i="1"/>
  <c r="QZN1618" i="1"/>
  <c r="QZM1618" i="1"/>
  <c r="QZL1618" i="1"/>
  <c r="QZK1618" i="1"/>
  <c r="QZJ1618" i="1"/>
  <c r="QZI1618" i="1"/>
  <c r="QZH1618" i="1"/>
  <c r="QZG1618" i="1"/>
  <c r="QZF1618" i="1"/>
  <c r="QZE1618" i="1"/>
  <c r="QZD1618" i="1"/>
  <c r="QZC1618" i="1"/>
  <c r="QZB1618" i="1"/>
  <c r="QZA1618" i="1"/>
  <c r="QYZ1618" i="1"/>
  <c r="QYY1618" i="1"/>
  <c r="QYX1618" i="1"/>
  <c r="QYW1618" i="1"/>
  <c r="QYV1618" i="1"/>
  <c r="QYU1618" i="1"/>
  <c r="QYT1618" i="1"/>
  <c r="QYS1618" i="1"/>
  <c r="QYR1618" i="1"/>
  <c r="QYQ1618" i="1"/>
  <c r="QYP1618" i="1"/>
  <c r="QYO1618" i="1"/>
  <c r="QYN1618" i="1"/>
  <c r="QYM1618" i="1"/>
  <c r="QYL1618" i="1"/>
  <c r="QYK1618" i="1"/>
  <c r="QYJ1618" i="1"/>
  <c r="QYI1618" i="1"/>
  <c r="QYH1618" i="1"/>
  <c r="QYG1618" i="1"/>
  <c r="QYF1618" i="1"/>
  <c r="QYE1618" i="1"/>
  <c r="QYD1618" i="1"/>
  <c r="QYC1618" i="1"/>
  <c r="QYB1618" i="1"/>
  <c r="QYA1618" i="1"/>
  <c r="QXZ1618" i="1"/>
  <c r="QXY1618" i="1"/>
  <c r="QXX1618" i="1"/>
  <c r="QXW1618" i="1"/>
  <c r="QXV1618" i="1"/>
  <c r="QXU1618" i="1"/>
  <c r="QXT1618" i="1"/>
  <c r="QXS1618" i="1"/>
  <c r="QXR1618" i="1"/>
  <c r="QXQ1618" i="1"/>
  <c r="QXP1618" i="1"/>
  <c r="QXO1618" i="1"/>
  <c r="QXN1618" i="1"/>
  <c r="QXM1618" i="1"/>
  <c r="QXL1618" i="1"/>
  <c r="QXK1618" i="1"/>
  <c r="QXJ1618" i="1"/>
  <c r="QXI1618" i="1"/>
  <c r="QXH1618" i="1"/>
  <c r="QXG1618" i="1"/>
  <c r="QXF1618" i="1"/>
  <c r="QXE1618" i="1"/>
  <c r="QXD1618" i="1"/>
  <c r="QXC1618" i="1"/>
  <c r="QXB1618" i="1"/>
  <c r="QXA1618" i="1"/>
  <c r="QWZ1618" i="1"/>
  <c r="QWY1618" i="1"/>
  <c r="QWX1618" i="1"/>
  <c r="QWW1618" i="1"/>
  <c r="QWV1618" i="1"/>
  <c r="QWU1618" i="1"/>
  <c r="QWT1618" i="1"/>
  <c r="QWS1618" i="1"/>
  <c r="QWR1618" i="1"/>
  <c r="QWQ1618" i="1"/>
  <c r="QWP1618" i="1"/>
  <c r="QWO1618" i="1"/>
  <c r="QWN1618" i="1"/>
  <c r="QWM1618" i="1"/>
  <c r="QWL1618" i="1"/>
  <c r="QWK1618" i="1"/>
  <c r="QWJ1618" i="1"/>
  <c r="QWI1618" i="1"/>
  <c r="QWH1618" i="1"/>
  <c r="QWG1618" i="1"/>
  <c r="QWF1618" i="1"/>
  <c r="QWE1618" i="1"/>
  <c r="QWD1618" i="1"/>
  <c r="QWC1618" i="1"/>
  <c r="QWB1618" i="1"/>
  <c r="QWA1618" i="1"/>
  <c r="QVZ1618" i="1"/>
  <c r="QVY1618" i="1"/>
  <c r="QVX1618" i="1"/>
  <c r="QVW1618" i="1"/>
  <c r="QVV1618" i="1"/>
  <c r="QVU1618" i="1"/>
  <c r="QVT1618" i="1"/>
  <c r="QVS1618" i="1"/>
  <c r="QVR1618" i="1"/>
  <c r="QVQ1618" i="1"/>
  <c r="QVP1618" i="1"/>
  <c r="QVO1618" i="1"/>
  <c r="QVN1618" i="1"/>
  <c r="QVM1618" i="1"/>
  <c r="QVL1618" i="1"/>
  <c r="QVK1618" i="1"/>
  <c r="QVJ1618" i="1"/>
  <c r="QVI1618" i="1"/>
  <c r="QVH1618" i="1"/>
  <c r="QVG1618" i="1"/>
  <c r="QVF1618" i="1"/>
  <c r="QVE1618" i="1"/>
  <c r="QVD1618" i="1"/>
  <c r="QVC1618" i="1"/>
  <c r="QVB1618" i="1"/>
  <c r="QVA1618" i="1"/>
  <c r="QUZ1618" i="1"/>
  <c r="QUY1618" i="1"/>
  <c r="QUX1618" i="1"/>
  <c r="QUW1618" i="1"/>
  <c r="QUV1618" i="1"/>
  <c r="QUU1618" i="1"/>
  <c r="QUT1618" i="1"/>
  <c r="QUS1618" i="1"/>
  <c r="QUR1618" i="1"/>
  <c r="QUQ1618" i="1"/>
  <c r="QUP1618" i="1"/>
  <c r="QUO1618" i="1"/>
  <c r="QUN1618" i="1"/>
  <c r="QUM1618" i="1"/>
  <c r="QUL1618" i="1"/>
  <c r="QUK1618" i="1"/>
  <c r="QUJ1618" i="1"/>
  <c r="QUI1618" i="1"/>
  <c r="QUH1618" i="1"/>
  <c r="QUG1618" i="1"/>
  <c r="QUF1618" i="1"/>
  <c r="QUE1618" i="1"/>
  <c r="QUD1618" i="1"/>
  <c r="QUC1618" i="1"/>
  <c r="QUB1618" i="1"/>
  <c r="QUA1618" i="1"/>
  <c r="QTZ1618" i="1"/>
  <c r="QTY1618" i="1"/>
  <c r="QTX1618" i="1"/>
  <c r="QTW1618" i="1"/>
  <c r="QTV1618" i="1"/>
  <c r="QTU1618" i="1"/>
  <c r="QTT1618" i="1"/>
  <c r="QTS1618" i="1"/>
  <c r="QTR1618" i="1"/>
  <c r="QTQ1618" i="1"/>
  <c r="QTP1618" i="1"/>
  <c r="QTO1618" i="1"/>
  <c r="QTN1618" i="1"/>
  <c r="QTM1618" i="1"/>
  <c r="QTL1618" i="1"/>
  <c r="QTK1618" i="1"/>
  <c r="QTJ1618" i="1"/>
  <c r="QTI1618" i="1"/>
  <c r="QTH1618" i="1"/>
  <c r="QTG1618" i="1"/>
  <c r="QTF1618" i="1"/>
  <c r="QTE1618" i="1"/>
  <c r="QTD1618" i="1"/>
  <c r="QTC1618" i="1"/>
  <c r="QTB1618" i="1"/>
  <c r="QTA1618" i="1"/>
  <c r="QSZ1618" i="1"/>
  <c r="QSY1618" i="1"/>
  <c r="QSX1618" i="1"/>
  <c r="QSW1618" i="1"/>
  <c r="QSV1618" i="1"/>
  <c r="QSU1618" i="1"/>
  <c r="QST1618" i="1"/>
  <c r="QSS1618" i="1"/>
  <c r="QSR1618" i="1"/>
  <c r="QSQ1618" i="1"/>
  <c r="QSP1618" i="1"/>
  <c r="QSO1618" i="1"/>
  <c r="QSN1618" i="1"/>
  <c r="QSM1618" i="1"/>
  <c r="QSL1618" i="1"/>
  <c r="QSK1618" i="1"/>
  <c r="QSJ1618" i="1"/>
  <c r="QSI1618" i="1"/>
  <c r="QSH1618" i="1"/>
  <c r="QSG1618" i="1"/>
  <c r="QSF1618" i="1"/>
  <c r="QSE1618" i="1"/>
  <c r="QSD1618" i="1"/>
  <c r="QSC1618" i="1"/>
  <c r="QSB1618" i="1"/>
  <c r="QSA1618" i="1"/>
  <c r="QRZ1618" i="1"/>
  <c r="QRY1618" i="1"/>
  <c r="QRX1618" i="1"/>
  <c r="QRW1618" i="1"/>
  <c r="QRV1618" i="1"/>
  <c r="QRU1618" i="1"/>
  <c r="QRT1618" i="1"/>
  <c r="QRS1618" i="1"/>
  <c r="QRR1618" i="1"/>
  <c r="QRQ1618" i="1"/>
  <c r="QRP1618" i="1"/>
  <c r="QRO1618" i="1"/>
  <c r="QRN1618" i="1"/>
  <c r="QRM1618" i="1"/>
  <c r="QRL1618" i="1"/>
  <c r="QRK1618" i="1"/>
  <c r="QRJ1618" i="1"/>
  <c r="QRI1618" i="1"/>
  <c r="QRH1618" i="1"/>
  <c r="QRG1618" i="1"/>
  <c r="QRF1618" i="1"/>
  <c r="QRE1618" i="1"/>
  <c r="QRD1618" i="1"/>
  <c r="QRC1618" i="1"/>
  <c r="QRB1618" i="1"/>
  <c r="QRA1618" i="1"/>
  <c r="QQZ1618" i="1"/>
  <c r="QQY1618" i="1"/>
  <c r="QQX1618" i="1"/>
  <c r="QQW1618" i="1"/>
  <c r="QQV1618" i="1"/>
  <c r="QQU1618" i="1"/>
  <c r="QQT1618" i="1"/>
  <c r="QQS1618" i="1"/>
  <c r="QQR1618" i="1"/>
  <c r="QQQ1618" i="1"/>
  <c r="QQP1618" i="1"/>
  <c r="QQO1618" i="1"/>
  <c r="QQN1618" i="1"/>
  <c r="QQM1618" i="1"/>
  <c r="QQL1618" i="1"/>
  <c r="QQK1618" i="1"/>
  <c r="QQJ1618" i="1"/>
  <c r="QQI1618" i="1"/>
  <c r="QQH1618" i="1"/>
  <c r="QQG1618" i="1"/>
  <c r="QQF1618" i="1"/>
  <c r="QQE1618" i="1"/>
  <c r="QQD1618" i="1"/>
  <c r="QQC1618" i="1"/>
  <c r="QQB1618" i="1"/>
  <c r="QQA1618" i="1"/>
  <c r="QPZ1618" i="1"/>
  <c r="QPY1618" i="1"/>
  <c r="QPX1618" i="1"/>
  <c r="QPW1618" i="1"/>
  <c r="QPV1618" i="1"/>
  <c r="QPU1618" i="1"/>
  <c r="QPT1618" i="1"/>
  <c r="QPS1618" i="1"/>
  <c r="QPR1618" i="1"/>
  <c r="QPQ1618" i="1"/>
  <c r="QPP1618" i="1"/>
  <c r="QPO1618" i="1"/>
  <c r="QPN1618" i="1"/>
  <c r="QPM1618" i="1"/>
  <c r="QPL1618" i="1"/>
  <c r="QPK1618" i="1"/>
  <c r="QPJ1618" i="1"/>
  <c r="QPI1618" i="1"/>
  <c r="QPH1618" i="1"/>
  <c r="QPG1618" i="1"/>
  <c r="QPF1618" i="1"/>
  <c r="QPE1618" i="1"/>
  <c r="QPD1618" i="1"/>
  <c r="QPC1618" i="1"/>
  <c r="QPB1618" i="1"/>
  <c r="QPA1618" i="1"/>
  <c r="QOZ1618" i="1"/>
  <c r="QOY1618" i="1"/>
  <c r="QOX1618" i="1"/>
  <c r="QOW1618" i="1"/>
  <c r="QOV1618" i="1"/>
  <c r="QOU1618" i="1"/>
  <c r="QOT1618" i="1"/>
  <c r="QOS1618" i="1"/>
  <c r="QOR1618" i="1"/>
  <c r="QOQ1618" i="1"/>
  <c r="QOP1618" i="1"/>
  <c r="QOO1618" i="1"/>
  <c r="QON1618" i="1"/>
  <c r="QOM1618" i="1"/>
  <c r="QOL1618" i="1"/>
  <c r="QOK1618" i="1"/>
  <c r="QOJ1618" i="1"/>
  <c r="QOI1618" i="1"/>
  <c r="QOH1618" i="1"/>
  <c r="QOG1618" i="1"/>
  <c r="QOF1618" i="1"/>
  <c r="QOE1618" i="1"/>
  <c r="QOD1618" i="1"/>
  <c r="QOC1618" i="1"/>
  <c r="QOB1618" i="1"/>
  <c r="QOA1618" i="1"/>
  <c r="QNZ1618" i="1"/>
  <c r="QNY1618" i="1"/>
  <c r="QNX1618" i="1"/>
  <c r="QNW1618" i="1"/>
  <c r="QNV1618" i="1"/>
  <c r="QNU1618" i="1"/>
  <c r="QNT1618" i="1"/>
  <c r="QNS1618" i="1"/>
  <c r="QNR1618" i="1"/>
  <c r="QNQ1618" i="1"/>
  <c r="QNP1618" i="1"/>
  <c r="QNO1618" i="1"/>
  <c r="QNN1618" i="1"/>
  <c r="QNM1618" i="1"/>
  <c r="QNL1618" i="1"/>
  <c r="QNK1618" i="1"/>
  <c r="QNJ1618" i="1"/>
  <c r="QNI1618" i="1"/>
  <c r="QNH1618" i="1"/>
  <c r="QNG1618" i="1"/>
  <c r="QNF1618" i="1"/>
  <c r="QNE1618" i="1"/>
  <c r="QND1618" i="1"/>
  <c r="QNC1618" i="1"/>
  <c r="QNB1618" i="1"/>
  <c r="QNA1618" i="1"/>
  <c r="QMZ1618" i="1"/>
  <c r="QMY1618" i="1"/>
  <c r="QMX1618" i="1"/>
  <c r="QMW1618" i="1"/>
  <c r="QMV1618" i="1"/>
  <c r="QMU1618" i="1"/>
  <c r="QMT1618" i="1"/>
  <c r="QMS1618" i="1"/>
  <c r="QMR1618" i="1"/>
  <c r="QMQ1618" i="1"/>
  <c r="QMP1618" i="1"/>
  <c r="QMO1618" i="1"/>
  <c r="QMN1618" i="1"/>
  <c r="QMM1618" i="1"/>
  <c r="QML1618" i="1"/>
  <c r="QMK1618" i="1"/>
  <c r="QMJ1618" i="1"/>
  <c r="QMI1618" i="1"/>
  <c r="QMH1618" i="1"/>
  <c r="QMG1618" i="1"/>
  <c r="QMF1618" i="1"/>
  <c r="QME1618" i="1"/>
  <c r="QMD1618" i="1"/>
  <c r="QMC1618" i="1"/>
  <c r="QMB1618" i="1"/>
  <c r="QMA1618" i="1"/>
  <c r="QLZ1618" i="1"/>
  <c r="QLY1618" i="1"/>
  <c r="QLX1618" i="1"/>
  <c r="QLW1618" i="1"/>
  <c r="QLV1618" i="1"/>
  <c r="QLU1618" i="1"/>
  <c r="QLT1618" i="1"/>
  <c r="QLS1618" i="1"/>
  <c r="QLR1618" i="1"/>
  <c r="QLQ1618" i="1"/>
  <c r="QLP1618" i="1"/>
  <c r="QLO1618" i="1"/>
  <c r="QLN1618" i="1"/>
  <c r="QLM1618" i="1"/>
  <c r="QLL1618" i="1"/>
  <c r="QLK1618" i="1"/>
  <c r="QLJ1618" i="1"/>
  <c r="QLI1618" i="1"/>
  <c r="QLH1618" i="1"/>
  <c r="QLG1618" i="1"/>
  <c r="QLF1618" i="1"/>
  <c r="QLE1618" i="1"/>
  <c r="QLD1618" i="1"/>
  <c r="QLC1618" i="1"/>
  <c r="QLB1618" i="1"/>
  <c r="QLA1618" i="1"/>
  <c r="QKZ1618" i="1"/>
  <c r="QKY1618" i="1"/>
  <c r="QKX1618" i="1"/>
  <c r="QKW1618" i="1"/>
  <c r="QKV1618" i="1"/>
  <c r="QKU1618" i="1"/>
  <c r="QKT1618" i="1"/>
  <c r="QKS1618" i="1"/>
  <c r="QKR1618" i="1"/>
  <c r="QKQ1618" i="1"/>
  <c r="QKP1618" i="1"/>
  <c r="QKO1618" i="1"/>
  <c r="QKN1618" i="1"/>
  <c r="QKM1618" i="1"/>
  <c r="QKL1618" i="1"/>
  <c r="QKK1618" i="1"/>
  <c r="QKJ1618" i="1"/>
  <c r="QKI1618" i="1"/>
  <c r="QKH1618" i="1"/>
  <c r="QKG1618" i="1"/>
  <c r="QKF1618" i="1"/>
  <c r="QKE1618" i="1"/>
  <c r="QKD1618" i="1"/>
  <c r="QKC1618" i="1"/>
  <c r="QKB1618" i="1"/>
  <c r="QKA1618" i="1"/>
  <c r="QJZ1618" i="1"/>
  <c r="QJY1618" i="1"/>
  <c r="QJX1618" i="1"/>
  <c r="QJW1618" i="1"/>
  <c r="QJV1618" i="1"/>
  <c r="QJU1618" i="1"/>
  <c r="QJT1618" i="1"/>
  <c r="QJS1618" i="1"/>
  <c r="QJR1618" i="1"/>
  <c r="QJQ1618" i="1"/>
  <c r="QJP1618" i="1"/>
  <c r="QJO1618" i="1"/>
  <c r="QJN1618" i="1"/>
  <c r="QJM1618" i="1"/>
  <c r="QJL1618" i="1"/>
  <c r="QJK1618" i="1"/>
  <c r="QJJ1618" i="1"/>
  <c r="QJI1618" i="1"/>
  <c r="QJH1618" i="1"/>
  <c r="QJG1618" i="1"/>
  <c r="QJF1618" i="1"/>
  <c r="QJE1618" i="1"/>
  <c r="QJD1618" i="1"/>
  <c r="QJC1618" i="1"/>
  <c r="QJB1618" i="1"/>
  <c r="QJA1618" i="1"/>
  <c r="QIZ1618" i="1"/>
  <c r="QIY1618" i="1"/>
  <c r="QIX1618" i="1"/>
  <c r="QIW1618" i="1"/>
  <c r="QIV1618" i="1"/>
  <c r="QIU1618" i="1"/>
  <c r="QIT1618" i="1"/>
  <c r="QIS1618" i="1"/>
  <c r="QIR1618" i="1"/>
  <c r="QIQ1618" i="1"/>
  <c r="QIP1618" i="1"/>
  <c r="QIO1618" i="1"/>
  <c r="QIN1618" i="1"/>
  <c r="QIM1618" i="1"/>
  <c r="QIL1618" i="1"/>
  <c r="QIK1618" i="1"/>
  <c r="QIJ1618" i="1"/>
  <c r="QII1618" i="1"/>
  <c r="QIH1618" i="1"/>
  <c r="QIG1618" i="1"/>
  <c r="QIF1618" i="1"/>
  <c r="QIE1618" i="1"/>
  <c r="QID1618" i="1"/>
  <c r="QIC1618" i="1"/>
  <c r="QIB1618" i="1"/>
  <c r="QIA1618" i="1"/>
  <c r="QHZ1618" i="1"/>
  <c r="QHY1618" i="1"/>
  <c r="QHX1618" i="1"/>
  <c r="QHW1618" i="1"/>
  <c r="QHV1618" i="1"/>
  <c r="QHU1618" i="1"/>
  <c r="QHT1618" i="1"/>
  <c r="QHS1618" i="1"/>
  <c r="QHR1618" i="1"/>
  <c r="QHQ1618" i="1"/>
  <c r="QHP1618" i="1"/>
  <c r="QHO1618" i="1"/>
  <c r="QHN1618" i="1"/>
  <c r="QHM1618" i="1"/>
  <c r="QHL1618" i="1"/>
  <c r="QHK1618" i="1"/>
  <c r="QHJ1618" i="1"/>
  <c r="QHI1618" i="1"/>
  <c r="QHH1618" i="1"/>
  <c r="QHG1618" i="1"/>
  <c r="QHF1618" i="1"/>
  <c r="QHE1618" i="1"/>
  <c r="QHD1618" i="1"/>
  <c r="QHC1618" i="1"/>
  <c r="QHB1618" i="1"/>
  <c r="QHA1618" i="1"/>
  <c r="QGZ1618" i="1"/>
  <c r="QGY1618" i="1"/>
  <c r="QGX1618" i="1"/>
  <c r="QGW1618" i="1"/>
  <c r="QGV1618" i="1"/>
  <c r="QGU1618" i="1"/>
  <c r="QGT1618" i="1"/>
  <c r="QGS1618" i="1"/>
  <c r="QGR1618" i="1"/>
  <c r="QGQ1618" i="1"/>
  <c r="QGP1618" i="1"/>
  <c r="QGO1618" i="1"/>
  <c r="QGN1618" i="1"/>
  <c r="QGM1618" i="1"/>
  <c r="QGL1618" i="1"/>
  <c r="QGK1618" i="1"/>
  <c r="QGJ1618" i="1"/>
  <c r="QGI1618" i="1"/>
  <c r="QGH1618" i="1"/>
  <c r="QGG1618" i="1"/>
  <c r="QGF1618" i="1"/>
  <c r="QGE1618" i="1"/>
  <c r="QGD1618" i="1"/>
  <c r="QGC1618" i="1"/>
  <c r="QGB1618" i="1"/>
  <c r="QGA1618" i="1"/>
  <c r="QFZ1618" i="1"/>
  <c r="QFY1618" i="1"/>
  <c r="QFX1618" i="1"/>
  <c r="QFW1618" i="1"/>
  <c r="QFV1618" i="1"/>
  <c r="QFU1618" i="1"/>
  <c r="QFT1618" i="1"/>
  <c r="QFS1618" i="1"/>
  <c r="QFR1618" i="1"/>
  <c r="QFQ1618" i="1"/>
  <c r="QFP1618" i="1"/>
  <c r="QFO1618" i="1"/>
  <c r="QFN1618" i="1"/>
  <c r="QFM1618" i="1"/>
  <c r="QFL1618" i="1"/>
  <c r="QFK1618" i="1"/>
  <c r="QFJ1618" i="1"/>
  <c r="QFI1618" i="1"/>
  <c r="QFH1618" i="1"/>
  <c r="QFG1618" i="1"/>
  <c r="QFF1618" i="1"/>
  <c r="QFE1618" i="1"/>
  <c r="QFD1618" i="1"/>
  <c r="QFC1618" i="1"/>
  <c r="QFB1618" i="1"/>
  <c r="QFA1618" i="1"/>
  <c r="QEZ1618" i="1"/>
  <c r="QEY1618" i="1"/>
  <c r="QEX1618" i="1"/>
  <c r="QEW1618" i="1"/>
  <c r="QEV1618" i="1"/>
  <c r="QEU1618" i="1"/>
  <c r="QET1618" i="1"/>
  <c r="QES1618" i="1"/>
  <c r="QER1618" i="1"/>
  <c r="QEQ1618" i="1"/>
  <c r="QEP1618" i="1"/>
  <c r="QEO1618" i="1"/>
  <c r="QEN1618" i="1"/>
  <c r="QEM1618" i="1"/>
  <c r="QEL1618" i="1"/>
  <c r="QEK1618" i="1"/>
  <c r="QEJ1618" i="1"/>
  <c r="QEI1618" i="1"/>
  <c r="QEH1618" i="1"/>
  <c r="QEG1618" i="1"/>
  <c r="QEF1618" i="1"/>
  <c r="QEE1618" i="1"/>
  <c r="QED1618" i="1"/>
  <c r="QEC1618" i="1"/>
  <c r="QEB1618" i="1"/>
  <c r="QEA1618" i="1"/>
  <c r="QDZ1618" i="1"/>
  <c r="QDY1618" i="1"/>
  <c r="QDX1618" i="1"/>
  <c r="QDW1618" i="1"/>
  <c r="QDV1618" i="1"/>
  <c r="QDU1618" i="1"/>
  <c r="QDT1618" i="1"/>
  <c r="QDS1618" i="1"/>
  <c r="QDR1618" i="1"/>
  <c r="QDQ1618" i="1"/>
  <c r="QDP1618" i="1"/>
  <c r="QDO1618" i="1"/>
  <c r="QDN1618" i="1"/>
  <c r="QDM1618" i="1"/>
  <c r="QDL1618" i="1"/>
  <c r="QDK1618" i="1"/>
  <c r="QDJ1618" i="1"/>
  <c r="QDI1618" i="1"/>
  <c r="QDH1618" i="1"/>
  <c r="QDG1618" i="1"/>
  <c r="QDF1618" i="1"/>
  <c r="QDE1618" i="1"/>
  <c r="QDD1618" i="1"/>
  <c r="QDC1618" i="1"/>
  <c r="QDB1618" i="1"/>
  <c r="QDA1618" i="1"/>
  <c r="QCZ1618" i="1"/>
  <c r="QCY1618" i="1"/>
  <c r="QCX1618" i="1"/>
  <c r="QCW1618" i="1"/>
  <c r="QCV1618" i="1"/>
  <c r="QCU1618" i="1"/>
  <c r="QCT1618" i="1"/>
  <c r="QCS1618" i="1"/>
  <c r="QCR1618" i="1"/>
  <c r="QCQ1618" i="1"/>
  <c r="QCP1618" i="1"/>
  <c r="QCO1618" i="1"/>
  <c r="QCN1618" i="1"/>
  <c r="QCM1618" i="1"/>
  <c r="QCL1618" i="1"/>
  <c r="QCK1618" i="1"/>
  <c r="QCJ1618" i="1"/>
  <c r="QCI1618" i="1"/>
  <c r="QCH1618" i="1"/>
  <c r="QCG1618" i="1"/>
  <c r="QCF1618" i="1"/>
  <c r="QCE1618" i="1"/>
  <c r="QCD1618" i="1"/>
  <c r="QCC1618" i="1"/>
  <c r="QCB1618" i="1"/>
  <c r="QCA1618" i="1"/>
  <c r="QBZ1618" i="1"/>
  <c r="QBY1618" i="1"/>
  <c r="QBX1618" i="1"/>
  <c r="QBW1618" i="1"/>
  <c r="QBV1618" i="1"/>
  <c r="QBU1618" i="1"/>
  <c r="QBT1618" i="1"/>
  <c r="QBS1618" i="1"/>
  <c r="QBR1618" i="1"/>
  <c r="QBQ1618" i="1"/>
  <c r="QBP1618" i="1"/>
  <c r="QBO1618" i="1"/>
  <c r="QBN1618" i="1"/>
  <c r="QBM1618" i="1"/>
  <c r="QBL1618" i="1"/>
  <c r="QBK1618" i="1"/>
  <c r="QBJ1618" i="1"/>
  <c r="QBI1618" i="1"/>
  <c r="QBH1618" i="1"/>
  <c r="QBG1618" i="1"/>
  <c r="QBF1618" i="1"/>
  <c r="QBE1618" i="1"/>
  <c r="QBD1618" i="1"/>
  <c r="QBC1618" i="1"/>
  <c r="QBB1618" i="1"/>
  <c r="QBA1618" i="1"/>
  <c r="QAZ1618" i="1"/>
  <c r="QAY1618" i="1"/>
  <c r="QAX1618" i="1"/>
  <c r="QAW1618" i="1"/>
  <c r="QAV1618" i="1"/>
  <c r="QAU1618" i="1"/>
  <c r="QAT1618" i="1"/>
  <c r="QAS1618" i="1"/>
  <c r="QAR1618" i="1"/>
  <c r="QAQ1618" i="1"/>
  <c r="QAP1618" i="1"/>
  <c r="QAO1618" i="1"/>
  <c r="QAN1618" i="1"/>
  <c r="QAM1618" i="1"/>
  <c r="QAL1618" i="1"/>
  <c r="QAK1618" i="1"/>
  <c r="QAJ1618" i="1"/>
  <c r="QAI1618" i="1"/>
  <c r="QAH1618" i="1"/>
  <c r="QAG1618" i="1"/>
  <c r="QAF1618" i="1"/>
  <c r="QAE1618" i="1"/>
  <c r="QAD1618" i="1"/>
  <c r="QAC1618" i="1"/>
  <c r="QAB1618" i="1"/>
  <c r="QAA1618" i="1"/>
  <c r="PZZ1618" i="1"/>
  <c r="PZY1618" i="1"/>
  <c r="PZX1618" i="1"/>
  <c r="PZW1618" i="1"/>
  <c r="PZV1618" i="1"/>
  <c r="PZU1618" i="1"/>
  <c r="PZT1618" i="1"/>
  <c r="PZS1618" i="1"/>
  <c r="PZR1618" i="1"/>
  <c r="PZQ1618" i="1"/>
  <c r="PZP1618" i="1"/>
  <c r="PZO1618" i="1"/>
  <c r="PZN1618" i="1"/>
  <c r="PZM1618" i="1"/>
  <c r="PZL1618" i="1"/>
  <c r="PZK1618" i="1"/>
  <c r="PZJ1618" i="1"/>
  <c r="PZI1618" i="1"/>
  <c r="PZH1618" i="1"/>
  <c r="PZG1618" i="1"/>
  <c r="PZF1618" i="1"/>
  <c r="PZE1618" i="1"/>
  <c r="PZD1618" i="1"/>
  <c r="PZC1618" i="1"/>
  <c r="PZB1618" i="1"/>
  <c r="PZA1618" i="1"/>
  <c r="PYZ1618" i="1"/>
  <c r="PYY1618" i="1"/>
  <c r="PYX1618" i="1"/>
  <c r="PYW1618" i="1"/>
  <c r="PYV1618" i="1"/>
  <c r="PYU1618" i="1"/>
  <c r="PYT1618" i="1"/>
  <c r="PYS1618" i="1"/>
  <c r="PYR1618" i="1"/>
  <c r="PYQ1618" i="1"/>
  <c r="PYP1618" i="1"/>
  <c r="PYO1618" i="1"/>
  <c r="PYN1618" i="1"/>
  <c r="PYM1618" i="1"/>
  <c r="PYL1618" i="1"/>
  <c r="PYK1618" i="1"/>
  <c r="PYJ1618" i="1"/>
  <c r="PYI1618" i="1"/>
  <c r="PYH1618" i="1"/>
  <c r="PYG1618" i="1"/>
  <c r="PYF1618" i="1"/>
  <c r="PYE1618" i="1"/>
  <c r="PYD1618" i="1"/>
  <c r="PYC1618" i="1"/>
  <c r="PYB1618" i="1"/>
  <c r="PYA1618" i="1"/>
  <c r="PXZ1618" i="1"/>
  <c r="PXY1618" i="1"/>
  <c r="PXX1618" i="1"/>
  <c r="PXW1618" i="1"/>
  <c r="PXV1618" i="1"/>
  <c r="PXU1618" i="1"/>
  <c r="PXT1618" i="1"/>
  <c r="PXS1618" i="1"/>
  <c r="PXR1618" i="1"/>
  <c r="PXQ1618" i="1"/>
  <c r="PXP1618" i="1"/>
  <c r="PXO1618" i="1"/>
  <c r="PXN1618" i="1"/>
  <c r="PXM1618" i="1"/>
  <c r="PXL1618" i="1"/>
  <c r="PXK1618" i="1"/>
  <c r="PXJ1618" i="1"/>
  <c r="PXI1618" i="1"/>
  <c r="PXH1618" i="1"/>
  <c r="PXG1618" i="1"/>
  <c r="PXF1618" i="1"/>
  <c r="PXE1618" i="1"/>
  <c r="PXD1618" i="1"/>
  <c r="PXC1618" i="1"/>
  <c r="PXB1618" i="1"/>
  <c r="PXA1618" i="1"/>
  <c r="PWZ1618" i="1"/>
  <c r="PWY1618" i="1"/>
  <c r="PWX1618" i="1"/>
  <c r="PWW1618" i="1"/>
  <c r="PWV1618" i="1"/>
  <c r="PWU1618" i="1"/>
  <c r="PWT1618" i="1"/>
  <c r="PWS1618" i="1"/>
  <c r="PWR1618" i="1"/>
  <c r="PWQ1618" i="1"/>
  <c r="PWP1618" i="1"/>
  <c r="PWO1618" i="1"/>
  <c r="PWN1618" i="1"/>
  <c r="PWM1618" i="1"/>
  <c r="PWL1618" i="1"/>
  <c r="PWK1618" i="1"/>
  <c r="PWJ1618" i="1"/>
  <c r="PWI1618" i="1"/>
  <c r="PWH1618" i="1"/>
  <c r="PWG1618" i="1"/>
  <c r="PWF1618" i="1"/>
  <c r="PWE1618" i="1"/>
  <c r="PWD1618" i="1"/>
  <c r="PWC1618" i="1"/>
  <c r="PWB1618" i="1"/>
  <c r="PWA1618" i="1"/>
  <c r="PVZ1618" i="1"/>
  <c r="PVY1618" i="1"/>
  <c r="PVX1618" i="1"/>
  <c r="PVW1618" i="1"/>
  <c r="PVV1618" i="1"/>
  <c r="PVU1618" i="1"/>
  <c r="PVT1618" i="1"/>
  <c r="PVS1618" i="1"/>
  <c r="PVR1618" i="1"/>
  <c r="PVQ1618" i="1"/>
  <c r="PVP1618" i="1"/>
  <c r="PVO1618" i="1"/>
  <c r="PVN1618" i="1"/>
  <c r="PVM1618" i="1"/>
  <c r="PVL1618" i="1"/>
  <c r="PVK1618" i="1"/>
  <c r="PVJ1618" i="1"/>
  <c r="PVI1618" i="1"/>
  <c r="PVH1618" i="1"/>
  <c r="PVG1618" i="1"/>
  <c r="PVF1618" i="1"/>
  <c r="PVE1618" i="1"/>
  <c r="PVD1618" i="1"/>
  <c r="PVC1618" i="1"/>
  <c r="PVB1618" i="1"/>
  <c r="PVA1618" i="1"/>
  <c r="PUZ1618" i="1"/>
  <c r="PUY1618" i="1"/>
  <c r="PUX1618" i="1"/>
  <c r="PUW1618" i="1"/>
  <c r="PUV1618" i="1"/>
  <c r="PUU1618" i="1"/>
  <c r="PUT1618" i="1"/>
  <c r="PUS1618" i="1"/>
  <c r="PUR1618" i="1"/>
  <c r="PUQ1618" i="1"/>
  <c r="PUP1618" i="1"/>
  <c r="PUO1618" i="1"/>
  <c r="PUN1618" i="1"/>
  <c r="PUM1618" i="1"/>
  <c r="PUL1618" i="1"/>
  <c r="PUK1618" i="1"/>
  <c r="PUJ1618" i="1"/>
  <c r="PUI1618" i="1"/>
  <c r="PUH1618" i="1"/>
  <c r="PUG1618" i="1"/>
  <c r="PUF1618" i="1"/>
  <c r="PUE1618" i="1"/>
  <c r="PUD1618" i="1"/>
  <c r="PUC1618" i="1"/>
  <c r="PUB1618" i="1"/>
  <c r="PUA1618" i="1"/>
  <c r="PTZ1618" i="1"/>
  <c r="PTY1618" i="1"/>
  <c r="PTX1618" i="1"/>
  <c r="PTW1618" i="1"/>
  <c r="PTV1618" i="1"/>
  <c r="PTU1618" i="1"/>
  <c r="PTT1618" i="1"/>
  <c r="PTS1618" i="1"/>
  <c r="PTR1618" i="1"/>
  <c r="PTQ1618" i="1"/>
  <c r="PTP1618" i="1"/>
  <c r="PTO1618" i="1"/>
  <c r="PTN1618" i="1"/>
  <c r="PTM1618" i="1"/>
  <c r="PTL1618" i="1"/>
  <c r="PTK1618" i="1"/>
  <c r="PTJ1618" i="1"/>
  <c r="PTI1618" i="1"/>
  <c r="PTH1618" i="1"/>
  <c r="PTG1618" i="1"/>
  <c r="PTF1618" i="1"/>
  <c r="PTE1618" i="1"/>
  <c r="PTD1618" i="1"/>
  <c r="PTC1618" i="1"/>
  <c r="PTB1618" i="1"/>
  <c r="PTA1618" i="1"/>
  <c r="PSZ1618" i="1"/>
  <c r="PSY1618" i="1"/>
  <c r="PSX1618" i="1"/>
  <c r="PSW1618" i="1"/>
  <c r="PSV1618" i="1"/>
  <c r="PSU1618" i="1"/>
  <c r="PST1618" i="1"/>
  <c r="PSS1618" i="1"/>
  <c r="PSR1618" i="1"/>
  <c r="PSQ1618" i="1"/>
  <c r="PSP1618" i="1"/>
  <c r="PSO1618" i="1"/>
  <c r="PSN1618" i="1"/>
  <c r="PSM1618" i="1"/>
  <c r="PSL1618" i="1"/>
  <c r="PSK1618" i="1"/>
  <c r="PSJ1618" i="1"/>
  <c r="PSI1618" i="1"/>
  <c r="PSH1618" i="1"/>
  <c r="PSG1618" i="1"/>
  <c r="PSF1618" i="1"/>
  <c r="PSE1618" i="1"/>
  <c r="PSD1618" i="1"/>
  <c r="PSC1618" i="1"/>
  <c r="PSB1618" i="1"/>
  <c r="PSA1618" i="1"/>
  <c r="PRZ1618" i="1"/>
  <c r="PRY1618" i="1"/>
  <c r="PRX1618" i="1"/>
  <c r="PRW1618" i="1"/>
  <c r="PRV1618" i="1"/>
  <c r="PRU1618" i="1"/>
  <c r="PRT1618" i="1"/>
  <c r="PRS1618" i="1"/>
  <c r="PRR1618" i="1"/>
  <c r="PRQ1618" i="1"/>
  <c r="PRP1618" i="1"/>
  <c r="PRO1618" i="1"/>
  <c r="PRN1618" i="1"/>
  <c r="PRM1618" i="1"/>
  <c r="PRL1618" i="1"/>
  <c r="PRK1618" i="1"/>
  <c r="PRJ1618" i="1"/>
  <c r="PRI1618" i="1"/>
  <c r="PRH1618" i="1"/>
  <c r="PRG1618" i="1"/>
  <c r="PRF1618" i="1"/>
  <c r="PRE1618" i="1"/>
  <c r="PRD1618" i="1"/>
  <c r="PRC1618" i="1"/>
  <c r="PRB1618" i="1"/>
  <c r="PRA1618" i="1"/>
  <c r="PQZ1618" i="1"/>
  <c r="PQY1618" i="1"/>
  <c r="PQX1618" i="1"/>
  <c r="PQW1618" i="1"/>
  <c r="PQV1618" i="1"/>
  <c r="PQU1618" i="1"/>
  <c r="PQT1618" i="1"/>
  <c r="PQS1618" i="1"/>
  <c r="PQR1618" i="1"/>
  <c r="PQQ1618" i="1"/>
  <c r="PQP1618" i="1"/>
  <c r="PQO1618" i="1"/>
  <c r="PQN1618" i="1"/>
  <c r="PQM1618" i="1"/>
  <c r="PQL1618" i="1"/>
  <c r="PQK1618" i="1"/>
  <c r="PQJ1618" i="1"/>
  <c r="PQI1618" i="1"/>
  <c r="PQH1618" i="1"/>
  <c r="PQG1618" i="1"/>
  <c r="PQF1618" i="1"/>
  <c r="PQE1618" i="1"/>
  <c r="PQD1618" i="1"/>
  <c r="PQC1618" i="1"/>
  <c r="PQB1618" i="1"/>
  <c r="PQA1618" i="1"/>
  <c r="PPZ1618" i="1"/>
  <c r="PPY1618" i="1"/>
  <c r="PPX1618" i="1"/>
  <c r="PPW1618" i="1"/>
  <c r="PPV1618" i="1"/>
  <c r="PPU1618" i="1"/>
  <c r="PPT1618" i="1"/>
  <c r="PPS1618" i="1"/>
  <c r="PPR1618" i="1"/>
  <c r="PPQ1618" i="1"/>
  <c r="PPP1618" i="1"/>
  <c r="PPO1618" i="1"/>
  <c r="PPN1618" i="1"/>
  <c r="PPM1618" i="1"/>
  <c r="PPL1618" i="1"/>
  <c r="PPK1618" i="1"/>
  <c r="PPJ1618" i="1"/>
  <c r="PPI1618" i="1"/>
  <c r="PPH1618" i="1"/>
  <c r="PPG1618" i="1"/>
  <c r="PPF1618" i="1"/>
  <c r="PPE1618" i="1"/>
  <c r="PPD1618" i="1"/>
  <c r="PPC1618" i="1"/>
  <c r="PPB1618" i="1"/>
  <c r="PPA1618" i="1"/>
  <c r="POZ1618" i="1"/>
  <c r="POY1618" i="1"/>
  <c r="POX1618" i="1"/>
  <c r="POW1618" i="1"/>
  <c r="POV1618" i="1"/>
  <c r="POU1618" i="1"/>
  <c r="POT1618" i="1"/>
  <c r="POS1618" i="1"/>
  <c r="POR1618" i="1"/>
  <c r="POQ1618" i="1"/>
  <c r="POP1618" i="1"/>
  <c r="POO1618" i="1"/>
  <c r="PON1618" i="1"/>
  <c r="POM1618" i="1"/>
  <c r="POL1618" i="1"/>
  <c r="POK1618" i="1"/>
  <c r="POJ1618" i="1"/>
  <c r="POI1618" i="1"/>
  <c r="POH1618" i="1"/>
  <c r="POG1618" i="1"/>
  <c r="POF1618" i="1"/>
  <c r="POE1618" i="1"/>
  <c r="POD1618" i="1"/>
  <c r="POC1618" i="1"/>
  <c r="POB1618" i="1"/>
  <c r="POA1618" i="1"/>
  <c r="PNZ1618" i="1"/>
  <c r="PNY1618" i="1"/>
  <c r="PNX1618" i="1"/>
  <c r="PNW1618" i="1"/>
  <c r="PNV1618" i="1"/>
  <c r="PNU1618" i="1"/>
  <c r="PNT1618" i="1"/>
  <c r="PNS1618" i="1"/>
  <c r="PNR1618" i="1"/>
  <c r="PNQ1618" i="1"/>
  <c r="PNP1618" i="1"/>
  <c r="PNO1618" i="1"/>
  <c r="PNN1618" i="1"/>
  <c r="PNM1618" i="1"/>
  <c r="PNL1618" i="1"/>
  <c r="PNK1618" i="1"/>
  <c r="PNJ1618" i="1"/>
  <c r="PNI1618" i="1"/>
  <c r="PNH1618" i="1"/>
  <c r="PNG1618" i="1"/>
  <c r="PNF1618" i="1"/>
  <c r="PNE1618" i="1"/>
  <c r="PND1618" i="1"/>
  <c r="PNC1618" i="1"/>
  <c r="PNB1618" i="1"/>
  <c r="PNA1618" i="1"/>
  <c r="PMZ1618" i="1"/>
  <c r="PMY1618" i="1"/>
  <c r="PMX1618" i="1"/>
  <c r="PMW1618" i="1"/>
  <c r="PMV1618" i="1"/>
  <c r="PMU1618" i="1"/>
  <c r="PMT1618" i="1"/>
  <c r="PMS1618" i="1"/>
  <c r="PMR1618" i="1"/>
  <c r="PMQ1618" i="1"/>
  <c r="PMP1618" i="1"/>
  <c r="PMO1618" i="1"/>
  <c r="PMN1618" i="1"/>
  <c r="PMM1618" i="1"/>
  <c r="PML1618" i="1"/>
  <c r="PMK1618" i="1"/>
  <c r="PMJ1618" i="1"/>
  <c r="PMI1618" i="1"/>
  <c r="PMH1618" i="1"/>
  <c r="PMG1618" i="1"/>
  <c r="PMF1618" i="1"/>
  <c r="PME1618" i="1"/>
  <c r="PMD1618" i="1"/>
  <c r="PMC1618" i="1"/>
  <c r="PMB1618" i="1"/>
  <c r="PMA1618" i="1"/>
  <c r="PLZ1618" i="1"/>
  <c r="PLY1618" i="1"/>
  <c r="PLX1618" i="1"/>
  <c r="PLW1618" i="1"/>
  <c r="PLV1618" i="1"/>
  <c r="PLU1618" i="1"/>
  <c r="PLT1618" i="1"/>
  <c r="PLS1618" i="1"/>
  <c r="PLR1618" i="1"/>
  <c r="PLQ1618" i="1"/>
  <c r="PLP1618" i="1"/>
  <c r="PLO1618" i="1"/>
  <c r="PLN1618" i="1"/>
  <c r="PLM1618" i="1"/>
  <c r="PLL1618" i="1"/>
  <c r="PLK1618" i="1"/>
  <c r="PLJ1618" i="1"/>
  <c r="PLI1618" i="1"/>
  <c r="PLH1618" i="1"/>
  <c r="PLG1618" i="1"/>
  <c r="PLF1618" i="1"/>
  <c r="PLE1618" i="1"/>
  <c r="PLD1618" i="1"/>
  <c r="PLC1618" i="1"/>
  <c r="PLB1618" i="1"/>
  <c r="PLA1618" i="1"/>
  <c r="PKZ1618" i="1"/>
  <c r="PKY1618" i="1"/>
  <c r="PKX1618" i="1"/>
  <c r="PKW1618" i="1"/>
  <c r="PKV1618" i="1"/>
  <c r="PKU1618" i="1"/>
  <c r="PKT1618" i="1"/>
  <c r="PKS1618" i="1"/>
  <c r="PKR1618" i="1"/>
  <c r="PKQ1618" i="1"/>
  <c r="PKP1618" i="1"/>
  <c r="PKO1618" i="1"/>
  <c r="PKN1618" i="1"/>
  <c r="PKM1618" i="1"/>
  <c r="PKL1618" i="1"/>
  <c r="PKK1618" i="1"/>
  <c r="PKJ1618" i="1"/>
  <c r="PKI1618" i="1"/>
  <c r="PKH1618" i="1"/>
  <c r="PKG1618" i="1"/>
  <c r="PKF1618" i="1"/>
  <c r="PKE1618" i="1"/>
  <c r="PKD1618" i="1"/>
  <c r="PKC1618" i="1"/>
  <c r="PKB1618" i="1"/>
  <c r="PKA1618" i="1"/>
  <c r="PJZ1618" i="1"/>
  <c r="PJY1618" i="1"/>
  <c r="PJX1618" i="1"/>
  <c r="PJW1618" i="1"/>
  <c r="PJV1618" i="1"/>
  <c r="PJU1618" i="1"/>
  <c r="PJT1618" i="1"/>
  <c r="PJS1618" i="1"/>
  <c r="PJR1618" i="1"/>
  <c r="PJQ1618" i="1"/>
  <c r="PJP1618" i="1"/>
  <c r="PJO1618" i="1"/>
  <c r="PJN1618" i="1"/>
  <c r="PJM1618" i="1"/>
  <c r="PJL1618" i="1"/>
  <c r="PJK1618" i="1"/>
  <c r="PJJ1618" i="1"/>
  <c r="PJI1618" i="1"/>
  <c r="PJH1618" i="1"/>
  <c r="PJG1618" i="1"/>
  <c r="PJF1618" i="1"/>
  <c r="PJE1618" i="1"/>
  <c r="PJD1618" i="1"/>
  <c r="PJC1618" i="1"/>
  <c r="PJB1618" i="1"/>
  <c r="PJA1618" i="1"/>
  <c r="PIZ1618" i="1"/>
  <c r="PIY1618" i="1"/>
  <c r="PIX1618" i="1"/>
  <c r="PIW1618" i="1"/>
  <c r="PIV1618" i="1"/>
  <c r="PIU1618" i="1"/>
  <c r="PIT1618" i="1"/>
  <c r="PIS1618" i="1"/>
  <c r="PIR1618" i="1"/>
  <c r="PIQ1618" i="1"/>
  <c r="PIP1618" i="1"/>
  <c r="PIO1618" i="1"/>
  <c r="PIN1618" i="1"/>
  <c r="PIM1618" i="1"/>
  <c r="PIL1618" i="1"/>
  <c r="PIK1618" i="1"/>
  <c r="PIJ1618" i="1"/>
  <c r="PII1618" i="1"/>
  <c r="PIH1618" i="1"/>
  <c r="PIG1618" i="1"/>
  <c r="PIF1618" i="1"/>
  <c r="PIE1618" i="1"/>
  <c r="PID1618" i="1"/>
  <c r="PIC1618" i="1"/>
  <c r="PIB1618" i="1"/>
  <c r="PIA1618" i="1"/>
  <c r="PHZ1618" i="1"/>
  <c r="PHY1618" i="1"/>
  <c r="PHX1618" i="1"/>
  <c r="PHW1618" i="1"/>
  <c r="PHV1618" i="1"/>
  <c r="PHU1618" i="1"/>
  <c r="PHT1618" i="1"/>
  <c r="PHS1618" i="1"/>
  <c r="PHR1618" i="1"/>
  <c r="PHQ1618" i="1"/>
  <c r="PHP1618" i="1"/>
  <c r="PHO1618" i="1"/>
  <c r="PHN1618" i="1"/>
  <c r="PHM1618" i="1"/>
  <c r="PHL1618" i="1"/>
  <c r="PHK1618" i="1"/>
  <c r="PHJ1618" i="1"/>
  <c r="PHI1618" i="1"/>
  <c r="PHH1618" i="1"/>
  <c r="PHG1618" i="1"/>
  <c r="PHF1618" i="1"/>
  <c r="PHE1618" i="1"/>
  <c r="PHD1618" i="1"/>
  <c r="PHC1618" i="1"/>
  <c r="PHB1618" i="1"/>
  <c r="PHA1618" i="1"/>
  <c r="PGZ1618" i="1"/>
  <c r="PGY1618" i="1"/>
  <c r="PGX1618" i="1"/>
  <c r="PGW1618" i="1"/>
  <c r="PGV1618" i="1"/>
  <c r="PGU1618" i="1"/>
  <c r="PGT1618" i="1"/>
  <c r="PGS1618" i="1"/>
  <c r="PGR1618" i="1"/>
  <c r="PGQ1618" i="1"/>
  <c r="PGP1618" i="1"/>
  <c r="PGO1618" i="1"/>
  <c r="PGN1618" i="1"/>
  <c r="PGM1618" i="1"/>
  <c r="PGL1618" i="1"/>
  <c r="PGK1618" i="1"/>
  <c r="PGJ1618" i="1"/>
  <c r="PGI1618" i="1"/>
  <c r="PGH1618" i="1"/>
  <c r="PGG1618" i="1"/>
  <c r="PGF1618" i="1"/>
  <c r="PGE1618" i="1"/>
  <c r="PGD1618" i="1"/>
  <c r="PGC1618" i="1"/>
  <c r="PGB1618" i="1"/>
  <c r="PGA1618" i="1"/>
  <c r="PFZ1618" i="1"/>
  <c r="PFY1618" i="1"/>
  <c r="PFX1618" i="1"/>
  <c r="PFW1618" i="1"/>
  <c r="PFV1618" i="1"/>
  <c r="PFU1618" i="1"/>
  <c r="PFT1618" i="1"/>
  <c r="PFS1618" i="1"/>
  <c r="PFR1618" i="1"/>
  <c r="PFQ1618" i="1"/>
  <c r="PFP1618" i="1"/>
  <c r="PFO1618" i="1"/>
  <c r="PFN1618" i="1"/>
  <c r="PFM1618" i="1"/>
  <c r="PFL1618" i="1"/>
  <c r="PFK1618" i="1"/>
  <c r="PFJ1618" i="1"/>
  <c r="PFI1618" i="1"/>
  <c r="PFH1618" i="1"/>
  <c r="PFG1618" i="1"/>
  <c r="PFF1618" i="1"/>
  <c r="PFE1618" i="1"/>
  <c r="PFD1618" i="1"/>
  <c r="PFC1618" i="1"/>
  <c r="PFB1618" i="1"/>
  <c r="PFA1618" i="1"/>
  <c r="PEZ1618" i="1"/>
  <c r="PEY1618" i="1"/>
  <c r="PEX1618" i="1"/>
  <c r="PEW1618" i="1"/>
  <c r="PEV1618" i="1"/>
  <c r="PEU1618" i="1"/>
  <c r="PET1618" i="1"/>
  <c r="PES1618" i="1"/>
  <c r="PER1618" i="1"/>
  <c r="PEQ1618" i="1"/>
  <c r="PEP1618" i="1"/>
  <c r="PEO1618" i="1"/>
  <c r="PEN1618" i="1"/>
  <c r="PEM1618" i="1"/>
  <c r="PEL1618" i="1"/>
  <c r="PEK1618" i="1"/>
  <c r="PEJ1618" i="1"/>
  <c r="PEI1618" i="1"/>
  <c r="PEH1618" i="1"/>
  <c r="PEG1618" i="1"/>
  <c r="PEF1618" i="1"/>
  <c r="PEE1618" i="1"/>
  <c r="PED1618" i="1"/>
  <c r="PEC1618" i="1"/>
  <c r="PEB1618" i="1"/>
  <c r="PEA1618" i="1"/>
  <c r="PDZ1618" i="1"/>
  <c r="PDY1618" i="1"/>
  <c r="PDX1618" i="1"/>
  <c r="PDW1618" i="1"/>
  <c r="PDV1618" i="1"/>
  <c r="PDU1618" i="1"/>
  <c r="PDT1618" i="1"/>
  <c r="PDS1618" i="1"/>
  <c r="PDR1618" i="1"/>
  <c r="PDQ1618" i="1"/>
  <c r="PDP1618" i="1"/>
  <c r="PDO1618" i="1"/>
  <c r="PDN1618" i="1"/>
  <c r="PDM1618" i="1"/>
  <c r="PDL1618" i="1"/>
  <c r="PDK1618" i="1"/>
  <c r="PDJ1618" i="1"/>
  <c r="PDI1618" i="1"/>
  <c r="PDH1618" i="1"/>
  <c r="PDG1618" i="1"/>
  <c r="PDF1618" i="1"/>
  <c r="PDE1618" i="1"/>
  <c r="PDD1618" i="1"/>
  <c r="PDC1618" i="1"/>
  <c r="PDB1618" i="1"/>
  <c r="PDA1618" i="1"/>
  <c r="PCZ1618" i="1"/>
  <c r="PCY1618" i="1"/>
  <c r="PCX1618" i="1"/>
  <c r="PCW1618" i="1"/>
  <c r="PCV1618" i="1"/>
  <c r="PCU1618" i="1"/>
  <c r="PCT1618" i="1"/>
  <c r="PCS1618" i="1"/>
  <c r="PCR1618" i="1"/>
  <c r="PCQ1618" i="1"/>
  <c r="PCP1618" i="1"/>
  <c r="PCO1618" i="1"/>
  <c r="PCN1618" i="1"/>
  <c r="PCM1618" i="1"/>
  <c r="PCL1618" i="1"/>
  <c r="PCK1618" i="1"/>
  <c r="PCJ1618" i="1"/>
  <c r="PCI1618" i="1"/>
  <c r="PCH1618" i="1"/>
  <c r="PCG1618" i="1"/>
  <c r="PCF1618" i="1"/>
  <c r="PCE1618" i="1"/>
  <c r="PCD1618" i="1"/>
  <c r="PCC1618" i="1"/>
  <c r="PCB1618" i="1"/>
  <c r="PCA1618" i="1"/>
  <c r="PBZ1618" i="1"/>
  <c r="PBY1618" i="1"/>
  <c r="PBX1618" i="1"/>
  <c r="PBW1618" i="1"/>
  <c r="PBV1618" i="1"/>
  <c r="PBU1618" i="1"/>
  <c r="PBT1618" i="1"/>
  <c r="PBS1618" i="1"/>
  <c r="PBR1618" i="1"/>
  <c r="PBQ1618" i="1"/>
  <c r="PBP1618" i="1"/>
  <c r="PBO1618" i="1"/>
  <c r="PBN1618" i="1"/>
  <c r="PBM1618" i="1"/>
  <c r="PBL1618" i="1"/>
  <c r="PBK1618" i="1"/>
  <c r="PBJ1618" i="1"/>
  <c r="PBI1618" i="1"/>
  <c r="PBH1618" i="1"/>
  <c r="PBG1618" i="1"/>
  <c r="PBF1618" i="1"/>
  <c r="PBE1618" i="1"/>
  <c r="PBD1618" i="1"/>
  <c r="PBC1618" i="1"/>
  <c r="PBB1618" i="1"/>
  <c r="PBA1618" i="1"/>
  <c r="PAZ1618" i="1"/>
  <c r="PAY1618" i="1"/>
  <c r="PAX1618" i="1"/>
  <c r="PAW1618" i="1"/>
  <c r="PAV1618" i="1"/>
  <c r="PAU1618" i="1"/>
  <c r="PAT1618" i="1"/>
  <c r="PAS1618" i="1"/>
  <c r="PAR1618" i="1"/>
  <c r="PAQ1618" i="1"/>
  <c r="PAP1618" i="1"/>
  <c r="PAO1618" i="1"/>
  <c r="PAN1618" i="1"/>
  <c r="PAM1618" i="1"/>
  <c r="PAL1618" i="1"/>
  <c r="PAK1618" i="1"/>
  <c r="PAJ1618" i="1"/>
  <c r="PAI1618" i="1"/>
  <c r="PAH1618" i="1"/>
  <c r="PAG1618" i="1"/>
  <c r="PAF1618" i="1"/>
  <c r="PAE1618" i="1"/>
  <c r="PAD1618" i="1"/>
  <c r="PAC1618" i="1"/>
  <c r="PAB1618" i="1"/>
  <c r="PAA1618" i="1"/>
  <c r="OZZ1618" i="1"/>
  <c r="OZY1618" i="1"/>
  <c r="OZX1618" i="1"/>
  <c r="OZW1618" i="1"/>
  <c r="OZV1618" i="1"/>
  <c r="OZU1618" i="1"/>
  <c r="OZT1618" i="1"/>
  <c r="OZS1618" i="1"/>
  <c r="OZR1618" i="1"/>
  <c r="OZQ1618" i="1"/>
  <c r="OZP1618" i="1"/>
  <c r="OZO1618" i="1"/>
  <c r="OZN1618" i="1"/>
  <c r="OZM1618" i="1"/>
  <c r="OZL1618" i="1"/>
  <c r="OZK1618" i="1"/>
  <c r="OZJ1618" i="1"/>
  <c r="OZI1618" i="1"/>
  <c r="OZH1618" i="1"/>
  <c r="OZG1618" i="1"/>
  <c r="OZF1618" i="1"/>
  <c r="OZE1618" i="1"/>
  <c r="OZD1618" i="1"/>
  <c r="OZC1618" i="1"/>
  <c r="OZB1618" i="1"/>
  <c r="OZA1618" i="1"/>
  <c r="OYZ1618" i="1"/>
  <c r="OYY1618" i="1"/>
  <c r="OYX1618" i="1"/>
  <c r="OYW1618" i="1"/>
  <c r="OYV1618" i="1"/>
  <c r="OYU1618" i="1"/>
  <c r="OYT1618" i="1"/>
  <c r="OYS1618" i="1"/>
  <c r="OYR1618" i="1"/>
  <c r="OYQ1618" i="1"/>
  <c r="OYP1618" i="1"/>
  <c r="OYO1618" i="1"/>
  <c r="OYN1618" i="1"/>
  <c r="OYM1618" i="1"/>
  <c r="OYL1618" i="1"/>
  <c r="OYK1618" i="1"/>
  <c r="OYJ1618" i="1"/>
  <c r="OYI1618" i="1"/>
  <c r="OYH1618" i="1"/>
  <c r="OYG1618" i="1"/>
  <c r="OYF1618" i="1"/>
  <c r="OYE1618" i="1"/>
  <c r="OYD1618" i="1"/>
  <c r="OYC1618" i="1"/>
  <c r="OYB1618" i="1"/>
  <c r="OYA1618" i="1"/>
  <c r="OXZ1618" i="1"/>
  <c r="OXY1618" i="1"/>
  <c r="OXX1618" i="1"/>
  <c r="OXW1618" i="1"/>
  <c r="OXV1618" i="1"/>
  <c r="OXU1618" i="1"/>
  <c r="OXT1618" i="1"/>
  <c r="OXS1618" i="1"/>
  <c r="OXR1618" i="1"/>
  <c r="OXQ1618" i="1"/>
  <c r="OXP1618" i="1"/>
  <c r="OXO1618" i="1"/>
  <c r="OXN1618" i="1"/>
  <c r="OXM1618" i="1"/>
  <c r="OXL1618" i="1"/>
  <c r="OXK1618" i="1"/>
  <c r="OXJ1618" i="1"/>
  <c r="OXI1618" i="1"/>
  <c r="OXH1618" i="1"/>
  <c r="OXG1618" i="1"/>
  <c r="OXF1618" i="1"/>
  <c r="OXE1618" i="1"/>
  <c r="OXD1618" i="1"/>
  <c r="OXC1618" i="1"/>
  <c r="OXB1618" i="1"/>
  <c r="OXA1618" i="1"/>
  <c r="OWZ1618" i="1"/>
  <c r="OWY1618" i="1"/>
  <c r="OWX1618" i="1"/>
  <c r="OWW1618" i="1"/>
  <c r="OWV1618" i="1"/>
  <c r="OWU1618" i="1"/>
  <c r="OWT1618" i="1"/>
  <c r="OWS1618" i="1"/>
  <c r="OWR1618" i="1"/>
  <c r="OWQ1618" i="1"/>
  <c r="OWP1618" i="1"/>
  <c r="OWO1618" i="1"/>
  <c r="OWN1618" i="1"/>
  <c r="OWM1618" i="1"/>
  <c r="OWL1618" i="1"/>
  <c r="OWK1618" i="1"/>
  <c r="OWJ1618" i="1"/>
  <c r="OWI1618" i="1"/>
  <c r="OWH1618" i="1"/>
  <c r="OWG1618" i="1"/>
  <c r="OWF1618" i="1"/>
  <c r="OWE1618" i="1"/>
  <c r="OWD1618" i="1"/>
  <c r="OWC1618" i="1"/>
  <c r="OWB1618" i="1"/>
  <c r="OWA1618" i="1"/>
  <c r="OVZ1618" i="1"/>
  <c r="OVY1618" i="1"/>
  <c r="OVX1618" i="1"/>
  <c r="OVW1618" i="1"/>
  <c r="OVV1618" i="1"/>
  <c r="OVU1618" i="1"/>
  <c r="OVT1618" i="1"/>
  <c r="OVS1618" i="1"/>
  <c r="OVR1618" i="1"/>
  <c r="OVQ1618" i="1"/>
  <c r="OVP1618" i="1"/>
  <c r="OVO1618" i="1"/>
  <c r="OVN1618" i="1"/>
  <c r="OVM1618" i="1"/>
  <c r="OVL1618" i="1"/>
  <c r="OVK1618" i="1"/>
  <c r="OVJ1618" i="1"/>
  <c r="OVI1618" i="1"/>
  <c r="OVH1618" i="1"/>
  <c r="OVG1618" i="1"/>
  <c r="OVF1618" i="1"/>
  <c r="OVE1618" i="1"/>
  <c r="OVD1618" i="1"/>
  <c r="OVC1618" i="1"/>
  <c r="OVB1618" i="1"/>
  <c r="OVA1618" i="1"/>
  <c r="OUZ1618" i="1"/>
  <c r="OUY1618" i="1"/>
  <c r="OUX1618" i="1"/>
  <c r="OUW1618" i="1"/>
  <c r="OUV1618" i="1"/>
  <c r="OUU1618" i="1"/>
  <c r="OUT1618" i="1"/>
  <c r="OUS1618" i="1"/>
  <c r="OUR1618" i="1"/>
  <c r="OUQ1618" i="1"/>
  <c r="OUP1618" i="1"/>
  <c r="OUO1618" i="1"/>
  <c r="OUN1618" i="1"/>
  <c r="OUM1618" i="1"/>
  <c r="OUL1618" i="1"/>
  <c r="OUK1618" i="1"/>
  <c r="OUJ1618" i="1"/>
  <c r="OUI1618" i="1"/>
  <c r="OUH1618" i="1"/>
  <c r="OUG1618" i="1"/>
  <c r="OUF1618" i="1"/>
  <c r="OUE1618" i="1"/>
  <c r="OUD1618" i="1"/>
  <c r="OUC1618" i="1"/>
  <c r="OUB1618" i="1"/>
  <c r="OUA1618" i="1"/>
  <c r="OTZ1618" i="1"/>
  <c r="OTY1618" i="1"/>
  <c r="OTX1618" i="1"/>
  <c r="OTW1618" i="1"/>
  <c r="OTV1618" i="1"/>
  <c r="OTU1618" i="1"/>
  <c r="OTT1618" i="1"/>
  <c r="OTS1618" i="1"/>
  <c r="OTR1618" i="1"/>
  <c r="OTQ1618" i="1"/>
  <c r="OTP1618" i="1"/>
  <c r="OTO1618" i="1"/>
  <c r="OTN1618" i="1"/>
  <c r="OTM1618" i="1"/>
  <c r="OTL1618" i="1"/>
  <c r="OTK1618" i="1"/>
  <c r="OTJ1618" i="1"/>
  <c r="OTI1618" i="1"/>
  <c r="OTH1618" i="1"/>
  <c r="OTG1618" i="1"/>
  <c r="OTF1618" i="1"/>
  <c r="OTE1618" i="1"/>
  <c r="OTD1618" i="1"/>
  <c r="OTC1618" i="1"/>
  <c r="OTB1618" i="1"/>
  <c r="OTA1618" i="1"/>
  <c r="OSZ1618" i="1"/>
  <c r="OSY1618" i="1"/>
  <c r="OSX1618" i="1"/>
  <c r="OSW1618" i="1"/>
  <c r="OSV1618" i="1"/>
  <c r="OSU1618" i="1"/>
  <c r="OST1618" i="1"/>
  <c r="OSS1618" i="1"/>
  <c r="OSR1618" i="1"/>
  <c r="OSQ1618" i="1"/>
  <c r="OSP1618" i="1"/>
  <c r="OSO1618" i="1"/>
  <c r="OSN1618" i="1"/>
  <c r="OSM1618" i="1"/>
  <c r="OSL1618" i="1"/>
  <c r="OSK1618" i="1"/>
  <c r="OSJ1618" i="1"/>
  <c r="OSI1618" i="1"/>
  <c r="OSH1618" i="1"/>
  <c r="OSG1618" i="1"/>
  <c r="OSF1618" i="1"/>
  <c r="OSE1618" i="1"/>
  <c r="OSD1618" i="1"/>
  <c r="OSC1618" i="1"/>
  <c r="OSB1618" i="1"/>
  <c r="OSA1618" i="1"/>
  <c r="ORZ1618" i="1"/>
  <c r="ORY1618" i="1"/>
  <c r="ORX1618" i="1"/>
  <c r="ORW1618" i="1"/>
  <c r="ORV1618" i="1"/>
  <c r="ORU1618" i="1"/>
  <c r="ORT1618" i="1"/>
  <c r="ORS1618" i="1"/>
  <c r="ORR1618" i="1"/>
  <c r="ORQ1618" i="1"/>
  <c r="ORP1618" i="1"/>
  <c r="ORO1618" i="1"/>
  <c r="ORN1618" i="1"/>
  <c r="ORM1618" i="1"/>
  <c r="ORL1618" i="1"/>
  <c r="ORK1618" i="1"/>
  <c r="ORJ1618" i="1"/>
  <c r="ORI1618" i="1"/>
  <c r="ORH1618" i="1"/>
  <c r="ORG1618" i="1"/>
  <c r="ORF1618" i="1"/>
  <c r="ORE1618" i="1"/>
  <c r="ORD1618" i="1"/>
  <c r="ORC1618" i="1"/>
  <c r="ORB1618" i="1"/>
  <c r="ORA1618" i="1"/>
  <c r="OQZ1618" i="1"/>
  <c r="OQY1618" i="1"/>
  <c r="OQX1618" i="1"/>
  <c r="OQW1618" i="1"/>
  <c r="OQV1618" i="1"/>
  <c r="OQU1618" i="1"/>
  <c r="OQT1618" i="1"/>
  <c r="OQS1618" i="1"/>
  <c r="OQR1618" i="1"/>
  <c r="OQQ1618" i="1"/>
  <c r="OQP1618" i="1"/>
  <c r="OQO1618" i="1"/>
  <c r="OQN1618" i="1"/>
  <c r="OQM1618" i="1"/>
  <c r="OQL1618" i="1"/>
  <c r="OQK1618" i="1"/>
  <c r="OQJ1618" i="1"/>
  <c r="OQI1618" i="1"/>
  <c r="OQH1618" i="1"/>
  <c r="OQG1618" i="1"/>
  <c r="OQF1618" i="1"/>
  <c r="OQE1618" i="1"/>
  <c r="OQD1618" i="1"/>
  <c r="OQC1618" i="1"/>
  <c r="OQB1618" i="1"/>
  <c r="OQA1618" i="1"/>
  <c r="OPZ1618" i="1"/>
  <c r="OPY1618" i="1"/>
  <c r="OPX1618" i="1"/>
  <c r="OPW1618" i="1"/>
  <c r="OPV1618" i="1"/>
  <c r="OPU1618" i="1"/>
  <c r="OPT1618" i="1"/>
  <c r="OPS1618" i="1"/>
  <c r="OPR1618" i="1"/>
  <c r="OPQ1618" i="1"/>
  <c r="OPP1618" i="1"/>
  <c r="OPO1618" i="1"/>
  <c r="OPN1618" i="1"/>
  <c r="OPM1618" i="1"/>
  <c r="OPL1618" i="1"/>
  <c r="OPK1618" i="1"/>
  <c r="OPJ1618" i="1"/>
  <c r="OPI1618" i="1"/>
  <c r="OPH1618" i="1"/>
  <c r="OPG1618" i="1"/>
  <c r="OPF1618" i="1"/>
  <c r="OPE1618" i="1"/>
  <c r="OPD1618" i="1"/>
  <c r="OPC1618" i="1"/>
  <c r="OPB1618" i="1"/>
  <c r="OPA1618" i="1"/>
  <c r="OOZ1618" i="1"/>
  <c r="OOY1618" i="1"/>
  <c r="OOX1618" i="1"/>
  <c r="OOW1618" i="1"/>
  <c r="OOV1618" i="1"/>
  <c r="OOU1618" i="1"/>
  <c r="OOT1618" i="1"/>
  <c r="OOS1618" i="1"/>
  <c r="OOR1618" i="1"/>
  <c r="OOQ1618" i="1"/>
  <c r="OOP1618" i="1"/>
  <c r="OOO1618" i="1"/>
  <c r="OON1618" i="1"/>
  <c r="OOM1618" i="1"/>
  <c r="OOL1618" i="1"/>
  <c r="OOK1618" i="1"/>
  <c r="OOJ1618" i="1"/>
  <c r="OOI1618" i="1"/>
  <c r="OOH1618" i="1"/>
  <c r="OOG1618" i="1"/>
  <c r="OOF1618" i="1"/>
  <c r="OOE1618" i="1"/>
  <c r="OOD1618" i="1"/>
  <c r="OOC1618" i="1"/>
  <c r="OOB1618" i="1"/>
  <c r="OOA1618" i="1"/>
  <c r="ONZ1618" i="1"/>
  <c r="ONY1618" i="1"/>
  <c r="ONX1618" i="1"/>
  <c r="ONW1618" i="1"/>
  <c r="ONV1618" i="1"/>
  <c r="ONU1618" i="1"/>
  <c r="ONT1618" i="1"/>
  <c r="ONS1618" i="1"/>
  <c r="ONR1618" i="1"/>
  <c r="ONQ1618" i="1"/>
  <c r="ONP1618" i="1"/>
  <c r="ONO1618" i="1"/>
  <c r="ONN1618" i="1"/>
  <c r="ONM1618" i="1"/>
  <c r="ONL1618" i="1"/>
  <c r="ONK1618" i="1"/>
  <c r="ONJ1618" i="1"/>
  <c r="ONI1618" i="1"/>
  <c r="ONH1618" i="1"/>
  <c r="ONG1618" i="1"/>
  <c r="ONF1618" i="1"/>
  <c r="ONE1618" i="1"/>
  <c r="OND1618" i="1"/>
  <c r="ONC1618" i="1"/>
  <c r="ONB1618" i="1"/>
  <c r="ONA1618" i="1"/>
  <c r="OMZ1618" i="1"/>
  <c r="OMY1618" i="1"/>
  <c r="OMX1618" i="1"/>
  <c r="OMW1618" i="1"/>
  <c r="OMV1618" i="1"/>
  <c r="OMU1618" i="1"/>
  <c r="OMT1618" i="1"/>
  <c r="OMS1618" i="1"/>
  <c r="OMR1618" i="1"/>
  <c r="OMQ1618" i="1"/>
  <c r="OMP1618" i="1"/>
  <c r="OMO1618" i="1"/>
  <c r="OMN1618" i="1"/>
  <c r="OMM1618" i="1"/>
  <c r="OML1618" i="1"/>
  <c r="OMK1618" i="1"/>
  <c r="OMJ1618" i="1"/>
  <c r="OMI1618" i="1"/>
  <c r="OMH1618" i="1"/>
  <c r="OMG1618" i="1"/>
  <c r="OMF1618" i="1"/>
  <c r="OME1618" i="1"/>
  <c r="OMD1618" i="1"/>
  <c r="OMC1618" i="1"/>
  <c r="OMB1618" i="1"/>
  <c r="OMA1618" i="1"/>
  <c r="OLZ1618" i="1"/>
  <c r="OLY1618" i="1"/>
  <c r="OLX1618" i="1"/>
  <c r="OLW1618" i="1"/>
  <c r="OLV1618" i="1"/>
  <c r="OLU1618" i="1"/>
  <c r="OLT1618" i="1"/>
  <c r="OLS1618" i="1"/>
  <c r="OLR1618" i="1"/>
  <c r="OLQ1618" i="1"/>
  <c r="OLP1618" i="1"/>
  <c r="OLO1618" i="1"/>
  <c r="OLN1618" i="1"/>
  <c r="OLM1618" i="1"/>
  <c r="OLL1618" i="1"/>
  <c r="OLK1618" i="1"/>
  <c r="OLJ1618" i="1"/>
  <c r="OLI1618" i="1"/>
  <c r="OLH1618" i="1"/>
  <c r="OLG1618" i="1"/>
  <c r="OLF1618" i="1"/>
  <c r="OLE1618" i="1"/>
  <c r="OLD1618" i="1"/>
  <c r="OLC1618" i="1"/>
  <c r="OLB1618" i="1"/>
  <c r="OLA1618" i="1"/>
  <c r="OKZ1618" i="1"/>
  <c r="OKY1618" i="1"/>
  <c r="OKX1618" i="1"/>
  <c r="OKW1618" i="1"/>
  <c r="OKV1618" i="1"/>
  <c r="OKU1618" i="1"/>
  <c r="OKT1618" i="1"/>
  <c r="OKS1618" i="1"/>
  <c r="OKR1618" i="1"/>
  <c r="OKQ1618" i="1"/>
  <c r="OKP1618" i="1"/>
  <c r="OKO1618" i="1"/>
  <c r="OKN1618" i="1"/>
  <c r="OKM1618" i="1"/>
  <c r="OKL1618" i="1"/>
  <c r="OKK1618" i="1"/>
  <c r="OKJ1618" i="1"/>
  <c r="OKI1618" i="1"/>
  <c r="OKH1618" i="1"/>
  <c r="OKG1618" i="1"/>
  <c r="OKF1618" i="1"/>
  <c r="OKE1618" i="1"/>
  <c r="OKD1618" i="1"/>
  <c r="OKC1618" i="1"/>
  <c r="OKB1618" i="1"/>
  <c r="OKA1618" i="1"/>
  <c r="OJZ1618" i="1"/>
  <c r="OJY1618" i="1"/>
  <c r="OJX1618" i="1"/>
  <c r="OJW1618" i="1"/>
  <c r="OJV1618" i="1"/>
  <c r="OJU1618" i="1"/>
  <c r="OJT1618" i="1"/>
  <c r="OJS1618" i="1"/>
  <c r="OJR1618" i="1"/>
  <c r="OJQ1618" i="1"/>
  <c r="OJP1618" i="1"/>
  <c r="OJO1618" i="1"/>
  <c r="OJN1618" i="1"/>
  <c r="OJM1618" i="1"/>
  <c r="OJL1618" i="1"/>
  <c r="OJK1618" i="1"/>
  <c r="OJJ1618" i="1"/>
  <c r="OJI1618" i="1"/>
  <c r="OJH1618" i="1"/>
  <c r="OJG1618" i="1"/>
  <c r="OJF1618" i="1"/>
  <c r="OJE1618" i="1"/>
  <c r="OJD1618" i="1"/>
  <c r="OJC1618" i="1"/>
  <c r="OJB1618" i="1"/>
  <c r="OJA1618" i="1"/>
  <c r="OIZ1618" i="1"/>
  <c r="OIY1618" i="1"/>
  <c r="OIX1618" i="1"/>
  <c r="OIW1618" i="1"/>
  <c r="OIV1618" i="1"/>
  <c r="OIU1618" i="1"/>
  <c r="OIT1618" i="1"/>
  <c r="OIS1618" i="1"/>
  <c r="OIR1618" i="1"/>
  <c r="OIQ1618" i="1"/>
  <c r="OIP1618" i="1"/>
  <c r="OIO1618" i="1"/>
  <c r="OIN1618" i="1"/>
  <c r="OIM1618" i="1"/>
  <c r="OIL1618" i="1"/>
  <c r="OIK1618" i="1"/>
  <c r="OIJ1618" i="1"/>
  <c r="OII1618" i="1"/>
  <c r="OIH1618" i="1"/>
  <c r="OIG1618" i="1"/>
  <c r="OIF1618" i="1"/>
  <c r="OIE1618" i="1"/>
  <c r="OID1618" i="1"/>
  <c r="OIC1618" i="1"/>
  <c r="OIB1618" i="1"/>
  <c r="OIA1618" i="1"/>
  <c r="OHZ1618" i="1"/>
  <c r="OHY1618" i="1"/>
  <c r="OHX1618" i="1"/>
  <c r="OHW1618" i="1"/>
  <c r="OHV1618" i="1"/>
  <c r="OHU1618" i="1"/>
  <c r="OHT1618" i="1"/>
  <c r="OHS1618" i="1"/>
  <c r="OHR1618" i="1"/>
  <c r="OHQ1618" i="1"/>
  <c r="OHP1618" i="1"/>
  <c r="OHO1618" i="1"/>
  <c r="OHN1618" i="1"/>
  <c r="OHM1618" i="1"/>
  <c r="OHL1618" i="1"/>
  <c r="OHK1618" i="1"/>
  <c r="OHJ1618" i="1"/>
  <c r="OHI1618" i="1"/>
  <c r="OHH1618" i="1"/>
  <c r="OHG1618" i="1"/>
  <c r="OHF1618" i="1"/>
  <c r="OHE1618" i="1"/>
  <c r="OHD1618" i="1"/>
  <c r="OHC1618" i="1"/>
  <c r="OHB1618" i="1"/>
  <c r="OHA1618" i="1"/>
  <c r="OGZ1618" i="1"/>
  <c r="OGY1618" i="1"/>
  <c r="OGX1618" i="1"/>
  <c r="OGW1618" i="1"/>
  <c r="OGV1618" i="1"/>
  <c r="OGU1618" i="1"/>
  <c r="OGT1618" i="1"/>
  <c r="OGS1618" i="1"/>
  <c r="OGR1618" i="1"/>
  <c r="OGQ1618" i="1"/>
  <c r="OGP1618" i="1"/>
  <c r="OGO1618" i="1"/>
  <c r="OGN1618" i="1"/>
  <c r="OGM1618" i="1"/>
  <c r="OGL1618" i="1"/>
  <c r="OGK1618" i="1"/>
  <c r="OGJ1618" i="1"/>
  <c r="OGI1618" i="1"/>
  <c r="OGH1618" i="1"/>
  <c r="OGG1618" i="1"/>
  <c r="OGF1618" i="1"/>
  <c r="OGE1618" i="1"/>
  <c r="OGD1618" i="1"/>
  <c r="OGC1618" i="1"/>
  <c r="OGB1618" i="1"/>
  <c r="OGA1618" i="1"/>
  <c r="OFZ1618" i="1"/>
  <c r="OFY1618" i="1"/>
  <c r="OFX1618" i="1"/>
  <c r="OFW1618" i="1"/>
  <c r="OFV1618" i="1"/>
  <c r="OFU1618" i="1"/>
  <c r="OFT1618" i="1"/>
  <c r="OFS1618" i="1"/>
  <c r="OFR1618" i="1"/>
  <c r="OFQ1618" i="1"/>
  <c r="OFP1618" i="1"/>
  <c r="OFO1618" i="1"/>
  <c r="OFN1618" i="1"/>
  <c r="OFM1618" i="1"/>
  <c r="OFL1618" i="1"/>
  <c r="OFK1618" i="1"/>
  <c r="OFJ1618" i="1"/>
  <c r="OFI1618" i="1"/>
  <c r="OFH1618" i="1"/>
  <c r="OFG1618" i="1"/>
  <c r="OFF1618" i="1"/>
  <c r="OFE1618" i="1"/>
  <c r="OFD1618" i="1"/>
  <c r="OFC1618" i="1"/>
  <c r="OFB1618" i="1"/>
  <c r="OFA1618" i="1"/>
  <c r="OEZ1618" i="1"/>
  <c r="OEY1618" i="1"/>
  <c r="OEX1618" i="1"/>
  <c r="OEW1618" i="1"/>
  <c r="OEV1618" i="1"/>
  <c r="OEU1618" i="1"/>
  <c r="OET1618" i="1"/>
  <c r="OES1618" i="1"/>
  <c r="OER1618" i="1"/>
  <c r="OEQ1618" i="1"/>
  <c r="OEP1618" i="1"/>
  <c r="OEO1618" i="1"/>
  <c r="OEN1618" i="1"/>
  <c r="OEM1618" i="1"/>
  <c r="OEL1618" i="1"/>
  <c r="OEK1618" i="1"/>
  <c r="OEJ1618" i="1"/>
  <c r="OEI1618" i="1"/>
  <c r="OEH1618" i="1"/>
  <c r="OEG1618" i="1"/>
  <c r="OEF1618" i="1"/>
  <c r="OEE1618" i="1"/>
  <c r="OED1618" i="1"/>
  <c r="OEC1618" i="1"/>
  <c r="OEB1618" i="1"/>
  <c r="OEA1618" i="1"/>
  <c r="ODZ1618" i="1"/>
  <c r="ODY1618" i="1"/>
  <c r="ODX1618" i="1"/>
  <c r="ODW1618" i="1"/>
  <c r="ODV1618" i="1"/>
  <c r="ODU1618" i="1"/>
  <c r="ODT1618" i="1"/>
  <c r="ODS1618" i="1"/>
  <c r="ODR1618" i="1"/>
  <c r="ODQ1618" i="1"/>
  <c r="ODP1618" i="1"/>
  <c r="ODO1618" i="1"/>
  <c r="ODN1618" i="1"/>
  <c r="ODM1618" i="1"/>
  <c r="ODL1618" i="1"/>
  <c r="ODK1618" i="1"/>
  <c r="ODJ1618" i="1"/>
  <c r="ODI1618" i="1"/>
  <c r="ODH1618" i="1"/>
  <c r="ODG1618" i="1"/>
  <c r="ODF1618" i="1"/>
  <c r="ODE1618" i="1"/>
  <c r="ODD1618" i="1"/>
  <c r="ODC1618" i="1"/>
  <c r="ODB1618" i="1"/>
  <c r="ODA1618" i="1"/>
  <c r="OCZ1618" i="1"/>
  <c r="OCY1618" i="1"/>
  <c r="OCX1618" i="1"/>
  <c r="OCW1618" i="1"/>
  <c r="OCV1618" i="1"/>
  <c r="OCU1618" i="1"/>
  <c r="OCT1618" i="1"/>
  <c r="OCS1618" i="1"/>
  <c r="OCR1618" i="1"/>
  <c r="OCQ1618" i="1"/>
  <c r="OCP1618" i="1"/>
  <c r="OCO1618" i="1"/>
  <c r="OCN1618" i="1"/>
  <c r="OCM1618" i="1"/>
  <c r="OCL1618" i="1"/>
  <c r="OCK1618" i="1"/>
  <c r="OCJ1618" i="1"/>
  <c r="OCI1618" i="1"/>
  <c r="OCH1618" i="1"/>
  <c r="OCG1618" i="1"/>
  <c r="OCF1618" i="1"/>
  <c r="OCE1618" i="1"/>
  <c r="OCD1618" i="1"/>
  <c r="OCC1618" i="1"/>
  <c r="OCB1618" i="1"/>
  <c r="OCA1618" i="1"/>
  <c r="OBZ1618" i="1"/>
  <c r="OBY1618" i="1"/>
  <c r="OBX1618" i="1"/>
  <c r="OBW1618" i="1"/>
  <c r="OBV1618" i="1"/>
  <c r="OBU1618" i="1"/>
  <c r="OBT1618" i="1"/>
  <c r="OBS1618" i="1"/>
  <c r="OBR1618" i="1"/>
  <c r="OBQ1618" i="1"/>
  <c r="OBP1618" i="1"/>
  <c r="OBO1618" i="1"/>
  <c r="OBN1618" i="1"/>
  <c r="OBM1618" i="1"/>
  <c r="OBL1618" i="1"/>
  <c r="OBK1618" i="1"/>
  <c r="OBJ1618" i="1"/>
  <c r="OBI1618" i="1"/>
  <c r="OBH1618" i="1"/>
  <c r="OBG1618" i="1"/>
  <c r="OBF1618" i="1"/>
  <c r="OBE1618" i="1"/>
  <c r="OBD1618" i="1"/>
  <c r="OBC1618" i="1"/>
  <c r="OBB1618" i="1"/>
  <c r="OBA1618" i="1"/>
  <c r="OAZ1618" i="1"/>
  <c r="OAY1618" i="1"/>
  <c r="OAX1618" i="1"/>
  <c r="OAW1618" i="1"/>
  <c r="OAV1618" i="1"/>
  <c r="OAU1618" i="1"/>
  <c r="OAT1618" i="1"/>
  <c r="OAS1618" i="1"/>
  <c r="OAR1618" i="1"/>
  <c r="OAQ1618" i="1"/>
  <c r="OAP1618" i="1"/>
  <c r="OAO1618" i="1"/>
  <c r="OAN1618" i="1"/>
  <c r="OAM1618" i="1"/>
  <c r="OAL1618" i="1"/>
  <c r="OAK1618" i="1"/>
  <c r="OAJ1618" i="1"/>
  <c r="OAI1618" i="1"/>
  <c r="OAH1618" i="1"/>
  <c r="OAG1618" i="1"/>
  <c r="OAF1618" i="1"/>
  <c r="OAE1618" i="1"/>
  <c r="OAD1618" i="1"/>
  <c r="OAC1618" i="1"/>
  <c r="OAB1618" i="1"/>
  <c r="OAA1618" i="1"/>
  <c r="NZZ1618" i="1"/>
  <c r="NZY1618" i="1"/>
  <c r="NZX1618" i="1"/>
  <c r="NZW1618" i="1"/>
  <c r="NZV1618" i="1"/>
  <c r="NZU1618" i="1"/>
  <c r="NZT1618" i="1"/>
  <c r="NZS1618" i="1"/>
  <c r="NZR1618" i="1"/>
  <c r="NZQ1618" i="1"/>
  <c r="NZP1618" i="1"/>
  <c r="NZO1618" i="1"/>
  <c r="NZN1618" i="1"/>
  <c r="NZM1618" i="1"/>
  <c r="NZL1618" i="1"/>
  <c r="NZK1618" i="1"/>
  <c r="NZJ1618" i="1"/>
  <c r="NZI1618" i="1"/>
  <c r="NZH1618" i="1"/>
  <c r="NZG1618" i="1"/>
  <c r="NZF1618" i="1"/>
  <c r="NZE1618" i="1"/>
  <c r="NZD1618" i="1"/>
  <c r="NZC1618" i="1"/>
  <c r="NZB1618" i="1"/>
  <c r="NZA1618" i="1"/>
  <c r="NYZ1618" i="1"/>
  <c r="NYY1618" i="1"/>
  <c r="NYX1618" i="1"/>
  <c r="NYW1618" i="1"/>
  <c r="NYV1618" i="1"/>
  <c r="NYU1618" i="1"/>
  <c r="NYT1618" i="1"/>
  <c r="NYS1618" i="1"/>
  <c r="NYR1618" i="1"/>
  <c r="NYQ1618" i="1"/>
  <c r="NYP1618" i="1"/>
  <c r="NYO1618" i="1"/>
  <c r="NYN1618" i="1"/>
  <c r="NYM1618" i="1"/>
  <c r="NYL1618" i="1"/>
  <c r="NYK1618" i="1"/>
  <c r="NYJ1618" i="1"/>
  <c r="NYI1618" i="1"/>
  <c r="NYH1618" i="1"/>
  <c r="NYG1618" i="1"/>
  <c r="NYF1618" i="1"/>
  <c r="NYE1618" i="1"/>
  <c r="NYD1618" i="1"/>
  <c r="NYC1618" i="1"/>
  <c r="NYB1618" i="1"/>
  <c r="NYA1618" i="1"/>
  <c r="NXZ1618" i="1"/>
  <c r="NXY1618" i="1"/>
  <c r="NXX1618" i="1"/>
  <c r="NXW1618" i="1"/>
  <c r="NXV1618" i="1"/>
  <c r="NXU1618" i="1"/>
  <c r="NXT1618" i="1"/>
  <c r="NXS1618" i="1"/>
  <c r="NXR1618" i="1"/>
  <c r="NXQ1618" i="1"/>
  <c r="NXP1618" i="1"/>
  <c r="NXO1618" i="1"/>
  <c r="NXN1618" i="1"/>
  <c r="NXM1618" i="1"/>
  <c r="NXL1618" i="1"/>
  <c r="NXK1618" i="1"/>
  <c r="NXJ1618" i="1"/>
  <c r="NXI1618" i="1"/>
  <c r="NXH1618" i="1"/>
  <c r="NXG1618" i="1"/>
  <c r="NXF1618" i="1"/>
  <c r="NXE1618" i="1"/>
  <c r="NXD1618" i="1"/>
  <c r="NXC1618" i="1"/>
  <c r="NXB1618" i="1"/>
  <c r="NXA1618" i="1"/>
  <c r="NWZ1618" i="1"/>
  <c r="NWY1618" i="1"/>
  <c r="NWX1618" i="1"/>
  <c r="NWW1618" i="1"/>
  <c r="NWV1618" i="1"/>
  <c r="NWU1618" i="1"/>
  <c r="NWT1618" i="1"/>
  <c r="NWS1618" i="1"/>
  <c r="NWR1618" i="1"/>
  <c r="NWQ1618" i="1"/>
  <c r="NWP1618" i="1"/>
  <c r="NWO1618" i="1"/>
  <c r="NWN1618" i="1"/>
  <c r="NWM1618" i="1"/>
  <c r="NWL1618" i="1"/>
  <c r="NWK1618" i="1"/>
  <c r="NWJ1618" i="1"/>
  <c r="NWI1618" i="1"/>
  <c r="NWH1618" i="1"/>
  <c r="NWG1618" i="1"/>
  <c r="NWF1618" i="1"/>
  <c r="NWE1618" i="1"/>
  <c r="NWD1618" i="1"/>
  <c r="NWC1618" i="1"/>
  <c r="NWB1618" i="1"/>
  <c r="NWA1618" i="1"/>
  <c r="NVZ1618" i="1"/>
  <c r="NVY1618" i="1"/>
  <c r="NVX1618" i="1"/>
  <c r="NVW1618" i="1"/>
  <c r="NVV1618" i="1"/>
  <c r="NVU1618" i="1"/>
  <c r="NVT1618" i="1"/>
  <c r="NVS1618" i="1"/>
  <c r="NVR1618" i="1"/>
  <c r="NVQ1618" i="1"/>
  <c r="NVP1618" i="1"/>
  <c r="NVO1618" i="1"/>
  <c r="NVN1618" i="1"/>
  <c r="NVM1618" i="1"/>
  <c r="NVL1618" i="1"/>
  <c r="NVK1618" i="1"/>
  <c r="NVJ1618" i="1"/>
  <c r="NVI1618" i="1"/>
  <c r="NVH1618" i="1"/>
  <c r="NVG1618" i="1"/>
  <c r="NVF1618" i="1"/>
  <c r="NVE1618" i="1"/>
  <c r="NVD1618" i="1"/>
  <c r="NVC1618" i="1"/>
  <c r="NVB1618" i="1"/>
  <c r="NVA1618" i="1"/>
  <c r="NUZ1618" i="1"/>
  <c r="NUY1618" i="1"/>
  <c r="NUX1618" i="1"/>
  <c r="NUW1618" i="1"/>
  <c r="NUV1618" i="1"/>
  <c r="NUU1618" i="1"/>
  <c r="NUT1618" i="1"/>
  <c r="NUS1618" i="1"/>
  <c r="NUR1618" i="1"/>
  <c r="NUQ1618" i="1"/>
  <c r="NUP1618" i="1"/>
  <c r="NUO1618" i="1"/>
  <c r="NUN1618" i="1"/>
  <c r="NUM1618" i="1"/>
  <c r="NUL1618" i="1"/>
  <c r="NUK1618" i="1"/>
  <c r="NUJ1618" i="1"/>
  <c r="NUI1618" i="1"/>
  <c r="NUH1618" i="1"/>
  <c r="NUG1618" i="1"/>
  <c r="NUF1618" i="1"/>
  <c r="NUE1618" i="1"/>
  <c r="NUD1618" i="1"/>
  <c r="NUC1618" i="1"/>
  <c r="NUB1618" i="1"/>
  <c r="NUA1618" i="1"/>
  <c r="NTZ1618" i="1"/>
  <c r="NTY1618" i="1"/>
  <c r="NTX1618" i="1"/>
  <c r="NTW1618" i="1"/>
  <c r="NTV1618" i="1"/>
  <c r="NTU1618" i="1"/>
  <c r="NTT1618" i="1"/>
  <c r="NTS1618" i="1"/>
  <c r="NTR1618" i="1"/>
  <c r="NTQ1618" i="1"/>
  <c r="NTP1618" i="1"/>
  <c r="NTO1618" i="1"/>
  <c r="NTN1618" i="1"/>
  <c r="NTM1618" i="1"/>
  <c r="NTL1618" i="1"/>
  <c r="NTK1618" i="1"/>
  <c r="NTJ1618" i="1"/>
  <c r="NTI1618" i="1"/>
  <c r="NTH1618" i="1"/>
  <c r="NTG1618" i="1"/>
  <c r="NTF1618" i="1"/>
  <c r="NTE1618" i="1"/>
  <c r="NTD1618" i="1"/>
  <c r="NTC1618" i="1"/>
  <c r="NTB1618" i="1"/>
  <c r="NTA1618" i="1"/>
  <c r="NSZ1618" i="1"/>
  <c r="NSY1618" i="1"/>
  <c r="NSX1618" i="1"/>
  <c r="NSW1618" i="1"/>
  <c r="NSV1618" i="1"/>
  <c r="NSU1618" i="1"/>
  <c r="NST1618" i="1"/>
  <c r="NSS1618" i="1"/>
  <c r="NSR1618" i="1"/>
  <c r="NSQ1618" i="1"/>
  <c r="NSP1618" i="1"/>
  <c r="NSO1618" i="1"/>
  <c r="NSN1618" i="1"/>
  <c r="NSM1618" i="1"/>
  <c r="NSL1618" i="1"/>
  <c r="NSK1618" i="1"/>
  <c r="NSJ1618" i="1"/>
  <c r="NSI1618" i="1"/>
  <c r="NSH1618" i="1"/>
  <c r="NSG1618" i="1"/>
  <c r="NSF1618" i="1"/>
  <c r="NSE1618" i="1"/>
  <c r="NSD1618" i="1"/>
  <c r="NSC1618" i="1"/>
  <c r="NSB1618" i="1"/>
  <c r="NSA1618" i="1"/>
  <c r="NRZ1618" i="1"/>
  <c r="NRY1618" i="1"/>
  <c r="NRX1618" i="1"/>
  <c r="NRW1618" i="1"/>
  <c r="NRV1618" i="1"/>
  <c r="NRU1618" i="1"/>
  <c r="NRT1618" i="1"/>
  <c r="NRS1618" i="1"/>
  <c r="NRR1618" i="1"/>
  <c r="NRQ1618" i="1"/>
  <c r="NRP1618" i="1"/>
  <c r="NRO1618" i="1"/>
  <c r="NRN1618" i="1"/>
  <c r="NRM1618" i="1"/>
  <c r="NRL1618" i="1"/>
  <c r="NRK1618" i="1"/>
  <c r="NRJ1618" i="1"/>
  <c r="NRI1618" i="1"/>
  <c r="NRH1618" i="1"/>
  <c r="NRG1618" i="1"/>
  <c r="NRF1618" i="1"/>
  <c r="NRE1618" i="1"/>
  <c r="NRD1618" i="1"/>
  <c r="NRC1618" i="1"/>
  <c r="NRB1618" i="1"/>
  <c r="NRA1618" i="1"/>
  <c r="NQZ1618" i="1"/>
  <c r="NQY1618" i="1"/>
  <c r="NQX1618" i="1"/>
  <c r="NQW1618" i="1"/>
  <c r="NQV1618" i="1"/>
  <c r="NQU1618" i="1"/>
  <c r="NQT1618" i="1"/>
  <c r="NQS1618" i="1"/>
  <c r="NQR1618" i="1"/>
  <c r="NQQ1618" i="1"/>
  <c r="NQP1618" i="1"/>
  <c r="NQO1618" i="1"/>
  <c r="NQN1618" i="1"/>
  <c r="NQM1618" i="1"/>
  <c r="NQL1618" i="1"/>
  <c r="NQK1618" i="1"/>
  <c r="NQJ1618" i="1"/>
  <c r="NQI1618" i="1"/>
  <c r="NQH1618" i="1"/>
  <c r="NQG1618" i="1"/>
  <c r="NQF1618" i="1"/>
  <c r="NQE1618" i="1"/>
  <c r="NQD1618" i="1"/>
  <c r="NQC1618" i="1"/>
  <c r="NQB1618" i="1"/>
  <c r="NQA1618" i="1"/>
  <c r="NPZ1618" i="1"/>
  <c r="NPY1618" i="1"/>
  <c r="NPX1618" i="1"/>
  <c r="NPW1618" i="1"/>
  <c r="NPV1618" i="1"/>
  <c r="NPU1618" i="1"/>
  <c r="NPT1618" i="1"/>
  <c r="NPS1618" i="1"/>
  <c r="NPR1618" i="1"/>
  <c r="NPQ1618" i="1"/>
  <c r="NPP1618" i="1"/>
  <c r="NPO1618" i="1"/>
  <c r="NPN1618" i="1"/>
  <c r="NPM1618" i="1"/>
  <c r="NPL1618" i="1"/>
  <c r="NPK1618" i="1"/>
  <c r="NPJ1618" i="1"/>
  <c r="NPI1618" i="1"/>
  <c r="NPH1618" i="1"/>
  <c r="NPG1618" i="1"/>
  <c r="NPF1618" i="1"/>
  <c r="NPE1618" i="1"/>
  <c r="NPD1618" i="1"/>
  <c r="NPC1618" i="1"/>
  <c r="NPB1618" i="1"/>
  <c r="NPA1618" i="1"/>
  <c r="NOZ1618" i="1"/>
  <c r="NOY1618" i="1"/>
  <c r="NOX1618" i="1"/>
  <c r="NOW1618" i="1"/>
  <c r="NOV1618" i="1"/>
  <c r="NOU1618" i="1"/>
  <c r="NOT1618" i="1"/>
  <c r="NOS1618" i="1"/>
  <c r="NOR1618" i="1"/>
  <c r="NOQ1618" i="1"/>
  <c r="NOP1618" i="1"/>
  <c r="NOO1618" i="1"/>
  <c r="NON1618" i="1"/>
  <c r="NOM1618" i="1"/>
  <c r="NOL1618" i="1"/>
  <c r="NOK1618" i="1"/>
  <c r="NOJ1618" i="1"/>
  <c r="NOI1618" i="1"/>
  <c r="NOH1618" i="1"/>
  <c r="NOG1618" i="1"/>
  <c r="NOF1618" i="1"/>
  <c r="NOE1618" i="1"/>
  <c r="NOD1618" i="1"/>
  <c r="NOC1618" i="1"/>
  <c r="NOB1618" i="1"/>
  <c r="NOA1618" i="1"/>
  <c r="NNZ1618" i="1"/>
  <c r="NNY1618" i="1"/>
  <c r="NNX1618" i="1"/>
  <c r="NNW1618" i="1"/>
  <c r="NNV1618" i="1"/>
  <c r="NNU1618" i="1"/>
  <c r="NNT1618" i="1"/>
  <c r="NNS1618" i="1"/>
  <c r="NNR1618" i="1"/>
  <c r="NNQ1618" i="1"/>
  <c r="NNP1618" i="1"/>
  <c r="NNO1618" i="1"/>
  <c r="NNN1618" i="1"/>
  <c r="NNM1618" i="1"/>
  <c r="NNL1618" i="1"/>
  <c r="NNK1618" i="1"/>
  <c r="NNJ1618" i="1"/>
  <c r="NNI1618" i="1"/>
  <c r="NNH1618" i="1"/>
  <c r="NNG1618" i="1"/>
  <c r="NNF1618" i="1"/>
  <c r="NNE1618" i="1"/>
  <c r="NND1618" i="1"/>
  <c r="NNC1618" i="1"/>
  <c r="NNB1618" i="1"/>
  <c r="NNA1618" i="1"/>
  <c r="NMZ1618" i="1"/>
  <c r="NMY1618" i="1"/>
  <c r="NMX1618" i="1"/>
  <c r="NMW1618" i="1"/>
  <c r="NMV1618" i="1"/>
  <c r="NMU1618" i="1"/>
  <c r="NMT1618" i="1"/>
  <c r="NMS1618" i="1"/>
  <c r="NMR1618" i="1"/>
  <c r="NMQ1618" i="1"/>
  <c r="NMP1618" i="1"/>
  <c r="NMO1618" i="1"/>
  <c r="NMN1618" i="1"/>
  <c r="NMM1618" i="1"/>
  <c r="NML1618" i="1"/>
  <c r="NMK1618" i="1"/>
  <c r="NMJ1618" i="1"/>
  <c r="NMI1618" i="1"/>
  <c r="NMH1618" i="1"/>
  <c r="NMG1618" i="1"/>
  <c r="NMF1618" i="1"/>
  <c r="NME1618" i="1"/>
  <c r="NMD1618" i="1"/>
  <c r="NMC1618" i="1"/>
  <c r="NMB1618" i="1"/>
  <c r="NMA1618" i="1"/>
  <c r="NLZ1618" i="1"/>
  <c r="NLY1618" i="1"/>
  <c r="NLX1618" i="1"/>
  <c r="NLW1618" i="1"/>
  <c r="NLV1618" i="1"/>
  <c r="NLU1618" i="1"/>
  <c r="NLT1618" i="1"/>
  <c r="NLS1618" i="1"/>
  <c r="NLR1618" i="1"/>
  <c r="NLQ1618" i="1"/>
  <c r="NLP1618" i="1"/>
  <c r="NLO1618" i="1"/>
  <c r="NLN1618" i="1"/>
  <c r="NLM1618" i="1"/>
  <c r="NLL1618" i="1"/>
  <c r="NLK1618" i="1"/>
  <c r="NLJ1618" i="1"/>
  <c r="NLI1618" i="1"/>
  <c r="NLH1618" i="1"/>
  <c r="NLG1618" i="1"/>
  <c r="NLF1618" i="1"/>
  <c r="NLE1618" i="1"/>
  <c r="NLD1618" i="1"/>
  <c r="NLC1618" i="1"/>
  <c r="NLB1618" i="1"/>
  <c r="NLA1618" i="1"/>
  <c r="NKZ1618" i="1"/>
  <c r="NKY1618" i="1"/>
  <c r="NKX1618" i="1"/>
  <c r="NKW1618" i="1"/>
  <c r="NKV1618" i="1"/>
  <c r="NKU1618" i="1"/>
  <c r="NKT1618" i="1"/>
  <c r="NKS1618" i="1"/>
  <c r="NKR1618" i="1"/>
  <c r="NKQ1618" i="1"/>
  <c r="NKP1618" i="1"/>
  <c r="NKO1618" i="1"/>
  <c r="NKN1618" i="1"/>
  <c r="NKM1618" i="1"/>
  <c r="NKL1618" i="1"/>
  <c r="NKK1618" i="1"/>
  <c r="NKJ1618" i="1"/>
  <c r="NKI1618" i="1"/>
  <c r="NKH1618" i="1"/>
  <c r="NKG1618" i="1"/>
  <c r="NKF1618" i="1"/>
  <c r="NKE1618" i="1"/>
  <c r="NKD1618" i="1"/>
  <c r="NKC1618" i="1"/>
  <c r="NKB1618" i="1"/>
  <c r="NKA1618" i="1"/>
  <c r="NJZ1618" i="1"/>
  <c r="NJY1618" i="1"/>
  <c r="NJX1618" i="1"/>
  <c r="NJW1618" i="1"/>
  <c r="NJV1618" i="1"/>
  <c r="NJU1618" i="1"/>
  <c r="NJT1618" i="1"/>
  <c r="NJS1618" i="1"/>
  <c r="NJR1618" i="1"/>
  <c r="NJQ1618" i="1"/>
  <c r="NJP1618" i="1"/>
  <c r="NJO1618" i="1"/>
  <c r="NJN1618" i="1"/>
  <c r="NJM1618" i="1"/>
  <c r="NJL1618" i="1"/>
  <c r="NJK1618" i="1"/>
  <c r="NJJ1618" i="1"/>
  <c r="NJI1618" i="1"/>
  <c r="NJH1618" i="1"/>
  <c r="NJG1618" i="1"/>
  <c r="NJF1618" i="1"/>
  <c r="NJE1618" i="1"/>
  <c r="NJD1618" i="1"/>
  <c r="NJC1618" i="1"/>
  <c r="NJB1618" i="1"/>
  <c r="NJA1618" i="1"/>
  <c r="NIZ1618" i="1"/>
  <c r="NIY1618" i="1"/>
  <c r="NIX1618" i="1"/>
  <c r="NIW1618" i="1"/>
  <c r="NIV1618" i="1"/>
  <c r="NIU1618" i="1"/>
  <c r="NIT1618" i="1"/>
  <c r="NIS1618" i="1"/>
  <c r="NIR1618" i="1"/>
  <c r="NIQ1618" i="1"/>
  <c r="NIP1618" i="1"/>
  <c r="NIO1618" i="1"/>
  <c r="NIN1618" i="1"/>
  <c r="NIM1618" i="1"/>
  <c r="NIL1618" i="1"/>
  <c r="NIK1618" i="1"/>
  <c r="NIJ1618" i="1"/>
  <c r="NII1618" i="1"/>
  <c r="NIH1618" i="1"/>
  <c r="NIG1618" i="1"/>
  <c r="NIF1618" i="1"/>
  <c r="NIE1618" i="1"/>
  <c r="NID1618" i="1"/>
  <c r="NIC1618" i="1"/>
  <c r="NIB1618" i="1"/>
  <c r="NIA1618" i="1"/>
  <c r="NHZ1618" i="1"/>
  <c r="NHY1618" i="1"/>
  <c r="NHX1618" i="1"/>
  <c r="NHW1618" i="1"/>
  <c r="NHV1618" i="1"/>
  <c r="NHU1618" i="1"/>
  <c r="NHT1618" i="1"/>
  <c r="NHS1618" i="1"/>
  <c r="NHR1618" i="1"/>
  <c r="NHQ1618" i="1"/>
  <c r="NHP1618" i="1"/>
  <c r="NHO1618" i="1"/>
  <c r="NHN1618" i="1"/>
  <c r="NHM1618" i="1"/>
  <c r="NHL1618" i="1"/>
  <c r="NHK1618" i="1"/>
  <c r="NHJ1618" i="1"/>
  <c r="NHI1618" i="1"/>
  <c r="NHH1618" i="1"/>
  <c r="NHG1618" i="1"/>
  <c r="NHF1618" i="1"/>
  <c r="NHE1618" i="1"/>
  <c r="NHD1618" i="1"/>
  <c r="NHC1618" i="1"/>
  <c r="NHB1618" i="1"/>
  <c r="NHA1618" i="1"/>
  <c r="NGZ1618" i="1"/>
  <c r="NGY1618" i="1"/>
  <c r="NGX1618" i="1"/>
  <c r="NGW1618" i="1"/>
  <c r="NGV1618" i="1"/>
  <c r="NGU1618" i="1"/>
  <c r="NGT1618" i="1"/>
  <c r="NGS1618" i="1"/>
  <c r="NGR1618" i="1"/>
  <c r="NGQ1618" i="1"/>
  <c r="NGP1618" i="1"/>
  <c r="NGO1618" i="1"/>
  <c r="NGN1618" i="1"/>
  <c r="NGM1618" i="1"/>
  <c r="NGL1618" i="1"/>
  <c r="NGK1618" i="1"/>
  <c r="NGJ1618" i="1"/>
  <c r="NGI1618" i="1"/>
  <c r="NGH1618" i="1"/>
  <c r="NGG1618" i="1"/>
  <c r="NGF1618" i="1"/>
  <c r="NGE1618" i="1"/>
  <c r="NGD1618" i="1"/>
  <c r="NGC1618" i="1"/>
  <c r="NGB1618" i="1"/>
  <c r="NGA1618" i="1"/>
  <c r="NFZ1618" i="1"/>
  <c r="NFY1618" i="1"/>
  <c r="NFX1618" i="1"/>
  <c r="NFW1618" i="1"/>
  <c r="NFV1618" i="1"/>
  <c r="NFU1618" i="1"/>
  <c r="NFT1618" i="1"/>
  <c r="NFS1618" i="1"/>
  <c r="NFR1618" i="1"/>
  <c r="NFQ1618" i="1"/>
  <c r="NFP1618" i="1"/>
  <c r="NFO1618" i="1"/>
  <c r="NFN1618" i="1"/>
  <c r="NFM1618" i="1"/>
  <c r="NFL1618" i="1"/>
  <c r="NFK1618" i="1"/>
  <c r="NFJ1618" i="1"/>
  <c r="NFI1618" i="1"/>
  <c r="NFH1618" i="1"/>
  <c r="NFG1618" i="1"/>
  <c r="NFF1618" i="1"/>
  <c r="NFE1618" i="1"/>
  <c r="NFD1618" i="1"/>
  <c r="NFC1618" i="1"/>
  <c r="NFB1618" i="1"/>
  <c r="NFA1618" i="1"/>
  <c r="NEZ1618" i="1"/>
  <c r="NEY1618" i="1"/>
  <c r="NEX1618" i="1"/>
  <c r="NEW1618" i="1"/>
  <c r="NEV1618" i="1"/>
  <c r="NEU1618" i="1"/>
  <c r="NET1618" i="1"/>
  <c r="NES1618" i="1"/>
  <c r="NER1618" i="1"/>
  <c r="NEQ1618" i="1"/>
  <c r="NEP1618" i="1"/>
  <c r="NEO1618" i="1"/>
  <c r="NEN1618" i="1"/>
  <c r="NEM1618" i="1"/>
  <c r="NEL1618" i="1"/>
  <c r="NEK1618" i="1"/>
  <c r="NEJ1618" i="1"/>
  <c r="NEI1618" i="1"/>
  <c r="NEH1618" i="1"/>
  <c r="NEG1618" i="1"/>
  <c r="NEF1618" i="1"/>
  <c r="NEE1618" i="1"/>
  <c r="NED1618" i="1"/>
  <c r="NEC1618" i="1"/>
  <c r="NEB1618" i="1"/>
  <c r="NEA1618" i="1"/>
  <c r="NDZ1618" i="1"/>
  <c r="NDY1618" i="1"/>
  <c r="NDX1618" i="1"/>
  <c r="NDW1618" i="1"/>
  <c r="NDV1618" i="1"/>
  <c r="NDU1618" i="1"/>
  <c r="NDT1618" i="1"/>
  <c r="NDS1618" i="1"/>
  <c r="NDR1618" i="1"/>
  <c r="NDQ1618" i="1"/>
  <c r="NDP1618" i="1"/>
  <c r="NDO1618" i="1"/>
  <c r="NDN1618" i="1"/>
  <c r="NDM1618" i="1"/>
  <c r="NDL1618" i="1"/>
  <c r="NDK1618" i="1"/>
  <c r="NDJ1618" i="1"/>
  <c r="NDI1618" i="1"/>
  <c r="NDH1618" i="1"/>
  <c r="NDG1618" i="1"/>
  <c r="NDF1618" i="1"/>
  <c r="NDE1618" i="1"/>
  <c r="NDD1618" i="1"/>
  <c r="NDC1618" i="1"/>
  <c r="NDB1618" i="1"/>
  <c r="NDA1618" i="1"/>
  <c r="NCZ1618" i="1"/>
  <c r="NCY1618" i="1"/>
  <c r="NCX1618" i="1"/>
  <c r="NCW1618" i="1"/>
  <c r="NCV1618" i="1"/>
  <c r="NCU1618" i="1"/>
  <c r="NCT1618" i="1"/>
  <c r="NCS1618" i="1"/>
  <c r="NCR1618" i="1"/>
  <c r="NCQ1618" i="1"/>
  <c r="NCP1618" i="1"/>
  <c r="NCO1618" i="1"/>
  <c r="NCN1618" i="1"/>
  <c r="NCM1618" i="1"/>
  <c r="NCL1618" i="1"/>
  <c r="NCK1618" i="1"/>
  <c r="NCJ1618" i="1"/>
  <c r="NCI1618" i="1"/>
  <c r="NCH1618" i="1"/>
  <c r="NCG1618" i="1"/>
  <c r="NCF1618" i="1"/>
  <c r="NCE1618" i="1"/>
  <c r="NCD1618" i="1"/>
  <c r="NCC1618" i="1"/>
  <c r="NCB1618" i="1"/>
  <c r="NCA1618" i="1"/>
  <c r="NBZ1618" i="1"/>
  <c r="NBY1618" i="1"/>
  <c r="NBX1618" i="1"/>
  <c r="NBW1618" i="1"/>
  <c r="NBV1618" i="1"/>
  <c r="NBU1618" i="1"/>
  <c r="NBT1618" i="1"/>
  <c r="NBS1618" i="1"/>
  <c r="NBR1618" i="1"/>
  <c r="NBQ1618" i="1"/>
  <c r="NBP1618" i="1"/>
  <c r="NBO1618" i="1"/>
  <c r="NBN1618" i="1"/>
  <c r="NBM1618" i="1"/>
  <c r="NBL1618" i="1"/>
  <c r="NBK1618" i="1"/>
  <c r="NBJ1618" i="1"/>
  <c r="NBI1618" i="1"/>
  <c r="NBH1618" i="1"/>
  <c r="NBG1618" i="1"/>
  <c r="NBF1618" i="1"/>
  <c r="NBE1618" i="1"/>
  <c r="NBD1618" i="1"/>
  <c r="NBC1618" i="1"/>
  <c r="NBB1618" i="1"/>
  <c r="NBA1618" i="1"/>
  <c r="NAZ1618" i="1"/>
  <c r="NAY1618" i="1"/>
  <c r="NAX1618" i="1"/>
  <c r="NAW1618" i="1"/>
  <c r="NAV1618" i="1"/>
  <c r="NAU1618" i="1"/>
  <c r="NAT1618" i="1"/>
  <c r="NAS1618" i="1"/>
  <c r="NAR1618" i="1"/>
  <c r="NAQ1618" i="1"/>
  <c r="NAP1618" i="1"/>
  <c r="NAO1618" i="1"/>
  <c r="NAN1618" i="1"/>
  <c r="NAM1618" i="1"/>
  <c r="NAL1618" i="1"/>
  <c r="NAK1618" i="1"/>
  <c r="NAJ1618" i="1"/>
  <c r="NAI1618" i="1"/>
  <c r="NAH1618" i="1"/>
  <c r="NAG1618" i="1"/>
  <c r="NAF1618" i="1"/>
  <c r="NAE1618" i="1"/>
  <c r="NAD1618" i="1"/>
  <c r="NAC1618" i="1"/>
  <c r="NAB1618" i="1"/>
  <c r="NAA1618" i="1"/>
  <c r="MZZ1618" i="1"/>
  <c r="MZY1618" i="1"/>
  <c r="MZX1618" i="1"/>
  <c r="MZW1618" i="1"/>
  <c r="MZV1618" i="1"/>
  <c r="MZU1618" i="1"/>
  <c r="MZT1618" i="1"/>
  <c r="MZS1618" i="1"/>
  <c r="MZR1618" i="1"/>
  <c r="MZQ1618" i="1"/>
  <c r="MZP1618" i="1"/>
  <c r="MZO1618" i="1"/>
  <c r="MZN1618" i="1"/>
  <c r="MZM1618" i="1"/>
  <c r="MZL1618" i="1"/>
  <c r="MZK1618" i="1"/>
  <c r="MZJ1618" i="1"/>
  <c r="MZI1618" i="1"/>
  <c r="MZH1618" i="1"/>
  <c r="MZG1618" i="1"/>
  <c r="MZF1618" i="1"/>
  <c r="MZE1618" i="1"/>
  <c r="MZD1618" i="1"/>
  <c r="MZC1618" i="1"/>
  <c r="MZB1618" i="1"/>
  <c r="MZA1618" i="1"/>
  <c r="MYZ1618" i="1"/>
  <c r="MYY1618" i="1"/>
  <c r="MYX1618" i="1"/>
  <c r="MYW1618" i="1"/>
  <c r="MYV1618" i="1"/>
  <c r="MYU1618" i="1"/>
  <c r="MYT1618" i="1"/>
  <c r="MYS1618" i="1"/>
  <c r="MYR1618" i="1"/>
  <c r="MYQ1618" i="1"/>
  <c r="MYP1618" i="1"/>
  <c r="MYO1618" i="1"/>
  <c r="MYN1618" i="1"/>
  <c r="MYM1618" i="1"/>
  <c r="MYL1618" i="1"/>
  <c r="MYK1618" i="1"/>
  <c r="MYJ1618" i="1"/>
  <c r="MYI1618" i="1"/>
  <c r="MYH1618" i="1"/>
  <c r="MYG1618" i="1"/>
  <c r="MYF1618" i="1"/>
  <c r="MYE1618" i="1"/>
  <c r="MYD1618" i="1"/>
  <c r="MYC1618" i="1"/>
  <c r="MYB1618" i="1"/>
  <c r="MYA1618" i="1"/>
  <c r="MXZ1618" i="1"/>
  <c r="MXY1618" i="1"/>
  <c r="MXX1618" i="1"/>
  <c r="MXW1618" i="1"/>
  <c r="MXV1618" i="1"/>
  <c r="MXU1618" i="1"/>
  <c r="MXT1618" i="1"/>
  <c r="MXS1618" i="1"/>
  <c r="MXR1618" i="1"/>
  <c r="MXQ1618" i="1"/>
  <c r="MXP1618" i="1"/>
  <c r="MXO1618" i="1"/>
  <c r="MXN1618" i="1"/>
  <c r="MXM1618" i="1"/>
  <c r="MXL1618" i="1"/>
  <c r="MXK1618" i="1"/>
  <c r="MXJ1618" i="1"/>
  <c r="MXI1618" i="1"/>
  <c r="MXH1618" i="1"/>
  <c r="MXG1618" i="1"/>
  <c r="MXF1618" i="1"/>
  <c r="MXE1618" i="1"/>
  <c r="MXD1618" i="1"/>
  <c r="MXC1618" i="1"/>
  <c r="MXB1618" i="1"/>
  <c r="MXA1618" i="1"/>
  <c r="MWZ1618" i="1"/>
  <c r="MWY1618" i="1"/>
  <c r="MWX1618" i="1"/>
  <c r="MWW1618" i="1"/>
  <c r="MWV1618" i="1"/>
  <c r="MWU1618" i="1"/>
  <c r="MWT1618" i="1"/>
  <c r="MWS1618" i="1"/>
  <c r="MWR1618" i="1"/>
  <c r="MWQ1618" i="1"/>
  <c r="MWP1618" i="1"/>
  <c r="MWO1618" i="1"/>
  <c r="MWN1618" i="1"/>
  <c r="MWM1618" i="1"/>
  <c r="MWL1618" i="1"/>
  <c r="MWK1618" i="1"/>
  <c r="MWJ1618" i="1"/>
  <c r="MWI1618" i="1"/>
  <c r="MWH1618" i="1"/>
  <c r="MWG1618" i="1"/>
  <c r="MWF1618" i="1"/>
  <c r="MWE1618" i="1"/>
  <c r="MWD1618" i="1"/>
  <c r="MWC1618" i="1"/>
  <c r="MWB1618" i="1"/>
  <c r="MWA1618" i="1"/>
  <c r="MVZ1618" i="1"/>
  <c r="MVY1618" i="1"/>
  <c r="MVX1618" i="1"/>
  <c r="MVW1618" i="1"/>
  <c r="MVV1618" i="1"/>
  <c r="MVU1618" i="1"/>
  <c r="MVT1618" i="1"/>
  <c r="MVS1618" i="1"/>
  <c r="MVR1618" i="1"/>
  <c r="MVQ1618" i="1"/>
  <c r="MVP1618" i="1"/>
  <c r="MVO1618" i="1"/>
  <c r="MVN1618" i="1"/>
  <c r="MVM1618" i="1"/>
  <c r="MVL1618" i="1"/>
  <c r="MVK1618" i="1"/>
  <c r="MVJ1618" i="1"/>
  <c r="MVI1618" i="1"/>
  <c r="MVH1618" i="1"/>
  <c r="MVG1618" i="1"/>
  <c r="MVF1618" i="1"/>
  <c r="MVE1618" i="1"/>
  <c r="MVD1618" i="1"/>
  <c r="MVC1618" i="1"/>
  <c r="MVB1618" i="1"/>
  <c r="MVA1618" i="1"/>
  <c r="MUZ1618" i="1"/>
  <c r="MUY1618" i="1"/>
  <c r="MUX1618" i="1"/>
  <c r="MUW1618" i="1"/>
  <c r="MUV1618" i="1"/>
  <c r="MUU1618" i="1"/>
  <c r="MUT1618" i="1"/>
  <c r="MUS1618" i="1"/>
  <c r="MUR1618" i="1"/>
  <c r="MUQ1618" i="1"/>
  <c r="MUP1618" i="1"/>
  <c r="MUO1618" i="1"/>
  <c r="MUN1618" i="1"/>
  <c r="MUM1618" i="1"/>
  <c r="MUL1618" i="1"/>
  <c r="MUK1618" i="1"/>
  <c r="MUJ1618" i="1"/>
  <c r="MUI1618" i="1"/>
  <c r="MUH1618" i="1"/>
  <c r="MUG1618" i="1"/>
  <c r="MUF1618" i="1"/>
  <c r="MUE1618" i="1"/>
  <c r="MUD1618" i="1"/>
  <c r="MUC1618" i="1"/>
  <c r="MUB1618" i="1"/>
  <c r="MUA1618" i="1"/>
  <c r="MTZ1618" i="1"/>
  <c r="MTY1618" i="1"/>
  <c r="MTX1618" i="1"/>
  <c r="MTW1618" i="1"/>
  <c r="MTV1618" i="1"/>
  <c r="MTU1618" i="1"/>
  <c r="MTT1618" i="1"/>
  <c r="MTS1618" i="1"/>
  <c r="MTR1618" i="1"/>
  <c r="MTQ1618" i="1"/>
  <c r="MTP1618" i="1"/>
  <c r="MTO1618" i="1"/>
  <c r="MTN1618" i="1"/>
  <c r="MTM1618" i="1"/>
  <c r="MTL1618" i="1"/>
  <c r="MTK1618" i="1"/>
  <c r="MTJ1618" i="1"/>
  <c r="MTI1618" i="1"/>
  <c r="MTH1618" i="1"/>
  <c r="MTG1618" i="1"/>
  <c r="MTF1618" i="1"/>
  <c r="MTE1618" i="1"/>
  <c r="MTD1618" i="1"/>
  <c r="MTC1618" i="1"/>
  <c r="MTB1618" i="1"/>
  <c r="MTA1618" i="1"/>
  <c r="MSZ1618" i="1"/>
  <c r="MSY1618" i="1"/>
  <c r="MSX1618" i="1"/>
  <c r="MSW1618" i="1"/>
  <c r="MSV1618" i="1"/>
  <c r="MSU1618" i="1"/>
  <c r="MST1618" i="1"/>
  <c r="MSS1618" i="1"/>
  <c r="MSR1618" i="1"/>
  <c r="MSQ1618" i="1"/>
  <c r="MSP1618" i="1"/>
  <c r="MSO1618" i="1"/>
  <c r="MSN1618" i="1"/>
  <c r="MSM1618" i="1"/>
  <c r="MSL1618" i="1"/>
  <c r="MSK1618" i="1"/>
  <c r="MSJ1618" i="1"/>
  <c r="MSI1618" i="1"/>
  <c r="MSH1618" i="1"/>
  <c r="MSG1618" i="1"/>
  <c r="MSF1618" i="1"/>
  <c r="MSE1618" i="1"/>
  <c r="MSD1618" i="1"/>
  <c r="MSC1618" i="1"/>
  <c r="MSB1618" i="1"/>
  <c r="MSA1618" i="1"/>
  <c r="MRZ1618" i="1"/>
  <c r="MRY1618" i="1"/>
  <c r="MRX1618" i="1"/>
  <c r="MRW1618" i="1"/>
  <c r="MRV1618" i="1"/>
  <c r="MRU1618" i="1"/>
  <c r="MRT1618" i="1"/>
  <c r="MRS1618" i="1"/>
  <c r="MRR1618" i="1"/>
  <c r="MRQ1618" i="1"/>
  <c r="MRP1618" i="1"/>
  <c r="MRO1618" i="1"/>
  <c r="MRN1618" i="1"/>
  <c r="MRM1618" i="1"/>
  <c r="MRL1618" i="1"/>
  <c r="MRK1618" i="1"/>
  <c r="MRJ1618" i="1"/>
  <c r="MRI1618" i="1"/>
  <c r="MRH1618" i="1"/>
  <c r="MRG1618" i="1"/>
  <c r="MRF1618" i="1"/>
  <c r="MRE1618" i="1"/>
  <c r="MRD1618" i="1"/>
  <c r="MRC1618" i="1"/>
  <c r="MRB1618" i="1"/>
  <c r="MRA1618" i="1"/>
  <c r="MQZ1618" i="1"/>
  <c r="MQY1618" i="1"/>
  <c r="MQX1618" i="1"/>
  <c r="MQW1618" i="1"/>
  <c r="MQV1618" i="1"/>
  <c r="MQU1618" i="1"/>
  <c r="MQT1618" i="1"/>
  <c r="MQS1618" i="1"/>
  <c r="MQR1618" i="1"/>
  <c r="MQQ1618" i="1"/>
  <c r="MQP1618" i="1"/>
  <c r="MQO1618" i="1"/>
  <c r="MQN1618" i="1"/>
  <c r="MQM1618" i="1"/>
  <c r="MQL1618" i="1"/>
  <c r="MQK1618" i="1"/>
  <c r="MQJ1618" i="1"/>
  <c r="MQI1618" i="1"/>
  <c r="MQH1618" i="1"/>
  <c r="MQG1618" i="1"/>
  <c r="MQF1618" i="1"/>
  <c r="MQE1618" i="1"/>
  <c r="MQD1618" i="1"/>
  <c r="MQC1618" i="1"/>
  <c r="MQB1618" i="1"/>
  <c r="MQA1618" i="1"/>
  <c r="MPZ1618" i="1"/>
  <c r="MPY1618" i="1"/>
  <c r="MPX1618" i="1"/>
  <c r="MPW1618" i="1"/>
  <c r="MPV1618" i="1"/>
  <c r="MPU1618" i="1"/>
  <c r="MPT1618" i="1"/>
  <c r="MPS1618" i="1"/>
  <c r="MPR1618" i="1"/>
  <c r="MPQ1618" i="1"/>
  <c r="MPP1618" i="1"/>
  <c r="MPO1618" i="1"/>
  <c r="MPN1618" i="1"/>
  <c r="MPM1618" i="1"/>
  <c r="MPL1618" i="1"/>
  <c r="MPK1618" i="1"/>
  <c r="MPJ1618" i="1"/>
  <c r="MPI1618" i="1"/>
  <c r="MPH1618" i="1"/>
  <c r="MPG1618" i="1"/>
  <c r="MPF1618" i="1"/>
  <c r="MPE1618" i="1"/>
  <c r="MPD1618" i="1"/>
  <c r="MPC1618" i="1"/>
  <c r="MPB1618" i="1"/>
  <c r="MPA1618" i="1"/>
  <c r="MOZ1618" i="1"/>
  <c r="MOY1618" i="1"/>
  <c r="MOX1618" i="1"/>
  <c r="MOW1618" i="1"/>
  <c r="MOV1618" i="1"/>
  <c r="MOU1618" i="1"/>
  <c r="MOT1618" i="1"/>
  <c r="MOS1618" i="1"/>
  <c r="MOR1618" i="1"/>
  <c r="MOQ1618" i="1"/>
  <c r="MOP1618" i="1"/>
  <c r="MOO1618" i="1"/>
  <c r="MON1618" i="1"/>
  <c r="MOM1618" i="1"/>
  <c r="MOL1618" i="1"/>
  <c r="MOK1618" i="1"/>
  <c r="MOJ1618" i="1"/>
  <c r="MOI1618" i="1"/>
  <c r="MOH1618" i="1"/>
  <c r="MOG1618" i="1"/>
  <c r="MOF1618" i="1"/>
  <c r="MOE1618" i="1"/>
  <c r="MOD1618" i="1"/>
  <c r="MOC1618" i="1"/>
  <c r="MOB1618" i="1"/>
  <c r="MOA1618" i="1"/>
  <c r="MNZ1618" i="1"/>
  <c r="MNY1618" i="1"/>
  <c r="MNX1618" i="1"/>
  <c r="MNW1618" i="1"/>
  <c r="MNV1618" i="1"/>
  <c r="MNU1618" i="1"/>
  <c r="MNT1618" i="1"/>
  <c r="MNS1618" i="1"/>
  <c r="MNR1618" i="1"/>
  <c r="MNQ1618" i="1"/>
  <c r="MNP1618" i="1"/>
  <c r="MNO1618" i="1"/>
  <c r="MNN1618" i="1"/>
  <c r="MNM1618" i="1"/>
  <c r="MNL1618" i="1"/>
  <c r="MNK1618" i="1"/>
  <c r="MNJ1618" i="1"/>
  <c r="MNI1618" i="1"/>
  <c r="MNH1618" i="1"/>
  <c r="MNG1618" i="1"/>
  <c r="MNF1618" i="1"/>
  <c r="MNE1618" i="1"/>
  <c r="MND1618" i="1"/>
  <c r="MNC1618" i="1"/>
  <c r="MNB1618" i="1"/>
  <c r="MNA1618" i="1"/>
  <c r="MMZ1618" i="1"/>
  <c r="MMY1618" i="1"/>
  <c r="MMX1618" i="1"/>
  <c r="MMW1618" i="1"/>
  <c r="MMV1618" i="1"/>
  <c r="MMU1618" i="1"/>
  <c r="MMT1618" i="1"/>
  <c r="MMS1618" i="1"/>
  <c r="MMR1618" i="1"/>
  <c r="MMQ1618" i="1"/>
  <c r="MMP1618" i="1"/>
  <c r="MMO1618" i="1"/>
  <c r="MMN1618" i="1"/>
  <c r="MMM1618" i="1"/>
  <c r="MML1618" i="1"/>
  <c r="MMK1618" i="1"/>
  <c r="MMJ1618" i="1"/>
  <c r="MMI1618" i="1"/>
  <c r="MMH1618" i="1"/>
  <c r="MMG1618" i="1"/>
  <c r="MMF1618" i="1"/>
  <c r="MME1618" i="1"/>
  <c r="MMD1618" i="1"/>
  <c r="MMC1618" i="1"/>
  <c r="MMB1618" i="1"/>
  <c r="MMA1618" i="1"/>
  <c r="MLZ1618" i="1"/>
  <c r="MLY1618" i="1"/>
  <c r="MLX1618" i="1"/>
  <c r="MLW1618" i="1"/>
  <c r="MLV1618" i="1"/>
  <c r="MLU1618" i="1"/>
  <c r="MLT1618" i="1"/>
  <c r="MLS1618" i="1"/>
  <c r="MLR1618" i="1"/>
  <c r="MLQ1618" i="1"/>
  <c r="MLP1618" i="1"/>
  <c r="MLO1618" i="1"/>
  <c r="MLN1618" i="1"/>
  <c r="MLM1618" i="1"/>
  <c r="MLL1618" i="1"/>
  <c r="MLK1618" i="1"/>
  <c r="MLJ1618" i="1"/>
  <c r="MLI1618" i="1"/>
  <c r="MLH1618" i="1"/>
  <c r="MLG1618" i="1"/>
  <c r="MLF1618" i="1"/>
  <c r="MLE1618" i="1"/>
  <c r="MLD1618" i="1"/>
  <c r="MLC1618" i="1"/>
  <c r="MLB1618" i="1"/>
  <c r="MLA1618" i="1"/>
  <c r="MKZ1618" i="1"/>
  <c r="MKY1618" i="1"/>
  <c r="MKX1618" i="1"/>
  <c r="MKW1618" i="1"/>
  <c r="MKV1618" i="1"/>
  <c r="MKU1618" i="1"/>
  <c r="MKT1618" i="1"/>
  <c r="MKS1618" i="1"/>
  <c r="MKR1618" i="1"/>
  <c r="MKQ1618" i="1"/>
  <c r="MKP1618" i="1"/>
  <c r="MKO1618" i="1"/>
  <c r="MKN1618" i="1"/>
  <c r="MKM1618" i="1"/>
  <c r="MKL1618" i="1"/>
  <c r="MKK1618" i="1"/>
  <c r="MKJ1618" i="1"/>
  <c r="MKI1618" i="1"/>
  <c r="MKH1618" i="1"/>
  <c r="MKG1618" i="1"/>
  <c r="MKF1618" i="1"/>
  <c r="MKE1618" i="1"/>
  <c r="MKD1618" i="1"/>
  <c r="MKC1618" i="1"/>
  <c r="MKB1618" i="1"/>
  <c r="MKA1618" i="1"/>
  <c r="MJZ1618" i="1"/>
  <c r="MJY1618" i="1"/>
  <c r="MJX1618" i="1"/>
  <c r="MJW1618" i="1"/>
  <c r="MJV1618" i="1"/>
  <c r="MJU1618" i="1"/>
  <c r="MJT1618" i="1"/>
  <c r="MJS1618" i="1"/>
  <c r="MJR1618" i="1"/>
  <c r="MJQ1618" i="1"/>
  <c r="MJP1618" i="1"/>
  <c r="MJO1618" i="1"/>
  <c r="MJN1618" i="1"/>
  <c r="MJM1618" i="1"/>
  <c r="MJL1618" i="1"/>
  <c r="MJK1618" i="1"/>
  <c r="MJJ1618" i="1"/>
  <c r="MJI1618" i="1"/>
  <c r="MJH1618" i="1"/>
  <c r="MJG1618" i="1"/>
  <c r="MJF1618" i="1"/>
  <c r="MJE1618" i="1"/>
  <c r="MJD1618" i="1"/>
  <c r="MJC1618" i="1"/>
  <c r="MJB1618" i="1"/>
  <c r="MJA1618" i="1"/>
  <c r="MIZ1618" i="1"/>
  <c r="MIY1618" i="1"/>
  <c r="MIX1618" i="1"/>
  <c r="MIW1618" i="1"/>
  <c r="MIV1618" i="1"/>
  <c r="MIU1618" i="1"/>
  <c r="MIT1618" i="1"/>
  <c r="MIS1618" i="1"/>
  <c r="MIR1618" i="1"/>
  <c r="MIQ1618" i="1"/>
  <c r="MIP1618" i="1"/>
  <c r="MIO1618" i="1"/>
  <c r="MIN1618" i="1"/>
  <c r="MIM1618" i="1"/>
  <c r="MIL1618" i="1"/>
  <c r="MIK1618" i="1"/>
  <c r="MIJ1618" i="1"/>
  <c r="MII1618" i="1"/>
  <c r="MIH1618" i="1"/>
  <c r="MIG1618" i="1"/>
  <c r="MIF1618" i="1"/>
  <c r="MIE1618" i="1"/>
  <c r="MID1618" i="1"/>
  <c r="MIC1618" i="1"/>
  <c r="MIB1618" i="1"/>
  <c r="MIA1618" i="1"/>
  <c r="MHZ1618" i="1"/>
  <c r="MHY1618" i="1"/>
  <c r="MHX1618" i="1"/>
  <c r="MHW1618" i="1"/>
  <c r="MHV1618" i="1"/>
  <c r="MHU1618" i="1"/>
  <c r="MHT1618" i="1"/>
  <c r="MHS1618" i="1"/>
  <c r="MHR1618" i="1"/>
  <c r="MHQ1618" i="1"/>
  <c r="MHP1618" i="1"/>
  <c r="MHO1618" i="1"/>
  <c r="MHN1618" i="1"/>
  <c r="MHM1618" i="1"/>
  <c r="MHL1618" i="1"/>
  <c r="MHK1618" i="1"/>
  <c r="MHJ1618" i="1"/>
  <c r="MHI1618" i="1"/>
  <c r="MHH1618" i="1"/>
  <c r="MHG1618" i="1"/>
  <c r="MHF1618" i="1"/>
  <c r="MHE1618" i="1"/>
  <c r="MHD1618" i="1"/>
  <c r="MHC1618" i="1"/>
  <c r="MHB1618" i="1"/>
  <c r="MHA1618" i="1"/>
  <c r="MGZ1618" i="1"/>
  <c r="MGY1618" i="1"/>
  <c r="MGX1618" i="1"/>
  <c r="MGW1618" i="1"/>
  <c r="MGV1618" i="1"/>
  <c r="MGU1618" i="1"/>
  <c r="MGT1618" i="1"/>
  <c r="MGS1618" i="1"/>
  <c r="MGR1618" i="1"/>
  <c r="MGQ1618" i="1"/>
  <c r="MGP1618" i="1"/>
  <c r="MGO1618" i="1"/>
  <c r="MGN1618" i="1"/>
  <c r="MGM1618" i="1"/>
  <c r="MGL1618" i="1"/>
  <c r="MGK1618" i="1"/>
  <c r="MGJ1618" i="1"/>
  <c r="MGI1618" i="1"/>
  <c r="MGH1618" i="1"/>
  <c r="MGG1618" i="1"/>
  <c r="MGF1618" i="1"/>
  <c r="MGE1618" i="1"/>
  <c r="MGD1618" i="1"/>
  <c r="MGC1618" i="1"/>
  <c r="MGB1618" i="1"/>
  <c r="MGA1618" i="1"/>
  <c r="MFZ1618" i="1"/>
  <c r="MFY1618" i="1"/>
  <c r="MFX1618" i="1"/>
  <c r="MFW1618" i="1"/>
  <c r="MFV1618" i="1"/>
  <c r="MFU1618" i="1"/>
  <c r="MFT1618" i="1"/>
  <c r="MFS1618" i="1"/>
  <c r="MFR1618" i="1"/>
  <c r="MFQ1618" i="1"/>
  <c r="MFP1618" i="1"/>
  <c r="MFO1618" i="1"/>
  <c r="MFN1618" i="1"/>
  <c r="MFM1618" i="1"/>
  <c r="MFL1618" i="1"/>
  <c r="MFK1618" i="1"/>
  <c r="MFJ1618" i="1"/>
  <c r="MFI1618" i="1"/>
  <c r="MFH1618" i="1"/>
  <c r="MFG1618" i="1"/>
  <c r="MFF1618" i="1"/>
  <c r="MFE1618" i="1"/>
  <c r="MFD1618" i="1"/>
  <c r="MFC1618" i="1"/>
  <c r="MFB1618" i="1"/>
  <c r="MFA1618" i="1"/>
  <c r="MEZ1618" i="1"/>
  <c r="MEY1618" i="1"/>
  <c r="MEX1618" i="1"/>
  <c r="MEW1618" i="1"/>
  <c r="MEV1618" i="1"/>
  <c r="MEU1618" i="1"/>
  <c r="MET1618" i="1"/>
  <c r="MES1618" i="1"/>
  <c r="MER1618" i="1"/>
  <c r="MEQ1618" i="1"/>
  <c r="MEP1618" i="1"/>
  <c r="MEO1618" i="1"/>
  <c r="MEN1618" i="1"/>
  <c r="MEM1618" i="1"/>
  <c r="MEL1618" i="1"/>
  <c r="MEK1618" i="1"/>
  <c r="MEJ1618" i="1"/>
  <c r="MEI1618" i="1"/>
  <c r="MEH1618" i="1"/>
  <c r="MEG1618" i="1"/>
  <c r="MEF1618" i="1"/>
  <c r="MEE1618" i="1"/>
  <c r="MED1618" i="1"/>
  <c r="MEC1618" i="1"/>
  <c r="MEB1618" i="1"/>
  <c r="MEA1618" i="1"/>
  <c r="MDZ1618" i="1"/>
  <c r="MDY1618" i="1"/>
  <c r="MDX1618" i="1"/>
  <c r="MDW1618" i="1"/>
  <c r="MDV1618" i="1"/>
  <c r="MDU1618" i="1"/>
  <c r="MDT1618" i="1"/>
  <c r="MDS1618" i="1"/>
  <c r="MDR1618" i="1"/>
  <c r="MDQ1618" i="1"/>
  <c r="MDP1618" i="1"/>
  <c r="MDO1618" i="1"/>
  <c r="MDN1618" i="1"/>
  <c r="MDM1618" i="1"/>
  <c r="MDL1618" i="1"/>
  <c r="MDK1618" i="1"/>
  <c r="MDJ1618" i="1"/>
  <c r="MDI1618" i="1"/>
  <c r="MDH1618" i="1"/>
  <c r="MDG1618" i="1"/>
  <c r="MDF1618" i="1"/>
  <c r="MDE1618" i="1"/>
  <c r="MDD1618" i="1"/>
  <c r="MDC1618" i="1"/>
  <c r="MDB1618" i="1"/>
  <c r="MDA1618" i="1"/>
  <c r="MCZ1618" i="1"/>
  <c r="MCY1618" i="1"/>
  <c r="MCX1618" i="1"/>
  <c r="MCW1618" i="1"/>
  <c r="MCV1618" i="1"/>
  <c r="MCU1618" i="1"/>
  <c r="MCT1618" i="1"/>
  <c r="MCS1618" i="1"/>
  <c r="MCR1618" i="1"/>
  <c r="MCQ1618" i="1"/>
  <c r="MCP1618" i="1"/>
  <c r="MCO1618" i="1"/>
  <c r="MCN1618" i="1"/>
  <c r="MCM1618" i="1"/>
  <c r="MCL1618" i="1"/>
  <c r="MCK1618" i="1"/>
  <c r="MCJ1618" i="1"/>
  <c r="MCI1618" i="1"/>
  <c r="MCH1618" i="1"/>
  <c r="MCG1618" i="1"/>
  <c r="MCF1618" i="1"/>
  <c r="MCE1618" i="1"/>
  <c r="MCD1618" i="1"/>
  <c r="MCC1618" i="1"/>
  <c r="MCB1618" i="1"/>
  <c r="MCA1618" i="1"/>
  <c r="MBZ1618" i="1"/>
  <c r="MBY1618" i="1"/>
  <c r="MBX1618" i="1"/>
  <c r="MBW1618" i="1"/>
  <c r="MBV1618" i="1"/>
  <c r="MBU1618" i="1"/>
  <c r="MBT1618" i="1"/>
  <c r="MBS1618" i="1"/>
  <c r="MBR1618" i="1"/>
  <c r="MBQ1618" i="1"/>
  <c r="MBP1618" i="1"/>
  <c r="MBO1618" i="1"/>
  <c r="MBN1618" i="1"/>
  <c r="MBM1618" i="1"/>
  <c r="MBL1618" i="1"/>
  <c r="MBK1618" i="1"/>
  <c r="MBJ1618" i="1"/>
  <c r="MBI1618" i="1"/>
  <c r="MBH1618" i="1"/>
  <c r="MBG1618" i="1"/>
  <c r="MBF1618" i="1"/>
  <c r="MBE1618" i="1"/>
  <c r="MBD1618" i="1"/>
  <c r="MBC1618" i="1"/>
  <c r="MBB1618" i="1"/>
  <c r="MBA1618" i="1"/>
  <c r="MAZ1618" i="1"/>
  <c r="MAY1618" i="1"/>
  <c r="MAX1618" i="1"/>
  <c r="MAW1618" i="1"/>
  <c r="MAV1618" i="1"/>
  <c r="MAU1618" i="1"/>
  <c r="MAT1618" i="1"/>
  <c r="MAS1618" i="1"/>
  <c r="MAR1618" i="1"/>
  <c r="MAQ1618" i="1"/>
  <c r="MAP1618" i="1"/>
  <c r="MAO1618" i="1"/>
  <c r="MAN1618" i="1"/>
  <c r="MAM1618" i="1"/>
  <c r="MAL1618" i="1"/>
  <c r="MAK1618" i="1"/>
  <c r="MAJ1618" i="1"/>
  <c r="MAI1618" i="1"/>
  <c r="MAH1618" i="1"/>
  <c r="MAG1618" i="1"/>
  <c r="MAF1618" i="1"/>
  <c r="MAE1618" i="1"/>
  <c r="MAD1618" i="1"/>
  <c r="MAC1618" i="1"/>
  <c r="MAB1618" i="1"/>
  <c r="MAA1618" i="1"/>
  <c r="LZZ1618" i="1"/>
  <c r="LZY1618" i="1"/>
  <c r="LZX1618" i="1"/>
  <c r="LZW1618" i="1"/>
  <c r="LZV1618" i="1"/>
  <c r="LZU1618" i="1"/>
  <c r="LZT1618" i="1"/>
  <c r="LZS1618" i="1"/>
  <c r="LZR1618" i="1"/>
  <c r="LZQ1618" i="1"/>
  <c r="LZP1618" i="1"/>
  <c r="LZO1618" i="1"/>
  <c r="LZN1618" i="1"/>
  <c r="LZM1618" i="1"/>
  <c r="LZL1618" i="1"/>
  <c r="LZK1618" i="1"/>
  <c r="LZJ1618" i="1"/>
  <c r="LZI1618" i="1"/>
  <c r="LZH1618" i="1"/>
  <c r="LZG1618" i="1"/>
  <c r="LZF1618" i="1"/>
  <c r="LZE1618" i="1"/>
  <c r="LZD1618" i="1"/>
  <c r="LZC1618" i="1"/>
  <c r="LZB1618" i="1"/>
  <c r="LZA1618" i="1"/>
  <c r="LYZ1618" i="1"/>
  <c r="LYY1618" i="1"/>
  <c r="LYX1618" i="1"/>
  <c r="LYW1618" i="1"/>
  <c r="LYV1618" i="1"/>
  <c r="LYU1618" i="1"/>
  <c r="LYT1618" i="1"/>
  <c r="LYS1618" i="1"/>
  <c r="LYR1618" i="1"/>
  <c r="LYQ1618" i="1"/>
  <c r="LYP1618" i="1"/>
  <c r="LYO1618" i="1"/>
  <c r="LYN1618" i="1"/>
  <c r="LYM1618" i="1"/>
  <c r="LYL1618" i="1"/>
  <c r="LYK1618" i="1"/>
  <c r="LYJ1618" i="1"/>
  <c r="LYI1618" i="1"/>
  <c r="LYH1618" i="1"/>
  <c r="LYG1618" i="1"/>
  <c r="LYF1618" i="1"/>
  <c r="LYE1618" i="1"/>
  <c r="LYD1618" i="1"/>
  <c r="LYC1618" i="1"/>
  <c r="LYB1618" i="1"/>
  <c r="LYA1618" i="1"/>
  <c r="LXZ1618" i="1"/>
  <c r="LXY1618" i="1"/>
  <c r="LXX1618" i="1"/>
  <c r="LXW1618" i="1"/>
  <c r="LXV1618" i="1"/>
  <c r="LXU1618" i="1"/>
  <c r="LXT1618" i="1"/>
  <c r="LXS1618" i="1"/>
  <c r="LXR1618" i="1"/>
  <c r="LXQ1618" i="1"/>
  <c r="LXP1618" i="1"/>
  <c r="LXO1618" i="1"/>
  <c r="LXN1618" i="1"/>
  <c r="LXM1618" i="1"/>
  <c r="LXL1618" i="1"/>
  <c r="LXK1618" i="1"/>
  <c r="LXJ1618" i="1"/>
  <c r="LXI1618" i="1"/>
  <c r="LXH1618" i="1"/>
  <c r="LXG1618" i="1"/>
  <c r="LXF1618" i="1"/>
  <c r="LXE1618" i="1"/>
  <c r="LXD1618" i="1"/>
  <c r="LXC1618" i="1"/>
  <c r="LXB1618" i="1"/>
  <c r="LXA1618" i="1"/>
  <c r="LWZ1618" i="1"/>
  <c r="LWY1618" i="1"/>
  <c r="LWX1618" i="1"/>
  <c r="LWW1618" i="1"/>
  <c r="LWV1618" i="1"/>
  <c r="LWU1618" i="1"/>
  <c r="LWT1618" i="1"/>
  <c r="LWS1618" i="1"/>
  <c r="LWR1618" i="1"/>
  <c r="LWQ1618" i="1"/>
  <c r="LWP1618" i="1"/>
  <c r="LWO1618" i="1"/>
  <c r="LWN1618" i="1"/>
  <c r="LWM1618" i="1"/>
  <c r="LWL1618" i="1"/>
  <c r="LWK1618" i="1"/>
  <c r="LWJ1618" i="1"/>
  <c r="LWI1618" i="1"/>
  <c r="LWH1618" i="1"/>
  <c r="LWG1618" i="1"/>
  <c r="LWF1618" i="1"/>
  <c r="LWE1618" i="1"/>
  <c r="LWD1618" i="1"/>
  <c r="LWC1618" i="1"/>
  <c r="LWB1618" i="1"/>
  <c r="LWA1618" i="1"/>
  <c r="LVZ1618" i="1"/>
  <c r="LVY1618" i="1"/>
  <c r="LVX1618" i="1"/>
  <c r="LVW1618" i="1"/>
  <c r="LVV1618" i="1"/>
  <c r="LVU1618" i="1"/>
  <c r="LVT1618" i="1"/>
  <c r="LVS1618" i="1"/>
  <c r="LVR1618" i="1"/>
  <c r="LVQ1618" i="1"/>
  <c r="LVP1618" i="1"/>
  <c r="LVO1618" i="1"/>
  <c r="LVN1618" i="1"/>
  <c r="LVM1618" i="1"/>
  <c r="LVL1618" i="1"/>
  <c r="LVK1618" i="1"/>
  <c r="LVJ1618" i="1"/>
  <c r="LVI1618" i="1"/>
  <c r="LVH1618" i="1"/>
  <c r="LVG1618" i="1"/>
  <c r="LVF1618" i="1"/>
  <c r="LVE1618" i="1"/>
  <c r="LVD1618" i="1"/>
  <c r="LVC1618" i="1"/>
  <c r="LVB1618" i="1"/>
  <c r="LVA1618" i="1"/>
  <c r="LUZ1618" i="1"/>
  <c r="LUY1618" i="1"/>
  <c r="LUX1618" i="1"/>
  <c r="LUW1618" i="1"/>
  <c r="LUV1618" i="1"/>
  <c r="LUU1618" i="1"/>
  <c r="LUT1618" i="1"/>
  <c r="LUS1618" i="1"/>
  <c r="LUR1618" i="1"/>
  <c r="LUQ1618" i="1"/>
  <c r="LUP1618" i="1"/>
  <c r="LUO1618" i="1"/>
  <c r="LUN1618" i="1"/>
  <c r="LUM1618" i="1"/>
  <c r="LUL1618" i="1"/>
  <c r="LUK1618" i="1"/>
  <c r="LUJ1618" i="1"/>
  <c r="LUI1618" i="1"/>
  <c r="LUH1618" i="1"/>
  <c r="LUG1618" i="1"/>
  <c r="LUF1618" i="1"/>
  <c r="LUE1618" i="1"/>
  <c r="LUD1618" i="1"/>
  <c r="LUC1618" i="1"/>
  <c r="LUB1618" i="1"/>
  <c r="LUA1618" i="1"/>
  <c r="LTZ1618" i="1"/>
  <c r="LTY1618" i="1"/>
  <c r="LTX1618" i="1"/>
  <c r="LTW1618" i="1"/>
  <c r="LTV1618" i="1"/>
  <c r="LTU1618" i="1"/>
  <c r="LTT1618" i="1"/>
  <c r="LTS1618" i="1"/>
  <c r="LTR1618" i="1"/>
  <c r="LTQ1618" i="1"/>
  <c r="LTP1618" i="1"/>
  <c r="LTO1618" i="1"/>
  <c r="LTN1618" i="1"/>
  <c r="LTM1618" i="1"/>
  <c r="LTL1618" i="1"/>
  <c r="LTK1618" i="1"/>
  <c r="LTJ1618" i="1"/>
  <c r="LTI1618" i="1"/>
  <c r="LTH1618" i="1"/>
  <c r="LTG1618" i="1"/>
  <c r="LTF1618" i="1"/>
  <c r="LTE1618" i="1"/>
  <c r="LTD1618" i="1"/>
  <c r="LTC1618" i="1"/>
  <c r="LTB1618" i="1"/>
  <c r="LTA1618" i="1"/>
  <c r="LSZ1618" i="1"/>
  <c r="LSY1618" i="1"/>
  <c r="LSX1618" i="1"/>
  <c r="LSW1618" i="1"/>
  <c r="LSV1618" i="1"/>
  <c r="LSU1618" i="1"/>
  <c r="LST1618" i="1"/>
  <c r="LSS1618" i="1"/>
  <c r="LSR1618" i="1"/>
  <c r="LSQ1618" i="1"/>
  <c r="LSP1618" i="1"/>
  <c r="LSO1618" i="1"/>
  <c r="LSN1618" i="1"/>
  <c r="LSM1618" i="1"/>
  <c r="LSL1618" i="1"/>
  <c r="LSK1618" i="1"/>
  <c r="LSJ1618" i="1"/>
  <c r="LSI1618" i="1"/>
  <c r="LSH1618" i="1"/>
  <c r="LSG1618" i="1"/>
  <c r="LSF1618" i="1"/>
  <c r="LSE1618" i="1"/>
  <c r="LSD1618" i="1"/>
  <c r="LSC1618" i="1"/>
  <c r="LSB1618" i="1"/>
  <c r="LSA1618" i="1"/>
  <c r="LRZ1618" i="1"/>
  <c r="LRY1618" i="1"/>
  <c r="LRX1618" i="1"/>
  <c r="LRW1618" i="1"/>
  <c r="LRV1618" i="1"/>
  <c r="LRU1618" i="1"/>
  <c r="LRT1618" i="1"/>
  <c r="LRS1618" i="1"/>
  <c r="LRR1618" i="1"/>
  <c r="LRQ1618" i="1"/>
  <c r="LRP1618" i="1"/>
  <c r="LRO1618" i="1"/>
  <c r="LRN1618" i="1"/>
  <c r="LRM1618" i="1"/>
  <c r="LRL1618" i="1"/>
  <c r="LRK1618" i="1"/>
  <c r="LRJ1618" i="1"/>
  <c r="LRI1618" i="1"/>
  <c r="LRH1618" i="1"/>
  <c r="LRG1618" i="1"/>
  <c r="LRF1618" i="1"/>
  <c r="LRE1618" i="1"/>
  <c r="LRD1618" i="1"/>
  <c r="LRC1618" i="1"/>
  <c r="LRB1618" i="1"/>
  <c r="LRA1618" i="1"/>
  <c r="LQZ1618" i="1"/>
  <c r="LQY1618" i="1"/>
  <c r="LQX1618" i="1"/>
  <c r="LQW1618" i="1"/>
  <c r="LQV1618" i="1"/>
  <c r="LQU1618" i="1"/>
  <c r="LQT1618" i="1"/>
  <c r="LQS1618" i="1"/>
  <c r="LQR1618" i="1"/>
  <c r="LQQ1618" i="1"/>
  <c r="LQP1618" i="1"/>
  <c r="LQO1618" i="1"/>
  <c r="LQN1618" i="1"/>
  <c r="LQM1618" i="1"/>
  <c r="LQL1618" i="1"/>
  <c r="LQK1618" i="1"/>
  <c r="LQJ1618" i="1"/>
  <c r="LQI1618" i="1"/>
  <c r="LQH1618" i="1"/>
  <c r="LQG1618" i="1"/>
  <c r="LQF1618" i="1"/>
  <c r="LQE1618" i="1"/>
  <c r="LQD1618" i="1"/>
  <c r="LQC1618" i="1"/>
  <c r="LQB1618" i="1"/>
  <c r="LQA1618" i="1"/>
  <c r="LPZ1618" i="1"/>
  <c r="LPY1618" i="1"/>
  <c r="LPX1618" i="1"/>
  <c r="LPW1618" i="1"/>
  <c r="LPV1618" i="1"/>
  <c r="LPU1618" i="1"/>
  <c r="LPT1618" i="1"/>
  <c r="LPS1618" i="1"/>
  <c r="LPR1618" i="1"/>
  <c r="LPQ1618" i="1"/>
  <c r="LPP1618" i="1"/>
  <c r="LPO1618" i="1"/>
  <c r="LPN1618" i="1"/>
  <c r="LPM1618" i="1"/>
  <c r="LPL1618" i="1"/>
  <c r="LPK1618" i="1"/>
  <c r="LPJ1618" i="1"/>
  <c r="LPI1618" i="1"/>
  <c r="LPH1618" i="1"/>
  <c r="LPG1618" i="1"/>
  <c r="LPF1618" i="1"/>
  <c r="LPE1618" i="1"/>
  <c r="LPD1618" i="1"/>
  <c r="LPC1618" i="1"/>
  <c r="LPB1618" i="1"/>
  <c r="LPA1618" i="1"/>
  <c r="LOZ1618" i="1"/>
  <c r="LOY1618" i="1"/>
  <c r="LOX1618" i="1"/>
  <c r="LOW1618" i="1"/>
  <c r="LOV1618" i="1"/>
  <c r="LOU1618" i="1"/>
  <c r="LOT1618" i="1"/>
  <c r="LOS1618" i="1"/>
  <c r="LOR1618" i="1"/>
  <c r="LOQ1618" i="1"/>
  <c r="LOP1618" i="1"/>
  <c r="LOO1618" i="1"/>
  <c r="LON1618" i="1"/>
  <c r="LOM1618" i="1"/>
  <c r="LOL1618" i="1"/>
  <c r="LOK1618" i="1"/>
  <c r="LOJ1618" i="1"/>
  <c r="LOI1618" i="1"/>
  <c r="LOH1618" i="1"/>
  <c r="LOG1618" i="1"/>
  <c r="LOF1618" i="1"/>
  <c r="LOE1618" i="1"/>
  <c r="LOD1618" i="1"/>
  <c r="LOC1618" i="1"/>
  <c r="LOB1618" i="1"/>
  <c r="LOA1618" i="1"/>
  <c r="LNZ1618" i="1"/>
  <c r="LNY1618" i="1"/>
  <c r="LNX1618" i="1"/>
  <c r="LNW1618" i="1"/>
  <c r="LNV1618" i="1"/>
  <c r="LNU1618" i="1"/>
  <c r="LNT1618" i="1"/>
  <c r="LNS1618" i="1"/>
  <c r="LNR1618" i="1"/>
  <c r="LNQ1618" i="1"/>
  <c r="LNP1618" i="1"/>
  <c r="LNO1618" i="1"/>
  <c r="LNN1618" i="1"/>
  <c r="LNM1618" i="1"/>
  <c r="LNL1618" i="1"/>
  <c r="LNK1618" i="1"/>
  <c r="LNJ1618" i="1"/>
  <c r="LNI1618" i="1"/>
  <c r="LNH1618" i="1"/>
  <c r="LNG1618" i="1"/>
  <c r="LNF1618" i="1"/>
  <c r="LNE1618" i="1"/>
  <c r="LND1618" i="1"/>
  <c r="LNC1618" i="1"/>
  <c r="LNB1618" i="1"/>
  <c r="LNA1618" i="1"/>
  <c r="LMZ1618" i="1"/>
  <c r="LMY1618" i="1"/>
  <c r="LMX1618" i="1"/>
  <c r="LMW1618" i="1"/>
  <c r="LMV1618" i="1"/>
  <c r="LMU1618" i="1"/>
  <c r="LMT1618" i="1"/>
  <c r="LMS1618" i="1"/>
  <c r="LMR1618" i="1"/>
  <c r="LMQ1618" i="1"/>
  <c r="LMP1618" i="1"/>
  <c r="LMO1618" i="1"/>
  <c r="LMN1618" i="1"/>
  <c r="LMM1618" i="1"/>
  <c r="LML1618" i="1"/>
  <c r="LMK1618" i="1"/>
  <c r="LMJ1618" i="1"/>
  <c r="LMI1618" i="1"/>
  <c r="LMH1618" i="1"/>
  <c r="LMG1618" i="1"/>
  <c r="LMF1618" i="1"/>
  <c r="LME1618" i="1"/>
  <c r="LMD1618" i="1"/>
  <c r="LMC1618" i="1"/>
  <c r="LMB1618" i="1"/>
  <c r="LMA1618" i="1"/>
  <c r="LLZ1618" i="1"/>
  <c r="LLY1618" i="1"/>
  <c r="LLX1618" i="1"/>
  <c r="LLW1618" i="1"/>
  <c r="LLV1618" i="1"/>
  <c r="LLU1618" i="1"/>
  <c r="LLT1618" i="1"/>
  <c r="LLS1618" i="1"/>
  <c r="LLR1618" i="1"/>
  <c r="LLQ1618" i="1"/>
  <c r="LLP1618" i="1"/>
  <c r="LLO1618" i="1"/>
  <c r="LLN1618" i="1"/>
  <c r="LLM1618" i="1"/>
  <c r="LLL1618" i="1"/>
  <c r="LLK1618" i="1"/>
  <c r="LLJ1618" i="1"/>
  <c r="LLI1618" i="1"/>
  <c r="LLH1618" i="1"/>
  <c r="LLG1618" i="1"/>
  <c r="LLF1618" i="1"/>
  <c r="LLE1618" i="1"/>
  <c r="LLD1618" i="1"/>
  <c r="LLC1618" i="1"/>
  <c r="LLB1618" i="1"/>
  <c r="LLA1618" i="1"/>
  <c r="LKZ1618" i="1"/>
  <c r="LKY1618" i="1"/>
  <c r="LKX1618" i="1"/>
  <c r="LKW1618" i="1"/>
  <c r="LKV1618" i="1"/>
  <c r="LKU1618" i="1"/>
  <c r="LKT1618" i="1"/>
  <c r="LKS1618" i="1"/>
  <c r="LKR1618" i="1"/>
  <c r="LKQ1618" i="1"/>
  <c r="LKP1618" i="1"/>
  <c r="LKO1618" i="1"/>
  <c r="LKN1618" i="1"/>
  <c r="LKM1618" i="1"/>
  <c r="LKL1618" i="1"/>
  <c r="LKK1618" i="1"/>
  <c r="LKJ1618" i="1"/>
  <c r="LKI1618" i="1"/>
  <c r="LKH1618" i="1"/>
  <c r="LKG1618" i="1"/>
  <c r="LKF1618" i="1"/>
  <c r="LKE1618" i="1"/>
  <c r="LKD1618" i="1"/>
  <c r="LKC1618" i="1"/>
  <c r="LKB1618" i="1"/>
  <c r="LKA1618" i="1"/>
  <c r="LJZ1618" i="1"/>
  <c r="LJY1618" i="1"/>
  <c r="LJX1618" i="1"/>
  <c r="LJW1618" i="1"/>
  <c r="LJV1618" i="1"/>
  <c r="LJU1618" i="1"/>
  <c r="LJT1618" i="1"/>
  <c r="LJS1618" i="1"/>
  <c r="LJR1618" i="1"/>
  <c r="LJQ1618" i="1"/>
  <c r="LJP1618" i="1"/>
  <c r="LJO1618" i="1"/>
  <c r="LJN1618" i="1"/>
  <c r="LJM1618" i="1"/>
  <c r="LJL1618" i="1"/>
  <c r="LJK1618" i="1"/>
  <c r="LJJ1618" i="1"/>
  <c r="LJI1618" i="1"/>
  <c r="LJH1618" i="1"/>
  <c r="LJG1618" i="1"/>
  <c r="LJF1618" i="1"/>
  <c r="LJE1618" i="1"/>
  <c r="LJD1618" i="1"/>
  <c r="LJC1618" i="1"/>
  <c r="LJB1618" i="1"/>
  <c r="LJA1618" i="1"/>
  <c r="LIZ1618" i="1"/>
  <c r="LIY1618" i="1"/>
  <c r="LIX1618" i="1"/>
  <c r="LIW1618" i="1"/>
  <c r="LIV1618" i="1"/>
  <c r="LIU1618" i="1"/>
  <c r="LIT1618" i="1"/>
  <c r="LIS1618" i="1"/>
  <c r="LIR1618" i="1"/>
  <c r="LIQ1618" i="1"/>
  <c r="LIP1618" i="1"/>
  <c r="LIO1618" i="1"/>
  <c r="LIN1618" i="1"/>
  <c r="LIM1618" i="1"/>
  <c r="LIL1618" i="1"/>
  <c r="LIK1618" i="1"/>
  <c r="LIJ1618" i="1"/>
  <c r="LII1618" i="1"/>
  <c r="LIH1618" i="1"/>
  <c r="LIG1618" i="1"/>
  <c r="LIF1618" i="1"/>
  <c r="LIE1618" i="1"/>
  <c r="LID1618" i="1"/>
  <c r="LIC1618" i="1"/>
  <c r="LIB1618" i="1"/>
  <c r="LIA1618" i="1"/>
  <c r="LHZ1618" i="1"/>
  <c r="LHY1618" i="1"/>
  <c r="LHX1618" i="1"/>
  <c r="LHW1618" i="1"/>
  <c r="LHV1618" i="1"/>
  <c r="LHU1618" i="1"/>
  <c r="LHT1618" i="1"/>
  <c r="LHS1618" i="1"/>
  <c r="LHR1618" i="1"/>
  <c r="LHQ1618" i="1"/>
  <c r="LHP1618" i="1"/>
  <c r="LHO1618" i="1"/>
  <c r="LHN1618" i="1"/>
  <c r="LHM1618" i="1"/>
  <c r="LHL1618" i="1"/>
  <c r="LHK1618" i="1"/>
  <c r="LHJ1618" i="1"/>
  <c r="LHI1618" i="1"/>
  <c r="LHH1618" i="1"/>
  <c r="LHG1618" i="1"/>
  <c r="LHF1618" i="1"/>
  <c r="LHE1618" i="1"/>
  <c r="LHD1618" i="1"/>
  <c r="LHC1618" i="1"/>
  <c r="LHB1618" i="1"/>
  <c r="LHA1618" i="1"/>
  <c r="LGZ1618" i="1"/>
  <c r="LGY1618" i="1"/>
  <c r="LGX1618" i="1"/>
  <c r="LGW1618" i="1"/>
  <c r="LGV1618" i="1"/>
  <c r="LGU1618" i="1"/>
  <c r="LGT1618" i="1"/>
  <c r="LGS1618" i="1"/>
  <c r="LGR1618" i="1"/>
  <c r="LGQ1618" i="1"/>
  <c r="LGP1618" i="1"/>
  <c r="LGO1618" i="1"/>
  <c r="LGN1618" i="1"/>
  <c r="LGM1618" i="1"/>
  <c r="LGL1618" i="1"/>
  <c r="LGK1618" i="1"/>
  <c r="LGJ1618" i="1"/>
  <c r="LGI1618" i="1"/>
  <c r="LGH1618" i="1"/>
  <c r="LGG1618" i="1"/>
  <c r="LGF1618" i="1"/>
  <c r="LGE1618" i="1"/>
  <c r="LGD1618" i="1"/>
  <c r="LGC1618" i="1"/>
  <c r="LGB1618" i="1"/>
  <c r="LGA1618" i="1"/>
  <c r="LFZ1618" i="1"/>
  <c r="LFY1618" i="1"/>
  <c r="LFX1618" i="1"/>
  <c r="LFW1618" i="1"/>
  <c r="LFV1618" i="1"/>
  <c r="LFU1618" i="1"/>
  <c r="LFT1618" i="1"/>
  <c r="LFS1618" i="1"/>
  <c r="LFR1618" i="1"/>
  <c r="LFQ1618" i="1"/>
  <c r="LFP1618" i="1"/>
  <c r="LFO1618" i="1"/>
  <c r="LFN1618" i="1"/>
  <c r="LFM1618" i="1"/>
  <c r="LFL1618" i="1"/>
  <c r="LFK1618" i="1"/>
  <c r="LFJ1618" i="1"/>
  <c r="LFI1618" i="1"/>
  <c r="LFH1618" i="1"/>
  <c r="LFG1618" i="1"/>
  <c r="LFF1618" i="1"/>
  <c r="LFE1618" i="1"/>
  <c r="LFD1618" i="1"/>
  <c r="LFC1618" i="1"/>
  <c r="LFB1618" i="1"/>
  <c r="LFA1618" i="1"/>
  <c r="LEZ1618" i="1"/>
  <c r="LEY1618" i="1"/>
  <c r="LEX1618" i="1"/>
  <c r="LEW1618" i="1"/>
  <c r="LEV1618" i="1"/>
  <c r="LEU1618" i="1"/>
  <c r="LET1618" i="1"/>
  <c r="LES1618" i="1"/>
  <c r="LER1618" i="1"/>
  <c r="LEQ1618" i="1"/>
  <c r="LEP1618" i="1"/>
  <c r="LEO1618" i="1"/>
  <c r="LEN1618" i="1"/>
  <c r="LEM1618" i="1"/>
  <c r="LEL1618" i="1"/>
  <c r="LEK1618" i="1"/>
  <c r="LEJ1618" i="1"/>
  <c r="LEI1618" i="1"/>
  <c r="LEH1618" i="1"/>
  <c r="LEG1618" i="1"/>
  <c r="LEF1618" i="1"/>
  <c r="LEE1618" i="1"/>
  <c r="LED1618" i="1"/>
  <c r="LEC1618" i="1"/>
  <c r="LEB1618" i="1"/>
  <c r="LEA1618" i="1"/>
  <c r="LDZ1618" i="1"/>
  <c r="LDY1618" i="1"/>
  <c r="LDX1618" i="1"/>
  <c r="LDW1618" i="1"/>
  <c r="LDV1618" i="1"/>
  <c r="LDU1618" i="1"/>
  <c r="LDT1618" i="1"/>
  <c r="LDS1618" i="1"/>
  <c r="LDR1618" i="1"/>
  <c r="LDQ1618" i="1"/>
  <c r="LDP1618" i="1"/>
  <c r="LDO1618" i="1"/>
  <c r="LDN1618" i="1"/>
  <c r="LDM1618" i="1"/>
  <c r="LDL1618" i="1"/>
  <c r="LDK1618" i="1"/>
  <c r="LDJ1618" i="1"/>
  <c r="LDI1618" i="1"/>
  <c r="LDH1618" i="1"/>
  <c r="LDG1618" i="1"/>
  <c r="LDF1618" i="1"/>
  <c r="LDE1618" i="1"/>
  <c r="LDD1618" i="1"/>
  <c r="LDC1618" i="1"/>
  <c r="LDB1618" i="1"/>
  <c r="LDA1618" i="1"/>
  <c r="LCZ1618" i="1"/>
  <c r="LCY1618" i="1"/>
  <c r="LCX1618" i="1"/>
  <c r="LCW1618" i="1"/>
  <c r="LCV1618" i="1"/>
  <c r="LCU1618" i="1"/>
  <c r="LCT1618" i="1"/>
  <c r="LCS1618" i="1"/>
  <c r="LCR1618" i="1"/>
  <c r="LCQ1618" i="1"/>
  <c r="LCP1618" i="1"/>
  <c r="LCO1618" i="1"/>
  <c r="LCN1618" i="1"/>
  <c r="LCM1618" i="1"/>
  <c r="LCL1618" i="1"/>
  <c r="LCK1618" i="1"/>
  <c r="LCJ1618" i="1"/>
  <c r="LCI1618" i="1"/>
  <c r="LCH1618" i="1"/>
  <c r="LCG1618" i="1"/>
  <c r="LCF1618" i="1"/>
  <c r="LCE1618" i="1"/>
  <c r="LCD1618" i="1"/>
  <c r="LCC1618" i="1"/>
  <c r="LCB1618" i="1"/>
  <c r="LCA1618" i="1"/>
  <c r="LBZ1618" i="1"/>
  <c r="LBY1618" i="1"/>
  <c r="LBX1618" i="1"/>
  <c r="LBW1618" i="1"/>
  <c r="LBV1618" i="1"/>
  <c r="LBU1618" i="1"/>
  <c r="LBT1618" i="1"/>
  <c r="LBS1618" i="1"/>
  <c r="LBR1618" i="1"/>
  <c r="LBQ1618" i="1"/>
  <c r="LBP1618" i="1"/>
  <c r="LBO1618" i="1"/>
  <c r="LBN1618" i="1"/>
  <c r="LBM1618" i="1"/>
  <c r="LBL1618" i="1"/>
  <c r="LBK1618" i="1"/>
  <c r="LBJ1618" i="1"/>
  <c r="LBI1618" i="1"/>
  <c r="LBH1618" i="1"/>
  <c r="LBG1618" i="1"/>
  <c r="LBF1618" i="1"/>
  <c r="LBE1618" i="1"/>
  <c r="LBD1618" i="1"/>
  <c r="LBC1618" i="1"/>
  <c r="LBB1618" i="1"/>
  <c r="LBA1618" i="1"/>
  <c r="LAZ1618" i="1"/>
  <c r="LAY1618" i="1"/>
  <c r="LAX1618" i="1"/>
  <c r="LAW1618" i="1"/>
  <c r="LAV1618" i="1"/>
  <c r="LAU1618" i="1"/>
  <c r="LAT1618" i="1"/>
  <c r="LAS1618" i="1"/>
  <c r="LAR1618" i="1"/>
  <c r="LAQ1618" i="1"/>
  <c r="LAP1618" i="1"/>
  <c r="LAO1618" i="1"/>
  <c r="LAN1618" i="1"/>
  <c r="LAM1618" i="1"/>
  <c r="LAL1618" i="1"/>
  <c r="LAK1618" i="1"/>
  <c r="LAJ1618" i="1"/>
  <c r="LAI1618" i="1"/>
  <c r="LAH1618" i="1"/>
  <c r="LAG1618" i="1"/>
  <c r="LAF1618" i="1"/>
  <c r="LAE1618" i="1"/>
  <c r="LAD1618" i="1"/>
  <c r="LAC1618" i="1"/>
  <c r="LAB1618" i="1"/>
  <c r="LAA1618" i="1"/>
  <c r="KZZ1618" i="1"/>
  <c r="KZY1618" i="1"/>
  <c r="KZX1618" i="1"/>
  <c r="KZW1618" i="1"/>
  <c r="KZV1618" i="1"/>
  <c r="KZU1618" i="1"/>
  <c r="KZT1618" i="1"/>
  <c r="KZS1618" i="1"/>
  <c r="KZR1618" i="1"/>
  <c r="KZQ1618" i="1"/>
  <c r="KZP1618" i="1"/>
  <c r="KZO1618" i="1"/>
  <c r="KZN1618" i="1"/>
  <c r="KZM1618" i="1"/>
  <c r="KZL1618" i="1"/>
  <c r="KZK1618" i="1"/>
  <c r="KZJ1618" i="1"/>
  <c r="KZI1618" i="1"/>
  <c r="KZH1618" i="1"/>
  <c r="KZG1618" i="1"/>
  <c r="KZF1618" i="1"/>
  <c r="KZE1618" i="1"/>
  <c r="KZD1618" i="1"/>
  <c r="KZC1618" i="1"/>
  <c r="KZB1618" i="1"/>
  <c r="KZA1618" i="1"/>
  <c r="KYZ1618" i="1"/>
  <c r="KYY1618" i="1"/>
  <c r="KYX1618" i="1"/>
  <c r="KYW1618" i="1"/>
  <c r="KYV1618" i="1"/>
  <c r="KYU1618" i="1"/>
  <c r="KYT1618" i="1"/>
  <c r="KYS1618" i="1"/>
  <c r="KYR1618" i="1"/>
  <c r="KYQ1618" i="1"/>
  <c r="KYP1618" i="1"/>
  <c r="KYO1618" i="1"/>
  <c r="KYN1618" i="1"/>
  <c r="KYM1618" i="1"/>
  <c r="KYL1618" i="1"/>
  <c r="KYK1618" i="1"/>
  <c r="KYJ1618" i="1"/>
  <c r="KYI1618" i="1"/>
  <c r="KYH1618" i="1"/>
  <c r="KYG1618" i="1"/>
  <c r="KYF1618" i="1"/>
  <c r="KYE1618" i="1"/>
  <c r="KYD1618" i="1"/>
  <c r="KYC1618" i="1"/>
  <c r="KYB1618" i="1"/>
  <c r="KYA1618" i="1"/>
  <c r="KXZ1618" i="1"/>
  <c r="KXY1618" i="1"/>
  <c r="KXX1618" i="1"/>
  <c r="KXW1618" i="1"/>
  <c r="KXV1618" i="1"/>
  <c r="KXU1618" i="1"/>
  <c r="KXT1618" i="1"/>
  <c r="KXS1618" i="1"/>
  <c r="KXR1618" i="1"/>
  <c r="KXQ1618" i="1"/>
  <c r="KXP1618" i="1"/>
  <c r="KXO1618" i="1"/>
  <c r="KXN1618" i="1"/>
  <c r="KXM1618" i="1"/>
  <c r="KXL1618" i="1"/>
  <c r="KXK1618" i="1"/>
  <c r="KXJ1618" i="1"/>
  <c r="KXI1618" i="1"/>
  <c r="KXH1618" i="1"/>
  <c r="KXG1618" i="1"/>
  <c r="KXF1618" i="1"/>
  <c r="KXE1618" i="1"/>
  <c r="KXD1618" i="1"/>
  <c r="KXC1618" i="1"/>
  <c r="KXB1618" i="1"/>
  <c r="KXA1618" i="1"/>
  <c r="KWZ1618" i="1"/>
  <c r="KWY1618" i="1"/>
  <c r="KWX1618" i="1"/>
  <c r="KWW1618" i="1"/>
  <c r="KWV1618" i="1"/>
  <c r="KWU1618" i="1"/>
  <c r="KWT1618" i="1"/>
  <c r="KWS1618" i="1"/>
  <c r="KWR1618" i="1"/>
  <c r="KWQ1618" i="1"/>
  <c r="KWP1618" i="1"/>
  <c r="KWO1618" i="1"/>
  <c r="KWN1618" i="1"/>
  <c r="KWM1618" i="1"/>
  <c r="KWL1618" i="1"/>
  <c r="KWK1618" i="1"/>
  <c r="KWJ1618" i="1"/>
  <c r="KWI1618" i="1"/>
  <c r="KWH1618" i="1"/>
  <c r="KWG1618" i="1"/>
  <c r="KWF1618" i="1"/>
  <c r="KWE1618" i="1"/>
  <c r="KWD1618" i="1"/>
  <c r="KWC1618" i="1"/>
  <c r="KWB1618" i="1"/>
  <c r="KWA1618" i="1"/>
  <c r="KVZ1618" i="1"/>
  <c r="KVY1618" i="1"/>
  <c r="KVX1618" i="1"/>
  <c r="KVW1618" i="1"/>
  <c r="KVV1618" i="1"/>
  <c r="KVU1618" i="1"/>
  <c r="KVT1618" i="1"/>
  <c r="KVS1618" i="1"/>
  <c r="KVR1618" i="1"/>
  <c r="KVQ1618" i="1"/>
  <c r="KVP1618" i="1"/>
  <c r="KVO1618" i="1"/>
  <c r="KVN1618" i="1"/>
  <c r="KVM1618" i="1"/>
  <c r="KVL1618" i="1"/>
  <c r="KVK1618" i="1"/>
  <c r="KVJ1618" i="1"/>
  <c r="KVI1618" i="1"/>
  <c r="KVH1618" i="1"/>
  <c r="KVG1618" i="1"/>
  <c r="KVF1618" i="1"/>
  <c r="KVE1618" i="1"/>
  <c r="KVD1618" i="1"/>
  <c r="KVC1618" i="1"/>
  <c r="KVB1618" i="1"/>
  <c r="KVA1618" i="1"/>
  <c r="KUZ1618" i="1"/>
  <c r="KUY1618" i="1"/>
  <c r="KUX1618" i="1"/>
  <c r="KUW1618" i="1"/>
  <c r="KUV1618" i="1"/>
  <c r="KUU1618" i="1"/>
  <c r="KUT1618" i="1"/>
  <c r="KUS1618" i="1"/>
  <c r="KUR1618" i="1"/>
  <c r="KUQ1618" i="1"/>
  <c r="KUP1618" i="1"/>
  <c r="KUO1618" i="1"/>
  <c r="KUN1618" i="1"/>
  <c r="KUM1618" i="1"/>
  <c r="KUL1618" i="1"/>
  <c r="KUK1618" i="1"/>
  <c r="KUJ1618" i="1"/>
  <c r="KUI1618" i="1"/>
  <c r="KUH1618" i="1"/>
  <c r="KUG1618" i="1"/>
  <c r="KUF1618" i="1"/>
  <c r="KUE1618" i="1"/>
  <c r="KUD1618" i="1"/>
  <c r="KUC1618" i="1"/>
  <c r="KUB1618" i="1"/>
  <c r="KUA1618" i="1"/>
  <c r="KTZ1618" i="1"/>
  <c r="KTY1618" i="1"/>
  <c r="KTX1618" i="1"/>
  <c r="KTW1618" i="1"/>
  <c r="KTV1618" i="1"/>
  <c r="KTU1618" i="1"/>
  <c r="KTT1618" i="1"/>
  <c r="KTS1618" i="1"/>
  <c r="KTR1618" i="1"/>
  <c r="KTQ1618" i="1"/>
  <c r="KTP1618" i="1"/>
  <c r="KTO1618" i="1"/>
  <c r="KTN1618" i="1"/>
  <c r="KTM1618" i="1"/>
  <c r="KTL1618" i="1"/>
  <c r="KTK1618" i="1"/>
  <c r="KTJ1618" i="1"/>
  <c r="KTI1618" i="1"/>
  <c r="KTH1618" i="1"/>
  <c r="KTG1618" i="1"/>
  <c r="KTF1618" i="1"/>
  <c r="KTE1618" i="1"/>
  <c r="KTD1618" i="1"/>
  <c r="KTC1618" i="1"/>
  <c r="KTB1618" i="1"/>
  <c r="KTA1618" i="1"/>
  <c r="KSZ1618" i="1"/>
  <c r="KSY1618" i="1"/>
  <c r="KSX1618" i="1"/>
  <c r="KSW1618" i="1"/>
  <c r="KSV1618" i="1"/>
  <c r="KSU1618" i="1"/>
  <c r="KST1618" i="1"/>
  <c r="KSS1618" i="1"/>
  <c r="KSR1618" i="1"/>
  <c r="KSQ1618" i="1"/>
  <c r="KSP1618" i="1"/>
  <c r="KSO1618" i="1"/>
  <c r="KSN1618" i="1"/>
  <c r="KSM1618" i="1"/>
  <c r="KSL1618" i="1"/>
  <c r="KSK1618" i="1"/>
  <c r="KSJ1618" i="1"/>
  <c r="KSI1618" i="1"/>
  <c r="KSH1618" i="1"/>
  <c r="KSG1618" i="1"/>
  <c r="KSF1618" i="1"/>
  <c r="KSE1618" i="1"/>
  <c r="KSD1618" i="1"/>
  <c r="KSC1618" i="1"/>
  <c r="KSB1618" i="1"/>
  <c r="KSA1618" i="1"/>
  <c r="KRZ1618" i="1"/>
  <c r="KRY1618" i="1"/>
  <c r="KRX1618" i="1"/>
  <c r="KRW1618" i="1"/>
  <c r="KRV1618" i="1"/>
  <c r="KRU1618" i="1"/>
  <c r="KRT1618" i="1"/>
  <c r="KRS1618" i="1"/>
  <c r="KRR1618" i="1"/>
  <c r="KRQ1618" i="1"/>
  <c r="KRP1618" i="1"/>
  <c r="KRO1618" i="1"/>
  <c r="KRN1618" i="1"/>
  <c r="KRM1618" i="1"/>
  <c r="KRL1618" i="1"/>
  <c r="KRK1618" i="1"/>
  <c r="KRJ1618" i="1"/>
  <c r="KRI1618" i="1"/>
  <c r="KRH1618" i="1"/>
  <c r="KRG1618" i="1"/>
  <c r="KRF1618" i="1"/>
  <c r="KRE1618" i="1"/>
  <c r="KRD1618" i="1"/>
  <c r="KRC1618" i="1"/>
  <c r="KRB1618" i="1"/>
  <c r="KRA1618" i="1"/>
  <c r="KQZ1618" i="1"/>
  <c r="KQY1618" i="1"/>
  <c r="KQX1618" i="1"/>
  <c r="KQW1618" i="1"/>
  <c r="KQV1618" i="1"/>
  <c r="KQU1618" i="1"/>
  <c r="KQT1618" i="1"/>
  <c r="KQS1618" i="1"/>
  <c r="KQR1618" i="1"/>
  <c r="KQQ1618" i="1"/>
  <c r="KQP1618" i="1"/>
  <c r="KQO1618" i="1"/>
  <c r="KQN1618" i="1"/>
  <c r="KQM1618" i="1"/>
  <c r="KQL1618" i="1"/>
  <c r="KQK1618" i="1"/>
  <c r="KQJ1618" i="1"/>
  <c r="KQI1618" i="1"/>
  <c r="KQH1618" i="1"/>
  <c r="KQG1618" i="1"/>
  <c r="KQF1618" i="1"/>
  <c r="KQE1618" i="1"/>
  <c r="KQD1618" i="1"/>
  <c r="KQC1618" i="1"/>
  <c r="KQB1618" i="1"/>
  <c r="KQA1618" i="1"/>
  <c r="KPZ1618" i="1"/>
  <c r="KPY1618" i="1"/>
  <c r="KPX1618" i="1"/>
  <c r="KPW1618" i="1"/>
  <c r="KPV1618" i="1"/>
  <c r="KPU1618" i="1"/>
  <c r="KPT1618" i="1"/>
  <c r="KPS1618" i="1"/>
  <c r="KPR1618" i="1"/>
  <c r="KPQ1618" i="1"/>
  <c r="KPP1618" i="1"/>
  <c r="KPO1618" i="1"/>
  <c r="KPN1618" i="1"/>
  <c r="KPM1618" i="1"/>
  <c r="KPL1618" i="1"/>
  <c r="KPK1618" i="1"/>
  <c r="KPJ1618" i="1"/>
  <c r="KPI1618" i="1"/>
  <c r="KPH1618" i="1"/>
  <c r="KPG1618" i="1"/>
  <c r="KPF1618" i="1"/>
  <c r="KPE1618" i="1"/>
  <c r="KPD1618" i="1"/>
  <c r="KPC1618" i="1"/>
  <c r="KPB1618" i="1"/>
  <c r="KPA1618" i="1"/>
  <c r="KOZ1618" i="1"/>
  <c r="KOY1618" i="1"/>
  <c r="KOX1618" i="1"/>
  <c r="KOW1618" i="1"/>
  <c r="KOV1618" i="1"/>
  <c r="KOU1618" i="1"/>
  <c r="KOT1618" i="1"/>
  <c r="KOS1618" i="1"/>
  <c r="KOR1618" i="1"/>
  <c r="KOQ1618" i="1"/>
  <c r="KOP1618" i="1"/>
  <c r="KOO1618" i="1"/>
  <c r="KON1618" i="1"/>
  <c r="KOM1618" i="1"/>
  <c r="KOL1618" i="1"/>
  <c r="KOK1618" i="1"/>
  <c r="KOJ1618" i="1"/>
  <c r="KOI1618" i="1"/>
  <c r="KOH1618" i="1"/>
  <c r="KOG1618" i="1"/>
  <c r="KOF1618" i="1"/>
  <c r="KOE1618" i="1"/>
  <c r="KOD1618" i="1"/>
  <c r="KOC1618" i="1"/>
  <c r="KOB1618" i="1"/>
  <c r="KOA1618" i="1"/>
  <c r="KNZ1618" i="1"/>
  <c r="KNY1618" i="1"/>
  <c r="KNX1618" i="1"/>
  <c r="KNW1618" i="1"/>
  <c r="KNV1618" i="1"/>
  <c r="KNU1618" i="1"/>
  <c r="KNT1618" i="1"/>
  <c r="KNS1618" i="1"/>
  <c r="KNR1618" i="1"/>
  <c r="KNQ1618" i="1"/>
  <c r="KNP1618" i="1"/>
  <c r="KNO1618" i="1"/>
  <c r="KNN1618" i="1"/>
  <c r="KNM1618" i="1"/>
  <c r="KNL1618" i="1"/>
  <c r="KNK1618" i="1"/>
  <c r="KNJ1618" i="1"/>
  <c r="KNI1618" i="1"/>
  <c r="KNH1618" i="1"/>
  <c r="KNG1618" i="1"/>
  <c r="KNF1618" i="1"/>
  <c r="KNE1618" i="1"/>
  <c r="KND1618" i="1"/>
  <c r="KNC1618" i="1"/>
  <c r="KNB1618" i="1"/>
  <c r="KNA1618" i="1"/>
  <c r="KMZ1618" i="1"/>
  <c r="KMY1618" i="1"/>
  <c r="KMX1618" i="1"/>
  <c r="KMW1618" i="1"/>
  <c r="KMV1618" i="1"/>
  <c r="KMU1618" i="1"/>
  <c r="KMT1618" i="1"/>
  <c r="KMS1618" i="1"/>
  <c r="KMR1618" i="1"/>
  <c r="KMQ1618" i="1"/>
  <c r="KMP1618" i="1"/>
  <c r="KMO1618" i="1"/>
  <c r="KMN1618" i="1"/>
  <c r="KMM1618" i="1"/>
  <c r="KML1618" i="1"/>
  <c r="KMK1618" i="1"/>
  <c r="KMJ1618" i="1"/>
  <c r="KMI1618" i="1"/>
  <c r="KMH1618" i="1"/>
  <c r="KMG1618" i="1"/>
  <c r="KMF1618" i="1"/>
  <c r="KME1618" i="1"/>
  <c r="KMD1618" i="1"/>
  <c r="KMC1618" i="1"/>
  <c r="KMB1618" i="1"/>
  <c r="KMA1618" i="1"/>
  <c r="KLZ1618" i="1"/>
  <c r="KLY1618" i="1"/>
  <c r="KLX1618" i="1"/>
  <c r="KLW1618" i="1"/>
  <c r="KLV1618" i="1"/>
  <c r="KLU1618" i="1"/>
  <c r="KLT1618" i="1"/>
  <c r="KLS1618" i="1"/>
  <c r="KLR1618" i="1"/>
  <c r="KLQ1618" i="1"/>
  <c r="KLP1618" i="1"/>
  <c r="KLO1618" i="1"/>
  <c r="KLN1618" i="1"/>
  <c r="KLM1618" i="1"/>
  <c r="KLL1618" i="1"/>
  <c r="KLK1618" i="1"/>
  <c r="KLJ1618" i="1"/>
  <c r="KLI1618" i="1"/>
  <c r="KLH1618" i="1"/>
  <c r="KLG1618" i="1"/>
  <c r="KLF1618" i="1"/>
  <c r="KLE1618" i="1"/>
  <c r="KLD1618" i="1"/>
  <c r="KLC1618" i="1"/>
  <c r="KLB1618" i="1"/>
  <c r="KLA1618" i="1"/>
  <c r="KKZ1618" i="1"/>
  <c r="KKY1618" i="1"/>
  <c r="KKX1618" i="1"/>
  <c r="KKW1618" i="1"/>
  <c r="KKV1618" i="1"/>
  <c r="KKU1618" i="1"/>
  <c r="KKT1618" i="1"/>
  <c r="KKS1618" i="1"/>
  <c r="KKR1618" i="1"/>
  <c r="KKQ1618" i="1"/>
  <c r="KKP1618" i="1"/>
  <c r="KKO1618" i="1"/>
  <c r="KKN1618" i="1"/>
  <c r="KKM1618" i="1"/>
  <c r="KKL1618" i="1"/>
  <c r="KKK1618" i="1"/>
  <c r="KKJ1618" i="1"/>
  <c r="KKI1618" i="1"/>
  <c r="KKH1618" i="1"/>
  <c r="KKG1618" i="1"/>
  <c r="KKF1618" i="1"/>
  <c r="KKE1618" i="1"/>
  <c r="KKD1618" i="1"/>
  <c r="KKC1618" i="1"/>
  <c r="KKB1618" i="1"/>
  <c r="KKA1618" i="1"/>
  <c r="KJZ1618" i="1"/>
  <c r="KJY1618" i="1"/>
  <c r="KJX1618" i="1"/>
  <c r="KJW1618" i="1"/>
  <c r="KJV1618" i="1"/>
  <c r="KJU1618" i="1"/>
  <c r="KJT1618" i="1"/>
  <c r="KJS1618" i="1"/>
  <c r="KJR1618" i="1"/>
  <c r="KJQ1618" i="1"/>
  <c r="KJP1618" i="1"/>
  <c r="KJO1618" i="1"/>
  <c r="KJN1618" i="1"/>
  <c r="KJM1618" i="1"/>
  <c r="KJL1618" i="1"/>
  <c r="KJK1618" i="1"/>
  <c r="KJJ1618" i="1"/>
  <c r="KJI1618" i="1"/>
  <c r="KJH1618" i="1"/>
  <c r="KJG1618" i="1"/>
  <c r="KJF1618" i="1"/>
  <c r="KJE1618" i="1"/>
  <c r="KJD1618" i="1"/>
  <c r="KJC1618" i="1"/>
  <c r="KJB1618" i="1"/>
  <c r="KJA1618" i="1"/>
  <c r="KIZ1618" i="1"/>
  <c r="KIY1618" i="1"/>
  <c r="KIX1618" i="1"/>
  <c r="KIW1618" i="1"/>
  <c r="KIV1618" i="1"/>
  <c r="KIU1618" i="1"/>
  <c r="KIT1618" i="1"/>
  <c r="KIS1618" i="1"/>
  <c r="KIR1618" i="1"/>
  <c r="KIQ1618" i="1"/>
  <c r="KIP1618" i="1"/>
  <c r="KIO1618" i="1"/>
  <c r="KIN1618" i="1"/>
  <c r="KIM1618" i="1"/>
  <c r="KIL1618" i="1"/>
  <c r="KIK1618" i="1"/>
  <c r="KIJ1618" i="1"/>
  <c r="KII1618" i="1"/>
  <c r="KIH1618" i="1"/>
  <c r="KIG1618" i="1"/>
  <c r="KIF1618" i="1"/>
  <c r="KIE1618" i="1"/>
  <c r="KID1618" i="1"/>
  <c r="KIC1618" i="1"/>
  <c r="KIB1618" i="1"/>
  <c r="KIA1618" i="1"/>
  <c r="KHZ1618" i="1"/>
  <c r="KHY1618" i="1"/>
  <c r="KHX1618" i="1"/>
  <c r="KHW1618" i="1"/>
  <c r="KHV1618" i="1"/>
  <c r="KHU1618" i="1"/>
  <c r="KHT1618" i="1"/>
  <c r="KHS1618" i="1"/>
  <c r="KHR1618" i="1"/>
  <c r="KHQ1618" i="1"/>
  <c r="KHP1618" i="1"/>
  <c r="KHO1618" i="1"/>
  <c r="KHN1618" i="1"/>
  <c r="KHM1618" i="1"/>
  <c r="KHL1618" i="1"/>
  <c r="KHK1618" i="1"/>
  <c r="KHJ1618" i="1"/>
  <c r="KHI1618" i="1"/>
  <c r="KHH1618" i="1"/>
  <c r="KHG1618" i="1"/>
  <c r="KHF1618" i="1"/>
  <c r="KHE1618" i="1"/>
  <c r="KHD1618" i="1"/>
  <c r="KHC1618" i="1"/>
  <c r="KHB1618" i="1"/>
  <c r="KHA1618" i="1"/>
  <c r="KGZ1618" i="1"/>
  <c r="KGY1618" i="1"/>
  <c r="KGX1618" i="1"/>
  <c r="KGW1618" i="1"/>
  <c r="KGV1618" i="1"/>
  <c r="KGU1618" i="1"/>
  <c r="KGT1618" i="1"/>
  <c r="KGS1618" i="1"/>
  <c r="KGR1618" i="1"/>
  <c r="KGQ1618" i="1"/>
  <c r="KGP1618" i="1"/>
  <c r="KGO1618" i="1"/>
  <c r="KGN1618" i="1"/>
  <c r="KGM1618" i="1"/>
  <c r="KGL1618" i="1"/>
  <c r="KGK1618" i="1"/>
  <c r="KGJ1618" i="1"/>
  <c r="KGI1618" i="1"/>
  <c r="KGH1618" i="1"/>
  <c r="KGG1618" i="1"/>
  <c r="KGF1618" i="1"/>
  <c r="KGE1618" i="1"/>
  <c r="KGD1618" i="1"/>
  <c r="KGC1618" i="1"/>
  <c r="KGB1618" i="1"/>
  <c r="KGA1618" i="1"/>
  <c r="KFZ1618" i="1"/>
  <c r="KFY1618" i="1"/>
  <c r="KFX1618" i="1"/>
  <c r="KFW1618" i="1"/>
  <c r="KFV1618" i="1"/>
  <c r="KFU1618" i="1"/>
  <c r="KFT1618" i="1"/>
  <c r="KFS1618" i="1"/>
  <c r="KFR1618" i="1"/>
  <c r="KFQ1618" i="1"/>
  <c r="KFP1618" i="1"/>
  <c r="KFO1618" i="1"/>
  <c r="KFN1618" i="1"/>
  <c r="KFM1618" i="1"/>
  <c r="KFL1618" i="1"/>
  <c r="KFK1618" i="1"/>
  <c r="KFJ1618" i="1"/>
  <c r="KFI1618" i="1"/>
  <c r="KFH1618" i="1"/>
  <c r="KFG1618" i="1"/>
  <c r="KFF1618" i="1"/>
  <c r="KFE1618" i="1"/>
  <c r="KFD1618" i="1"/>
  <c r="KFC1618" i="1"/>
  <c r="KFB1618" i="1"/>
  <c r="KFA1618" i="1"/>
  <c r="KEZ1618" i="1"/>
  <c r="KEY1618" i="1"/>
  <c r="KEX1618" i="1"/>
  <c r="KEW1618" i="1"/>
  <c r="KEV1618" i="1"/>
  <c r="KEU1618" i="1"/>
  <c r="KET1618" i="1"/>
  <c r="KES1618" i="1"/>
  <c r="KER1618" i="1"/>
  <c r="KEQ1618" i="1"/>
  <c r="KEP1618" i="1"/>
  <c r="KEO1618" i="1"/>
  <c r="KEN1618" i="1"/>
  <c r="KEM1618" i="1"/>
  <c r="KEL1618" i="1"/>
  <c r="KEK1618" i="1"/>
  <c r="KEJ1618" i="1"/>
  <c r="KEI1618" i="1"/>
  <c r="KEH1618" i="1"/>
  <c r="KEG1618" i="1"/>
  <c r="KEF1618" i="1"/>
  <c r="KEE1618" i="1"/>
  <c r="KED1618" i="1"/>
  <c r="KEC1618" i="1"/>
  <c r="KEB1618" i="1"/>
  <c r="KEA1618" i="1"/>
  <c r="KDZ1618" i="1"/>
  <c r="KDY1618" i="1"/>
  <c r="KDX1618" i="1"/>
  <c r="KDW1618" i="1"/>
  <c r="KDV1618" i="1"/>
  <c r="KDU1618" i="1"/>
  <c r="KDT1618" i="1"/>
  <c r="KDS1618" i="1"/>
  <c r="KDR1618" i="1"/>
  <c r="KDQ1618" i="1"/>
  <c r="KDP1618" i="1"/>
  <c r="KDO1618" i="1"/>
  <c r="KDN1618" i="1"/>
  <c r="KDM1618" i="1"/>
  <c r="KDL1618" i="1"/>
  <c r="KDK1618" i="1"/>
  <c r="KDJ1618" i="1"/>
  <c r="KDI1618" i="1"/>
  <c r="KDH1618" i="1"/>
  <c r="KDG1618" i="1"/>
  <c r="KDF1618" i="1"/>
  <c r="KDE1618" i="1"/>
  <c r="KDD1618" i="1"/>
  <c r="KDC1618" i="1"/>
  <c r="KDB1618" i="1"/>
  <c r="KDA1618" i="1"/>
  <c r="KCZ1618" i="1"/>
  <c r="KCY1618" i="1"/>
  <c r="KCX1618" i="1"/>
  <c r="KCW1618" i="1"/>
  <c r="KCV1618" i="1"/>
  <c r="KCU1618" i="1"/>
  <c r="KCT1618" i="1"/>
  <c r="KCS1618" i="1"/>
  <c r="KCR1618" i="1"/>
  <c r="KCQ1618" i="1"/>
  <c r="KCP1618" i="1"/>
  <c r="KCO1618" i="1"/>
  <c r="KCN1618" i="1"/>
  <c r="KCM1618" i="1"/>
  <c r="KCL1618" i="1"/>
  <c r="KCK1618" i="1"/>
  <c r="KCJ1618" i="1"/>
  <c r="KCI1618" i="1"/>
  <c r="KCH1618" i="1"/>
  <c r="KCG1618" i="1"/>
  <c r="KCF1618" i="1"/>
  <c r="KCE1618" i="1"/>
  <c r="KCD1618" i="1"/>
  <c r="KCC1618" i="1"/>
  <c r="KCB1618" i="1"/>
  <c r="KCA1618" i="1"/>
  <c r="KBZ1618" i="1"/>
  <c r="KBY1618" i="1"/>
  <c r="KBX1618" i="1"/>
  <c r="KBW1618" i="1"/>
  <c r="KBV1618" i="1"/>
  <c r="KBU1618" i="1"/>
  <c r="KBT1618" i="1"/>
  <c r="KBS1618" i="1"/>
  <c r="KBR1618" i="1"/>
  <c r="KBQ1618" i="1"/>
  <c r="KBP1618" i="1"/>
  <c r="KBO1618" i="1"/>
  <c r="KBN1618" i="1"/>
  <c r="KBM1618" i="1"/>
  <c r="KBL1618" i="1"/>
  <c r="KBK1618" i="1"/>
  <c r="KBJ1618" i="1"/>
  <c r="KBI1618" i="1"/>
  <c r="KBH1618" i="1"/>
  <c r="KBG1618" i="1"/>
  <c r="KBF1618" i="1"/>
  <c r="KBE1618" i="1"/>
  <c r="KBD1618" i="1"/>
  <c r="KBC1618" i="1"/>
  <c r="KBB1618" i="1"/>
  <c r="KBA1618" i="1"/>
  <c r="KAZ1618" i="1"/>
  <c r="KAY1618" i="1"/>
  <c r="KAX1618" i="1"/>
  <c r="KAW1618" i="1"/>
  <c r="KAV1618" i="1"/>
  <c r="KAU1618" i="1"/>
  <c r="KAT1618" i="1"/>
  <c r="KAS1618" i="1"/>
  <c r="KAR1618" i="1"/>
  <c r="KAQ1618" i="1"/>
  <c r="KAP1618" i="1"/>
  <c r="KAO1618" i="1"/>
  <c r="KAN1618" i="1"/>
  <c r="KAM1618" i="1"/>
  <c r="KAL1618" i="1"/>
  <c r="KAK1618" i="1"/>
  <c r="KAJ1618" i="1"/>
  <c r="KAI1618" i="1"/>
  <c r="KAH1618" i="1"/>
  <c r="KAG1618" i="1"/>
  <c r="KAF1618" i="1"/>
  <c r="KAE1618" i="1"/>
  <c r="KAD1618" i="1"/>
  <c r="KAC1618" i="1"/>
  <c r="KAB1618" i="1"/>
  <c r="KAA1618" i="1"/>
  <c r="JZZ1618" i="1"/>
  <c r="JZY1618" i="1"/>
  <c r="JZX1618" i="1"/>
  <c r="JZW1618" i="1"/>
  <c r="JZV1618" i="1"/>
  <c r="JZU1618" i="1"/>
  <c r="JZT1618" i="1"/>
  <c r="JZS1618" i="1"/>
  <c r="JZR1618" i="1"/>
  <c r="JZQ1618" i="1"/>
  <c r="JZP1618" i="1"/>
  <c r="JZO1618" i="1"/>
  <c r="JZN1618" i="1"/>
  <c r="JZM1618" i="1"/>
  <c r="JZL1618" i="1"/>
  <c r="JZK1618" i="1"/>
  <c r="JZJ1618" i="1"/>
  <c r="JZI1618" i="1"/>
  <c r="JZH1618" i="1"/>
  <c r="JZG1618" i="1"/>
  <c r="JZF1618" i="1"/>
  <c r="JZE1618" i="1"/>
  <c r="JZD1618" i="1"/>
  <c r="JZC1618" i="1"/>
  <c r="JZB1618" i="1"/>
  <c r="JZA1618" i="1"/>
  <c r="JYZ1618" i="1"/>
  <c r="JYY1618" i="1"/>
  <c r="JYX1618" i="1"/>
  <c r="JYW1618" i="1"/>
  <c r="JYV1618" i="1"/>
  <c r="JYU1618" i="1"/>
  <c r="JYT1618" i="1"/>
  <c r="JYS1618" i="1"/>
  <c r="JYR1618" i="1"/>
  <c r="JYQ1618" i="1"/>
  <c r="JYP1618" i="1"/>
  <c r="JYO1618" i="1"/>
  <c r="JYN1618" i="1"/>
  <c r="JYM1618" i="1"/>
  <c r="JYL1618" i="1"/>
  <c r="JYK1618" i="1"/>
  <c r="JYJ1618" i="1"/>
  <c r="JYI1618" i="1"/>
  <c r="JYH1618" i="1"/>
  <c r="JYG1618" i="1"/>
  <c r="JYF1618" i="1"/>
  <c r="JYE1618" i="1"/>
  <c r="JYD1618" i="1"/>
  <c r="JYC1618" i="1"/>
  <c r="JYB1618" i="1"/>
  <c r="JYA1618" i="1"/>
  <c r="JXZ1618" i="1"/>
  <c r="JXY1618" i="1"/>
  <c r="JXX1618" i="1"/>
  <c r="JXW1618" i="1"/>
  <c r="JXV1618" i="1"/>
  <c r="JXU1618" i="1"/>
  <c r="JXT1618" i="1"/>
  <c r="JXS1618" i="1"/>
  <c r="JXR1618" i="1"/>
  <c r="JXQ1618" i="1"/>
  <c r="JXP1618" i="1"/>
  <c r="JXO1618" i="1"/>
  <c r="JXN1618" i="1"/>
  <c r="JXM1618" i="1"/>
  <c r="JXL1618" i="1"/>
  <c r="JXK1618" i="1"/>
  <c r="JXJ1618" i="1"/>
  <c r="JXI1618" i="1"/>
  <c r="JXH1618" i="1"/>
  <c r="JXG1618" i="1"/>
  <c r="JXF1618" i="1"/>
  <c r="JXE1618" i="1"/>
  <c r="JXD1618" i="1"/>
  <c r="JXC1618" i="1"/>
  <c r="JXB1618" i="1"/>
  <c r="JXA1618" i="1"/>
  <c r="JWZ1618" i="1"/>
  <c r="JWY1618" i="1"/>
  <c r="JWX1618" i="1"/>
  <c r="JWW1618" i="1"/>
  <c r="JWV1618" i="1"/>
  <c r="JWU1618" i="1"/>
  <c r="JWT1618" i="1"/>
  <c r="JWS1618" i="1"/>
  <c r="JWR1618" i="1"/>
  <c r="JWQ1618" i="1"/>
  <c r="JWP1618" i="1"/>
  <c r="JWO1618" i="1"/>
  <c r="JWN1618" i="1"/>
  <c r="JWM1618" i="1"/>
  <c r="JWL1618" i="1"/>
  <c r="JWK1618" i="1"/>
  <c r="JWJ1618" i="1"/>
  <c r="JWI1618" i="1"/>
  <c r="JWH1618" i="1"/>
  <c r="JWG1618" i="1"/>
  <c r="JWF1618" i="1"/>
  <c r="JWE1618" i="1"/>
  <c r="JWD1618" i="1"/>
  <c r="JWC1618" i="1"/>
  <c r="JWB1618" i="1"/>
  <c r="JWA1618" i="1"/>
  <c r="JVZ1618" i="1"/>
  <c r="JVY1618" i="1"/>
  <c r="JVX1618" i="1"/>
  <c r="JVW1618" i="1"/>
  <c r="JVV1618" i="1"/>
  <c r="JVU1618" i="1"/>
  <c r="JVT1618" i="1"/>
  <c r="JVS1618" i="1"/>
  <c r="JVR1618" i="1"/>
  <c r="JVQ1618" i="1"/>
  <c r="JVP1618" i="1"/>
  <c r="JVO1618" i="1"/>
  <c r="JVN1618" i="1"/>
  <c r="JVM1618" i="1"/>
  <c r="JVL1618" i="1"/>
  <c r="JVK1618" i="1"/>
  <c r="JVJ1618" i="1"/>
  <c r="JVI1618" i="1"/>
  <c r="JVH1618" i="1"/>
  <c r="JVG1618" i="1"/>
  <c r="JVF1618" i="1"/>
  <c r="JVE1618" i="1"/>
  <c r="JVD1618" i="1"/>
  <c r="JVC1618" i="1"/>
  <c r="JVB1618" i="1"/>
  <c r="JVA1618" i="1"/>
  <c r="JUZ1618" i="1"/>
  <c r="JUY1618" i="1"/>
  <c r="JUX1618" i="1"/>
  <c r="JUW1618" i="1"/>
  <c r="JUV1618" i="1"/>
  <c r="JUU1618" i="1"/>
  <c r="JUT1618" i="1"/>
  <c r="JUS1618" i="1"/>
  <c r="JUR1618" i="1"/>
  <c r="JUQ1618" i="1"/>
  <c r="JUP1618" i="1"/>
  <c r="JUO1618" i="1"/>
  <c r="JUN1618" i="1"/>
  <c r="JUM1618" i="1"/>
  <c r="JUL1618" i="1"/>
  <c r="JUK1618" i="1"/>
  <c r="JUJ1618" i="1"/>
  <c r="JUI1618" i="1"/>
  <c r="JUH1618" i="1"/>
  <c r="JUG1618" i="1"/>
  <c r="JUF1618" i="1"/>
  <c r="JUE1618" i="1"/>
  <c r="JUD1618" i="1"/>
  <c r="JUC1618" i="1"/>
  <c r="JUB1618" i="1"/>
  <c r="JUA1618" i="1"/>
  <c r="JTZ1618" i="1"/>
  <c r="JTY1618" i="1"/>
  <c r="JTX1618" i="1"/>
  <c r="JTW1618" i="1"/>
  <c r="JTV1618" i="1"/>
  <c r="JTU1618" i="1"/>
  <c r="JTT1618" i="1"/>
  <c r="JTS1618" i="1"/>
  <c r="JTR1618" i="1"/>
  <c r="JTQ1618" i="1"/>
  <c r="JTP1618" i="1"/>
  <c r="JTO1618" i="1"/>
  <c r="JTN1618" i="1"/>
  <c r="JTM1618" i="1"/>
  <c r="JTL1618" i="1"/>
  <c r="JTK1618" i="1"/>
  <c r="JTJ1618" i="1"/>
  <c r="JTI1618" i="1"/>
  <c r="JTH1618" i="1"/>
  <c r="JTG1618" i="1"/>
  <c r="JTF1618" i="1"/>
  <c r="JTE1618" i="1"/>
  <c r="JTD1618" i="1"/>
  <c r="JTC1618" i="1"/>
  <c r="JTB1618" i="1"/>
  <c r="JTA1618" i="1"/>
  <c r="JSZ1618" i="1"/>
  <c r="JSY1618" i="1"/>
  <c r="JSX1618" i="1"/>
  <c r="JSW1618" i="1"/>
  <c r="JSV1618" i="1"/>
  <c r="JSU1618" i="1"/>
  <c r="JST1618" i="1"/>
  <c r="JSS1618" i="1"/>
  <c r="JSR1618" i="1"/>
  <c r="JSQ1618" i="1"/>
  <c r="JSP1618" i="1"/>
  <c r="JSO1618" i="1"/>
  <c r="JSN1618" i="1"/>
  <c r="JSM1618" i="1"/>
  <c r="JSL1618" i="1"/>
  <c r="JSK1618" i="1"/>
  <c r="JSJ1618" i="1"/>
  <c r="JSI1618" i="1"/>
  <c r="JSH1618" i="1"/>
  <c r="JSG1618" i="1"/>
  <c r="JSF1618" i="1"/>
  <c r="JSE1618" i="1"/>
  <c r="JSD1618" i="1"/>
  <c r="JSC1618" i="1"/>
  <c r="JSB1618" i="1"/>
  <c r="JSA1618" i="1"/>
  <c r="JRZ1618" i="1"/>
  <c r="JRY1618" i="1"/>
  <c r="JRX1618" i="1"/>
  <c r="JRW1618" i="1"/>
  <c r="JRV1618" i="1"/>
  <c r="JRU1618" i="1"/>
  <c r="JRT1618" i="1"/>
  <c r="JRS1618" i="1"/>
  <c r="JRR1618" i="1"/>
  <c r="JRQ1618" i="1"/>
  <c r="JRP1618" i="1"/>
  <c r="JRO1618" i="1"/>
  <c r="JRN1618" i="1"/>
  <c r="JRM1618" i="1"/>
  <c r="JRL1618" i="1"/>
  <c r="JRK1618" i="1"/>
  <c r="JRJ1618" i="1"/>
  <c r="JRI1618" i="1"/>
  <c r="JRH1618" i="1"/>
  <c r="JRG1618" i="1"/>
  <c r="JRF1618" i="1"/>
  <c r="JRE1618" i="1"/>
  <c r="JRD1618" i="1"/>
  <c r="JRC1618" i="1"/>
  <c r="JRB1618" i="1"/>
  <c r="JRA1618" i="1"/>
  <c r="JQZ1618" i="1"/>
  <c r="JQY1618" i="1"/>
  <c r="JQX1618" i="1"/>
  <c r="JQW1618" i="1"/>
  <c r="JQV1618" i="1"/>
  <c r="JQU1618" i="1"/>
  <c r="JQT1618" i="1"/>
  <c r="JQS1618" i="1"/>
  <c r="JQR1618" i="1"/>
  <c r="JQQ1618" i="1"/>
  <c r="JQP1618" i="1"/>
  <c r="JQO1618" i="1"/>
  <c r="JQN1618" i="1"/>
  <c r="JQM1618" i="1"/>
  <c r="JQL1618" i="1"/>
  <c r="JQK1618" i="1"/>
  <c r="JQJ1618" i="1"/>
  <c r="JQI1618" i="1"/>
  <c r="JQH1618" i="1"/>
  <c r="JQG1618" i="1"/>
  <c r="JQF1618" i="1"/>
  <c r="JQE1618" i="1"/>
  <c r="JQD1618" i="1"/>
  <c r="JQC1618" i="1"/>
  <c r="JQB1618" i="1"/>
  <c r="JQA1618" i="1"/>
  <c r="JPZ1618" i="1"/>
  <c r="JPY1618" i="1"/>
  <c r="JPX1618" i="1"/>
  <c r="JPW1618" i="1"/>
  <c r="JPV1618" i="1"/>
  <c r="JPU1618" i="1"/>
  <c r="JPT1618" i="1"/>
  <c r="JPS1618" i="1"/>
  <c r="JPR1618" i="1"/>
  <c r="JPQ1618" i="1"/>
  <c r="JPP1618" i="1"/>
  <c r="JPO1618" i="1"/>
  <c r="JPN1618" i="1"/>
  <c r="JPM1618" i="1"/>
  <c r="JPL1618" i="1"/>
  <c r="JPK1618" i="1"/>
  <c r="JPJ1618" i="1"/>
  <c r="JPI1618" i="1"/>
  <c r="JPH1618" i="1"/>
  <c r="JPG1618" i="1"/>
  <c r="JPF1618" i="1"/>
  <c r="JPE1618" i="1"/>
  <c r="JPD1618" i="1"/>
  <c r="JPC1618" i="1"/>
  <c r="JPB1618" i="1"/>
  <c r="JPA1618" i="1"/>
  <c r="JOZ1618" i="1"/>
  <c r="JOY1618" i="1"/>
  <c r="JOX1618" i="1"/>
  <c r="JOW1618" i="1"/>
  <c r="JOV1618" i="1"/>
  <c r="JOU1618" i="1"/>
  <c r="JOT1618" i="1"/>
  <c r="JOS1618" i="1"/>
  <c r="JOR1618" i="1"/>
  <c r="JOQ1618" i="1"/>
  <c r="JOP1618" i="1"/>
  <c r="JOO1618" i="1"/>
  <c r="JON1618" i="1"/>
  <c r="JOM1618" i="1"/>
  <c r="JOL1618" i="1"/>
  <c r="JOK1618" i="1"/>
  <c r="JOJ1618" i="1"/>
  <c r="JOI1618" i="1"/>
  <c r="JOH1618" i="1"/>
  <c r="JOG1618" i="1"/>
  <c r="JOF1618" i="1"/>
  <c r="JOE1618" i="1"/>
  <c r="JOD1618" i="1"/>
  <c r="JOC1618" i="1"/>
  <c r="JOB1618" i="1"/>
  <c r="JOA1618" i="1"/>
  <c r="JNZ1618" i="1"/>
  <c r="JNY1618" i="1"/>
  <c r="JNX1618" i="1"/>
  <c r="JNW1618" i="1"/>
  <c r="JNV1618" i="1"/>
  <c r="JNU1618" i="1"/>
  <c r="JNT1618" i="1"/>
  <c r="JNS1618" i="1"/>
  <c r="JNR1618" i="1"/>
  <c r="JNQ1618" i="1"/>
  <c r="JNP1618" i="1"/>
  <c r="JNO1618" i="1"/>
  <c r="JNN1618" i="1"/>
  <c r="JNM1618" i="1"/>
  <c r="JNL1618" i="1"/>
  <c r="JNK1618" i="1"/>
  <c r="JNJ1618" i="1"/>
  <c r="JNI1618" i="1"/>
  <c r="JNH1618" i="1"/>
  <c r="JNG1618" i="1"/>
  <c r="JNF1618" i="1"/>
  <c r="JNE1618" i="1"/>
  <c r="JND1618" i="1"/>
  <c r="JNC1618" i="1"/>
  <c r="JNB1618" i="1"/>
  <c r="JNA1618" i="1"/>
  <c r="JMZ1618" i="1"/>
  <c r="JMY1618" i="1"/>
  <c r="JMX1618" i="1"/>
  <c r="JMW1618" i="1"/>
  <c r="JMV1618" i="1"/>
  <c r="JMU1618" i="1"/>
  <c r="JMT1618" i="1"/>
  <c r="JMS1618" i="1"/>
  <c r="JMR1618" i="1"/>
  <c r="JMQ1618" i="1"/>
  <c r="JMP1618" i="1"/>
  <c r="JMO1618" i="1"/>
  <c r="JMN1618" i="1"/>
  <c r="JMM1618" i="1"/>
  <c r="JML1618" i="1"/>
  <c r="JMK1618" i="1"/>
  <c r="JMJ1618" i="1"/>
  <c r="JMI1618" i="1"/>
  <c r="JMH1618" i="1"/>
  <c r="JMG1618" i="1"/>
  <c r="JMF1618" i="1"/>
  <c r="JME1618" i="1"/>
  <c r="JMD1618" i="1"/>
  <c r="JMC1618" i="1"/>
  <c r="JMB1618" i="1"/>
  <c r="JMA1618" i="1"/>
  <c r="JLZ1618" i="1"/>
  <c r="JLY1618" i="1"/>
  <c r="JLX1618" i="1"/>
  <c r="JLW1618" i="1"/>
  <c r="JLV1618" i="1"/>
  <c r="JLU1618" i="1"/>
  <c r="JLT1618" i="1"/>
  <c r="JLS1618" i="1"/>
  <c r="JLR1618" i="1"/>
  <c r="JLQ1618" i="1"/>
  <c r="JLP1618" i="1"/>
  <c r="JLO1618" i="1"/>
  <c r="JLN1618" i="1"/>
  <c r="JLM1618" i="1"/>
  <c r="JLL1618" i="1"/>
  <c r="JLK1618" i="1"/>
  <c r="JLJ1618" i="1"/>
  <c r="JLI1618" i="1"/>
  <c r="JLH1618" i="1"/>
  <c r="JLG1618" i="1"/>
  <c r="JLF1618" i="1"/>
  <c r="JLE1618" i="1"/>
  <c r="JLD1618" i="1"/>
  <c r="JLC1618" i="1"/>
  <c r="JLB1618" i="1"/>
  <c r="JLA1618" i="1"/>
  <c r="JKZ1618" i="1"/>
  <c r="JKY1618" i="1"/>
  <c r="JKX1618" i="1"/>
  <c r="JKW1618" i="1"/>
  <c r="JKV1618" i="1"/>
  <c r="JKU1618" i="1"/>
  <c r="JKT1618" i="1"/>
  <c r="JKS1618" i="1"/>
  <c r="JKR1618" i="1"/>
  <c r="JKQ1618" i="1"/>
  <c r="JKP1618" i="1"/>
  <c r="JKO1618" i="1"/>
  <c r="JKN1618" i="1"/>
  <c r="JKM1618" i="1"/>
  <c r="JKL1618" i="1"/>
  <c r="JKK1618" i="1"/>
  <c r="JKJ1618" i="1"/>
  <c r="JKI1618" i="1"/>
  <c r="JKH1618" i="1"/>
  <c r="JKG1618" i="1"/>
  <c r="JKF1618" i="1"/>
  <c r="JKE1618" i="1"/>
  <c r="JKD1618" i="1"/>
  <c r="JKC1618" i="1"/>
  <c r="JKB1618" i="1"/>
  <c r="JKA1618" i="1"/>
  <c r="JJZ1618" i="1"/>
  <c r="JJY1618" i="1"/>
  <c r="JJX1618" i="1"/>
  <c r="JJW1618" i="1"/>
  <c r="JJV1618" i="1"/>
  <c r="JJU1618" i="1"/>
  <c r="JJT1618" i="1"/>
  <c r="JJS1618" i="1"/>
  <c r="JJR1618" i="1"/>
  <c r="JJQ1618" i="1"/>
  <c r="JJP1618" i="1"/>
  <c r="JJO1618" i="1"/>
  <c r="JJN1618" i="1"/>
  <c r="JJM1618" i="1"/>
  <c r="JJL1618" i="1"/>
  <c r="JJK1618" i="1"/>
  <c r="JJJ1618" i="1"/>
  <c r="JJI1618" i="1"/>
  <c r="JJH1618" i="1"/>
  <c r="JJG1618" i="1"/>
  <c r="JJF1618" i="1"/>
  <c r="JJE1618" i="1"/>
  <c r="JJD1618" i="1"/>
  <c r="JJC1618" i="1"/>
  <c r="JJB1618" i="1"/>
  <c r="JJA1618" i="1"/>
  <c r="JIZ1618" i="1"/>
  <c r="JIY1618" i="1"/>
  <c r="JIX1618" i="1"/>
  <c r="JIW1618" i="1"/>
  <c r="JIV1618" i="1"/>
  <c r="JIU1618" i="1"/>
  <c r="JIT1618" i="1"/>
  <c r="JIS1618" i="1"/>
  <c r="JIR1618" i="1"/>
  <c r="JIQ1618" i="1"/>
  <c r="JIP1618" i="1"/>
  <c r="JIO1618" i="1"/>
  <c r="JIN1618" i="1"/>
  <c r="JIM1618" i="1"/>
  <c r="JIL1618" i="1"/>
  <c r="JIK1618" i="1"/>
  <c r="JIJ1618" i="1"/>
  <c r="JII1618" i="1"/>
  <c r="JIH1618" i="1"/>
  <c r="JIG1618" i="1"/>
  <c r="JIF1618" i="1"/>
  <c r="JIE1618" i="1"/>
  <c r="JID1618" i="1"/>
  <c r="JIC1618" i="1"/>
  <c r="JIB1618" i="1"/>
  <c r="JIA1618" i="1"/>
  <c r="JHZ1618" i="1"/>
  <c r="JHY1618" i="1"/>
  <c r="JHX1618" i="1"/>
  <c r="JHW1618" i="1"/>
  <c r="JHV1618" i="1"/>
  <c r="JHU1618" i="1"/>
  <c r="JHT1618" i="1"/>
  <c r="JHS1618" i="1"/>
  <c r="JHR1618" i="1"/>
  <c r="JHQ1618" i="1"/>
  <c r="JHP1618" i="1"/>
  <c r="JHO1618" i="1"/>
  <c r="JHN1618" i="1"/>
  <c r="JHM1618" i="1"/>
  <c r="JHL1618" i="1"/>
  <c r="JHK1618" i="1"/>
  <c r="JHJ1618" i="1"/>
  <c r="JHI1618" i="1"/>
  <c r="JHH1618" i="1"/>
  <c r="JHG1618" i="1"/>
  <c r="JHF1618" i="1"/>
  <c r="JHE1618" i="1"/>
  <c r="JHD1618" i="1"/>
  <c r="JHC1618" i="1"/>
  <c r="JHB1618" i="1"/>
  <c r="JHA1618" i="1"/>
  <c r="JGZ1618" i="1"/>
  <c r="JGY1618" i="1"/>
  <c r="JGX1618" i="1"/>
  <c r="JGW1618" i="1"/>
  <c r="JGV1618" i="1"/>
  <c r="JGU1618" i="1"/>
  <c r="JGT1618" i="1"/>
  <c r="JGS1618" i="1"/>
  <c r="JGR1618" i="1"/>
  <c r="JGQ1618" i="1"/>
  <c r="JGP1618" i="1"/>
  <c r="JGO1618" i="1"/>
  <c r="JGN1618" i="1"/>
  <c r="JGM1618" i="1"/>
  <c r="JGL1618" i="1"/>
  <c r="JGK1618" i="1"/>
  <c r="JGJ1618" i="1"/>
  <c r="JGI1618" i="1"/>
  <c r="JGH1618" i="1"/>
  <c r="JGG1618" i="1"/>
  <c r="JGF1618" i="1"/>
  <c r="JGE1618" i="1"/>
  <c r="JGD1618" i="1"/>
  <c r="JGC1618" i="1"/>
  <c r="JGB1618" i="1"/>
  <c r="JGA1618" i="1"/>
  <c r="JFZ1618" i="1"/>
  <c r="JFY1618" i="1"/>
  <c r="JFX1618" i="1"/>
  <c r="JFW1618" i="1"/>
  <c r="JFV1618" i="1"/>
  <c r="JFU1618" i="1"/>
  <c r="JFT1618" i="1"/>
  <c r="JFS1618" i="1"/>
  <c r="JFR1618" i="1"/>
  <c r="JFQ1618" i="1"/>
  <c r="JFP1618" i="1"/>
  <c r="JFO1618" i="1"/>
  <c r="JFN1618" i="1"/>
  <c r="JFM1618" i="1"/>
  <c r="JFL1618" i="1"/>
  <c r="JFK1618" i="1"/>
  <c r="JFJ1618" i="1"/>
  <c r="JFI1618" i="1"/>
  <c r="JFH1618" i="1"/>
  <c r="JFG1618" i="1"/>
  <c r="JFF1618" i="1"/>
  <c r="JFE1618" i="1"/>
  <c r="JFD1618" i="1"/>
  <c r="JFC1618" i="1"/>
  <c r="JFB1618" i="1"/>
  <c r="JFA1618" i="1"/>
  <c r="JEZ1618" i="1"/>
  <c r="JEY1618" i="1"/>
  <c r="JEX1618" i="1"/>
  <c r="JEW1618" i="1"/>
  <c r="JEV1618" i="1"/>
  <c r="JEU1618" i="1"/>
  <c r="JET1618" i="1"/>
  <c r="JES1618" i="1"/>
  <c r="JER1618" i="1"/>
  <c r="JEQ1618" i="1"/>
  <c r="JEP1618" i="1"/>
  <c r="JEO1618" i="1"/>
  <c r="JEN1618" i="1"/>
  <c r="JEM1618" i="1"/>
  <c r="JEL1618" i="1"/>
  <c r="JEK1618" i="1"/>
  <c r="JEJ1618" i="1"/>
  <c r="JEI1618" i="1"/>
  <c r="JEH1618" i="1"/>
  <c r="JEG1618" i="1"/>
  <c r="JEF1618" i="1"/>
  <c r="JEE1618" i="1"/>
  <c r="JED1618" i="1"/>
  <c r="JEC1618" i="1"/>
  <c r="JEB1618" i="1"/>
  <c r="JEA1618" i="1"/>
  <c r="JDZ1618" i="1"/>
  <c r="JDY1618" i="1"/>
  <c r="JDX1618" i="1"/>
  <c r="JDW1618" i="1"/>
  <c r="JDV1618" i="1"/>
  <c r="JDU1618" i="1"/>
  <c r="JDT1618" i="1"/>
  <c r="JDS1618" i="1"/>
  <c r="JDR1618" i="1"/>
  <c r="JDQ1618" i="1"/>
  <c r="JDP1618" i="1"/>
  <c r="JDO1618" i="1"/>
  <c r="JDN1618" i="1"/>
  <c r="JDM1618" i="1"/>
  <c r="JDL1618" i="1"/>
  <c r="JDK1618" i="1"/>
  <c r="JDJ1618" i="1"/>
  <c r="JDI1618" i="1"/>
  <c r="JDH1618" i="1"/>
  <c r="JDG1618" i="1"/>
  <c r="JDF1618" i="1"/>
  <c r="JDE1618" i="1"/>
  <c r="JDD1618" i="1"/>
  <c r="JDC1618" i="1"/>
  <c r="JDB1618" i="1"/>
  <c r="JDA1618" i="1"/>
  <c r="JCZ1618" i="1"/>
  <c r="JCY1618" i="1"/>
  <c r="JCX1618" i="1"/>
  <c r="JCW1618" i="1"/>
  <c r="JCV1618" i="1"/>
  <c r="JCU1618" i="1"/>
  <c r="JCT1618" i="1"/>
  <c r="JCS1618" i="1"/>
  <c r="JCR1618" i="1"/>
  <c r="JCQ1618" i="1"/>
  <c r="JCP1618" i="1"/>
  <c r="JCO1618" i="1"/>
  <c r="JCN1618" i="1"/>
  <c r="JCM1618" i="1"/>
  <c r="JCL1618" i="1"/>
  <c r="JCK1618" i="1"/>
  <c r="JCJ1618" i="1"/>
  <c r="JCI1618" i="1"/>
  <c r="JCH1618" i="1"/>
  <c r="JCG1618" i="1"/>
  <c r="JCF1618" i="1"/>
  <c r="JCE1618" i="1"/>
  <c r="JCD1618" i="1"/>
  <c r="JCC1618" i="1"/>
  <c r="JCB1618" i="1"/>
  <c r="JCA1618" i="1"/>
  <c r="JBZ1618" i="1"/>
  <c r="JBY1618" i="1"/>
  <c r="JBX1618" i="1"/>
  <c r="JBW1618" i="1"/>
  <c r="JBV1618" i="1"/>
  <c r="JBU1618" i="1"/>
  <c r="JBT1618" i="1"/>
  <c r="JBS1618" i="1"/>
  <c r="JBR1618" i="1"/>
  <c r="JBQ1618" i="1"/>
  <c r="JBP1618" i="1"/>
  <c r="JBO1618" i="1"/>
  <c r="JBN1618" i="1"/>
  <c r="JBM1618" i="1"/>
  <c r="JBL1618" i="1"/>
  <c r="JBK1618" i="1"/>
  <c r="JBJ1618" i="1"/>
  <c r="JBI1618" i="1"/>
  <c r="JBH1618" i="1"/>
  <c r="JBG1618" i="1"/>
  <c r="JBF1618" i="1"/>
  <c r="JBE1618" i="1"/>
  <c r="JBD1618" i="1"/>
  <c r="JBC1618" i="1"/>
  <c r="JBB1618" i="1"/>
  <c r="JBA1618" i="1"/>
  <c r="JAZ1618" i="1"/>
  <c r="JAY1618" i="1"/>
  <c r="JAX1618" i="1"/>
  <c r="JAW1618" i="1"/>
  <c r="JAV1618" i="1"/>
  <c r="JAU1618" i="1"/>
  <c r="JAT1618" i="1"/>
  <c r="JAS1618" i="1"/>
  <c r="JAR1618" i="1"/>
  <c r="JAQ1618" i="1"/>
  <c r="JAP1618" i="1"/>
  <c r="JAO1618" i="1"/>
  <c r="JAN1618" i="1"/>
  <c r="JAM1618" i="1"/>
  <c r="JAL1618" i="1"/>
  <c r="JAK1618" i="1"/>
  <c r="JAJ1618" i="1"/>
  <c r="JAI1618" i="1"/>
  <c r="JAH1618" i="1"/>
  <c r="JAG1618" i="1"/>
  <c r="JAF1618" i="1"/>
  <c r="JAE1618" i="1"/>
  <c r="JAD1618" i="1"/>
  <c r="JAC1618" i="1"/>
  <c r="JAB1618" i="1"/>
  <c r="JAA1618" i="1"/>
  <c r="IZZ1618" i="1"/>
  <c r="IZY1618" i="1"/>
  <c r="IZX1618" i="1"/>
  <c r="IZW1618" i="1"/>
  <c r="IZV1618" i="1"/>
  <c r="IZU1618" i="1"/>
  <c r="IZT1618" i="1"/>
  <c r="IZS1618" i="1"/>
  <c r="IZR1618" i="1"/>
  <c r="IZQ1618" i="1"/>
  <c r="IZP1618" i="1"/>
  <c r="IZO1618" i="1"/>
  <c r="IZN1618" i="1"/>
  <c r="IZM1618" i="1"/>
  <c r="IZL1618" i="1"/>
  <c r="IZK1618" i="1"/>
  <c r="IZJ1618" i="1"/>
  <c r="IZI1618" i="1"/>
  <c r="IZH1618" i="1"/>
  <c r="IZG1618" i="1"/>
  <c r="IZF1618" i="1"/>
  <c r="IZE1618" i="1"/>
  <c r="IZD1618" i="1"/>
  <c r="IZC1618" i="1"/>
  <c r="IZB1618" i="1"/>
  <c r="IZA1618" i="1"/>
  <c r="IYZ1618" i="1"/>
  <c r="IYY1618" i="1"/>
  <c r="IYX1618" i="1"/>
  <c r="IYW1618" i="1"/>
  <c r="IYV1618" i="1"/>
  <c r="IYU1618" i="1"/>
  <c r="IYT1618" i="1"/>
  <c r="IYS1618" i="1"/>
  <c r="IYR1618" i="1"/>
  <c r="IYQ1618" i="1"/>
  <c r="IYP1618" i="1"/>
  <c r="IYO1618" i="1"/>
  <c r="IYN1618" i="1"/>
  <c r="IYM1618" i="1"/>
  <c r="IYL1618" i="1"/>
  <c r="IYK1618" i="1"/>
  <c r="IYJ1618" i="1"/>
  <c r="IYI1618" i="1"/>
  <c r="IYH1618" i="1"/>
  <c r="IYG1618" i="1"/>
  <c r="IYF1618" i="1"/>
  <c r="IYE1618" i="1"/>
  <c r="IYD1618" i="1"/>
  <c r="IYC1618" i="1"/>
  <c r="IYB1618" i="1"/>
  <c r="IYA1618" i="1"/>
  <c r="IXZ1618" i="1"/>
  <c r="IXY1618" i="1"/>
  <c r="IXX1618" i="1"/>
  <c r="IXW1618" i="1"/>
  <c r="IXV1618" i="1"/>
  <c r="IXU1618" i="1"/>
  <c r="IXT1618" i="1"/>
  <c r="IXS1618" i="1"/>
  <c r="IXR1618" i="1"/>
  <c r="IXQ1618" i="1"/>
  <c r="IXP1618" i="1"/>
  <c r="IXO1618" i="1"/>
  <c r="IXN1618" i="1"/>
  <c r="IXM1618" i="1"/>
  <c r="IXL1618" i="1"/>
  <c r="IXK1618" i="1"/>
  <c r="IXJ1618" i="1"/>
  <c r="IXI1618" i="1"/>
  <c r="IXH1618" i="1"/>
  <c r="IXG1618" i="1"/>
  <c r="IXF1618" i="1"/>
  <c r="IXE1618" i="1"/>
  <c r="IXD1618" i="1"/>
  <c r="IXC1618" i="1"/>
  <c r="IXB1618" i="1"/>
  <c r="IXA1618" i="1"/>
  <c r="IWZ1618" i="1"/>
  <c r="IWY1618" i="1"/>
  <c r="IWX1618" i="1"/>
  <c r="IWW1618" i="1"/>
  <c r="IWV1618" i="1"/>
  <c r="IWU1618" i="1"/>
  <c r="IWT1618" i="1"/>
  <c r="IWS1618" i="1"/>
  <c r="IWR1618" i="1"/>
  <c r="IWQ1618" i="1"/>
  <c r="IWP1618" i="1"/>
  <c r="IWO1618" i="1"/>
  <c r="IWN1618" i="1"/>
  <c r="IWM1618" i="1"/>
  <c r="IWL1618" i="1"/>
  <c r="IWK1618" i="1"/>
  <c r="IWJ1618" i="1"/>
  <c r="IWI1618" i="1"/>
  <c r="IWH1618" i="1"/>
  <c r="IWG1618" i="1"/>
  <c r="IWF1618" i="1"/>
  <c r="IWE1618" i="1"/>
  <c r="IWD1618" i="1"/>
  <c r="IWC1618" i="1"/>
  <c r="IWB1618" i="1"/>
  <c r="IWA1618" i="1"/>
  <c r="IVZ1618" i="1"/>
  <c r="IVY1618" i="1"/>
  <c r="IVX1618" i="1"/>
  <c r="IVW1618" i="1"/>
  <c r="IVV1618" i="1"/>
  <c r="IVU1618" i="1"/>
  <c r="IVT1618" i="1"/>
  <c r="IVS1618" i="1"/>
  <c r="IVR1618" i="1"/>
  <c r="IVQ1618" i="1"/>
  <c r="IVP1618" i="1"/>
  <c r="IVO1618" i="1"/>
  <c r="IVN1618" i="1"/>
  <c r="IVM1618" i="1"/>
  <c r="IVL1618" i="1"/>
  <c r="IVK1618" i="1"/>
  <c r="IVJ1618" i="1"/>
  <c r="IVI1618" i="1"/>
  <c r="IVH1618" i="1"/>
  <c r="IVG1618" i="1"/>
  <c r="IVF1618" i="1"/>
  <c r="IVE1618" i="1"/>
  <c r="IVD1618" i="1"/>
  <c r="IVC1618" i="1"/>
  <c r="IVB1618" i="1"/>
  <c r="IVA1618" i="1"/>
  <c r="IUZ1618" i="1"/>
  <c r="IUY1618" i="1"/>
  <c r="IUX1618" i="1"/>
  <c r="IUW1618" i="1"/>
  <c r="IUV1618" i="1"/>
  <c r="IUU1618" i="1"/>
  <c r="IUT1618" i="1"/>
  <c r="IUS1618" i="1"/>
  <c r="IUR1618" i="1"/>
  <c r="IUQ1618" i="1"/>
  <c r="IUP1618" i="1"/>
  <c r="IUO1618" i="1"/>
  <c r="IUN1618" i="1"/>
  <c r="IUM1618" i="1"/>
  <c r="IUL1618" i="1"/>
  <c r="IUK1618" i="1"/>
  <c r="IUJ1618" i="1"/>
  <c r="IUI1618" i="1"/>
  <c r="IUH1618" i="1"/>
  <c r="IUG1618" i="1"/>
  <c r="IUF1618" i="1"/>
  <c r="IUE1618" i="1"/>
  <c r="IUD1618" i="1"/>
  <c r="IUC1618" i="1"/>
  <c r="IUB1618" i="1"/>
  <c r="IUA1618" i="1"/>
  <c r="ITZ1618" i="1"/>
  <c r="ITY1618" i="1"/>
  <c r="ITX1618" i="1"/>
  <c r="ITW1618" i="1"/>
  <c r="ITV1618" i="1"/>
  <c r="ITU1618" i="1"/>
  <c r="ITT1618" i="1"/>
  <c r="ITS1618" i="1"/>
  <c r="ITR1618" i="1"/>
  <c r="ITQ1618" i="1"/>
  <c r="ITP1618" i="1"/>
  <c r="ITO1618" i="1"/>
  <c r="ITN1618" i="1"/>
  <c r="ITM1618" i="1"/>
  <c r="ITL1618" i="1"/>
  <c r="ITK1618" i="1"/>
  <c r="ITJ1618" i="1"/>
  <c r="ITI1618" i="1"/>
  <c r="ITH1618" i="1"/>
  <c r="ITG1618" i="1"/>
  <c r="ITF1618" i="1"/>
  <c r="ITE1618" i="1"/>
  <c r="ITD1618" i="1"/>
  <c r="ITC1618" i="1"/>
  <c r="ITB1618" i="1"/>
  <c r="ITA1618" i="1"/>
  <c r="ISZ1618" i="1"/>
  <c r="ISY1618" i="1"/>
  <c r="ISX1618" i="1"/>
  <c r="ISW1618" i="1"/>
  <c r="ISV1618" i="1"/>
  <c r="ISU1618" i="1"/>
  <c r="IST1618" i="1"/>
  <c r="ISS1618" i="1"/>
  <c r="ISR1618" i="1"/>
  <c r="ISQ1618" i="1"/>
  <c r="ISP1618" i="1"/>
  <c r="ISO1618" i="1"/>
  <c r="ISN1618" i="1"/>
  <c r="ISM1618" i="1"/>
  <c r="ISL1618" i="1"/>
  <c r="ISK1618" i="1"/>
  <c r="ISJ1618" i="1"/>
  <c r="ISI1618" i="1"/>
  <c r="ISH1618" i="1"/>
  <c r="ISG1618" i="1"/>
  <c r="ISF1618" i="1"/>
  <c r="ISE1618" i="1"/>
  <c r="ISD1618" i="1"/>
  <c r="ISC1618" i="1"/>
  <c r="ISB1618" i="1"/>
  <c r="ISA1618" i="1"/>
  <c r="IRZ1618" i="1"/>
  <c r="IRY1618" i="1"/>
  <c r="IRX1618" i="1"/>
  <c r="IRW1618" i="1"/>
  <c r="IRV1618" i="1"/>
  <c r="IRU1618" i="1"/>
  <c r="IRT1618" i="1"/>
  <c r="IRS1618" i="1"/>
  <c r="IRR1618" i="1"/>
  <c r="IRQ1618" i="1"/>
  <c r="IRP1618" i="1"/>
  <c r="IRO1618" i="1"/>
  <c r="IRN1618" i="1"/>
  <c r="IRM1618" i="1"/>
  <c r="IRL1618" i="1"/>
  <c r="IRK1618" i="1"/>
  <c r="IRJ1618" i="1"/>
  <c r="IRI1618" i="1"/>
  <c r="IRH1618" i="1"/>
  <c r="IRG1618" i="1"/>
  <c r="IRF1618" i="1"/>
  <c r="IRE1618" i="1"/>
  <c r="IRD1618" i="1"/>
  <c r="IRC1618" i="1"/>
  <c r="IRB1618" i="1"/>
  <c r="IRA1618" i="1"/>
  <c r="IQZ1618" i="1"/>
  <c r="IQY1618" i="1"/>
  <c r="IQX1618" i="1"/>
  <c r="IQW1618" i="1"/>
  <c r="IQV1618" i="1"/>
  <c r="IQU1618" i="1"/>
  <c r="IQT1618" i="1"/>
  <c r="IQS1618" i="1"/>
  <c r="IQR1618" i="1"/>
  <c r="IQQ1618" i="1"/>
  <c r="IQP1618" i="1"/>
  <c r="IQO1618" i="1"/>
  <c r="IQN1618" i="1"/>
  <c r="IQM1618" i="1"/>
  <c r="IQL1618" i="1"/>
  <c r="IQK1618" i="1"/>
  <c r="IQJ1618" i="1"/>
  <c r="IQI1618" i="1"/>
  <c r="IQH1618" i="1"/>
  <c r="IQG1618" i="1"/>
  <c r="IQF1618" i="1"/>
  <c r="IQE1618" i="1"/>
  <c r="IQD1618" i="1"/>
  <c r="IQC1618" i="1"/>
  <c r="IQB1618" i="1"/>
  <c r="IQA1618" i="1"/>
  <c r="IPZ1618" i="1"/>
  <c r="IPY1618" i="1"/>
  <c r="IPX1618" i="1"/>
  <c r="IPW1618" i="1"/>
  <c r="IPV1618" i="1"/>
  <c r="IPU1618" i="1"/>
  <c r="IPT1618" i="1"/>
  <c r="IPS1618" i="1"/>
  <c r="IPR1618" i="1"/>
  <c r="IPQ1618" i="1"/>
  <c r="IPP1618" i="1"/>
  <c r="IPO1618" i="1"/>
  <c r="IPN1618" i="1"/>
  <c r="IPM1618" i="1"/>
  <c r="IPL1618" i="1"/>
  <c r="IPK1618" i="1"/>
  <c r="IPJ1618" i="1"/>
  <c r="IPI1618" i="1"/>
  <c r="IPH1618" i="1"/>
  <c r="IPG1618" i="1"/>
  <c r="IPF1618" i="1"/>
  <c r="IPE1618" i="1"/>
  <c r="IPD1618" i="1"/>
  <c r="IPC1618" i="1"/>
  <c r="IPB1618" i="1"/>
  <c r="IPA1618" i="1"/>
  <c r="IOZ1618" i="1"/>
  <c r="IOY1618" i="1"/>
  <c r="IOX1618" i="1"/>
  <c r="IOW1618" i="1"/>
  <c r="IOV1618" i="1"/>
  <c r="IOU1618" i="1"/>
  <c r="IOT1618" i="1"/>
  <c r="IOS1618" i="1"/>
  <c r="IOR1618" i="1"/>
  <c r="IOQ1618" i="1"/>
  <c r="IOP1618" i="1"/>
  <c r="IOO1618" i="1"/>
  <c r="ION1618" i="1"/>
  <c r="IOM1618" i="1"/>
  <c r="IOL1618" i="1"/>
  <c r="IOK1618" i="1"/>
  <c r="IOJ1618" i="1"/>
  <c r="IOI1618" i="1"/>
  <c r="IOH1618" i="1"/>
  <c r="IOG1618" i="1"/>
  <c r="IOF1618" i="1"/>
  <c r="IOE1618" i="1"/>
  <c r="IOD1618" i="1"/>
  <c r="IOC1618" i="1"/>
  <c r="IOB1618" i="1"/>
  <c r="IOA1618" i="1"/>
  <c r="INZ1618" i="1"/>
  <c r="INY1618" i="1"/>
  <c r="INX1618" i="1"/>
  <c r="INW1618" i="1"/>
  <c r="INV1618" i="1"/>
  <c r="INU1618" i="1"/>
  <c r="INT1618" i="1"/>
  <c r="INS1618" i="1"/>
  <c r="INR1618" i="1"/>
  <c r="INQ1618" i="1"/>
  <c r="INP1618" i="1"/>
  <c r="INO1618" i="1"/>
  <c r="INN1618" i="1"/>
  <c r="INM1618" i="1"/>
  <c r="INL1618" i="1"/>
  <c r="INK1618" i="1"/>
  <c r="INJ1618" i="1"/>
  <c r="INI1618" i="1"/>
  <c r="INH1618" i="1"/>
  <c r="ING1618" i="1"/>
  <c r="INF1618" i="1"/>
  <c r="INE1618" i="1"/>
  <c r="IND1618" i="1"/>
  <c r="INC1618" i="1"/>
  <c r="INB1618" i="1"/>
  <c r="INA1618" i="1"/>
  <c r="IMZ1618" i="1"/>
  <c r="IMY1618" i="1"/>
  <c r="IMX1618" i="1"/>
  <c r="IMW1618" i="1"/>
  <c r="IMV1618" i="1"/>
  <c r="IMU1618" i="1"/>
  <c r="IMT1618" i="1"/>
  <c r="IMS1618" i="1"/>
  <c r="IMR1618" i="1"/>
  <c r="IMQ1618" i="1"/>
  <c r="IMP1618" i="1"/>
  <c r="IMO1618" i="1"/>
  <c r="IMN1618" i="1"/>
  <c r="IMM1618" i="1"/>
  <c r="IML1618" i="1"/>
  <c r="IMK1618" i="1"/>
  <c r="IMJ1618" i="1"/>
  <c r="IMI1618" i="1"/>
  <c r="IMH1618" i="1"/>
  <c r="IMG1618" i="1"/>
  <c r="IMF1618" i="1"/>
  <c r="IME1618" i="1"/>
  <c r="IMD1618" i="1"/>
  <c r="IMC1618" i="1"/>
  <c r="IMB1618" i="1"/>
  <c r="IMA1618" i="1"/>
  <c r="ILZ1618" i="1"/>
  <c r="ILY1618" i="1"/>
  <c r="ILX1618" i="1"/>
  <c r="ILW1618" i="1"/>
  <c r="ILV1618" i="1"/>
  <c r="ILU1618" i="1"/>
  <c r="ILT1618" i="1"/>
  <c r="ILS1618" i="1"/>
  <c r="ILR1618" i="1"/>
  <c r="ILQ1618" i="1"/>
  <c r="ILP1618" i="1"/>
  <c r="ILO1618" i="1"/>
  <c r="ILN1618" i="1"/>
  <c r="ILM1618" i="1"/>
  <c r="ILL1618" i="1"/>
  <c r="ILK1618" i="1"/>
  <c r="ILJ1618" i="1"/>
  <c r="ILI1618" i="1"/>
  <c r="ILH1618" i="1"/>
  <c r="ILG1618" i="1"/>
  <c r="ILF1618" i="1"/>
  <c r="ILE1618" i="1"/>
  <c r="ILD1618" i="1"/>
  <c r="ILC1618" i="1"/>
  <c r="ILB1618" i="1"/>
  <c r="ILA1618" i="1"/>
  <c r="IKZ1618" i="1"/>
  <c r="IKY1618" i="1"/>
  <c r="IKX1618" i="1"/>
  <c r="IKW1618" i="1"/>
  <c r="IKV1618" i="1"/>
  <c r="IKU1618" i="1"/>
  <c r="IKT1618" i="1"/>
  <c r="IKS1618" i="1"/>
  <c r="IKR1618" i="1"/>
  <c r="IKQ1618" i="1"/>
  <c r="IKP1618" i="1"/>
  <c r="IKO1618" i="1"/>
  <c r="IKN1618" i="1"/>
  <c r="IKM1618" i="1"/>
  <c r="IKL1618" i="1"/>
  <c r="IKK1618" i="1"/>
  <c r="IKJ1618" i="1"/>
  <c r="IKI1618" i="1"/>
  <c r="IKH1618" i="1"/>
  <c r="IKG1618" i="1"/>
  <c r="IKF1618" i="1"/>
  <c r="IKE1618" i="1"/>
  <c r="IKD1618" i="1"/>
  <c r="IKC1618" i="1"/>
  <c r="IKB1618" i="1"/>
  <c r="IKA1618" i="1"/>
  <c r="IJZ1618" i="1"/>
  <c r="IJY1618" i="1"/>
  <c r="IJX1618" i="1"/>
  <c r="IJW1618" i="1"/>
  <c r="IJV1618" i="1"/>
  <c r="IJU1618" i="1"/>
  <c r="IJT1618" i="1"/>
  <c r="IJS1618" i="1"/>
  <c r="IJR1618" i="1"/>
  <c r="IJQ1618" i="1"/>
  <c r="IJP1618" i="1"/>
  <c r="IJO1618" i="1"/>
  <c r="IJN1618" i="1"/>
  <c r="IJM1618" i="1"/>
  <c r="IJL1618" i="1"/>
  <c r="IJK1618" i="1"/>
  <c r="IJJ1618" i="1"/>
  <c r="IJI1618" i="1"/>
  <c r="IJH1618" i="1"/>
  <c r="IJG1618" i="1"/>
  <c r="IJF1618" i="1"/>
  <c r="IJE1618" i="1"/>
  <c r="IJD1618" i="1"/>
  <c r="IJC1618" i="1"/>
  <c r="IJB1618" i="1"/>
  <c r="IJA1618" i="1"/>
  <c r="IIZ1618" i="1"/>
  <c r="IIY1618" i="1"/>
  <c r="IIX1618" i="1"/>
  <c r="IIW1618" i="1"/>
  <c r="IIV1618" i="1"/>
  <c r="IIU1618" i="1"/>
  <c r="IIT1618" i="1"/>
  <c r="IIS1618" i="1"/>
  <c r="IIR1618" i="1"/>
  <c r="IIQ1618" i="1"/>
  <c r="IIP1618" i="1"/>
  <c r="IIO1618" i="1"/>
  <c r="IIN1618" i="1"/>
  <c r="IIM1618" i="1"/>
  <c r="IIL1618" i="1"/>
  <c r="IIK1618" i="1"/>
  <c r="IIJ1618" i="1"/>
  <c r="III1618" i="1"/>
  <c r="IIH1618" i="1"/>
  <c r="IIG1618" i="1"/>
  <c r="IIF1618" i="1"/>
  <c r="IIE1618" i="1"/>
  <c r="IID1618" i="1"/>
  <c r="IIC1618" i="1"/>
  <c r="IIB1618" i="1"/>
  <c r="IIA1618" i="1"/>
  <c r="IHZ1618" i="1"/>
  <c r="IHY1618" i="1"/>
  <c r="IHX1618" i="1"/>
  <c r="IHW1618" i="1"/>
  <c r="IHV1618" i="1"/>
  <c r="IHU1618" i="1"/>
  <c r="IHT1618" i="1"/>
  <c r="IHS1618" i="1"/>
  <c r="IHR1618" i="1"/>
  <c r="IHQ1618" i="1"/>
  <c r="IHP1618" i="1"/>
  <c r="IHO1618" i="1"/>
  <c r="IHN1618" i="1"/>
  <c r="IHM1618" i="1"/>
  <c r="IHL1618" i="1"/>
  <c r="IHK1618" i="1"/>
  <c r="IHJ1618" i="1"/>
  <c r="IHI1618" i="1"/>
  <c r="IHH1618" i="1"/>
  <c r="IHG1618" i="1"/>
  <c r="IHF1618" i="1"/>
  <c r="IHE1618" i="1"/>
  <c r="IHD1618" i="1"/>
  <c r="IHC1618" i="1"/>
  <c r="IHB1618" i="1"/>
  <c r="IHA1618" i="1"/>
  <c r="IGZ1618" i="1"/>
  <c r="IGY1618" i="1"/>
  <c r="IGX1618" i="1"/>
  <c r="IGW1618" i="1"/>
  <c r="IGV1618" i="1"/>
  <c r="IGU1618" i="1"/>
  <c r="IGT1618" i="1"/>
  <c r="IGS1618" i="1"/>
  <c r="IGR1618" i="1"/>
  <c r="IGQ1618" i="1"/>
  <c r="IGP1618" i="1"/>
  <c r="IGO1618" i="1"/>
  <c r="IGN1618" i="1"/>
  <c r="IGM1618" i="1"/>
  <c r="IGL1618" i="1"/>
  <c r="IGK1618" i="1"/>
  <c r="IGJ1618" i="1"/>
  <c r="IGI1618" i="1"/>
  <c r="IGH1618" i="1"/>
  <c r="IGG1618" i="1"/>
  <c r="IGF1618" i="1"/>
  <c r="IGE1618" i="1"/>
  <c r="IGD1618" i="1"/>
  <c r="IGC1618" i="1"/>
  <c r="IGB1618" i="1"/>
  <c r="IGA1618" i="1"/>
  <c r="IFZ1618" i="1"/>
  <c r="IFY1618" i="1"/>
  <c r="IFX1618" i="1"/>
  <c r="IFW1618" i="1"/>
  <c r="IFV1618" i="1"/>
  <c r="IFU1618" i="1"/>
  <c r="IFT1618" i="1"/>
  <c r="IFS1618" i="1"/>
  <c r="IFR1618" i="1"/>
  <c r="IFQ1618" i="1"/>
  <c r="IFP1618" i="1"/>
  <c r="IFO1618" i="1"/>
  <c r="IFN1618" i="1"/>
  <c r="IFM1618" i="1"/>
  <c r="IFL1618" i="1"/>
  <c r="IFK1618" i="1"/>
  <c r="IFJ1618" i="1"/>
  <c r="IFI1618" i="1"/>
  <c r="IFH1618" i="1"/>
  <c r="IFG1618" i="1"/>
  <c r="IFF1618" i="1"/>
  <c r="IFE1618" i="1"/>
  <c r="IFD1618" i="1"/>
  <c r="IFC1618" i="1"/>
  <c r="IFB1618" i="1"/>
  <c r="IFA1618" i="1"/>
  <c r="IEZ1618" i="1"/>
  <c r="IEY1618" i="1"/>
  <c r="IEX1618" i="1"/>
  <c r="IEW1618" i="1"/>
  <c r="IEV1618" i="1"/>
  <c r="IEU1618" i="1"/>
  <c r="IET1618" i="1"/>
  <c r="IES1618" i="1"/>
  <c r="IER1618" i="1"/>
  <c r="IEQ1618" i="1"/>
  <c r="IEP1618" i="1"/>
  <c r="IEO1618" i="1"/>
  <c r="IEN1618" i="1"/>
  <c r="IEM1618" i="1"/>
  <c r="IEL1618" i="1"/>
  <c r="IEK1618" i="1"/>
  <c r="IEJ1618" i="1"/>
  <c r="IEI1618" i="1"/>
  <c r="IEH1618" i="1"/>
  <c r="IEG1618" i="1"/>
  <c r="IEF1618" i="1"/>
  <c r="IEE1618" i="1"/>
  <c r="IED1618" i="1"/>
  <c r="IEC1618" i="1"/>
  <c r="IEB1618" i="1"/>
  <c r="IEA1618" i="1"/>
  <c r="IDZ1618" i="1"/>
  <c r="IDY1618" i="1"/>
  <c r="IDX1618" i="1"/>
  <c r="IDW1618" i="1"/>
  <c r="IDV1618" i="1"/>
  <c r="IDU1618" i="1"/>
  <c r="IDT1618" i="1"/>
  <c r="IDS1618" i="1"/>
  <c r="IDR1618" i="1"/>
  <c r="IDQ1618" i="1"/>
  <c r="IDP1618" i="1"/>
  <c r="IDO1618" i="1"/>
  <c r="IDN1618" i="1"/>
  <c r="IDM1618" i="1"/>
  <c r="IDL1618" i="1"/>
  <c r="IDK1618" i="1"/>
  <c r="IDJ1618" i="1"/>
  <c r="IDI1618" i="1"/>
  <c r="IDH1618" i="1"/>
  <c r="IDG1618" i="1"/>
  <c r="IDF1618" i="1"/>
  <c r="IDE1618" i="1"/>
  <c r="IDD1618" i="1"/>
  <c r="IDC1618" i="1"/>
  <c r="IDB1618" i="1"/>
  <c r="IDA1618" i="1"/>
  <c r="ICZ1618" i="1"/>
  <c r="ICY1618" i="1"/>
  <c r="ICX1618" i="1"/>
  <c r="ICW1618" i="1"/>
  <c r="ICV1618" i="1"/>
  <c r="ICU1618" i="1"/>
  <c r="ICT1618" i="1"/>
  <c r="ICS1618" i="1"/>
  <c r="ICR1618" i="1"/>
  <c r="ICQ1618" i="1"/>
  <c r="ICP1618" i="1"/>
  <c r="ICO1618" i="1"/>
  <c r="ICN1618" i="1"/>
  <c r="ICM1618" i="1"/>
  <c r="ICL1618" i="1"/>
  <c r="ICK1618" i="1"/>
  <c r="ICJ1618" i="1"/>
  <c r="ICI1618" i="1"/>
  <c r="ICH1618" i="1"/>
  <c r="ICG1618" i="1"/>
  <c r="ICF1618" i="1"/>
  <c r="ICE1618" i="1"/>
  <c r="ICD1618" i="1"/>
  <c r="ICC1618" i="1"/>
  <c r="ICB1618" i="1"/>
  <c r="ICA1618" i="1"/>
  <c r="IBZ1618" i="1"/>
  <c r="IBY1618" i="1"/>
  <c r="IBX1618" i="1"/>
  <c r="IBW1618" i="1"/>
  <c r="IBV1618" i="1"/>
  <c r="IBU1618" i="1"/>
  <c r="IBT1618" i="1"/>
  <c r="IBS1618" i="1"/>
  <c r="IBR1618" i="1"/>
  <c r="IBQ1618" i="1"/>
  <c r="IBP1618" i="1"/>
  <c r="IBO1618" i="1"/>
  <c r="IBN1618" i="1"/>
  <c r="IBM1618" i="1"/>
  <c r="IBL1618" i="1"/>
  <c r="IBK1618" i="1"/>
  <c r="IBJ1618" i="1"/>
  <c r="IBI1618" i="1"/>
  <c r="IBH1618" i="1"/>
  <c r="IBG1618" i="1"/>
  <c r="IBF1618" i="1"/>
  <c r="IBE1618" i="1"/>
  <c r="IBD1618" i="1"/>
  <c r="IBC1618" i="1"/>
  <c r="IBB1618" i="1"/>
  <c r="IBA1618" i="1"/>
  <c r="IAZ1618" i="1"/>
  <c r="IAY1618" i="1"/>
  <c r="IAX1618" i="1"/>
  <c r="IAW1618" i="1"/>
  <c r="IAV1618" i="1"/>
  <c r="IAU1618" i="1"/>
  <c r="IAT1618" i="1"/>
  <c r="IAS1618" i="1"/>
  <c r="IAR1618" i="1"/>
  <c r="IAQ1618" i="1"/>
  <c r="IAP1618" i="1"/>
  <c r="IAO1618" i="1"/>
  <c r="IAN1618" i="1"/>
  <c r="IAM1618" i="1"/>
  <c r="IAL1618" i="1"/>
  <c r="IAK1618" i="1"/>
  <c r="IAJ1618" i="1"/>
  <c r="IAI1618" i="1"/>
  <c r="IAH1618" i="1"/>
  <c r="IAG1618" i="1"/>
  <c r="IAF1618" i="1"/>
  <c r="IAE1618" i="1"/>
  <c r="IAD1618" i="1"/>
  <c r="IAC1618" i="1"/>
  <c r="IAB1618" i="1"/>
  <c r="IAA1618" i="1"/>
  <c r="HZZ1618" i="1"/>
  <c r="HZY1618" i="1"/>
  <c r="HZX1618" i="1"/>
  <c r="HZW1618" i="1"/>
  <c r="HZV1618" i="1"/>
  <c r="HZU1618" i="1"/>
  <c r="HZT1618" i="1"/>
  <c r="HZS1618" i="1"/>
  <c r="HZR1618" i="1"/>
  <c r="HZQ1618" i="1"/>
  <c r="HZP1618" i="1"/>
  <c r="HZO1618" i="1"/>
  <c r="HZN1618" i="1"/>
  <c r="HZM1618" i="1"/>
  <c r="HZL1618" i="1"/>
  <c r="HZK1618" i="1"/>
  <c r="HZJ1618" i="1"/>
  <c r="HZI1618" i="1"/>
  <c r="HZH1618" i="1"/>
  <c r="HZG1618" i="1"/>
  <c r="HZF1618" i="1"/>
  <c r="HZE1618" i="1"/>
  <c r="HZD1618" i="1"/>
  <c r="HZC1618" i="1"/>
  <c r="HZB1618" i="1"/>
  <c r="HZA1618" i="1"/>
  <c r="HYZ1618" i="1"/>
  <c r="HYY1618" i="1"/>
  <c r="HYX1618" i="1"/>
  <c r="HYW1618" i="1"/>
  <c r="HYV1618" i="1"/>
  <c r="HYU1618" i="1"/>
  <c r="HYT1618" i="1"/>
  <c r="HYS1618" i="1"/>
  <c r="HYR1618" i="1"/>
  <c r="HYQ1618" i="1"/>
  <c r="HYP1618" i="1"/>
  <c r="HYO1618" i="1"/>
  <c r="HYN1618" i="1"/>
  <c r="HYM1618" i="1"/>
  <c r="HYL1618" i="1"/>
  <c r="HYK1618" i="1"/>
  <c r="HYJ1618" i="1"/>
  <c r="HYI1618" i="1"/>
  <c r="HYH1618" i="1"/>
  <c r="HYG1618" i="1"/>
  <c r="HYF1618" i="1"/>
  <c r="HYE1618" i="1"/>
  <c r="HYD1618" i="1"/>
  <c r="HYC1618" i="1"/>
  <c r="HYB1618" i="1"/>
  <c r="HYA1618" i="1"/>
  <c r="HXZ1618" i="1"/>
  <c r="HXY1618" i="1"/>
  <c r="HXX1618" i="1"/>
  <c r="HXW1618" i="1"/>
  <c r="HXV1618" i="1"/>
  <c r="HXU1618" i="1"/>
  <c r="HXT1618" i="1"/>
  <c r="HXS1618" i="1"/>
  <c r="HXR1618" i="1"/>
  <c r="HXQ1618" i="1"/>
  <c r="HXP1618" i="1"/>
  <c r="HXO1618" i="1"/>
  <c r="HXN1618" i="1"/>
  <c r="HXM1618" i="1"/>
  <c r="HXL1618" i="1"/>
  <c r="HXK1618" i="1"/>
  <c r="HXJ1618" i="1"/>
  <c r="HXI1618" i="1"/>
  <c r="HXH1618" i="1"/>
  <c r="HXG1618" i="1"/>
  <c r="HXF1618" i="1"/>
  <c r="HXE1618" i="1"/>
  <c r="HXD1618" i="1"/>
  <c r="HXC1618" i="1"/>
  <c r="HXB1618" i="1"/>
  <c r="HXA1618" i="1"/>
  <c r="HWZ1618" i="1"/>
  <c r="HWY1618" i="1"/>
  <c r="HWX1618" i="1"/>
  <c r="HWW1618" i="1"/>
  <c r="HWV1618" i="1"/>
  <c r="HWU1618" i="1"/>
  <c r="HWT1618" i="1"/>
  <c r="HWS1618" i="1"/>
  <c r="HWR1618" i="1"/>
  <c r="HWQ1618" i="1"/>
  <c r="HWP1618" i="1"/>
  <c r="HWO1618" i="1"/>
  <c r="HWN1618" i="1"/>
  <c r="HWM1618" i="1"/>
  <c r="HWL1618" i="1"/>
  <c r="HWK1618" i="1"/>
  <c r="HWJ1618" i="1"/>
  <c r="HWI1618" i="1"/>
  <c r="HWH1618" i="1"/>
  <c r="HWG1618" i="1"/>
  <c r="HWF1618" i="1"/>
  <c r="HWE1618" i="1"/>
  <c r="HWD1618" i="1"/>
  <c r="HWC1618" i="1"/>
  <c r="HWB1618" i="1"/>
  <c r="HWA1618" i="1"/>
  <c r="HVZ1618" i="1"/>
  <c r="HVY1618" i="1"/>
  <c r="HVX1618" i="1"/>
  <c r="HVW1618" i="1"/>
  <c r="HVV1618" i="1"/>
  <c r="HVU1618" i="1"/>
  <c r="HVT1618" i="1"/>
  <c r="HVS1618" i="1"/>
  <c r="HVR1618" i="1"/>
  <c r="HVQ1618" i="1"/>
  <c r="HVP1618" i="1"/>
  <c r="HVO1618" i="1"/>
  <c r="HVN1618" i="1"/>
  <c r="HVM1618" i="1"/>
  <c r="HVL1618" i="1"/>
  <c r="HVK1618" i="1"/>
  <c r="HVJ1618" i="1"/>
  <c r="HVI1618" i="1"/>
  <c r="HVH1618" i="1"/>
  <c r="HVG1618" i="1"/>
  <c r="HVF1618" i="1"/>
  <c r="HVE1618" i="1"/>
  <c r="HVD1618" i="1"/>
  <c r="HVC1618" i="1"/>
  <c r="HVB1618" i="1"/>
  <c r="HVA1618" i="1"/>
  <c r="HUZ1618" i="1"/>
  <c r="HUY1618" i="1"/>
  <c r="HUX1618" i="1"/>
  <c r="HUW1618" i="1"/>
  <c r="HUV1618" i="1"/>
  <c r="HUU1618" i="1"/>
  <c r="HUT1618" i="1"/>
  <c r="HUS1618" i="1"/>
  <c r="HUR1618" i="1"/>
  <c r="HUQ1618" i="1"/>
  <c r="HUP1618" i="1"/>
  <c r="HUO1618" i="1"/>
  <c r="HUN1618" i="1"/>
  <c r="HUM1618" i="1"/>
  <c r="HUL1618" i="1"/>
  <c r="HUK1618" i="1"/>
  <c r="HUJ1618" i="1"/>
  <c r="HUI1618" i="1"/>
  <c r="HUH1618" i="1"/>
  <c r="HUG1618" i="1"/>
  <c r="HUF1618" i="1"/>
  <c r="HUE1618" i="1"/>
  <c r="HUD1618" i="1"/>
  <c r="HUC1618" i="1"/>
  <c r="HUB1618" i="1"/>
  <c r="HUA1618" i="1"/>
  <c r="HTZ1618" i="1"/>
  <c r="HTY1618" i="1"/>
  <c r="HTX1618" i="1"/>
  <c r="HTW1618" i="1"/>
  <c r="HTV1618" i="1"/>
  <c r="HTU1618" i="1"/>
  <c r="HTT1618" i="1"/>
  <c r="HTS1618" i="1"/>
  <c r="HTR1618" i="1"/>
  <c r="HTQ1618" i="1"/>
  <c r="HTP1618" i="1"/>
  <c r="HTO1618" i="1"/>
  <c r="HTN1618" i="1"/>
  <c r="HTM1618" i="1"/>
  <c r="HTL1618" i="1"/>
  <c r="HTK1618" i="1"/>
  <c r="HTJ1618" i="1"/>
  <c r="HTI1618" i="1"/>
  <c r="HTH1618" i="1"/>
  <c r="HTG1618" i="1"/>
  <c r="HTF1618" i="1"/>
  <c r="HTE1618" i="1"/>
  <c r="HTD1618" i="1"/>
  <c r="HTC1618" i="1"/>
  <c r="HTB1618" i="1"/>
  <c r="HTA1618" i="1"/>
  <c r="HSZ1618" i="1"/>
  <c r="HSY1618" i="1"/>
  <c r="HSX1618" i="1"/>
  <c r="HSW1618" i="1"/>
  <c r="HSV1618" i="1"/>
  <c r="HSU1618" i="1"/>
  <c r="HST1618" i="1"/>
  <c r="HSS1618" i="1"/>
  <c r="HSR1618" i="1"/>
  <c r="HSQ1618" i="1"/>
  <c r="HSP1618" i="1"/>
  <c r="HSO1618" i="1"/>
  <c r="HSN1618" i="1"/>
  <c r="HSM1618" i="1"/>
  <c r="HSL1618" i="1"/>
  <c r="HSK1618" i="1"/>
  <c r="HSJ1618" i="1"/>
  <c r="HSI1618" i="1"/>
  <c r="HSH1618" i="1"/>
  <c r="HSG1618" i="1"/>
  <c r="HSF1618" i="1"/>
  <c r="HSE1618" i="1"/>
  <c r="HSD1618" i="1"/>
  <c r="HSC1618" i="1"/>
  <c r="HSB1618" i="1"/>
  <c r="HSA1618" i="1"/>
  <c r="HRZ1618" i="1"/>
  <c r="HRY1618" i="1"/>
  <c r="HRX1618" i="1"/>
  <c r="HRW1618" i="1"/>
  <c r="HRV1618" i="1"/>
  <c r="HRU1618" i="1"/>
  <c r="HRT1618" i="1"/>
  <c r="HRS1618" i="1"/>
  <c r="HRR1618" i="1"/>
  <c r="HRQ1618" i="1"/>
  <c r="HRP1618" i="1"/>
  <c r="HRO1618" i="1"/>
  <c r="HRN1618" i="1"/>
  <c r="HRM1618" i="1"/>
  <c r="HRL1618" i="1"/>
  <c r="HRK1618" i="1"/>
  <c r="HRJ1618" i="1"/>
  <c r="HRI1618" i="1"/>
  <c r="HRH1618" i="1"/>
  <c r="HRG1618" i="1"/>
  <c r="HRF1618" i="1"/>
  <c r="HRE1618" i="1"/>
  <c r="HRD1618" i="1"/>
  <c r="HRC1618" i="1"/>
  <c r="HRB1618" i="1"/>
  <c r="HRA1618" i="1"/>
  <c r="HQZ1618" i="1"/>
  <c r="HQY1618" i="1"/>
  <c r="HQX1618" i="1"/>
  <c r="HQW1618" i="1"/>
  <c r="HQV1618" i="1"/>
  <c r="HQU1618" i="1"/>
  <c r="HQT1618" i="1"/>
  <c r="HQS1618" i="1"/>
  <c r="HQR1618" i="1"/>
  <c r="HQQ1618" i="1"/>
  <c r="HQP1618" i="1"/>
  <c r="HQO1618" i="1"/>
  <c r="HQN1618" i="1"/>
  <c r="HQM1618" i="1"/>
  <c r="HQL1618" i="1"/>
  <c r="HQK1618" i="1"/>
  <c r="HQJ1618" i="1"/>
  <c r="HQI1618" i="1"/>
  <c r="HQH1618" i="1"/>
  <c r="HQG1618" i="1"/>
  <c r="HQF1618" i="1"/>
  <c r="HQE1618" i="1"/>
  <c r="HQD1618" i="1"/>
  <c r="HQC1618" i="1"/>
  <c r="HQB1618" i="1"/>
  <c r="HQA1618" i="1"/>
  <c r="HPZ1618" i="1"/>
  <c r="HPY1618" i="1"/>
  <c r="HPX1618" i="1"/>
  <c r="HPW1618" i="1"/>
  <c r="HPV1618" i="1"/>
  <c r="HPU1618" i="1"/>
  <c r="HPT1618" i="1"/>
  <c r="HPS1618" i="1"/>
  <c r="HPR1618" i="1"/>
  <c r="HPQ1618" i="1"/>
  <c r="HPP1618" i="1"/>
  <c r="HPO1618" i="1"/>
  <c r="HPN1618" i="1"/>
  <c r="HPM1618" i="1"/>
  <c r="HPL1618" i="1"/>
  <c r="HPK1618" i="1"/>
  <c r="HPJ1618" i="1"/>
  <c r="HPI1618" i="1"/>
  <c r="HPH1618" i="1"/>
  <c r="HPG1618" i="1"/>
  <c r="HPF1618" i="1"/>
  <c r="HPE1618" i="1"/>
  <c r="HPD1618" i="1"/>
  <c r="HPC1618" i="1"/>
  <c r="HPB1618" i="1"/>
  <c r="HPA1618" i="1"/>
  <c r="HOZ1618" i="1"/>
  <c r="HOY1618" i="1"/>
  <c r="HOX1618" i="1"/>
  <c r="HOW1618" i="1"/>
  <c r="HOV1618" i="1"/>
  <c r="HOU1618" i="1"/>
  <c r="HOT1618" i="1"/>
  <c r="HOS1618" i="1"/>
  <c r="HOR1618" i="1"/>
  <c r="HOQ1618" i="1"/>
  <c r="HOP1618" i="1"/>
  <c r="HOO1618" i="1"/>
  <c r="HON1618" i="1"/>
  <c r="HOM1618" i="1"/>
  <c r="HOL1618" i="1"/>
  <c r="HOK1618" i="1"/>
  <c r="HOJ1618" i="1"/>
  <c r="HOI1618" i="1"/>
  <c r="HOH1618" i="1"/>
  <c r="HOG1618" i="1"/>
  <c r="HOF1618" i="1"/>
  <c r="HOE1618" i="1"/>
  <c r="HOD1618" i="1"/>
  <c r="HOC1618" i="1"/>
  <c r="HOB1618" i="1"/>
  <c r="HOA1618" i="1"/>
  <c r="HNZ1618" i="1"/>
  <c r="HNY1618" i="1"/>
  <c r="HNX1618" i="1"/>
  <c r="HNW1618" i="1"/>
  <c r="HNV1618" i="1"/>
  <c r="HNU1618" i="1"/>
  <c r="HNT1618" i="1"/>
  <c r="HNS1618" i="1"/>
  <c r="HNR1618" i="1"/>
  <c r="HNQ1618" i="1"/>
  <c r="HNP1618" i="1"/>
  <c r="HNO1618" i="1"/>
  <c r="HNN1618" i="1"/>
  <c r="HNM1618" i="1"/>
  <c r="HNL1618" i="1"/>
  <c r="HNK1618" i="1"/>
  <c r="HNJ1618" i="1"/>
  <c r="HNI1618" i="1"/>
  <c r="HNH1618" i="1"/>
  <c r="HNG1618" i="1"/>
  <c r="HNF1618" i="1"/>
  <c r="HNE1618" i="1"/>
  <c r="HND1618" i="1"/>
  <c r="HNC1618" i="1"/>
  <c r="HNB1618" i="1"/>
  <c r="HNA1618" i="1"/>
  <c r="HMZ1618" i="1"/>
  <c r="HMY1618" i="1"/>
  <c r="HMX1618" i="1"/>
  <c r="HMW1618" i="1"/>
  <c r="HMV1618" i="1"/>
  <c r="HMU1618" i="1"/>
  <c r="HMT1618" i="1"/>
  <c r="HMS1618" i="1"/>
  <c r="HMR1618" i="1"/>
  <c r="HMQ1618" i="1"/>
  <c r="HMP1618" i="1"/>
  <c r="HMO1618" i="1"/>
  <c r="HMN1618" i="1"/>
  <c r="HMM1618" i="1"/>
  <c r="HML1618" i="1"/>
  <c r="HMK1618" i="1"/>
  <c r="HMJ1618" i="1"/>
  <c r="HMI1618" i="1"/>
  <c r="HMH1618" i="1"/>
  <c r="HMG1618" i="1"/>
  <c r="HMF1618" i="1"/>
  <c r="HME1618" i="1"/>
  <c r="HMD1618" i="1"/>
  <c r="HMC1618" i="1"/>
  <c r="HMB1618" i="1"/>
  <c r="HMA1618" i="1"/>
  <c r="HLZ1618" i="1"/>
  <c r="HLY1618" i="1"/>
  <c r="HLX1618" i="1"/>
  <c r="HLW1618" i="1"/>
  <c r="HLV1618" i="1"/>
  <c r="HLU1618" i="1"/>
  <c r="HLT1618" i="1"/>
  <c r="HLS1618" i="1"/>
  <c r="HLR1618" i="1"/>
  <c r="HLQ1618" i="1"/>
  <c r="HLP1618" i="1"/>
  <c r="HLO1618" i="1"/>
  <c r="HLN1618" i="1"/>
  <c r="HLM1618" i="1"/>
  <c r="HLL1618" i="1"/>
  <c r="HLK1618" i="1"/>
  <c r="HLJ1618" i="1"/>
  <c r="HLI1618" i="1"/>
  <c r="HLH1618" i="1"/>
  <c r="HLG1618" i="1"/>
  <c r="HLF1618" i="1"/>
  <c r="HLE1618" i="1"/>
  <c r="HLD1618" i="1"/>
  <c r="HLC1618" i="1"/>
  <c r="HLB1618" i="1"/>
  <c r="HLA1618" i="1"/>
  <c r="HKZ1618" i="1"/>
  <c r="HKY1618" i="1"/>
  <c r="HKX1618" i="1"/>
  <c r="HKW1618" i="1"/>
  <c r="HKV1618" i="1"/>
  <c r="HKU1618" i="1"/>
  <c r="HKT1618" i="1"/>
  <c r="HKS1618" i="1"/>
  <c r="HKR1618" i="1"/>
  <c r="HKQ1618" i="1"/>
  <c r="HKP1618" i="1"/>
  <c r="HKO1618" i="1"/>
  <c r="HKN1618" i="1"/>
  <c r="HKM1618" i="1"/>
  <c r="HKL1618" i="1"/>
  <c r="HKK1618" i="1"/>
  <c r="HKJ1618" i="1"/>
  <c r="HKI1618" i="1"/>
  <c r="HKH1618" i="1"/>
  <c r="HKG1618" i="1"/>
  <c r="HKF1618" i="1"/>
  <c r="HKE1618" i="1"/>
  <c r="HKD1618" i="1"/>
  <c r="HKC1618" i="1"/>
  <c r="HKB1618" i="1"/>
  <c r="HKA1618" i="1"/>
  <c r="HJZ1618" i="1"/>
  <c r="HJY1618" i="1"/>
  <c r="HJX1618" i="1"/>
  <c r="HJW1618" i="1"/>
  <c r="HJV1618" i="1"/>
  <c r="HJU1618" i="1"/>
  <c r="HJT1618" i="1"/>
  <c r="HJS1618" i="1"/>
  <c r="HJR1618" i="1"/>
  <c r="HJQ1618" i="1"/>
  <c r="HJP1618" i="1"/>
  <c r="HJO1618" i="1"/>
  <c r="HJN1618" i="1"/>
  <c r="HJM1618" i="1"/>
  <c r="HJL1618" i="1"/>
  <c r="HJK1618" i="1"/>
  <c r="HJJ1618" i="1"/>
  <c r="HJI1618" i="1"/>
  <c r="HJH1618" i="1"/>
  <c r="HJG1618" i="1"/>
  <c r="HJF1618" i="1"/>
  <c r="HJE1618" i="1"/>
  <c r="HJD1618" i="1"/>
  <c r="HJC1618" i="1"/>
  <c r="HJB1618" i="1"/>
  <c r="HJA1618" i="1"/>
  <c r="HIZ1618" i="1"/>
  <c r="HIY1618" i="1"/>
  <c r="HIX1618" i="1"/>
  <c r="HIW1618" i="1"/>
  <c r="HIV1618" i="1"/>
  <c r="HIU1618" i="1"/>
  <c r="HIT1618" i="1"/>
  <c r="HIS1618" i="1"/>
  <c r="HIR1618" i="1"/>
  <c r="HIQ1618" i="1"/>
  <c r="HIP1618" i="1"/>
  <c r="HIO1618" i="1"/>
  <c r="HIN1618" i="1"/>
  <c r="HIM1618" i="1"/>
  <c r="HIL1618" i="1"/>
  <c r="HIK1618" i="1"/>
  <c r="HIJ1618" i="1"/>
  <c r="HII1618" i="1"/>
  <c r="HIH1618" i="1"/>
  <c r="HIG1618" i="1"/>
  <c r="HIF1618" i="1"/>
  <c r="HIE1618" i="1"/>
  <c r="HID1618" i="1"/>
  <c r="HIC1618" i="1"/>
  <c r="HIB1618" i="1"/>
  <c r="HIA1618" i="1"/>
  <c r="HHZ1618" i="1"/>
  <c r="HHY1618" i="1"/>
  <c r="HHX1618" i="1"/>
  <c r="HHW1618" i="1"/>
  <c r="HHV1618" i="1"/>
  <c r="HHU1618" i="1"/>
  <c r="HHT1618" i="1"/>
  <c r="HHS1618" i="1"/>
  <c r="HHR1618" i="1"/>
  <c r="HHQ1618" i="1"/>
  <c r="HHP1618" i="1"/>
  <c r="HHO1618" i="1"/>
  <c r="HHN1618" i="1"/>
  <c r="HHM1618" i="1"/>
  <c r="HHL1618" i="1"/>
  <c r="HHK1618" i="1"/>
  <c r="HHJ1618" i="1"/>
  <c r="HHI1618" i="1"/>
  <c r="HHH1618" i="1"/>
  <c r="HHG1618" i="1"/>
  <c r="HHF1618" i="1"/>
  <c r="HHE1618" i="1"/>
  <c r="HHD1618" i="1"/>
  <c r="HHC1618" i="1"/>
  <c r="HHB1618" i="1"/>
  <c r="HHA1618" i="1"/>
  <c r="HGZ1618" i="1"/>
  <c r="HGY1618" i="1"/>
  <c r="HGX1618" i="1"/>
  <c r="HGW1618" i="1"/>
  <c r="HGV1618" i="1"/>
  <c r="HGU1618" i="1"/>
  <c r="HGT1618" i="1"/>
  <c r="HGS1618" i="1"/>
  <c r="HGR1618" i="1"/>
  <c r="HGQ1618" i="1"/>
  <c r="HGP1618" i="1"/>
  <c r="HGO1618" i="1"/>
  <c r="HGN1618" i="1"/>
  <c r="HGM1618" i="1"/>
  <c r="HGL1618" i="1"/>
  <c r="HGK1618" i="1"/>
  <c r="HGJ1618" i="1"/>
  <c r="HGI1618" i="1"/>
  <c r="HGH1618" i="1"/>
  <c r="HGG1618" i="1"/>
  <c r="HGF1618" i="1"/>
  <c r="HGE1618" i="1"/>
  <c r="HGD1618" i="1"/>
  <c r="HGC1618" i="1"/>
  <c r="HGB1618" i="1"/>
  <c r="HGA1618" i="1"/>
  <c r="HFZ1618" i="1"/>
  <c r="HFY1618" i="1"/>
  <c r="HFX1618" i="1"/>
  <c r="HFW1618" i="1"/>
  <c r="HFV1618" i="1"/>
  <c r="HFU1618" i="1"/>
  <c r="HFT1618" i="1"/>
  <c r="HFS1618" i="1"/>
  <c r="HFR1618" i="1"/>
  <c r="HFQ1618" i="1"/>
  <c r="HFP1618" i="1"/>
  <c r="HFO1618" i="1"/>
  <c r="HFN1618" i="1"/>
  <c r="HFM1618" i="1"/>
  <c r="HFL1618" i="1"/>
  <c r="HFK1618" i="1"/>
  <c r="HFJ1618" i="1"/>
  <c r="HFI1618" i="1"/>
  <c r="HFH1618" i="1"/>
  <c r="HFG1618" i="1"/>
  <c r="HFF1618" i="1"/>
  <c r="HFE1618" i="1"/>
  <c r="HFD1618" i="1"/>
  <c r="HFC1618" i="1"/>
  <c r="HFB1618" i="1"/>
  <c r="HFA1618" i="1"/>
  <c r="HEZ1618" i="1"/>
  <c r="HEY1618" i="1"/>
  <c r="HEX1618" i="1"/>
  <c r="HEW1618" i="1"/>
  <c r="HEV1618" i="1"/>
  <c r="HEU1618" i="1"/>
  <c r="HET1618" i="1"/>
  <c r="HES1618" i="1"/>
  <c r="HER1618" i="1"/>
  <c r="HEQ1618" i="1"/>
  <c r="HEP1618" i="1"/>
  <c r="HEO1618" i="1"/>
  <c r="HEN1618" i="1"/>
  <c r="HEM1618" i="1"/>
  <c r="HEL1618" i="1"/>
  <c r="HEK1618" i="1"/>
  <c r="HEJ1618" i="1"/>
  <c r="HEI1618" i="1"/>
  <c r="HEH1618" i="1"/>
  <c r="HEG1618" i="1"/>
  <c r="HEF1618" i="1"/>
  <c r="HEE1618" i="1"/>
  <c r="HED1618" i="1"/>
  <c r="HEC1618" i="1"/>
  <c r="HEB1618" i="1"/>
  <c r="HEA1618" i="1"/>
  <c r="HDZ1618" i="1"/>
  <c r="HDY1618" i="1"/>
  <c r="HDX1618" i="1"/>
  <c r="HDW1618" i="1"/>
  <c r="HDV1618" i="1"/>
  <c r="HDU1618" i="1"/>
  <c r="HDT1618" i="1"/>
  <c r="HDS1618" i="1"/>
  <c r="HDR1618" i="1"/>
  <c r="HDQ1618" i="1"/>
  <c r="HDP1618" i="1"/>
  <c r="HDO1618" i="1"/>
  <c r="HDN1618" i="1"/>
  <c r="HDM1618" i="1"/>
  <c r="HDL1618" i="1"/>
  <c r="HDK1618" i="1"/>
  <c r="HDJ1618" i="1"/>
  <c r="HDI1618" i="1"/>
  <c r="HDH1618" i="1"/>
  <c r="HDG1618" i="1"/>
  <c r="HDF1618" i="1"/>
  <c r="HDE1618" i="1"/>
  <c r="HDD1618" i="1"/>
  <c r="HDC1618" i="1"/>
  <c r="HDB1618" i="1"/>
  <c r="HDA1618" i="1"/>
  <c r="HCZ1618" i="1"/>
  <c r="HCY1618" i="1"/>
  <c r="HCX1618" i="1"/>
  <c r="HCW1618" i="1"/>
  <c r="HCV1618" i="1"/>
  <c r="HCU1618" i="1"/>
  <c r="HCT1618" i="1"/>
  <c r="HCS1618" i="1"/>
  <c r="HCR1618" i="1"/>
  <c r="HCQ1618" i="1"/>
  <c r="HCP1618" i="1"/>
  <c r="HCO1618" i="1"/>
  <c r="HCN1618" i="1"/>
  <c r="HCM1618" i="1"/>
  <c r="HCL1618" i="1"/>
  <c r="HCK1618" i="1"/>
  <c r="HCJ1618" i="1"/>
  <c r="HCI1618" i="1"/>
  <c r="HCH1618" i="1"/>
  <c r="HCG1618" i="1"/>
  <c r="HCF1618" i="1"/>
  <c r="HCE1618" i="1"/>
  <c r="HCD1618" i="1"/>
  <c r="HCC1618" i="1"/>
  <c r="HCB1618" i="1"/>
  <c r="HCA1618" i="1"/>
  <c r="HBZ1618" i="1"/>
  <c r="HBY1618" i="1"/>
  <c r="HBX1618" i="1"/>
  <c r="HBW1618" i="1"/>
  <c r="HBV1618" i="1"/>
  <c r="HBU1618" i="1"/>
  <c r="HBT1618" i="1"/>
  <c r="HBS1618" i="1"/>
  <c r="HBR1618" i="1"/>
  <c r="HBQ1618" i="1"/>
  <c r="HBP1618" i="1"/>
  <c r="HBO1618" i="1"/>
  <c r="HBN1618" i="1"/>
  <c r="HBM1618" i="1"/>
  <c r="HBL1618" i="1"/>
  <c r="HBK1618" i="1"/>
  <c r="HBJ1618" i="1"/>
  <c r="HBI1618" i="1"/>
  <c r="HBH1618" i="1"/>
  <c r="HBG1618" i="1"/>
  <c r="HBF1618" i="1"/>
  <c r="HBE1618" i="1"/>
  <c r="HBD1618" i="1"/>
  <c r="HBC1618" i="1"/>
  <c r="HBB1618" i="1"/>
  <c r="HBA1618" i="1"/>
  <c r="HAZ1618" i="1"/>
  <c r="HAY1618" i="1"/>
  <c r="HAX1618" i="1"/>
  <c r="HAW1618" i="1"/>
  <c r="HAV1618" i="1"/>
  <c r="HAU1618" i="1"/>
  <c r="HAT1618" i="1"/>
  <c r="HAS1618" i="1"/>
  <c r="HAR1618" i="1"/>
  <c r="HAQ1618" i="1"/>
  <c r="HAP1618" i="1"/>
  <c r="HAO1618" i="1"/>
  <c r="HAN1618" i="1"/>
  <c r="HAM1618" i="1"/>
  <c r="HAL1618" i="1"/>
  <c r="HAK1618" i="1"/>
  <c r="HAJ1618" i="1"/>
  <c r="HAI1618" i="1"/>
  <c r="HAH1618" i="1"/>
  <c r="HAG1618" i="1"/>
  <c r="HAF1618" i="1"/>
  <c r="HAE1618" i="1"/>
  <c r="HAD1618" i="1"/>
  <c r="HAC1618" i="1"/>
  <c r="HAB1618" i="1"/>
  <c r="HAA1618" i="1"/>
  <c r="GZZ1618" i="1"/>
  <c r="GZY1618" i="1"/>
  <c r="GZX1618" i="1"/>
  <c r="GZW1618" i="1"/>
  <c r="GZV1618" i="1"/>
  <c r="GZU1618" i="1"/>
  <c r="GZT1618" i="1"/>
  <c r="GZS1618" i="1"/>
  <c r="GZR1618" i="1"/>
  <c r="GZQ1618" i="1"/>
  <c r="GZP1618" i="1"/>
  <c r="GZO1618" i="1"/>
  <c r="GZN1618" i="1"/>
  <c r="GZM1618" i="1"/>
  <c r="GZL1618" i="1"/>
  <c r="GZK1618" i="1"/>
  <c r="GZJ1618" i="1"/>
  <c r="GZI1618" i="1"/>
  <c r="GZH1618" i="1"/>
  <c r="GZG1618" i="1"/>
  <c r="GZF1618" i="1"/>
  <c r="GZE1618" i="1"/>
  <c r="GZD1618" i="1"/>
  <c r="GZC1618" i="1"/>
  <c r="GZB1618" i="1"/>
  <c r="GZA1618" i="1"/>
  <c r="GYZ1618" i="1"/>
  <c r="GYY1618" i="1"/>
  <c r="GYX1618" i="1"/>
  <c r="GYW1618" i="1"/>
  <c r="GYV1618" i="1"/>
  <c r="GYU1618" i="1"/>
  <c r="GYT1618" i="1"/>
  <c r="GYS1618" i="1"/>
  <c r="GYR1618" i="1"/>
  <c r="GYQ1618" i="1"/>
  <c r="GYP1618" i="1"/>
  <c r="GYO1618" i="1"/>
  <c r="GYN1618" i="1"/>
  <c r="GYM1618" i="1"/>
  <c r="GYL1618" i="1"/>
  <c r="GYK1618" i="1"/>
  <c r="GYJ1618" i="1"/>
  <c r="GYI1618" i="1"/>
  <c r="GYH1618" i="1"/>
  <c r="GYG1618" i="1"/>
  <c r="GYF1618" i="1"/>
  <c r="GYE1618" i="1"/>
  <c r="GYD1618" i="1"/>
  <c r="GYC1618" i="1"/>
  <c r="GYB1618" i="1"/>
  <c r="GYA1618" i="1"/>
  <c r="GXZ1618" i="1"/>
  <c r="GXY1618" i="1"/>
  <c r="GXX1618" i="1"/>
  <c r="GXW1618" i="1"/>
  <c r="GXV1618" i="1"/>
  <c r="GXU1618" i="1"/>
  <c r="GXT1618" i="1"/>
  <c r="GXS1618" i="1"/>
  <c r="GXR1618" i="1"/>
  <c r="GXQ1618" i="1"/>
  <c r="GXP1618" i="1"/>
  <c r="GXO1618" i="1"/>
  <c r="GXN1618" i="1"/>
  <c r="GXM1618" i="1"/>
  <c r="GXL1618" i="1"/>
  <c r="GXK1618" i="1"/>
  <c r="GXJ1618" i="1"/>
  <c r="GXI1618" i="1"/>
  <c r="GXH1618" i="1"/>
  <c r="GXG1618" i="1"/>
  <c r="GXF1618" i="1"/>
  <c r="GXE1618" i="1"/>
  <c r="GXD1618" i="1"/>
  <c r="GXC1618" i="1"/>
  <c r="GXB1618" i="1"/>
  <c r="GXA1618" i="1"/>
  <c r="GWZ1618" i="1"/>
  <c r="GWY1618" i="1"/>
  <c r="GWX1618" i="1"/>
  <c r="GWW1618" i="1"/>
  <c r="GWV1618" i="1"/>
  <c r="GWU1618" i="1"/>
  <c r="GWT1618" i="1"/>
  <c r="GWS1618" i="1"/>
  <c r="GWR1618" i="1"/>
  <c r="GWQ1618" i="1"/>
  <c r="GWP1618" i="1"/>
  <c r="GWO1618" i="1"/>
  <c r="GWN1618" i="1"/>
  <c r="GWM1618" i="1"/>
  <c r="GWL1618" i="1"/>
  <c r="GWK1618" i="1"/>
  <c r="GWJ1618" i="1"/>
  <c r="GWI1618" i="1"/>
  <c r="GWH1618" i="1"/>
  <c r="GWG1618" i="1"/>
  <c r="GWF1618" i="1"/>
  <c r="GWE1618" i="1"/>
  <c r="GWD1618" i="1"/>
  <c r="GWC1618" i="1"/>
  <c r="GWB1618" i="1"/>
  <c r="GWA1618" i="1"/>
  <c r="GVZ1618" i="1"/>
  <c r="GVY1618" i="1"/>
  <c r="GVX1618" i="1"/>
  <c r="GVW1618" i="1"/>
  <c r="GVV1618" i="1"/>
  <c r="GVU1618" i="1"/>
  <c r="GVT1618" i="1"/>
  <c r="GVS1618" i="1"/>
  <c r="GVR1618" i="1"/>
  <c r="GVQ1618" i="1"/>
  <c r="GVP1618" i="1"/>
  <c r="GVO1618" i="1"/>
  <c r="GVN1618" i="1"/>
  <c r="GVM1618" i="1"/>
  <c r="GVL1618" i="1"/>
  <c r="GVK1618" i="1"/>
  <c r="GVJ1618" i="1"/>
  <c r="GVI1618" i="1"/>
  <c r="GVH1618" i="1"/>
  <c r="GVG1618" i="1"/>
  <c r="GVF1618" i="1"/>
  <c r="GVE1618" i="1"/>
  <c r="GVD1618" i="1"/>
  <c r="GVC1618" i="1"/>
  <c r="GVB1618" i="1"/>
  <c r="GVA1618" i="1"/>
  <c r="GUZ1618" i="1"/>
  <c r="GUY1618" i="1"/>
  <c r="GUX1618" i="1"/>
  <c r="GUW1618" i="1"/>
  <c r="GUV1618" i="1"/>
  <c r="GUU1618" i="1"/>
  <c r="GUT1618" i="1"/>
  <c r="GUS1618" i="1"/>
  <c r="GUR1618" i="1"/>
  <c r="GUQ1618" i="1"/>
  <c r="GUP1618" i="1"/>
  <c r="GUO1618" i="1"/>
  <c r="GUN1618" i="1"/>
  <c r="GUM1618" i="1"/>
  <c r="GUL1618" i="1"/>
  <c r="GUK1618" i="1"/>
  <c r="GUJ1618" i="1"/>
  <c r="GUI1618" i="1"/>
  <c r="GUH1618" i="1"/>
  <c r="GUG1618" i="1"/>
  <c r="GUF1618" i="1"/>
  <c r="GUE1618" i="1"/>
  <c r="GUD1618" i="1"/>
  <c r="GUC1618" i="1"/>
  <c r="GUB1618" i="1"/>
  <c r="GUA1618" i="1"/>
  <c r="GTZ1618" i="1"/>
  <c r="GTY1618" i="1"/>
  <c r="GTX1618" i="1"/>
  <c r="GTW1618" i="1"/>
  <c r="GTV1618" i="1"/>
  <c r="GTU1618" i="1"/>
  <c r="GTT1618" i="1"/>
  <c r="GTS1618" i="1"/>
  <c r="GTR1618" i="1"/>
  <c r="GTQ1618" i="1"/>
  <c r="GTP1618" i="1"/>
  <c r="GTO1618" i="1"/>
  <c r="GTN1618" i="1"/>
  <c r="GTM1618" i="1"/>
  <c r="GTL1618" i="1"/>
  <c r="GTK1618" i="1"/>
  <c r="GTJ1618" i="1"/>
  <c r="GTI1618" i="1"/>
  <c r="GTH1618" i="1"/>
  <c r="GTG1618" i="1"/>
  <c r="GTF1618" i="1"/>
  <c r="GTE1618" i="1"/>
  <c r="GTD1618" i="1"/>
  <c r="GTC1618" i="1"/>
  <c r="GTB1618" i="1"/>
  <c r="GTA1618" i="1"/>
  <c r="GSZ1618" i="1"/>
  <c r="GSY1618" i="1"/>
  <c r="GSX1618" i="1"/>
  <c r="GSW1618" i="1"/>
  <c r="GSV1618" i="1"/>
  <c r="GSU1618" i="1"/>
  <c r="GST1618" i="1"/>
  <c r="GSS1618" i="1"/>
  <c r="GSR1618" i="1"/>
  <c r="GSQ1618" i="1"/>
  <c r="GSP1618" i="1"/>
  <c r="GSO1618" i="1"/>
  <c r="GSN1618" i="1"/>
  <c r="GSM1618" i="1"/>
  <c r="GSL1618" i="1"/>
  <c r="GSK1618" i="1"/>
  <c r="GSJ1618" i="1"/>
  <c r="GSI1618" i="1"/>
  <c r="GSH1618" i="1"/>
  <c r="GSG1618" i="1"/>
  <c r="GSF1618" i="1"/>
  <c r="GSE1618" i="1"/>
  <c r="GSD1618" i="1"/>
  <c r="GSC1618" i="1"/>
  <c r="GSB1618" i="1"/>
  <c r="GSA1618" i="1"/>
  <c r="GRZ1618" i="1"/>
  <c r="GRY1618" i="1"/>
  <c r="GRX1618" i="1"/>
  <c r="GRW1618" i="1"/>
  <c r="GRV1618" i="1"/>
  <c r="GRU1618" i="1"/>
  <c r="GRT1618" i="1"/>
  <c r="GRS1618" i="1"/>
  <c r="GRR1618" i="1"/>
  <c r="GRQ1618" i="1"/>
  <c r="GRP1618" i="1"/>
  <c r="GRO1618" i="1"/>
  <c r="GRN1618" i="1"/>
  <c r="GRM1618" i="1"/>
  <c r="GRL1618" i="1"/>
  <c r="GRK1618" i="1"/>
  <c r="GRJ1618" i="1"/>
  <c r="GRI1618" i="1"/>
  <c r="GRH1618" i="1"/>
  <c r="GRG1618" i="1"/>
  <c r="GRF1618" i="1"/>
  <c r="GRE1618" i="1"/>
  <c r="GRD1618" i="1"/>
  <c r="GRC1618" i="1"/>
  <c r="GRB1618" i="1"/>
  <c r="GRA1618" i="1"/>
  <c r="GQZ1618" i="1"/>
  <c r="GQY1618" i="1"/>
  <c r="GQX1618" i="1"/>
  <c r="GQW1618" i="1"/>
  <c r="GQV1618" i="1"/>
  <c r="GQU1618" i="1"/>
  <c r="GQT1618" i="1"/>
  <c r="GQS1618" i="1"/>
  <c r="GQR1618" i="1"/>
  <c r="GQQ1618" i="1"/>
  <c r="GQP1618" i="1"/>
  <c r="GQO1618" i="1"/>
  <c r="GQN1618" i="1"/>
  <c r="GQM1618" i="1"/>
  <c r="GQL1618" i="1"/>
  <c r="GQK1618" i="1"/>
  <c r="GQJ1618" i="1"/>
  <c r="GQI1618" i="1"/>
  <c r="GQH1618" i="1"/>
  <c r="GQG1618" i="1"/>
  <c r="GQF1618" i="1"/>
  <c r="GQE1618" i="1"/>
  <c r="GQD1618" i="1"/>
  <c r="GQC1618" i="1"/>
  <c r="GQB1618" i="1"/>
  <c r="GQA1618" i="1"/>
  <c r="GPZ1618" i="1"/>
  <c r="GPY1618" i="1"/>
  <c r="GPX1618" i="1"/>
  <c r="GPW1618" i="1"/>
  <c r="GPV1618" i="1"/>
  <c r="GPU1618" i="1"/>
  <c r="GPT1618" i="1"/>
  <c r="GPS1618" i="1"/>
  <c r="GPR1618" i="1"/>
  <c r="GPQ1618" i="1"/>
  <c r="GPP1618" i="1"/>
  <c r="GPO1618" i="1"/>
  <c r="GPN1618" i="1"/>
  <c r="GPM1618" i="1"/>
  <c r="GPL1618" i="1"/>
  <c r="GPK1618" i="1"/>
  <c r="GPJ1618" i="1"/>
  <c r="GPI1618" i="1"/>
  <c r="GPH1618" i="1"/>
  <c r="GPG1618" i="1"/>
  <c r="GPF1618" i="1"/>
  <c r="GPE1618" i="1"/>
  <c r="GPD1618" i="1"/>
  <c r="GPC1618" i="1"/>
  <c r="GPB1618" i="1"/>
  <c r="GPA1618" i="1"/>
  <c r="GOZ1618" i="1"/>
  <c r="GOY1618" i="1"/>
  <c r="GOX1618" i="1"/>
  <c r="GOW1618" i="1"/>
  <c r="GOV1618" i="1"/>
  <c r="GOU1618" i="1"/>
  <c r="GOT1618" i="1"/>
  <c r="GOS1618" i="1"/>
  <c r="GOR1618" i="1"/>
  <c r="GOQ1618" i="1"/>
  <c r="GOP1618" i="1"/>
  <c r="GOO1618" i="1"/>
  <c r="GON1618" i="1"/>
  <c r="GOM1618" i="1"/>
  <c r="GOL1618" i="1"/>
  <c r="GOK1618" i="1"/>
  <c r="GOJ1618" i="1"/>
  <c r="GOI1618" i="1"/>
  <c r="GOH1618" i="1"/>
  <c r="GOG1618" i="1"/>
  <c r="GOF1618" i="1"/>
  <c r="GOE1618" i="1"/>
  <c r="GOD1618" i="1"/>
  <c r="GOC1618" i="1"/>
  <c r="GOB1618" i="1"/>
  <c r="GOA1618" i="1"/>
  <c r="GNZ1618" i="1"/>
  <c r="GNY1618" i="1"/>
  <c r="GNX1618" i="1"/>
  <c r="GNW1618" i="1"/>
  <c r="GNV1618" i="1"/>
  <c r="GNU1618" i="1"/>
  <c r="GNT1618" i="1"/>
  <c r="GNS1618" i="1"/>
  <c r="GNR1618" i="1"/>
  <c r="GNQ1618" i="1"/>
  <c r="GNP1618" i="1"/>
  <c r="GNO1618" i="1"/>
  <c r="GNN1618" i="1"/>
  <c r="GNM1618" i="1"/>
  <c r="GNL1618" i="1"/>
  <c r="GNK1618" i="1"/>
  <c r="GNJ1618" i="1"/>
  <c r="GNI1618" i="1"/>
  <c r="GNH1618" i="1"/>
  <c r="GNG1618" i="1"/>
  <c r="GNF1618" i="1"/>
  <c r="GNE1618" i="1"/>
  <c r="GND1618" i="1"/>
  <c r="GNC1618" i="1"/>
  <c r="GNB1618" i="1"/>
  <c r="GNA1618" i="1"/>
  <c r="GMZ1618" i="1"/>
  <c r="GMY1618" i="1"/>
  <c r="GMX1618" i="1"/>
  <c r="GMW1618" i="1"/>
  <c r="GMV1618" i="1"/>
  <c r="GMU1618" i="1"/>
  <c r="GMT1618" i="1"/>
  <c r="GMS1618" i="1"/>
  <c r="GMR1618" i="1"/>
  <c r="GMQ1618" i="1"/>
  <c r="GMP1618" i="1"/>
  <c r="GMO1618" i="1"/>
  <c r="GMN1618" i="1"/>
  <c r="GMM1618" i="1"/>
  <c r="GML1618" i="1"/>
  <c r="GMK1618" i="1"/>
  <c r="GMJ1618" i="1"/>
  <c r="GMI1618" i="1"/>
  <c r="GMH1618" i="1"/>
  <c r="GMG1618" i="1"/>
  <c r="GMF1618" i="1"/>
  <c r="GME1618" i="1"/>
  <c r="GMD1618" i="1"/>
  <c r="GMC1618" i="1"/>
  <c r="GMB1618" i="1"/>
  <c r="GMA1618" i="1"/>
  <c r="GLZ1618" i="1"/>
  <c r="GLY1618" i="1"/>
  <c r="GLX1618" i="1"/>
  <c r="GLW1618" i="1"/>
  <c r="GLV1618" i="1"/>
  <c r="GLU1618" i="1"/>
  <c r="GLT1618" i="1"/>
  <c r="GLS1618" i="1"/>
  <c r="GLR1618" i="1"/>
  <c r="GLQ1618" i="1"/>
  <c r="GLP1618" i="1"/>
  <c r="GLO1618" i="1"/>
  <c r="GLN1618" i="1"/>
  <c r="GLM1618" i="1"/>
  <c r="GLL1618" i="1"/>
  <c r="GLK1618" i="1"/>
  <c r="GLJ1618" i="1"/>
  <c r="GLI1618" i="1"/>
  <c r="GLH1618" i="1"/>
  <c r="GLG1618" i="1"/>
  <c r="GLF1618" i="1"/>
  <c r="GLE1618" i="1"/>
  <c r="GLD1618" i="1"/>
  <c r="GLC1618" i="1"/>
  <c r="GLB1618" i="1"/>
  <c r="GLA1618" i="1"/>
  <c r="GKZ1618" i="1"/>
  <c r="GKY1618" i="1"/>
  <c r="GKX1618" i="1"/>
  <c r="GKW1618" i="1"/>
  <c r="GKV1618" i="1"/>
  <c r="GKU1618" i="1"/>
  <c r="GKT1618" i="1"/>
  <c r="GKS1618" i="1"/>
  <c r="GKR1618" i="1"/>
  <c r="GKQ1618" i="1"/>
  <c r="GKP1618" i="1"/>
  <c r="GKO1618" i="1"/>
  <c r="GKN1618" i="1"/>
  <c r="GKM1618" i="1"/>
  <c r="GKL1618" i="1"/>
  <c r="GKK1618" i="1"/>
  <c r="GKJ1618" i="1"/>
  <c r="GKI1618" i="1"/>
  <c r="GKH1618" i="1"/>
  <c r="GKG1618" i="1"/>
  <c r="GKF1618" i="1"/>
  <c r="GKE1618" i="1"/>
  <c r="GKD1618" i="1"/>
  <c r="GKC1618" i="1"/>
  <c r="GKB1618" i="1"/>
  <c r="GKA1618" i="1"/>
  <c r="GJZ1618" i="1"/>
  <c r="GJY1618" i="1"/>
  <c r="GJX1618" i="1"/>
  <c r="GJW1618" i="1"/>
  <c r="GJV1618" i="1"/>
  <c r="GJU1618" i="1"/>
  <c r="GJT1618" i="1"/>
  <c r="GJS1618" i="1"/>
  <c r="GJR1618" i="1"/>
  <c r="GJQ1618" i="1"/>
  <c r="GJP1618" i="1"/>
  <c r="GJO1618" i="1"/>
  <c r="GJN1618" i="1"/>
  <c r="GJM1618" i="1"/>
  <c r="GJL1618" i="1"/>
  <c r="GJK1618" i="1"/>
  <c r="GJJ1618" i="1"/>
  <c r="GJI1618" i="1"/>
  <c r="GJH1618" i="1"/>
  <c r="GJG1618" i="1"/>
  <c r="GJF1618" i="1"/>
  <c r="GJE1618" i="1"/>
  <c r="GJD1618" i="1"/>
  <c r="GJC1618" i="1"/>
  <c r="GJB1618" i="1"/>
  <c r="GJA1618" i="1"/>
  <c r="GIZ1618" i="1"/>
  <c r="GIY1618" i="1"/>
  <c r="GIX1618" i="1"/>
  <c r="GIW1618" i="1"/>
  <c r="GIV1618" i="1"/>
  <c r="GIU1618" i="1"/>
  <c r="GIT1618" i="1"/>
  <c r="GIS1618" i="1"/>
  <c r="GIR1618" i="1"/>
  <c r="GIQ1618" i="1"/>
  <c r="GIP1618" i="1"/>
  <c r="GIO1618" i="1"/>
  <c r="GIN1618" i="1"/>
  <c r="GIM1618" i="1"/>
  <c r="GIL1618" i="1"/>
  <c r="GIK1618" i="1"/>
  <c r="GIJ1618" i="1"/>
  <c r="GII1618" i="1"/>
  <c r="GIH1618" i="1"/>
  <c r="GIG1618" i="1"/>
  <c r="GIF1618" i="1"/>
  <c r="GIE1618" i="1"/>
  <c r="GID1618" i="1"/>
  <c r="GIC1618" i="1"/>
  <c r="GIB1618" i="1"/>
  <c r="GIA1618" i="1"/>
  <c r="GHZ1618" i="1"/>
  <c r="GHY1618" i="1"/>
  <c r="GHX1618" i="1"/>
  <c r="GHW1618" i="1"/>
  <c r="GHV1618" i="1"/>
  <c r="GHU1618" i="1"/>
  <c r="GHT1618" i="1"/>
  <c r="GHS1618" i="1"/>
  <c r="GHR1618" i="1"/>
  <c r="GHQ1618" i="1"/>
  <c r="GHP1618" i="1"/>
  <c r="GHO1618" i="1"/>
  <c r="GHN1618" i="1"/>
  <c r="GHM1618" i="1"/>
  <c r="GHL1618" i="1"/>
  <c r="GHK1618" i="1"/>
  <c r="GHJ1618" i="1"/>
  <c r="GHI1618" i="1"/>
  <c r="GHH1618" i="1"/>
  <c r="GHG1618" i="1"/>
  <c r="GHF1618" i="1"/>
  <c r="GHE1618" i="1"/>
  <c r="GHD1618" i="1"/>
  <c r="GHC1618" i="1"/>
  <c r="GHB1618" i="1"/>
  <c r="GHA1618" i="1"/>
  <c r="GGZ1618" i="1"/>
  <c r="GGY1618" i="1"/>
  <c r="GGX1618" i="1"/>
  <c r="GGW1618" i="1"/>
  <c r="GGV1618" i="1"/>
  <c r="GGU1618" i="1"/>
  <c r="GGT1618" i="1"/>
  <c r="GGS1618" i="1"/>
  <c r="GGR1618" i="1"/>
  <c r="GGQ1618" i="1"/>
  <c r="GGP1618" i="1"/>
  <c r="GGO1618" i="1"/>
  <c r="GGN1618" i="1"/>
  <c r="GGM1618" i="1"/>
  <c r="GGL1618" i="1"/>
  <c r="GGK1618" i="1"/>
  <c r="GGJ1618" i="1"/>
  <c r="GGI1618" i="1"/>
  <c r="GGH1618" i="1"/>
  <c r="GGG1618" i="1"/>
  <c r="GGF1618" i="1"/>
  <c r="GGE1618" i="1"/>
  <c r="GGD1618" i="1"/>
  <c r="GGC1618" i="1"/>
  <c r="GGB1618" i="1"/>
  <c r="GGA1618" i="1"/>
  <c r="GFZ1618" i="1"/>
  <c r="GFY1618" i="1"/>
  <c r="GFX1618" i="1"/>
  <c r="GFW1618" i="1"/>
  <c r="GFV1618" i="1"/>
  <c r="GFU1618" i="1"/>
  <c r="GFT1618" i="1"/>
  <c r="GFS1618" i="1"/>
  <c r="GFR1618" i="1"/>
  <c r="GFQ1618" i="1"/>
  <c r="GFP1618" i="1"/>
  <c r="GFO1618" i="1"/>
  <c r="GFN1618" i="1"/>
  <c r="GFM1618" i="1"/>
  <c r="GFL1618" i="1"/>
  <c r="GFK1618" i="1"/>
  <c r="GFJ1618" i="1"/>
  <c r="GFI1618" i="1"/>
  <c r="GFH1618" i="1"/>
  <c r="GFG1618" i="1"/>
  <c r="GFF1618" i="1"/>
  <c r="GFE1618" i="1"/>
  <c r="GFD1618" i="1"/>
  <c r="GFC1618" i="1"/>
  <c r="GFB1618" i="1"/>
  <c r="GFA1618" i="1"/>
  <c r="GEZ1618" i="1"/>
  <c r="GEY1618" i="1"/>
  <c r="GEX1618" i="1"/>
  <c r="GEW1618" i="1"/>
  <c r="GEV1618" i="1"/>
  <c r="GEU1618" i="1"/>
  <c r="GET1618" i="1"/>
  <c r="GES1618" i="1"/>
  <c r="GER1618" i="1"/>
  <c r="GEQ1618" i="1"/>
  <c r="GEP1618" i="1"/>
  <c r="GEO1618" i="1"/>
  <c r="GEN1618" i="1"/>
  <c r="GEM1618" i="1"/>
  <c r="GEL1618" i="1"/>
  <c r="GEK1618" i="1"/>
  <c r="GEJ1618" i="1"/>
  <c r="GEI1618" i="1"/>
  <c r="GEH1618" i="1"/>
  <c r="GEG1618" i="1"/>
  <c r="GEF1618" i="1"/>
  <c r="GEE1618" i="1"/>
  <c r="GED1618" i="1"/>
  <c r="GEC1618" i="1"/>
  <c r="GEB1618" i="1"/>
  <c r="GEA1618" i="1"/>
  <c r="GDZ1618" i="1"/>
  <c r="GDY1618" i="1"/>
  <c r="GDX1618" i="1"/>
  <c r="GDW1618" i="1"/>
  <c r="GDV1618" i="1"/>
  <c r="GDU1618" i="1"/>
  <c r="GDT1618" i="1"/>
  <c r="GDS1618" i="1"/>
  <c r="GDR1618" i="1"/>
  <c r="GDQ1618" i="1"/>
  <c r="GDP1618" i="1"/>
  <c r="GDO1618" i="1"/>
  <c r="GDN1618" i="1"/>
  <c r="GDM1618" i="1"/>
  <c r="GDL1618" i="1"/>
  <c r="GDK1618" i="1"/>
  <c r="GDJ1618" i="1"/>
  <c r="GDI1618" i="1"/>
  <c r="GDH1618" i="1"/>
  <c r="GDG1618" i="1"/>
  <c r="GDF1618" i="1"/>
  <c r="GDE1618" i="1"/>
  <c r="GDD1618" i="1"/>
  <c r="GDC1618" i="1"/>
  <c r="GDB1618" i="1"/>
  <c r="GDA1618" i="1"/>
  <c r="GCZ1618" i="1"/>
  <c r="GCY1618" i="1"/>
  <c r="GCX1618" i="1"/>
  <c r="GCW1618" i="1"/>
  <c r="GCV1618" i="1"/>
  <c r="GCU1618" i="1"/>
  <c r="GCT1618" i="1"/>
  <c r="GCS1618" i="1"/>
  <c r="GCR1618" i="1"/>
  <c r="GCQ1618" i="1"/>
  <c r="GCP1618" i="1"/>
  <c r="GCO1618" i="1"/>
  <c r="GCN1618" i="1"/>
  <c r="GCM1618" i="1"/>
  <c r="GCL1618" i="1"/>
  <c r="GCK1618" i="1"/>
  <c r="GCJ1618" i="1"/>
  <c r="GCI1618" i="1"/>
  <c r="GCH1618" i="1"/>
  <c r="GCG1618" i="1"/>
  <c r="GCF1618" i="1"/>
  <c r="GCE1618" i="1"/>
  <c r="GCD1618" i="1"/>
  <c r="GCC1618" i="1"/>
  <c r="GCB1618" i="1"/>
  <c r="GCA1618" i="1"/>
  <c r="GBZ1618" i="1"/>
  <c r="GBY1618" i="1"/>
  <c r="GBX1618" i="1"/>
  <c r="GBW1618" i="1"/>
  <c r="GBV1618" i="1"/>
  <c r="GBU1618" i="1"/>
  <c r="GBT1618" i="1"/>
  <c r="GBS1618" i="1"/>
  <c r="GBR1618" i="1"/>
  <c r="GBQ1618" i="1"/>
  <c r="GBP1618" i="1"/>
  <c r="GBO1618" i="1"/>
  <c r="GBN1618" i="1"/>
  <c r="GBM1618" i="1"/>
  <c r="GBL1618" i="1"/>
  <c r="GBK1618" i="1"/>
  <c r="GBJ1618" i="1"/>
  <c r="GBI1618" i="1"/>
  <c r="GBH1618" i="1"/>
  <c r="GBG1618" i="1"/>
  <c r="GBF1618" i="1"/>
  <c r="GBE1618" i="1"/>
  <c r="GBD1618" i="1"/>
  <c r="GBC1618" i="1"/>
  <c r="GBB1618" i="1"/>
  <c r="GBA1618" i="1"/>
  <c r="GAZ1618" i="1"/>
  <c r="GAY1618" i="1"/>
  <c r="GAX1618" i="1"/>
  <c r="GAW1618" i="1"/>
  <c r="GAV1618" i="1"/>
  <c r="GAU1618" i="1"/>
  <c r="GAT1618" i="1"/>
  <c r="GAS1618" i="1"/>
  <c r="GAR1618" i="1"/>
  <c r="GAQ1618" i="1"/>
  <c r="GAP1618" i="1"/>
  <c r="GAO1618" i="1"/>
  <c r="GAN1618" i="1"/>
  <c r="GAM1618" i="1"/>
  <c r="GAL1618" i="1"/>
  <c r="GAK1618" i="1"/>
  <c r="GAJ1618" i="1"/>
  <c r="GAI1618" i="1"/>
  <c r="GAH1618" i="1"/>
  <c r="GAG1618" i="1"/>
  <c r="GAF1618" i="1"/>
  <c r="GAE1618" i="1"/>
  <c r="GAD1618" i="1"/>
  <c r="GAC1618" i="1"/>
  <c r="GAB1618" i="1"/>
  <c r="GAA1618" i="1"/>
  <c r="FZZ1618" i="1"/>
  <c r="FZY1618" i="1"/>
  <c r="FZX1618" i="1"/>
  <c r="FZW1618" i="1"/>
  <c r="FZV1618" i="1"/>
  <c r="FZU1618" i="1"/>
  <c r="FZT1618" i="1"/>
  <c r="FZS1618" i="1"/>
  <c r="FZR1618" i="1"/>
  <c r="FZQ1618" i="1"/>
  <c r="FZP1618" i="1"/>
  <c r="FZO1618" i="1"/>
  <c r="FZN1618" i="1"/>
  <c r="FZM1618" i="1"/>
  <c r="FZL1618" i="1"/>
  <c r="FZK1618" i="1"/>
  <c r="FZJ1618" i="1"/>
  <c r="FZI1618" i="1"/>
  <c r="FZH1618" i="1"/>
  <c r="FZG1618" i="1"/>
  <c r="FZF1618" i="1"/>
  <c r="FZE1618" i="1"/>
  <c r="FZD1618" i="1"/>
  <c r="FZC1618" i="1"/>
  <c r="FZB1618" i="1"/>
  <c r="FZA1618" i="1"/>
  <c r="FYZ1618" i="1"/>
  <c r="FYY1618" i="1"/>
  <c r="FYX1618" i="1"/>
  <c r="FYW1618" i="1"/>
  <c r="FYV1618" i="1"/>
  <c r="FYU1618" i="1"/>
  <c r="FYT1618" i="1"/>
  <c r="FYS1618" i="1"/>
  <c r="FYR1618" i="1"/>
  <c r="FYQ1618" i="1"/>
  <c r="FYP1618" i="1"/>
  <c r="FYO1618" i="1"/>
  <c r="FYN1618" i="1"/>
  <c r="FYM1618" i="1"/>
  <c r="FYL1618" i="1"/>
  <c r="FYK1618" i="1"/>
  <c r="FYJ1618" i="1"/>
  <c r="FYI1618" i="1"/>
  <c r="FYH1618" i="1"/>
  <c r="FYG1618" i="1"/>
  <c r="FYF1618" i="1"/>
  <c r="FYE1618" i="1"/>
  <c r="FYD1618" i="1"/>
  <c r="FYC1618" i="1"/>
  <c r="FYB1618" i="1"/>
  <c r="FYA1618" i="1"/>
  <c r="FXZ1618" i="1"/>
  <c r="FXY1618" i="1"/>
  <c r="FXX1618" i="1"/>
  <c r="FXW1618" i="1"/>
  <c r="FXV1618" i="1"/>
  <c r="FXU1618" i="1"/>
  <c r="FXT1618" i="1"/>
  <c r="FXS1618" i="1"/>
  <c r="FXR1618" i="1"/>
  <c r="FXQ1618" i="1"/>
  <c r="FXP1618" i="1"/>
  <c r="FXO1618" i="1"/>
  <c r="FXN1618" i="1"/>
  <c r="FXM1618" i="1"/>
  <c r="FXL1618" i="1"/>
  <c r="FXK1618" i="1"/>
  <c r="FXJ1618" i="1"/>
  <c r="FXI1618" i="1"/>
  <c r="FXH1618" i="1"/>
  <c r="FXG1618" i="1"/>
  <c r="FXF1618" i="1"/>
  <c r="FXE1618" i="1"/>
  <c r="FXD1618" i="1"/>
  <c r="FXC1618" i="1"/>
  <c r="FXB1618" i="1"/>
  <c r="FXA1618" i="1"/>
  <c r="FWZ1618" i="1"/>
  <c r="FWY1618" i="1"/>
  <c r="FWX1618" i="1"/>
  <c r="FWW1618" i="1"/>
  <c r="FWV1618" i="1"/>
  <c r="FWU1618" i="1"/>
  <c r="FWT1618" i="1"/>
  <c r="FWS1618" i="1"/>
  <c r="FWR1618" i="1"/>
  <c r="FWQ1618" i="1"/>
  <c r="FWP1618" i="1"/>
  <c r="FWO1618" i="1"/>
  <c r="FWN1618" i="1"/>
  <c r="FWM1618" i="1"/>
  <c r="FWL1618" i="1"/>
  <c r="FWK1618" i="1"/>
  <c r="FWJ1618" i="1"/>
  <c r="FWI1618" i="1"/>
  <c r="FWH1618" i="1"/>
  <c r="FWG1618" i="1"/>
  <c r="FWF1618" i="1"/>
  <c r="FWE1618" i="1"/>
  <c r="FWD1618" i="1"/>
  <c r="FWC1618" i="1"/>
  <c r="FWB1618" i="1"/>
  <c r="FWA1618" i="1"/>
  <c r="FVZ1618" i="1"/>
  <c r="FVY1618" i="1"/>
  <c r="FVX1618" i="1"/>
  <c r="FVW1618" i="1"/>
  <c r="FVV1618" i="1"/>
  <c r="FVU1618" i="1"/>
  <c r="FVT1618" i="1"/>
  <c r="FVS1618" i="1"/>
  <c r="FVR1618" i="1"/>
  <c r="FVQ1618" i="1"/>
  <c r="FVP1618" i="1"/>
  <c r="FVO1618" i="1"/>
  <c r="FVN1618" i="1"/>
  <c r="FVM1618" i="1"/>
  <c r="FVL1618" i="1"/>
  <c r="FVK1618" i="1"/>
  <c r="FVJ1618" i="1"/>
  <c r="FVI1618" i="1"/>
  <c r="FVH1618" i="1"/>
  <c r="FVG1618" i="1"/>
  <c r="FVF1618" i="1"/>
  <c r="FVE1618" i="1"/>
  <c r="FVD1618" i="1"/>
  <c r="FVC1618" i="1"/>
  <c r="FVB1618" i="1"/>
  <c r="FVA1618" i="1"/>
  <c r="FUZ1618" i="1"/>
  <c r="FUY1618" i="1"/>
  <c r="FUX1618" i="1"/>
  <c r="FUW1618" i="1"/>
  <c r="FUV1618" i="1"/>
  <c r="FUU1618" i="1"/>
  <c r="FUT1618" i="1"/>
  <c r="FUS1618" i="1"/>
  <c r="FUR1618" i="1"/>
  <c r="FUQ1618" i="1"/>
  <c r="FUP1618" i="1"/>
  <c r="FUO1618" i="1"/>
  <c r="FUN1618" i="1"/>
  <c r="FUM1618" i="1"/>
  <c r="FUL1618" i="1"/>
  <c r="FUK1618" i="1"/>
  <c r="FUJ1618" i="1"/>
  <c r="FUI1618" i="1"/>
  <c r="FUH1618" i="1"/>
  <c r="FUG1618" i="1"/>
  <c r="FUF1618" i="1"/>
  <c r="FUE1618" i="1"/>
  <c r="FUD1618" i="1"/>
  <c r="FUC1618" i="1"/>
  <c r="FUB1618" i="1"/>
  <c r="FUA1618" i="1"/>
  <c r="FTZ1618" i="1"/>
  <c r="FTY1618" i="1"/>
  <c r="FTX1618" i="1"/>
  <c r="FTW1618" i="1"/>
  <c r="FTV1618" i="1"/>
  <c r="FTU1618" i="1"/>
  <c r="FTT1618" i="1"/>
  <c r="FTS1618" i="1"/>
  <c r="FTR1618" i="1"/>
  <c r="FTQ1618" i="1"/>
  <c r="FTP1618" i="1"/>
  <c r="FTO1618" i="1"/>
  <c r="FTN1618" i="1"/>
  <c r="FTM1618" i="1"/>
  <c r="FTL1618" i="1"/>
  <c r="FTK1618" i="1"/>
  <c r="FTJ1618" i="1"/>
  <c r="FTI1618" i="1"/>
  <c r="FTH1618" i="1"/>
  <c r="FTG1618" i="1"/>
  <c r="FTF1618" i="1"/>
  <c r="FTE1618" i="1"/>
  <c r="FTD1618" i="1"/>
  <c r="FTC1618" i="1"/>
  <c r="FTB1618" i="1"/>
  <c r="FTA1618" i="1"/>
  <c r="FSZ1618" i="1"/>
  <c r="FSY1618" i="1"/>
  <c r="FSX1618" i="1"/>
  <c r="FSW1618" i="1"/>
  <c r="FSV1618" i="1"/>
  <c r="FSU1618" i="1"/>
  <c r="FST1618" i="1"/>
  <c r="FSS1618" i="1"/>
  <c r="FSR1618" i="1"/>
  <c r="FSQ1618" i="1"/>
  <c r="FSP1618" i="1"/>
  <c r="FSO1618" i="1"/>
  <c r="FSN1618" i="1"/>
  <c r="FSM1618" i="1"/>
  <c r="FSL1618" i="1"/>
  <c r="FSK1618" i="1"/>
  <c r="FSJ1618" i="1"/>
  <c r="FSI1618" i="1"/>
  <c r="FSH1618" i="1"/>
  <c r="FSG1618" i="1"/>
  <c r="FSF1618" i="1"/>
  <c r="FSE1618" i="1"/>
  <c r="FSD1618" i="1"/>
  <c r="FSC1618" i="1"/>
  <c r="FSB1618" i="1"/>
  <c r="FSA1618" i="1"/>
  <c r="FRZ1618" i="1"/>
  <c r="FRY1618" i="1"/>
  <c r="FRX1618" i="1"/>
  <c r="FRW1618" i="1"/>
  <c r="FRV1618" i="1"/>
  <c r="FRU1618" i="1"/>
  <c r="FRT1618" i="1"/>
  <c r="FRS1618" i="1"/>
  <c r="FRR1618" i="1"/>
  <c r="FRQ1618" i="1"/>
  <c r="FRP1618" i="1"/>
  <c r="FRO1618" i="1"/>
  <c r="FRN1618" i="1"/>
  <c r="FRM1618" i="1"/>
  <c r="FRL1618" i="1"/>
  <c r="FRK1618" i="1"/>
  <c r="FRJ1618" i="1"/>
  <c r="FRI1618" i="1"/>
  <c r="FRH1618" i="1"/>
  <c r="FRG1618" i="1"/>
  <c r="FRF1618" i="1"/>
  <c r="FRE1618" i="1"/>
  <c r="FRD1618" i="1"/>
  <c r="FRC1618" i="1"/>
  <c r="FRB1618" i="1"/>
  <c r="FRA1618" i="1"/>
  <c r="FQZ1618" i="1"/>
  <c r="FQY1618" i="1"/>
  <c r="FQX1618" i="1"/>
  <c r="FQW1618" i="1"/>
  <c r="FQV1618" i="1"/>
  <c r="FQU1618" i="1"/>
  <c r="FQT1618" i="1"/>
  <c r="FQS1618" i="1"/>
  <c r="FQR1618" i="1"/>
  <c r="FQQ1618" i="1"/>
  <c r="FQP1618" i="1"/>
  <c r="FQO1618" i="1"/>
  <c r="FQN1618" i="1"/>
  <c r="FQM1618" i="1"/>
  <c r="FQL1618" i="1"/>
  <c r="FQK1618" i="1"/>
  <c r="FQJ1618" i="1"/>
  <c r="FQI1618" i="1"/>
  <c r="FQH1618" i="1"/>
  <c r="FQG1618" i="1"/>
  <c r="FQF1618" i="1"/>
  <c r="FQE1618" i="1"/>
  <c r="FQD1618" i="1"/>
  <c r="FQC1618" i="1"/>
  <c r="FQB1618" i="1"/>
  <c r="FQA1618" i="1"/>
  <c r="FPZ1618" i="1"/>
  <c r="FPY1618" i="1"/>
  <c r="FPX1618" i="1"/>
  <c r="FPW1618" i="1"/>
  <c r="FPV1618" i="1"/>
  <c r="FPU1618" i="1"/>
  <c r="FPT1618" i="1"/>
  <c r="FPS1618" i="1"/>
  <c r="FPR1618" i="1"/>
  <c r="FPQ1618" i="1"/>
  <c r="FPP1618" i="1"/>
  <c r="FPO1618" i="1"/>
  <c r="FPN1618" i="1"/>
  <c r="FPM1618" i="1"/>
  <c r="FPL1618" i="1"/>
  <c r="FPK1618" i="1"/>
  <c r="FPJ1618" i="1"/>
  <c r="FPI1618" i="1"/>
  <c r="FPH1618" i="1"/>
  <c r="FPG1618" i="1"/>
  <c r="FPF1618" i="1"/>
  <c r="FPE1618" i="1"/>
  <c r="FPD1618" i="1"/>
  <c r="FPC1618" i="1"/>
  <c r="FPB1618" i="1"/>
  <c r="FPA1618" i="1"/>
  <c r="FOZ1618" i="1"/>
  <c r="FOY1618" i="1"/>
  <c r="FOX1618" i="1"/>
  <c r="FOW1618" i="1"/>
  <c r="FOV1618" i="1"/>
  <c r="FOU1618" i="1"/>
  <c r="FOT1618" i="1"/>
  <c r="FOS1618" i="1"/>
  <c r="FOR1618" i="1"/>
  <c r="FOQ1618" i="1"/>
  <c r="FOP1618" i="1"/>
  <c r="FOO1618" i="1"/>
  <c r="FON1618" i="1"/>
  <c r="FOM1618" i="1"/>
  <c r="FOL1618" i="1"/>
  <c r="FOK1618" i="1"/>
  <c r="FOJ1618" i="1"/>
  <c r="FOI1618" i="1"/>
  <c r="FOH1618" i="1"/>
  <c r="FOG1618" i="1"/>
  <c r="FOF1618" i="1"/>
  <c r="FOE1618" i="1"/>
  <c r="FOD1618" i="1"/>
  <c r="FOC1618" i="1"/>
  <c r="FOB1618" i="1"/>
  <c r="FOA1618" i="1"/>
  <c r="FNZ1618" i="1"/>
  <c r="FNY1618" i="1"/>
  <c r="FNX1618" i="1"/>
  <c r="FNW1618" i="1"/>
  <c r="FNV1618" i="1"/>
  <c r="FNU1618" i="1"/>
  <c r="FNT1618" i="1"/>
  <c r="FNS1618" i="1"/>
  <c r="FNR1618" i="1"/>
  <c r="FNQ1618" i="1"/>
  <c r="FNP1618" i="1"/>
  <c r="FNO1618" i="1"/>
  <c r="FNN1618" i="1"/>
  <c r="FNM1618" i="1"/>
  <c r="FNL1618" i="1"/>
  <c r="FNK1618" i="1"/>
  <c r="FNJ1618" i="1"/>
  <c r="FNI1618" i="1"/>
  <c r="FNH1618" i="1"/>
  <c r="FNG1618" i="1"/>
  <c r="FNF1618" i="1"/>
  <c r="FNE1618" i="1"/>
  <c r="FND1618" i="1"/>
  <c r="FNC1618" i="1"/>
  <c r="FNB1618" i="1"/>
  <c r="FNA1618" i="1"/>
  <c r="FMZ1618" i="1"/>
  <c r="FMY1618" i="1"/>
  <c r="FMX1618" i="1"/>
  <c r="FMW1618" i="1"/>
  <c r="FMV1618" i="1"/>
  <c r="FMU1618" i="1"/>
  <c r="FMT1618" i="1"/>
  <c r="FMS1618" i="1"/>
  <c r="FMR1618" i="1"/>
  <c r="FMQ1618" i="1"/>
  <c r="FMP1618" i="1"/>
  <c r="FMO1618" i="1"/>
  <c r="FMN1618" i="1"/>
  <c r="FMM1618" i="1"/>
  <c r="FML1618" i="1"/>
  <c r="FMK1618" i="1"/>
  <c r="FMJ1618" i="1"/>
  <c r="FMI1618" i="1"/>
  <c r="FMH1618" i="1"/>
  <c r="FMG1618" i="1"/>
  <c r="FMF1618" i="1"/>
  <c r="FME1618" i="1"/>
  <c r="FMD1618" i="1"/>
  <c r="FMC1618" i="1"/>
  <c r="FMB1618" i="1"/>
  <c r="FMA1618" i="1"/>
  <c r="FLZ1618" i="1"/>
  <c r="FLY1618" i="1"/>
  <c r="FLX1618" i="1"/>
  <c r="FLW1618" i="1"/>
  <c r="FLV1618" i="1"/>
  <c r="FLU1618" i="1"/>
  <c r="FLT1618" i="1"/>
  <c r="FLS1618" i="1"/>
  <c r="FLR1618" i="1"/>
  <c r="FLQ1618" i="1"/>
  <c r="FLP1618" i="1"/>
  <c r="FLO1618" i="1"/>
  <c r="FLN1618" i="1"/>
  <c r="FLM1618" i="1"/>
  <c r="FLL1618" i="1"/>
  <c r="FLK1618" i="1"/>
  <c r="FLJ1618" i="1"/>
  <c r="FLI1618" i="1"/>
  <c r="FLH1618" i="1"/>
  <c r="FLG1618" i="1"/>
  <c r="FLF1618" i="1"/>
  <c r="FLE1618" i="1"/>
  <c r="FLD1618" i="1"/>
  <c r="FLC1618" i="1"/>
  <c r="FLB1618" i="1"/>
  <c r="FLA1618" i="1"/>
  <c r="FKZ1618" i="1"/>
  <c r="FKY1618" i="1"/>
  <c r="FKX1618" i="1"/>
  <c r="FKW1618" i="1"/>
  <c r="FKV1618" i="1"/>
  <c r="FKU1618" i="1"/>
  <c r="FKT1618" i="1"/>
  <c r="FKS1618" i="1"/>
  <c r="FKR1618" i="1"/>
  <c r="FKQ1618" i="1"/>
  <c r="FKP1618" i="1"/>
  <c r="FKO1618" i="1"/>
  <c r="FKN1618" i="1"/>
  <c r="FKM1618" i="1"/>
  <c r="FKL1618" i="1"/>
  <c r="FKK1618" i="1"/>
  <c r="FKJ1618" i="1"/>
  <c r="FKI1618" i="1"/>
  <c r="FKH1618" i="1"/>
  <c r="FKG1618" i="1"/>
  <c r="FKF1618" i="1"/>
  <c r="FKE1618" i="1"/>
  <c r="FKD1618" i="1"/>
  <c r="FKC1618" i="1"/>
  <c r="FKB1618" i="1"/>
  <c r="FKA1618" i="1"/>
  <c r="FJZ1618" i="1"/>
  <c r="FJY1618" i="1"/>
  <c r="FJX1618" i="1"/>
  <c r="FJW1618" i="1"/>
  <c r="FJV1618" i="1"/>
  <c r="FJU1618" i="1"/>
  <c r="FJT1618" i="1"/>
  <c r="FJS1618" i="1"/>
  <c r="FJR1618" i="1"/>
  <c r="FJQ1618" i="1"/>
  <c r="FJP1618" i="1"/>
  <c r="FJO1618" i="1"/>
  <c r="FJN1618" i="1"/>
  <c r="FJM1618" i="1"/>
  <c r="FJL1618" i="1"/>
  <c r="FJK1618" i="1"/>
  <c r="FJJ1618" i="1"/>
  <c r="FJI1618" i="1"/>
  <c r="FJH1618" i="1"/>
  <c r="FJG1618" i="1"/>
  <c r="FJF1618" i="1"/>
  <c r="FJE1618" i="1"/>
  <c r="FJD1618" i="1"/>
  <c r="FJC1618" i="1"/>
  <c r="FJB1618" i="1"/>
  <c r="FJA1618" i="1"/>
  <c r="FIZ1618" i="1"/>
  <c r="FIY1618" i="1"/>
  <c r="FIX1618" i="1"/>
  <c r="FIW1618" i="1"/>
  <c r="FIV1618" i="1"/>
  <c r="FIU1618" i="1"/>
  <c r="FIT1618" i="1"/>
  <c r="FIS1618" i="1"/>
  <c r="FIR1618" i="1"/>
  <c r="FIQ1618" i="1"/>
  <c r="FIP1618" i="1"/>
  <c r="FIO1618" i="1"/>
  <c r="FIN1618" i="1"/>
  <c r="FIM1618" i="1"/>
  <c r="FIL1618" i="1"/>
  <c r="FIK1618" i="1"/>
  <c r="FIJ1618" i="1"/>
  <c r="FII1618" i="1"/>
  <c r="FIH1618" i="1"/>
  <c r="FIG1618" i="1"/>
  <c r="FIF1618" i="1"/>
  <c r="FIE1618" i="1"/>
  <c r="FID1618" i="1"/>
  <c r="FIC1618" i="1"/>
  <c r="FIB1618" i="1"/>
  <c r="FIA1618" i="1"/>
  <c r="FHZ1618" i="1"/>
  <c r="FHY1618" i="1"/>
  <c r="FHX1618" i="1"/>
  <c r="FHW1618" i="1"/>
  <c r="FHV1618" i="1"/>
  <c r="FHU1618" i="1"/>
  <c r="FHT1618" i="1"/>
  <c r="FHS1618" i="1"/>
  <c r="FHR1618" i="1"/>
  <c r="FHQ1618" i="1"/>
  <c r="FHP1618" i="1"/>
  <c r="FHO1618" i="1"/>
  <c r="FHN1618" i="1"/>
  <c r="FHM1618" i="1"/>
  <c r="FHL1618" i="1"/>
  <c r="FHK1618" i="1"/>
  <c r="FHJ1618" i="1"/>
  <c r="FHI1618" i="1"/>
  <c r="FHH1618" i="1"/>
  <c r="FHG1618" i="1"/>
  <c r="FHF1618" i="1"/>
  <c r="FHE1618" i="1"/>
  <c r="FHD1618" i="1"/>
  <c r="FHC1618" i="1"/>
  <c r="FHB1618" i="1"/>
  <c r="FHA1618" i="1"/>
  <c r="FGZ1618" i="1"/>
  <c r="FGY1618" i="1"/>
  <c r="FGX1618" i="1"/>
  <c r="FGW1618" i="1"/>
  <c r="FGV1618" i="1"/>
  <c r="FGU1618" i="1"/>
  <c r="FGT1618" i="1"/>
  <c r="FGS1618" i="1"/>
  <c r="FGR1618" i="1"/>
  <c r="FGQ1618" i="1"/>
  <c r="FGP1618" i="1"/>
  <c r="FGO1618" i="1"/>
  <c r="FGN1618" i="1"/>
  <c r="FGM1618" i="1"/>
  <c r="FGL1618" i="1"/>
  <c r="FGK1618" i="1"/>
  <c r="FGJ1618" i="1"/>
  <c r="FGI1618" i="1"/>
  <c r="FGH1618" i="1"/>
  <c r="FGG1618" i="1"/>
  <c r="FGF1618" i="1"/>
  <c r="FGE1618" i="1"/>
  <c r="FGD1618" i="1"/>
  <c r="FGC1618" i="1"/>
  <c r="FGB1618" i="1"/>
  <c r="FGA1618" i="1"/>
  <c r="FFZ1618" i="1"/>
  <c r="FFY1618" i="1"/>
  <c r="FFX1618" i="1"/>
  <c r="FFW1618" i="1"/>
  <c r="FFV1618" i="1"/>
  <c r="FFU1618" i="1"/>
  <c r="FFT1618" i="1"/>
  <c r="FFS1618" i="1"/>
  <c r="FFR1618" i="1"/>
  <c r="FFQ1618" i="1"/>
  <c r="FFP1618" i="1"/>
  <c r="FFO1618" i="1"/>
  <c r="FFN1618" i="1"/>
  <c r="FFM1618" i="1"/>
  <c r="FFL1618" i="1"/>
  <c r="FFK1618" i="1"/>
  <c r="FFJ1618" i="1"/>
  <c r="FFI1618" i="1"/>
  <c r="FFH1618" i="1"/>
  <c r="FFG1618" i="1"/>
  <c r="FFF1618" i="1"/>
  <c r="FFE1618" i="1"/>
  <c r="FFD1618" i="1"/>
  <c r="FFC1618" i="1"/>
  <c r="FFB1618" i="1"/>
  <c r="FFA1618" i="1"/>
  <c r="FEZ1618" i="1"/>
  <c r="FEY1618" i="1"/>
  <c r="FEX1618" i="1"/>
  <c r="FEW1618" i="1"/>
  <c r="FEV1618" i="1"/>
  <c r="FEU1618" i="1"/>
  <c r="FET1618" i="1"/>
  <c r="FES1618" i="1"/>
  <c r="FER1618" i="1"/>
  <c r="FEQ1618" i="1"/>
  <c r="FEP1618" i="1"/>
  <c r="FEO1618" i="1"/>
  <c r="FEN1618" i="1"/>
  <c r="FEM1618" i="1"/>
  <c r="FEL1618" i="1"/>
  <c r="FEK1618" i="1"/>
  <c r="FEJ1618" i="1"/>
  <c r="FEI1618" i="1"/>
  <c r="FEH1618" i="1"/>
  <c r="FEG1618" i="1"/>
  <c r="FEF1618" i="1"/>
  <c r="FEE1618" i="1"/>
  <c r="FED1618" i="1"/>
  <c r="FEC1618" i="1"/>
  <c r="FEB1618" i="1"/>
  <c r="FEA1618" i="1"/>
  <c r="FDZ1618" i="1"/>
  <c r="FDY1618" i="1"/>
  <c r="FDX1618" i="1"/>
  <c r="FDW1618" i="1"/>
  <c r="FDV1618" i="1"/>
  <c r="FDU1618" i="1"/>
  <c r="FDT1618" i="1"/>
  <c r="FDS1618" i="1"/>
  <c r="FDR1618" i="1"/>
  <c r="FDQ1618" i="1"/>
  <c r="FDP1618" i="1"/>
  <c r="FDO1618" i="1"/>
  <c r="FDN1618" i="1"/>
  <c r="FDM1618" i="1"/>
  <c r="FDL1618" i="1"/>
  <c r="FDK1618" i="1"/>
  <c r="FDJ1618" i="1"/>
  <c r="FDI1618" i="1"/>
  <c r="FDH1618" i="1"/>
  <c r="FDG1618" i="1"/>
  <c r="FDF1618" i="1"/>
  <c r="FDE1618" i="1"/>
  <c r="FDD1618" i="1"/>
  <c r="FDC1618" i="1"/>
  <c r="FDB1618" i="1"/>
  <c r="FDA1618" i="1"/>
  <c r="FCZ1618" i="1"/>
  <c r="FCY1618" i="1"/>
  <c r="FCX1618" i="1"/>
  <c r="FCW1618" i="1"/>
  <c r="FCV1618" i="1"/>
  <c r="FCU1618" i="1"/>
  <c r="FCT1618" i="1"/>
  <c r="FCS1618" i="1"/>
  <c r="FCR1618" i="1"/>
  <c r="FCQ1618" i="1"/>
  <c r="FCP1618" i="1"/>
  <c r="FCO1618" i="1"/>
  <c r="FCN1618" i="1"/>
  <c r="FCM1618" i="1"/>
  <c r="FCL1618" i="1"/>
  <c r="FCK1618" i="1"/>
  <c r="FCJ1618" i="1"/>
  <c r="FCI1618" i="1"/>
  <c r="FCH1618" i="1"/>
  <c r="FCG1618" i="1"/>
  <c r="FCF1618" i="1"/>
  <c r="FCE1618" i="1"/>
  <c r="FCD1618" i="1"/>
  <c r="FCC1618" i="1"/>
  <c r="FCB1618" i="1"/>
  <c r="FCA1618" i="1"/>
  <c r="FBZ1618" i="1"/>
  <c r="FBY1618" i="1"/>
  <c r="FBX1618" i="1"/>
  <c r="FBW1618" i="1"/>
  <c r="FBV1618" i="1"/>
  <c r="FBU1618" i="1"/>
  <c r="FBT1618" i="1"/>
  <c r="FBS1618" i="1"/>
  <c r="FBR1618" i="1"/>
  <c r="FBQ1618" i="1"/>
  <c r="FBP1618" i="1"/>
  <c r="FBO1618" i="1"/>
  <c r="FBN1618" i="1"/>
  <c r="FBM1618" i="1"/>
  <c r="FBL1618" i="1"/>
  <c r="FBK1618" i="1"/>
  <c r="FBJ1618" i="1"/>
  <c r="FBI1618" i="1"/>
  <c r="FBH1618" i="1"/>
  <c r="FBG1618" i="1"/>
  <c r="FBF1618" i="1"/>
  <c r="FBE1618" i="1"/>
  <c r="FBD1618" i="1"/>
  <c r="FBC1618" i="1"/>
  <c r="FBB1618" i="1"/>
  <c r="FBA1618" i="1"/>
  <c r="FAZ1618" i="1"/>
  <c r="FAY1618" i="1"/>
  <c r="FAX1618" i="1"/>
  <c r="FAW1618" i="1"/>
  <c r="FAV1618" i="1"/>
  <c r="FAU1618" i="1"/>
  <c r="FAT1618" i="1"/>
  <c r="FAS1618" i="1"/>
  <c r="FAR1618" i="1"/>
  <c r="FAQ1618" i="1"/>
  <c r="FAP1618" i="1"/>
  <c r="FAO1618" i="1"/>
  <c r="FAN1618" i="1"/>
  <c r="FAM1618" i="1"/>
  <c r="FAL1618" i="1"/>
  <c r="FAK1618" i="1"/>
  <c r="FAJ1618" i="1"/>
  <c r="FAI1618" i="1"/>
  <c r="FAH1618" i="1"/>
  <c r="FAG1618" i="1"/>
  <c r="FAF1618" i="1"/>
  <c r="FAE1618" i="1"/>
  <c r="FAD1618" i="1"/>
  <c r="FAC1618" i="1"/>
  <c r="FAB1618" i="1"/>
  <c r="FAA1618" i="1"/>
  <c r="EZZ1618" i="1"/>
  <c r="EZY1618" i="1"/>
  <c r="EZX1618" i="1"/>
  <c r="EZW1618" i="1"/>
  <c r="EZV1618" i="1"/>
  <c r="EZU1618" i="1"/>
  <c r="EZT1618" i="1"/>
  <c r="EZS1618" i="1"/>
  <c r="EZR1618" i="1"/>
  <c r="EZQ1618" i="1"/>
  <c r="EZP1618" i="1"/>
  <c r="EZO1618" i="1"/>
  <c r="EZN1618" i="1"/>
  <c r="EZM1618" i="1"/>
  <c r="EZL1618" i="1"/>
  <c r="EZK1618" i="1"/>
  <c r="EZJ1618" i="1"/>
  <c r="EZI1618" i="1"/>
  <c r="EZH1618" i="1"/>
  <c r="EZG1618" i="1"/>
  <c r="EZF1618" i="1"/>
  <c r="EZE1618" i="1"/>
  <c r="EZD1618" i="1"/>
  <c r="EZC1618" i="1"/>
  <c r="EZB1618" i="1"/>
  <c r="EZA1618" i="1"/>
  <c r="EYZ1618" i="1"/>
  <c r="EYY1618" i="1"/>
  <c r="EYX1618" i="1"/>
  <c r="EYW1618" i="1"/>
  <c r="EYV1618" i="1"/>
  <c r="EYU1618" i="1"/>
  <c r="EYT1618" i="1"/>
  <c r="EYS1618" i="1"/>
  <c r="EYR1618" i="1"/>
  <c r="EYQ1618" i="1"/>
  <c r="EYP1618" i="1"/>
  <c r="EYO1618" i="1"/>
  <c r="EYN1618" i="1"/>
  <c r="EYM1618" i="1"/>
  <c r="EYL1618" i="1"/>
  <c r="EYK1618" i="1"/>
  <c r="EYJ1618" i="1"/>
  <c r="EYI1618" i="1"/>
  <c r="EYH1618" i="1"/>
  <c r="EYG1618" i="1"/>
  <c r="EYF1618" i="1"/>
  <c r="EYE1618" i="1"/>
  <c r="EYD1618" i="1"/>
  <c r="EYC1618" i="1"/>
  <c r="EYB1618" i="1"/>
  <c r="EYA1618" i="1"/>
  <c r="EXZ1618" i="1"/>
  <c r="EXY1618" i="1"/>
  <c r="EXX1618" i="1"/>
  <c r="EXW1618" i="1"/>
  <c r="EXV1618" i="1"/>
  <c r="EXU1618" i="1"/>
  <c r="EXT1618" i="1"/>
  <c r="EXS1618" i="1"/>
  <c r="EXR1618" i="1"/>
  <c r="EXQ1618" i="1"/>
  <c r="EXP1618" i="1"/>
  <c r="EXO1618" i="1"/>
  <c r="EXN1618" i="1"/>
  <c r="EXM1618" i="1"/>
  <c r="EXL1618" i="1"/>
  <c r="EXK1618" i="1"/>
  <c r="EXJ1618" i="1"/>
  <c r="EXI1618" i="1"/>
  <c r="EXH1618" i="1"/>
  <c r="EXG1618" i="1"/>
  <c r="EXF1618" i="1"/>
  <c r="EXE1618" i="1"/>
  <c r="EXD1618" i="1"/>
  <c r="EXC1618" i="1"/>
  <c r="EXB1618" i="1"/>
  <c r="EXA1618" i="1"/>
  <c r="EWZ1618" i="1"/>
  <c r="EWY1618" i="1"/>
  <c r="EWX1618" i="1"/>
  <c r="EWW1618" i="1"/>
  <c r="EWV1618" i="1"/>
  <c r="EWU1618" i="1"/>
  <c r="EWT1618" i="1"/>
  <c r="EWS1618" i="1"/>
  <c r="EWR1618" i="1"/>
  <c r="EWQ1618" i="1"/>
  <c r="EWP1618" i="1"/>
  <c r="EWO1618" i="1"/>
  <c r="EWN1618" i="1"/>
  <c r="EWM1618" i="1"/>
  <c r="EWL1618" i="1"/>
  <c r="EWK1618" i="1"/>
  <c r="EWJ1618" i="1"/>
  <c r="EWI1618" i="1"/>
  <c r="EWH1618" i="1"/>
  <c r="EWG1618" i="1"/>
  <c r="EWF1618" i="1"/>
  <c r="EWE1618" i="1"/>
  <c r="EWD1618" i="1"/>
  <c r="EWC1618" i="1"/>
  <c r="EWB1618" i="1"/>
  <c r="EWA1618" i="1"/>
  <c r="EVZ1618" i="1"/>
  <c r="EVY1618" i="1"/>
  <c r="EVX1618" i="1"/>
  <c r="EVW1618" i="1"/>
  <c r="EVV1618" i="1"/>
  <c r="EVU1618" i="1"/>
  <c r="EVT1618" i="1"/>
  <c r="EVS1618" i="1"/>
  <c r="EVR1618" i="1"/>
  <c r="EVQ1618" i="1"/>
  <c r="EVP1618" i="1"/>
  <c r="EVO1618" i="1"/>
  <c r="EVN1618" i="1"/>
  <c r="EVM1618" i="1"/>
  <c r="EVL1618" i="1"/>
  <c r="EVK1618" i="1"/>
  <c r="EVJ1618" i="1"/>
  <c r="EVI1618" i="1"/>
  <c r="EVH1618" i="1"/>
  <c r="EVG1618" i="1"/>
  <c r="EVF1618" i="1"/>
  <c r="EVE1618" i="1"/>
  <c r="EVD1618" i="1"/>
  <c r="EVC1618" i="1"/>
  <c r="EVB1618" i="1"/>
  <c r="EVA1618" i="1"/>
  <c r="EUZ1618" i="1"/>
  <c r="EUY1618" i="1"/>
  <c r="EUX1618" i="1"/>
  <c r="EUW1618" i="1"/>
  <c r="EUV1618" i="1"/>
  <c r="EUU1618" i="1"/>
  <c r="EUT1618" i="1"/>
  <c r="EUS1618" i="1"/>
  <c r="EUR1618" i="1"/>
  <c r="EUQ1618" i="1"/>
  <c r="EUP1618" i="1"/>
  <c r="EUO1618" i="1"/>
  <c r="EUN1618" i="1"/>
  <c r="EUM1618" i="1"/>
  <c r="EUL1618" i="1"/>
  <c r="EUK1618" i="1"/>
  <c r="EUJ1618" i="1"/>
  <c r="EUI1618" i="1"/>
  <c r="EUH1618" i="1"/>
  <c r="EUG1618" i="1"/>
  <c r="EUF1618" i="1"/>
  <c r="EUE1618" i="1"/>
  <c r="EUD1618" i="1"/>
  <c r="EUC1618" i="1"/>
  <c r="EUB1618" i="1"/>
  <c r="EUA1618" i="1"/>
  <c r="ETZ1618" i="1"/>
  <c r="ETY1618" i="1"/>
  <c r="ETX1618" i="1"/>
  <c r="ETW1618" i="1"/>
  <c r="ETV1618" i="1"/>
  <c r="ETU1618" i="1"/>
  <c r="ETT1618" i="1"/>
  <c r="ETS1618" i="1"/>
  <c r="ETR1618" i="1"/>
  <c r="ETQ1618" i="1"/>
  <c r="ETP1618" i="1"/>
  <c r="ETO1618" i="1"/>
  <c r="ETN1618" i="1"/>
  <c r="ETM1618" i="1"/>
  <c r="ETL1618" i="1"/>
  <c r="ETK1618" i="1"/>
  <c r="ETJ1618" i="1"/>
  <c r="ETI1618" i="1"/>
  <c r="ETH1618" i="1"/>
  <c r="ETG1618" i="1"/>
  <c r="ETF1618" i="1"/>
  <c r="ETE1618" i="1"/>
  <c r="ETD1618" i="1"/>
  <c r="ETC1618" i="1"/>
  <c r="ETB1618" i="1"/>
  <c r="ETA1618" i="1"/>
  <c r="ESZ1618" i="1"/>
  <c r="ESY1618" i="1"/>
  <c r="ESX1618" i="1"/>
  <c r="ESW1618" i="1"/>
  <c r="ESV1618" i="1"/>
  <c r="ESU1618" i="1"/>
  <c r="EST1618" i="1"/>
  <c r="ESS1618" i="1"/>
  <c r="ESR1618" i="1"/>
  <c r="ESQ1618" i="1"/>
  <c r="ESP1618" i="1"/>
  <c r="ESO1618" i="1"/>
  <c r="ESN1618" i="1"/>
  <c r="ESM1618" i="1"/>
  <c r="ESL1618" i="1"/>
  <c r="ESK1618" i="1"/>
  <c r="ESJ1618" i="1"/>
  <c r="ESI1618" i="1"/>
  <c r="ESH1618" i="1"/>
  <c r="ESG1618" i="1"/>
  <c r="ESF1618" i="1"/>
  <c r="ESE1618" i="1"/>
  <c r="ESD1618" i="1"/>
  <c r="ESC1618" i="1"/>
  <c r="ESB1618" i="1"/>
  <c r="ESA1618" i="1"/>
  <c r="ERZ1618" i="1"/>
  <c r="ERY1618" i="1"/>
  <c r="ERX1618" i="1"/>
  <c r="ERW1618" i="1"/>
  <c r="ERV1618" i="1"/>
  <c r="ERU1618" i="1"/>
  <c r="ERT1618" i="1"/>
  <c r="ERS1618" i="1"/>
  <c r="ERR1618" i="1"/>
  <c r="ERQ1618" i="1"/>
  <c r="ERP1618" i="1"/>
  <c r="ERO1618" i="1"/>
  <c r="ERN1618" i="1"/>
  <c r="ERM1618" i="1"/>
  <c r="ERL1618" i="1"/>
  <c r="ERK1618" i="1"/>
  <c r="ERJ1618" i="1"/>
  <c r="ERI1618" i="1"/>
  <c r="ERH1618" i="1"/>
  <c r="ERG1618" i="1"/>
  <c r="ERF1618" i="1"/>
  <c r="ERE1618" i="1"/>
  <c r="ERD1618" i="1"/>
  <c r="ERC1618" i="1"/>
  <c r="ERB1618" i="1"/>
  <c r="ERA1618" i="1"/>
  <c r="EQZ1618" i="1"/>
  <c r="EQY1618" i="1"/>
  <c r="EQX1618" i="1"/>
  <c r="EQW1618" i="1"/>
  <c r="EQV1618" i="1"/>
  <c r="EQU1618" i="1"/>
  <c r="EQT1618" i="1"/>
  <c r="EQS1618" i="1"/>
  <c r="EQR1618" i="1"/>
  <c r="EQQ1618" i="1"/>
  <c r="EQP1618" i="1"/>
  <c r="EQO1618" i="1"/>
  <c r="EQN1618" i="1"/>
  <c r="EQM1618" i="1"/>
  <c r="EQL1618" i="1"/>
  <c r="EQK1618" i="1"/>
  <c r="EQJ1618" i="1"/>
  <c r="EQI1618" i="1"/>
  <c r="EQH1618" i="1"/>
  <c r="EQG1618" i="1"/>
  <c r="EQF1618" i="1"/>
  <c r="EQE1618" i="1"/>
  <c r="EQD1618" i="1"/>
  <c r="EQC1618" i="1"/>
  <c r="EQB1618" i="1"/>
  <c r="EQA1618" i="1"/>
  <c r="EPZ1618" i="1"/>
  <c r="EPY1618" i="1"/>
  <c r="EPX1618" i="1"/>
  <c r="EPW1618" i="1"/>
  <c r="EPV1618" i="1"/>
  <c r="EPU1618" i="1"/>
  <c r="EPT1618" i="1"/>
  <c r="EPS1618" i="1"/>
  <c r="EPR1618" i="1"/>
  <c r="EPQ1618" i="1"/>
  <c r="EPP1618" i="1"/>
  <c r="EPO1618" i="1"/>
  <c r="EPN1618" i="1"/>
  <c r="EPM1618" i="1"/>
  <c r="EPL1618" i="1"/>
  <c r="EPK1618" i="1"/>
  <c r="EPJ1618" i="1"/>
  <c r="EPI1618" i="1"/>
  <c r="EPH1618" i="1"/>
  <c r="EPG1618" i="1"/>
  <c r="EPF1618" i="1"/>
  <c r="EPE1618" i="1"/>
  <c r="EPD1618" i="1"/>
  <c r="EPC1618" i="1"/>
  <c r="EPB1618" i="1"/>
  <c r="EPA1618" i="1"/>
  <c r="EOZ1618" i="1"/>
  <c r="EOY1618" i="1"/>
  <c r="EOX1618" i="1"/>
  <c r="EOW1618" i="1"/>
  <c r="EOV1618" i="1"/>
  <c r="EOU1618" i="1"/>
  <c r="EOT1618" i="1"/>
  <c r="EOS1618" i="1"/>
  <c r="EOR1618" i="1"/>
  <c r="EOQ1618" i="1"/>
  <c r="EOP1618" i="1"/>
  <c r="EOO1618" i="1"/>
  <c r="EON1618" i="1"/>
  <c r="EOM1618" i="1"/>
  <c r="EOL1618" i="1"/>
  <c r="EOK1618" i="1"/>
  <c r="EOJ1618" i="1"/>
  <c r="EOI1618" i="1"/>
  <c r="EOH1618" i="1"/>
  <c r="EOG1618" i="1"/>
  <c r="EOF1618" i="1"/>
  <c r="EOE1618" i="1"/>
  <c r="EOD1618" i="1"/>
  <c r="EOC1618" i="1"/>
  <c r="EOB1618" i="1"/>
  <c r="EOA1618" i="1"/>
  <c r="ENZ1618" i="1"/>
  <c r="ENY1618" i="1"/>
  <c r="ENX1618" i="1"/>
  <c r="ENW1618" i="1"/>
  <c r="ENV1618" i="1"/>
  <c r="ENU1618" i="1"/>
  <c r="ENT1618" i="1"/>
  <c r="ENS1618" i="1"/>
  <c r="ENR1618" i="1"/>
  <c r="ENQ1618" i="1"/>
  <c r="ENP1618" i="1"/>
  <c r="ENO1618" i="1"/>
  <c r="ENN1618" i="1"/>
  <c r="ENM1618" i="1"/>
  <c r="ENL1618" i="1"/>
  <c r="ENK1618" i="1"/>
  <c r="ENJ1618" i="1"/>
  <c r="ENI1618" i="1"/>
  <c r="ENH1618" i="1"/>
  <c r="ENG1618" i="1"/>
  <c r="ENF1618" i="1"/>
  <c r="ENE1618" i="1"/>
  <c r="END1618" i="1"/>
  <c r="ENC1618" i="1"/>
  <c r="ENB1618" i="1"/>
  <c r="ENA1618" i="1"/>
  <c r="EMZ1618" i="1"/>
  <c r="EMY1618" i="1"/>
  <c r="EMX1618" i="1"/>
  <c r="EMW1618" i="1"/>
  <c r="EMV1618" i="1"/>
  <c r="EMU1618" i="1"/>
  <c r="EMT1618" i="1"/>
  <c r="EMS1618" i="1"/>
  <c r="EMR1618" i="1"/>
  <c r="EMQ1618" i="1"/>
  <c r="EMP1618" i="1"/>
  <c r="EMO1618" i="1"/>
  <c r="EMN1618" i="1"/>
  <c r="EMM1618" i="1"/>
  <c r="EML1618" i="1"/>
  <c r="EMK1618" i="1"/>
  <c r="EMJ1618" i="1"/>
  <c r="EMI1618" i="1"/>
  <c r="EMH1618" i="1"/>
  <c r="EMG1618" i="1"/>
  <c r="EMF1618" i="1"/>
  <c r="EME1618" i="1"/>
  <c r="EMD1618" i="1"/>
  <c r="EMC1618" i="1"/>
  <c r="EMB1618" i="1"/>
  <c r="EMA1618" i="1"/>
  <c r="ELZ1618" i="1"/>
  <c r="ELY1618" i="1"/>
  <c r="ELX1618" i="1"/>
  <c r="ELW1618" i="1"/>
  <c r="ELV1618" i="1"/>
  <c r="ELU1618" i="1"/>
  <c r="ELT1618" i="1"/>
  <c r="ELS1618" i="1"/>
  <c r="ELR1618" i="1"/>
  <c r="ELQ1618" i="1"/>
  <c r="ELP1618" i="1"/>
  <c r="ELO1618" i="1"/>
  <c r="ELN1618" i="1"/>
  <c r="ELM1618" i="1"/>
  <c r="ELL1618" i="1"/>
  <c r="ELK1618" i="1"/>
  <c r="ELJ1618" i="1"/>
  <c r="ELI1618" i="1"/>
  <c r="ELH1618" i="1"/>
  <c r="ELG1618" i="1"/>
  <c r="ELF1618" i="1"/>
  <c r="ELE1618" i="1"/>
  <c r="ELD1618" i="1"/>
  <c r="ELC1618" i="1"/>
  <c r="ELB1618" i="1"/>
  <c r="ELA1618" i="1"/>
  <c r="EKZ1618" i="1"/>
  <c r="EKY1618" i="1"/>
  <c r="EKX1618" i="1"/>
  <c r="EKW1618" i="1"/>
  <c r="EKV1618" i="1"/>
  <c r="EKU1618" i="1"/>
  <c r="EKT1618" i="1"/>
  <c r="EKS1618" i="1"/>
  <c r="EKR1618" i="1"/>
  <c r="EKQ1618" i="1"/>
  <c r="EKP1618" i="1"/>
  <c r="EKO1618" i="1"/>
  <c r="EKN1618" i="1"/>
  <c r="EKM1618" i="1"/>
  <c r="EKL1618" i="1"/>
  <c r="EKK1618" i="1"/>
  <c r="EKJ1618" i="1"/>
  <c r="EKI1618" i="1"/>
  <c r="EKH1618" i="1"/>
  <c r="EKG1618" i="1"/>
  <c r="EKF1618" i="1"/>
  <c r="EKE1618" i="1"/>
  <c r="EKD1618" i="1"/>
  <c r="EKC1618" i="1"/>
  <c r="EKB1618" i="1"/>
  <c r="EKA1618" i="1"/>
  <c r="EJZ1618" i="1"/>
  <c r="EJY1618" i="1"/>
  <c r="EJX1618" i="1"/>
  <c r="EJW1618" i="1"/>
  <c r="EJV1618" i="1"/>
  <c r="EJU1618" i="1"/>
  <c r="EJT1618" i="1"/>
  <c r="EJS1618" i="1"/>
  <c r="EJR1618" i="1"/>
  <c r="EJQ1618" i="1"/>
  <c r="EJP1618" i="1"/>
  <c r="EJO1618" i="1"/>
  <c r="EJN1618" i="1"/>
  <c r="EJM1618" i="1"/>
  <c r="EJL1618" i="1"/>
  <c r="EJK1618" i="1"/>
  <c r="EJJ1618" i="1"/>
  <c r="EJI1618" i="1"/>
  <c r="EJH1618" i="1"/>
  <c r="EJG1618" i="1"/>
  <c r="EJF1618" i="1"/>
  <c r="EJE1618" i="1"/>
  <c r="EJD1618" i="1"/>
  <c r="EJC1618" i="1"/>
  <c r="EJB1618" i="1"/>
  <c r="EJA1618" i="1"/>
  <c r="EIZ1618" i="1"/>
  <c r="EIY1618" i="1"/>
  <c r="EIX1618" i="1"/>
  <c r="EIW1618" i="1"/>
  <c r="EIV1618" i="1"/>
  <c r="EIU1618" i="1"/>
  <c r="EIT1618" i="1"/>
  <c r="EIS1618" i="1"/>
  <c r="EIR1618" i="1"/>
  <c r="EIQ1618" i="1"/>
  <c r="EIP1618" i="1"/>
  <c r="EIO1618" i="1"/>
  <c r="EIN1618" i="1"/>
  <c r="EIM1618" i="1"/>
  <c r="EIL1618" i="1"/>
  <c r="EIK1618" i="1"/>
  <c r="EIJ1618" i="1"/>
  <c r="EII1618" i="1"/>
  <c r="EIH1618" i="1"/>
  <c r="EIG1618" i="1"/>
  <c r="EIF1618" i="1"/>
  <c r="EIE1618" i="1"/>
  <c r="EID1618" i="1"/>
  <c r="EIC1618" i="1"/>
  <c r="EIB1618" i="1"/>
  <c r="EIA1618" i="1"/>
  <c r="EHZ1618" i="1"/>
  <c r="EHY1618" i="1"/>
  <c r="EHX1618" i="1"/>
  <c r="EHW1618" i="1"/>
  <c r="EHV1618" i="1"/>
  <c r="EHU1618" i="1"/>
  <c r="EHT1618" i="1"/>
  <c r="EHS1618" i="1"/>
  <c r="EHR1618" i="1"/>
  <c r="EHQ1618" i="1"/>
  <c r="EHP1618" i="1"/>
  <c r="EHO1618" i="1"/>
  <c r="EHN1618" i="1"/>
  <c r="EHM1618" i="1"/>
  <c r="EHL1618" i="1"/>
  <c r="EHK1618" i="1"/>
  <c r="EHJ1618" i="1"/>
  <c r="EHI1618" i="1"/>
  <c r="EHH1618" i="1"/>
  <c r="EHG1618" i="1"/>
  <c r="EHF1618" i="1"/>
  <c r="EHE1618" i="1"/>
  <c r="EHD1618" i="1"/>
  <c r="EHC1618" i="1"/>
  <c r="EHB1618" i="1"/>
  <c r="EHA1618" i="1"/>
  <c r="EGZ1618" i="1"/>
  <c r="EGY1618" i="1"/>
  <c r="EGX1618" i="1"/>
  <c r="EGW1618" i="1"/>
  <c r="EGV1618" i="1"/>
  <c r="EGU1618" i="1"/>
  <c r="EGT1618" i="1"/>
  <c r="EGS1618" i="1"/>
  <c r="EGR1618" i="1"/>
  <c r="EGQ1618" i="1"/>
  <c r="EGP1618" i="1"/>
  <c r="EGO1618" i="1"/>
  <c r="EGN1618" i="1"/>
  <c r="EGM1618" i="1"/>
  <c r="EGL1618" i="1"/>
  <c r="EGK1618" i="1"/>
  <c r="EGJ1618" i="1"/>
  <c r="EGI1618" i="1"/>
  <c r="EGH1618" i="1"/>
  <c r="EGG1618" i="1"/>
  <c r="EGF1618" i="1"/>
  <c r="EGE1618" i="1"/>
  <c r="EGD1618" i="1"/>
  <c r="EGC1618" i="1"/>
  <c r="EGB1618" i="1"/>
  <c r="EGA1618" i="1"/>
  <c r="EFZ1618" i="1"/>
  <c r="EFY1618" i="1"/>
  <c r="EFX1618" i="1"/>
  <c r="EFW1618" i="1"/>
  <c r="EFV1618" i="1"/>
  <c r="EFU1618" i="1"/>
  <c r="EFT1618" i="1"/>
  <c r="EFS1618" i="1"/>
  <c r="EFR1618" i="1"/>
  <c r="EFQ1618" i="1"/>
  <c r="EFP1618" i="1"/>
  <c r="EFO1618" i="1"/>
  <c r="EFN1618" i="1"/>
  <c r="EFM1618" i="1"/>
  <c r="EFL1618" i="1"/>
  <c r="EFK1618" i="1"/>
  <c r="EFJ1618" i="1"/>
  <c r="EFI1618" i="1"/>
  <c r="EFH1618" i="1"/>
  <c r="EFG1618" i="1"/>
  <c r="EFF1618" i="1"/>
  <c r="EFE1618" i="1"/>
  <c r="EFD1618" i="1"/>
  <c r="EFC1618" i="1"/>
  <c r="EFB1618" i="1"/>
  <c r="EFA1618" i="1"/>
  <c r="EEZ1618" i="1"/>
  <c r="EEY1618" i="1"/>
  <c r="EEX1618" i="1"/>
  <c r="EEW1618" i="1"/>
  <c r="EEV1618" i="1"/>
  <c r="EEU1618" i="1"/>
  <c r="EET1618" i="1"/>
  <c r="EES1618" i="1"/>
  <c r="EER1618" i="1"/>
  <c r="EEQ1618" i="1"/>
  <c r="EEP1618" i="1"/>
  <c r="EEO1618" i="1"/>
  <c r="EEN1618" i="1"/>
  <c r="EEM1618" i="1"/>
  <c r="EEL1618" i="1"/>
  <c r="EEK1618" i="1"/>
  <c r="EEJ1618" i="1"/>
  <c r="EEI1618" i="1"/>
  <c r="EEH1618" i="1"/>
  <c r="EEG1618" i="1"/>
  <c r="EEF1618" i="1"/>
  <c r="EEE1618" i="1"/>
  <c r="EED1618" i="1"/>
  <c r="EEC1618" i="1"/>
  <c r="EEB1618" i="1"/>
  <c r="EEA1618" i="1"/>
  <c r="EDZ1618" i="1"/>
  <c r="EDY1618" i="1"/>
  <c r="EDX1618" i="1"/>
  <c r="EDW1618" i="1"/>
  <c r="EDV1618" i="1"/>
  <c r="EDU1618" i="1"/>
  <c r="EDT1618" i="1"/>
  <c r="EDS1618" i="1"/>
  <c r="EDR1618" i="1"/>
  <c r="EDQ1618" i="1"/>
  <c r="EDP1618" i="1"/>
  <c r="EDO1618" i="1"/>
  <c r="EDN1618" i="1"/>
  <c r="EDM1618" i="1"/>
  <c r="EDL1618" i="1"/>
  <c r="EDK1618" i="1"/>
  <c r="EDJ1618" i="1"/>
  <c r="EDI1618" i="1"/>
  <c r="EDH1618" i="1"/>
  <c r="EDG1618" i="1"/>
  <c r="EDF1618" i="1"/>
  <c r="EDE1618" i="1"/>
  <c r="EDD1618" i="1"/>
  <c r="EDC1618" i="1"/>
  <c r="EDB1618" i="1"/>
  <c r="EDA1618" i="1"/>
  <c r="ECZ1618" i="1"/>
  <c r="ECY1618" i="1"/>
  <c r="ECX1618" i="1"/>
  <c r="ECW1618" i="1"/>
  <c r="ECV1618" i="1"/>
  <c r="ECU1618" i="1"/>
  <c r="ECT1618" i="1"/>
  <c r="ECS1618" i="1"/>
  <c r="ECR1618" i="1"/>
  <c r="ECQ1618" i="1"/>
  <c r="ECP1618" i="1"/>
  <c r="ECO1618" i="1"/>
  <c r="ECN1618" i="1"/>
  <c r="ECM1618" i="1"/>
  <c r="ECL1618" i="1"/>
  <c r="ECK1618" i="1"/>
  <c r="ECJ1618" i="1"/>
  <c r="ECI1618" i="1"/>
  <c r="ECH1618" i="1"/>
  <c r="ECG1618" i="1"/>
  <c r="ECF1618" i="1"/>
  <c r="ECE1618" i="1"/>
  <c r="ECD1618" i="1"/>
  <c r="ECC1618" i="1"/>
  <c r="ECB1618" i="1"/>
  <c r="ECA1618" i="1"/>
  <c r="EBZ1618" i="1"/>
  <c r="EBY1618" i="1"/>
  <c r="EBX1618" i="1"/>
  <c r="EBW1618" i="1"/>
  <c r="EBV1618" i="1"/>
  <c r="EBU1618" i="1"/>
  <c r="EBT1618" i="1"/>
  <c r="EBS1618" i="1"/>
  <c r="EBR1618" i="1"/>
  <c r="EBQ1618" i="1"/>
  <c r="EBP1618" i="1"/>
  <c r="EBO1618" i="1"/>
  <c r="EBN1618" i="1"/>
  <c r="EBM1618" i="1"/>
  <c r="EBL1618" i="1"/>
  <c r="EBK1618" i="1"/>
  <c r="EBJ1618" i="1"/>
  <c r="EBI1618" i="1"/>
  <c r="EBH1618" i="1"/>
  <c r="EBG1618" i="1"/>
  <c r="EBF1618" i="1"/>
  <c r="EBE1618" i="1"/>
  <c r="EBD1618" i="1"/>
  <c r="EBC1618" i="1"/>
  <c r="EBB1618" i="1"/>
  <c r="EBA1618" i="1"/>
  <c r="EAZ1618" i="1"/>
  <c r="EAY1618" i="1"/>
  <c r="EAX1618" i="1"/>
  <c r="EAW1618" i="1"/>
  <c r="EAV1618" i="1"/>
  <c r="EAU1618" i="1"/>
  <c r="EAT1618" i="1"/>
  <c r="EAS1618" i="1"/>
  <c r="EAR1618" i="1"/>
  <c r="EAQ1618" i="1"/>
  <c r="EAP1618" i="1"/>
  <c r="EAO1618" i="1"/>
  <c r="EAN1618" i="1"/>
  <c r="EAM1618" i="1"/>
  <c r="EAL1618" i="1"/>
  <c r="EAK1618" i="1"/>
  <c r="EAJ1618" i="1"/>
  <c r="EAI1618" i="1"/>
  <c r="EAH1618" i="1"/>
  <c r="EAG1618" i="1"/>
  <c r="EAF1618" i="1"/>
  <c r="EAE1618" i="1"/>
  <c r="EAD1618" i="1"/>
  <c r="EAC1618" i="1"/>
  <c r="EAB1618" i="1"/>
  <c r="EAA1618" i="1"/>
  <c r="DZZ1618" i="1"/>
  <c r="DZY1618" i="1"/>
  <c r="DZX1618" i="1"/>
  <c r="DZW1618" i="1"/>
  <c r="DZV1618" i="1"/>
  <c r="DZU1618" i="1"/>
  <c r="DZT1618" i="1"/>
  <c r="DZS1618" i="1"/>
  <c r="DZR1618" i="1"/>
  <c r="DZQ1618" i="1"/>
  <c r="DZP1618" i="1"/>
  <c r="DZO1618" i="1"/>
  <c r="DZN1618" i="1"/>
  <c r="DZM1618" i="1"/>
  <c r="DZL1618" i="1"/>
  <c r="DZK1618" i="1"/>
  <c r="DZJ1618" i="1"/>
  <c r="DZI1618" i="1"/>
  <c r="DZH1618" i="1"/>
  <c r="DZG1618" i="1"/>
  <c r="DZF1618" i="1"/>
  <c r="DZE1618" i="1"/>
  <c r="DZD1618" i="1"/>
  <c r="DZC1618" i="1"/>
  <c r="DZB1618" i="1"/>
  <c r="DZA1618" i="1"/>
  <c r="DYZ1618" i="1"/>
  <c r="DYY1618" i="1"/>
  <c r="DYX1618" i="1"/>
  <c r="DYW1618" i="1"/>
  <c r="DYV1618" i="1"/>
  <c r="DYU1618" i="1"/>
  <c r="DYT1618" i="1"/>
  <c r="DYS1618" i="1"/>
  <c r="DYR1618" i="1"/>
  <c r="DYQ1618" i="1"/>
  <c r="DYP1618" i="1"/>
  <c r="DYO1618" i="1"/>
  <c r="DYN1618" i="1"/>
  <c r="DYM1618" i="1"/>
  <c r="DYL1618" i="1"/>
  <c r="DYK1618" i="1"/>
  <c r="DYJ1618" i="1"/>
  <c r="DYI1618" i="1"/>
  <c r="DYH1618" i="1"/>
  <c r="DYG1618" i="1"/>
  <c r="DYF1618" i="1"/>
  <c r="DYE1618" i="1"/>
  <c r="DYD1618" i="1"/>
  <c r="DYC1618" i="1"/>
  <c r="DYB1618" i="1"/>
  <c r="DYA1618" i="1"/>
  <c r="DXZ1618" i="1"/>
  <c r="DXY1618" i="1"/>
  <c r="DXX1618" i="1"/>
  <c r="DXW1618" i="1"/>
  <c r="DXV1618" i="1"/>
  <c r="DXU1618" i="1"/>
  <c r="DXT1618" i="1"/>
  <c r="DXS1618" i="1"/>
  <c r="DXR1618" i="1"/>
  <c r="DXQ1618" i="1"/>
  <c r="DXP1618" i="1"/>
  <c r="DXO1618" i="1"/>
  <c r="DXN1618" i="1"/>
  <c r="DXM1618" i="1"/>
  <c r="DXL1618" i="1"/>
  <c r="DXK1618" i="1"/>
  <c r="DXJ1618" i="1"/>
  <c r="DXI1618" i="1"/>
  <c r="DXH1618" i="1"/>
  <c r="DXG1618" i="1"/>
  <c r="DXF1618" i="1"/>
  <c r="DXE1618" i="1"/>
  <c r="DXD1618" i="1"/>
  <c r="DXC1618" i="1"/>
  <c r="DXB1618" i="1"/>
  <c r="DXA1618" i="1"/>
  <c r="DWZ1618" i="1"/>
  <c r="DWY1618" i="1"/>
  <c r="DWX1618" i="1"/>
  <c r="DWW1618" i="1"/>
  <c r="DWV1618" i="1"/>
  <c r="DWU1618" i="1"/>
  <c r="DWT1618" i="1"/>
  <c r="DWS1618" i="1"/>
  <c r="DWR1618" i="1"/>
  <c r="DWQ1618" i="1"/>
  <c r="DWP1618" i="1"/>
  <c r="DWO1618" i="1"/>
  <c r="DWN1618" i="1"/>
  <c r="DWM1618" i="1"/>
  <c r="DWL1618" i="1"/>
  <c r="DWK1618" i="1"/>
  <c r="DWJ1618" i="1"/>
  <c r="DWI1618" i="1"/>
  <c r="DWH1618" i="1"/>
  <c r="DWG1618" i="1"/>
  <c r="DWF1618" i="1"/>
  <c r="DWE1618" i="1"/>
  <c r="DWD1618" i="1"/>
  <c r="DWC1618" i="1"/>
  <c r="DWB1618" i="1"/>
  <c r="DWA1618" i="1"/>
  <c r="DVZ1618" i="1"/>
  <c r="DVY1618" i="1"/>
  <c r="DVX1618" i="1"/>
  <c r="DVW1618" i="1"/>
  <c r="DVV1618" i="1"/>
  <c r="DVU1618" i="1"/>
  <c r="DVT1618" i="1"/>
  <c r="DVS1618" i="1"/>
  <c r="DVR1618" i="1"/>
  <c r="DVQ1618" i="1"/>
  <c r="DVP1618" i="1"/>
  <c r="DVO1618" i="1"/>
  <c r="DVN1618" i="1"/>
  <c r="DVM1618" i="1"/>
  <c r="DVL1618" i="1"/>
  <c r="DVK1618" i="1"/>
  <c r="DVJ1618" i="1"/>
  <c r="DVI1618" i="1"/>
  <c r="DVH1618" i="1"/>
  <c r="DVG1618" i="1"/>
  <c r="DVF1618" i="1"/>
  <c r="DVE1618" i="1"/>
  <c r="DVD1618" i="1"/>
  <c r="DVC1618" i="1"/>
  <c r="DVB1618" i="1"/>
  <c r="DVA1618" i="1"/>
  <c r="DUZ1618" i="1"/>
  <c r="DUY1618" i="1"/>
  <c r="DUX1618" i="1"/>
  <c r="DUW1618" i="1"/>
  <c r="DUV1618" i="1"/>
  <c r="DUU1618" i="1"/>
  <c r="DUT1618" i="1"/>
  <c r="DUS1618" i="1"/>
  <c r="DUR1618" i="1"/>
  <c r="DUQ1618" i="1"/>
  <c r="DUP1618" i="1"/>
  <c r="DUO1618" i="1"/>
  <c r="DUN1618" i="1"/>
  <c r="DUM1618" i="1"/>
  <c r="DUL1618" i="1"/>
  <c r="DUK1618" i="1"/>
  <c r="DUJ1618" i="1"/>
  <c r="DUI1618" i="1"/>
  <c r="DUH1618" i="1"/>
  <c r="DUG1618" i="1"/>
  <c r="DUF1618" i="1"/>
  <c r="DUE1618" i="1"/>
  <c r="DUD1618" i="1"/>
  <c r="DUC1618" i="1"/>
  <c r="DUB1618" i="1"/>
  <c r="DUA1618" i="1"/>
  <c r="DTZ1618" i="1"/>
  <c r="DTY1618" i="1"/>
  <c r="DTX1618" i="1"/>
  <c r="DTW1618" i="1"/>
  <c r="DTV1618" i="1"/>
  <c r="DTU1618" i="1"/>
  <c r="DTT1618" i="1"/>
  <c r="DTS1618" i="1"/>
  <c r="DTR1618" i="1"/>
  <c r="DTQ1618" i="1"/>
  <c r="DTP1618" i="1"/>
  <c r="DTO1618" i="1"/>
  <c r="DTN1618" i="1"/>
  <c r="DTM1618" i="1"/>
  <c r="DTL1618" i="1"/>
  <c r="DTK1618" i="1"/>
  <c r="DTJ1618" i="1"/>
  <c r="DTI1618" i="1"/>
  <c r="DTH1618" i="1"/>
  <c r="DTG1618" i="1"/>
  <c r="DTF1618" i="1"/>
  <c r="DTE1618" i="1"/>
  <c r="DTD1618" i="1"/>
  <c r="DTC1618" i="1"/>
  <c r="DTB1618" i="1"/>
  <c r="DTA1618" i="1"/>
  <c r="DSZ1618" i="1"/>
  <c r="DSY1618" i="1"/>
  <c r="DSX1618" i="1"/>
  <c r="DSW1618" i="1"/>
  <c r="DSV1618" i="1"/>
  <c r="DSU1618" i="1"/>
  <c r="DST1618" i="1"/>
  <c r="DSS1618" i="1"/>
  <c r="DSR1618" i="1"/>
  <c r="DSQ1618" i="1"/>
  <c r="DSP1618" i="1"/>
  <c r="DSO1618" i="1"/>
  <c r="DSN1618" i="1"/>
  <c r="DSM1618" i="1"/>
  <c r="DSL1618" i="1"/>
  <c r="DSK1618" i="1"/>
  <c r="DSJ1618" i="1"/>
  <c r="DSI1618" i="1"/>
  <c r="DSH1618" i="1"/>
  <c r="DSG1618" i="1"/>
  <c r="DSF1618" i="1"/>
  <c r="DSE1618" i="1"/>
  <c r="DSD1618" i="1"/>
  <c r="DSC1618" i="1"/>
  <c r="DSB1618" i="1"/>
  <c r="DSA1618" i="1"/>
  <c r="DRZ1618" i="1"/>
  <c r="DRY1618" i="1"/>
  <c r="DRX1618" i="1"/>
  <c r="DRW1618" i="1"/>
  <c r="DRV1618" i="1"/>
  <c r="DRU1618" i="1"/>
  <c r="DRT1618" i="1"/>
  <c r="DRS1618" i="1"/>
  <c r="DRR1618" i="1"/>
  <c r="DRQ1618" i="1"/>
  <c r="DRP1618" i="1"/>
  <c r="DRO1618" i="1"/>
  <c r="DRN1618" i="1"/>
  <c r="DRM1618" i="1"/>
  <c r="DRL1618" i="1"/>
  <c r="DRK1618" i="1"/>
  <c r="DRJ1618" i="1"/>
  <c r="DRI1618" i="1"/>
  <c r="DRH1618" i="1"/>
  <c r="DRG1618" i="1"/>
  <c r="DRF1618" i="1"/>
  <c r="DRE1618" i="1"/>
  <c r="DRD1618" i="1"/>
  <c r="DRC1618" i="1"/>
  <c r="DRB1618" i="1"/>
  <c r="DRA1618" i="1"/>
  <c r="DQZ1618" i="1"/>
  <c r="DQY1618" i="1"/>
  <c r="DQX1618" i="1"/>
  <c r="DQW1618" i="1"/>
  <c r="DQV1618" i="1"/>
  <c r="DQU1618" i="1"/>
  <c r="DQT1618" i="1"/>
  <c r="DQS1618" i="1"/>
  <c r="DQR1618" i="1"/>
  <c r="DQQ1618" i="1"/>
  <c r="DQP1618" i="1"/>
  <c r="DQO1618" i="1"/>
  <c r="DQN1618" i="1"/>
  <c r="DQM1618" i="1"/>
  <c r="DQL1618" i="1"/>
  <c r="DQK1618" i="1"/>
  <c r="DQJ1618" i="1"/>
  <c r="DQI1618" i="1"/>
  <c r="DQH1618" i="1"/>
  <c r="DQG1618" i="1"/>
  <c r="DQF1618" i="1"/>
  <c r="DQE1618" i="1"/>
  <c r="DQD1618" i="1"/>
  <c r="DQC1618" i="1"/>
  <c r="DQB1618" i="1"/>
  <c r="DQA1618" i="1"/>
  <c r="DPZ1618" i="1"/>
  <c r="DPY1618" i="1"/>
  <c r="DPX1618" i="1"/>
  <c r="DPW1618" i="1"/>
  <c r="DPV1618" i="1"/>
  <c r="DPU1618" i="1"/>
  <c r="DPT1618" i="1"/>
  <c r="DPS1618" i="1"/>
  <c r="DPR1618" i="1"/>
  <c r="DPQ1618" i="1"/>
  <c r="DPP1618" i="1"/>
  <c r="DPO1618" i="1"/>
  <c r="DPN1618" i="1"/>
  <c r="DPM1618" i="1"/>
  <c r="DPL1618" i="1"/>
  <c r="DPK1618" i="1"/>
  <c r="DPJ1618" i="1"/>
  <c r="DPI1618" i="1"/>
  <c r="DPH1618" i="1"/>
  <c r="DPG1618" i="1"/>
  <c r="DPF1618" i="1"/>
  <c r="DPE1618" i="1"/>
  <c r="DPD1618" i="1"/>
  <c r="DPC1618" i="1"/>
  <c r="DPB1618" i="1"/>
  <c r="DPA1618" i="1"/>
  <c r="DOZ1618" i="1"/>
  <c r="DOY1618" i="1"/>
  <c r="DOX1618" i="1"/>
  <c r="DOW1618" i="1"/>
  <c r="DOV1618" i="1"/>
  <c r="DOU1618" i="1"/>
  <c r="DOT1618" i="1"/>
  <c r="DOS1618" i="1"/>
  <c r="DOR1618" i="1"/>
  <c r="DOQ1618" i="1"/>
  <c r="DOP1618" i="1"/>
  <c r="DOO1618" i="1"/>
  <c r="DON1618" i="1"/>
  <c r="DOM1618" i="1"/>
  <c r="DOL1618" i="1"/>
  <c r="DOK1618" i="1"/>
  <c r="DOJ1618" i="1"/>
  <c r="DOI1618" i="1"/>
  <c r="DOH1618" i="1"/>
  <c r="DOG1618" i="1"/>
  <c r="DOF1618" i="1"/>
  <c r="DOE1618" i="1"/>
  <c r="DOD1618" i="1"/>
  <c r="DOC1618" i="1"/>
  <c r="DOB1618" i="1"/>
  <c r="DOA1618" i="1"/>
  <c r="DNZ1618" i="1"/>
  <c r="DNY1618" i="1"/>
  <c r="DNX1618" i="1"/>
  <c r="DNW1618" i="1"/>
  <c r="DNV1618" i="1"/>
  <c r="DNU1618" i="1"/>
  <c r="DNT1618" i="1"/>
  <c r="DNS1618" i="1"/>
  <c r="DNR1618" i="1"/>
  <c r="DNQ1618" i="1"/>
  <c r="DNP1618" i="1"/>
  <c r="DNO1618" i="1"/>
  <c r="DNN1618" i="1"/>
  <c r="DNM1618" i="1"/>
  <c r="DNL1618" i="1"/>
  <c r="DNK1618" i="1"/>
  <c r="DNJ1618" i="1"/>
  <c r="DNI1618" i="1"/>
  <c r="DNH1618" i="1"/>
  <c r="DNG1618" i="1"/>
  <c r="DNF1618" i="1"/>
  <c r="DNE1618" i="1"/>
  <c r="DND1618" i="1"/>
  <c r="DNC1618" i="1"/>
  <c r="DNB1618" i="1"/>
  <c r="DNA1618" i="1"/>
  <c r="DMZ1618" i="1"/>
  <c r="DMY1618" i="1"/>
  <c r="DMX1618" i="1"/>
  <c r="DMW1618" i="1"/>
  <c r="DMV1618" i="1"/>
  <c r="DMU1618" i="1"/>
  <c r="DMT1618" i="1"/>
  <c r="DMS1618" i="1"/>
  <c r="DMR1618" i="1"/>
  <c r="DMQ1618" i="1"/>
  <c r="DMP1618" i="1"/>
  <c r="DMO1618" i="1"/>
  <c r="DMN1618" i="1"/>
  <c r="DMM1618" i="1"/>
  <c r="DML1618" i="1"/>
  <c r="DMK1618" i="1"/>
  <c r="DMJ1618" i="1"/>
  <c r="DMI1618" i="1"/>
  <c r="DMH1618" i="1"/>
  <c r="DMG1618" i="1"/>
  <c r="DMF1618" i="1"/>
  <c r="DME1618" i="1"/>
  <c r="DMD1618" i="1"/>
  <c r="DMC1618" i="1"/>
  <c r="DMB1618" i="1"/>
  <c r="DMA1618" i="1"/>
  <c r="DLZ1618" i="1"/>
  <c r="DLY1618" i="1"/>
  <c r="DLX1618" i="1"/>
  <c r="DLW1618" i="1"/>
  <c r="DLV1618" i="1"/>
  <c r="DLU1618" i="1"/>
  <c r="DLT1618" i="1"/>
  <c r="DLS1618" i="1"/>
  <c r="DLR1618" i="1"/>
  <c r="DLQ1618" i="1"/>
  <c r="DLP1618" i="1"/>
  <c r="DLO1618" i="1"/>
  <c r="DLN1618" i="1"/>
  <c r="DLM1618" i="1"/>
  <c r="DLL1618" i="1"/>
  <c r="DLK1618" i="1"/>
  <c r="DLJ1618" i="1"/>
  <c r="DLI1618" i="1"/>
  <c r="DLH1618" i="1"/>
  <c r="DLG1618" i="1"/>
  <c r="DLF1618" i="1"/>
  <c r="DLE1618" i="1"/>
  <c r="DLD1618" i="1"/>
  <c r="DLC1618" i="1"/>
  <c r="DLB1618" i="1"/>
  <c r="DLA1618" i="1"/>
  <c r="DKZ1618" i="1"/>
  <c r="DKY1618" i="1"/>
  <c r="DKX1618" i="1"/>
  <c r="DKW1618" i="1"/>
  <c r="DKV1618" i="1"/>
  <c r="DKU1618" i="1"/>
  <c r="DKT1618" i="1"/>
  <c r="DKS1618" i="1"/>
  <c r="DKR1618" i="1"/>
  <c r="DKQ1618" i="1"/>
  <c r="DKP1618" i="1"/>
  <c r="DKO1618" i="1"/>
  <c r="DKN1618" i="1"/>
  <c r="DKM1618" i="1"/>
  <c r="DKL1618" i="1"/>
  <c r="DKK1618" i="1"/>
  <c r="DKJ1618" i="1"/>
  <c r="DKI1618" i="1"/>
  <c r="DKH1618" i="1"/>
  <c r="DKG1618" i="1"/>
  <c r="DKF1618" i="1"/>
  <c r="DKE1618" i="1"/>
  <c r="DKD1618" i="1"/>
  <c r="DKC1618" i="1"/>
  <c r="DKB1618" i="1"/>
  <c r="DKA1618" i="1"/>
  <c r="DJZ1618" i="1"/>
  <c r="DJY1618" i="1"/>
  <c r="DJX1618" i="1"/>
  <c r="DJW1618" i="1"/>
  <c r="DJV1618" i="1"/>
  <c r="DJU1618" i="1"/>
  <c r="DJT1618" i="1"/>
  <c r="DJS1618" i="1"/>
  <c r="DJR1618" i="1"/>
  <c r="DJQ1618" i="1"/>
  <c r="DJP1618" i="1"/>
  <c r="DJO1618" i="1"/>
  <c r="DJN1618" i="1"/>
  <c r="DJM1618" i="1"/>
  <c r="DJL1618" i="1"/>
  <c r="DJK1618" i="1"/>
  <c r="DJJ1618" i="1"/>
  <c r="DJI1618" i="1"/>
  <c r="DJH1618" i="1"/>
  <c r="DJG1618" i="1"/>
  <c r="DJF1618" i="1"/>
  <c r="DJE1618" i="1"/>
  <c r="DJD1618" i="1"/>
  <c r="DJC1618" i="1"/>
  <c r="DJB1618" i="1"/>
  <c r="DJA1618" i="1"/>
  <c r="DIZ1618" i="1"/>
  <c r="DIY1618" i="1"/>
  <c r="DIX1618" i="1"/>
  <c r="DIW1618" i="1"/>
  <c r="DIV1618" i="1"/>
  <c r="DIU1618" i="1"/>
  <c r="DIT1618" i="1"/>
  <c r="DIS1618" i="1"/>
  <c r="DIR1618" i="1"/>
  <c r="DIQ1618" i="1"/>
  <c r="DIP1618" i="1"/>
  <c r="DIO1618" i="1"/>
  <c r="DIN1618" i="1"/>
  <c r="DIM1618" i="1"/>
  <c r="DIL1618" i="1"/>
  <c r="DIK1618" i="1"/>
  <c r="DIJ1618" i="1"/>
  <c r="DII1618" i="1"/>
  <c r="DIH1618" i="1"/>
  <c r="DIG1618" i="1"/>
  <c r="DIF1618" i="1"/>
  <c r="DIE1618" i="1"/>
  <c r="DID1618" i="1"/>
  <c r="DIC1618" i="1"/>
  <c r="DIB1618" i="1"/>
  <c r="DIA1618" i="1"/>
  <c r="DHZ1618" i="1"/>
  <c r="DHY1618" i="1"/>
  <c r="DHX1618" i="1"/>
  <c r="DHW1618" i="1"/>
  <c r="DHV1618" i="1"/>
  <c r="DHU1618" i="1"/>
  <c r="DHT1618" i="1"/>
  <c r="DHS1618" i="1"/>
  <c r="DHR1618" i="1"/>
  <c r="DHQ1618" i="1"/>
  <c r="DHP1618" i="1"/>
  <c r="DHO1618" i="1"/>
  <c r="DHN1618" i="1"/>
  <c r="DHM1618" i="1"/>
  <c r="DHL1618" i="1"/>
  <c r="DHK1618" i="1"/>
  <c r="DHJ1618" i="1"/>
  <c r="DHI1618" i="1"/>
  <c r="DHH1618" i="1"/>
  <c r="DHG1618" i="1"/>
  <c r="DHF1618" i="1"/>
  <c r="DHE1618" i="1"/>
  <c r="DHD1618" i="1"/>
  <c r="DHC1618" i="1"/>
  <c r="DHB1618" i="1"/>
  <c r="DHA1618" i="1"/>
  <c r="DGZ1618" i="1"/>
  <c r="DGY1618" i="1"/>
  <c r="DGX1618" i="1"/>
  <c r="DGW1618" i="1"/>
  <c r="DGV1618" i="1"/>
  <c r="DGU1618" i="1"/>
  <c r="DGT1618" i="1"/>
  <c r="DGS1618" i="1"/>
  <c r="DGR1618" i="1"/>
  <c r="DGQ1618" i="1"/>
  <c r="DGP1618" i="1"/>
  <c r="DGO1618" i="1"/>
  <c r="DGN1618" i="1"/>
  <c r="DGM1618" i="1"/>
  <c r="DGL1618" i="1"/>
  <c r="DGK1618" i="1"/>
  <c r="DGJ1618" i="1"/>
  <c r="DGI1618" i="1"/>
  <c r="DGH1618" i="1"/>
  <c r="DGG1618" i="1"/>
  <c r="DGF1618" i="1"/>
  <c r="DGE1618" i="1"/>
  <c r="DGD1618" i="1"/>
  <c r="DGC1618" i="1"/>
  <c r="DGB1618" i="1"/>
  <c r="DGA1618" i="1"/>
  <c r="DFZ1618" i="1"/>
  <c r="DFY1618" i="1"/>
  <c r="DFX1618" i="1"/>
  <c r="DFW1618" i="1"/>
  <c r="DFV1618" i="1"/>
  <c r="DFU1618" i="1"/>
  <c r="DFT1618" i="1"/>
  <c r="DFS1618" i="1"/>
  <c r="DFR1618" i="1"/>
  <c r="DFQ1618" i="1"/>
  <c r="DFP1618" i="1"/>
  <c r="DFO1618" i="1"/>
  <c r="DFN1618" i="1"/>
  <c r="DFM1618" i="1"/>
  <c r="DFL1618" i="1"/>
  <c r="DFK1618" i="1"/>
  <c r="DFJ1618" i="1"/>
  <c r="DFI1618" i="1"/>
  <c r="DFH1618" i="1"/>
  <c r="DFG1618" i="1"/>
  <c r="DFF1618" i="1"/>
  <c r="DFE1618" i="1"/>
  <c r="DFD1618" i="1"/>
  <c r="DFC1618" i="1"/>
  <c r="DFB1618" i="1"/>
  <c r="DFA1618" i="1"/>
  <c r="DEZ1618" i="1"/>
  <c r="DEY1618" i="1"/>
  <c r="DEX1618" i="1"/>
  <c r="DEW1618" i="1"/>
  <c r="DEV1618" i="1"/>
  <c r="DEU1618" i="1"/>
  <c r="DET1618" i="1"/>
  <c r="DES1618" i="1"/>
  <c r="DER1618" i="1"/>
  <c r="DEQ1618" i="1"/>
  <c r="DEP1618" i="1"/>
  <c r="DEO1618" i="1"/>
  <c r="DEN1618" i="1"/>
  <c r="DEM1618" i="1"/>
  <c r="DEL1618" i="1"/>
  <c r="DEK1618" i="1"/>
  <c r="DEJ1618" i="1"/>
  <c r="DEI1618" i="1"/>
  <c r="DEH1618" i="1"/>
  <c r="DEG1618" i="1"/>
  <c r="DEF1618" i="1"/>
  <c r="DEE1618" i="1"/>
  <c r="DED1618" i="1"/>
  <c r="DEC1618" i="1"/>
  <c r="DEB1618" i="1"/>
  <c r="DEA1618" i="1"/>
  <c r="DDZ1618" i="1"/>
  <c r="DDY1618" i="1"/>
  <c r="DDX1618" i="1"/>
  <c r="DDW1618" i="1"/>
  <c r="DDV1618" i="1"/>
  <c r="DDU1618" i="1"/>
  <c r="DDT1618" i="1"/>
  <c r="DDS1618" i="1"/>
  <c r="DDR1618" i="1"/>
  <c r="DDQ1618" i="1"/>
  <c r="DDP1618" i="1"/>
  <c r="DDO1618" i="1"/>
  <c r="DDN1618" i="1"/>
  <c r="DDM1618" i="1"/>
  <c r="DDL1618" i="1"/>
  <c r="DDK1618" i="1"/>
  <c r="DDJ1618" i="1"/>
  <c r="DDI1618" i="1"/>
  <c r="DDH1618" i="1"/>
  <c r="DDG1618" i="1"/>
  <c r="DDF1618" i="1"/>
  <c r="DDE1618" i="1"/>
  <c r="DDD1618" i="1"/>
  <c r="DDC1618" i="1"/>
  <c r="DDB1618" i="1"/>
  <c r="DDA1618" i="1"/>
  <c r="DCZ1618" i="1"/>
  <c r="DCY1618" i="1"/>
  <c r="DCX1618" i="1"/>
  <c r="DCW1618" i="1"/>
  <c r="DCV1618" i="1"/>
  <c r="DCU1618" i="1"/>
  <c r="DCT1618" i="1"/>
  <c r="DCS1618" i="1"/>
  <c r="DCR1618" i="1"/>
  <c r="DCQ1618" i="1"/>
  <c r="DCP1618" i="1"/>
  <c r="DCO1618" i="1"/>
  <c r="DCN1618" i="1"/>
  <c r="DCM1618" i="1"/>
  <c r="DCL1618" i="1"/>
  <c r="DCK1618" i="1"/>
  <c r="DCJ1618" i="1"/>
  <c r="DCI1618" i="1"/>
  <c r="DCH1618" i="1"/>
  <c r="DCG1618" i="1"/>
  <c r="DCF1618" i="1"/>
  <c r="DCE1618" i="1"/>
  <c r="DCD1618" i="1"/>
  <c r="DCC1618" i="1"/>
  <c r="DCB1618" i="1"/>
  <c r="DCA1618" i="1"/>
  <c r="DBZ1618" i="1"/>
  <c r="DBY1618" i="1"/>
  <c r="DBX1618" i="1"/>
  <c r="DBW1618" i="1"/>
  <c r="DBV1618" i="1"/>
  <c r="DBU1618" i="1"/>
  <c r="DBT1618" i="1"/>
  <c r="DBS1618" i="1"/>
  <c r="DBR1618" i="1"/>
  <c r="DBQ1618" i="1"/>
  <c r="DBP1618" i="1"/>
  <c r="DBO1618" i="1"/>
  <c r="DBN1618" i="1"/>
  <c r="DBM1618" i="1"/>
  <c r="DBL1618" i="1"/>
  <c r="DBK1618" i="1"/>
  <c r="DBJ1618" i="1"/>
  <c r="DBI1618" i="1"/>
  <c r="DBH1618" i="1"/>
  <c r="DBG1618" i="1"/>
  <c r="DBF1618" i="1"/>
  <c r="DBE1618" i="1"/>
  <c r="DBD1618" i="1"/>
  <c r="DBC1618" i="1"/>
  <c r="DBB1618" i="1"/>
  <c r="DBA1618" i="1"/>
  <c r="DAZ1618" i="1"/>
  <c r="DAY1618" i="1"/>
  <c r="DAX1618" i="1"/>
  <c r="DAW1618" i="1"/>
  <c r="DAV1618" i="1"/>
  <c r="DAU1618" i="1"/>
  <c r="DAT1618" i="1"/>
  <c r="DAS1618" i="1"/>
  <c r="DAR1618" i="1"/>
  <c r="DAQ1618" i="1"/>
  <c r="DAP1618" i="1"/>
  <c r="DAO1618" i="1"/>
  <c r="DAN1618" i="1"/>
  <c r="DAM1618" i="1"/>
  <c r="DAL1618" i="1"/>
  <c r="DAK1618" i="1"/>
  <c r="DAJ1618" i="1"/>
  <c r="DAI1618" i="1"/>
  <c r="DAH1618" i="1"/>
  <c r="DAG1618" i="1"/>
  <c r="DAF1618" i="1"/>
  <c r="DAE1618" i="1"/>
  <c r="DAD1618" i="1"/>
  <c r="DAC1618" i="1"/>
  <c r="DAB1618" i="1"/>
  <c r="DAA1618" i="1"/>
  <c r="CZZ1618" i="1"/>
  <c r="CZY1618" i="1"/>
  <c r="CZX1618" i="1"/>
  <c r="CZW1618" i="1"/>
  <c r="CZV1618" i="1"/>
  <c r="CZU1618" i="1"/>
  <c r="CZT1618" i="1"/>
  <c r="CZS1618" i="1"/>
  <c r="CZR1618" i="1"/>
  <c r="CZQ1618" i="1"/>
  <c r="CZP1618" i="1"/>
  <c r="CZO1618" i="1"/>
  <c r="CZN1618" i="1"/>
  <c r="CZM1618" i="1"/>
  <c r="CZL1618" i="1"/>
  <c r="CZK1618" i="1"/>
  <c r="CZJ1618" i="1"/>
  <c r="CZI1618" i="1"/>
  <c r="CZH1618" i="1"/>
  <c r="CZG1618" i="1"/>
  <c r="CZF1618" i="1"/>
  <c r="CZE1618" i="1"/>
  <c r="CZD1618" i="1"/>
  <c r="CZC1618" i="1"/>
  <c r="CZB1618" i="1"/>
  <c r="CZA1618" i="1"/>
  <c r="CYZ1618" i="1"/>
  <c r="CYY1618" i="1"/>
  <c r="CYX1618" i="1"/>
  <c r="CYW1618" i="1"/>
  <c r="CYV1618" i="1"/>
  <c r="CYU1618" i="1"/>
  <c r="CYT1618" i="1"/>
  <c r="CYS1618" i="1"/>
  <c r="CYR1618" i="1"/>
  <c r="CYQ1618" i="1"/>
  <c r="CYP1618" i="1"/>
  <c r="CYO1618" i="1"/>
  <c r="CYN1618" i="1"/>
  <c r="CYM1618" i="1"/>
  <c r="CYL1618" i="1"/>
  <c r="CYK1618" i="1"/>
  <c r="CYJ1618" i="1"/>
  <c r="CYI1618" i="1"/>
  <c r="CYH1618" i="1"/>
  <c r="CYG1618" i="1"/>
  <c r="CYF1618" i="1"/>
  <c r="CYE1618" i="1"/>
  <c r="CYD1618" i="1"/>
  <c r="CYC1618" i="1"/>
  <c r="CYB1618" i="1"/>
  <c r="CYA1618" i="1"/>
  <c r="CXZ1618" i="1"/>
  <c r="CXY1618" i="1"/>
  <c r="CXX1618" i="1"/>
  <c r="CXW1618" i="1"/>
  <c r="CXV1618" i="1"/>
  <c r="CXU1618" i="1"/>
  <c r="CXT1618" i="1"/>
  <c r="CXS1618" i="1"/>
  <c r="CXR1618" i="1"/>
  <c r="CXQ1618" i="1"/>
  <c r="CXP1618" i="1"/>
  <c r="CXO1618" i="1"/>
  <c r="CXN1618" i="1"/>
  <c r="CXM1618" i="1"/>
  <c r="CXL1618" i="1"/>
  <c r="CXK1618" i="1"/>
  <c r="CXJ1618" i="1"/>
  <c r="CXI1618" i="1"/>
  <c r="CXH1618" i="1"/>
  <c r="CXG1618" i="1"/>
  <c r="CXF1618" i="1"/>
  <c r="CXE1618" i="1"/>
  <c r="CXD1618" i="1"/>
  <c r="CXC1618" i="1"/>
  <c r="CXB1618" i="1"/>
  <c r="CXA1618" i="1"/>
  <c r="CWZ1618" i="1"/>
  <c r="CWY1618" i="1"/>
  <c r="CWX1618" i="1"/>
  <c r="CWW1618" i="1"/>
  <c r="CWV1618" i="1"/>
  <c r="CWU1618" i="1"/>
  <c r="CWT1618" i="1"/>
  <c r="CWS1618" i="1"/>
  <c r="CWR1618" i="1"/>
  <c r="CWQ1618" i="1"/>
  <c r="CWP1618" i="1"/>
  <c r="CWO1618" i="1"/>
  <c r="CWN1618" i="1"/>
  <c r="CWM1618" i="1"/>
  <c r="CWL1618" i="1"/>
  <c r="CWK1618" i="1"/>
  <c r="CWJ1618" i="1"/>
  <c r="CWI1618" i="1"/>
  <c r="CWH1618" i="1"/>
  <c r="CWG1618" i="1"/>
  <c r="CWF1618" i="1"/>
  <c r="CWE1618" i="1"/>
  <c r="CWD1618" i="1"/>
  <c r="CWC1618" i="1"/>
  <c r="CWB1618" i="1"/>
  <c r="CWA1618" i="1"/>
  <c r="CVZ1618" i="1"/>
  <c r="CVY1618" i="1"/>
  <c r="CVX1618" i="1"/>
  <c r="CVW1618" i="1"/>
  <c r="CVV1618" i="1"/>
  <c r="CVU1618" i="1"/>
  <c r="CVT1618" i="1"/>
  <c r="CVS1618" i="1"/>
  <c r="CVR1618" i="1"/>
  <c r="CVQ1618" i="1"/>
  <c r="CVP1618" i="1"/>
  <c r="CVO1618" i="1"/>
  <c r="CVN1618" i="1"/>
  <c r="CVM1618" i="1"/>
  <c r="CVL1618" i="1"/>
  <c r="CVK1618" i="1"/>
  <c r="CVJ1618" i="1"/>
  <c r="CVI1618" i="1"/>
  <c r="CVH1618" i="1"/>
  <c r="CVG1618" i="1"/>
  <c r="CVF1618" i="1"/>
  <c r="CVE1618" i="1"/>
  <c r="CVD1618" i="1"/>
  <c r="CVC1618" i="1"/>
  <c r="CVB1618" i="1"/>
  <c r="CVA1618" i="1"/>
  <c r="CUZ1618" i="1"/>
  <c r="CUY1618" i="1"/>
  <c r="CUX1618" i="1"/>
  <c r="CUW1618" i="1"/>
  <c r="CUV1618" i="1"/>
  <c r="CUU1618" i="1"/>
  <c r="CUT1618" i="1"/>
  <c r="CUS1618" i="1"/>
  <c r="CUR1618" i="1"/>
  <c r="CUQ1618" i="1"/>
  <c r="CUP1618" i="1"/>
  <c r="CUO1618" i="1"/>
  <c r="CUN1618" i="1"/>
  <c r="CUM1618" i="1"/>
  <c r="CUL1618" i="1"/>
  <c r="CUK1618" i="1"/>
  <c r="CUJ1618" i="1"/>
  <c r="CUI1618" i="1"/>
  <c r="CUH1618" i="1"/>
  <c r="CUG1618" i="1"/>
  <c r="CUF1618" i="1"/>
  <c r="CUE1618" i="1"/>
  <c r="CUD1618" i="1"/>
  <c r="CUC1618" i="1"/>
  <c r="CUB1618" i="1"/>
  <c r="CUA1618" i="1"/>
  <c r="CTZ1618" i="1"/>
  <c r="CTY1618" i="1"/>
  <c r="CTX1618" i="1"/>
  <c r="CTW1618" i="1"/>
  <c r="CTV1618" i="1"/>
  <c r="CTU1618" i="1"/>
  <c r="CTT1618" i="1"/>
  <c r="CTS1618" i="1"/>
  <c r="CTR1618" i="1"/>
  <c r="CTQ1618" i="1"/>
  <c r="CTP1618" i="1"/>
  <c r="CTO1618" i="1"/>
  <c r="CTN1618" i="1"/>
  <c r="CTM1618" i="1"/>
  <c r="CTL1618" i="1"/>
  <c r="CTK1618" i="1"/>
  <c r="CTJ1618" i="1"/>
  <c r="CTI1618" i="1"/>
  <c r="CTH1618" i="1"/>
  <c r="CTG1618" i="1"/>
  <c r="CTF1618" i="1"/>
  <c r="CTE1618" i="1"/>
  <c r="CTD1618" i="1"/>
  <c r="CTC1618" i="1"/>
  <c r="CTB1618" i="1"/>
  <c r="CTA1618" i="1"/>
  <c r="CSZ1618" i="1"/>
  <c r="CSY1618" i="1"/>
  <c r="CSX1618" i="1"/>
  <c r="CSW1618" i="1"/>
  <c r="CSV1618" i="1"/>
  <c r="CSU1618" i="1"/>
  <c r="CST1618" i="1"/>
  <c r="CSS1618" i="1"/>
  <c r="CSR1618" i="1"/>
  <c r="CSQ1618" i="1"/>
  <c r="CSP1618" i="1"/>
  <c r="CSO1618" i="1"/>
  <c r="CSN1618" i="1"/>
  <c r="CSM1618" i="1"/>
  <c r="CSL1618" i="1"/>
  <c r="CSK1618" i="1"/>
  <c r="CSJ1618" i="1"/>
  <c r="CSI1618" i="1"/>
  <c r="CSH1618" i="1"/>
  <c r="CSG1618" i="1"/>
  <c r="CSF1618" i="1"/>
  <c r="CSE1618" i="1"/>
  <c r="CSD1618" i="1"/>
  <c r="CSC1618" i="1"/>
  <c r="CSB1618" i="1"/>
  <c r="CSA1618" i="1"/>
  <c r="CRZ1618" i="1"/>
  <c r="CRY1618" i="1"/>
  <c r="CRX1618" i="1"/>
  <c r="CRW1618" i="1"/>
  <c r="CRV1618" i="1"/>
  <c r="CRU1618" i="1"/>
  <c r="CRT1618" i="1"/>
  <c r="CRS1618" i="1"/>
  <c r="CRR1618" i="1"/>
  <c r="CRQ1618" i="1"/>
  <c r="CRP1618" i="1"/>
  <c r="CRO1618" i="1"/>
  <c r="CRN1618" i="1"/>
  <c r="CRM1618" i="1"/>
  <c r="CRL1618" i="1"/>
  <c r="CRK1618" i="1"/>
  <c r="CRJ1618" i="1"/>
  <c r="CRI1618" i="1"/>
  <c r="CRH1618" i="1"/>
  <c r="CRG1618" i="1"/>
  <c r="CRF1618" i="1"/>
  <c r="CRE1618" i="1"/>
  <c r="CRD1618" i="1"/>
  <c r="CRC1618" i="1"/>
  <c r="CRB1618" i="1"/>
  <c r="CRA1618" i="1"/>
  <c r="CQZ1618" i="1"/>
  <c r="CQY1618" i="1"/>
  <c r="CQX1618" i="1"/>
  <c r="CQW1618" i="1"/>
  <c r="CQV1618" i="1"/>
  <c r="CQU1618" i="1"/>
  <c r="CQT1618" i="1"/>
  <c r="CQS1618" i="1"/>
  <c r="CQR1618" i="1"/>
  <c r="CQQ1618" i="1"/>
  <c r="CQP1618" i="1"/>
  <c r="CQO1618" i="1"/>
  <c r="CQN1618" i="1"/>
  <c r="CQM1618" i="1"/>
  <c r="CQL1618" i="1"/>
  <c r="CQK1618" i="1"/>
  <c r="CQJ1618" i="1"/>
  <c r="CQI1618" i="1"/>
  <c r="CQH1618" i="1"/>
  <c r="CQG1618" i="1"/>
  <c r="CQF1618" i="1"/>
  <c r="CQE1618" i="1"/>
  <c r="CQD1618" i="1"/>
  <c r="CQC1618" i="1"/>
  <c r="CQB1618" i="1"/>
  <c r="CQA1618" i="1"/>
  <c r="CPZ1618" i="1"/>
  <c r="CPY1618" i="1"/>
  <c r="CPX1618" i="1"/>
  <c r="CPW1618" i="1"/>
  <c r="CPV1618" i="1"/>
  <c r="CPU1618" i="1"/>
  <c r="CPT1618" i="1"/>
  <c r="CPS1618" i="1"/>
  <c r="CPR1618" i="1"/>
  <c r="CPQ1618" i="1"/>
  <c r="CPP1618" i="1"/>
  <c r="CPO1618" i="1"/>
  <c r="CPN1618" i="1"/>
  <c r="CPM1618" i="1"/>
  <c r="CPL1618" i="1"/>
  <c r="CPK1618" i="1"/>
  <c r="CPJ1618" i="1"/>
  <c r="CPI1618" i="1"/>
  <c r="CPH1618" i="1"/>
  <c r="CPG1618" i="1"/>
  <c r="CPF1618" i="1"/>
  <c r="CPE1618" i="1"/>
  <c r="CPD1618" i="1"/>
  <c r="CPC1618" i="1"/>
  <c r="CPB1618" i="1"/>
  <c r="CPA1618" i="1"/>
  <c r="COZ1618" i="1"/>
  <c r="COY1618" i="1"/>
  <c r="COX1618" i="1"/>
  <c r="COW1618" i="1"/>
  <c r="COV1618" i="1"/>
  <c r="COU1618" i="1"/>
  <c r="COT1618" i="1"/>
  <c r="COS1618" i="1"/>
  <c r="COR1618" i="1"/>
  <c r="COQ1618" i="1"/>
  <c r="COP1618" i="1"/>
  <c r="COO1618" i="1"/>
  <c r="CON1618" i="1"/>
  <c r="COM1618" i="1"/>
  <c r="COL1618" i="1"/>
  <c r="COK1618" i="1"/>
  <c r="COJ1618" i="1"/>
  <c r="COI1618" i="1"/>
  <c r="COH1618" i="1"/>
  <c r="COG1618" i="1"/>
  <c r="COF1618" i="1"/>
  <c r="COE1618" i="1"/>
  <c r="COD1618" i="1"/>
  <c r="COC1618" i="1"/>
  <c r="COB1618" i="1"/>
  <c r="COA1618" i="1"/>
  <c r="CNZ1618" i="1"/>
  <c r="CNY1618" i="1"/>
  <c r="CNX1618" i="1"/>
  <c r="CNW1618" i="1"/>
  <c r="CNV1618" i="1"/>
  <c r="CNU1618" i="1"/>
  <c r="CNT1618" i="1"/>
  <c r="CNS1618" i="1"/>
  <c r="CNR1618" i="1"/>
  <c r="CNQ1618" i="1"/>
  <c r="CNP1618" i="1"/>
  <c r="CNO1618" i="1"/>
  <c r="CNN1618" i="1"/>
  <c r="CNM1618" i="1"/>
  <c r="CNL1618" i="1"/>
  <c r="CNK1618" i="1"/>
  <c r="CNJ1618" i="1"/>
  <c r="CNI1618" i="1"/>
  <c r="CNH1618" i="1"/>
  <c r="CNG1618" i="1"/>
  <c r="CNF1618" i="1"/>
  <c r="CNE1618" i="1"/>
  <c r="CND1618" i="1"/>
  <c r="CNC1618" i="1"/>
  <c r="CNB1618" i="1"/>
  <c r="CNA1618" i="1"/>
  <c r="CMZ1618" i="1"/>
  <c r="CMY1618" i="1"/>
  <c r="CMX1618" i="1"/>
  <c r="CMW1618" i="1"/>
  <c r="CMV1618" i="1"/>
  <c r="CMU1618" i="1"/>
  <c r="CMT1618" i="1"/>
  <c r="CMS1618" i="1"/>
  <c r="CMR1618" i="1"/>
  <c r="CMQ1618" i="1"/>
  <c r="CMP1618" i="1"/>
  <c r="CMO1618" i="1"/>
  <c r="CMN1618" i="1"/>
  <c r="CMM1618" i="1"/>
  <c r="CML1618" i="1"/>
  <c r="CMK1618" i="1"/>
  <c r="CMJ1618" i="1"/>
  <c r="CMI1618" i="1"/>
  <c r="CMH1618" i="1"/>
  <c r="CMG1618" i="1"/>
  <c r="CMF1618" i="1"/>
  <c r="CME1618" i="1"/>
  <c r="CMD1618" i="1"/>
  <c r="CMC1618" i="1"/>
  <c r="CMB1618" i="1"/>
  <c r="CMA1618" i="1"/>
  <c r="CLZ1618" i="1"/>
  <c r="CLY1618" i="1"/>
  <c r="CLX1618" i="1"/>
  <c r="CLW1618" i="1"/>
  <c r="CLV1618" i="1"/>
  <c r="CLU1618" i="1"/>
  <c r="CLT1618" i="1"/>
  <c r="CLS1618" i="1"/>
  <c r="CLR1618" i="1"/>
  <c r="CLQ1618" i="1"/>
  <c r="CLP1618" i="1"/>
  <c r="CLO1618" i="1"/>
  <c r="CLN1618" i="1"/>
  <c r="CLM1618" i="1"/>
  <c r="CLL1618" i="1"/>
  <c r="CLK1618" i="1"/>
  <c r="CLJ1618" i="1"/>
  <c r="CLI1618" i="1"/>
  <c r="CLH1618" i="1"/>
  <c r="CLG1618" i="1"/>
  <c r="CLF1618" i="1"/>
  <c r="CLE1618" i="1"/>
  <c r="CLD1618" i="1"/>
  <c r="CLC1618" i="1"/>
  <c r="CLB1618" i="1"/>
  <c r="CLA1618" i="1"/>
  <c r="CKZ1618" i="1"/>
  <c r="CKY1618" i="1"/>
  <c r="CKX1618" i="1"/>
  <c r="CKW1618" i="1"/>
  <c r="CKV1618" i="1"/>
  <c r="CKU1618" i="1"/>
  <c r="CKT1618" i="1"/>
  <c r="CKS1618" i="1"/>
  <c r="CKR1618" i="1"/>
  <c r="CKQ1618" i="1"/>
  <c r="CKP1618" i="1"/>
  <c r="CKO1618" i="1"/>
  <c r="CKN1618" i="1"/>
  <c r="CKM1618" i="1"/>
  <c r="CKL1618" i="1"/>
  <c r="CKK1618" i="1"/>
  <c r="CKJ1618" i="1"/>
  <c r="CKI1618" i="1"/>
  <c r="CKH1618" i="1"/>
  <c r="CKG1618" i="1"/>
  <c r="CKF1618" i="1"/>
  <c r="CKE1618" i="1"/>
  <c r="CKD1618" i="1"/>
  <c r="CKC1618" i="1"/>
  <c r="CKB1618" i="1"/>
  <c r="CKA1618" i="1"/>
  <c r="CJZ1618" i="1"/>
  <c r="CJY1618" i="1"/>
  <c r="CJX1618" i="1"/>
  <c r="CJW1618" i="1"/>
  <c r="CJV1618" i="1"/>
  <c r="CJU1618" i="1"/>
  <c r="CJT1618" i="1"/>
  <c r="CJS1618" i="1"/>
  <c r="CJR1618" i="1"/>
  <c r="CJQ1618" i="1"/>
  <c r="CJP1618" i="1"/>
  <c r="CJO1618" i="1"/>
  <c r="CJN1618" i="1"/>
  <c r="CJM1618" i="1"/>
  <c r="CJL1618" i="1"/>
  <c r="CJK1618" i="1"/>
  <c r="CJJ1618" i="1"/>
  <c r="CJI1618" i="1"/>
  <c r="CJH1618" i="1"/>
  <c r="CJG1618" i="1"/>
  <c r="CJF1618" i="1"/>
  <c r="CJE1618" i="1"/>
  <c r="CJD1618" i="1"/>
  <c r="CJC1618" i="1"/>
  <c r="CJB1618" i="1"/>
  <c r="CJA1618" i="1"/>
  <c r="CIZ1618" i="1"/>
  <c r="CIY1618" i="1"/>
  <c r="CIX1618" i="1"/>
  <c r="CIW1618" i="1"/>
  <c r="CIV1618" i="1"/>
  <c r="CIU1618" i="1"/>
  <c r="CIT1618" i="1"/>
  <c r="CIS1618" i="1"/>
  <c r="CIR1618" i="1"/>
  <c r="CIQ1618" i="1"/>
  <c r="CIP1618" i="1"/>
  <c r="CIO1618" i="1"/>
  <c r="CIN1618" i="1"/>
  <c r="CIM1618" i="1"/>
  <c r="CIL1618" i="1"/>
  <c r="CIK1618" i="1"/>
  <c r="CIJ1618" i="1"/>
  <c r="CII1618" i="1"/>
  <c r="CIH1618" i="1"/>
  <c r="CIG1618" i="1"/>
  <c r="CIF1618" i="1"/>
  <c r="CIE1618" i="1"/>
  <c r="CID1618" i="1"/>
  <c r="CIC1618" i="1"/>
  <c r="CIB1618" i="1"/>
  <c r="CIA1618" i="1"/>
  <c r="CHZ1618" i="1"/>
  <c r="CHY1618" i="1"/>
  <c r="CHX1618" i="1"/>
  <c r="CHW1618" i="1"/>
  <c r="CHV1618" i="1"/>
  <c r="CHU1618" i="1"/>
  <c r="CHT1618" i="1"/>
  <c r="CHS1618" i="1"/>
  <c r="CHR1618" i="1"/>
  <c r="CHQ1618" i="1"/>
  <c r="CHP1618" i="1"/>
  <c r="CHO1618" i="1"/>
  <c r="CHN1618" i="1"/>
  <c r="CHM1618" i="1"/>
  <c r="CHL1618" i="1"/>
  <c r="CHK1618" i="1"/>
  <c r="CHJ1618" i="1"/>
  <c r="CHI1618" i="1"/>
  <c r="CHH1618" i="1"/>
  <c r="CHG1618" i="1"/>
  <c r="CHF1618" i="1"/>
  <c r="CHE1618" i="1"/>
  <c r="CHD1618" i="1"/>
  <c r="CHC1618" i="1"/>
  <c r="CHB1618" i="1"/>
  <c r="CHA1618" i="1"/>
  <c r="CGZ1618" i="1"/>
  <c r="CGY1618" i="1"/>
  <c r="CGX1618" i="1"/>
  <c r="CGW1618" i="1"/>
  <c r="CGV1618" i="1"/>
  <c r="CGU1618" i="1"/>
  <c r="CGT1618" i="1"/>
  <c r="CGS1618" i="1"/>
  <c r="CGR1618" i="1"/>
  <c r="CGQ1618" i="1"/>
  <c r="CGP1618" i="1"/>
  <c r="CGO1618" i="1"/>
  <c r="CGN1618" i="1"/>
  <c r="CGM1618" i="1"/>
  <c r="CGL1618" i="1"/>
  <c r="CGK1618" i="1"/>
  <c r="CGJ1618" i="1"/>
  <c r="CGI1618" i="1"/>
  <c r="CGH1618" i="1"/>
  <c r="CGG1618" i="1"/>
  <c r="CGF1618" i="1"/>
  <c r="CGE1618" i="1"/>
  <c r="CGD1618" i="1"/>
  <c r="CGC1618" i="1"/>
  <c r="CGB1618" i="1"/>
  <c r="CGA1618" i="1"/>
  <c r="CFZ1618" i="1"/>
  <c r="CFY1618" i="1"/>
  <c r="CFX1618" i="1"/>
  <c r="CFW1618" i="1"/>
  <c r="CFV1618" i="1"/>
  <c r="CFU1618" i="1"/>
  <c r="CFT1618" i="1"/>
  <c r="CFS1618" i="1"/>
  <c r="CFR1618" i="1"/>
  <c r="CFQ1618" i="1"/>
  <c r="CFP1618" i="1"/>
  <c r="CFO1618" i="1"/>
  <c r="CFN1618" i="1"/>
  <c r="CFM1618" i="1"/>
  <c r="CFL1618" i="1"/>
  <c r="CFK1618" i="1"/>
  <c r="CFJ1618" i="1"/>
  <c r="CFI1618" i="1"/>
  <c r="CFH1618" i="1"/>
  <c r="CFG1618" i="1"/>
  <c r="CFF1618" i="1"/>
  <c r="CFE1618" i="1"/>
  <c r="CFD1618" i="1"/>
  <c r="CFC1618" i="1"/>
  <c r="CFB1618" i="1"/>
  <c r="CFA1618" i="1"/>
  <c r="CEZ1618" i="1"/>
  <c r="CEY1618" i="1"/>
  <c r="CEX1618" i="1"/>
  <c r="CEW1618" i="1"/>
  <c r="CEV1618" i="1"/>
  <c r="CEU1618" i="1"/>
  <c r="CET1618" i="1"/>
  <c r="CES1618" i="1"/>
  <c r="CER1618" i="1"/>
  <c r="CEQ1618" i="1"/>
  <c r="CEP1618" i="1"/>
  <c r="CEO1618" i="1"/>
  <c r="CEN1618" i="1"/>
  <c r="CEM1618" i="1"/>
  <c r="CEL1618" i="1"/>
  <c r="CEK1618" i="1"/>
  <c r="CEJ1618" i="1"/>
  <c r="CEI1618" i="1"/>
  <c r="CEH1618" i="1"/>
  <c r="CEG1618" i="1"/>
  <c r="CEF1618" i="1"/>
  <c r="CEE1618" i="1"/>
  <c r="CED1618" i="1"/>
  <c r="CEC1618" i="1"/>
  <c r="CEB1618" i="1"/>
  <c r="CEA1618" i="1"/>
  <c r="CDZ1618" i="1"/>
  <c r="CDY1618" i="1"/>
  <c r="CDX1618" i="1"/>
  <c r="CDW1618" i="1"/>
  <c r="CDV1618" i="1"/>
  <c r="CDU1618" i="1"/>
  <c r="CDT1618" i="1"/>
  <c r="CDS1618" i="1"/>
  <c r="CDR1618" i="1"/>
  <c r="CDQ1618" i="1"/>
  <c r="CDP1618" i="1"/>
  <c r="CDO1618" i="1"/>
  <c r="CDN1618" i="1"/>
  <c r="CDM1618" i="1"/>
  <c r="CDL1618" i="1"/>
  <c r="CDK1618" i="1"/>
  <c r="CDJ1618" i="1"/>
  <c r="CDI1618" i="1"/>
  <c r="CDH1618" i="1"/>
  <c r="CDG1618" i="1"/>
  <c r="CDF1618" i="1"/>
  <c r="CDE1618" i="1"/>
  <c r="CDD1618" i="1"/>
  <c r="CDC1618" i="1"/>
  <c r="CDB1618" i="1"/>
  <c r="CDA1618" i="1"/>
  <c r="CCZ1618" i="1"/>
  <c r="CCY1618" i="1"/>
  <c r="CCX1618" i="1"/>
  <c r="CCW1618" i="1"/>
  <c r="CCV1618" i="1"/>
  <c r="CCU1618" i="1"/>
  <c r="CCT1618" i="1"/>
  <c r="CCS1618" i="1"/>
  <c r="CCR1618" i="1"/>
  <c r="CCQ1618" i="1"/>
  <c r="CCP1618" i="1"/>
  <c r="CCO1618" i="1"/>
  <c r="CCN1618" i="1"/>
  <c r="CCM1618" i="1"/>
  <c r="CCL1618" i="1"/>
  <c r="CCK1618" i="1"/>
  <c r="CCJ1618" i="1"/>
  <c r="CCI1618" i="1"/>
  <c r="CCH1618" i="1"/>
  <c r="CCG1618" i="1"/>
  <c r="CCF1618" i="1"/>
  <c r="CCE1618" i="1"/>
  <c r="CCD1618" i="1"/>
  <c r="CCC1618" i="1"/>
  <c r="CCB1618" i="1"/>
  <c r="CCA1618" i="1"/>
  <c r="CBZ1618" i="1"/>
  <c r="CBY1618" i="1"/>
  <c r="CBX1618" i="1"/>
  <c r="CBW1618" i="1"/>
  <c r="CBV1618" i="1"/>
  <c r="CBU1618" i="1"/>
  <c r="CBT1618" i="1"/>
  <c r="CBS1618" i="1"/>
  <c r="CBR1618" i="1"/>
  <c r="CBQ1618" i="1"/>
  <c r="CBP1618" i="1"/>
  <c r="CBO1618" i="1"/>
  <c r="CBN1618" i="1"/>
  <c r="CBM1618" i="1"/>
  <c r="CBL1618" i="1"/>
  <c r="CBK1618" i="1"/>
  <c r="CBJ1618" i="1"/>
  <c r="CBI1618" i="1"/>
  <c r="CBH1618" i="1"/>
  <c r="CBG1618" i="1"/>
  <c r="CBF1618" i="1"/>
  <c r="CBE1618" i="1"/>
  <c r="CBD1618" i="1"/>
  <c r="CBC1618" i="1"/>
  <c r="CBB1618" i="1"/>
  <c r="CBA1618" i="1"/>
  <c r="CAZ1618" i="1"/>
  <c r="CAY1618" i="1"/>
  <c r="CAX1618" i="1"/>
  <c r="CAW1618" i="1"/>
  <c r="CAV1618" i="1"/>
  <c r="CAU1618" i="1"/>
  <c r="CAT1618" i="1"/>
  <c r="CAS1618" i="1"/>
  <c r="CAR1618" i="1"/>
  <c r="CAQ1618" i="1"/>
  <c r="CAP1618" i="1"/>
  <c r="CAO1618" i="1"/>
  <c r="CAN1618" i="1"/>
  <c r="CAM1618" i="1"/>
  <c r="CAL1618" i="1"/>
  <c r="CAK1618" i="1"/>
  <c r="CAJ1618" i="1"/>
  <c r="CAI1618" i="1"/>
  <c r="CAH1618" i="1"/>
  <c r="CAG1618" i="1"/>
  <c r="CAF1618" i="1"/>
  <c r="CAE1618" i="1"/>
  <c r="CAD1618" i="1"/>
  <c r="CAC1618" i="1"/>
  <c r="CAB1618" i="1"/>
  <c r="CAA1618" i="1"/>
  <c r="BZZ1618" i="1"/>
  <c r="BZY1618" i="1"/>
  <c r="BZX1618" i="1"/>
  <c r="BZW1618" i="1"/>
  <c r="BZV1618" i="1"/>
  <c r="BZU1618" i="1"/>
  <c r="BZT1618" i="1"/>
  <c r="BZS1618" i="1"/>
  <c r="BZR1618" i="1"/>
  <c r="BZQ1618" i="1"/>
  <c r="BZP1618" i="1"/>
  <c r="BZO1618" i="1"/>
  <c r="BZN1618" i="1"/>
  <c r="BZM1618" i="1"/>
  <c r="BZL1618" i="1"/>
  <c r="BZK1618" i="1"/>
  <c r="BZJ1618" i="1"/>
  <c r="BZI1618" i="1"/>
  <c r="BZH1618" i="1"/>
  <c r="BZG1618" i="1"/>
  <c r="BZF1618" i="1"/>
  <c r="BZE1618" i="1"/>
  <c r="BZD1618" i="1"/>
  <c r="BZC1618" i="1"/>
  <c r="BZB1618" i="1"/>
  <c r="BZA1618" i="1"/>
  <c r="BYZ1618" i="1"/>
  <c r="BYY1618" i="1"/>
  <c r="BYX1618" i="1"/>
  <c r="BYW1618" i="1"/>
  <c r="BYV1618" i="1"/>
  <c r="BYU1618" i="1"/>
  <c r="BYT1618" i="1"/>
  <c r="BYS1618" i="1"/>
  <c r="BYR1618" i="1"/>
  <c r="BYQ1618" i="1"/>
  <c r="BYP1618" i="1"/>
  <c r="BYO1618" i="1"/>
  <c r="BYN1618" i="1"/>
  <c r="BYM1618" i="1"/>
  <c r="BYL1618" i="1"/>
  <c r="BYK1618" i="1"/>
  <c r="BYJ1618" i="1"/>
  <c r="BYI1618" i="1"/>
  <c r="BYH1618" i="1"/>
  <c r="BYG1618" i="1"/>
  <c r="BYF1618" i="1"/>
  <c r="BYE1618" i="1"/>
  <c r="BYD1618" i="1"/>
  <c r="BYC1618" i="1"/>
  <c r="BYB1618" i="1"/>
  <c r="BYA1618" i="1"/>
  <c r="BXZ1618" i="1"/>
  <c r="BXY1618" i="1"/>
  <c r="BXX1618" i="1"/>
  <c r="BXW1618" i="1"/>
  <c r="BXV1618" i="1"/>
  <c r="BXU1618" i="1"/>
  <c r="BXT1618" i="1"/>
  <c r="BXS1618" i="1"/>
  <c r="BXR1618" i="1"/>
  <c r="BXQ1618" i="1"/>
  <c r="BXP1618" i="1"/>
  <c r="BXO1618" i="1"/>
  <c r="BXN1618" i="1"/>
  <c r="BXM1618" i="1"/>
  <c r="BXL1618" i="1"/>
  <c r="BXK1618" i="1"/>
  <c r="BXJ1618" i="1"/>
  <c r="BXI1618" i="1"/>
  <c r="BXH1618" i="1"/>
  <c r="BXG1618" i="1"/>
  <c r="BXF1618" i="1"/>
  <c r="BXE1618" i="1"/>
  <c r="BXD1618" i="1"/>
  <c r="BXC1618" i="1"/>
  <c r="BXB1618" i="1"/>
  <c r="BXA1618" i="1"/>
  <c r="BWZ1618" i="1"/>
  <c r="BWY1618" i="1"/>
  <c r="BWX1618" i="1"/>
  <c r="BWW1618" i="1"/>
  <c r="BWV1618" i="1"/>
  <c r="BWU1618" i="1"/>
  <c r="BWT1618" i="1"/>
  <c r="BWS1618" i="1"/>
  <c r="BWR1618" i="1"/>
  <c r="BWQ1618" i="1"/>
  <c r="BWP1618" i="1"/>
  <c r="BWO1618" i="1"/>
  <c r="BWN1618" i="1"/>
  <c r="BWM1618" i="1"/>
  <c r="BWL1618" i="1"/>
  <c r="BWK1618" i="1"/>
  <c r="BWJ1618" i="1"/>
  <c r="BWI1618" i="1"/>
  <c r="BWH1618" i="1"/>
  <c r="BWG1618" i="1"/>
  <c r="BWF1618" i="1"/>
  <c r="BWE1618" i="1"/>
  <c r="BWD1618" i="1"/>
  <c r="BWC1618" i="1"/>
  <c r="BWB1618" i="1"/>
  <c r="BWA1618" i="1"/>
  <c r="BVZ1618" i="1"/>
  <c r="BVY1618" i="1"/>
  <c r="BVX1618" i="1"/>
  <c r="BVW1618" i="1"/>
  <c r="BVV1618" i="1"/>
  <c r="BVU1618" i="1"/>
  <c r="BVT1618" i="1"/>
  <c r="BVS1618" i="1"/>
  <c r="BVR1618" i="1"/>
  <c r="BVQ1618" i="1"/>
  <c r="BVP1618" i="1"/>
  <c r="BVO1618" i="1"/>
  <c r="BVN1618" i="1"/>
  <c r="BVM1618" i="1"/>
  <c r="BVL1618" i="1"/>
  <c r="BVK1618" i="1"/>
  <c r="BVJ1618" i="1"/>
  <c r="BVI1618" i="1"/>
  <c r="BVH1618" i="1"/>
  <c r="BVG1618" i="1"/>
  <c r="BVF1618" i="1"/>
  <c r="BVE1618" i="1"/>
  <c r="BVD1618" i="1"/>
  <c r="BVC1618" i="1"/>
  <c r="BVB1618" i="1"/>
  <c r="BVA1618" i="1"/>
  <c r="BUZ1618" i="1"/>
  <c r="BUY1618" i="1"/>
  <c r="BUX1618" i="1"/>
  <c r="BUW1618" i="1"/>
  <c r="BUV1618" i="1"/>
  <c r="BUU1618" i="1"/>
  <c r="BUT1618" i="1"/>
  <c r="BUS1618" i="1"/>
  <c r="BUR1618" i="1"/>
  <c r="BUQ1618" i="1"/>
  <c r="BUP1618" i="1"/>
  <c r="BUO1618" i="1"/>
  <c r="BUN1618" i="1"/>
  <c r="BUM1618" i="1"/>
  <c r="BUL1618" i="1"/>
  <c r="BUK1618" i="1"/>
  <c r="BUJ1618" i="1"/>
  <c r="BUI1618" i="1"/>
  <c r="BUH1618" i="1"/>
  <c r="BUG1618" i="1"/>
  <c r="BUF1618" i="1"/>
  <c r="BUE1618" i="1"/>
  <c r="BUD1618" i="1"/>
  <c r="BUC1618" i="1"/>
  <c r="BUB1618" i="1"/>
  <c r="BUA1618" i="1"/>
  <c r="BTZ1618" i="1"/>
  <c r="BTY1618" i="1"/>
  <c r="BTX1618" i="1"/>
  <c r="BTW1618" i="1"/>
  <c r="BTV1618" i="1"/>
  <c r="BTU1618" i="1"/>
  <c r="BTT1618" i="1"/>
  <c r="BTS1618" i="1"/>
  <c r="BTR1618" i="1"/>
  <c r="BTQ1618" i="1"/>
  <c r="BTP1618" i="1"/>
  <c r="BTO1618" i="1"/>
  <c r="BTN1618" i="1"/>
  <c r="BTM1618" i="1"/>
  <c r="BTL1618" i="1"/>
  <c r="BTK1618" i="1"/>
  <c r="BTJ1618" i="1"/>
  <c r="BTI1618" i="1"/>
  <c r="BTH1618" i="1"/>
  <c r="BTG1618" i="1"/>
  <c r="BTF1618" i="1"/>
  <c r="BTE1618" i="1"/>
  <c r="BTD1618" i="1"/>
  <c r="BTC1618" i="1"/>
  <c r="BTB1618" i="1"/>
  <c r="BTA1618" i="1"/>
  <c r="BSZ1618" i="1"/>
  <c r="BSY1618" i="1"/>
  <c r="BSX1618" i="1"/>
  <c r="BSW1618" i="1"/>
  <c r="BSV1618" i="1"/>
  <c r="BSU1618" i="1"/>
  <c r="BST1618" i="1"/>
  <c r="BSS1618" i="1"/>
  <c r="BSR1618" i="1"/>
  <c r="BSQ1618" i="1"/>
  <c r="BSP1618" i="1"/>
  <c r="BSO1618" i="1"/>
  <c r="BSN1618" i="1"/>
  <c r="BSM1618" i="1"/>
  <c r="BSL1618" i="1"/>
  <c r="BSK1618" i="1"/>
  <c r="BSJ1618" i="1"/>
  <c r="BSI1618" i="1"/>
  <c r="BSH1618" i="1"/>
  <c r="BSG1618" i="1"/>
  <c r="BSF1618" i="1"/>
  <c r="BSE1618" i="1"/>
  <c r="BSD1618" i="1"/>
  <c r="BSC1618" i="1"/>
  <c r="BSB1618" i="1"/>
  <c r="BSA1618" i="1"/>
  <c r="BRZ1618" i="1"/>
  <c r="BRY1618" i="1"/>
  <c r="BRX1618" i="1"/>
  <c r="BRW1618" i="1"/>
  <c r="BRV1618" i="1"/>
  <c r="BRU1618" i="1"/>
  <c r="BRT1618" i="1"/>
  <c r="BRS1618" i="1"/>
  <c r="BRR1618" i="1"/>
  <c r="BRQ1618" i="1"/>
  <c r="BRP1618" i="1"/>
  <c r="BRO1618" i="1"/>
  <c r="BRN1618" i="1"/>
  <c r="BRM1618" i="1"/>
  <c r="BRL1618" i="1"/>
  <c r="BRK1618" i="1"/>
  <c r="BRJ1618" i="1"/>
  <c r="BRI1618" i="1"/>
  <c r="BRH1618" i="1"/>
  <c r="BRG1618" i="1"/>
  <c r="BRF1618" i="1"/>
  <c r="BRE1618" i="1"/>
  <c r="BRD1618" i="1"/>
  <c r="BRC1618" i="1"/>
  <c r="BRB1618" i="1"/>
  <c r="BRA1618" i="1"/>
  <c r="BQZ1618" i="1"/>
  <c r="BQY1618" i="1"/>
  <c r="BQX1618" i="1"/>
  <c r="BQW1618" i="1"/>
  <c r="BQV1618" i="1"/>
  <c r="BQU1618" i="1"/>
  <c r="BQT1618" i="1"/>
  <c r="BQS1618" i="1"/>
  <c r="BQR1618" i="1"/>
  <c r="BQQ1618" i="1"/>
  <c r="BQP1618" i="1"/>
  <c r="BQO1618" i="1"/>
  <c r="BQN1618" i="1"/>
  <c r="BQM1618" i="1"/>
  <c r="BQL1618" i="1"/>
  <c r="BQK1618" i="1"/>
  <c r="BQJ1618" i="1"/>
  <c r="BQI1618" i="1"/>
  <c r="BQH1618" i="1"/>
  <c r="BQG1618" i="1"/>
  <c r="BQF1618" i="1"/>
  <c r="BQE1618" i="1"/>
  <c r="BQD1618" i="1"/>
  <c r="BQC1618" i="1"/>
  <c r="BQB1618" i="1"/>
  <c r="BQA1618" i="1"/>
  <c r="BPZ1618" i="1"/>
  <c r="BPY1618" i="1"/>
  <c r="BPX1618" i="1"/>
  <c r="BPW1618" i="1"/>
  <c r="BPV1618" i="1"/>
  <c r="BPU1618" i="1"/>
  <c r="BPT1618" i="1"/>
  <c r="BPS1618" i="1"/>
  <c r="BPR1618" i="1"/>
  <c r="BPQ1618" i="1"/>
  <c r="BPP1618" i="1"/>
  <c r="BPO1618" i="1"/>
  <c r="BPN1618" i="1"/>
  <c r="BPM1618" i="1"/>
  <c r="BPL1618" i="1"/>
  <c r="BPK1618" i="1"/>
  <c r="BPJ1618" i="1"/>
  <c r="BPI1618" i="1"/>
  <c r="BPH1618" i="1"/>
  <c r="BPG1618" i="1"/>
  <c r="BPF1618" i="1"/>
  <c r="BPE1618" i="1"/>
  <c r="BPD1618" i="1"/>
  <c r="BPC1618" i="1"/>
  <c r="BPB1618" i="1"/>
  <c r="BPA1618" i="1"/>
  <c r="BOZ1618" i="1"/>
  <c r="BOY1618" i="1"/>
  <c r="BOX1618" i="1"/>
  <c r="BOW1618" i="1"/>
  <c r="BOV1618" i="1"/>
  <c r="BOU1618" i="1"/>
  <c r="BOT1618" i="1"/>
  <c r="BOS1618" i="1"/>
  <c r="BOR1618" i="1"/>
  <c r="BOQ1618" i="1"/>
  <c r="BOP1618" i="1"/>
  <c r="BOO1618" i="1"/>
  <c r="BON1618" i="1"/>
  <c r="BOM1618" i="1"/>
  <c r="BOL1618" i="1"/>
  <c r="BOK1618" i="1"/>
  <c r="BOJ1618" i="1"/>
  <c r="BOI1618" i="1"/>
  <c r="BOH1618" i="1"/>
  <c r="BOG1618" i="1"/>
  <c r="BOF1618" i="1"/>
  <c r="BOE1618" i="1"/>
  <c r="BOD1618" i="1"/>
  <c r="BOC1618" i="1"/>
  <c r="BOB1618" i="1"/>
  <c r="BOA1618" i="1"/>
  <c r="BNZ1618" i="1"/>
  <c r="BNY1618" i="1"/>
  <c r="BNX1618" i="1"/>
  <c r="BNW1618" i="1"/>
  <c r="BNV1618" i="1"/>
  <c r="BNU1618" i="1"/>
  <c r="BNT1618" i="1"/>
  <c r="BNS1618" i="1"/>
  <c r="BNR1618" i="1"/>
  <c r="BNQ1618" i="1"/>
  <c r="BNP1618" i="1"/>
  <c r="BNO1618" i="1"/>
  <c r="BNN1618" i="1"/>
  <c r="BNM1618" i="1"/>
  <c r="BNL1618" i="1"/>
  <c r="BNK1618" i="1"/>
  <c r="BNJ1618" i="1"/>
  <c r="BNI1618" i="1"/>
  <c r="BNH1618" i="1"/>
  <c r="BNG1618" i="1"/>
  <c r="BNF1618" i="1"/>
  <c r="BNE1618" i="1"/>
  <c r="BND1618" i="1"/>
  <c r="BNC1618" i="1"/>
  <c r="BNB1618" i="1"/>
  <c r="BNA1618" i="1"/>
  <c r="BMZ1618" i="1"/>
  <c r="BMY1618" i="1"/>
  <c r="BMX1618" i="1"/>
  <c r="BMW1618" i="1"/>
  <c r="BMV1618" i="1"/>
  <c r="BMU1618" i="1"/>
  <c r="BMT1618" i="1"/>
  <c r="BMS1618" i="1"/>
  <c r="BMR1618" i="1"/>
  <c r="BMQ1618" i="1"/>
  <c r="BMP1618" i="1"/>
  <c r="BMO1618" i="1"/>
  <c r="BMN1618" i="1"/>
  <c r="BMM1618" i="1"/>
  <c r="BML1618" i="1"/>
  <c r="BMK1618" i="1"/>
  <c r="BMJ1618" i="1"/>
  <c r="BMI1618" i="1"/>
  <c r="BMH1618" i="1"/>
  <c r="BMG1618" i="1"/>
  <c r="BMF1618" i="1"/>
  <c r="BME1618" i="1"/>
  <c r="BMD1618" i="1"/>
  <c r="BMC1618" i="1"/>
  <c r="BMB1618" i="1"/>
  <c r="BMA1618" i="1"/>
  <c r="BLZ1618" i="1"/>
  <c r="BLY1618" i="1"/>
  <c r="BLX1618" i="1"/>
  <c r="BLW1618" i="1"/>
  <c r="BLV1618" i="1"/>
  <c r="BLU1618" i="1"/>
  <c r="BLT1618" i="1"/>
  <c r="BLS1618" i="1"/>
  <c r="BLR1618" i="1"/>
  <c r="BLQ1618" i="1"/>
  <c r="BLP1618" i="1"/>
  <c r="BLO1618" i="1"/>
  <c r="BLN1618" i="1"/>
  <c r="BLM1618" i="1"/>
  <c r="BLL1618" i="1"/>
  <c r="BLK1618" i="1"/>
  <c r="BLJ1618" i="1"/>
  <c r="BLI1618" i="1"/>
  <c r="BLH1618" i="1"/>
  <c r="BLG1618" i="1"/>
  <c r="BLF1618" i="1"/>
  <c r="BLE1618" i="1"/>
  <c r="BLD1618" i="1"/>
  <c r="BLC1618" i="1"/>
  <c r="BLB1618" i="1"/>
  <c r="BLA1618" i="1"/>
  <c r="BKZ1618" i="1"/>
  <c r="BKY1618" i="1"/>
  <c r="BKX1618" i="1"/>
  <c r="BKW1618" i="1"/>
  <c r="BKV1618" i="1"/>
  <c r="BKU1618" i="1"/>
  <c r="BKT1618" i="1"/>
  <c r="BKS1618" i="1"/>
  <c r="BKR1618" i="1"/>
  <c r="BKQ1618" i="1"/>
  <c r="BKP1618" i="1"/>
  <c r="BKO1618" i="1"/>
  <c r="BKN1618" i="1"/>
  <c r="BKM1618" i="1"/>
  <c r="BKL1618" i="1"/>
  <c r="BKK1618" i="1"/>
  <c r="BKJ1618" i="1"/>
  <c r="BKI1618" i="1"/>
  <c r="BKH1618" i="1"/>
  <c r="BKG1618" i="1"/>
  <c r="BKF1618" i="1"/>
  <c r="BKE1618" i="1"/>
  <c r="BKD1618" i="1"/>
  <c r="BKC1618" i="1"/>
  <c r="BKB1618" i="1"/>
  <c r="BKA1618" i="1"/>
  <c r="BJZ1618" i="1"/>
  <c r="BJY1618" i="1"/>
  <c r="BJX1618" i="1"/>
  <c r="BJW1618" i="1"/>
  <c r="BJV1618" i="1"/>
  <c r="BJU1618" i="1"/>
  <c r="BJT1618" i="1"/>
  <c r="BJS1618" i="1"/>
  <c r="BJR1618" i="1"/>
  <c r="BJQ1618" i="1"/>
  <c r="BJP1618" i="1"/>
  <c r="BJO1618" i="1"/>
  <c r="BJN1618" i="1"/>
  <c r="BJM1618" i="1"/>
  <c r="BJL1618" i="1"/>
  <c r="BJK1618" i="1"/>
  <c r="BJJ1618" i="1"/>
  <c r="BJI1618" i="1"/>
  <c r="BJH1618" i="1"/>
  <c r="BJG1618" i="1"/>
  <c r="BJF1618" i="1"/>
  <c r="BJE1618" i="1"/>
  <c r="BJD1618" i="1"/>
  <c r="BJC1618" i="1"/>
  <c r="BJB1618" i="1"/>
  <c r="BJA1618" i="1"/>
  <c r="BIZ1618" i="1"/>
  <c r="BIY1618" i="1"/>
  <c r="BIX1618" i="1"/>
  <c r="BIW1618" i="1"/>
  <c r="BIV1618" i="1"/>
  <c r="BIU1618" i="1"/>
  <c r="BIT1618" i="1"/>
  <c r="BIS1618" i="1"/>
  <c r="BIR1618" i="1"/>
  <c r="BIQ1618" i="1"/>
  <c r="BIP1618" i="1"/>
  <c r="BIO1618" i="1"/>
  <c r="BIN1618" i="1"/>
  <c r="BIM1618" i="1"/>
  <c r="BIL1618" i="1"/>
  <c r="BIK1618" i="1"/>
  <c r="BIJ1618" i="1"/>
  <c r="BII1618" i="1"/>
  <c r="BIH1618" i="1"/>
  <c r="BIG1618" i="1"/>
  <c r="BIF1618" i="1"/>
  <c r="BIE1618" i="1"/>
  <c r="BID1618" i="1"/>
  <c r="BIC1618" i="1"/>
  <c r="BIB1618" i="1"/>
  <c r="BIA1618" i="1"/>
  <c r="BHZ1618" i="1"/>
  <c r="BHY1618" i="1"/>
  <c r="BHX1618" i="1"/>
  <c r="BHW1618" i="1"/>
  <c r="BHV1618" i="1"/>
  <c r="BHU1618" i="1"/>
  <c r="BHT1618" i="1"/>
  <c r="BHS1618" i="1"/>
  <c r="BHR1618" i="1"/>
  <c r="BHQ1618" i="1"/>
  <c r="BHP1618" i="1"/>
  <c r="BHO1618" i="1"/>
  <c r="BHN1618" i="1"/>
  <c r="BHM1618" i="1"/>
  <c r="BHL1618" i="1"/>
  <c r="BHK1618" i="1"/>
  <c r="BHJ1618" i="1"/>
  <c r="BHI1618" i="1"/>
  <c r="BHH1618" i="1"/>
  <c r="BHG1618" i="1"/>
  <c r="BHF1618" i="1"/>
  <c r="BHE1618" i="1"/>
  <c r="BHD1618" i="1"/>
  <c r="BHC1618" i="1"/>
  <c r="BHB1618" i="1"/>
  <c r="BHA1618" i="1"/>
  <c r="BGZ1618" i="1"/>
  <c r="BGY1618" i="1"/>
  <c r="BGX1618" i="1"/>
  <c r="BGW1618" i="1"/>
  <c r="BGV1618" i="1"/>
  <c r="BGU1618" i="1"/>
  <c r="BGT1618" i="1"/>
  <c r="BGS1618" i="1"/>
  <c r="BGR1618" i="1"/>
  <c r="BGQ1618" i="1"/>
  <c r="BGP1618" i="1"/>
  <c r="BGO1618" i="1"/>
  <c r="BGN1618" i="1"/>
  <c r="BGM1618" i="1"/>
  <c r="BGL1618" i="1"/>
  <c r="BGK1618" i="1"/>
  <c r="BGJ1618" i="1"/>
  <c r="BGI1618" i="1"/>
  <c r="BGH1618" i="1"/>
  <c r="BGG1618" i="1"/>
  <c r="BGF1618" i="1"/>
  <c r="BGE1618" i="1"/>
  <c r="BGD1618" i="1"/>
  <c r="BGC1618" i="1"/>
  <c r="BGB1618" i="1"/>
  <c r="BGA1618" i="1"/>
  <c r="BFZ1618" i="1"/>
  <c r="BFY1618" i="1"/>
  <c r="BFX1618" i="1"/>
  <c r="BFW1618" i="1"/>
  <c r="BFV1618" i="1"/>
  <c r="BFU1618" i="1"/>
  <c r="BFT1618" i="1"/>
  <c r="BFS1618" i="1"/>
  <c r="BFR1618" i="1"/>
  <c r="BFQ1618" i="1"/>
  <c r="BFP1618" i="1"/>
  <c r="BFO1618" i="1"/>
  <c r="BFN1618" i="1"/>
  <c r="BFM1618" i="1"/>
  <c r="BFL1618" i="1"/>
  <c r="BFK1618" i="1"/>
  <c r="BFJ1618" i="1"/>
  <c r="BFI1618" i="1"/>
  <c r="BFH1618" i="1"/>
  <c r="BFG1618" i="1"/>
  <c r="BFF1618" i="1"/>
  <c r="BFE1618" i="1"/>
  <c r="BFD1618" i="1"/>
  <c r="BFC1618" i="1"/>
  <c r="BFB1618" i="1"/>
  <c r="BFA1618" i="1"/>
  <c r="BEZ1618" i="1"/>
  <c r="BEY1618" i="1"/>
  <c r="BEX1618" i="1"/>
  <c r="BEW1618" i="1"/>
  <c r="BEV1618" i="1"/>
  <c r="BEU1618" i="1"/>
  <c r="BET1618" i="1"/>
  <c r="BES1618" i="1"/>
  <c r="BER1618" i="1"/>
  <c r="BEQ1618" i="1"/>
  <c r="BEP1618" i="1"/>
  <c r="BEO1618" i="1"/>
  <c r="BEN1618" i="1"/>
  <c r="BEM1618" i="1"/>
  <c r="BEL1618" i="1"/>
  <c r="BEK1618" i="1"/>
  <c r="BEJ1618" i="1"/>
  <c r="BEI1618" i="1"/>
  <c r="BEH1618" i="1"/>
  <c r="BEG1618" i="1"/>
  <c r="BEF1618" i="1"/>
  <c r="BEE1618" i="1"/>
  <c r="BED1618" i="1"/>
  <c r="BEC1618" i="1"/>
  <c r="BEB1618" i="1"/>
  <c r="BEA1618" i="1"/>
  <c r="BDZ1618" i="1"/>
  <c r="BDY1618" i="1"/>
  <c r="BDX1618" i="1"/>
  <c r="BDW1618" i="1"/>
  <c r="BDV1618" i="1"/>
  <c r="BDU1618" i="1"/>
  <c r="BDT1618" i="1"/>
  <c r="BDS1618" i="1"/>
  <c r="BDR1618" i="1"/>
  <c r="BDQ1618" i="1"/>
  <c r="BDP1618" i="1"/>
  <c r="BDO1618" i="1"/>
  <c r="BDN1618" i="1"/>
  <c r="BDM1618" i="1"/>
  <c r="BDL1618" i="1"/>
  <c r="BDK1618" i="1"/>
  <c r="BDJ1618" i="1"/>
  <c r="BDI1618" i="1"/>
  <c r="BDH1618" i="1"/>
  <c r="BDG1618" i="1"/>
  <c r="BDF1618" i="1"/>
  <c r="BDE1618" i="1"/>
  <c r="BDD1618" i="1"/>
  <c r="BDC1618" i="1"/>
  <c r="BDB1618" i="1"/>
  <c r="BDA1618" i="1"/>
  <c r="BCZ1618" i="1"/>
  <c r="BCY1618" i="1"/>
  <c r="BCX1618" i="1"/>
  <c r="BCW1618" i="1"/>
  <c r="BCV1618" i="1"/>
  <c r="BCU1618" i="1"/>
  <c r="BCT1618" i="1"/>
  <c r="BCS1618" i="1"/>
  <c r="BCR1618" i="1"/>
  <c r="BCQ1618" i="1"/>
  <c r="BCP1618" i="1"/>
  <c r="BCO1618" i="1"/>
  <c r="BCN1618" i="1"/>
  <c r="BCM1618" i="1"/>
  <c r="BCL1618" i="1"/>
  <c r="BCK1618" i="1"/>
  <c r="BCJ1618" i="1"/>
  <c r="BCI1618" i="1"/>
  <c r="BCH1618" i="1"/>
  <c r="BCG1618" i="1"/>
  <c r="BCF1618" i="1"/>
  <c r="BCE1618" i="1"/>
  <c r="BCD1618" i="1"/>
  <c r="BCC1618" i="1"/>
  <c r="BCB1618" i="1"/>
  <c r="BCA1618" i="1"/>
  <c r="BBZ1618" i="1"/>
  <c r="BBY1618" i="1"/>
  <c r="BBX1618" i="1"/>
  <c r="BBW1618" i="1"/>
  <c r="BBV1618" i="1"/>
  <c r="BBU1618" i="1"/>
  <c r="BBT1618" i="1"/>
  <c r="BBS1618" i="1"/>
  <c r="BBR1618" i="1"/>
  <c r="BBQ1618" i="1"/>
  <c r="BBP1618" i="1"/>
  <c r="BBO1618" i="1"/>
  <c r="BBN1618" i="1"/>
  <c r="BBM1618" i="1"/>
  <c r="BBL1618" i="1"/>
  <c r="BBK1618" i="1"/>
  <c r="BBJ1618" i="1"/>
  <c r="BBI1618" i="1"/>
  <c r="BBH1618" i="1"/>
  <c r="BBG1618" i="1"/>
  <c r="BBF1618" i="1"/>
  <c r="BBE1618" i="1"/>
  <c r="BBD1618" i="1"/>
  <c r="BBC1618" i="1"/>
  <c r="BBB1618" i="1"/>
  <c r="BBA1618" i="1"/>
  <c r="BAZ1618" i="1"/>
  <c r="BAY1618" i="1"/>
  <c r="BAX1618" i="1"/>
  <c r="BAW1618" i="1"/>
  <c r="BAV1618" i="1"/>
  <c r="BAU1618" i="1"/>
  <c r="BAT1618" i="1"/>
  <c r="BAS1618" i="1"/>
  <c r="BAR1618" i="1"/>
  <c r="BAQ1618" i="1"/>
  <c r="BAP1618" i="1"/>
  <c r="BAO1618" i="1"/>
  <c r="BAN1618" i="1"/>
  <c r="BAM1618" i="1"/>
  <c r="BAL1618" i="1"/>
  <c r="BAK1618" i="1"/>
  <c r="BAJ1618" i="1"/>
  <c r="BAI1618" i="1"/>
  <c r="BAH1618" i="1"/>
  <c r="BAG1618" i="1"/>
  <c r="BAF1618" i="1"/>
  <c r="BAE1618" i="1"/>
  <c r="BAD1618" i="1"/>
  <c r="BAC1618" i="1"/>
  <c r="BAB1618" i="1"/>
  <c r="BAA1618" i="1"/>
  <c r="AZZ1618" i="1"/>
  <c r="AZY1618" i="1"/>
  <c r="AZX1618" i="1"/>
  <c r="AZW1618" i="1"/>
  <c r="AZV1618" i="1"/>
  <c r="AZU1618" i="1"/>
  <c r="AZT1618" i="1"/>
  <c r="AZS1618" i="1"/>
  <c r="AZR1618" i="1"/>
  <c r="AZQ1618" i="1"/>
  <c r="AZP1618" i="1"/>
  <c r="AZO1618" i="1"/>
  <c r="AZN1618" i="1"/>
  <c r="AZM1618" i="1"/>
  <c r="AZL1618" i="1"/>
  <c r="AZK1618" i="1"/>
  <c r="AZJ1618" i="1"/>
  <c r="AZI1618" i="1"/>
  <c r="AZH1618" i="1"/>
  <c r="AZG1618" i="1"/>
  <c r="AZF1618" i="1"/>
  <c r="AZE1618" i="1"/>
  <c r="AZD1618" i="1"/>
  <c r="AZC1618" i="1"/>
  <c r="AZB1618" i="1"/>
  <c r="AZA1618" i="1"/>
  <c r="AYZ1618" i="1"/>
  <c r="AYY1618" i="1"/>
  <c r="AYX1618" i="1"/>
  <c r="AYW1618" i="1"/>
  <c r="AYV1618" i="1"/>
  <c r="AYU1618" i="1"/>
  <c r="AYT1618" i="1"/>
  <c r="AYS1618" i="1"/>
  <c r="AYR1618" i="1"/>
  <c r="AYQ1618" i="1"/>
  <c r="AYP1618" i="1"/>
  <c r="AYO1618" i="1"/>
  <c r="AYN1618" i="1"/>
  <c r="AYM1618" i="1"/>
  <c r="AYL1618" i="1"/>
  <c r="AYK1618" i="1"/>
  <c r="AYJ1618" i="1"/>
  <c r="AYI1618" i="1"/>
  <c r="AYH1618" i="1"/>
  <c r="AYG1618" i="1"/>
  <c r="AYF1618" i="1"/>
  <c r="AYE1618" i="1"/>
  <c r="AYD1618" i="1"/>
  <c r="AYC1618" i="1"/>
  <c r="AYB1618" i="1"/>
  <c r="AYA1618" i="1"/>
  <c r="AXZ1618" i="1"/>
  <c r="AXY1618" i="1"/>
  <c r="AXX1618" i="1"/>
  <c r="AXW1618" i="1"/>
  <c r="AXV1618" i="1"/>
  <c r="AXU1618" i="1"/>
  <c r="AXT1618" i="1"/>
  <c r="AXS1618" i="1"/>
  <c r="AXR1618" i="1"/>
  <c r="AXQ1618" i="1"/>
  <c r="AXP1618" i="1"/>
  <c r="AXO1618" i="1"/>
  <c r="AXN1618" i="1"/>
  <c r="AXM1618" i="1"/>
  <c r="AXL1618" i="1"/>
  <c r="AXK1618" i="1"/>
  <c r="AXJ1618" i="1"/>
  <c r="AXI1618" i="1"/>
  <c r="AXH1618" i="1"/>
  <c r="AXG1618" i="1"/>
  <c r="AXF1618" i="1"/>
  <c r="AXE1618" i="1"/>
  <c r="AXD1618" i="1"/>
  <c r="AXC1618" i="1"/>
  <c r="AXB1618" i="1"/>
  <c r="AXA1618" i="1"/>
  <c r="AWZ1618" i="1"/>
  <c r="AWY1618" i="1"/>
  <c r="AWX1618" i="1"/>
  <c r="AWW1618" i="1"/>
  <c r="AWV1618" i="1"/>
  <c r="AWU1618" i="1"/>
  <c r="AWT1618" i="1"/>
  <c r="AWS1618" i="1"/>
  <c r="AWR1618" i="1"/>
  <c r="AWQ1618" i="1"/>
  <c r="AWP1618" i="1"/>
  <c r="AWO1618" i="1"/>
  <c r="AWN1618" i="1"/>
  <c r="AWM1618" i="1"/>
  <c r="AWL1618" i="1"/>
  <c r="AWK1618" i="1"/>
  <c r="AWJ1618" i="1"/>
  <c r="AWI1618" i="1"/>
  <c r="AWH1618" i="1"/>
  <c r="AWG1618" i="1"/>
  <c r="AWF1618" i="1"/>
  <c r="AWE1618" i="1"/>
  <c r="AWD1618" i="1"/>
  <c r="AWC1618" i="1"/>
  <c r="AWB1618" i="1"/>
  <c r="AWA1618" i="1"/>
  <c r="AVZ1618" i="1"/>
  <c r="AVY1618" i="1"/>
  <c r="AVX1618" i="1"/>
  <c r="AVW1618" i="1"/>
  <c r="AVV1618" i="1"/>
  <c r="AVU1618" i="1"/>
  <c r="AVT1618" i="1"/>
  <c r="AVS1618" i="1"/>
  <c r="AVR1618" i="1"/>
  <c r="AVQ1618" i="1"/>
  <c r="AVP1618" i="1"/>
  <c r="AVO1618" i="1"/>
  <c r="AVN1618" i="1"/>
  <c r="AVM1618" i="1"/>
  <c r="AVL1618" i="1"/>
  <c r="AVK1618" i="1"/>
  <c r="AVJ1618" i="1"/>
  <c r="AVI1618" i="1"/>
  <c r="AVH1618" i="1"/>
  <c r="AVG1618" i="1"/>
  <c r="AVF1618" i="1"/>
  <c r="AVE1618" i="1"/>
  <c r="AVD1618" i="1"/>
  <c r="AVC1618" i="1"/>
  <c r="AVB1618" i="1"/>
  <c r="AVA1618" i="1"/>
  <c r="AUZ1618" i="1"/>
  <c r="AUY1618" i="1"/>
  <c r="AUX1618" i="1"/>
  <c r="AUW1618" i="1"/>
  <c r="AUV1618" i="1"/>
  <c r="AUU1618" i="1"/>
  <c r="AUT1618" i="1"/>
  <c r="AUS1618" i="1"/>
  <c r="AUR1618" i="1"/>
  <c r="AUQ1618" i="1"/>
  <c r="AUP1618" i="1"/>
  <c r="AUO1618" i="1"/>
  <c r="AUN1618" i="1"/>
  <c r="AUM1618" i="1"/>
  <c r="AUL1618" i="1"/>
  <c r="AUK1618" i="1"/>
  <c r="AUJ1618" i="1"/>
  <c r="AUI1618" i="1"/>
  <c r="AUH1618" i="1"/>
  <c r="AUG1618" i="1"/>
  <c r="AUF1618" i="1"/>
  <c r="AUE1618" i="1"/>
  <c r="AUD1618" i="1"/>
  <c r="AUC1618" i="1"/>
  <c r="AUB1618" i="1"/>
  <c r="AUA1618" i="1"/>
  <c r="ATZ1618" i="1"/>
  <c r="ATY1618" i="1"/>
  <c r="ATX1618" i="1"/>
  <c r="ATW1618" i="1"/>
  <c r="ATV1618" i="1"/>
  <c r="ATU1618" i="1"/>
  <c r="ATT1618" i="1"/>
  <c r="ATS1618" i="1"/>
  <c r="ATR1618" i="1"/>
  <c r="ATQ1618" i="1"/>
  <c r="ATP1618" i="1"/>
  <c r="ATO1618" i="1"/>
  <c r="ATN1618" i="1"/>
  <c r="ATM1618" i="1"/>
  <c r="ATL1618" i="1"/>
  <c r="ATK1618" i="1"/>
  <c r="ATJ1618" i="1"/>
  <c r="ATI1618" i="1"/>
  <c r="ATH1618" i="1"/>
  <c r="ATG1618" i="1"/>
  <c r="ATF1618" i="1"/>
  <c r="ATE1618" i="1"/>
  <c r="ATD1618" i="1"/>
  <c r="ATC1618" i="1"/>
  <c r="ATB1618" i="1"/>
  <c r="ATA1618" i="1"/>
  <c r="ASZ1618" i="1"/>
  <c r="ASY1618" i="1"/>
  <c r="ASX1618" i="1"/>
  <c r="ASW1618" i="1"/>
  <c r="ASV1618" i="1"/>
  <c r="ASU1618" i="1"/>
  <c r="AST1618" i="1"/>
  <c r="ASS1618" i="1"/>
  <c r="ASR1618" i="1"/>
  <c r="ASQ1618" i="1"/>
  <c r="ASP1618" i="1"/>
  <c r="ASO1618" i="1"/>
  <c r="ASN1618" i="1"/>
  <c r="ASM1618" i="1"/>
  <c r="ASL1618" i="1"/>
  <c r="ASK1618" i="1"/>
  <c r="ASJ1618" i="1"/>
  <c r="ASI1618" i="1"/>
  <c r="ASH1618" i="1"/>
  <c r="ASG1618" i="1"/>
  <c r="ASF1618" i="1"/>
  <c r="ASE1618" i="1"/>
  <c r="ASD1618" i="1"/>
  <c r="ASC1618" i="1"/>
  <c r="ASB1618" i="1"/>
  <c r="ASA1618" i="1"/>
  <c r="ARZ1618" i="1"/>
  <c r="ARY1618" i="1"/>
  <c r="ARX1618" i="1"/>
  <c r="ARW1618" i="1"/>
  <c r="ARV1618" i="1"/>
  <c r="ARU1618" i="1"/>
  <c r="ART1618" i="1"/>
  <c r="ARS1618" i="1"/>
  <c r="ARR1618" i="1"/>
  <c r="ARQ1618" i="1"/>
  <c r="ARP1618" i="1"/>
  <c r="ARO1618" i="1"/>
  <c r="ARN1618" i="1"/>
  <c r="ARM1618" i="1"/>
  <c r="ARL1618" i="1"/>
  <c r="ARK1618" i="1"/>
  <c r="ARJ1618" i="1"/>
  <c r="ARI1618" i="1"/>
  <c r="ARH1618" i="1"/>
  <c r="ARG1618" i="1"/>
  <c r="ARF1618" i="1"/>
  <c r="ARE1618" i="1"/>
  <c r="ARD1618" i="1"/>
  <c r="ARC1618" i="1"/>
  <c r="ARB1618" i="1"/>
  <c r="ARA1618" i="1"/>
  <c r="AQZ1618" i="1"/>
  <c r="AQY1618" i="1"/>
  <c r="AQX1618" i="1"/>
  <c r="AQW1618" i="1"/>
  <c r="AQV1618" i="1"/>
  <c r="AQU1618" i="1"/>
  <c r="AQT1618" i="1"/>
  <c r="AQS1618" i="1"/>
  <c r="AQR1618" i="1"/>
  <c r="AQQ1618" i="1"/>
  <c r="AQP1618" i="1"/>
  <c r="AQO1618" i="1"/>
  <c r="AQN1618" i="1"/>
  <c r="AQM1618" i="1"/>
  <c r="AQL1618" i="1"/>
  <c r="AQK1618" i="1"/>
  <c r="AQJ1618" i="1"/>
  <c r="AQI1618" i="1"/>
  <c r="AQH1618" i="1"/>
  <c r="AQG1618" i="1"/>
  <c r="AQF1618" i="1"/>
  <c r="AQE1618" i="1"/>
  <c r="AQD1618" i="1"/>
  <c r="AQC1618" i="1"/>
  <c r="AQB1618" i="1"/>
  <c r="AQA1618" i="1"/>
  <c r="APZ1618" i="1"/>
  <c r="APY1618" i="1"/>
  <c r="APX1618" i="1"/>
  <c r="APW1618" i="1"/>
  <c r="APV1618" i="1"/>
  <c r="APU1618" i="1"/>
  <c r="APT1618" i="1"/>
  <c r="APS1618" i="1"/>
  <c r="APR1618" i="1"/>
  <c r="APQ1618" i="1"/>
  <c r="APP1618" i="1"/>
  <c r="APO1618" i="1"/>
  <c r="APN1618" i="1"/>
  <c r="APM1618" i="1"/>
  <c r="APL1618" i="1"/>
  <c r="APK1618" i="1"/>
  <c r="APJ1618" i="1"/>
  <c r="API1618" i="1"/>
  <c r="APH1618" i="1"/>
  <c r="APG1618" i="1"/>
  <c r="APF1618" i="1"/>
  <c r="APE1618" i="1"/>
  <c r="APD1618" i="1"/>
  <c r="APC1618" i="1"/>
  <c r="APB1618" i="1"/>
  <c r="APA1618" i="1"/>
  <c r="AOZ1618" i="1"/>
  <c r="AOY1618" i="1"/>
  <c r="AOX1618" i="1"/>
  <c r="AOW1618" i="1"/>
  <c r="AOV1618" i="1"/>
  <c r="AOU1618" i="1"/>
  <c r="AOT1618" i="1"/>
  <c r="AOS1618" i="1"/>
  <c r="AOR1618" i="1"/>
  <c r="AOQ1618" i="1"/>
  <c r="AOP1618" i="1"/>
  <c r="AOO1618" i="1"/>
  <c r="AON1618" i="1"/>
  <c r="AOM1618" i="1"/>
  <c r="AOL1618" i="1"/>
  <c r="AOK1618" i="1"/>
  <c r="AOJ1618" i="1"/>
  <c r="AOI1618" i="1"/>
  <c r="AOH1618" i="1"/>
  <c r="AOG1618" i="1"/>
  <c r="AOF1618" i="1"/>
  <c r="AOE1618" i="1"/>
  <c r="AOD1618" i="1"/>
  <c r="AOC1618" i="1"/>
  <c r="AOB1618" i="1"/>
  <c r="AOA1618" i="1"/>
  <c r="ANZ1618" i="1"/>
  <c r="ANY1618" i="1"/>
  <c r="ANX1618" i="1"/>
  <c r="ANW1618" i="1"/>
  <c r="ANV1618" i="1"/>
  <c r="ANU1618" i="1"/>
  <c r="ANT1618" i="1"/>
  <c r="ANS1618" i="1"/>
  <c r="ANR1618" i="1"/>
  <c r="ANQ1618" i="1"/>
  <c r="ANP1618" i="1"/>
  <c r="ANO1618" i="1"/>
  <c r="ANN1618" i="1"/>
  <c r="ANM1618" i="1"/>
  <c r="ANL1618" i="1"/>
  <c r="ANK1618" i="1"/>
  <c r="ANJ1618" i="1"/>
  <c r="ANI1618" i="1"/>
  <c r="ANH1618" i="1"/>
  <c r="ANG1618" i="1"/>
  <c r="ANF1618" i="1"/>
  <c r="ANE1618" i="1"/>
  <c r="AND1618" i="1"/>
  <c r="ANC1618" i="1"/>
  <c r="ANB1618" i="1"/>
  <c r="ANA1618" i="1"/>
  <c r="AMZ1618" i="1"/>
  <c r="AMY1618" i="1"/>
  <c r="AMX1618" i="1"/>
  <c r="AMW1618" i="1"/>
  <c r="AMV1618" i="1"/>
  <c r="AMU1618" i="1"/>
  <c r="AMT1618" i="1"/>
  <c r="AMS1618" i="1"/>
  <c r="AMR1618" i="1"/>
  <c r="AMQ1618" i="1"/>
  <c r="AMP1618" i="1"/>
  <c r="AMO1618" i="1"/>
  <c r="AMN1618" i="1"/>
  <c r="AMM1618" i="1"/>
  <c r="AML1618" i="1"/>
  <c r="AMK1618" i="1"/>
  <c r="AMJ1618" i="1"/>
  <c r="AMI1618" i="1"/>
  <c r="AMH1618" i="1"/>
  <c r="AMG1618" i="1"/>
  <c r="AMF1618" i="1"/>
  <c r="AME1618" i="1"/>
  <c r="AMD1618" i="1"/>
  <c r="AMC1618" i="1"/>
  <c r="AMB1618" i="1"/>
  <c r="AMA1618" i="1"/>
  <c r="ALZ1618" i="1"/>
  <c r="ALY1618" i="1"/>
  <c r="ALX1618" i="1"/>
  <c r="ALW1618" i="1"/>
  <c r="ALV1618" i="1"/>
  <c r="ALU1618" i="1"/>
  <c r="ALT1618" i="1"/>
  <c r="ALS1618" i="1"/>
  <c r="ALR1618" i="1"/>
  <c r="ALQ1618" i="1"/>
  <c r="ALP1618" i="1"/>
  <c r="ALO1618" i="1"/>
  <c r="ALN1618" i="1"/>
  <c r="ALM1618" i="1"/>
  <c r="ALL1618" i="1"/>
  <c r="ALK1618" i="1"/>
  <c r="ALJ1618" i="1"/>
  <c r="ALI1618" i="1"/>
  <c r="ALH1618" i="1"/>
  <c r="ALG1618" i="1"/>
  <c r="ALF1618" i="1"/>
  <c r="ALE1618" i="1"/>
  <c r="ALD1618" i="1"/>
  <c r="ALC1618" i="1"/>
  <c r="ALB1618" i="1"/>
  <c r="ALA1618" i="1"/>
  <c r="AKZ1618" i="1"/>
  <c r="AKY1618" i="1"/>
  <c r="AKX1618" i="1"/>
  <c r="AKW1618" i="1"/>
  <c r="AKV1618" i="1"/>
  <c r="AKU1618" i="1"/>
  <c r="AKT1618" i="1"/>
  <c r="AKS1618" i="1"/>
  <c r="AKR1618" i="1"/>
  <c r="AKQ1618" i="1"/>
  <c r="AKP1618" i="1"/>
  <c r="AKO1618" i="1"/>
  <c r="AKN1618" i="1"/>
  <c r="AKM1618" i="1"/>
  <c r="AKL1618" i="1"/>
  <c r="AKK1618" i="1"/>
  <c r="AKJ1618" i="1"/>
  <c r="AKI1618" i="1"/>
  <c r="AKH1618" i="1"/>
  <c r="AKG1618" i="1"/>
  <c r="AKF1618" i="1"/>
  <c r="AKE1618" i="1"/>
  <c r="AKD1618" i="1"/>
  <c r="AKC1618" i="1"/>
  <c r="AKB1618" i="1"/>
  <c r="AKA1618" i="1"/>
  <c r="AJZ1618" i="1"/>
  <c r="AJY1618" i="1"/>
  <c r="AJX1618" i="1"/>
  <c r="AJW1618" i="1"/>
  <c r="AJV1618" i="1"/>
  <c r="AJU1618" i="1"/>
  <c r="AJT1618" i="1"/>
  <c r="AJS1618" i="1"/>
  <c r="AJR1618" i="1"/>
  <c r="AJQ1618" i="1"/>
  <c r="AJP1618" i="1"/>
  <c r="AJO1618" i="1"/>
  <c r="AJN1618" i="1"/>
  <c r="AJM1618" i="1"/>
  <c r="AJL1618" i="1"/>
  <c r="AJK1618" i="1"/>
  <c r="AJJ1618" i="1"/>
  <c r="AJI1618" i="1"/>
  <c r="AJH1618" i="1"/>
  <c r="AJG1618" i="1"/>
  <c r="AJF1618" i="1"/>
  <c r="AJE1618" i="1"/>
  <c r="AJD1618" i="1"/>
  <c r="AJC1618" i="1"/>
  <c r="AJB1618" i="1"/>
  <c r="AJA1618" i="1"/>
  <c r="AIZ1618" i="1"/>
  <c r="AIY1618" i="1"/>
  <c r="AIX1618" i="1"/>
  <c r="AIW1618" i="1"/>
  <c r="AIV1618" i="1"/>
  <c r="AIU1618" i="1"/>
  <c r="AIT1618" i="1"/>
  <c r="AIS1618" i="1"/>
  <c r="AIR1618" i="1"/>
  <c r="AIQ1618" i="1"/>
  <c r="AIP1618" i="1"/>
  <c r="AIO1618" i="1"/>
  <c r="AIN1618" i="1"/>
  <c r="AIM1618" i="1"/>
  <c r="AIL1618" i="1"/>
  <c r="AIK1618" i="1"/>
  <c r="AIJ1618" i="1"/>
  <c r="AII1618" i="1"/>
  <c r="AIH1618" i="1"/>
  <c r="AIG1618" i="1"/>
  <c r="AIF1618" i="1"/>
  <c r="AIE1618" i="1"/>
  <c r="AID1618" i="1"/>
  <c r="AIC1618" i="1"/>
  <c r="AIB1618" i="1"/>
  <c r="AIA1618" i="1"/>
  <c r="AHZ1618" i="1"/>
  <c r="AHY1618" i="1"/>
  <c r="AHX1618" i="1"/>
  <c r="AHW1618" i="1"/>
  <c r="AHV1618" i="1"/>
  <c r="AHU1618" i="1"/>
  <c r="AHT1618" i="1"/>
  <c r="AHS1618" i="1"/>
  <c r="AHR1618" i="1"/>
  <c r="AHQ1618" i="1"/>
  <c r="AHP1618" i="1"/>
  <c r="AHO1618" i="1"/>
  <c r="AHN1618" i="1"/>
  <c r="AHM1618" i="1"/>
  <c r="AHL1618" i="1"/>
  <c r="AHK1618" i="1"/>
  <c r="AHJ1618" i="1"/>
  <c r="AHI1618" i="1"/>
  <c r="AHH1618" i="1"/>
  <c r="AHG1618" i="1"/>
  <c r="AHF1618" i="1"/>
  <c r="AHE1618" i="1"/>
  <c r="AHD1618" i="1"/>
  <c r="AHC1618" i="1"/>
  <c r="AHB1618" i="1"/>
  <c r="AHA1618" i="1"/>
  <c r="AGZ1618" i="1"/>
  <c r="AGY1618" i="1"/>
  <c r="AGX1618" i="1"/>
  <c r="AGW1618" i="1"/>
  <c r="AGV1618" i="1"/>
  <c r="AGU1618" i="1"/>
  <c r="AGT1618" i="1"/>
  <c r="AGS1618" i="1"/>
  <c r="AGR1618" i="1"/>
  <c r="AGQ1618" i="1"/>
  <c r="AGP1618" i="1"/>
  <c r="AGO1618" i="1"/>
  <c r="AGN1618" i="1"/>
  <c r="AGM1618" i="1"/>
  <c r="AGL1618" i="1"/>
  <c r="AGK1618" i="1"/>
  <c r="AGJ1618" i="1"/>
  <c r="AGI1618" i="1"/>
  <c r="AGH1618" i="1"/>
  <c r="AGG1618" i="1"/>
  <c r="AGF1618" i="1"/>
  <c r="AGE1618" i="1"/>
  <c r="AGD1618" i="1"/>
  <c r="AGC1618" i="1"/>
  <c r="AGB1618" i="1"/>
  <c r="AGA1618" i="1"/>
  <c r="AFZ1618" i="1"/>
  <c r="AFY1618" i="1"/>
  <c r="AFX1618" i="1"/>
  <c r="AFW1618" i="1"/>
  <c r="AFV1618" i="1"/>
  <c r="AFU1618" i="1"/>
  <c r="AFT1618" i="1"/>
  <c r="AFS1618" i="1"/>
  <c r="AFR1618" i="1"/>
  <c r="AFQ1618" i="1"/>
  <c r="AFP1618" i="1"/>
  <c r="AFO1618" i="1"/>
  <c r="AFN1618" i="1"/>
  <c r="AFM1618" i="1"/>
  <c r="AFL1618" i="1"/>
  <c r="AFK1618" i="1"/>
  <c r="AFJ1618" i="1"/>
  <c r="AFI1618" i="1"/>
  <c r="AFH1618" i="1"/>
  <c r="AFG1618" i="1"/>
  <c r="AFF1618" i="1"/>
  <c r="AFE1618" i="1"/>
  <c r="AFD1618" i="1"/>
  <c r="AFC1618" i="1"/>
  <c r="AFB1618" i="1"/>
  <c r="AFA1618" i="1"/>
  <c r="AEZ1618" i="1"/>
  <c r="AEY1618" i="1"/>
  <c r="AEX1618" i="1"/>
  <c r="AEW1618" i="1"/>
  <c r="AEV1618" i="1"/>
  <c r="AEU1618" i="1"/>
  <c r="AET1618" i="1"/>
  <c r="AES1618" i="1"/>
  <c r="AER1618" i="1"/>
  <c r="AEQ1618" i="1"/>
  <c r="AEP1618" i="1"/>
  <c r="AEO1618" i="1"/>
  <c r="AEN1618" i="1"/>
  <c r="AEM1618" i="1"/>
  <c r="AEL1618" i="1"/>
  <c r="AEK1618" i="1"/>
  <c r="AEJ1618" i="1"/>
  <c r="AEI1618" i="1"/>
  <c r="AEH1618" i="1"/>
  <c r="AEG1618" i="1"/>
  <c r="AEF1618" i="1"/>
  <c r="AEE1618" i="1"/>
  <c r="AED1618" i="1"/>
  <c r="AEC1618" i="1"/>
  <c r="AEB1618" i="1"/>
  <c r="AEA1618" i="1"/>
  <c r="ADZ1618" i="1"/>
  <c r="ADY1618" i="1"/>
  <c r="ADX1618" i="1"/>
  <c r="ADW1618" i="1"/>
  <c r="ADV1618" i="1"/>
  <c r="ADU1618" i="1"/>
  <c r="ADT1618" i="1"/>
  <c r="ADS1618" i="1"/>
  <c r="ADR1618" i="1"/>
  <c r="ADQ1618" i="1"/>
  <c r="ADP1618" i="1"/>
  <c r="ADO1618" i="1"/>
  <c r="ADN1618" i="1"/>
  <c r="ADM1618" i="1"/>
  <c r="ADL1618" i="1"/>
  <c r="ADK1618" i="1"/>
  <c r="ADJ1618" i="1"/>
  <c r="ADI1618" i="1"/>
  <c r="ADH1618" i="1"/>
  <c r="ADG1618" i="1"/>
  <c r="ADF1618" i="1"/>
  <c r="ADE1618" i="1"/>
  <c r="ADD1618" i="1"/>
  <c r="ADC1618" i="1"/>
  <c r="ADB1618" i="1"/>
  <c r="ADA1618" i="1"/>
  <c r="ACZ1618" i="1"/>
  <c r="ACY1618" i="1"/>
  <c r="ACX1618" i="1"/>
  <c r="ACW1618" i="1"/>
  <c r="ACV1618" i="1"/>
  <c r="ACU1618" i="1"/>
  <c r="ACT1618" i="1"/>
  <c r="ACS1618" i="1"/>
  <c r="ACR1618" i="1"/>
  <c r="ACQ1618" i="1"/>
  <c r="ACP1618" i="1"/>
  <c r="ACO1618" i="1"/>
  <c r="ACN1618" i="1"/>
  <c r="ACM1618" i="1"/>
  <c r="ACL1618" i="1"/>
  <c r="ACK1618" i="1"/>
  <c r="ACJ1618" i="1"/>
  <c r="ACI1618" i="1"/>
  <c r="ACH1618" i="1"/>
  <c r="ACG1618" i="1"/>
  <c r="ACF1618" i="1"/>
  <c r="ACE1618" i="1"/>
  <c r="ACD1618" i="1"/>
  <c r="ACC1618" i="1"/>
  <c r="ACB1618" i="1"/>
  <c r="ACA1618" i="1"/>
  <c r="ABZ1618" i="1"/>
  <c r="ABY1618" i="1"/>
  <c r="ABX1618" i="1"/>
  <c r="ABW1618" i="1"/>
  <c r="ABV1618" i="1"/>
  <c r="ABU1618" i="1"/>
  <c r="ABT1618" i="1"/>
  <c r="ABS1618" i="1"/>
  <c r="ABR1618" i="1"/>
  <c r="ABQ1618" i="1"/>
  <c r="ABP1618" i="1"/>
  <c r="ABO1618" i="1"/>
  <c r="ABN1618" i="1"/>
  <c r="ABM1618" i="1"/>
  <c r="ABL1618" i="1"/>
  <c r="ABK1618" i="1"/>
  <c r="ABJ1618" i="1"/>
  <c r="ABI1618" i="1"/>
  <c r="ABH1618" i="1"/>
  <c r="ABG1618" i="1"/>
  <c r="ABF1618" i="1"/>
  <c r="ABE1618" i="1"/>
  <c r="ABD1618" i="1"/>
  <c r="ABC1618" i="1"/>
  <c r="ABB1618" i="1"/>
  <c r="ABA1618" i="1"/>
  <c r="AAZ1618" i="1"/>
  <c r="AAY1618" i="1"/>
  <c r="AAX1618" i="1"/>
  <c r="AAW1618" i="1"/>
  <c r="AAV1618" i="1"/>
  <c r="AAU1618" i="1"/>
  <c r="AAT1618" i="1"/>
  <c r="AAS1618" i="1"/>
  <c r="AAR1618" i="1"/>
  <c r="AAQ1618" i="1"/>
  <c r="AAP1618" i="1"/>
  <c r="AAO1618" i="1"/>
  <c r="AAN1618" i="1"/>
  <c r="AAM1618" i="1"/>
  <c r="AAL1618" i="1"/>
  <c r="AAK1618" i="1"/>
  <c r="AAJ1618" i="1"/>
  <c r="AAI1618" i="1"/>
  <c r="AAH1618" i="1"/>
  <c r="AAG1618" i="1"/>
  <c r="AAF1618" i="1"/>
  <c r="AAE1618" i="1"/>
  <c r="AAD1618" i="1"/>
  <c r="AAC1618" i="1"/>
  <c r="AAB1618" i="1"/>
  <c r="AAA1618" i="1"/>
  <c r="ZZ1618" i="1"/>
  <c r="ZY1618" i="1"/>
  <c r="ZX1618" i="1"/>
  <c r="ZW1618" i="1"/>
  <c r="ZV1618" i="1"/>
  <c r="ZU1618" i="1"/>
  <c r="ZT1618" i="1"/>
  <c r="ZS1618" i="1"/>
  <c r="ZR1618" i="1"/>
  <c r="ZQ1618" i="1"/>
  <c r="ZP1618" i="1"/>
  <c r="ZO1618" i="1"/>
  <c r="ZN1618" i="1"/>
  <c r="ZM1618" i="1"/>
  <c r="ZL1618" i="1"/>
  <c r="ZK1618" i="1"/>
  <c r="ZJ1618" i="1"/>
  <c r="ZI1618" i="1"/>
  <c r="ZH1618" i="1"/>
  <c r="ZG1618" i="1"/>
  <c r="ZF1618" i="1"/>
  <c r="ZE1618" i="1"/>
  <c r="ZD1618" i="1"/>
  <c r="ZC1618" i="1"/>
  <c r="ZB1618" i="1"/>
  <c r="ZA1618" i="1"/>
  <c r="YZ1618" i="1"/>
  <c r="YY1618" i="1"/>
  <c r="YX1618" i="1"/>
  <c r="YW1618" i="1"/>
  <c r="YV1618" i="1"/>
  <c r="YU1618" i="1"/>
  <c r="YT1618" i="1"/>
  <c r="YS1618" i="1"/>
  <c r="YR1618" i="1"/>
  <c r="YQ1618" i="1"/>
  <c r="YP1618" i="1"/>
  <c r="YO1618" i="1"/>
  <c r="YN1618" i="1"/>
  <c r="YM1618" i="1"/>
  <c r="YL1618" i="1"/>
  <c r="YK1618" i="1"/>
  <c r="YJ1618" i="1"/>
  <c r="YI1618" i="1"/>
  <c r="YH1618" i="1"/>
  <c r="YG1618" i="1"/>
  <c r="YF1618" i="1"/>
  <c r="YE1618" i="1"/>
  <c r="YD1618" i="1"/>
  <c r="YC1618" i="1"/>
  <c r="YB1618" i="1"/>
  <c r="YA1618" i="1"/>
  <c r="XZ1618" i="1"/>
  <c r="XY1618" i="1"/>
  <c r="XX1618" i="1"/>
  <c r="XW1618" i="1"/>
  <c r="XV1618" i="1"/>
  <c r="XU1618" i="1"/>
  <c r="XT1618" i="1"/>
  <c r="XS1618" i="1"/>
  <c r="XR1618" i="1"/>
  <c r="XQ1618" i="1"/>
  <c r="XP1618" i="1"/>
  <c r="XO1618" i="1"/>
  <c r="XN1618" i="1"/>
  <c r="XM1618" i="1"/>
  <c r="XL1618" i="1"/>
  <c r="XK1618" i="1"/>
  <c r="XJ1618" i="1"/>
  <c r="XI1618" i="1"/>
  <c r="XH1618" i="1"/>
  <c r="XG1618" i="1"/>
  <c r="XF1618" i="1"/>
  <c r="XE1618" i="1"/>
  <c r="XD1618" i="1"/>
  <c r="XC1618" i="1"/>
  <c r="XB1618" i="1"/>
  <c r="XA1618" i="1"/>
  <c r="WZ1618" i="1"/>
  <c r="WY1618" i="1"/>
  <c r="WX1618" i="1"/>
  <c r="WW1618" i="1"/>
  <c r="WV1618" i="1"/>
  <c r="WU1618" i="1"/>
  <c r="WT1618" i="1"/>
  <c r="WS1618" i="1"/>
  <c r="WR1618" i="1"/>
  <c r="WQ1618" i="1"/>
  <c r="WP1618" i="1"/>
  <c r="WO1618" i="1"/>
  <c r="WN1618" i="1"/>
  <c r="WM1618" i="1"/>
  <c r="WL1618" i="1"/>
  <c r="WK1618" i="1"/>
  <c r="WJ1618" i="1"/>
  <c r="WI1618" i="1"/>
  <c r="WH1618" i="1"/>
  <c r="WG1618" i="1"/>
  <c r="WF1618" i="1"/>
  <c r="WE1618" i="1"/>
  <c r="WD1618" i="1"/>
  <c r="WC1618" i="1"/>
  <c r="WB1618" i="1"/>
  <c r="WA1618" i="1"/>
  <c r="VZ1618" i="1"/>
  <c r="VY1618" i="1"/>
  <c r="VX1618" i="1"/>
  <c r="VW1618" i="1"/>
  <c r="VV1618" i="1"/>
  <c r="VU1618" i="1"/>
  <c r="VT1618" i="1"/>
  <c r="VS1618" i="1"/>
  <c r="VR1618" i="1"/>
  <c r="VQ1618" i="1"/>
  <c r="VP1618" i="1"/>
  <c r="VO1618" i="1"/>
  <c r="VN1618" i="1"/>
  <c r="VM1618" i="1"/>
  <c r="VL1618" i="1"/>
  <c r="VK1618" i="1"/>
  <c r="VJ1618" i="1"/>
  <c r="VI1618" i="1"/>
  <c r="VH1618" i="1"/>
  <c r="VG1618" i="1"/>
  <c r="VF1618" i="1"/>
  <c r="VE1618" i="1"/>
  <c r="VD1618" i="1"/>
  <c r="VC1618" i="1"/>
  <c r="VB1618" i="1"/>
  <c r="VA1618" i="1"/>
  <c r="UZ1618" i="1"/>
  <c r="UY1618" i="1"/>
  <c r="UX1618" i="1"/>
  <c r="UW1618" i="1"/>
  <c r="UV1618" i="1"/>
  <c r="UU1618" i="1"/>
  <c r="UT1618" i="1"/>
  <c r="US1618" i="1"/>
  <c r="UR1618" i="1"/>
  <c r="UQ1618" i="1"/>
  <c r="UP1618" i="1"/>
  <c r="UO1618" i="1"/>
  <c r="UN1618" i="1"/>
  <c r="UM1618" i="1"/>
  <c r="UL1618" i="1"/>
  <c r="UK1618" i="1"/>
  <c r="UJ1618" i="1"/>
  <c r="UI1618" i="1"/>
  <c r="UH1618" i="1"/>
  <c r="UG1618" i="1"/>
  <c r="UF1618" i="1"/>
  <c r="UE1618" i="1"/>
  <c r="UD1618" i="1"/>
  <c r="UC1618" i="1"/>
  <c r="UB1618" i="1"/>
  <c r="UA1618" i="1"/>
  <c r="TZ1618" i="1"/>
  <c r="TY1618" i="1"/>
  <c r="TX1618" i="1"/>
  <c r="TW1618" i="1"/>
  <c r="TV1618" i="1"/>
  <c r="TU1618" i="1"/>
  <c r="TT1618" i="1"/>
  <c r="TS1618" i="1"/>
  <c r="TR1618" i="1"/>
  <c r="TQ1618" i="1"/>
  <c r="TP1618" i="1"/>
  <c r="TO1618" i="1"/>
  <c r="TN1618" i="1"/>
  <c r="TM1618" i="1"/>
  <c r="TL1618" i="1"/>
  <c r="TK1618" i="1"/>
  <c r="TJ1618" i="1"/>
  <c r="TI1618" i="1"/>
  <c r="TH1618" i="1"/>
  <c r="TG1618" i="1"/>
  <c r="TF1618" i="1"/>
  <c r="TE1618" i="1"/>
  <c r="TD1618" i="1"/>
  <c r="TC1618" i="1"/>
  <c r="TB1618" i="1"/>
  <c r="TA1618" i="1"/>
  <c r="SZ1618" i="1"/>
  <c r="SY1618" i="1"/>
  <c r="SX1618" i="1"/>
  <c r="SW1618" i="1"/>
  <c r="SV1618" i="1"/>
  <c r="SU1618" i="1"/>
  <c r="ST1618" i="1"/>
  <c r="SS1618" i="1"/>
  <c r="SR1618" i="1"/>
  <c r="SQ1618" i="1"/>
  <c r="SP1618" i="1"/>
  <c r="SO1618" i="1"/>
  <c r="SN1618" i="1"/>
  <c r="SM1618" i="1"/>
  <c r="SL1618" i="1"/>
  <c r="SK1618" i="1"/>
  <c r="SJ1618" i="1"/>
  <c r="SI1618" i="1"/>
  <c r="SH1618" i="1"/>
  <c r="SG1618" i="1"/>
  <c r="SF1618" i="1"/>
  <c r="SE1618" i="1"/>
  <c r="SD1618" i="1"/>
  <c r="SC1618" i="1"/>
  <c r="SB1618" i="1"/>
  <c r="SA1618" i="1"/>
  <c r="RZ1618" i="1"/>
  <c r="RY1618" i="1"/>
  <c r="RX1618" i="1"/>
  <c r="RW1618" i="1"/>
  <c r="RV1618" i="1"/>
  <c r="RU1618" i="1"/>
  <c r="RT1618" i="1"/>
  <c r="RS1618" i="1"/>
  <c r="RR1618" i="1"/>
  <c r="RQ1618" i="1"/>
  <c r="RP1618" i="1"/>
  <c r="RO1618" i="1"/>
  <c r="RN1618" i="1"/>
  <c r="RM1618" i="1"/>
  <c r="RL1618" i="1"/>
  <c r="RK1618" i="1"/>
  <c r="RJ1618" i="1"/>
  <c r="RI1618" i="1"/>
  <c r="RH1618" i="1"/>
  <c r="RG1618" i="1"/>
  <c r="RF1618" i="1"/>
  <c r="RE1618" i="1"/>
  <c r="RD1618" i="1"/>
  <c r="RC1618" i="1"/>
  <c r="RB1618" i="1"/>
  <c r="RA1618" i="1"/>
  <c r="QZ1618" i="1"/>
  <c r="QY1618" i="1"/>
  <c r="QX1618" i="1"/>
  <c r="QW1618" i="1"/>
  <c r="QV1618" i="1"/>
  <c r="QU1618" i="1"/>
  <c r="QT1618" i="1"/>
  <c r="QS1618" i="1"/>
  <c r="QR1618" i="1"/>
  <c r="QQ1618" i="1"/>
  <c r="QP1618" i="1"/>
  <c r="QO1618" i="1"/>
  <c r="QN1618" i="1"/>
  <c r="QM1618" i="1"/>
  <c r="QL1618" i="1"/>
  <c r="QK1618" i="1"/>
  <c r="QJ1618" i="1"/>
  <c r="QI1618" i="1"/>
  <c r="QH1618" i="1"/>
  <c r="QG1618" i="1"/>
  <c r="QF1618" i="1"/>
  <c r="QE1618" i="1"/>
  <c r="QD1618" i="1"/>
  <c r="QC1618" i="1"/>
  <c r="QB1618" i="1"/>
  <c r="QA1618" i="1"/>
  <c r="PZ1618" i="1"/>
  <c r="PY1618" i="1"/>
  <c r="PX1618" i="1"/>
  <c r="PW1618" i="1"/>
  <c r="PV1618" i="1"/>
  <c r="PU1618" i="1"/>
  <c r="PT1618" i="1"/>
  <c r="PS1618" i="1"/>
  <c r="PR1618" i="1"/>
  <c r="PQ1618" i="1"/>
  <c r="PP1618" i="1"/>
  <c r="PO1618" i="1"/>
  <c r="PN1618" i="1"/>
  <c r="PM1618" i="1"/>
  <c r="PL1618" i="1"/>
  <c r="PK1618" i="1"/>
  <c r="PJ1618" i="1"/>
  <c r="PI1618" i="1"/>
  <c r="PH1618" i="1"/>
  <c r="PG1618" i="1"/>
  <c r="PF1618" i="1"/>
  <c r="PE1618" i="1"/>
  <c r="PD1618" i="1"/>
  <c r="PC1618" i="1"/>
  <c r="PB1618" i="1"/>
  <c r="PA1618" i="1"/>
  <c r="OZ1618" i="1"/>
  <c r="OY1618" i="1"/>
  <c r="OX1618" i="1"/>
  <c r="OW1618" i="1"/>
  <c r="OV1618" i="1"/>
  <c r="OU1618" i="1"/>
  <c r="OT1618" i="1"/>
  <c r="OS1618" i="1"/>
  <c r="OR1618" i="1"/>
  <c r="OQ1618" i="1"/>
  <c r="OP1618" i="1"/>
  <c r="OO1618" i="1"/>
  <c r="ON1618" i="1"/>
  <c r="OM1618" i="1"/>
  <c r="OL1618" i="1"/>
  <c r="OK1618" i="1"/>
  <c r="OJ1618" i="1"/>
  <c r="OI1618" i="1"/>
  <c r="OH1618" i="1"/>
  <c r="OG1618" i="1"/>
  <c r="OF1618" i="1"/>
  <c r="OE1618" i="1"/>
  <c r="OD1618" i="1"/>
  <c r="OC1618" i="1"/>
  <c r="OB1618" i="1"/>
  <c r="OA1618" i="1"/>
  <c r="NZ1618" i="1"/>
  <c r="NY1618" i="1"/>
  <c r="NX1618" i="1"/>
  <c r="NW1618" i="1"/>
  <c r="NV1618" i="1"/>
  <c r="NU1618" i="1"/>
  <c r="NT1618" i="1"/>
  <c r="NS1618" i="1"/>
  <c r="NR1618" i="1"/>
  <c r="NQ1618" i="1"/>
  <c r="NP1618" i="1"/>
  <c r="NO1618" i="1"/>
  <c r="NN1618" i="1"/>
  <c r="NM1618" i="1"/>
  <c r="NL1618" i="1"/>
  <c r="NK1618" i="1"/>
  <c r="NJ1618" i="1"/>
  <c r="NI1618" i="1"/>
  <c r="NH1618" i="1"/>
  <c r="NG1618" i="1"/>
  <c r="NF1618" i="1"/>
  <c r="NE1618" i="1"/>
  <c r="ND1618" i="1"/>
  <c r="NC1618" i="1"/>
  <c r="NB1618" i="1"/>
  <c r="NA1618" i="1"/>
  <c r="MZ1618" i="1"/>
  <c r="MY1618" i="1"/>
  <c r="MX1618" i="1"/>
  <c r="MW1618" i="1"/>
  <c r="MV1618" i="1"/>
  <c r="MU1618" i="1"/>
  <c r="MT1618" i="1"/>
  <c r="MS1618" i="1"/>
  <c r="MR1618" i="1"/>
  <c r="MQ1618" i="1"/>
  <c r="MP1618" i="1"/>
  <c r="MO1618" i="1"/>
  <c r="MN1618" i="1"/>
  <c r="MM1618" i="1"/>
  <c r="ML1618" i="1"/>
  <c r="MK1618" i="1"/>
  <c r="MJ1618" i="1"/>
  <c r="MI1618" i="1"/>
  <c r="MH1618" i="1"/>
  <c r="MG1618" i="1"/>
  <c r="MF1618" i="1"/>
  <c r="ME1618" i="1"/>
  <c r="MD1618" i="1"/>
  <c r="MC1618" i="1"/>
  <c r="MB1618" i="1"/>
  <c r="MA1618" i="1"/>
  <c r="LZ1618" i="1"/>
  <c r="LY1618" i="1"/>
  <c r="LX1618" i="1"/>
  <c r="LW1618" i="1"/>
  <c r="LV1618" i="1"/>
  <c r="LU1618" i="1"/>
  <c r="LT1618" i="1"/>
  <c r="LS1618" i="1"/>
  <c r="LR1618" i="1"/>
  <c r="LQ1618" i="1"/>
  <c r="LP1618" i="1"/>
  <c r="LO1618" i="1"/>
  <c r="LN1618" i="1"/>
  <c r="LM1618" i="1"/>
  <c r="LL1618" i="1"/>
  <c r="LK1618" i="1"/>
  <c r="LJ1618" i="1"/>
  <c r="LI1618" i="1"/>
  <c r="LH1618" i="1"/>
  <c r="LG1618" i="1"/>
  <c r="LF1618" i="1"/>
  <c r="LE1618" i="1"/>
  <c r="LD1618" i="1"/>
  <c r="LC1618" i="1"/>
  <c r="LB1618" i="1"/>
  <c r="LA1618" i="1"/>
  <c r="KZ1618" i="1"/>
  <c r="KY1618" i="1"/>
  <c r="KX1618" i="1"/>
  <c r="KW1618" i="1"/>
  <c r="KV1618" i="1"/>
  <c r="KU1618" i="1"/>
  <c r="KT1618" i="1"/>
  <c r="KS1618" i="1"/>
  <c r="KR1618" i="1"/>
  <c r="KQ1618" i="1"/>
  <c r="KP1618" i="1"/>
  <c r="KO1618" i="1"/>
  <c r="KN1618" i="1"/>
  <c r="KM1618" i="1"/>
  <c r="KL1618" i="1"/>
  <c r="KK1618" i="1"/>
  <c r="KJ1618" i="1"/>
  <c r="KI1618" i="1"/>
  <c r="KH1618" i="1"/>
  <c r="KG1618" i="1"/>
  <c r="KF1618" i="1"/>
  <c r="KE1618" i="1"/>
  <c r="KD1618" i="1"/>
  <c r="KC1618" i="1"/>
  <c r="KB1618" i="1"/>
  <c r="KA1618" i="1"/>
  <c r="JZ1618" i="1"/>
  <c r="JY1618" i="1"/>
  <c r="JX1618" i="1"/>
  <c r="JW1618" i="1"/>
  <c r="JV1618" i="1"/>
  <c r="JU1618" i="1"/>
  <c r="JT1618" i="1"/>
  <c r="JS1618" i="1"/>
  <c r="JR1618" i="1"/>
  <c r="JQ1618" i="1"/>
  <c r="JP1618" i="1"/>
  <c r="JO1618" i="1"/>
  <c r="JN1618" i="1"/>
  <c r="JM1618" i="1"/>
  <c r="JL1618" i="1"/>
  <c r="JK1618" i="1"/>
  <c r="JJ1618" i="1"/>
  <c r="JI1618" i="1"/>
  <c r="JH1618" i="1"/>
  <c r="JG1618" i="1"/>
  <c r="JF1618" i="1"/>
  <c r="JE1618" i="1"/>
  <c r="JD1618" i="1"/>
  <c r="JC1618" i="1"/>
  <c r="JB1618" i="1"/>
  <c r="JA1618" i="1"/>
  <c r="IZ1618" i="1"/>
  <c r="IY1618" i="1"/>
  <c r="IX1618" i="1"/>
  <c r="IW1618" i="1"/>
  <c r="IV1618" i="1"/>
  <c r="IU1618" i="1"/>
  <c r="IT1618" i="1"/>
  <c r="IS1618" i="1"/>
  <c r="IR1618" i="1"/>
  <c r="IQ1618" i="1"/>
  <c r="IP1618" i="1"/>
  <c r="IO1618" i="1"/>
  <c r="IN1618" i="1"/>
  <c r="IM1618" i="1"/>
  <c r="IL1618" i="1"/>
  <c r="IK1618" i="1"/>
  <c r="IJ1618" i="1"/>
  <c r="II1618" i="1"/>
  <c r="IH1618" i="1"/>
  <c r="IG1618" i="1"/>
  <c r="IF1618" i="1"/>
  <c r="IE1618" i="1"/>
  <c r="ID1618" i="1"/>
  <c r="IC1618" i="1"/>
  <c r="IB1618" i="1"/>
  <c r="IA1618" i="1"/>
  <c r="HZ1618" i="1"/>
  <c r="HY1618" i="1"/>
  <c r="HX1618" i="1"/>
  <c r="HW1618" i="1"/>
  <c r="HV1618" i="1"/>
  <c r="HU1618" i="1"/>
  <c r="HT1618" i="1"/>
  <c r="HS1618" i="1"/>
  <c r="HR1618" i="1"/>
  <c r="HQ1618" i="1"/>
  <c r="HP1618" i="1"/>
  <c r="HO1618" i="1"/>
  <c r="HN1618" i="1"/>
  <c r="HM1618" i="1"/>
  <c r="HL1618" i="1"/>
  <c r="HK1618" i="1"/>
  <c r="HJ1618" i="1"/>
  <c r="HI1618" i="1"/>
  <c r="HH1618" i="1"/>
  <c r="HG1618" i="1"/>
  <c r="HF1618" i="1"/>
  <c r="HE1618" i="1"/>
  <c r="HD1618" i="1"/>
  <c r="HC1618" i="1"/>
  <c r="HB1618" i="1"/>
  <c r="HA1618" i="1"/>
  <c r="GZ1618" i="1"/>
  <c r="GY1618" i="1"/>
  <c r="GX1618" i="1"/>
  <c r="GW1618" i="1"/>
  <c r="GV1618" i="1"/>
  <c r="GU1618" i="1"/>
  <c r="GT1618" i="1"/>
  <c r="GS1618" i="1"/>
  <c r="GR1618" i="1"/>
  <c r="GQ1618" i="1"/>
  <c r="GP1618" i="1"/>
  <c r="GO1618" i="1"/>
  <c r="GN1618" i="1"/>
  <c r="GM1618" i="1"/>
  <c r="GL1618" i="1"/>
  <c r="GK1618" i="1"/>
  <c r="GJ1618" i="1"/>
  <c r="GI1618" i="1"/>
  <c r="GH1618" i="1"/>
  <c r="GG1618" i="1"/>
  <c r="GF1618" i="1"/>
  <c r="GE1618" i="1"/>
  <c r="GD1618" i="1"/>
  <c r="GC1618" i="1"/>
  <c r="GB1618" i="1"/>
  <c r="GA1618" i="1"/>
  <c r="FZ1618" i="1"/>
  <c r="FY1618" i="1"/>
  <c r="FX1618" i="1"/>
  <c r="FW1618" i="1"/>
  <c r="FV1618" i="1"/>
  <c r="FU1618" i="1"/>
  <c r="FT1618" i="1"/>
  <c r="FS1618" i="1"/>
  <c r="FR1618" i="1"/>
  <c r="FQ1618" i="1"/>
  <c r="FP1618" i="1"/>
  <c r="FO1618" i="1"/>
  <c r="FN1618" i="1"/>
  <c r="FM1618" i="1"/>
  <c r="FL1618" i="1"/>
  <c r="FK1618" i="1"/>
  <c r="FJ1618" i="1"/>
  <c r="FI1618" i="1"/>
  <c r="FH1618" i="1"/>
  <c r="FG1618" i="1"/>
  <c r="FF1618" i="1"/>
  <c r="FE1618" i="1"/>
  <c r="FD1618" i="1"/>
  <c r="FC1618" i="1"/>
  <c r="FB1618" i="1"/>
  <c r="FA1618" i="1"/>
  <c r="EZ1618" i="1"/>
  <c r="EY1618" i="1"/>
  <c r="EX1618" i="1"/>
  <c r="EW1618" i="1"/>
  <c r="EV1618" i="1"/>
  <c r="EU1618" i="1"/>
  <c r="ET1618" i="1"/>
  <c r="ES1618" i="1"/>
  <c r="ER1618" i="1"/>
  <c r="EQ1618" i="1"/>
  <c r="EP1618" i="1"/>
  <c r="EO1618" i="1"/>
  <c r="EN1618" i="1"/>
  <c r="EM1618" i="1"/>
  <c r="EL1618" i="1"/>
  <c r="EK1618" i="1"/>
  <c r="EJ1618" i="1"/>
  <c r="EI1618" i="1"/>
  <c r="EH1618" i="1"/>
  <c r="EG1618" i="1"/>
  <c r="EF1618" i="1"/>
  <c r="EE1618" i="1"/>
  <c r="ED1618" i="1"/>
  <c r="EC1618" i="1"/>
  <c r="EB1618" i="1"/>
  <c r="EA1618" i="1"/>
  <c r="DZ1618" i="1"/>
  <c r="DY1618" i="1"/>
  <c r="DX1618" i="1"/>
  <c r="DW1618" i="1"/>
  <c r="DV1618" i="1"/>
  <c r="DU1618" i="1"/>
  <c r="DT1618" i="1"/>
  <c r="DS1618" i="1"/>
  <c r="DR1618" i="1"/>
  <c r="DQ1618" i="1"/>
  <c r="DP1618" i="1"/>
  <c r="DO1618" i="1"/>
  <c r="DN1618" i="1"/>
  <c r="DM1618" i="1"/>
  <c r="DL1618" i="1"/>
  <c r="DK1618" i="1"/>
  <c r="DJ1618" i="1"/>
  <c r="DI1618" i="1"/>
  <c r="DH1618" i="1"/>
  <c r="DG1618" i="1"/>
  <c r="DF1618" i="1"/>
  <c r="DE1618" i="1"/>
  <c r="DD1618" i="1"/>
  <c r="DC1618" i="1"/>
  <c r="DB1618" i="1"/>
  <c r="DA1618" i="1"/>
  <c r="CZ1618" i="1"/>
  <c r="CY1618" i="1"/>
  <c r="CX1618" i="1"/>
  <c r="CW1618" i="1"/>
  <c r="CV1618" i="1"/>
  <c r="CU1618" i="1"/>
  <c r="CT1618" i="1"/>
  <c r="CS1618" i="1"/>
  <c r="CR1618" i="1"/>
  <c r="CQ1618" i="1"/>
  <c r="CP1618" i="1"/>
  <c r="CO1618" i="1"/>
  <c r="CN1618" i="1"/>
  <c r="CM1618" i="1"/>
  <c r="CL1618" i="1"/>
  <c r="CK1618" i="1"/>
  <c r="CJ1618" i="1"/>
  <c r="CI1618" i="1"/>
  <c r="CH1618" i="1"/>
  <c r="CG1618" i="1"/>
  <c r="CF1618" i="1"/>
  <c r="CE1618" i="1"/>
  <c r="CD1618" i="1"/>
  <c r="CC1618" i="1"/>
  <c r="CB1618" i="1"/>
  <c r="CA1618" i="1"/>
  <c r="BZ1618" i="1"/>
  <c r="BY1618" i="1"/>
  <c r="BX1618" i="1"/>
  <c r="BW1618" i="1"/>
  <c r="BV1618" i="1"/>
  <c r="BU1618" i="1"/>
  <c r="BT1618" i="1"/>
  <c r="BS1618" i="1"/>
  <c r="BR1618" i="1"/>
  <c r="BQ1618" i="1"/>
  <c r="BP1618" i="1"/>
  <c r="BO1618" i="1"/>
  <c r="BN1618" i="1"/>
  <c r="BM1618" i="1"/>
  <c r="BL1618" i="1"/>
  <c r="BK1618" i="1"/>
  <c r="BJ1618" i="1"/>
  <c r="BI1618" i="1"/>
  <c r="BH1618" i="1"/>
  <c r="BG1618" i="1"/>
  <c r="BF1618" i="1"/>
  <c r="BE1618" i="1"/>
  <c r="BD1618" i="1"/>
  <c r="BC1618" i="1"/>
  <c r="BB1618" i="1"/>
  <c r="BA1618" i="1"/>
  <c r="AZ1618" i="1"/>
  <c r="AY1618" i="1"/>
  <c r="AX1618" i="1"/>
  <c r="AW1618" i="1"/>
  <c r="AV1618" i="1"/>
  <c r="AU1618" i="1"/>
  <c r="AT1618" i="1"/>
  <c r="AS1618" i="1"/>
  <c r="AR1618" i="1"/>
  <c r="AQ1618" i="1"/>
  <c r="AP1618" i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C1618" i="1"/>
  <c r="F1613" i="1"/>
  <c r="E1613" i="1"/>
  <c r="C1610" i="1"/>
  <c r="C1609" i="1"/>
  <c r="C1608" i="1"/>
  <c r="C1607" i="1"/>
  <c r="E1602" i="1"/>
  <c r="E1614" i="1" s="1"/>
  <c r="F1601" i="1"/>
  <c r="E1601" i="1"/>
  <c r="E1600" i="1"/>
  <c r="E1612" i="1" s="1"/>
  <c r="XFC1599" i="1"/>
  <c r="XFB1599" i="1"/>
  <c r="XFA1599" i="1"/>
  <c r="XEZ1599" i="1"/>
  <c r="XEY1599" i="1"/>
  <c r="XEX1599" i="1"/>
  <c r="XEW1599" i="1"/>
  <c r="XEV1599" i="1"/>
  <c r="XEU1599" i="1"/>
  <c r="XET1599" i="1"/>
  <c r="XES1599" i="1"/>
  <c r="XER1599" i="1"/>
  <c r="XEQ1599" i="1"/>
  <c r="XEP1599" i="1"/>
  <c r="XEO1599" i="1"/>
  <c r="XEN1599" i="1"/>
  <c r="XEM1599" i="1"/>
  <c r="XEL1599" i="1"/>
  <c r="XEK1599" i="1"/>
  <c r="XEJ1599" i="1"/>
  <c r="XEI1599" i="1"/>
  <c r="XEH1599" i="1"/>
  <c r="XEG1599" i="1"/>
  <c r="XEF1599" i="1"/>
  <c r="XEE1599" i="1"/>
  <c r="XED1599" i="1"/>
  <c r="XEC1599" i="1"/>
  <c r="XEB1599" i="1"/>
  <c r="XEA1599" i="1"/>
  <c r="XDZ1599" i="1"/>
  <c r="XDY1599" i="1"/>
  <c r="XDX1599" i="1"/>
  <c r="XDW1599" i="1"/>
  <c r="XDV1599" i="1"/>
  <c r="XDU1599" i="1"/>
  <c r="XDT1599" i="1"/>
  <c r="XDS1599" i="1"/>
  <c r="XDR1599" i="1"/>
  <c r="XDQ1599" i="1"/>
  <c r="XDP1599" i="1"/>
  <c r="XDO1599" i="1"/>
  <c r="XDN1599" i="1"/>
  <c r="XDM1599" i="1"/>
  <c r="XDL1599" i="1"/>
  <c r="XDK1599" i="1"/>
  <c r="XDJ1599" i="1"/>
  <c r="XDI1599" i="1"/>
  <c r="XDH1599" i="1"/>
  <c r="XDG1599" i="1"/>
  <c r="XDF1599" i="1"/>
  <c r="XDE1599" i="1"/>
  <c r="XDD1599" i="1"/>
  <c r="XDC1599" i="1"/>
  <c r="XDB1599" i="1"/>
  <c r="XDA1599" i="1"/>
  <c r="XCZ1599" i="1"/>
  <c r="XCY1599" i="1"/>
  <c r="XCX1599" i="1"/>
  <c r="XCW1599" i="1"/>
  <c r="XCV1599" i="1"/>
  <c r="XCU1599" i="1"/>
  <c r="XCT1599" i="1"/>
  <c r="XCS1599" i="1"/>
  <c r="XCR1599" i="1"/>
  <c r="XCQ1599" i="1"/>
  <c r="XCP1599" i="1"/>
  <c r="XCO1599" i="1"/>
  <c r="XCN1599" i="1"/>
  <c r="XCM1599" i="1"/>
  <c r="XCL1599" i="1"/>
  <c r="XCK1599" i="1"/>
  <c r="XCJ1599" i="1"/>
  <c r="XCI1599" i="1"/>
  <c r="XCH1599" i="1"/>
  <c r="XCG1599" i="1"/>
  <c r="XCF1599" i="1"/>
  <c r="XCE1599" i="1"/>
  <c r="XCD1599" i="1"/>
  <c r="XCC1599" i="1"/>
  <c r="XCB1599" i="1"/>
  <c r="XCA1599" i="1"/>
  <c r="XBZ1599" i="1"/>
  <c r="XBY1599" i="1"/>
  <c r="XBX1599" i="1"/>
  <c r="XBW1599" i="1"/>
  <c r="XBV1599" i="1"/>
  <c r="XBU1599" i="1"/>
  <c r="XBT1599" i="1"/>
  <c r="XBS1599" i="1"/>
  <c r="XBR1599" i="1"/>
  <c r="XBQ1599" i="1"/>
  <c r="XBP1599" i="1"/>
  <c r="XBO1599" i="1"/>
  <c r="XBN1599" i="1"/>
  <c r="XBM1599" i="1"/>
  <c r="XBL1599" i="1"/>
  <c r="XBK1599" i="1"/>
  <c r="XBJ1599" i="1"/>
  <c r="XBI1599" i="1"/>
  <c r="XBH1599" i="1"/>
  <c r="XBG1599" i="1"/>
  <c r="XBF1599" i="1"/>
  <c r="XBE1599" i="1"/>
  <c r="XBD1599" i="1"/>
  <c r="XBC1599" i="1"/>
  <c r="XBB1599" i="1"/>
  <c r="XBA1599" i="1"/>
  <c r="XAZ1599" i="1"/>
  <c r="XAY1599" i="1"/>
  <c r="XAX1599" i="1"/>
  <c r="XAW1599" i="1"/>
  <c r="XAV1599" i="1"/>
  <c r="XAU1599" i="1"/>
  <c r="XAT1599" i="1"/>
  <c r="XAS1599" i="1"/>
  <c r="XAR1599" i="1"/>
  <c r="XAQ1599" i="1"/>
  <c r="XAP1599" i="1"/>
  <c r="XAO1599" i="1"/>
  <c r="XAN1599" i="1"/>
  <c r="XAM1599" i="1"/>
  <c r="XAL1599" i="1"/>
  <c r="XAK1599" i="1"/>
  <c r="XAJ1599" i="1"/>
  <c r="XAI1599" i="1"/>
  <c r="XAH1599" i="1"/>
  <c r="XAG1599" i="1"/>
  <c r="XAF1599" i="1"/>
  <c r="XAE1599" i="1"/>
  <c r="XAD1599" i="1"/>
  <c r="XAC1599" i="1"/>
  <c r="XAB1599" i="1"/>
  <c r="XAA1599" i="1"/>
  <c r="WZZ1599" i="1"/>
  <c r="WZY1599" i="1"/>
  <c r="WZX1599" i="1"/>
  <c r="WZW1599" i="1"/>
  <c r="WZV1599" i="1"/>
  <c r="WZU1599" i="1"/>
  <c r="WZT1599" i="1"/>
  <c r="WZS1599" i="1"/>
  <c r="WZR1599" i="1"/>
  <c r="WZQ1599" i="1"/>
  <c r="WZP1599" i="1"/>
  <c r="WZO1599" i="1"/>
  <c r="WZN1599" i="1"/>
  <c r="WZM1599" i="1"/>
  <c r="WZL1599" i="1"/>
  <c r="WZK1599" i="1"/>
  <c r="WZJ1599" i="1"/>
  <c r="WZI1599" i="1"/>
  <c r="WZH1599" i="1"/>
  <c r="WZG1599" i="1"/>
  <c r="WZF1599" i="1"/>
  <c r="WZE1599" i="1"/>
  <c r="WZD1599" i="1"/>
  <c r="WZC1599" i="1"/>
  <c r="WZB1599" i="1"/>
  <c r="WZA1599" i="1"/>
  <c r="WYZ1599" i="1"/>
  <c r="WYY1599" i="1"/>
  <c r="WYX1599" i="1"/>
  <c r="WYW1599" i="1"/>
  <c r="WYV1599" i="1"/>
  <c r="WYU1599" i="1"/>
  <c r="WYT1599" i="1"/>
  <c r="WYS1599" i="1"/>
  <c r="WYR1599" i="1"/>
  <c r="WYQ1599" i="1"/>
  <c r="WYP1599" i="1"/>
  <c r="WYO1599" i="1"/>
  <c r="WYN1599" i="1"/>
  <c r="WYM1599" i="1"/>
  <c r="WYL1599" i="1"/>
  <c r="WYK1599" i="1"/>
  <c r="WYJ1599" i="1"/>
  <c r="WYI1599" i="1"/>
  <c r="WYH1599" i="1"/>
  <c r="WYG1599" i="1"/>
  <c r="WYF1599" i="1"/>
  <c r="WYE1599" i="1"/>
  <c r="WYD1599" i="1"/>
  <c r="WYC1599" i="1"/>
  <c r="WYB1599" i="1"/>
  <c r="WYA1599" i="1"/>
  <c r="WXZ1599" i="1"/>
  <c r="WXY1599" i="1"/>
  <c r="WXX1599" i="1"/>
  <c r="WXW1599" i="1"/>
  <c r="WXV1599" i="1"/>
  <c r="WXU1599" i="1"/>
  <c r="WXT1599" i="1"/>
  <c r="WXS1599" i="1"/>
  <c r="WXR1599" i="1"/>
  <c r="WXQ1599" i="1"/>
  <c r="WXP1599" i="1"/>
  <c r="WXO1599" i="1"/>
  <c r="WXN1599" i="1"/>
  <c r="WXM1599" i="1"/>
  <c r="WXL1599" i="1"/>
  <c r="WXK1599" i="1"/>
  <c r="WXJ1599" i="1"/>
  <c r="WXI1599" i="1"/>
  <c r="WXH1599" i="1"/>
  <c r="WXG1599" i="1"/>
  <c r="WXF1599" i="1"/>
  <c r="WXE1599" i="1"/>
  <c r="WXD1599" i="1"/>
  <c r="WXC1599" i="1"/>
  <c r="WXB1599" i="1"/>
  <c r="WXA1599" i="1"/>
  <c r="WWZ1599" i="1"/>
  <c r="WWY1599" i="1"/>
  <c r="WWX1599" i="1"/>
  <c r="WWW1599" i="1"/>
  <c r="WWV1599" i="1"/>
  <c r="WWU1599" i="1"/>
  <c r="WWT1599" i="1"/>
  <c r="WWS1599" i="1"/>
  <c r="WWR1599" i="1"/>
  <c r="WWQ1599" i="1"/>
  <c r="WWP1599" i="1"/>
  <c r="WWO1599" i="1"/>
  <c r="WWN1599" i="1"/>
  <c r="WWM1599" i="1"/>
  <c r="WWL1599" i="1"/>
  <c r="WWK1599" i="1"/>
  <c r="WWJ1599" i="1"/>
  <c r="WWI1599" i="1"/>
  <c r="WWH1599" i="1"/>
  <c r="WWG1599" i="1"/>
  <c r="WWF1599" i="1"/>
  <c r="WWE1599" i="1"/>
  <c r="WWD1599" i="1"/>
  <c r="WWC1599" i="1"/>
  <c r="WWB1599" i="1"/>
  <c r="WWA1599" i="1"/>
  <c r="WVZ1599" i="1"/>
  <c r="WVY1599" i="1"/>
  <c r="WVX1599" i="1"/>
  <c r="WVW1599" i="1"/>
  <c r="WVV1599" i="1"/>
  <c r="WVU1599" i="1"/>
  <c r="WVT1599" i="1"/>
  <c r="WVS1599" i="1"/>
  <c r="WVR1599" i="1"/>
  <c r="WVQ1599" i="1"/>
  <c r="WVP1599" i="1"/>
  <c r="WVO1599" i="1"/>
  <c r="WVN1599" i="1"/>
  <c r="WVM1599" i="1"/>
  <c r="WVL1599" i="1"/>
  <c r="WVK1599" i="1"/>
  <c r="WVJ1599" i="1"/>
  <c r="WVI1599" i="1"/>
  <c r="WVH1599" i="1"/>
  <c r="WVG1599" i="1"/>
  <c r="WVF1599" i="1"/>
  <c r="WVE1599" i="1"/>
  <c r="WVD1599" i="1"/>
  <c r="WVC1599" i="1"/>
  <c r="WVB1599" i="1"/>
  <c r="WVA1599" i="1"/>
  <c r="WUZ1599" i="1"/>
  <c r="WUY1599" i="1"/>
  <c r="WUX1599" i="1"/>
  <c r="WUW1599" i="1"/>
  <c r="WUV1599" i="1"/>
  <c r="WUU1599" i="1"/>
  <c r="WUT1599" i="1"/>
  <c r="WUS1599" i="1"/>
  <c r="WUR1599" i="1"/>
  <c r="WUQ1599" i="1"/>
  <c r="WUP1599" i="1"/>
  <c r="WUO1599" i="1"/>
  <c r="WUN1599" i="1"/>
  <c r="WUM1599" i="1"/>
  <c r="WUL1599" i="1"/>
  <c r="WUK1599" i="1"/>
  <c r="WUJ1599" i="1"/>
  <c r="WUI1599" i="1"/>
  <c r="WUH1599" i="1"/>
  <c r="WUG1599" i="1"/>
  <c r="WUF1599" i="1"/>
  <c r="WUE1599" i="1"/>
  <c r="WUD1599" i="1"/>
  <c r="WUC1599" i="1"/>
  <c r="WUB1599" i="1"/>
  <c r="WUA1599" i="1"/>
  <c r="WTZ1599" i="1"/>
  <c r="WTY1599" i="1"/>
  <c r="WTX1599" i="1"/>
  <c r="WTW1599" i="1"/>
  <c r="WTV1599" i="1"/>
  <c r="WTU1599" i="1"/>
  <c r="WTT1599" i="1"/>
  <c r="WTS1599" i="1"/>
  <c r="WTR1599" i="1"/>
  <c r="WTQ1599" i="1"/>
  <c r="WTP1599" i="1"/>
  <c r="WTO1599" i="1"/>
  <c r="WTN1599" i="1"/>
  <c r="WTM1599" i="1"/>
  <c r="WTL1599" i="1"/>
  <c r="WTK1599" i="1"/>
  <c r="WTJ1599" i="1"/>
  <c r="WTI1599" i="1"/>
  <c r="WTH1599" i="1"/>
  <c r="WTG1599" i="1"/>
  <c r="WTF1599" i="1"/>
  <c r="WTE1599" i="1"/>
  <c r="WTD1599" i="1"/>
  <c r="WTC1599" i="1"/>
  <c r="WTB1599" i="1"/>
  <c r="WTA1599" i="1"/>
  <c r="WSZ1599" i="1"/>
  <c r="WSY1599" i="1"/>
  <c r="WSX1599" i="1"/>
  <c r="WSW1599" i="1"/>
  <c r="WSV1599" i="1"/>
  <c r="WSU1599" i="1"/>
  <c r="WST1599" i="1"/>
  <c r="WSS1599" i="1"/>
  <c r="WSR1599" i="1"/>
  <c r="WSQ1599" i="1"/>
  <c r="WSP1599" i="1"/>
  <c r="WSO1599" i="1"/>
  <c r="WSN1599" i="1"/>
  <c r="WSM1599" i="1"/>
  <c r="WSL1599" i="1"/>
  <c r="WSK1599" i="1"/>
  <c r="WSJ1599" i="1"/>
  <c r="WSI1599" i="1"/>
  <c r="WSH1599" i="1"/>
  <c r="WSG1599" i="1"/>
  <c r="WSF1599" i="1"/>
  <c r="WSE1599" i="1"/>
  <c r="WSD1599" i="1"/>
  <c r="WSC1599" i="1"/>
  <c r="WSB1599" i="1"/>
  <c r="WSA1599" i="1"/>
  <c r="WRZ1599" i="1"/>
  <c r="WRY1599" i="1"/>
  <c r="WRX1599" i="1"/>
  <c r="WRW1599" i="1"/>
  <c r="WRV1599" i="1"/>
  <c r="WRU1599" i="1"/>
  <c r="WRT1599" i="1"/>
  <c r="WRS1599" i="1"/>
  <c r="WRR1599" i="1"/>
  <c r="WRQ1599" i="1"/>
  <c r="WRP1599" i="1"/>
  <c r="WRO1599" i="1"/>
  <c r="WRN1599" i="1"/>
  <c r="WRM1599" i="1"/>
  <c r="WRL1599" i="1"/>
  <c r="WRK1599" i="1"/>
  <c r="WRJ1599" i="1"/>
  <c r="WRI1599" i="1"/>
  <c r="WRH1599" i="1"/>
  <c r="WRG1599" i="1"/>
  <c r="WRF1599" i="1"/>
  <c r="WRE1599" i="1"/>
  <c r="WRD1599" i="1"/>
  <c r="WRC1599" i="1"/>
  <c r="WRB1599" i="1"/>
  <c r="WRA1599" i="1"/>
  <c r="WQZ1599" i="1"/>
  <c r="WQY1599" i="1"/>
  <c r="WQX1599" i="1"/>
  <c r="WQW1599" i="1"/>
  <c r="WQV1599" i="1"/>
  <c r="WQU1599" i="1"/>
  <c r="WQT1599" i="1"/>
  <c r="WQS1599" i="1"/>
  <c r="WQR1599" i="1"/>
  <c r="WQQ1599" i="1"/>
  <c r="WQP1599" i="1"/>
  <c r="WQO1599" i="1"/>
  <c r="WQN1599" i="1"/>
  <c r="WQM1599" i="1"/>
  <c r="WQL1599" i="1"/>
  <c r="WQK1599" i="1"/>
  <c r="WQJ1599" i="1"/>
  <c r="WQI1599" i="1"/>
  <c r="WQH1599" i="1"/>
  <c r="WQG1599" i="1"/>
  <c r="WQF1599" i="1"/>
  <c r="WQE1599" i="1"/>
  <c r="WQD1599" i="1"/>
  <c r="WQC1599" i="1"/>
  <c r="WQB1599" i="1"/>
  <c r="WQA1599" i="1"/>
  <c r="WPZ1599" i="1"/>
  <c r="WPY1599" i="1"/>
  <c r="WPX1599" i="1"/>
  <c r="WPW1599" i="1"/>
  <c r="WPV1599" i="1"/>
  <c r="WPU1599" i="1"/>
  <c r="WPT1599" i="1"/>
  <c r="WPS1599" i="1"/>
  <c r="WPR1599" i="1"/>
  <c r="WPQ1599" i="1"/>
  <c r="WPP1599" i="1"/>
  <c r="WPO1599" i="1"/>
  <c r="WPN1599" i="1"/>
  <c r="WPM1599" i="1"/>
  <c r="WPL1599" i="1"/>
  <c r="WPK1599" i="1"/>
  <c r="WPJ1599" i="1"/>
  <c r="WPI1599" i="1"/>
  <c r="WPH1599" i="1"/>
  <c r="WPG1599" i="1"/>
  <c r="WPF1599" i="1"/>
  <c r="WPE1599" i="1"/>
  <c r="WPD1599" i="1"/>
  <c r="WPC1599" i="1"/>
  <c r="WPB1599" i="1"/>
  <c r="WPA1599" i="1"/>
  <c r="WOZ1599" i="1"/>
  <c r="WOY1599" i="1"/>
  <c r="WOX1599" i="1"/>
  <c r="WOW1599" i="1"/>
  <c r="WOV1599" i="1"/>
  <c r="WOU1599" i="1"/>
  <c r="WOT1599" i="1"/>
  <c r="WOS1599" i="1"/>
  <c r="WOR1599" i="1"/>
  <c r="WOQ1599" i="1"/>
  <c r="WOP1599" i="1"/>
  <c r="WOO1599" i="1"/>
  <c r="WON1599" i="1"/>
  <c r="WOM1599" i="1"/>
  <c r="WOL1599" i="1"/>
  <c r="WOK1599" i="1"/>
  <c r="WOJ1599" i="1"/>
  <c r="WOI1599" i="1"/>
  <c r="WOH1599" i="1"/>
  <c r="WOG1599" i="1"/>
  <c r="WOF1599" i="1"/>
  <c r="WOE1599" i="1"/>
  <c r="WOD1599" i="1"/>
  <c r="WOC1599" i="1"/>
  <c r="WOB1599" i="1"/>
  <c r="WOA1599" i="1"/>
  <c r="WNZ1599" i="1"/>
  <c r="WNY1599" i="1"/>
  <c r="WNX1599" i="1"/>
  <c r="WNW1599" i="1"/>
  <c r="WNV1599" i="1"/>
  <c r="WNU1599" i="1"/>
  <c r="WNT1599" i="1"/>
  <c r="WNS1599" i="1"/>
  <c r="WNR1599" i="1"/>
  <c r="WNQ1599" i="1"/>
  <c r="WNP1599" i="1"/>
  <c r="WNO1599" i="1"/>
  <c r="WNN1599" i="1"/>
  <c r="WNM1599" i="1"/>
  <c r="WNL1599" i="1"/>
  <c r="WNK1599" i="1"/>
  <c r="WNJ1599" i="1"/>
  <c r="WNI1599" i="1"/>
  <c r="WNH1599" i="1"/>
  <c r="WNG1599" i="1"/>
  <c r="WNF1599" i="1"/>
  <c r="WNE1599" i="1"/>
  <c r="WND1599" i="1"/>
  <c r="WNC1599" i="1"/>
  <c r="WNB1599" i="1"/>
  <c r="WNA1599" i="1"/>
  <c r="WMZ1599" i="1"/>
  <c r="WMY1599" i="1"/>
  <c r="WMX1599" i="1"/>
  <c r="WMW1599" i="1"/>
  <c r="WMV1599" i="1"/>
  <c r="WMU1599" i="1"/>
  <c r="WMT1599" i="1"/>
  <c r="WMS1599" i="1"/>
  <c r="WMR1599" i="1"/>
  <c r="WMQ1599" i="1"/>
  <c r="WMP1599" i="1"/>
  <c r="WMO1599" i="1"/>
  <c r="WMN1599" i="1"/>
  <c r="WMM1599" i="1"/>
  <c r="WML1599" i="1"/>
  <c r="WMK1599" i="1"/>
  <c r="WMJ1599" i="1"/>
  <c r="WMI1599" i="1"/>
  <c r="WMH1599" i="1"/>
  <c r="WMG1599" i="1"/>
  <c r="WMF1599" i="1"/>
  <c r="WME1599" i="1"/>
  <c r="WMD1599" i="1"/>
  <c r="WMC1599" i="1"/>
  <c r="WMB1599" i="1"/>
  <c r="WMA1599" i="1"/>
  <c r="WLZ1599" i="1"/>
  <c r="WLY1599" i="1"/>
  <c r="WLX1599" i="1"/>
  <c r="WLW1599" i="1"/>
  <c r="WLV1599" i="1"/>
  <c r="WLU1599" i="1"/>
  <c r="WLT1599" i="1"/>
  <c r="WLS1599" i="1"/>
  <c r="WLR1599" i="1"/>
  <c r="WLQ1599" i="1"/>
  <c r="WLP1599" i="1"/>
  <c r="WLO1599" i="1"/>
  <c r="WLN1599" i="1"/>
  <c r="WLM1599" i="1"/>
  <c r="WLL1599" i="1"/>
  <c r="WLK1599" i="1"/>
  <c r="WLJ1599" i="1"/>
  <c r="WLI1599" i="1"/>
  <c r="WLH1599" i="1"/>
  <c r="WLG1599" i="1"/>
  <c r="WLF1599" i="1"/>
  <c r="WLE1599" i="1"/>
  <c r="WLD1599" i="1"/>
  <c r="WLC1599" i="1"/>
  <c r="WLB1599" i="1"/>
  <c r="WLA1599" i="1"/>
  <c r="WKZ1599" i="1"/>
  <c r="WKY1599" i="1"/>
  <c r="WKX1599" i="1"/>
  <c r="WKW1599" i="1"/>
  <c r="WKV1599" i="1"/>
  <c r="WKU1599" i="1"/>
  <c r="WKT1599" i="1"/>
  <c r="WKS1599" i="1"/>
  <c r="WKR1599" i="1"/>
  <c r="WKQ1599" i="1"/>
  <c r="WKP1599" i="1"/>
  <c r="WKO1599" i="1"/>
  <c r="WKN1599" i="1"/>
  <c r="WKM1599" i="1"/>
  <c r="WKL1599" i="1"/>
  <c r="WKK1599" i="1"/>
  <c r="WKJ1599" i="1"/>
  <c r="WKI1599" i="1"/>
  <c r="WKH1599" i="1"/>
  <c r="WKG1599" i="1"/>
  <c r="WKF1599" i="1"/>
  <c r="WKE1599" i="1"/>
  <c r="WKD1599" i="1"/>
  <c r="WKC1599" i="1"/>
  <c r="WKB1599" i="1"/>
  <c r="WKA1599" i="1"/>
  <c r="WJZ1599" i="1"/>
  <c r="WJY1599" i="1"/>
  <c r="WJX1599" i="1"/>
  <c r="WJW1599" i="1"/>
  <c r="WJV1599" i="1"/>
  <c r="WJU1599" i="1"/>
  <c r="WJT1599" i="1"/>
  <c r="WJS1599" i="1"/>
  <c r="WJR1599" i="1"/>
  <c r="WJQ1599" i="1"/>
  <c r="WJP1599" i="1"/>
  <c r="WJO1599" i="1"/>
  <c r="WJN1599" i="1"/>
  <c r="WJM1599" i="1"/>
  <c r="WJL1599" i="1"/>
  <c r="WJK1599" i="1"/>
  <c r="WJJ1599" i="1"/>
  <c r="WJI1599" i="1"/>
  <c r="WJH1599" i="1"/>
  <c r="WJG1599" i="1"/>
  <c r="WJF1599" i="1"/>
  <c r="WJE1599" i="1"/>
  <c r="WJD1599" i="1"/>
  <c r="WJC1599" i="1"/>
  <c r="WJB1599" i="1"/>
  <c r="WJA1599" i="1"/>
  <c r="WIZ1599" i="1"/>
  <c r="WIY1599" i="1"/>
  <c r="WIX1599" i="1"/>
  <c r="WIW1599" i="1"/>
  <c r="WIV1599" i="1"/>
  <c r="WIU1599" i="1"/>
  <c r="WIT1599" i="1"/>
  <c r="WIS1599" i="1"/>
  <c r="WIR1599" i="1"/>
  <c r="WIQ1599" i="1"/>
  <c r="WIP1599" i="1"/>
  <c r="WIO1599" i="1"/>
  <c r="WIN1599" i="1"/>
  <c r="WIM1599" i="1"/>
  <c r="WIL1599" i="1"/>
  <c r="WIK1599" i="1"/>
  <c r="WIJ1599" i="1"/>
  <c r="WII1599" i="1"/>
  <c r="WIH1599" i="1"/>
  <c r="WIG1599" i="1"/>
  <c r="WIF1599" i="1"/>
  <c r="WIE1599" i="1"/>
  <c r="WID1599" i="1"/>
  <c r="WIC1599" i="1"/>
  <c r="WIB1599" i="1"/>
  <c r="WIA1599" i="1"/>
  <c r="WHZ1599" i="1"/>
  <c r="WHY1599" i="1"/>
  <c r="WHX1599" i="1"/>
  <c r="WHW1599" i="1"/>
  <c r="WHV1599" i="1"/>
  <c r="WHU1599" i="1"/>
  <c r="WHT1599" i="1"/>
  <c r="WHS1599" i="1"/>
  <c r="WHR1599" i="1"/>
  <c r="WHQ1599" i="1"/>
  <c r="WHP1599" i="1"/>
  <c r="WHO1599" i="1"/>
  <c r="WHN1599" i="1"/>
  <c r="WHM1599" i="1"/>
  <c r="WHL1599" i="1"/>
  <c r="WHK1599" i="1"/>
  <c r="WHJ1599" i="1"/>
  <c r="WHI1599" i="1"/>
  <c r="WHH1599" i="1"/>
  <c r="WHG1599" i="1"/>
  <c r="WHF1599" i="1"/>
  <c r="WHE1599" i="1"/>
  <c r="WHD1599" i="1"/>
  <c r="WHC1599" i="1"/>
  <c r="WHB1599" i="1"/>
  <c r="WHA1599" i="1"/>
  <c r="WGZ1599" i="1"/>
  <c r="WGY1599" i="1"/>
  <c r="WGX1599" i="1"/>
  <c r="WGW1599" i="1"/>
  <c r="WGV1599" i="1"/>
  <c r="WGU1599" i="1"/>
  <c r="WGT1599" i="1"/>
  <c r="WGS1599" i="1"/>
  <c r="WGR1599" i="1"/>
  <c r="WGQ1599" i="1"/>
  <c r="WGP1599" i="1"/>
  <c r="WGO1599" i="1"/>
  <c r="WGN1599" i="1"/>
  <c r="WGM1599" i="1"/>
  <c r="WGL1599" i="1"/>
  <c r="WGK1599" i="1"/>
  <c r="WGJ1599" i="1"/>
  <c r="WGI1599" i="1"/>
  <c r="WGH1599" i="1"/>
  <c r="WGG1599" i="1"/>
  <c r="WGF1599" i="1"/>
  <c r="WGE1599" i="1"/>
  <c r="WGD1599" i="1"/>
  <c r="WGC1599" i="1"/>
  <c r="WGB1599" i="1"/>
  <c r="WGA1599" i="1"/>
  <c r="WFZ1599" i="1"/>
  <c r="WFY1599" i="1"/>
  <c r="WFX1599" i="1"/>
  <c r="WFW1599" i="1"/>
  <c r="WFV1599" i="1"/>
  <c r="WFU1599" i="1"/>
  <c r="WFT1599" i="1"/>
  <c r="WFS1599" i="1"/>
  <c r="WFR1599" i="1"/>
  <c r="WFQ1599" i="1"/>
  <c r="WFP1599" i="1"/>
  <c r="WFO1599" i="1"/>
  <c r="WFN1599" i="1"/>
  <c r="WFM1599" i="1"/>
  <c r="WFL1599" i="1"/>
  <c r="WFK1599" i="1"/>
  <c r="WFJ1599" i="1"/>
  <c r="WFI1599" i="1"/>
  <c r="WFH1599" i="1"/>
  <c r="WFG1599" i="1"/>
  <c r="WFF1599" i="1"/>
  <c r="WFE1599" i="1"/>
  <c r="WFD1599" i="1"/>
  <c r="WFC1599" i="1"/>
  <c r="WFB1599" i="1"/>
  <c r="WFA1599" i="1"/>
  <c r="WEZ1599" i="1"/>
  <c r="WEY1599" i="1"/>
  <c r="WEX1599" i="1"/>
  <c r="WEW1599" i="1"/>
  <c r="WEV1599" i="1"/>
  <c r="WEU1599" i="1"/>
  <c r="WET1599" i="1"/>
  <c r="WES1599" i="1"/>
  <c r="WER1599" i="1"/>
  <c r="WEQ1599" i="1"/>
  <c r="WEP1599" i="1"/>
  <c r="WEO1599" i="1"/>
  <c r="WEN1599" i="1"/>
  <c r="WEM1599" i="1"/>
  <c r="WEL1599" i="1"/>
  <c r="WEK1599" i="1"/>
  <c r="WEJ1599" i="1"/>
  <c r="WEI1599" i="1"/>
  <c r="WEH1599" i="1"/>
  <c r="WEG1599" i="1"/>
  <c r="WEF1599" i="1"/>
  <c r="WEE1599" i="1"/>
  <c r="WED1599" i="1"/>
  <c r="WEC1599" i="1"/>
  <c r="WEB1599" i="1"/>
  <c r="WEA1599" i="1"/>
  <c r="WDZ1599" i="1"/>
  <c r="WDY1599" i="1"/>
  <c r="WDX1599" i="1"/>
  <c r="WDW1599" i="1"/>
  <c r="WDV1599" i="1"/>
  <c r="WDU1599" i="1"/>
  <c r="WDT1599" i="1"/>
  <c r="WDS1599" i="1"/>
  <c r="WDR1599" i="1"/>
  <c r="WDQ1599" i="1"/>
  <c r="WDP1599" i="1"/>
  <c r="WDO1599" i="1"/>
  <c r="WDN1599" i="1"/>
  <c r="WDM1599" i="1"/>
  <c r="WDL1599" i="1"/>
  <c r="WDK1599" i="1"/>
  <c r="WDJ1599" i="1"/>
  <c r="WDI1599" i="1"/>
  <c r="WDH1599" i="1"/>
  <c r="WDG1599" i="1"/>
  <c r="WDF1599" i="1"/>
  <c r="WDE1599" i="1"/>
  <c r="WDD1599" i="1"/>
  <c r="WDC1599" i="1"/>
  <c r="WDB1599" i="1"/>
  <c r="WDA1599" i="1"/>
  <c r="WCZ1599" i="1"/>
  <c r="WCY1599" i="1"/>
  <c r="WCX1599" i="1"/>
  <c r="WCW1599" i="1"/>
  <c r="WCV1599" i="1"/>
  <c r="WCU1599" i="1"/>
  <c r="WCT1599" i="1"/>
  <c r="WCS1599" i="1"/>
  <c r="WCR1599" i="1"/>
  <c r="WCQ1599" i="1"/>
  <c r="WCP1599" i="1"/>
  <c r="WCO1599" i="1"/>
  <c r="WCN1599" i="1"/>
  <c r="WCM1599" i="1"/>
  <c r="WCL1599" i="1"/>
  <c r="WCK1599" i="1"/>
  <c r="WCJ1599" i="1"/>
  <c r="WCI1599" i="1"/>
  <c r="WCH1599" i="1"/>
  <c r="WCG1599" i="1"/>
  <c r="WCF1599" i="1"/>
  <c r="WCE1599" i="1"/>
  <c r="WCD1599" i="1"/>
  <c r="WCC1599" i="1"/>
  <c r="WCB1599" i="1"/>
  <c r="WCA1599" i="1"/>
  <c r="WBZ1599" i="1"/>
  <c r="WBY1599" i="1"/>
  <c r="WBX1599" i="1"/>
  <c r="WBW1599" i="1"/>
  <c r="WBV1599" i="1"/>
  <c r="WBU1599" i="1"/>
  <c r="WBT1599" i="1"/>
  <c r="WBS1599" i="1"/>
  <c r="WBR1599" i="1"/>
  <c r="WBQ1599" i="1"/>
  <c r="WBP1599" i="1"/>
  <c r="WBO1599" i="1"/>
  <c r="WBN1599" i="1"/>
  <c r="WBM1599" i="1"/>
  <c r="WBL1599" i="1"/>
  <c r="WBK1599" i="1"/>
  <c r="WBJ1599" i="1"/>
  <c r="WBI1599" i="1"/>
  <c r="WBH1599" i="1"/>
  <c r="WBG1599" i="1"/>
  <c r="WBF1599" i="1"/>
  <c r="WBE1599" i="1"/>
  <c r="WBD1599" i="1"/>
  <c r="WBC1599" i="1"/>
  <c r="WBB1599" i="1"/>
  <c r="WBA1599" i="1"/>
  <c r="WAZ1599" i="1"/>
  <c r="WAY1599" i="1"/>
  <c r="WAX1599" i="1"/>
  <c r="WAW1599" i="1"/>
  <c r="WAV1599" i="1"/>
  <c r="WAU1599" i="1"/>
  <c r="WAT1599" i="1"/>
  <c r="WAS1599" i="1"/>
  <c r="WAR1599" i="1"/>
  <c r="WAQ1599" i="1"/>
  <c r="WAP1599" i="1"/>
  <c r="WAO1599" i="1"/>
  <c r="WAN1599" i="1"/>
  <c r="WAM1599" i="1"/>
  <c r="WAL1599" i="1"/>
  <c r="WAK1599" i="1"/>
  <c r="WAJ1599" i="1"/>
  <c r="WAI1599" i="1"/>
  <c r="WAH1599" i="1"/>
  <c r="WAG1599" i="1"/>
  <c r="WAF1599" i="1"/>
  <c r="WAE1599" i="1"/>
  <c r="WAD1599" i="1"/>
  <c r="WAC1599" i="1"/>
  <c r="WAB1599" i="1"/>
  <c r="WAA1599" i="1"/>
  <c r="VZZ1599" i="1"/>
  <c r="VZY1599" i="1"/>
  <c r="VZX1599" i="1"/>
  <c r="VZW1599" i="1"/>
  <c r="VZV1599" i="1"/>
  <c r="VZU1599" i="1"/>
  <c r="VZT1599" i="1"/>
  <c r="VZS1599" i="1"/>
  <c r="VZR1599" i="1"/>
  <c r="VZQ1599" i="1"/>
  <c r="VZP1599" i="1"/>
  <c r="VZO1599" i="1"/>
  <c r="VZN1599" i="1"/>
  <c r="VZM1599" i="1"/>
  <c r="VZL1599" i="1"/>
  <c r="VZK1599" i="1"/>
  <c r="VZJ1599" i="1"/>
  <c r="VZI1599" i="1"/>
  <c r="VZH1599" i="1"/>
  <c r="VZG1599" i="1"/>
  <c r="VZF1599" i="1"/>
  <c r="VZE1599" i="1"/>
  <c r="VZD1599" i="1"/>
  <c r="VZC1599" i="1"/>
  <c r="VZB1599" i="1"/>
  <c r="VZA1599" i="1"/>
  <c r="VYZ1599" i="1"/>
  <c r="VYY1599" i="1"/>
  <c r="VYX1599" i="1"/>
  <c r="VYW1599" i="1"/>
  <c r="VYV1599" i="1"/>
  <c r="VYU1599" i="1"/>
  <c r="VYT1599" i="1"/>
  <c r="VYS1599" i="1"/>
  <c r="VYR1599" i="1"/>
  <c r="VYQ1599" i="1"/>
  <c r="VYP1599" i="1"/>
  <c r="VYO1599" i="1"/>
  <c r="VYN1599" i="1"/>
  <c r="VYM1599" i="1"/>
  <c r="VYL1599" i="1"/>
  <c r="VYK1599" i="1"/>
  <c r="VYJ1599" i="1"/>
  <c r="VYI1599" i="1"/>
  <c r="VYH1599" i="1"/>
  <c r="VYG1599" i="1"/>
  <c r="VYF1599" i="1"/>
  <c r="VYE1599" i="1"/>
  <c r="VYD1599" i="1"/>
  <c r="VYC1599" i="1"/>
  <c r="VYB1599" i="1"/>
  <c r="VYA1599" i="1"/>
  <c r="VXZ1599" i="1"/>
  <c r="VXY1599" i="1"/>
  <c r="VXX1599" i="1"/>
  <c r="VXW1599" i="1"/>
  <c r="VXV1599" i="1"/>
  <c r="VXU1599" i="1"/>
  <c r="VXT1599" i="1"/>
  <c r="VXS1599" i="1"/>
  <c r="VXR1599" i="1"/>
  <c r="VXQ1599" i="1"/>
  <c r="VXP1599" i="1"/>
  <c r="VXO1599" i="1"/>
  <c r="VXN1599" i="1"/>
  <c r="VXM1599" i="1"/>
  <c r="VXL1599" i="1"/>
  <c r="VXK1599" i="1"/>
  <c r="VXJ1599" i="1"/>
  <c r="VXI1599" i="1"/>
  <c r="VXH1599" i="1"/>
  <c r="VXG1599" i="1"/>
  <c r="VXF1599" i="1"/>
  <c r="VXE1599" i="1"/>
  <c r="VXD1599" i="1"/>
  <c r="VXC1599" i="1"/>
  <c r="VXB1599" i="1"/>
  <c r="VXA1599" i="1"/>
  <c r="VWZ1599" i="1"/>
  <c r="VWY1599" i="1"/>
  <c r="VWX1599" i="1"/>
  <c r="VWW1599" i="1"/>
  <c r="VWV1599" i="1"/>
  <c r="VWU1599" i="1"/>
  <c r="VWT1599" i="1"/>
  <c r="VWS1599" i="1"/>
  <c r="VWR1599" i="1"/>
  <c r="VWQ1599" i="1"/>
  <c r="VWP1599" i="1"/>
  <c r="VWO1599" i="1"/>
  <c r="VWN1599" i="1"/>
  <c r="VWM1599" i="1"/>
  <c r="VWL1599" i="1"/>
  <c r="VWK1599" i="1"/>
  <c r="VWJ1599" i="1"/>
  <c r="VWI1599" i="1"/>
  <c r="VWH1599" i="1"/>
  <c r="VWG1599" i="1"/>
  <c r="VWF1599" i="1"/>
  <c r="VWE1599" i="1"/>
  <c r="VWD1599" i="1"/>
  <c r="VWC1599" i="1"/>
  <c r="VWB1599" i="1"/>
  <c r="VWA1599" i="1"/>
  <c r="VVZ1599" i="1"/>
  <c r="VVY1599" i="1"/>
  <c r="VVX1599" i="1"/>
  <c r="VVW1599" i="1"/>
  <c r="VVV1599" i="1"/>
  <c r="VVU1599" i="1"/>
  <c r="VVT1599" i="1"/>
  <c r="VVS1599" i="1"/>
  <c r="VVR1599" i="1"/>
  <c r="VVQ1599" i="1"/>
  <c r="VVP1599" i="1"/>
  <c r="VVO1599" i="1"/>
  <c r="VVN1599" i="1"/>
  <c r="VVM1599" i="1"/>
  <c r="VVL1599" i="1"/>
  <c r="VVK1599" i="1"/>
  <c r="VVJ1599" i="1"/>
  <c r="VVI1599" i="1"/>
  <c r="VVH1599" i="1"/>
  <c r="VVG1599" i="1"/>
  <c r="VVF1599" i="1"/>
  <c r="VVE1599" i="1"/>
  <c r="VVD1599" i="1"/>
  <c r="VVC1599" i="1"/>
  <c r="VVB1599" i="1"/>
  <c r="VVA1599" i="1"/>
  <c r="VUZ1599" i="1"/>
  <c r="VUY1599" i="1"/>
  <c r="VUX1599" i="1"/>
  <c r="VUW1599" i="1"/>
  <c r="VUV1599" i="1"/>
  <c r="VUU1599" i="1"/>
  <c r="VUT1599" i="1"/>
  <c r="VUS1599" i="1"/>
  <c r="VUR1599" i="1"/>
  <c r="VUQ1599" i="1"/>
  <c r="VUP1599" i="1"/>
  <c r="VUO1599" i="1"/>
  <c r="VUN1599" i="1"/>
  <c r="VUM1599" i="1"/>
  <c r="VUL1599" i="1"/>
  <c r="VUK1599" i="1"/>
  <c r="VUJ1599" i="1"/>
  <c r="VUI1599" i="1"/>
  <c r="VUH1599" i="1"/>
  <c r="VUG1599" i="1"/>
  <c r="VUF1599" i="1"/>
  <c r="VUE1599" i="1"/>
  <c r="VUD1599" i="1"/>
  <c r="VUC1599" i="1"/>
  <c r="VUB1599" i="1"/>
  <c r="VUA1599" i="1"/>
  <c r="VTZ1599" i="1"/>
  <c r="VTY1599" i="1"/>
  <c r="VTX1599" i="1"/>
  <c r="VTW1599" i="1"/>
  <c r="VTV1599" i="1"/>
  <c r="VTU1599" i="1"/>
  <c r="VTT1599" i="1"/>
  <c r="VTS1599" i="1"/>
  <c r="VTR1599" i="1"/>
  <c r="VTQ1599" i="1"/>
  <c r="VTP1599" i="1"/>
  <c r="VTO1599" i="1"/>
  <c r="VTN1599" i="1"/>
  <c r="VTM1599" i="1"/>
  <c r="VTL1599" i="1"/>
  <c r="VTK1599" i="1"/>
  <c r="VTJ1599" i="1"/>
  <c r="VTI1599" i="1"/>
  <c r="VTH1599" i="1"/>
  <c r="VTG1599" i="1"/>
  <c r="VTF1599" i="1"/>
  <c r="VTE1599" i="1"/>
  <c r="VTD1599" i="1"/>
  <c r="VTC1599" i="1"/>
  <c r="VTB1599" i="1"/>
  <c r="VTA1599" i="1"/>
  <c r="VSZ1599" i="1"/>
  <c r="VSY1599" i="1"/>
  <c r="VSX1599" i="1"/>
  <c r="VSW1599" i="1"/>
  <c r="VSV1599" i="1"/>
  <c r="VSU1599" i="1"/>
  <c r="VST1599" i="1"/>
  <c r="VSS1599" i="1"/>
  <c r="VSR1599" i="1"/>
  <c r="VSQ1599" i="1"/>
  <c r="VSP1599" i="1"/>
  <c r="VSO1599" i="1"/>
  <c r="VSN1599" i="1"/>
  <c r="VSM1599" i="1"/>
  <c r="VSL1599" i="1"/>
  <c r="VSK1599" i="1"/>
  <c r="VSJ1599" i="1"/>
  <c r="VSI1599" i="1"/>
  <c r="VSH1599" i="1"/>
  <c r="VSG1599" i="1"/>
  <c r="VSF1599" i="1"/>
  <c r="VSE1599" i="1"/>
  <c r="VSD1599" i="1"/>
  <c r="VSC1599" i="1"/>
  <c r="VSB1599" i="1"/>
  <c r="VSA1599" i="1"/>
  <c r="VRZ1599" i="1"/>
  <c r="VRY1599" i="1"/>
  <c r="VRX1599" i="1"/>
  <c r="VRW1599" i="1"/>
  <c r="VRV1599" i="1"/>
  <c r="VRU1599" i="1"/>
  <c r="VRT1599" i="1"/>
  <c r="VRS1599" i="1"/>
  <c r="VRR1599" i="1"/>
  <c r="VRQ1599" i="1"/>
  <c r="VRP1599" i="1"/>
  <c r="VRO1599" i="1"/>
  <c r="VRN1599" i="1"/>
  <c r="VRM1599" i="1"/>
  <c r="VRL1599" i="1"/>
  <c r="VRK1599" i="1"/>
  <c r="VRJ1599" i="1"/>
  <c r="VRI1599" i="1"/>
  <c r="VRH1599" i="1"/>
  <c r="VRG1599" i="1"/>
  <c r="VRF1599" i="1"/>
  <c r="VRE1599" i="1"/>
  <c r="VRD1599" i="1"/>
  <c r="VRC1599" i="1"/>
  <c r="VRB1599" i="1"/>
  <c r="VRA1599" i="1"/>
  <c r="VQZ1599" i="1"/>
  <c r="VQY1599" i="1"/>
  <c r="VQX1599" i="1"/>
  <c r="VQW1599" i="1"/>
  <c r="VQV1599" i="1"/>
  <c r="VQU1599" i="1"/>
  <c r="VQT1599" i="1"/>
  <c r="VQS1599" i="1"/>
  <c r="VQR1599" i="1"/>
  <c r="VQQ1599" i="1"/>
  <c r="VQP1599" i="1"/>
  <c r="VQO1599" i="1"/>
  <c r="VQN1599" i="1"/>
  <c r="VQM1599" i="1"/>
  <c r="VQL1599" i="1"/>
  <c r="VQK1599" i="1"/>
  <c r="VQJ1599" i="1"/>
  <c r="VQI1599" i="1"/>
  <c r="VQH1599" i="1"/>
  <c r="VQG1599" i="1"/>
  <c r="VQF1599" i="1"/>
  <c r="VQE1599" i="1"/>
  <c r="VQD1599" i="1"/>
  <c r="VQC1599" i="1"/>
  <c r="VQB1599" i="1"/>
  <c r="VQA1599" i="1"/>
  <c r="VPZ1599" i="1"/>
  <c r="VPY1599" i="1"/>
  <c r="VPX1599" i="1"/>
  <c r="VPW1599" i="1"/>
  <c r="VPV1599" i="1"/>
  <c r="VPU1599" i="1"/>
  <c r="VPT1599" i="1"/>
  <c r="VPS1599" i="1"/>
  <c r="VPR1599" i="1"/>
  <c r="VPQ1599" i="1"/>
  <c r="VPP1599" i="1"/>
  <c r="VPO1599" i="1"/>
  <c r="VPN1599" i="1"/>
  <c r="VPM1599" i="1"/>
  <c r="VPL1599" i="1"/>
  <c r="VPK1599" i="1"/>
  <c r="VPJ1599" i="1"/>
  <c r="VPI1599" i="1"/>
  <c r="VPH1599" i="1"/>
  <c r="VPG1599" i="1"/>
  <c r="VPF1599" i="1"/>
  <c r="VPE1599" i="1"/>
  <c r="VPD1599" i="1"/>
  <c r="VPC1599" i="1"/>
  <c r="VPB1599" i="1"/>
  <c r="VPA1599" i="1"/>
  <c r="VOZ1599" i="1"/>
  <c r="VOY1599" i="1"/>
  <c r="VOX1599" i="1"/>
  <c r="VOW1599" i="1"/>
  <c r="VOV1599" i="1"/>
  <c r="VOU1599" i="1"/>
  <c r="VOT1599" i="1"/>
  <c r="VOS1599" i="1"/>
  <c r="VOR1599" i="1"/>
  <c r="VOQ1599" i="1"/>
  <c r="VOP1599" i="1"/>
  <c r="VOO1599" i="1"/>
  <c r="VON1599" i="1"/>
  <c r="VOM1599" i="1"/>
  <c r="VOL1599" i="1"/>
  <c r="VOK1599" i="1"/>
  <c r="VOJ1599" i="1"/>
  <c r="VOI1599" i="1"/>
  <c r="VOH1599" i="1"/>
  <c r="VOG1599" i="1"/>
  <c r="VOF1599" i="1"/>
  <c r="VOE1599" i="1"/>
  <c r="VOD1599" i="1"/>
  <c r="VOC1599" i="1"/>
  <c r="VOB1599" i="1"/>
  <c r="VOA1599" i="1"/>
  <c r="VNZ1599" i="1"/>
  <c r="VNY1599" i="1"/>
  <c r="VNX1599" i="1"/>
  <c r="VNW1599" i="1"/>
  <c r="VNV1599" i="1"/>
  <c r="VNU1599" i="1"/>
  <c r="VNT1599" i="1"/>
  <c r="VNS1599" i="1"/>
  <c r="VNR1599" i="1"/>
  <c r="VNQ1599" i="1"/>
  <c r="VNP1599" i="1"/>
  <c r="VNO1599" i="1"/>
  <c r="VNN1599" i="1"/>
  <c r="VNM1599" i="1"/>
  <c r="VNL1599" i="1"/>
  <c r="VNK1599" i="1"/>
  <c r="VNJ1599" i="1"/>
  <c r="VNI1599" i="1"/>
  <c r="VNH1599" i="1"/>
  <c r="VNG1599" i="1"/>
  <c r="VNF1599" i="1"/>
  <c r="VNE1599" i="1"/>
  <c r="VND1599" i="1"/>
  <c r="VNC1599" i="1"/>
  <c r="VNB1599" i="1"/>
  <c r="VNA1599" i="1"/>
  <c r="VMZ1599" i="1"/>
  <c r="VMY1599" i="1"/>
  <c r="VMX1599" i="1"/>
  <c r="VMW1599" i="1"/>
  <c r="VMV1599" i="1"/>
  <c r="VMU1599" i="1"/>
  <c r="VMT1599" i="1"/>
  <c r="VMS1599" i="1"/>
  <c r="VMR1599" i="1"/>
  <c r="VMQ1599" i="1"/>
  <c r="VMP1599" i="1"/>
  <c r="VMO1599" i="1"/>
  <c r="VMN1599" i="1"/>
  <c r="VMM1599" i="1"/>
  <c r="VML1599" i="1"/>
  <c r="VMK1599" i="1"/>
  <c r="VMJ1599" i="1"/>
  <c r="VMI1599" i="1"/>
  <c r="VMH1599" i="1"/>
  <c r="VMG1599" i="1"/>
  <c r="VMF1599" i="1"/>
  <c r="VME1599" i="1"/>
  <c r="VMD1599" i="1"/>
  <c r="VMC1599" i="1"/>
  <c r="VMB1599" i="1"/>
  <c r="VMA1599" i="1"/>
  <c r="VLZ1599" i="1"/>
  <c r="VLY1599" i="1"/>
  <c r="VLX1599" i="1"/>
  <c r="VLW1599" i="1"/>
  <c r="VLV1599" i="1"/>
  <c r="VLU1599" i="1"/>
  <c r="VLT1599" i="1"/>
  <c r="VLS1599" i="1"/>
  <c r="VLR1599" i="1"/>
  <c r="VLQ1599" i="1"/>
  <c r="VLP1599" i="1"/>
  <c r="VLO1599" i="1"/>
  <c r="VLN1599" i="1"/>
  <c r="VLM1599" i="1"/>
  <c r="VLL1599" i="1"/>
  <c r="VLK1599" i="1"/>
  <c r="VLJ1599" i="1"/>
  <c r="VLI1599" i="1"/>
  <c r="VLH1599" i="1"/>
  <c r="VLG1599" i="1"/>
  <c r="VLF1599" i="1"/>
  <c r="VLE1599" i="1"/>
  <c r="VLD1599" i="1"/>
  <c r="VLC1599" i="1"/>
  <c r="VLB1599" i="1"/>
  <c r="VLA1599" i="1"/>
  <c r="VKZ1599" i="1"/>
  <c r="VKY1599" i="1"/>
  <c r="VKX1599" i="1"/>
  <c r="VKW1599" i="1"/>
  <c r="VKV1599" i="1"/>
  <c r="VKU1599" i="1"/>
  <c r="VKT1599" i="1"/>
  <c r="VKS1599" i="1"/>
  <c r="VKR1599" i="1"/>
  <c r="VKQ1599" i="1"/>
  <c r="VKP1599" i="1"/>
  <c r="VKO1599" i="1"/>
  <c r="VKN1599" i="1"/>
  <c r="VKM1599" i="1"/>
  <c r="VKL1599" i="1"/>
  <c r="VKK1599" i="1"/>
  <c r="VKJ1599" i="1"/>
  <c r="VKI1599" i="1"/>
  <c r="VKH1599" i="1"/>
  <c r="VKG1599" i="1"/>
  <c r="VKF1599" i="1"/>
  <c r="VKE1599" i="1"/>
  <c r="VKD1599" i="1"/>
  <c r="VKC1599" i="1"/>
  <c r="VKB1599" i="1"/>
  <c r="VKA1599" i="1"/>
  <c r="VJZ1599" i="1"/>
  <c r="VJY1599" i="1"/>
  <c r="VJX1599" i="1"/>
  <c r="VJW1599" i="1"/>
  <c r="VJV1599" i="1"/>
  <c r="VJU1599" i="1"/>
  <c r="VJT1599" i="1"/>
  <c r="VJS1599" i="1"/>
  <c r="VJR1599" i="1"/>
  <c r="VJQ1599" i="1"/>
  <c r="VJP1599" i="1"/>
  <c r="VJO1599" i="1"/>
  <c r="VJN1599" i="1"/>
  <c r="VJM1599" i="1"/>
  <c r="VJL1599" i="1"/>
  <c r="VJK1599" i="1"/>
  <c r="VJJ1599" i="1"/>
  <c r="VJI1599" i="1"/>
  <c r="VJH1599" i="1"/>
  <c r="VJG1599" i="1"/>
  <c r="VJF1599" i="1"/>
  <c r="VJE1599" i="1"/>
  <c r="VJD1599" i="1"/>
  <c r="VJC1599" i="1"/>
  <c r="VJB1599" i="1"/>
  <c r="VJA1599" i="1"/>
  <c r="VIZ1599" i="1"/>
  <c r="VIY1599" i="1"/>
  <c r="VIX1599" i="1"/>
  <c r="VIW1599" i="1"/>
  <c r="VIV1599" i="1"/>
  <c r="VIU1599" i="1"/>
  <c r="VIT1599" i="1"/>
  <c r="VIS1599" i="1"/>
  <c r="VIR1599" i="1"/>
  <c r="VIQ1599" i="1"/>
  <c r="VIP1599" i="1"/>
  <c r="VIO1599" i="1"/>
  <c r="VIN1599" i="1"/>
  <c r="VIM1599" i="1"/>
  <c r="VIL1599" i="1"/>
  <c r="VIK1599" i="1"/>
  <c r="VIJ1599" i="1"/>
  <c r="VII1599" i="1"/>
  <c r="VIH1599" i="1"/>
  <c r="VIG1599" i="1"/>
  <c r="VIF1599" i="1"/>
  <c r="VIE1599" i="1"/>
  <c r="VID1599" i="1"/>
  <c r="VIC1599" i="1"/>
  <c r="VIB1599" i="1"/>
  <c r="VIA1599" i="1"/>
  <c r="VHZ1599" i="1"/>
  <c r="VHY1599" i="1"/>
  <c r="VHX1599" i="1"/>
  <c r="VHW1599" i="1"/>
  <c r="VHV1599" i="1"/>
  <c r="VHU1599" i="1"/>
  <c r="VHT1599" i="1"/>
  <c r="VHS1599" i="1"/>
  <c r="VHR1599" i="1"/>
  <c r="VHQ1599" i="1"/>
  <c r="VHP1599" i="1"/>
  <c r="VHO1599" i="1"/>
  <c r="VHN1599" i="1"/>
  <c r="VHM1599" i="1"/>
  <c r="VHL1599" i="1"/>
  <c r="VHK1599" i="1"/>
  <c r="VHJ1599" i="1"/>
  <c r="VHI1599" i="1"/>
  <c r="VHH1599" i="1"/>
  <c r="VHG1599" i="1"/>
  <c r="VHF1599" i="1"/>
  <c r="VHE1599" i="1"/>
  <c r="VHD1599" i="1"/>
  <c r="VHC1599" i="1"/>
  <c r="VHB1599" i="1"/>
  <c r="VHA1599" i="1"/>
  <c r="VGZ1599" i="1"/>
  <c r="VGY1599" i="1"/>
  <c r="VGX1599" i="1"/>
  <c r="VGW1599" i="1"/>
  <c r="VGV1599" i="1"/>
  <c r="VGU1599" i="1"/>
  <c r="VGT1599" i="1"/>
  <c r="VGS1599" i="1"/>
  <c r="VGR1599" i="1"/>
  <c r="VGQ1599" i="1"/>
  <c r="VGP1599" i="1"/>
  <c r="VGO1599" i="1"/>
  <c r="VGN1599" i="1"/>
  <c r="VGM1599" i="1"/>
  <c r="VGL1599" i="1"/>
  <c r="VGK1599" i="1"/>
  <c r="VGJ1599" i="1"/>
  <c r="VGI1599" i="1"/>
  <c r="VGH1599" i="1"/>
  <c r="VGG1599" i="1"/>
  <c r="VGF1599" i="1"/>
  <c r="VGE1599" i="1"/>
  <c r="VGD1599" i="1"/>
  <c r="VGC1599" i="1"/>
  <c r="VGB1599" i="1"/>
  <c r="VGA1599" i="1"/>
  <c r="VFZ1599" i="1"/>
  <c r="VFY1599" i="1"/>
  <c r="VFX1599" i="1"/>
  <c r="VFW1599" i="1"/>
  <c r="VFV1599" i="1"/>
  <c r="VFU1599" i="1"/>
  <c r="VFT1599" i="1"/>
  <c r="VFS1599" i="1"/>
  <c r="VFR1599" i="1"/>
  <c r="VFQ1599" i="1"/>
  <c r="VFP1599" i="1"/>
  <c r="VFO1599" i="1"/>
  <c r="VFN1599" i="1"/>
  <c r="VFM1599" i="1"/>
  <c r="VFL1599" i="1"/>
  <c r="VFK1599" i="1"/>
  <c r="VFJ1599" i="1"/>
  <c r="VFI1599" i="1"/>
  <c r="VFH1599" i="1"/>
  <c r="VFG1599" i="1"/>
  <c r="VFF1599" i="1"/>
  <c r="VFE1599" i="1"/>
  <c r="VFD1599" i="1"/>
  <c r="VFC1599" i="1"/>
  <c r="VFB1599" i="1"/>
  <c r="VFA1599" i="1"/>
  <c r="VEZ1599" i="1"/>
  <c r="VEY1599" i="1"/>
  <c r="VEX1599" i="1"/>
  <c r="VEW1599" i="1"/>
  <c r="VEV1599" i="1"/>
  <c r="VEU1599" i="1"/>
  <c r="VET1599" i="1"/>
  <c r="VES1599" i="1"/>
  <c r="VER1599" i="1"/>
  <c r="VEQ1599" i="1"/>
  <c r="VEP1599" i="1"/>
  <c r="VEO1599" i="1"/>
  <c r="VEN1599" i="1"/>
  <c r="VEM1599" i="1"/>
  <c r="VEL1599" i="1"/>
  <c r="VEK1599" i="1"/>
  <c r="VEJ1599" i="1"/>
  <c r="VEI1599" i="1"/>
  <c r="VEH1599" i="1"/>
  <c r="VEG1599" i="1"/>
  <c r="VEF1599" i="1"/>
  <c r="VEE1599" i="1"/>
  <c r="VED1599" i="1"/>
  <c r="VEC1599" i="1"/>
  <c r="VEB1599" i="1"/>
  <c r="VEA1599" i="1"/>
  <c r="VDZ1599" i="1"/>
  <c r="VDY1599" i="1"/>
  <c r="VDX1599" i="1"/>
  <c r="VDW1599" i="1"/>
  <c r="VDV1599" i="1"/>
  <c r="VDU1599" i="1"/>
  <c r="VDT1599" i="1"/>
  <c r="VDS1599" i="1"/>
  <c r="VDR1599" i="1"/>
  <c r="VDQ1599" i="1"/>
  <c r="VDP1599" i="1"/>
  <c r="VDO1599" i="1"/>
  <c r="VDN1599" i="1"/>
  <c r="VDM1599" i="1"/>
  <c r="VDL1599" i="1"/>
  <c r="VDK1599" i="1"/>
  <c r="VDJ1599" i="1"/>
  <c r="VDI1599" i="1"/>
  <c r="VDH1599" i="1"/>
  <c r="VDG1599" i="1"/>
  <c r="VDF1599" i="1"/>
  <c r="VDE1599" i="1"/>
  <c r="VDD1599" i="1"/>
  <c r="VDC1599" i="1"/>
  <c r="VDB1599" i="1"/>
  <c r="VDA1599" i="1"/>
  <c r="VCZ1599" i="1"/>
  <c r="VCY1599" i="1"/>
  <c r="VCX1599" i="1"/>
  <c r="VCW1599" i="1"/>
  <c r="VCV1599" i="1"/>
  <c r="VCU1599" i="1"/>
  <c r="VCT1599" i="1"/>
  <c r="VCS1599" i="1"/>
  <c r="VCR1599" i="1"/>
  <c r="VCQ1599" i="1"/>
  <c r="VCP1599" i="1"/>
  <c r="VCO1599" i="1"/>
  <c r="VCN1599" i="1"/>
  <c r="VCM1599" i="1"/>
  <c r="VCL1599" i="1"/>
  <c r="VCK1599" i="1"/>
  <c r="VCJ1599" i="1"/>
  <c r="VCI1599" i="1"/>
  <c r="VCH1599" i="1"/>
  <c r="VCG1599" i="1"/>
  <c r="VCF1599" i="1"/>
  <c r="VCE1599" i="1"/>
  <c r="VCD1599" i="1"/>
  <c r="VCC1599" i="1"/>
  <c r="VCB1599" i="1"/>
  <c r="VCA1599" i="1"/>
  <c r="VBZ1599" i="1"/>
  <c r="VBY1599" i="1"/>
  <c r="VBX1599" i="1"/>
  <c r="VBW1599" i="1"/>
  <c r="VBV1599" i="1"/>
  <c r="VBU1599" i="1"/>
  <c r="VBT1599" i="1"/>
  <c r="VBS1599" i="1"/>
  <c r="VBR1599" i="1"/>
  <c r="VBQ1599" i="1"/>
  <c r="VBP1599" i="1"/>
  <c r="VBO1599" i="1"/>
  <c r="VBN1599" i="1"/>
  <c r="VBM1599" i="1"/>
  <c r="VBL1599" i="1"/>
  <c r="VBK1599" i="1"/>
  <c r="VBJ1599" i="1"/>
  <c r="VBI1599" i="1"/>
  <c r="VBH1599" i="1"/>
  <c r="VBG1599" i="1"/>
  <c r="VBF1599" i="1"/>
  <c r="VBE1599" i="1"/>
  <c r="VBD1599" i="1"/>
  <c r="VBC1599" i="1"/>
  <c r="VBB1599" i="1"/>
  <c r="VBA1599" i="1"/>
  <c r="VAZ1599" i="1"/>
  <c r="VAY1599" i="1"/>
  <c r="VAX1599" i="1"/>
  <c r="VAW1599" i="1"/>
  <c r="VAV1599" i="1"/>
  <c r="VAU1599" i="1"/>
  <c r="VAT1599" i="1"/>
  <c r="VAS1599" i="1"/>
  <c r="VAR1599" i="1"/>
  <c r="VAQ1599" i="1"/>
  <c r="VAP1599" i="1"/>
  <c r="VAO1599" i="1"/>
  <c r="VAN1599" i="1"/>
  <c r="VAM1599" i="1"/>
  <c r="VAL1599" i="1"/>
  <c r="VAK1599" i="1"/>
  <c r="VAJ1599" i="1"/>
  <c r="VAI1599" i="1"/>
  <c r="VAH1599" i="1"/>
  <c r="VAG1599" i="1"/>
  <c r="VAF1599" i="1"/>
  <c r="VAE1599" i="1"/>
  <c r="VAD1599" i="1"/>
  <c r="VAC1599" i="1"/>
  <c r="VAB1599" i="1"/>
  <c r="VAA1599" i="1"/>
  <c r="UZZ1599" i="1"/>
  <c r="UZY1599" i="1"/>
  <c r="UZX1599" i="1"/>
  <c r="UZW1599" i="1"/>
  <c r="UZV1599" i="1"/>
  <c r="UZU1599" i="1"/>
  <c r="UZT1599" i="1"/>
  <c r="UZS1599" i="1"/>
  <c r="UZR1599" i="1"/>
  <c r="UZQ1599" i="1"/>
  <c r="UZP1599" i="1"/>
  <c r="UZO1599" i="1"/>
  <c r="UZN1599" i="1"/>
  <c r="UZM1599" i="1"/>
  <c r="UZL1599" i="1"/>
  <c r="UZK1599" i="1"/>
  <c r="UZJ1599" i="1"/>
  <c r="UZI1599" i="1"/>
  <c r="UZH1599" i="1"/>
  <c r="UZG1599" i="1"/>
  <c r="UZF1599" i="1"/>
  <c r="UZE1599" i="1"/>
  <c r="UZD1599" i="1"/>
  <c r="UZC1599" i="1"/>
  <c r="UZB1599" i="1"/>
  <c r="UZA1599" i="1"/>
  <c r="UYZ1599" i="1"/>
  <c r="UYY1599" i="1"/>
  <c r="UYX1599" i="1"/>
  <c r="UYW1599" i="1"/>
  <c r="UYV1599" i="1"/>
  <c r="UYU1599" i="1"/>
  <c r="UYT1599" i="1"/>
  <c r="UYS1599" i="1"/>
  <c r="UYR1599" i="1"/>
  <c r="UYQ1599" i="1"/>
  <c r="UYP1599" i="1"/>
  <c r="UYO1599" i="1"/>
  <c r="UYN1599" i="1"/>
  <c r="UYM1599" i="1"/>
  <c r="UYL1599" i="1"/>
  <c r="UYK1599" i="1"/>
  <c r="UYJ1599" i="1"/>
  <c r="UYI1599" i="1"/>
  <c r="UYH1599" i="1"/>
  <c r="UYG1599" i="1"/>
  <c r="UYF1599" i="1"/>
  <c r="UYE1599" i="1"/>
  <c r="UYD1599" i="1"/>
  <c r="UYC1599" i="1"/>
  <c r="UYB1599" i="1"/>
  <c r="UYA1599" i="1"/>
  <c r="UXZ1599" i="1"/>
  <c r="UXY1599" i="1"/>
  <c r="UXX1599" i="1"/>
  <c r="UXW1599" i="1"/>
  <c r="UXV1599" i="1"/>
  <c r="UXU1599" i="1"/>
  <c r="UXT1599" i="1"/>
  <c r="UXS1599" i="1"/>
  <c r="UXR1599" i="1"/>
  <c r="UXQ1599" i="1"/>
  <c r="UXP1599" i="1"/>
  <c r="UXO1599" i="1"/>
  <c r="UXN1599" i="1"/>
  <c r="UXM1599" i="1"/>
  <c r="UXL1599" i="1"/>
  <c r="UXK1599" i="1"/>
  <c r="UXJ1599" i="1"/>
  <c r="UXI1599" i="1"/>
  <c r="UXH1599" i="1"/>
  <c r="UXG1599" i="1"/>
  <c r="UXF1599" i="1"/>
  <c r="UXE1599" i="1"/>
  <c r="UXD1599" i="1"/>
  <c r="UXC1599" i="1"/>
  <c r="UXB1599" i="1"/>
  <c r="UXA1599" i="1"/>
  <c r="UWZ1599" i="1"/>
  <c r="UWY1599" i="1"/>
  <c r="UWX1599" i="1"/>
  <c r="UWW1599" i="1"/>
  <c r="UWV1599" i="1"/>
  <c r="UWU1599" i="1"/>
  <c r="UWT1599" i="1"/>
  <c r="UWS1599" i="1"/>
  <c r="UWR1599" i="1"/>
  <c r="UWQ1599" i="1"/>
  <c r="UWP1599" i="1"/>
  <c r="UWO1599" i="1"/>
  <c r="UWN1599" i="1"/>
  <c r="UWM1599" i="1"/>
  <c r="UWL1599" i="1"/>
  <c r="UWK1599" i="1"/>
  <c r="UWJ1599" i="1"/>
  <c r="UWI1599" i="1"/>
  <c r="UWH1599" i="1"/>
  <c r="UWG1599" i="1"/>
  <c r="UWF1599" i="1"/>
  <c r="UWE1599" i="1"/>
  <c r="UWD1599" i="1"/>
  <c r="UWC1599" i="1"/>
  <c r="UWB1599" i="1"/>
  <c r="UWA1599" i="1"/>
  <c r="UVZ1599" i="1"/>
  <c r="UVY1599" i="1"/>
  <c r="UVX1599" i="1"/>
  <c r="UVW1599" i="1"/>
  <c r="UVV1599" i="1"/>
  <c r="UVU1599" i="1"/>
  <c r="UVT1599" i="1"/>
  <c r="UVS1599" i="1"/>
  <c r="UVR1599" i="1"/>
  <c r="UVQ1599" i="1"/>
  <c r="UVP1599" i="1"/>
  <c r="UVO1599" i="1"/>
  <c r="UVN1599" i="1"/>
  <c r="UVM1599" i="1"/>
  <c r="UVL1599" i="1"/>
  <c r="UVK1599" i="1"/>
  <c r="UVJ1599" i="1"/>
  <c r="UVI1599" i="1"/>
  <c r="UVH1599" i="1"/>
  <c r="UVG1599" i="1"/>
  <c r="UVF1599" i="1"/>
  <c r="UVE1599" i="1"/>
  <c r="UVD1599" i="1"/>
  <c r="UVC1599" i="1"/>
  <c r="UVB1599" i="1"/>
  <c r="UVA1599" i="1"/>
  <c r="UUZ1599" i="1"/>
  <c r="UUY1599" i="1"/>
  <c r="UUX1599" i="1"/>
  <c r="UUW1599" i="1"/>
  <c r="UUV1599" i="1"/>
  <c r="UUU1599" i="1"/>
  <c r="UUT1599" i="1"/>
  <c r="UUS1599" i="1"/>
  <c r="UUR1599" i="1"/>
  <c r="UUQ1599" i="1"/>
  <c r="UUP1599" i="1"/>
  <c r="UUO1599" i="1"/>
  <c r="UUN1599" i="1"/>
  <c r="UUM1599" i="1"/>
  <c r="UUL1599" i="1"/>
  <c r="UUK1599" i="1"/>
  <c r="UUJ1599" i="1"/>
  <c r="UUI1599" i="1"/>
  <c r="UUH1599" i="1"/>
  <c r="UUG1599" i="1"/>
  <c r="UUF1599" i="1"/>
  <c r="UUE1599" i="1"/>
  <c r="UUD1599" i="1"/>
  <c r="UUC1599" i="1"/>
  <c r="UUB1599" i="1"/>
  <c r="UUA1599" i="1"/>
  <c r="UTZ1599" i="1"/>
  <c r="UTY1599" i="1"/>
  <c r="UTX1599" i="1"/>
  <c r="UTW1599" i="1"/>
  <c r="UTV1599" i="1"/>
  <c r="UTU1599" i="1"/>
  <c r="UTT1599" i="1"/>
  <c r="UTS1599" i="1"/>
  <c r="UTR1599" i="1"/>
  <c r="UTQ1599" i="1"/>
  <c r="UTP1599" i="1"/>
  <c r="UTO1599" i="1"/>
  <c r="UTN1599" i="1"/>
  <c r="UTM1599" i="1"/>
  <c r="UTL1599" i="1"/>
  <c r="UTK1599" i="1"/>
  <c r="UTJ1599" i="1"/>
  <c r="UTI1599" i="1"/>
  <c r="UTH1599" i="1"/>
  <c r="UTG1599" i="1"/>
  <c r="UTF1599" i="1"/>
  <c r="UTE1599" i="1"/>
  <c r="UTD1599" i="1"/>
  <c r="UTC1599" i="1"/>
  <c r="UTB1599" i="1"/>
  <c r="UTA1599" i="1"/>
  <c r="USZ1599" i="1"/>
  <c r="USY1599" i="1"/>
  <c r="USX1599" i="1"/>
  <c r="USW1599" i="1"/>
  <c r="USV1599" i="1"/>
  <c r="USU1599" i="1"/>
  <c r="UST1599" i="1"/>
  <c r="USS1599" i="1"/>
  <c r="USR1599" i="1"/>
  <c r="USQ1599" i="1"/>
  <c r="USP1599" i="1"/>
  <c r="USO1599" i="1"/>
  <c r="USN1599" i="1"/>
  <c r="USM1599" i="1"/>
  <c r="USL1599" i="1"/>
  <c r="USK1599" i="1"/>
  <c r="USJ1599" i="1"/>
  <c r="USI1599" i="1"/>
  <c r="USH1599" i="1"/>
  <c r="USG1599" i="1"/>
  <c r="USF1599" i="1"/>
  <c r="USE1599" i="1"/>
  <c r="USD1599" i="1"/>
  <c r="USC1599" i="1"/>
  <c r="USB1599" i="1"/>
  <c r="USA1599" i="1"/>
  <c r="URZ1599" i="1"/>
  <c r="URY1599" i="1"/>
  <c r="URX1599" i="1"/>
  <c r="URW1599" i="1"/>
  <c r="URV1599" i="1"/>
  <c r="URU1599" i="1"/>
  <c r="URT1599" i="1"/>
  <c r="URS1599" i="1"/>
  <c r="URR1599" i="1"/>
  <c r="URQ1599" i="1"/>
  <c r="URP1599" i="1"/>
  <c r="URO1599" i="1"/>
  <c r="URN1599" i="1"/>
  <c r="URM1599" i="1"/>
  <c r="URL1599" i="1"/>
  <c r="URK1599" i="1"/>
  <c r="URJ1599" i="1"/>
  <c r="URI1599" i="1"/>
  <c r="URH1599" i="1"/>
  <c r="URG1599" i="1"/>
  <c r="URF1599" i="1"/>
  <c r="URE1599" i="1"/>
  <c r="URD1599" i="1"/>
  <c r="URC1599" i="1"/>
  <c r="URB1599" i="1"/>
  <c r="URA1599" i="1"/>
  <c r="UQZ1599" i="1"/>
  <c r="UQY1599" i="1"/>
  <c r="UQX1599" i="1"/>
  <c r="UQW1599" i="1"/>
  <c r="UQV1599" i="1"/>
  <c r="UQU1599" i="1"/>
  <c r="UQT1599" i="1"/>
  <c r="UQS1599" i="1"/>
  <c r="UQR1599" i="1"/>
  <c r="UQQ1599" i="1"/>
  <c r="UQP1599" i="1"/>
  <c r="UQO1599" i="1"/>
  <c r="UQN1599" i="1"/>
  <c r="UQM1599" i="1"/>
  <c r="UQL1599" i="1"/>
  <c r="UQK1599" i="1"/>
  <c r="UQJ1599" i="1"/>
  <c r="UQI1599" i="1"/>
  <c r="UQH1599" i="1"/>
  <c r="UQG1599" i="1"/>
  <c r="UQF1599" i="1"/>
  <c r="UQE1599" i="1"/>
  <c r="UQD1599" i="1"/>
  <c r="UQC1599" i="1"/>
  <c r="UQB1599" i="1"/>
  <c r="UQA1599" i="1"/>
  <c r="UPZ1599" i="1"/>
  <c r="UPY1599" i="1"/>
  <c r="UPX1599" i="1"/>
  <c r="UPW1599" i="1"/>
  <c r="UPV1599" i="1"/>
  <c r="UPU1599" i="1"/>
  <c r="UPT1599" i="1"/>
  <c r="UPS1599" i="1"/>
  <c r="UPR1599" i="1"/>
  <c r="UPQ1599" i="1"/>
  <c r="UPP1599" i="1"/>
  <c r="UPO1599" i="1"/>
  <c r="UPN1599" i="1"/>
  <c r="UPM1599" i="1"/>
  <c r="UPL1599" i="1"/>
  <c r="UPK1599" i="1"/>
  <c r="UPJ1599" i="1"/>
  <c r="UPI1599" i="1"/>
  <c r="UPH1599" i="1"/>
  <c r="UPG1599" i="1"/>
  <c r="UPF1599" i="1"/>
  <c r="UPE1599" i="1"/>
  <c r="UPD1599" i="1"/>
  <c r="UPC1599" i="1"/>
  <c r="UPB1599" i="1"/>
  <c r="UPA1599" i="1"/>
  <c r="UOZ1599" i="1"/>
  <c r="UOY1599" i="1"/>
  <c r="UOX1599" i="1"/>
  <c r="UOW1599" i="1"/>
  <c r="UOV1599" i="1"/>
  <c r="UOU1599" i="1"/>
  <c r="UOT1599" i="1"/>
  <c r="UOS1599" i="1"/>
  <c r="UOR1599" i="1"/>
  <c r="UOQ1599" i="1"/>
  <c r="UOP1599" i="1"/>
  <c r="UOO1599" i="1"/>
  <c r="UON1599" i="1"/>
  <c r="UOM1599" i="1"/>
  <c r="UOL1599" i="1"/>
  <c r="UOK1599" i="1"/>
  <c r="UOJ1599" i="1"/>
  <c r="UOI1599" i="1"/>
  <c r="UOH1599" i="1"/>
  <c r="UOG1599" i="1"/>
  <c r="UOF1599" i="1"/>
  <c r="UOE1599" i="1"/>
  <c r="UOD1599" i="1"/>
  <c r="UOC1599" i="1"/>
  <c r="UOB1599" i="1"/>
  <c r="UOA1599" i="1"/>
  <c r="UNZ1599" i="1"/>
  <c r="UNY1599" i="1"/>
  <c r="UNX1599" i="1"/>
  <c r="UNW1599" i="1"/>
  <c r="UNV1599" i="1"/>
  <c r="UNU1599" i="1"/>
  <c r="UNT1599" i="1"/>
  <c r="UNS1599" i="1"/>
  <c r="UNR1599" i="1"/>
  <c r="UNQ1599" i="1"/>
  <c r="UNP1599" i="1"/>
  <c r="UNO1599" i="1"/>
  <c r="UNN1599" i="1"/>
  <c r="UNM1599" i="1"/>
  <c r="UNL1599" i="1"/>
  <c r="UNK1599" i="1"/>
  <c r="UNJ1599" i="1"/>
  <c r="UNI1599" i="1"/>
  <c r="UNH1599" i="1"/>
  <c r="UNG1599" i="1"/>
  <c r="UNF1599" i="1"/>
  <c r="UNE1599" i="1"/>
  <c r="UND1599" i="1"/>
  <c r="UNC1599" i="1"/>
  <c r="UNB1599" i="1"/>
  <c r="UNA1599" i="1"/>
  <c r="UMZ1599" i="1"/>
  <c r="UMY1599" i="1"/>
  <c r="UMX1599" i="1"/>
  <c r="UMW1599" i="1"/>
  <c r="UMV1599" i="1"/>
  <c r="UMU1599" i="1"/>
  <c r="UMT1599" i="1"/>
  <c r="UMS1599" i="1"/>
  <c r="UMR1599" i="1"/>
  <c r="UMQ1599" i="1"/>
  <c r="UMP1599" i="1"/>
  <c r="UMO1599" i="1"/>
  <c r="UMN1599" i="1"/>
  <c r="UMM1599" i="1"/>
  <c r="UML1599" i="1"/>
  <c r="UMK1599" i="1"/>
  <c r="UMJ1599" i="1"/>
  <c r="UMI1599" i="1"/>
  <c r="UMH1599" i="1"/>
  <c r="UMG1599" i="1"/>
  <c r="UMF1599" i="1"/>
  <c r="UME1599" i="1"/>
  <c r="UMD1599" i="1"/>
  <c r="UMC1599" i="1"/>
  <c r="UMB1599" i="1"/>
  <c r="UMA1599" i="1"/>
  <c r="ULZ1599" i="1"/>
  <c r="ULY1599" i="1"/>
  <c r="ULX1599" i="1"/>
  <c r="ULW1599" i="1"/>
  <c r="ULV1599" i="1"/>
  <c r="ULU1599" i="1"/>
  <c r="ULT1599" i="1"/>
  <c r="ULS1599" i="1"/>
  <c r="ULR1599" i="1"/>
  <c r="ULQ1599" i="1"/>
  <c r="ULP1599" i="1"/>
  <c r="ULO1599" i="1"/>
  <c r="ULN1599" i="1"/>
  <c r="ULM1599" i="1"/>
  <c r="ULL1599" i="1"/>
  <c r="ULK1599" i="1"/>
  <c r="ULJ1599" i="1"/>
  <c r="ULI1599" i="1"/>
  <c r="ULH1599" i="1"/>
  <c r="ULG1599" i="1"/>
  <c r="ULF1599" i="1"/>
  <c r="ULE1599" i="1"/>
  <c r="ULD1599" i="1"/>
  <c r="ULC1599" i="1"/>
  <c r="ULB1599" i="1"/>
  <c r="ULA1599" i="1"/>
  <c r="UKZ1599" i="1"/>
  <c r="UKY1599" i="1"/>
  <c r="UKX1599" i="1"/>
  <c r="UKW1599" i="1"/>
  <c r="UKV1599" i="1"/>
  <c r="UKU1599" i="1"/>
  <c r="UKT1599" i="1"/>
  <c r="UKS1599" i="1"/>
  <c r="UKR1599" i="1"/>
  <c r="UKQ1599" i="1"/>
  <c r="UKP1599" i="1"/>
  <c r="UKO1599" i="1"/>
  <c r="UKN1599" i="1"/>
  <c r="UKM1599" i="1"/>
  <c r="UKL1599" i="1"/>
  <c r="UKK1599" i="1"/>
  <c r="UKJ1599" i="1"/>
  <c r="UKI1599" i="1"/>
  <c r="UKH1599" i="1"/>
  <c r="UKG1599" i="1"/>
  <c r="UKF1599" i="1"/>
  <c r="UKE1599" i="1"/>
  <c r="UKD1599" i="1"/>
  <c r="UKC1599" i="1"/>
  <c r="UKB1599" i="1"/>
  <c r="UKA1599" i="1"/>
  <c r="UJZ1599" i="1"/>
  <c r="UJY1599" i="1"/>
  <c r="UJX1599" i="1"/>
  <c r="UJW1599" i="1"/>
  <c r="UJV1599" i="1"/>
  <c r="UJU1599" i="1"/>
  <c r="UJT1599" i="1"/>
  <c r="UJS1599" i="1"/>
  <c r="UJR1599" i="1"/>
  <c r="UJQ1599" i="1"/>
  <c r="UJP1599" i="1"/>
  <c r="UJO1599" i="1"/>
  <c r="UJN1599" i="1"/>
  <c r="UJM1599" i="1"/>
  <c r="UJL1599" i="1"/>
  <c r="UJK1599" i="1"/>
  <c r="UJJ1599" i="1"/>
  <c r="UJI1599" i="1"/>
  <c r="UJH1599" i="1"/>
  <c r="UJG1599" i="1"/>
  <c r="UJF1599" i="1"/>
  <c r="UJE1599" i="1"/>
  <c r="UJD1599" i="1"/>
  <c r="UJC1599" i="1"/>
  <c r="UJB1599" i="1"/>
  <c r="UJA1599" i="1"/>
  <c r="UIZ1599" i="1"/>
  <c r="UIY1599" i="1"/>
  <c r="UIX1599" i="1"/>
  <c r="UIW1599" i="1"/>
  <c r="UIV1599" i="1"/>
  <c r="UIU1599" i="1"/>
  <c r="UIT1599" i="1"/>
  <c r="UIS1599" i="1"/>
  <c r="UIR1599" i="1"/>
  <c r="UIQ1599" i="1"/>
  <c r="UIP1599" i="1"/>
  <c r="UIO1599" i="1"/>
  <c r="UIN1599" i="1"/>
  <c r="UIM1599" i="1"/>
  <c r="UIL1599" i="1"/>
  <c r="UIK1599" i="1"/>
  <c r="UIJ1599" i="1"/>
  <c r="UII1599" i="1"/>
  <c r="UIH1599" i="1"/>
  <c r="UIG1599" i="1"/>
  <c r="UIF1599" i="1"/>
  <c r="UIE1599" i="1"/>
  <c r="UID1599" i="1"/>
  <c r="UIC1599" i="1"/>
  <c r="UIB1599" i="1"/>
  <c r="UIA1599" i="1"/>
  <c r="UHZ1599" i="1"/>
  <c r="UHY1599" i="1"/>
  <c r="UHX1599" i="1"/>
  <c r="UHW1599" i="1"/>
  <c r="UHV1599" i="1"/>
  <c r="UHU1599" i="1"/>
  <c r="UHT1599" i="1"/>
  <c r="UHS1599" i="1"/>
  <c r="UHR1599" i="1"/>
  <c r="UHQ1599" i="1"/>
  <c r="UHP1599" i="1"/>
  <c r="UHO1599" i="1"/>
  <c r="UHN1599" i="1"/>
  <c r="UHM1599" i="1"/>
  <c r="UHL1599" i="1"/>
  <c r="UHK1599" i="1"/>
  <c r="UHJ1599" i="1"/>
  <c r="UHI1599" i="1"/>
  <c r="UHH1599" i="1"/>
  <c r="UHG1599" i="1"/>
  <c r="UHF1599" i="1"/>
  <c r="UHE1599" i="1"/>
  <c r="UHD1599" i="1"/>
  <c r="UHC1599" i="1"/>
  <c r="UHB1599" i="1"/>
  <c r="UHA1599" i="1"/>
  <c r="UGZ1599" i="1"/>
  <c r="UGY1599" i="1"/>
  <c r="UGX1599" i="1"/>
  <c r="UGW1599" i="1"/>
  <c r="UGV1599" i="1"/>
  <c r="UGU1599" i="1"/>
  <c r="UGT1599" i="1"/>
  <c r="UGS1599" i="1"/>
  <c r="UGR1599" i="1"/>
  <c r="UGQ1599" i="1"/>
  <c r="UGP1599" i="1"/>
  <c r="UGO1599" i="1"/>
  <c r="UGN1599" i="1"/>
  <c r="UGM1599" i="1"/>
  <c r="UGL1599" i="1"/>
  <c r="UGK1599" i="1"/>
  <c r="UGJ1599" i="1"/>
  <c r="UGI1599" i="1"/>
  <c r="UGH1599" i="1"/>
  <c r="UGG1599" i="1"/>
  <c r="UGF1599" i="1"/>
  <c r="UGE1599" i="1"/>
  <c r="UGD1599" i="1"/>
  <c r="UGC1599" i="1"/>
  <c r="UGB1599" i="1"/>
  <c r="UGA1599" i="1"/>
  <c r="UFZ1599" i="1"/>
  <c r="UFY1599" i="1"/>
  <c r="UFX1599" i="1"/>
  <c r="UFW1599" i="1"/>
  <c r="UFV1599" i="1"/>
  <c r="UFU1599" i="1"/>
  <c r="UFT1599" i="1"/>
  <c r="UFS1599" i="1"/>
  <c r="UFR1599" i="1"/>
  <c r="UFQ1599" i="1"/>
  <c r="UFP1599" i="1"/>
  <c r="UFO1599" i="1"/>
  <c r="UFN1599" i="1"/>
  <c r="UFM1599" i="1"/>
  <c r="UFL1599" i="1"/>
  <c r="UFK1599" i="1"/>
  <c r="UFJ1599" i="1"/>
  <c r="UFI1599" i="1"/>
  <c r="UFH1599" i="1"/>
  <c r="UFG1599" i="1"/>
  <c r="UFF1599" i="1"/>
  <c r="UFE1599" i="1"/>
  <c r="UFD1599" i="1"/>
  <c r="UFC1599" i="1"/>
  <c r="UFB1599" i="1"/>
  <c r="UFA1599" i="1"/>
  <c r="UEZ1599" i="1"/>
  <c r="UEY1599" i="1"/>
  <c r="UEX1599" i="1"/>
  <c r="UEW1599" i="1"/>
  <c r="UEV1599" i="1"/>
  <c r="UEU1599" i="1"/>
  <c r="UET1599" i="1"/>
  <c r="UES1599" i="1"/>
  <c r="UER1599" i="1"/>
  <c r="UEQ1599" i="1"/>
  <c r="UEP1599" i="1"/>
  <c r="UEO1599" i="1"/>
  <c r="UEN1599" i="1"/>
  <c r="UEM1599" i="1"/>
  <c r="UEL1599" i="1"/>
  <c r="UEK1599" i="1"/>
  <c r="UEJ1599" i="1"/>
  <c r="UEI1599" i="1"/>
  <c r="UEH1599" i="1"/>
  <c r="UEG1599" i="1"/>
  <c r="UEF1599" i="1"/>
  <c r="UEE1599" i="1"/>
  <c r="UED1599" i="1"/>
  <c r="UEC1599" i="1"/>
  <c r="UEB1599" i="1"/>
  <c r="UEA1599" i="1"/>
  <c r="UDZ1599" i="1"/>
  <c r="UDY1599" i="1"/>
  <c r="UDX1599" i="1"/>
  <c r="UDW1599" i="1"/>
  <c r="UDV1599" i="1"/>
  <c r="UDU1599" i="1"/>
  <c r="UDT1599" i="1"/>
  <c r="UDS1599" i="1"/>
  <c r="UDR1599" i="1"/>
  <c r="UDQ1599" i="1"/>
  <c r="UDP1599" i="1"/>
  <c r="UDO1599" i="1"/>
  <c r="UDN1599" i="1"/>
  <c r="UDM1599" i="1"/>
  <c r="UDL1599" i="1"/>
  <c r="UDK1599" i="1"/>
  <c r="UDJ1599" i="1"/>
  <c r="UDI1599" i="1"/>
  <c r="UDH1599" i="1"/>
  <c r="UDG1599" i="1"/>
  <c r="UDF1599" i="1"/>
  <c r="UDE1599" i="1"/>
  <c r="UDD1599" i="1"/>
  <c r="UDC1599" i="1"/>
  <c r="UDB1599" i="1"/>
  <c r="UDA1599" i="1"/>
  <c r="UCZ1599" i="1"/>
  <c r="UCY1599" i="1"/>
  <c r="UCX1599" i="1"/>
  <c r="UCW1599" i="1"/>
  <c r="UCV1599" i="1"/>
  <c r="UCU1599" i="1"/>
  <c r="UCT1599" i="1"/>
  <c r="UCS1599" i="1"/>
  <c r="UCR1599" i="1"/>
  <c r="UCQ1599" i="1"/>
  <c r="UCP1599" i="1"/>
  <c r="UCO1599" i="1"/>
  <c r="UCN1599" i="1"/>
  <c r="UCM1599" i="1"/>
  <c r="UCL1599" i="1"/>
  <c r="UCK1599" i="1"/>
  <c r="UCJ1599" i="1"/>
  <c r="UCI1599" i="1"/>
  <c r="UCH1599" i="1"/>
  <c r="UCG1599" i="1"/>
  <c r="UCF1599" i="1"/>
  <c r="UCE1599" i="1"/>
  <c r="UCD1599" i="1"/>
  <c r="UCC1599" i="1"/>
  <c r="UCB1599" i="1"/>
  <c r="UCA1599" i="1"/>
  <c r="UBZ1599" i="1"/>
  <c r="UBY1599" i="1"/>
  <c r="UBX1599" i="1"/>
  <c r="UBW1599" i="1"/>
  <c r="UBV1599" i="1"/>
  <c r="UBU1599" i="1"/>
  <c r="UBT1599" i="1"/>
  <c r="UBS1599" i="1"/>
  <c r="UBR1599" i="1"/>
  <c r="UBQ1599" i="1"/>
  <c r="UBP1599" i="1"/>
  <c r="UBO1599" i="1"/>
  <c r="UBN1599" i="1"/>
  <c r="UBM1599" i="1"/>
  <c r="UBL1599" i="1"/>
  <c r="UBK1599" i="1"/>
  <c r="UBJ1599" i="1"/>
  <c r="UBI1599" i="1"/>
  <c r="UBH1599" i="1"/>
  <c r="UBG1599" i="1"/>
  <c r="UBF1599" i="1"/>
  <c r="UBE1599" i="1"/>
  <c r="UBD1599" i="1"/>
  <c r="UBC1599" i="1"/>
  <c r="UBB1599" i="1"/>
  <c r="UBA1599" i="1"/>
  <c r="UAZ1599" i="1"/>
  <c r="UAY1599" i="1"/>
  <c r="UAX1599" i="1"/>
  <c r="UAW1599" i="1"/>
  <c r="UAV1599" i="1"/>
  <c r="UAU1599" i="1"/>
  <c r="UAT1599" i="1"/>
  <c r="UAS1599" i="1"/>
  <c r="UAR1599" i="1"/>
  <c r="UAQ1599" i="1"/>
  <c r="UAP1599" i="1"/>
  <c r="UAO1599" i="1"/>
  <c r="UAN1599" i="1"/>
  <c r="UAM1599" i="1"/>
  <c r="UAL1599" i="1"/>
  <c r="UAK1599" i="1"/>
  <c r="UAJ1599" i="1"/>
  <c r="UAI1599" i="1"/>
  <c r="UAH1599" i="1"/>
  <c r="UAG1599" i="1"/>
  <c r="UAF1599" i="1"/>
  <c r="UAE1599" i="1"/>
  <c r="UAD1599" i="1"/>
  <c r="UAC1599" i="1"/>
  <c r="UAB1599" i="1"/>
  <c r="UAA1599" i="1"/>
  <c r="TZZ1599" i="1"/>
  <c r="TZY1599" i="1"/>
  <c r="TZX1599" i="1"/>
  <c r="TZW1599" i="1"/>
  <c r="TZV1599" i="1"/>
  <c r="TZU1599" i="1"/>
  <c r="TZT1599" i="1"/>
  <c r="TZS1599" i="1"/>
  <c r="TZR1599" i="1"/>
  <c r="TZQ1599" i="1"/>
  <c r="TZP1599" i="1"/>
  <c r="TZO1599" i="1"/>
  <c r="TZN1599" i="1"/>
  <c r="TZM1599" i="1"/>
  <c r="TZL1599" i="1"/>
  <c r="TZK1599" i="1"/>
  <c r="TZJ1599" i="1"/>
  <c r="TZI1599" i="1"/>
  <c r="TZH1599" i="1"/>
  <c r="TZG1599" i="1"/>
  <c r="TZF1599" i="1"/>
  <c r="TZE1599" i="1"/>
  <c r="TZD1599" i="1"/>
  <c r="TZC1599" i="1"/>
  <c r="TZB1599" i="1"/>
  <c r="TZA1599" i="1"/>
  <c r="TYZ1599" i="1"/>
  <c r="TYY1599" i="1"/>
  <c r="TYX1599" i="1"/>
  <c r="TYW1599" i="1"/>
  <c r="TYV1599" i="1"/>
  <c r="TYU1599" i="1"/>
  <c r="TYT1599" i="1"/>
  <c r="TYS1599" i="1"/>
  <c r="TYR1599" i="1"/>
  <c r="TYQ1599" i="1"/>
  <c r="TYP1599" i="1"/>
  <c r="TYO1599" i="1"/>
  <c r="TYN1599" i="1"/>
  <c r="TYM1599" i="1"/>
  <c r="TYL1599" i="1"/>
  <c r="TYK1599" i="1"/>
  <c r="TYJ1599" i="1"/>
  <c r="TYI1599" i="1"/>
  <c r="TYH1599" i="1"/>
  <c r="TYG1599" i="1"/>
  <c r="TYF1599" i="1"/>
  <c r="TYE1599" i="1"/>
  <c r="TYD1599" i="1"/>
  <c r="TYC1599" i="1"/>
  <c r="TYB1599" i="1"/>
  <c r="TYA1599" i="1"/>
  <c r="TXZ1599" i="1"/>
  <c r="TXY1599" i="1"/>
  <c r="TXX1599" i="1"/>
  <c r="TXW1599" i="1"/>
  <c r="TXV1599" i="1"/>
  <c r="TXU1599" i="1"/>
  <c r="TXT1599" i="1"/>
  <c r="TXS1599" i="1"/>
  <c r="TXR1599" i="1"/>
  <c r="TXQ1599" i="1"/>
  <c r="TXP1599" i="1"/>
  <c r="TXO1599" i="1"/>
  <c r="TXN1599" i="1"/>
  <c r="TXM1599" i="1"/>
  <c r="TXL1599" i="1"/>
  <c r="TXK1599" i="1"/>
  <c r="TXJ1599" i="1"/>
  <c r="TXI1599" i="1"/>
  <c r="TXH1599" i="1"/>
  <c r="TXG1599" i="1"/>
  <c r="TXF1599" i="1"/>
  <c r="TXE1599" i="1"/>
  <c r="TXD1599" i="1"/>
  <c r="TXC1599" i="1"/>
  <c r="TXB1599" i="1"/>
  <c r="TXA1599" i="1"/>
  <c r="TWZ1599" i="1"/>
  <c r="TWY1599" i="1"/>
  <c r="TWX1599" i="1"/>
  <c r="TWW1599" i="1"/>
  <c r="TWV1599" i="1"/>
  <c r="TWU1599" i="1"/>
  <c r="TWT1599" i="1"/>
  <c r="TWS1599" i="1"/>
  <c r="TWR1599" i="1"/>
  <c r="TWQ1599" i="1"/>
  <c r="TWP1599" i="1"/>
  <c r="TWO1599" i="1"/>
  <c r="TWN1599" i="1"/>
  <c r="TWM1599" i="1"/>
  <c r="TWL1599" i="1"/>
  <c r="TWK1599" i="1"/>
  <c r="TWJ1599" i="1"/>
  <c r="TWI1599" i="1"/>
  <c r="TWH1599" i="1"/>
  <c r="TWG1599" i="1"/>
  <c r="TWF1599" i="1"/>
  <c r="TWE1599" i="1"/>
  <c r="TWD1599" i="1"/>
  <c r="TWC1599" i="1"/>
  <c r="TWB1599" i="1"/>
  <c r="TWA1599" i="1"/>
  <c r="TVZ1599" i="1"/>
  <c r="TVY1599" i="1"/>
  <c r="TVX1599" i="1"/>
  <c r="TVW1599" i="1"/>
  <c r="TVV1599" i="1"/>
  <c r="TVU1599" i="1"/>
  <c r="TVT1599" i="1"/>
  <c r="TVS1599" i="1"/>
  <c r="TVR1599" i="1"/>
  <c r="TVQ1599" i="1"/>
  <c r="TVP1599" i="1"/>
  <c r="TVO1599" i="1"/>
  <c r="TVN1599" i="1"/>
  <c r="TVM1599" i="1"/>
  <c r="TVL1599" i="1"/>
  <c r="TVK1599" i="1"/>
  <c r="TVJ1599" i="1"/>
  <c r="TVI1599" i="1"/>
  <c r="TVH1599" i="1"/>
  <c r="TVG1599" i="1"/>
  <c r="TVF1599" i="1"/>
  <c r="TVE1599" i="1"/>
  <c r="TVD1599" i="1"/>
  <c r="TVC1599" i="1"/>
  <c r="TVB1599" i="1"/>
  <c r="TVA1599" i="1"/>
  <c r="TUZ1599" i="1"/>
  <c r="TUY1599" i="1"/>
  <c r="TUX1599" i="1"/>
  <c r="TUW1599" i="1"/>
  <c r="TUV1599" i="1"/>
  <c r="TUU1599" i="1"/>
  <c r="TUT1599" i="1"/>
  <c r="TUS1599" i="1"/>
  <c r="TUR1599" i="1"/>
  <c r="TUQ1599" i="1"/>
  <c r="TUP1599" i="1"/>
  <c r="TUO1599" i="1"/>
  <c r="TUN1599" i="1"/>
  <c r="TUM1599" i="1"/>
  <c r="TUL1599" i="1"/>
  <c r="TUK1599" i="1"/>
  <c r="TUJ1599" i="1"/>
  <c r="TUI1599" i="1"/>
  <c r="TUH1599" i="1"/>
  <c r="TUG1599" i="1"/>
  <c r="TUF1599" i="1"/>
  <c r="TUE1599" i="1"/>
  <c r="TUD1599" i="1"/>
  <c r="TUC1599" i="1"/>
  <c r="TUB1599" i="1"/>
  <c r="TUA1599" i="1"/>
  <c r="TTZ1599" i="1"/>
  <c r="TTY1599" i="1"/>
  <c r="TTX1599" i="1"/>
  <c r="TTW1599" i="1"/>
  <c r="TTV1599" i="1"/>
  <c r="TTU1599" i="1"/>
  <c r="TTT1599" i="1"/>
  <c r="TTS1599" i="1"/>
  <c r="TTR1599" i="1"/>
  <c r="TTQ1599" i="1"/>
  <c r="TTP1599" i="1"/>
  <c r="TTO1599" i="1"/>
  <c r="TTN1599" i="1"/>
  <c r="TTM1599" i="1"/>
  <c r="TTL1599" i="1"/>
  <c r="TTK1599" i="1"/>
  <c r="TTJ1599" i="1"/>
  <c r="TTI1599" i="1"/>
  <c r="TTH1599" i="1"/>
  <c r="TTG1599" i="1"/>
  <c r="TTF1599" i="1"/>
  <c r="TTE1599" i="1"/>
  <c r="TTD1599" i="1"/>
  <c r="TTC1599" i="1"/>
  <c r="TTB1599" i="1"/>
  <c r="TTA1599" i="1"/>
  <c r="TSZ1599" i="1"/>
  <c r="TSY1599" i="1"/>
  <c r="TSX1599" i="1"/>
  <c r="TSW1599" i="1"/>
  <c r="TSV1599" i="1"/>
  <c r="TSU1599" i="1"/>
  <c r="TST1599" i="1"/>
  <c r="TSS1599" i="1"/>
  <c r="TSR1599" i="1"/>
  <c r="TSQ1599" i="1"/>
  <c r="TSP1599" i="1"/>
  <c r="TSO1599" i="1"/>
  <c r="TSN1599" i="1"/>
  <c r="TSM1599" i="1"/>
  <c r="TSL1599" i="1"/>
  <c r="TSK1599" i="1"/>
  <c r="TSJ1599" i="1"/>
  <c r="TSI1599" i="1"/>
  <c r="TSH1599" i="1"/>
  <c r="TSG1599" i="1"/>
  <c r="TSF1599" i="1"/>
  <c r="TSE1599" i="1"/>
  <c r="TSD1599" i="1"/>
  <c r="TSC1599" i="1"/>
  <c r="TSB1599" i="1"/>
  <c r="TSA1599" i="1"/>
  <c r="TRZ1599" i="1"/>
  <c r="TRY1599" i="1"/>
  <c r="TRX1599" i="1"/>
  <c r="TRW1599" i="1"/>
  <c r="TRV1599" i="1"/>
  <c r="TRU1599" i="1"/>
  <c r="TRT1599" i="1"/>
  <c r="TRS1599" i="1"/>
  <c r="TRR1599" i="1"/>
  <c r="TRQ1599" i="1"/>
  <c r="TRP1599" i="1"/>
  <c r="TRO1599" i="1"/>
  <c r="TRN1599" i="1"/>
  <c r="TRM1599" i="1"/>
  <c r="TRL1599" i="1"/>
  <c r="TRK1599" i="1"/>
  <c r="TRJ1599" i="1"/>
  <c r="TRI1599" i="1"/>
  <c r="TRH1599" i="1"/>
  <c r="TRG1599" i="1"/>
  <c r="TRF1599" i="1"/>
  <c r="TRE1599" i="1"/>
  <c r="TRD1599" i="1"/>
  <c r="TRC1599" i="1"/>
  <c r="TRB1599" i="1"/>
  <c r="TRA1599" i="1"/>
  <c r="TQZ1599" i="1"/>
  <c r="TQY1599" i="1"/>
  <c r="TQX1599" i="1"/>
  <c r="TQW1599" i="1"/>
  <c r="TQV1599" i="1"/>
  <c r="TQU1599" i="1"/>
  <c r="TQT1599" i="1"/>
  <c r="TQS1599" i="1"/>
  <c r="TQR1599" i="1"/>
  <c r="TQQ1599" i="1"/>
  <c r="TQP1599" i="1"/>
  <c r="TQO1599" i="1"/>
  <c r="TQN1599" i="1"/>
  <c r="TQM1599" i="1"/>
  <c r="TQL1599" i="1"/>
  <c r="TQK1599" i="1"/>
  <c r="TQJ1599" i="1"/>
  <c r="TQI1599" i="1"/>
  <c r="TQH1599" i="1"/>
  <c r="TQG1599" i="1"/>
  <c r="TQF1599" i="1"/>
  <c r="TQE1599" i="1"/>
  <c r="TQD1599" i="1"/>
  <c r="TQC1599" i="1"/>
  <c r="TQB1599" i="1"/>
  <c r="TQA1599" i="1"/>
  <c r="TPZ1599" i="1"/>
  <c r="TPY1599" i="1"/>
  <c r="TPX1599" i="1"/>
  <c r="TPW1599" i="1"/>
  <c r="TPV1599" i="1"/>
  <c r="TPU1599" i="1"/>
  <c r="TPT1599" i="1"/>
  <c r="TPS1599" i="1"/>
  <c r="TPR1599" i="1"/>
  <c r="TPQ1599" i="1"/>
  <c r="TPP1599" i="1"/>
  <c r="TPO1599" i="1"/>
  <c r="TPN1599" i="1"/>
  <c r="TPM1599" i="1"/>
  <c r="TPL1599" i="1"/>
  <c r="TPK1599" i="1"/>
  <c r="TPJ1599" i="1"/>
  <c r="TPI1599" i="1"/>
  <c r="TPH1599" i="1"/>
  <c r="TPG1599" i="1"/>
  <c r="TPF1599" i="1"/>
  <c r="TPE1599" i="1"/>
  <c r="TPD1599" i="1"/>
  <c r="TPC1599" i="1"/>
  <c r="TPB1599" i="1"/>
  <c r="TPA1599" i="1"/>
  <c r="TOZ1599" i="1"/>
  <c r="TOY1599" i="1"/>
  <c r="TOX1599" i="1"/>
  <c r="TOW1599" i="1"/>
  <c r="TOV1599" i="1"/>
  <c r="TOU1599" i="1"/>
  <c r="TOT1599" i="1"/>
  <c r="TOS1599" i="1"/>
  <c r="TOR1599" i="1"/>
  <c r="TOQ1599" i="1"/>
  <c r="TOP1599" i="1"/>
  <c r="TOO1599" i="1"/>
  <c r="TON1599" i="1"/>
  <c r="TOM1599" i="1"/>
  <c r="TOL1599" i="1"/>
  <c r="TOK1599" i="1"/>
  <c r="TOJ1599" i="1"/>
  <c r="TOI1599" i="1"/>
  <c r="TOH1599" i="1"/>
  <c r="TOG1599" i="1"/>
  <c r="TOF1599" i="1"/>
  <c r="TOE1599" i="1"/>
  <c r="TOD1599" i="1"/>
  <c r="TOC1599" i="1"/>
  <c r="TOB1599" i="1"/>
  <c r="TOA1599" i="1"/>
  <c r="TNZ1599" i="1"/>
  <c r="TNY1599" i="1"/>
  <c r="TNX1599" i="1"/>
  <c r="TNW1599" i="1"/>
  <c r="TNV1599" i="1"/>
  <c r="TNU1599" i="1"/>
  <c r="TNT1599" i="1"/>
  <c r="TNS1599" i="1"/>
  <c r="TNR1599" i="1"/>
  <c r="TNQ1599" i="1"/>
  <c r="TNP1599" i="1"/>
  <c r="TNO1599" i="1"/>
  <c r="TNN1599" i="1"/>
  <c r="TNM1599" i="1"/>
  <c r="TNL1599" i="1"/>
  <c r="TNK1599" i="1"/>
  <c r="TNJ1599" i="1"/>
  <c r="TNI1599" i="1"/>
  <c r="TNH1599" i="1"/>
  <c r="TNG1599" i="1"/>
  <c r="TNF1599" i="1"/>
  <c r="TNE1599" i="1"/>
  <c r="TND1599" i="1"/>
  <c r="TNC1599" i="1"/>
  <c r="TNB1599" i="1"/>
  <c r="TNA1599" i="1"/>
  <c r="TMZ1599" i="1"/>
  <c r="TMY1599" i="1"/>
  <c r="TMX1599" i="1"/>
  <c r="TMW1599" i="1"/>
  <c r="TMV1599" i="1"/>
  <c r="TMU1599" i="1"/>
  <c r="TMT1599" i="1"/>
  <c r="TMS1599" i="1"/>
  <c r="TMR1599" i="1"/>
  <c r="TMQ1599" i="1"/>
  <c r="TMP1599" i="1"/>
  <c r="TMO1599" i="1"/>
  <c r="TMN1599" i="1"/>
  <c r="TMM1599" i="1"/>
  <c r="TML1599" i="1"/>
  <c r="TMK1599" i="1"/>
  <c r="TMJ1599" i="1"/>
  <c r="TMI1599" i="1"/>
  <c r="TMH1599" i="1"/>
  <c r="TMG1599" i="1"/>
  <c r="TMF1599" i="1"/>
  <c r="TME1599" i="1"/>
  <c r="TMD1599" i="1"/>
  <c r="TMC1599" i="1"/>
  <c r="TMB1599" i="1"/>
  <c r="TMA1599" i="1"/>
  <c r="TLZ1599" i="1"/>
  <c r="TLY1599" i="1"/>
  <c r="TLX1599" i="1"/>
  <c r="TLW1599" i="1"/>
  <c r="TLV1599" i="1"/>
  <c r="TLU1599" i="1"/>
  <c r="TLT1599" i="1"/>
  <c r="TLS1599" i="1"/>
  <c r="TLR1599" i="1"/>
  <c r="TLQ1599" i="1"/>
  <c r="TLP1599" i="1"/>
  <c r="TLO1599" i="1"/>
  <c r="TLN1599" i="1"/>
  <c r="TLM1599" i="1"/>
  <c r="TLL1599" i="1"/>
  <c r="TLK1599" i="1"/>
  <c r="TLJ1599" i="1"/>
  <c r="TLI1599" i="1"/>
  <c r="TLH1599" i="1"/>
  <c r="TLG1599" i="1"/>
  <c r="TLF1599" i="1"/>
  <c r="TLE1599" i="1"/>
  <c r="TLD1599" i="1"/>
  <c r="TLC1599" i="1"/>
  <c r="TLB1599" i="1"/>
  <c r="TLA1599" i="1"/>
  <c r="TKZ1599" i="1"/>
  <c r="TKY1599" i="1"/>
  <c r="TKX1599" i="1"/>
  <c r="TKW1599" i="1"/>
  <c r="TKV1599" i="1"/>
  <c r="TKU1599" i="1"/>
  <c r="TKT1599" i="1"/>
  <c r="TKS1599" i="1"/>
  <c r="TKR1599" i="1"/>
  <c r="TKQ1599" i="1"/>
  <c r="TKP1599" i="1"/>
  <c r="TKO1599" i="1"/>
  <c r="TKN1599" i="1"/>
  <c r="TKM1599" i="1"/>
  <c r="TKL1599" i="1"/>
  <c r="TKK1599" i="1"/>
  <c r="TKJ1599" i="1"/>
  <c r="TKI1599" i="1"/>
  <c r="TKH1599" i="1"/>
  <c r="TKG1599" i="1"/>
  <c r="TKF1599" i="1"/>
  <c r="TKE1599" i="1"/>
  <c r="TKD1599" i="1"/>
  <c r="TKC1599" i="1"/>
  <c r="TKB1599" i="1"/>
  <c r="TKA1599" i="1"/>
  <c r="TJZ1599" i="1"/>
  <c r="TJY1599" i="1"/>
  <c r="TJX1599" i="1"/>
  <c r="TJW1599" i="1"/>
  <c r="TJV1599" i="1"/>
  <c r="TJU1599" i="1"/>
  <c r="TJT1599" i="1"/>
  <c r="TJS1599" i="1"/>
  <c r="TJR1599" i="1"/>
  <c r="TJQ1599" i="1"/>
  <c r="TJP1599" i="1"/>
  <c r="TJO1599" i="1"/>
  <c r="TJN1599" i="1"/>
  <c r="TJM1599" i="1"/>
  <c r="TJL1599" i="1"/>
  <c r="TJK1599" i="1"/>
  <c r="TJJ1599" i="1"/>
  <c r="TJI1599" i="1"/>
  <c r="TJH1599" i="1"/>
  <c r="TJG1599" i="1"/>
  <c r="TJF1599" i="1"/>
  <c r="TJE1599" i="1"/>
  <c r="TJD1599" i="1"/>
  <c r="TJC1599" i="1"/>
  <c r="TJB1599" i="1"/>
  <c r="TJA1599" i="1"/>
  <c r="TIZ1599" i="1"/>
  <c r="TIY1599" i="1"/>
  <c r="TIX1599" i="1"/>
  <c r="TIW1599" i="1"/>
  <c r="TIV1599" i="1"/>
  <c r="TIU1599" i="1"/>
  <c r="TIT1599" i="1"/>
  <c r="TIS1599" i="1"/>
  <c r="TIR1599" i="1"/>
  <c r="TIQ1599" i="1"/>
  <c r="TIP1599" i="1"/>
  <c r="TIO1599" i="1"/>
  <c r="TIN1599" i="1"/>
  <c r="TIM1599" i="1"/>
  <c r="TIL1599" i="1"/>
  <c r="TIK1599" i="1"/>
  <c r="TIJ1599" i="1"/>
  <c r="TII1599" i="1"/>
  <c r="TIH1599" i="1"/>
  <c r="TIG1599" i="1"/>
  <c r="TIF1599" i="1"/>
  <c r="TIE1599" i="1"/>
  <c r="TID1599" i="1"/>
  <c r="TIC1599" i="1"/>
  <c r="TIB1599" i="1"/>
  <c r="TIA1599" i="1"/>
  <c r="THZ1599" i="1"/>
  <c r="THY1599" i="1"/>
  <c r="THX1599" i="1"/>
  <c r="THW1599" i="1"/>
  <c r="THV1599" i="1"/>
  <c r="THU1599" i="1"/>
  <c r="THT1599" i="1"/>
  <c r="THS1599" i="1"/>
  <c r="THR1599" i="1"/>
  <c r="THQ1599" i="1"/>
  <c r="THP1599" i="1"/>
  <c r="THO1599" i="1"/>
  <c r="THN1599" i="1"/>
  <c r="THM1599" i="1"/>
  <c r="THL1599" i="1"/>
  <c r="THK1599" i="1"/>
  <c r="THJ1599" i="1"/>
  <c r="THI1599" i="1"/>
  <c r="THH1599" i="1"/>
  <c r="THG1599" i="1"/>
  <c r="THF1599" i="1"/>
  <c r="THE1599" i="1"/>
  <c r="THD1599" i="1"/>
  <c r="THC1599" i="1"/>
  <c r="THB1599" i="1"/>
  <c r="THA1599" i="1"/>
  <c r="TGZ1599" i="1"/>
  <c r="TGY1599" i="1"/>
  <c r="TGX1599" i="1"/>
  <c r="TGW1599" i="1"/>
  <c r="TGV1599" i="1"/>
  <c r="TGU1599" i="1"/>
  <c r="TGT1599" i="1"/>
  <c r="TGS1599" i="1"/>
  <c r="TGR1599" i="1"/>
  <c r="TGQ1599" i="1"/>
  <c r="TGP1599" i="1"/>
  <c r="TGO1599" i="1"/>
  <c r="TGN1599" i="1"/>
  <c r="TGM1599" i="1"/>
  <c r="TGL1599" i="1"/>
  <c r="TGK1599" i="1"/>
  <c r="TGJ1599" i="1"/>
  <c r="TGI1599" i="1"/>
  <c r="TGH1599" i="1"/>
  <c r="TGG1599" i="1"/>
  <c r="TGF1599" i="1"/>
  <c r="TGE1599" i="1"/>
  <c r="TGD1599" i="1"/>
  <c r="TGC1599" i="1"/>
  <c r="TGB1599" i="1"/>
  <c r="TGA1599" i="1"/>
  <c r="TFZ1599" i="1"/>
  <c r="TFY1599" i="1"/>
  <c r="TFX1599" i="1"/>
  <c r="TFW1599" i="1"/>
  <c r="TFV1599" i="1"/>
  <c r="TFU1599" i="1"/>
  <c r="TFT1599" i="1"/>
  <c r="TFS1599" i="1"/>
  <c r="TFR1599" i="1"/>
  <c r="TFQ1599" i="1"/>
  <c r="TFP1599" i="1"/>
  <c r="TFO1599" i="1"/>
  <c r="TFN1599" i="1"/>
  <c r="TFM1599" i="1"/>
  <c r="TFL1599" i="1"/>
  <c r="TFK1599" i="1"/>
  <c r="TFJ1599" i="1"/>
  <c r="TFI1599" i="1"/>
  <c r="TFH1599" i="1"/>
  <c r="TFG1599" i="1"/>
  <c r="TFF1599" i="1"/>
  <c r="TFE1599" i="1"/>
  <c r="TFD1599" i="1"/>
  <c r="TFC1599" i="1"/>
  <c r="TFB1599" i="1"/>
  <c r="TFA1599" i="1"/>
  <c r="TEZ1599" i="1"/>
  <c r="TEY1599" i="1"/>
  <c r="TEX1599" i="1"/>
  <c r="TEW1599" i="1"/>
  <c r="TEV1599" i="1"/>
  <c r="TEU1599" i="1"/>
  <c r="TET1599" i="1"/>
  <c r="TES1599" i="1"/>
  <c r="TER1599" i="1"/>
  <c r="TEQ1599" i="1"/>
  <c r="TEP1599" i="1"/>
  <c r="TEO1599" i="1"/>
  <c r="TEN1599" i="1"/>
  <c r="TEM1599" i="1"/>
  <c r="TEL1599" i="1"/>
  <c r="TEK1599" i="1"/>
  <c r="TEJ1599" i="1"/>
  <c r="TEI1599" i="1"/>
  <c r="TEH1599" i="1"/>
  <c r="TEG1599" i="1"/>
  <c r="TEF1599" i="1"/>
  <c r="TEE1599" i="1"/>
  <c r="TED1599" i="1"/>
  <c r="TEC1599" i="1"/>
  <c r="TEB1599" i="1"/>
  <c r="TEA1599" i="1"/>
  <c r="TDZ1599" i="1"/>
  <c r="TDY1599" i="1"/>
  <c r="TDX1599" i="1"/>
  <c r="TDW1599" i="1"/>
  <c r="TDV1599" i="1"/>
  <c r="TDU1599" i="1"/>
  <c r="TDT1599" i="1"/>
  <c r="TDS1599" i="1"/>
  <c r="TDR1599" i="1"/>
  <c r="TDQ1599" i="1"/>
  <c r="TDP1599" i="1"/>
  <c r="TDO1599" i="1"/>
  <c r="TDN1599" i="1"/>
  <c r="TDM1599" i="1"/>
  <c r="TDL1599" i="1"/>
  <c r="TDK1599" i="1"/>
  <c r="TDJ1599" i="1"/>
  <c r="TDI1599" i="1"/>
  <c r="TDH1599" i="1"/>
  <c r="TDG1599" i="1"/>
  <c r="TDF1599" i="1"/>
  <c r="TDE1599" i="1"/>
  <c r="TDD1599" i="1"/>
  <c r="TDC1599" i="1"/>
  <c r="TDB1599" i="1"/>
  <c r="TDA1599" i="1"/>
  <c r="TCZ1599" i="1"/>
  <c r="TCY1599" i="1"/>
  <c r="TCX1599" i="1"/>
  <c r="TCW1599" i="1"/>
  <c r="TCV1599" i="1"/>
  <c r="TCU1599" i="1"/>
  <c r="TCT1599" i="1"/>
  <c r="TCS1599" i="1"/>
  <c r="TCR1599" i="1"/>
  <c r="TCQ1599" i="1"/>
  <c r="TCP1599" i="1"/>
  <c r="TCO1599" i="1"/>
  <c r="TCN1599" i="1"/>
  <c r="TCM1599" i="1"/>
  <c r="TCL1599" i="1"/>
  <c r="TCK1599" i="1"/>
  <c r="TCJ1599" i="1"/>
  <c r="TCI1599" i="1"/>
  <c r="TCH1599" i="1"/>
  <c r="TCG1599" i="1"/>
  <c r="TCF1599" i="1"/>
  <c r="TCE1599" i="1"/>
  <c r="TCD1599" i="1"/>
  <c r="TCC1599" i="1"/>
  <c r="TCB1599" i="1"/>
  <c r="TCA1599" i="1"/>
  <c r="TBZ1599" i="1"/>
  <c r="TBY1599" i="1"/>
  <c r="TBX1599" i="1"/>
  <c r="TBW1599" i="1"/>
  <c r="TBV1599" i="1"/>
  <c r="TBU1599" i="1"/>
  <c r="TBT1599" i="1"/>
  <c r="TBS1599" i="1"/>
  <c r="TBR1599" i="1"/>
  <c r="TBQ1599" i="1"/>
  <c r="TBP1599" i="1"/>
  <c r="TBO1599" i="1"/>
  <c r="TBN1599" i="1"/>
  <c r="TBM1599" i="1"/>
  <c r="TBL1599" i="1"/>
  <c r="TBK1599" i="1"/>
  <c r="TBJ1599" i="1"/>
  <c r="TBI1599" i="1"/>
  <c r="TBH1599" i="1"/>
  <c r="TBG1599" i="1"/>
  <c r="TBF1599" i="1"/>
  <c r="TBE1599" i="1"/>
  <c r="TBD1599" i="1"/>
  <c r="TBC1599" i="1"/>
  <c r="TBB1599" i="1"/>
  <c r="TBA1599" i="1"/>
  <c r="TAZ1599" i="1"/>
  <c r="TAY1599" i="1"/>
  <c r="TAX1599" i="1"/>
  <c r="TAW1599" i="1"/>
  <c r="TAV1599" i="1"/>
  <c r="TAU1599" i="1"/>
  <c r="TAT1599" i="1"/>
  <c r="TAS1599" i="1"/>
  <c r="TAR1599" i="1"/>
  <c r="TAQ1599" i="1"/>
  <c r="TAP1599" i="1"/>
  <c r="TAO1599" i="1"/>
  <c r="TAN1599" i="1"/>
  <c r="TAM1599" i="1"/>
  <c r="TAL1599" i="1"/>
  <c r="TAK1599" i="1"/>
  <c r="TAJ1599" i="1"/>
  <c r="TAI1599" i="1"/>
  <c r="TAH1599" i="1"/>
  <c r="TAG1599" i="1"/>
  <c r="TAF1599" i="1"/>
  <c r="TAE1599" i="1"/>
  <c r="TAD1599" i="1"/>
  <c r="TAC1599" i="1"/>
  <c r="TAB1599" i="1"/>
  <c r="TAA1599" i="1"/>
  <c r="SZZ1599" i="1"/>
  <c r="SZY1599" i="1"/>
  <c r="SZX1599" i="1"/>
  <c r="SZW1599" i="1"/>
  <c r="SZV1599" i="1"/>
  <c r="SZU1599" i="1"/>
  <c r="SZT1599" i="1"/>
  <c r="SZS1599" i="1"/>
  <c r="SZR1599" i="1"/>
  <c r="SZQ1599" i="1"/>
  <c r="SZP1599" i="1"/>
  <c r="SZO1599" i="1"/>
  <c r="SZN1599" i="1"/>
  <c r="SZM1599" i="1"/>
  <c r="SZL1599" i="1"/>
  <c r="SZK1599" i="1"/>
  <c r="SZJ1599" i="1"/>
  <c r="SZI1599" i="1"/>
  <c r="SZH1599" i="1"/>
  <c r="SZG1599" i="1"/>
  <c r="SZF1599" i="1"/>
  <c r="SZE1599" i="1"/>
  <c r="SZD1599" i="1"/>
  <c r="SZC1599" i="1"/>
  <c r="SZB1599" i="1"/>
  <c r="SZA1599" i="1"/>
  <c r="SYZ1599" i="1"/>
  <c r="SYY1599" i="1"/>
  <c r="SYX1599" i="1"/>
  <c r="SYW1599" i="1"/>
  <c r="SYV1599" i="1"/>
  <c r="SYU1599" i="1"/>
  <c r="SYT1599" i="1"/>
  <c r="SYS1599" i="1"/>
  <c r="SYR1599" i="1"/>
  <c r="SYQ1599" i="1"/>
  <c r="SYP1599" i="1"/>
  <c r="SYO1599" i="1"/>
  <c r="SYN1599" i="1"/>
  <c r="SYM1599" i="1"/>
  <c r="SYL1599" i="1"/>
  <c r="SYK1599" i="1"/>
  <c r="SYJ1599" i="1"/>
  <c r="SYI1599" i="1"/>
  <c r="SYH1599" i="1"/>
  <c r="SYG1599" i="1"/>
  <c r="SYF1599" i="1"/>
  <c r="SYE1599" i="1"/>
  <c r="SYD1599" i="1"/>
  <c r="SYC1599" i="1"/>
  <c r="SYB1599" i="1"/>
  <c r="SYA1599" i="1"/>
  <c r="SXZ1599" i="1"/>
  <c r="SXY1599" i="1"/>
  <c r="SXX1599" i="1"/>
  <c r="SXW1599" i="1"/>
  <c r="SXV1599" i="1"/>
  <c r="SXU1599" i="1"/>
  <c r="SXT1599" i="1"/>
  <c r="SXS1599" i="1"/>
  <c r="SXR1599" i="1"/>
  <c r="SXQ1599" i="1"/>
  <c r="SXP1599" i="1"/>
  <c r="SXO1599" i="1"/>
  <c r="SXN1599" i="1"/>
  <c r="SXM1599" i="1"/>
  <c r="SXL1599" i="1"/>
  <c r="SXK1599" i="1"/>
  <c r="SXJ1599" i="1"/>
  <c r="SXI1599" i="1"/>
  <c r="SXH1599" i="1"/>
  <c r="SXG1599" i="1"/>
  <c r="SXF1599" i="1"/>
  <c r="SXE1599" i="1"/>
  <c r="SXD1599" i="1"/>
  <c r="SXC1599" i="1"/>
  <c r="SXB1599" i="1"/>
  <c r="SXA1599" i="1"/>
  <c r="SWZ1599" i="1"/>
  <c r="SWY1599" i="1"/>
  <c r="SWX1599" i="1"/>
  <c r="SWW1599" i="1"/>
  <c r="SWV1599" i="1"/>
  <c r="SWU1599" i="1"/>
  <c r="SWT1599" i="1"/>
  <c r="SWS1599" i="1"/>
  <c r="SWR1599" i="1"/>
  <c r="SWQ1599" i="1"/>
  <c r="SWP1599" i="1"/>
  <c r="SWO1599" i="1"/>
  <c r="SWN1599" i="1"/>
  <c r="SWM1599" i="1"/>
  <c r="SWL1599" i="1"/>
  <c r="SWK1599" i="1"/>
  <c r="SWJ1599" i="1"/>
  <c r="SWI1599" i="1"/>
  <c r="SWH1599" i="1"/>
  <c r="SWG1599" i="1"/>
  <c r="SWF1599" i="1"/>
  <c r="SWE1599" i="1"/>
  <c r="SWD1599" i="1"/>
  <c r="SWC1599" i="1"/>
  <c r="SWB1599" i="1"/>
  <c r="SWA1599" i="1"/>
  <c r="SVZ1599" i="1"/>
  <c r="SVY1599" i="1"/>
  <c r="SVX1599" i="1"/>
  <c r="SVW1599" i="1"/>
  <c r="SVV1599" i="1"/>
  <c r="SVU1599" i="1"/>
  <c r="SVT1599" i="1"/>
  <c r="SVS1599" i="1"/>
  <c r="SVR1599" i="1"/>
  <c r="SVQ1599" i="1"/>
  <c r="SVP1599" i="1"/>
  <c r="SVO1599" i="1"/>
  <c r="SVN1599" i="1"/>
  <c r="SVM1599" i="1"/>
  <c r="SVL1599" i="1"/>
  <c r="SVK1599" i="1"/>
  <c r="SVJ1599" i="1"/>
  <c r="SVI1599" i="1"/>
  <c r="SVH1599" i="1"/>
  <c r="SVG1599" i="1"/>
  <c r="SVF1599" i="1"/>
  <c r="SVE1599" i="1"/>
  <c r="SVD1599" i="1"/>
  <c r="SVC1599" i="1"/>
  <c r="SVB1599" i="1"/>
  <c r="SVA1599" i="1"/>
  <c r="SUZ1599" i="1"/>
  <c r="SUY1599" i="1"/>
  <c r="SUX1599" i="1"/>
  <c r="SUW1599" i="1"/>
  <c r="SUV1599" i="1"/>
  <c r="SUU1599" i="1"/>
  <c r="SUT1599" i="1"/>
  <c r="SUS1599" i="1"/>
  <c r="SUR1599" i="1"/>
  <c r="SUQ1599" i="1"/>
  <c r="SUP1599" i="1"/>
  <c r="SUO1599" i="1"/>
  <c r="SUN1599" i="1"/>
  <c r="SUM1599" i="1"/>
  <c r="SUL1599" i="1"/>
  <c r="SUK1599" i="1"/>
  <c r="SUJ1599" i="1"/>
  <c r="SUI1599" i="1"/>
  <c r="SUH1599" i="1"/>
  <c r="SUG1599" i="1"/>
  <c r="SUF1599" i="1"/>
  <c r="SUE1599" i="1"/>
  <c r="SUD1599" i="1"/>
  <c r="SUC1599" i="1"/>
  <c r="SUB1599" i="1"/>
  <c r="SUA1599" i="1"/>
  <c r="STZ1599" i="1"/>
  <c r="STY1599" i="1"/>
  <c r="STX1599" i="1"/>
  <c r="STW1599" i="1"/>
  <c r="STV1599" i="1"/>
  <c r="STU1599" i="1"/>
  <c r="STT1599" i="1"/>
  <c r="STS1599" i="1"/>
  <c r="STR1599" i="1"/>
  <c r="STQ1599" i="1"/>
  <c r="STP1599" i="1"/>
  <c r="STO1599" i="1"/>
  <c r="STN1599" i="1"/>
  <c r="STM1599" i="1"/>
  <c r="STL1599" i="1"/>
  <c r="STK1599" i="1"/>
  <c r="STJ1599" i="1"/>
  <c r="STI1599" i="1"/>
  <c r="STH1599" i="1"/>
  <c r="STG1599" i="1"/>
  <c r="STF1599" i="1"/>
  <c r="STE1599" i="1"/>
  <c r="STD1599" i="1"/>
  <c r="STC1599" i="1"/>
  <c r="STB1599" i="1"/>
  <c r="STA1599" i="1"/>
  <c r="SSZ1599" i="1"/>
  <c r="SSY1599" i="1"/>
  <c r="SSX1599" i="1"/>
  <c r="SSW1599" i="1"/>
  <c r="SSV1599" i="1"/>
  <c r="SSU1599" i="1"/>
  <c r="SST1599" i="1"/>
  <c r="SSS1599" i="1"/>
  <c r="SSR1599" i="1"/>
  <c r="SSQ1599" i="1"/>
  <c r="SSP1599" i="1"/>
  <c r="SSO1599" i="1"/>
  <c r="SSN1599" i="1"/>
  <c r="SSM1599" i="1"/>
  <c r="SSL1599" i="1"/>
  <c r="SSK1599" i="1"/>
  <c r="SSJ1599" i="1"/>
  <c r="SSI1599" i="1"/>
  <c r="SSH1599" i="1"/>
  <c r="SSG1599" i="1"/>
  <c r="SSF1599" i="1"/>
  <c r="SSE1599" i="1"/>
  <c r="SSD1599" i="1"/>
  <c r="SSC1599" i="1"/>
  <c r="SSB1599" i="1"/>
  <c r="SSA1599" i="1"/>
  <c r="SRZ1599" i="1"/>
  <c r="SRY1599" i="1"/>
  <c r="SRX1599" i="1"/>
  <c r="SRW1599" i="1"/>
  <c r="SRV1599" i="1"/>
  <c r="SRU1599" i="1"/>
  <c r="SRT1599" i="1"/>
  <c r="SRS1599" i="1"/>
  <c r="SRR1599" i="1"/>
  <c r="SRQ1599" i="1"/>
  <c r="SRP1599" i="1"/>
  <c r="SRO1599" i="1"/>
  <c r="SRN1599" i="1"/>
  <c r="SRM1599" i="1"/>
  <c r="SRL1599" i="1"/>
  <c r="SRK1599" i="1"/>
  <c r="SRJ1599" i="1"/>
  <c r="SRI1599" i="1"/>
  <c r="SRH1599" i="1"/>
  <c r="SRG1599" i="1"/>
  <c r="SRF1599" i="1"/>
  <c r="SRE1599" i="1"/>
  <c r="SRD1599" i="1"/>
  <c r="SRC1599" i="1"/>
  <c r="SRB1599" i="1"/>
  <c r="SRA1599" i="1"/>
  <c r="SQZ1599" i="1"/>
  <c r="SQY1599" i="1"/>
  <c r="SQX1599" i="1"/>
  <c r="SQW1599" i="1"/>
  <c r="SQV1599" i="1"/>
  <c r="SQU1599" i="1"/>
  <c r="SQT1599" i="1"/>
  <c r="SQS1599" i="1"/>
  <c r="SQR1599" i="1"/>
  <c r="SQQ1599" i="1"/>
  <c r="SQP1599" i="1"/>
  <c r="SQO1599" i="1"/>
  <c r="SQN1599" i="1"/>
  <c r="SQM1599" i="1"/>
  <c r="SQL1599" i="1"/>
  <c r="SQK1599" i="1"/>
  <c r="SQJ1599" i="1"/>
  <c r="SQI1599" i="1"/>
  <c r="SQH1599" i="1"/>
  <c r="SQG1599" i="1"/>
  <c r="SQF1599" i="1"/>
  <c r="SQE1599" i="1"/>
  <c r="SQD1599" i="1"/>
  <c r="SQC1599" i="1"/>
  <c r="SQB1599" i="1"/>
  <c r="SQA1599" i="1"/>
  <c r="SPZ1599" i="1"/>
  <c r="SPY1599" i="1"/>
  <c r="SPX1599" i="1"/>
  <c r="SPW1599" i="1"/>
  <c r="SPV1599" i="1"/>
  <c r="SPU1599" i="1"/>
  <c r="SPT1599" i="1"/>
  <c r="SPS1599" i="1"/>
  <c r="SPR1599" i="1"/>
  <c r="SPQ1599" i="1"/>
  <c r="SPP1599" i="1"/>
  <c r="SPO1599" i="1"/>
  <c r="SPN1599" i="1"/>
  <c r="SPM1599" i="1"/>
  <c r="SPL1599" i="1"/>
  <c r="SPK1599" i="1"/>
  <c r="SPJ1599" i="1"/>
  <c r="SPI1599" i="1"/>
  <c r="SPH1599" i="1"/>
  <c r="SPG1599" i="1"/>
  <c r="SPF1599" i="1"/>
  <c r="SPE1599" i="1"/>
  <c r="SPD1599" i="1"/>
  <c r="SPC1599" i="1"/>
  <c r="SPB1599" i="1"/>
  <c r="SPA1599" i="1"/>
  <c r="SOZ1599" i="1"/>
  <c r="SOY1599" i="1"/>
  <c r="SOX1599" i="1"/>
  <c r="SOW1599" i="1"/>
  <c r="SOV1599" i="1"/>
  <c r="SOU1599" i="1"/>
  <c r="SOT1599" i="1"/>
  <c r="SOS1599" i="1"/>
  <c r="SOR1599" i="1"/>
  <c r="SOQ1599" i="1"/>
  <c r="SOP1599" i="1"/>
  <c r="SOO1599" i="1"/>
  <c r="SON1599" i="1"/>
  <c r="SOM1599" i="1"/>
  <c r="SOL1599" i="1"/>
  <c r="SOK1599" i="1"/>
  <c r="SOJ1599" i="1"/>
  <c r="SOI1599" i="1"/>
  <c r="SOH1599" i="1"/>
  <c r="SOG1599" i="1"/>
  <c r="SOF1599" i="1"/>
  <c r="SOE1599" i="1"/>
  <c r="SOD1599" i="1"/>
  <c r="SOC1599" i="1"/>
  <c r="SOB1599" i="1"/>
  <c r="SOA1599" i="1"/>
  <c r="SNZ1599" i="1"/>
  <c r="SNY1599" i="1"/>
  <c r="SNX1599" i="1"/>
  <c r="SNW1599" i="1"/>
  <c r="SNV1599" i="1"/>
  <c r="SNU1599" i="1"/>
  <c r="SNT1599" i="1"/>
  <c r="SNS1599" i="1"/>
  <c r="SNR1599" i="1"/>
  <c r="SNQ1599" i="1"/>
  <c r="SNP1599" i="1"/>
  <c r="SNO1599" i="1"/>
  <c r="SNN1599" i="1"/>
  <c r="SNM1599" i="1"/>
  <c r="SNL1599" i="1"/>
  <c r="SNK1599" i="1"/>
  <c r="SNJ1599" i="1"/>
  <c r="SNI1599" i="1"/>
  <c r="SNH1599" i="1"/>
  <c r="SNG1599" i="1"/>
  <c r="SNF1599" i="1"/>
  <c r="SNE1599" i="1"/>
  <c r="SND1599" i="1"/>
  <c r="SNC1599" i="1"/>
  <c r="SNB1599" i="1"/>
  <c r="SNA1599" i="1"/>
  <c r="SMZ1599" i="1"/>
  <c r="SMY1599" i="1"/>
  <c r="SMX1599" i="1"/>
  <c r="SMW1599" i="1"/>
  <c r="SMV1599" i="1"/>
  <c r="SMU1599" i="1"/>
  <c r="SMT1599" i="1"/>
  <c r="SMS1599" i="1"/>
  <c r="SMR1599" i="1"/>
  <c r="SMQ1599" i="1"/>
  <c r="SMP1599" i="1"/>
  <c r="SMO1599" i="1"/>
  <c r="SMN1599" i="1"/>
  <c r="SMM1599" i="1"/>
  <c r="SML1599" i="1"/>
  <c r="SMK1599" i="1"/>
  <c r="SMJ1599" i="1"/>
  <c r="SMI1599" i="1"/>
  <c r="SMH1599" i="1"/>
  <c r="SMG1599" i="1"/>
  <c r="SMF1599" i="1"/>
  <c r="SME1599" i="1"/>
  <c r="SMD1599" i="1"/>
  <c r="SMC1599" i="1"/>
  <c r="SMB1599" i="1"/>
  <c r="SMA1599" i="1"/>
  <c r="SLZ1599" i="1"/>
  <c r="SLY1599" i="1"/>
  <c r="SLX1599" i="1"/>
  <c r="SLW1599" i="1"/>
  <c r="SLV1599" i="1"/>
  <c r="SLU1599" i="1"/>
  <c r="SLT1599" i="1"/>
  <c r="SLS1599" i="1"/>
  <c r="SLR1599" i="1"/>
  <c r="SLQ1599" i="1"/>
  <c r="SLP1599" i="1"/>
  <c r="SLO1599" i="1"/>
  <c r="SLN1599" i="1"/>
  <c r="SLM1599" i="1"/>
  <c r="SLL1599" i="1"/>
  <c r="SLK1599" i="1"/>
  <c r="SLJ1599" i="1"/>
  <c r="SLI1599" i="1"/>
  <c r="SLH1599" i="1"/>
  <c r="SLG1599" i="1"/>
  <c r="SLF1599" i="1"/>
  <c r="SLE1599" i="1"/>
  <c r="SLD1599" i="1"/>
  <c r="SLC1599" i="1"/>
  <c r="SLB1599" i="1"/>
  <c r="SLA1599" i="1"/>
  <c r="SKZ1599" i="1"/>
  <c r="SKY1599" i="1"/>
  <c r="SKX1599" i="1"/>
  <c r="SKW1599" i="1"/>
  <c r="SKV1599" i="1"/>
  <c r="SKU1599" i="1"/>
  <c r="SKT1599" i="1"/>
  <c r="SKS1599" i="1"/>
  <c r="SKR1599" i="1"/>
  <c r="SKQ1599" i="1"/>
  <c r="SKP1599" i="1"/>
  <c r="SKO1599" i="1"/>
  <c r="SKN1599" i="1"/>
  <c r="SKM1599" i="1"/>
  <c r="SKL1599" i="1"/>
  <c r="SKK1599" i="1"/>
  <c r="SKJ1599" i="1"/>
  <c r="SKI1599" i="1"/>
  <c r="SKH1599" i="1"/>
  <c r="SKG1599" i="1"/>
  <c r="SKF1599" i="1"/>
  <c r="SKE1599" i="1"/>
  <c r="SKD1599" i="1"/>
  <c r="SKC1599" i="1"/>
  <c r="SKB1599" i="1"/>
  <c r="SKA1599" i="1"/>
  <c r="SJZ1599" i="1"/>
  <c r="SJY1599" i="1"/>
  <c r="SJX1599" i="1"/>
  <c r="SJW1599" i="1"/>
  <c r="SJV1599" i="1"/>
  <c r="SJU1599" i="1"/>
  <c r="SJT1599" i="1"/>
  <c r="SJS1599" i="1"/>
  <c r="SJR1599" i="1"/>
  <c r="SJQ1599" i="1"/>
  <c r="SJP1599" i="1"/>
  <c r="SJO1599" i="1"/>
  <c r="SJN1599" i="1"/>
  <c r="SJM1599" i="1"/>
  <c r="SJL1599" i="1"/>
  <c r="SJK1599" i="1"/>
  <c r="SJJ1599" i="1"/>
  <c r="SJI1599" i="1"/>
  <c r="SJH1599" i="1"/>
  <c r="SJG1599" i="1"/>
  <c r="SJF1599" i="1"/>
  <c r="SJE1599" i="1"/>
  <c r="SJD1599" i="1"/>
  <c r="SJC1599" i="1"/>
  <c r="SJB1599" i="1"/>
  <c r="SJA1599" i="1"/>
  <c r="SIZ1599" i="1"/>
  <c r="SIY1599" i="1"/>
  <c r="SIX1599" i="1"/>
  <c r="SIW1599" i="1"/>
  <c r="SIV1599" i="1"/>
  <c r="SIU1599" i="1"/>
  <c r="SIT1599" i="1"/>
  <c r="SIS1599" i="1"/>
  <c r="SIR1599" i="1"/>
  <c r="SIQ1599" i="1"/>
  <c r="SIP1599" i="1"/>
  <c r="SIO1599" i="1"/>
  <c r="SIN1599" i="1"/>
  <c r="SIM1599" i="1"/>
  <c r="SIL1599" i="1"/>
  <c r="SIK1599" i="1"/>
  <c r="SIJ1599" i="1"/>
  <c r="SII1599" i="1"/>
  <c r="SIH1599" i="1"/>
  <c r="SIG1599" i="1"/>
  <c r="SIF1599" i="1"/>
  <c r="SIE1599" i="1"/>
  <c r="SID1599" i="1"/>
  <c r="SIC1599" i="1"/>
  <c r="SIB1599" i="1"/>
  <c r="SIA1599" i="1"/>
  <c r="SHZ1599" i="1"/>
  <c r="SHY1599" i="1"/>
  <c r="SHX1599" i="1"/>
  <c r="SHW1599" i="1"/>
  <c r="SHV1599" i="1"/>
  <c r="SHU1599" i="1"/>
  <c r="SHT1599" i="1"/>
  <c r="SHS1599" i="1"/>
  <c r="SHR1599" i="1"/>
  <c r="SHQ1599" i="1"/>
  <c r="SHP1599" i="1"/>
  <c r="SHO1599" i="1"/>
  <c r="SHN1599" i="1"/>
  <c r="SHM1599" i="1"/>
  <c r="SHL1599" i="1"/>
  <c r="SHK1599" i="1"/>
  <c r="SHJ1599" i="1"/>
  <c r="SHI1599" i="1"/>
  <c r="SHH1599" i="1"/>
  <c r="SHG1599" i="1"/>
  <c r="SHF1599" i="1"/>
  <c r="SHE1599" i="1"/>
  <c r="SHD1599" i="1"/>
  <c r="SHC1599" i="1"/>
  <c r="SHB1599" i="1"/>
  <c r="SHA1599" i="1"/>
  <c r="SGZ1599" i="1"/>
  <c r="SGY1599" i="1"/>
  <c r="SGX1599" i="1"/>
  <c r="SGW1599" i="1"/>
  <c r="SGV1599" i="1"/>
  <c r="SGU1599" i="1"/>
  <c r="SGT1599" i="1"/>
  <c r="SGS1599" i="1"/>
  <c r="SGR1599" i="1"/>
  <c r="SGQ1599" i="1"/>
  <c r="SGP1599" i="1"/>
  <c r="SGO1599" i="1"/>
  <c r="SGN1599" i="1"/>
  <c r="SGM1599" i="1"/>
  <c r="SGL1599" i="1"/>
  <c r="SGK1599" i="1"/>
  <c r="SGJ1599" i="1"/>
  <c r="SGI1599" i="1"/>
  <c r="SGH1599" i="1"/>
  <c r="SGG1599" i="1"/>
  <c r="SGF1599" i="1"/>
  <c r="SGE1599" i="1"/>
  <c r="SGD1599" i="1"/>
  <c r="SGC1599" i="1"/>
  <c r="SGB1599" i="1"/>
  <c r="SGA1599" i="1"/>
  <c r="SFZ1599" i="1"/>
  <c r="SFY1599" i="1"/>
  <c r="SFX1599" i="1"/>
  <c r="SFW1599" i="1"/>
  <c r="SFV1599" i="1"/>
  <c r="SFU1599" i="1"/>
  <c r="SFT1599" i="1"/>
  <c r="SFS1599" i="1"/>
  <c r="SFR1599" i="1"/>
  <c r="SFQ1599" i="1"/>
  <c r="SFP1599" i="1"/>
  <c r="SFO1599" i="1"/>
  <c r="SFN1599" i="1"/>
  <c r="SFM1599" i="1"/>
  <c r="SFL1599" i="1"/>
  <c r="SFK1599" i="1"/>
  <c r="SFJ1599" i="1"/>
  <c r="SFI1599" i="1"/>
  <c r="SFH1599" i="1"/>
  <c r="SFG1599" i="1"/>
  <c r="SFF1599" i="1"/>
  <c r="SFE1599" i="1"/>
  <c r="SFD1599" i="1"/>
  <c r="SFC1599" i="1"/>
  <c r="SFB1599" i="1"/>
  <c r="SFA1599" i="1"/>
  <c r="SEZ1599" i="1"/>
  <c r="SEY1599" i="1"/>
  <c r="SEX1599" i="1"/>
  <c r="SEW1599" i="1"/>
  <c r="SEV1599" i="1"/>
  <c r="SEU1599" i="1"/>
  <c r="SET1599" i="1"/>
  <c r="SES1599" i="1"/>
  <c r="SER1599" i="1"/>
  <c r="SEQ1599" i="1"/>
  <c r="SEP1599" i="1"/>
  <c r="SEO1599" i="1"/>
  <c r="SEN1599" i="1"/>
  <c r="SEM1599" i="1"/>
  <c r="SEL1599" i="1"/>
  <c r="SEK1599" i="1"/>
  <c r="SEJ1599" i="1"/>
  <c r="SEI1599" i="1"/>
  <c r="SEH1599" i="1"/>
  <c r="SEG1599" i="1"/>
  <c r="SEF1599" i="1"/>
  <c r="SEE1599" i="1"/>
  <c r="SED1599" i="1"/>
  <c r="SEC1599" i="1"/>
  <c r="SEB1599" i="1"/>
  <c r="SEA1599" i="1"/>
  <c r="SDZ1599" i="1"/>
  <c r="SDY1599" i="1"/>
  <c r="SDX1599" i="1"/>
  <c r="SDW1599" i="1"/>
  <c r="SDV1599" i="1"/>
  <c r="SDU1599" i="1"/>
  <c r="SDT1599" i="1"/>
  <c r="SDS1599" i="1"/>
  <c r="SDR1599" i="1"/>
  <c r="SDQ1599" i="1"/>
  <c r="SDP1599" i="1"/>
  <c r="SDO1599" i="1"/>
  <c r="SDN1599" i="1"/>
  <c r="SDM1599" i="1"/>
  <c r="SDL1599" i="1"/>
  <c r="SDK1599" i="1"/>
  <c r="SDJ1599" i="1"/>
  <c r="SDI1599" i="1"/>
  <c r="SDH1599" i="1"/>
  <c r="SDG1599" i="1"/>
  <c r="SDF1599" i="1"/>
  <c r="SDE1599" i="1"/>
  <c r="SDD1599" i="1"/>
  <c r="SDC1599" i="1"/>
  <c r="SDB1599" i="1"/>
  <c r="SDA1599" i="1"/>
  <c r="SCZ1599" i="1"/>
  <c r="SCY1599" i="1"/>
  <c r="SCX1599" i="1"/>
  <c r="SCW1599" i="1"/>
  <c r="SCV1599" i="1"/>
  <c r="SCU1599" i="1"/>
  <c r="SCT1599" i="1"/>
  <c r="SCS1599" i="1"/>
  <c r="SCR1599" i="1"/>
  <c r="SCQ1599" i="1"/>
  <c r="SCP1599" i="1"/>
  <c r="SCO1599" i="1"/>
  <c r="SCN1599" i="1"/>
  <c r="SCM1599" i="1"/>
  <c r="SCL1599" i="1"/>
  <c r="SCK1599" i="1"/>
  <c r="SCJ1599" i="1"/>
  <c r="SCI1599" i="1"/>
  <c r="SCH1599" i="1"/>
  <c r="SCG1599" i="1"/>
  <c r="SCF1599" i="1"/>
  <c r="SCE1599" i="1"/>
  <c r="SCD1599" i="1"/>
  <c r="SCC1599" i="1"/>
  <c r="SCB1599" i="1"/>
  <c r="SCA1599" i="1"/>
  <c r="SBZ1599" i="1"/>
  <c r="SBY1599" i="1"/>
  <c r="SBX1599" i="1"/>
  <c r="SBW1599" i="1"/>
  <c r="SBV1599" i="1"/>
  <c r="SBU1599" i="1"/>
  <c r="SBT1599" i="1"/>
  <c r="SBS1599" i="1"/>
  <c r="SBR1599" i="1"/>
  <c r="SBQ1599" i="1"/>
  <c r="SBP1599" i="1"/>
  <c r="SBO1599" i="1"/>
  <c r="SBN1599" i="1"/>
  <c r="SBM1599" i="1"/>
  <c r="SBL1599" i="1"/>
  <c r="SBK1599" i="1"/>
  <c r="SBJ1599" i="1"/>
  <c r="SBI1599" i="1"/>
  <c r="SBH1599" i="1"/>
  <c r="SBG1599" i="1"/>
  <c r="SBF1599" i="1"/>
  <c r="SBE1599" i="1"/>
  <c r="SBD1599" i="1"/>
  <c r="SBC1599" i="1"/>
  <c r="SBB1599" i="1"/>
  <c r="SBA1599" i="1"/>
  <c r="SAZ1599" i="1"/>
  <c r="SAY1599" i="1"/>
  <c r="SAX1599" i="1"/>
  <c r="SAW1599" i="1"/>
  <c r="SAV1599" i="1"/>
  <c r="SAU1599" i="1"/>
  <c r="SAT1599" i="1"/>
  <c r="SAS1599" i="1"/>
  <c r="SAR1599" i="1"/>
  <c r="SAQ1599" i="1"/>
  <c r="SAP1599" i="1"/>
  <c r="SAO1599" i="1"/>
  <c r="SAN1599" i="1"/>
  <c r="SAM1599" i="1"/>
  <c r="SAL1599" i="1"/>
  <c r="SAK1599" i="1"/>
  <c r="SAJ1599" i="1"/>
  <c r="SAI1599" i="1"/>
  <c r="SAH1599" i="1"/>
  <c r="SAG1599" i="1"/>
  <c r="SAF1599" i="1"/>
  <c r="SAE1599" i="1"/>
  <c r="SAD1599" i="1"/>
  <c r="SAC1599" i="1"/>
  <c r="SAB1599" i="1"/>
  <c r="SAA1599" i="1"/>
  <c r="RZZ1599" i="1"/>
  <c r="RZY1599" i="1"/>
  <c r="RZX1599" i="1"/>
  <c r="RZW1599" i="1"/>
  <c r="RZV1599" i="1"/>
  <c r="RZU1599" i="1"/>
  <c r="RZT1599" i="1"/>
  <c r="RZS1599" i="1"/>
  <c r="RZR1599" i="1"/>
  <c r="RZQ1599" i="1"/>
  <c r="RZP1599" i="1"/>
  <c r="RZO1599" i="1"/>
  <c r="RZN1599" i="1"/>
  <c r="RZM1599" i="1"/>
  <c r="RZL1599" i="1"/>
  <c r="RZK1599" i="1"/>
  <c r="RZJ1599" i="1"/>
  <c r="RZI1599" i="1"/>
  <c r="RZH1599" i="1"/>
  <c r="RZG1599" i="1"/>
  <c r="RZF1599" i="1"/>
  <c r="RZE1599" i="1"/>
  <c r="RZD1599" i="1"/>
  <c r="RZC1599" i="1"/>
  <c r="RZB1599" i="1"/>
  <c r="RZA1599" i="1"/>
  <c r="RYZ1599" i="1"/>
  <c r="RYY1599" i="1"/>
  <c r="RYX1599" i="1"/>
  <c r="RYW1599" i="1"/>
  <c r="RYV1599" i="1"/>
  <c r="RYU1599" i="1"/>
  <c r="RYT1599" i="1"/>
  <c r="RYS1599" i="1"/>
  <c r="RYR1599" i="1"/>
  <c r="RYQ1599" i="1"/>
  <c r="RYP1599" i="1"/>
  <c r="RYO1599" i="1"/>
  <c r="RYN1599" i="1"/>
  <c r="RYM1599" i="1"/>
  <c r="RYL1599" i="1"/>
  <c r="RYK1599" i="1"/>
  <c r="RYJ1599" i="1"/>
  <c r="RYI1599" i="1"/>
  <c r="RYH1599" i="1"/>
  <c r="RYG1599" i="1"/>
  <c r="RYF1599" i="1"/>
  <c r="RYE1599" i="1"/>
  <c r="RYD1599" i="1"/>
  <c r="RYC1599" i="1"/>
  <c r="RYB1599" i="1"/>
  <c r="RYA1599" i="1"/>
  <c r="RXZ1599" i="1"/>
  <c r="RXY1599" i="1"/>
  <c r="RXX1599" i="1"/>
  <c r="RXW1599" i="1"/>
  <c r="RXV1599" i="1"/>
  <c r="RXU1599" i="1"/>
  <c r="RXT1599" i="1"/>
  <c r="RXS1599" i="1"/>
  <c r="RXR1599" i="1"/>
  <c r="RXQ1599" i="1"/>
  <c r="RXP1599" i="1"/>
  <c r="RXO1599" i="1"/>
  <c r="RXN1599" i="1"/>
  <c r="RXM1599" i="1"/>
  <c r="RXL1599" i="1"/>
  <c r="RXK1599" i="1"/>
  <c r="RXJ1599" i="1"/>
  <c r="RXI1599" i="1"/>
  <c r="RXH1599" i="1"/>
  <c r="RXG1599" i="1"/>
  <c r="RXF1599" i="1"/>
  <c r="RXE1599" i="1"/>
  <c r="RXD1599" i="1"/>
  <c r="RXC1599" i="1"/>
  <c r="RXB1599" i="1"/>
  <c r="RXA1599" i="1"/>
  <c r="RWZ1599" i="1"/>
  <c r="RWY1599" i="1"/>
  <c r="RWX1599" i="1"/>
  <c r="RWW1599" i="1"/>
  <c r="RWV1599" i="1"/>
  <c r="RWU1599" i="1"/>
  <c r="RWT1599" i="1"/>
  <c r="RWS1599" i="1"/>
  <c r="RWR1599" i="1"/>
  <c r="RWQ1599" i="1"/>
  <c r="RWP1599" i="1"/>
  <c r="RWO1599" i="1"/>
  <c r="RWN1599" i="1"/>
  <c r="RWM1599" i="1"/>
  <c r="RWL1599" i="1"/>
  <c r="RWK1599" i="1"/>
  <c r="RWJ1599" i="1"/>
  <c r="RWI1599" i="1"/>
  <c r="RWH1599" i="1"/>
  <c r="RWG1599" i="1"/>
  <c r="RWF1599" i="1"/>
  <c r="RWE1599" i="1"/>
  <c r="RWD1599" i="1"/>
  <c r="RWC1599" i="1"/>
  <c r="RWB1599" i="1"/>
  <c r="RWA1599" i="1"/>
  <c r="RVZ1599" i="1"/>
  <c r="RVY1599" i="1"/>
  <c r="RVX1599" i="1"/>
  <c r="RVW1599" i="1"/>
  <c r="RVV1599" i="1"/>
  <c r="RVU1599" i="1"/>
  <c r="RVT1599" i="1"/>
  <c r="RVS1599" i="1"/>
  <c r="RVR1599" i="1"/>
  <c r="RVQ1599" i="1"/>
  <c r="RVP1599" i="1"/>
  <c r="RVO1599" i="1"/>
  <c r="RVN1599" i="1"/>
  <c r="RVM1599" i="1"/>
  <c r="RVL1599" i="1"/>
  <c r="RVK1599" i="1"/>
  <c r="RVJ1599" i="1"/>
  <c r="RVI1599" i="1"/>
  <c r="RVH1599" i="1"/>
  <c r="RVG1599" i="1"/>
  <c r="RVF1599" i="1"/>
  <c r="RVE1599" i="1"/>
  <c r="RVD1599" i="1"/>
  <c r="RVC1599" i="1"/>
  <c r="RVB1599" i="1"/>
  <c r="RVA1599" i="1"/>
  <c r="RUZ1599" i="1"/>
  <c r="RUY1599" i="1"/>
  <c r="RUX1599" i="1"/>
  <c r="RUW1599" i="1"/>
  <c r="RUV1599" i="1"/>
  <c r="RUU1599" i="1"/>
  <c r="RUT1599" i="1"/>
  <c r="RUS1599" i="1"/>
  <c r="RUR1599" i="1"/>
  <c r="RUQ1599" i="1"/>
  <c r="RUP1599" i="1"/>
  <c r="RUO1599" i="1"/>
  <c r="RUN1599" i="1"/>
  <c r="RUM1599" i="1"/>
  <c r="RUL1599" i="1"/>
  <c r="RUK1599" i="1"/>
  <c r="RUJ1599" i="1"/>
  <c r="RUI1599" i="1"/>
  <c r="RUH1599" i="1"/>
  <c r="RUG1599" i="1"/>
  <c r="RUF1599" i="1"/>
  <c r="RUE1599" i="1"/>
  <c r="RUD1599" i="1"/>
  <c r="RUC1599" i="1"/>
  <c r="RUB1599" i="1"/>
  <c r="RUA1599" i="1"/>
  <c r="RTZ1599" i="1"/>
  <c r="RTY1599" i="1"/>
  <c r="RTX1599" i="1"/>
  <c r="RTW1599" i="1"/>
  <c r="RTV1599" i="1"/>
  <c r="RTU1599" i="1"/>
  <c r="RTT1599" i="1"/>
  <c r="RTS1599" i="1"/>
  <c r="RTR1599" i="1"/>
  <c r="RTQ1599" i="1"/>
  <c r="RTP1599" i="1"/>
  <c r="RTO1599" i="1"/>
  <c r="RTN1599" i="1"/>
  <c r="RTM1599" i="1"/>
  <c r="RTL1599" i="1"/>
  <c r="RTK1599" i="1"/>
  <c r="RTJ1599" i="1"/>
  <c r="RTI1599" i="1"/>
  <c r="RTH1599" i="1"/>
  <c r="RTG1599" i="1"/>
  <c r="RTF1599" i="1"/>
  <c r="RTE1599" i="1"/>
  <c r="RTD1599" i="1"/>
  <c r="RTC1599" i="1"/>
  <c r="RTB1599" i="1"/>
  <c r="RTA1599" i="1"/>
  <c r="RSZ1599" i="1"/>
  <c r="RSY1599" i="1"/>
  <c r="RSX1599" i="1"/>
  <c r="RSW1599" i="1"/>
  <c r="RSV1599" i="1"/>
  <c r="RSU1599" i="1"/>
  <c r="RST1599" i="1"/>
  <c r="RSS1599" i="1"/>
  <c r="RSR1599" i="1"/>
  <c r="RSQ1599" i="1"/>
  <c r="RSP1599" i="1"/>
  <c r="RSO1599" i="1"/>
  <c r="RSN1599" i="1"/>
  <c r="RSM1599" i="1"/>
  <c r="RSL1599" i="1"/>
  <c r="RSK1599" i="1"/>
  <c r="RSJ1599" i="1"/>
  <c r="RSI1599" i="1"/>
  <c r="RSH1599" i="1"/>
  <c r="RSG1599" i="1"/>
  <c r="RSF1599" i="1"/>
  <c r="RSE1599" i="1"/>
  <c r="RSD1599" i="1"/>
  <c r="RSC1599" i="1"/>
  <c r="RSB1599" i="1"/>
  <c r="RSA1599" i="1"/>
  <c r="RRZ1599" i="1"/>
  <c r="RRY1599" i="1"/>
  <c r="RRX1599" i="1"/>
  <c r="RRW1599" i="1"/>
  <c r="RRV1599" i="1"/>
  <c r="RRU1599" i="1"/>
  <c r="RRT1599" i="1"/>
  <c r="RRS1599" i="1"/>
  <c r="RRR1599" i="1"/>
  <c r="RRQ1599" i="1"/>
  <c r="RRP1599" i="1"/>
  <c r="RRO1599" i="1"/>
  <c r="RRN1599" i="1"/>
  <c r="RRM1599" i="1"/>
  <c r="RRL1599" i="1"/>
  <c r="RRK1599" i="1"/>
  <c r="RRJ1599" i="1"/>
  <c r="RRI1599" i="1"/>
  <c r="RRH1599" i="1"/>
  <c r="RRG1599" i="1"/>
  <c r="RRF1599" i="1"/>
  <c r="RRE1599" i="1"/>
  <c r="RRD1599" i="1"/>
  <c r="RRC1599" i="1"/>
  <c r="RRB1599" i="1"/>
  <c r="RRA1599" i="1"/>
  <c r="RQZ1599" i="1"/>
  <c r="RQY1599" i="1"/>
  <c r="RQX1599" i="1"/>
  <c r="RQW1599" i="1"/>
  <c r="RQV1599" i="1"/>
  <c r="RQU1599" i="1"/>
  <c r="RQT1599" i="1"/>
  <c r="RQS1599" i="1"/>
  <c r="RQR1599" i="1"/>
  <c r="RQQ1599" i="1"/>
  <c r="RQP1599" i="1"/>
  <c r="RQO1599" i="1"/>
  <c r="RQN1599" i="1"/>
  <c r="RQM1599" i="1"/>
  <c r="RQL1599" i="1"/>
  <c r="RQK1599" i="1"/>
  <c r="RQJ1599" i="1"/>
  <c r="RQI1599" i="1"/>
  <c r="RQH1599" i="1"/>
  <c r="RQG1599" i="1"/>
  <c r="RQF1599" i="1"/>
  <c r="RQE1599" i="1"/>
  <c r="RQD1599" i="1"/>
  <c r="RQC1599" i="1"/>
  <c r="RQB1599" i="1"/>
  <c r="RQA1599" i="1"/>
  <c r="RPZ1599" i="1"/>
  <c r="RPY1599" i="1"/>
  <c r="RPX1599" i="1"/>
  <c r="RPW1599" i="1"/>
  <c r="RPV1599" i="1"/>
  <c r="RPU1599" i="1"/>
  <c r="RPT1599" i="1"/>
  <c r="RPS1599" i="1"/>
  <c r="RPR1599" i="1"/>
  <c r="RPQ1599" i="1"/>
  <c r="RPP1599" i="1"/>
  <c r="RPO1599" i="1"/>
  <c r="RPN1599" i="1"/>
  <c r="RPM1599" i="1"/>
  <c r="RPL1599" i="1"/>
  <c r="RPK1599" i="1"/>
  <c r="RPJ1599" i="1"/>
  <c r="RPI1599" i="1"/>
  <c r="RPH1599" i="1"/>
  <c r="RPG1599" i="1"/>
  <c r="RPF1599" i="1"/>
  <c r="RPE1599" i="1"/>
  <c r="RPD1599" i="1"/>
  <c r="RPC1599" i="1"/>
  <c r="RPB1599" i="1"/>
  <c r="RPA1599" i="1"/>
  <c r="ROZ1599" i="1"/>
  <c r="ROY1599" i="1"/>
  <c r="ROX1599" i="1"/>
  <c r="ROW1599" i="1"/>
  <c r="ROV1599" i="1"/>
  <c r="ROU1599" i="1"/>
  <c r="ROT1599" i="1"/>
  <c r="ROS1599" i="1"/>
  <c r="ROR1599" i="1"/>
  <c r="ROQ1599" i="1"/>
  <c r="ROP1599" i="1"/>
  <c r="ROO1599" i="1"/>
  <c r="RON1599" i="1"/>
  <c r="ROM1599" i="1"/>
  <c r="ROL1599" i="1"/>
  <c r="ROK1599" i="1"/>
  <c r="ROJ1599" i="1"/>
  <c r="ROI1599" i="1"/>
  <c r="ROH1599" i="1"/>
  <c r="ROG1599" i="1"/>
  <c r="ROF1599" i="1"/>
  <c r="ROE1599" i="1"/>
  <c r="ROD1599" i="1"/>
  <c r="ROC1599" i="1"/>
  <c r="ROB1599" i="1"/>
  <c r="ROA1599" i="1"/>
  <c r="RNZ1599" i="1"/>
  <c r="RNY1599" i="1"/>
  <c r="RNX1599" i="1"/>
  <c r="RNW1599" i="1"/>
  <c r="RNV1599" i="1"/>
  <c r="RNU1599" i="1"/>
  <c r="RNT1599" i="1"/>
  <c r="RNS1599" i="1"/>
  <c r="RNR1599" i="1"/>
  <c r="RNQ1599" i="1"/>
  <c r="RNP1599" i="1"/>
  <c r="RNO1599" i="1"/>
  <c r="RNN1599" i="1"/>
  <c r="RNM1599" i="1"/>
  <c r="RNL1599" i="1"/>
  <c r="RNK1599" i="1"/>
  <c r="RNJ1599" i="1"/>
  <c r="RNI1599" i="1"/>
  <c r="RNH1599" i="1"/>
  <c r="RNG1599" i="1"/>
  <c r="RNF1599" i="1"/>
  <c r="RNE1599" i="1"/>
  <c r="RND1599" i="1"/>
  <c r="RNC1599" i="1"/>
  <c r="RNB1599" i="1"/>
  <c r="RNA1599" i="1"/>
  <c r="RMZ1599" i="1"/>
  <c r="RMY1599" i="1"/>
  <c r="RMX1599" i="1"/>
  <c r="RMW1599" i="1"/>
  <c r="RMV1599" i="1"/>
  <c r="RMU1599" i="1"/>
  <c r="RMT1599" i="1"/>
  <c r="RMS1599" i="1"/>
  <c r="RMR1599" i="1"/>
  <c r="RMQ1599" i="1"/>
  <c r="RMP1599" i="1"/>
  <c r="RMO1599" i="1"/>
  <c r="RMN1599" i="1"/>
  <c r="RMM1599" i="1"/>
  <c r="RML1599" i="1"/>
  <c r="RMK1599" i="1"/>
  <c r="RMJ1599" i="1"/>
  <c r="RMI1599" i="1"/>
  <c r="RMH1599" i="1"/>
  <c r="RMG1599" i="1"/>
  <c r="RMF1599" i="1"/>
  <c r="RME1599" i="1"/>
  <c r="RMD1599" i="1"/>
  <c r="RMC1599" i="1"/>
  <c r="RMB1599" i="1"/>
  <c r="RMA1599" i="1"/>
  <c r="RLZ1599" i="1"/>
  <c r="RLY1599" i="1"/>
  <c r="RLX1599" i="1"/>
  <c r="RLW1599" i="1"/>
  <c r="RLV1599" i="1"/>
  <c r="RLU1599" i="1"/>
  <c r="RLT1599" i="1"/>
  <c r="RLS1599" i="1"/>
  <c r="RLR1599" i="1"/>
  <c r="RLQ1599" i="1"/>
  <c r="RLP1599" i="1"/>
  <c r="RLO1599" i="1"/>
  <c r="RLN1599" i="1"/>
  <c r="RLM1599" i="1"/>
  <c r="RLL1599" i="1"/>
  <c r="RLK1599" i="1"/>
  <c r="RLJ1599" i="1"/>
  <c r="RLI1599" i="1"/>
  <c r="RLH1599" i="1"/>
  <c r="RLG1599" i="1"/>
  <c r="RLF1599" i="1"/>
  <c r="RLE1599" i="1"/>
  <c r="RLD1599" i="1"/>
  <c r="RLC1599" i="1"/>
  <c r="RLB1599" i="1"/>
  <c r="RLA1599" i="1"/>
  <c r="RKZ1599" i="1"/>
  <c r="RKY1599" i="1"/>
  <c r="RKX1599" i="1"/>
  <c r="RKW1599" i="1"/>
  <c r="RKV1599" i="1"/>
  <c r="RKU1599" i="1"/>
  <c r="RKT1599" i="1"/>
  <c r="RKS1599" i="1"/>
  <c r="RKR1599" i="1"/>
  <c r="RKQ1599" i="1"/>
  <c r="RKP1599" i="1"/>
  <c r="RKO1599" i="1"/>
  <c r="RKN1599" i="1"/>
  <c r="RKM1599" i="1"/>
  <c r="RKL1599" i="1"/>
  <c r="RKK1599" i="1"/>
  <c r="RKJ1599" i="1"/>
  <c r="RKI1599" i="1"/>
  <c r="RKH1599" i="1"/>
  <c r="RKG1599" i="1"/>
  <c r="RKF1599" i="1"/>
  <c r="RKE1599" i="1"/>
  <c r="RKD1599" i="1"/>
  <c r="RKC1599" i="1"/>
  <c r="RKB1599" i="1"/>
  <c r="RKA1599" i="1"/>
  <c r="RJZ1599" i="1"/>
  <c r="RJY1599" i="1"/>
  <c r="RJX1599" i="1"/>
  <c r="RJW1599" i="1"/>
  <c r="RJV1599" i="1"/>
  <c r="RJU1599" i="1"/>
  <c r="RJT1599" i="1"/>
  <c r="RJS1599" i="1"/>
  <c r="RJR1599" i="1"/>
  <c r="RJQ1599" i="1"/>
  <c r="RJP1599" i="1"/>
  <c r="RJO1599" i="1"/>
  <c r="RJN1599" i="1"/>
  <c r="RJM1599" i="1"/>
  <c r="RJL1599" i="1"/>
  <c r="RJK1599" i="1"/>
  <c r="RJJ1599" i="1"/>
  <c r="RJI1599" i="1"/>
  <c r="RJH1599" i="1"/>
  <c r="RJG1599" i="1"/>
  <c r="RJF1599" i="1"/>
  <c r="RJE1599" i="1"/>
  <c r="RJD1599" i="1"/>
  <c r="RJC1599" i="1"/>
  <c r="RJB1599" i="1"/>
  <c r="RJA1599" i="1"/>
  <c r="RIZ1599" i="1"/>
  <c r="RIY1599" i="1"/>
  <c r="RIX1599" i="1"/>
  <c r="RIW1599" i="1"/>
  <c r="RIV1599" i="1"/>
  <c r="RIU1599" i="1"/>
  <c r="RIT1599" i="1"/>
  <c r="RIS1599" i="1"/>
  <c r="RIR1599" i="1"/>
  <c r="RIQ1599" i="1"/>
  <c r="RIP1599" i="1"/>
  <c r="RIO1599" i="1"/>
  <c r="RIN1599" i="1"/>
  <c r="RIM1599" i="1"/>
  <c r="RIL1599" i="1"/>
  <c r="RIK1599" i="1"/>
  <c r="RIJ1599" i="1"/>
  <c r="RII1599" i="1"/>
  <c r="RIH1599" i="1"/>
  <c r="RIG1599" i="1"/>
  <c r="RIF1599" i="1"/>
  <c r="RIE1599" i="1"/>
  <c r="RID1599" i="1"/>
  <c r="RIC1599" i="1"/>
  <c r="RIB1599" i="1"/>
  <c r="RIA1599" i="1"/>
  <c r="RHZ1599" i="1"/>
  <c r="RHY1599" i="1"/>
  <c r="RHX1599" i="1"/>
  <c r="RHW1599" i="1"/>
  <c r="RHV1599" i="1"/>
  <c r="RHU1599" i="1"/>
  <c r="RHT1599" i="1"/>
  <c r="RHS1599" i="1"/>
  <c r="RHR1599" i="1"/>
  <c r="RHQ1599" i="1"/>
  <c r="RHP1599" i="1"/>
  <c r="RHO1599" i="1"/>
  <c r="RHN1599" i="1"/>
  <c r="RHM1599" i="1"/>
  <c r="RHL1599" i="1"/>
  <c r="RHK1599" i="1"/>
  <c r="RHJ1599" i="1"/>
  <c r="RHI1599" i="1"/>
  <c r="RHH1599" i="1"/>
  <c r="RHG1599" i="1"/>
  <c r="RHF1599" i="1"/>
  <c r="RHE1599" i="1"/>
  <c r="RHD1599" i="1"/>
  <c r="RHC1599" i="1"/>
  <c r="RHB1599" i="1"/>
  <c r="RHA1599" i="1"/>
  <c r="RGZ1599" i="1"/>
  <c r="RGY1599" i="1"/>
  <c r="RGX1599" i="1"/>
  <c r="RGW1599" i="1"/>
  <c r="RGV1599" i="1"/>
  <c r="RGU1599" i="1"/>
  <c r="RGT1599" i="1"/>
  <c r="RGS1599" i="1"/>
  <c r="RGR1599" i="1"/>
  <c r="RGQ1599" i="1"/>
  <c r="RGP1599" i="1"/>
  <c r="RGO1599" i="1"/>
  <c r="RGN1599" i="1"/>
  <c r="RGM1599" i="1"/>
  <c r="RGL1599" i="1"/>
  <c r="RGK1599" i="1"/>
  <c r="RGJ1599" i="1"/>
  <c r="RGI1599" i="1"/>
  <c r="RGH1599" i="1"/>
  <c r="RGG1599" i="1"/>
  <c r="RGF1599" i="1"/>
  <c r="RGE1599" i="1"/>
  <c r="RGD1599" i="1"/>
  <c r="RGC1599" i="1"/>
  <c r="RGB1599" i="1"/>
  <c r="RGA1599" i="1"/>
  <c r="RFZ1599" i="1"/>
  <c r="RFY1599" i="1"/>
  <c r="RFX1599" i="1"/>
  <c r="RFW1599" i="1"/>
  <c r="RFV1599" i="1"/>
  <c r="RFU1599" i="1"/>
  <c r="RFT1599" i="1"/>
  <c r="RFS1599" i="1"/>
  <c r="RFR1599" i="1"/>
  <c r="RFQ1599" i="1"/>
  <c r="RFP1599" i="1"/>
  <c r="RFO1599" i="1"/>
  <c r="RFN1599" i="1"/>
  <c r="RFM1599" i="1"/>
  <c r="RFL1599" i="1"/>
  <c r="RFK1599" i="1"/>
  <c r="RFJ1599" i="1"/>
  <c r="RFI1599" i="1"/>
  <c r="RFH1599" i="1"/>
  <c r="RFG1599" i="1"/>
  <c r="RFF1599" i="1"/>
  <c r="RFE1599" i="1"/>
  <c r="RFD1599" i="1"/>
  <c r="RFC1599" i="1"/>
  <c r="RFB1599" i="1"/>
  <c r="RFA1599" i="1"/>
  <c r="REZ1599" i="1"/>
  <c r="REY1599" i="1"/>
  <c r="REX1599" i="1"/>
  <c r="REW1599" i="1"/>
  <c r="REV1599" i="1"/>
  <c r="REU1599" i="1"/>
  <c r="RET1599" i="1"/>
  <c r="RES1599" i="1"/>
  <c r="RER1599" i="1"/>
  <c r="REQ1599" i="1"/>
  <c r="REP1599" i="1"/>
  <c r="REO1599" i="1"/>
  <c r="REN1599" i="1"/>
  <c r="REM1599" i="1"/>
  <c r="REL1599" i="1"/>
  <c r="REK1599" i="1"/>
  <c r="REJ1599" i="1"/>
  <c r="REI1599" i="1"/>
  <c r="REH1599" i="1"/>
  <c r="REG1599" i="1"/>
  <c r="REF1599" i="1"/>
  <c r="REE1599" i="1"/>
  <c r="RED1599" i="1"/>
  <c r="REC1599" i="1"/>
  <c r="REB1599" i="1"/>
  <c r="REA1599" i="1"/>
  <c r="RDZ1599" i="1"/>
  <c r="RDY1599" i="1"/>
  <c r="RDX1599" i="1"/>
  <c r="RDW1599" i="1"/>
  <c r="RDV1599" i="1"/>
  <c r="RDU1599" i="1"/>
  <c r="RDT1599" i="1"/>
  <c r="RDS1599" i="1"/>
  <c r="RDR1599" i="1"/>
  <c r="RDQ1599" i="1"/>
  <c r="RDP1599" i="1"/>
  <c r="RDO1599" i="1"/>
  <c r="RDN1599" i="1"/>
  <c r="RDM1599" i="1"/>
  <c r="RDL1599" i="1"/>
  <c r="RDK1599" i="1"/>
  <c r="RDJ1599" i="1"/>
  <c r="RDI1599" i="1"/>
  <c r="RDH1599" i="1"/>
  <c r="RDG1599" i="1"/>
  <c r="RDF1599" i="1"/>
  <c r="RDE1599" i="1"/>
  <c r="RDD1599" i="1"/>
  <c r="RDC1599" i="1"/>
  <c r="RDB1599" i="1"/>
  <c r="RDA1599" i="1"/>
  <c r="RCZ1599" i="1"/>
  <c r="RCY1599" i="1"/>
  <c r="RCX1599" i="1"/>
  <c r="RCW1599" i="1"/>
  <c r="RCV1599" i="1"/>
  <c r="RCU1599" i="1"/>
  <c r="RCT1599" i="1"/>
  <c r="RCS1599" i="1"/>
  <c r="RCR1599" i="1"/>
  <c r="RCQ1599" i="1"/>
  <c r="RCP1599" i="1"/>
  <c r="RCO1599" i="1"/>
  <c r="RCN1599" i="1"/>
  <c r="RCM1599" i="1"/>
  <c r="RCL1599" i="1"/>
  <c r="RCK1599" i="1"/>
  <c r="RCJ1599" i="1"/>
  <c r="RCI1599" i="1"/>
  <c r="RCH1599" i="1"/>
  <c r="RCG1599" i="1"/>
  <c r="RCF1599" i="1"/>
  <c r="RCE1599" i="1"/>
  <c r="RCD1599" i="1"/>
  <c r="RCC1599" i="1"/>
  <c r="RCB1599" i="1"/>
  <c r="RCA1599" i="1"/>
  <c r="RBZ1599" i="1"/>
  <c r="RBY1599" i="1"/>
  <c r="RBX1599" i="1"/>
  <c r="RBW1599" i="1"/>
  <c r="RBV1599" i="1"/>
  <c r="RBU1599" i="1"/>
  <c r="RBT1599" i="1"/>
  <c r="RBS1599" i="1"/>
  <c r="RBR1599" i="1"/>
  <c r="RBQ1599" i="1"/>
  <c r="RBP1599" i="1"/>
  <c r="RBO1599" i="1"/>
  <c r="RBN1599" i="1"/>
  <c r="RBM1599" i="1"/>
  <c r="RBL1599" i="1"/>
  <c r="RBK1599" i="1"/>
  <c r="RBJ1599" i="1"/>
  <c r="RBI1599" i="1"/>
  <c r="RBH1599" i="1"/>
  <c r="RBG1599" i="1"/>
  <c r="RBF1599" i="1"/>
  <c r="RBE1599" i="1"/>
  <c r="RBD1599" i="1"/>
  <c r="RBC1599" i="1"/>
  <c r="RBB1599" i="1"/>
  <c r="RBA1599" i="1"/>
  <c r="RAZ1599" i="1"/>
  <c r="RAY1599" i="1"/>
  <c r="RAX1599" i="1"/>
  <c r="RAW1599" i="1"/>
  <c r="RAV1599" i="1"/>
  <c r="RAU1599" i="1"/>
  <c r="RAT1599" i="1"/>
  <c r="RAS1599" i="1"/>
  <c r="RAR1599" i="1"/>
  <c r="RAQ1599" i="1"/>
  <c r="RAP1599" i="1"/>
  <c r="RAO1599" i="1"/>
  <c r="RAN1599" i="1"/>
  <c r="RAM1599" i="1"/>
  <c r="RAL1599" i="1"/>
  <c r="RAK1599" i="1"/>
  <c r="RAJ1599" i="1"/>
  <c r="RAI1599" i="1"/>
  <c r="RAH1599" i="1"/>
  <c r="RAG1599" i="1"/>
  <c r="RAF1599" i="1"/>
  <c r="RAE1599" i="1"/>
  <c r="RAD1599" i="1"/>
  <c r="RAC1599" i="1"/>
  <c r="RAB1599" i="1"/>
  <c r="RAA1599" i="1"/>
  <c r="QZZ1599" i="1"/>
  <c r="QZY1599" i="1"/>
  <c r="QZX1599" i="1"/>
  <c r="QZW1599" i="1"/>
  <c r="QZV1599" i="1"/>
  <c r="QZU1599" i="1"/>
  <c r="QZT1599" i="1"/>
  <c r="QZS1599" i="1"/>
  <c r="QZR1599" i="1"/>
  <c r="QZQ1599" i="1"/>
  <c r="QZP1599" i="1"/>
  <c r="QZO1599" i="1"/>
  <c r="QZN1599" i="1"/>
  <c r="QZM1599" i="1"/>
  <c r="QZL1599" i="1"/>
  <c r="QZK1599" i="1"/>
  <c r="QZJ1599" i="1"/>
  <c r="QZI1599" i="1"/>
  <c r="QZH1599" i="1"/>
  <c r="QZG1599" i="1"/>
  <c r="QZF1599" i="1"/>
  <c r="QZE1599" i="1"/>
  <c r="QZD1599" i="1"/>
  <c r="QZC1599" i="1"/>
  <c r="QZB1599" i="1"/>
  <c r="QZA1599" i="1"/>
  <c r="QYZ1599" i="1"/>
  <c r="QYY1599" i="1"/>
  <c r="QYX1599" i="1"/>
  <c r="QYW1599" i="1"/>
  <c r="QYV1599" i="1"/>
  <c r="QYU1599" i="1"/>
  <c r="QYT1599" i="1"/>
  <c r="QYS1599" i="1"/>
  <c r="QYR1599" i="1"/>
  <c r="QYQ1599" i="1"/>
  <c r="QYP1599" i="1"/>
  <c r="QYO1599" i="1"/>
  <c r="QYN1599" i="1"/>
  <c r="QYM1599" i="1"/>
  <c r="QYL1599" i="1"/>
  <c r="QYK1599" i="1"/>
  <c r="QYJ1599" i="1"/>
  <c r="QYI1599" i="1"/>
  <c r="QYH1599" i="1"/>
  <c r="QYG1599" i="1"/>
  <c r="QYF1599" i="1"/>
  <c r="QYE1599" i="1"/>
  <c r="QYD1599" i="1"/>
  <c r="QYC1599" i="1"/>
  <c r="QYB1599" i="1"/>
  <c r="QYA1599" i="1"/>
  <c r="QXZ1599" i="1"/>
  <c r="QXY1599" i="1"/>
  <c r="QXX1599" i="1"/>
  <c r="QXW1599" i="1"/>
  <c r="QXV1599" i="1"/>
  <c r="QXU1599" i="1"/>
  <c r="QXT1599" i="1"/>
  <c r="QXS1599" i="1"/>
  <c r="QXR1599" i="1"/>
  <c r="QXQ1599" i="1"/>
  <c r="QXP1599" i="1"/>
  <c r="QXO1599" i="1"/>
  <c r="QXN1599" i="1"/>
  <c r="QXM1599" i="1"/>
  <c r="QXL1599" i="1"/>
  <c r="QXK1599" i="1"/>
  <c r="QXJ1599" i="1"/>
  <c r="QXI1599" i="1"/>
  <c r="QXH1599" i="1"/>
  <c r="QXG1599" i="1"/>
  <c r="QXF1599" i="1"/>
  <c r="QXE1599" i="1"/>
  <c r="QXD1599" i="1"/>
  <c r="QXC1599" i="1"/>
  <c r="QXB1599" i="1"/>
  <c r="QXA1599" i="1"/>
  <c r="QWZ1599" i="1"/>
  <c r="QWY1599" i="1"/>
  <c r="QWX1599" i="1"/>
  <c r="QWW1599" i="1"/>
  <c r="QWV1599" i="1"/>
  <c r="QWU1599" i="1"/>
  <c r="QWT1599" i="1"/>
  <c r="QWS1599" i="1"/>
  <c r="QWR1599" i="1"/>
  <c r="QWQ1599" i="1"/>
  <c r="QWP1599" i="1"/>
  <c r="QWO1599" i="1"/>
  <c r="QWN1599" i="1"/>
  <c r="QWM1599" i="1"/>
  <c r="QWL1599" i="1"/>
  <c r="QWK1599" i="1"/>
  <c r="QWJ1599" i="1"/>
  <c r="QWI1599" i="1"/>
  <c r="QWH1599" i="1"/>
  <c r="QWG1599" i="1"/>
  <c r="QWF1599" i="1"/>
  <c r="QWE1599" i="1"/>
  <c r="QWD1599" i="1"/>
  <c r="QWC1599" i="1"/>
  <c r="QWB1599" i="1"/>
  <c r="QWA1599" i="1"/>
  <c r="QVZ1599" i="1"/>
  <c r="QVY1599" i="1"/>
  <c r="QVX1599" i="1"/>
  <c r="QVW1599" i="1"/>
  <c r="QVV1599" i="1"/>
  <c r="QVU1599" i="1"/>
  <c r="QVT1599" i="1"/>
  <c r="QVS1599" i="1"/>
  <c r="QVR1599" i="1"/>
  <c r="QVQ1599" i="1"/>
  <c r="QVP1599" i="1"/>
  <c r="QVO1599" i="1"/>
  <c r="QVN1599" i="1"/>
  <c r="QVM1599" i="1"/>
  <c r="QVL1599" i="1"/>
  <c r="QVK1599" i="1"/>
  <c r="QVJ1599" i="1"/>
  <c r="QVI1599" i="1"/>
  <c r="QVH1599" i="1"/>
  <c r="QVG1599" i="1"/>
  <c r="QVF1599" i="1"/>
  <c r="QVE1599" i="1"/>
  <c r="QVD1599" i="1"/>
  <c r="QVC1599" i="1"/>
  <c r="QVB1599" i="1"/>
  <c r="QVA1599" i="1"/>
  <c r="QUZ1599" i="1"/>
  <c r="QUY1599" i="1"/>
  <c r="QUX1599" i="1"/>
  <c r="QUW1599" i="1"/>
  <c r="QUV1599" i="1"/>
  <c r="QUU1599" i="1"/>
  <c r="QUT1599" i="1"/>
  <c r="QUS1599" i="1"/>
  <c r="QUR1599" i="1"/>
  <c r="QUQ1599" i="1"/>
  <c r="QUP1599" i="1"/>
  <c r="QUO1599" i="1"/>
  <c r="QUN1599" i="1"/>
  <c r="QUM1599" i="1"/>
  <c r="QUL1599" i="1"/>
  <c r="QUK1599" i="1"/>
  <c r="QUJ1599" i="1"/>
  <c r="QUI1599" i="1"/>
  <c r="QUH1599" i="1"/>
  <c r="QUG1599" i="1"/>
  <c r="QUF1599" i="1"/>
  <c r="QUE1599" i="1"/>
  <c r="QUD1599" i="1"/>
  <c r="QUC1599" i="1"/>
  <c r="QUB1599" i="1"/>
  <c r="QUA1599" i="1"/>
  <c r="QTZ1599" i="1"/>
  <c r="QTY1599" i="1"/>
  <c r="QTX1599" i="1"/>
  <c r="QTW1599" i="1"/>
  <c r="QTV1599" i="1"/>
  <c r="QTU1599" i="1"/>
  <c r="QTT1599" i="1"/>
  <c r="QTS1599" i="1"/>
  <c r="QTR1599" i="1"/>
  <c r="QTQ1599" i="1"/>
  <c r="QTP1599" i="1"/>
  <c r="QTO1599" i="1"/>
  <c r="QTN1599" i="1"/>
  <c r="QTM1599" i="1"/>
  <c r="QTL1599" i="1"/>
  <c r="QTK1599" i="1"/>
  <c r="QTJ1599" i="1"/>
  <c r="QTI1599" i="1"/>
  <c r="QTH1599" i="1"/>
  <c r="QTG1599" i="1"/>
  <c r="QTF1599" i="1"/>
  <c r="QTE1599" i="1"/>
  <c r="QTD1599" i="1"/>
  <c r="QTC1599" i="1"/>
  <c r="QTB1599" i="1"/>
  <c r="QTA1599" i="1"/>
  <c r="QSZ1599" i="1"/>
  <c r="QSY1599" i="1"/>
  <c r="QSX1599" i="1"/>
  <c r="QSW1599" i="1"/>
  <c r="QSV1599" i="1"/>
  <c r="QSU1599" i="1"/>
  <c r="QST1599" i="1"/>
  <c r="QSS1599" i="1"/>
  <c r="QSR1599" i="1"/>
  <c r="QSQ1599" i="1"/>
  <c r="QSP1599" i="1"/>
  <c r="QSO1599" i="1"/>
  <c r="QSN1599" i="1"/>
  <c r="QSM1599" i="1"/>
  <c r="QSL1599" i="1"/>
  <c r="QSK1599" i="1"/>
  <c r="QSJ1599" i="1"/>
  <c r="QSI1599" i="1"/>
  <c r="QSH1599" i="1"/>
  <c r="QSG1599" i="1"/>
  <c r="QSF1599" i="1"/>
  <c r="QSE1599" i="1"/>
  <c r="QSD1599" i="1"/>
  <c r="QSC1599" i="1"/>
  <c r="QSB1599" i="1"/>
  <c r="QSA1599" i="1"/>
  <c r="QRZ1599" i="1"/>
  <c r="QRY1599" i="1"/>
  <c r="QRX1599" i="1"/>
  <c r="QRW1599" i="1"/>
  <c r="QRV1599" i="1"/>
  <c r="QRU1599" i="1"/>
  <c r="QRT1599" i="1"/>
  <c r="QRS1599" i="1"/>
  <c r="QRR1599" i="1"/>
  <c r="QRQ1599" i="1"/>
  <c r="QRP1599" i="1"/>
  <c r="QRO1599" i="1"/>
  <c r="QRN1599" i="1"/>
  <c r="QRM1599" i="1"/>
  <c r="QRL1599" i="1"/>
  <c r="QRK1599" i="1"/>
  <c r="QRJ1599" i="1"/>
  <c r="QRI1599" i="1"/>
  <c r="QRH1599" i="1"/>
  <c r="QRG1599" i="1"/>
  <c r="QRF1599" i="1"/>
  <c r="QRE1599" i="1"/>
  <c r="QRD1599" i="1"/>
  <c r="QRC1599" i="1"/>
  <c r="QRB1599" i="1"/>
  <c r="QRA1599" i="1"/>
  <c r="QQZ1599" i="1"/>
  <c r="QQY1599" i="1"/>
  <c r="QQX1599" i="1"/>
  <c r="QQW1599" i="1"/>
  <c r="QQV1599" i="1"/>
  <c r="QQU1599" i="1"/>
  <c r="QQT1599" i="1"/>
  <c r="QQS1599" i="1"/>
  <c r="QQR1599" i="1"/>
  <c r="QQQ1599" i="1"/>
  <c r="QQP1599" i="1"/>
  <c r="QQO1599" i="1"/>
  <c r="QQN1599" i="1"/>
  <c r="QQM1599" i="1"/>
  <c r="QQL1599" i="1"/>
  <c r="QQK1599" i="1"/>
  <c r="QQJ1599" i="1"/>
  <c r="QQI1599" i="1"/>
  <c r="QQH1599" i="1"/>
  <c r="QQG1599" i="1"/>
  <c r="QQF1599" i="1"/>
  <c r="QQE1599" i="1"/>
  <c r="QQD1599" i="1"/>
  <c r="QQC1599" i="1"/>
  <c r="QQB1599" i="1"/>
  <c r="QQA1599" i="1"/>
  <c r="QPZ1599" i="1"/>
  <c r="QPY1599" i="1"/>
  <c r="QPX1599" i="1"/>
  <c r="QPW1599" i="1"/>
  <c r="QPV1599" i="1"/>
  <c r="QPU1599" i="1"/>
  <c r="QPT1599" i="1"/>
  <c r="QPS1599" i="1"/>
  <c r="QPR1599" i="1"/>
  <c r="QPQ1599" i="1"/>
  <c r="QPP1599" i="1"/>
  <c r="QPO1599" i="1"/>
  <c r="QPN1599" i="1"/>
  <c r="QPM1599" i="1"/>
  <c r="QPL1599" i="1"/>
  <c r="QPK1599" i="1"/>
  <c r="QPJ1599" i="1"/>
  <c r="QPI1599" i="1"/>
  <c r="QPH1599" i="1"/>
  <c r="QPG1599" i="1"/>
  <c r="QPF1599" i="1"/>
  <c r="QPE1599" i="1"/>
  <c r="QPD1599" i="1"/>
  <c r="QPC1599" i="1"/>
  <c r="QPB1599" i="1"/>
  <c r="QPA1599" i="1"/>
  <c r="QOZ1599" i="1"/>
  <c r="QOY1599" i="1"/>
  <c r="QOX1599" i="1"/>
  <c r="QOW1599" i="1"/>
  <c r="QOV1599" i="1"/>
  <c r="QOU1599" i="1"/>
  <c r="QOT1599" i="1"/>
  <c r="QOS1599" i="1"/>
  <c r="QOR1599" i="1"/>
  <c r="QOQ1599" i="1"/>
  <c r="QOP1599" i="1"/>
  <c r="QOO1599" i="1"/>
  <c r="QON1599" i="1"/>
  <c r="QOM1599" i="1"/>
  <c r="QOL1599" i="1"/>
  <c r="QOK1599" i="1"/>
  <c r="QOJ1599" i="1"/>
  <c r="QOI1599" i="1"/>
  <c r="QOH1599" i="1"/>
  <c r="QOG1599" i="1"/>
  <c r="QOF1599" i="1"/>
  <c r="QOE1599" i="1"/>
  <c r="QOD1599" i="1"/>
  <c r="QOC1599" i="1"/>
  <c r="QOB1599" i="1"/>
  <c r="QOA1599" i="1"/>
  <c r="QNZ1599" i="1"/>
  <c r="QNY1599" i="1"/>
  <c r="QNX1599" i="1"/>
  <c r="QNW1599" i="1"/>
  <c r="QNV1599" i="1"/>
  <c r="QNU1599" i="1"/>
  <c r="QNT1599" i="1"/>
  <c r="QNS1599" i="1"/>
  <c r="QNR1599" i="1"/>
  <c r="QNQ1599" i="1"/>
  <c r="QNP1599" i="1"/>
  <c r="QNO1599" i="1"/>
  <c r="QNN1599" i="1"/>
  <c r="QNM1599" i="1"/>
  <c r="QNL1599" i="1"/>
  <c r="QNK1599" i="1"/>
  <c r="QNJ1599" i="1"/>
  <c r="QNI1599" i="1"/>
  <c r="QNH1599" i="1"/>
  <c r="QNG1599" i="1"/>
  <c r="QNF1599" i="1"/>
  <c r="QNE1599" i="1"/>
  <c r="QND1599" i="1"/>
  <c r="QNC1599" i="1"/>
  <c r="QNB1599" i="1"/>
  <c r="QNA1599" i="1"/>
  <c r="QMZ1599" i="1"/>
  <c r="QMY1599" i="1"/>
  <c r="QMX1599" i="1"/>
  <c r="QMW1599" i="1"/>
  <c r="QMV1599" i="1"/>
  <c r="QMU1599" i="1"/>
  <c r="QMT1599" i="1"/>
  <c r="QMS1599" i="1"/>
  <c r="QMR1599" i="1"/>
  <c r="QMQ1599" i="1"/>
  <c r="QMP1599" i="1"/>
  <c r="QMO1599" i="1"/>
  <c r="QMN1599" i="1"/>
  <c r="QMM1599" i="1"/>
  <c r="QML1599" i="1"/>
  <c r="QMK1599" i="1"/>
  <c r="QMJ1599" i="1"/>
  <c r="QMI1599" i="1"/>
  <c r="QMH1599" i="1"/>
  <c r="QMG1599" i="1"/>
  <c r="QMF1599" i="1"/>
  <c r="QME1599" i="1"/>
  <c r="QMD1599" i="1"/>
  <c r="QMC1599" i="1"/>
  <c r="QMB1599" i="1"/>
  <c r="QMA1599" i="1"/>
  <c r="QLZ1599" i="1"/>
  <c r="QLY1599" i="1"/>
  <c r="QLX1599" i="1"/>
  <c r="QLW1599" i="1"/>
  <c r="QLV1599" i="1"/>
  <c r="QLU1599" i="1"/>
  <c r="QLT1599" i="1"/>
  <c r="QLS1599" i="1"/>
  <c r="QLR1599" i="1"/>
  <c r="QLQ1599" i="1"/>
  <c r="QLP1599" i="1"/>
  <c r="QLO1599" i="1"/>
  <c r="QLN1599" i="1"/>
  <c r="QLM1599" i="1"/>
  <c r="QLL1599" i="1"/>
  <c r="QLK1599" i="1"/>
  <c r="QLJ1599" i="1"/>
  <c r="QLI1599" i="1"/>
  <c r="QLH1599" i="1"/>
  <c r="QLG1599" i="1"/>
  <c r="QLF1599" i="1"/>
  <c r="QLE1599" i="1"/>
  <c r="QLD1599" i="1"/>
  <c r="QLC1599" i="1"/>
  <c r="QLB1599" i="1"/>
  <c r="QLA1599" i="1"/>
  <c r="QKZ1599" i="1"/>
  <c r="QKY1599" i="1"/>
  <c r="QKX1599" i="1"/>
  <c r="QKW1599" i="1"/>
  <c r="QKV1599" i="1"/>
  <c r="QKU1599" i="1"/>
  <c r="QKT1599" i="1"/>
  <c r="QKS1599" i="1"/>
  <c r="QKR1599" i="1"/>
  <c r="QKQ1599" i="1"/>
  <c r="QKP1599" i="1"/>
  <c r="QKO1599" i="1"/>
  <c r="QKN1599" i="1"/>
  <c r="QKM1599" i="1"/>
  <c r="QKL1599" i="1"/>
  <c r="QKK1599" i="1"/>
  <c r="QKJ1599" i="1"/>
  <c r="QKI1599" i="1"/>
  <c r="QKH1599" i="1"/>
  <c r="QKG1599" i="1"/>
  <c r="QKF1599" i="1"/>
  <c r="QKE1599" i="1"/>
  <c r="QKD1599" i="1"/>
  <c r="QKC1599" i="1"/>
  <c r="QKB1599" i="1"/>
  <c r="QKA1599" i="1"/>
  <c r="QJZ1599" i="1"/>
  <c r="QJY1599" i="1"/>
  <c r="QJX1599" i="1"/>
  <c r="QJW1599" i="1"/>
  <c r="QJV1599" i="1"/>
  <c r="QJU1599" i="1"/>
  <c r="QJT1599" i="1"/>
  <c r="QJS1599" i="1"/>
  <c r="QJR1599" i="1"/>
  <c r="QJQ1599" i="1"/>
  <c r="QJP1599" i="1"/>
  <c r="QJO1599" i="1"/>
  <c r="QJN1599" i="1"/>
  <c r="QJM1599" i="1"/>
  <c r="QJL1599" i="1"/>
  <c r="QJK1599" i="1"/>
  <c r="QJJ1599" i="1"/>
  <c r="QJI1599" i="1"/>
  <c r="QJH1599" i="1"/>
  <c r="QJG1599" i="1"/>
  <c r="QJF1599" i="1"/>
  <c r="QJE1599" i="1"/>
  <c r="QJD1599" i="1"/>
  <c r="QJC1599" i="1"/>
  <c r="QJB1599" i="1"/>
  <c r="QJA1599" i="1"/>
  <c r="QIZ1599" i="1"/>
  <c r="QIY1599" i="1"/>
  <c r="QIX1599" i="1"/>
  <c r="QIW1599" i="1"/>
  <c r="QIV1599" i="1"/>
  <c r="QIU1599" i="1"/>
  <c r="QIT1599" i="1"/>
  <c r="QIS1599" i="1"/>
  <c r="QIR1599" i="1"/>
  <c r="QIQ1599" i="1"/>
  <c r="QIP1599" i="1"/>
  <c r="QIO1599" i="1"/>
  <c r="QIN1599" i="1"/>
  <c r="QIM1599" i="1"/>
  <c r="QIL1599" i="1"/>
  <c r="QIK1599" i="1"/>
  <c r="QIJ1599" i="1"/>
  <c r="QII1599" i="1"/>
  <c r="QIH1599" i="1"/>
  <c r="QIG1599" i="1"/>
  <c r="QIF1599" i="1"/>
  <c r="QIE1599" i="1"/>
  <c r="QID1599" i="1"/>
  <c r="QIC1599" i="1"/>
  <c r="QIB1599" i="1"/>
  <c r="QIA1599" i="1"/>
  <c r="QHZ1599" i="1"/>
  <c r="QHY1599" i="1"/>
  <c r="QHX1599" i="1"/>
  <c r="QHW1599" i="1"/>
  <c r="QHV1599" i="1"/>
  <c r="QHU1599" i="1"/>
  <c r="QHT1599" i="1"/>
  <c r="QHS1599" i="1"/>
  <c r="QHR1599" i="1"/>
  <c r="QHQ1599" i="1"/>
  <c r="QHP1599" i="1"/>
  <c r="QHO1599" i="1"/>
  <c r="QHN1599" i="1"/>
  <c r="QHM1599" i="1"/>
  <c r="QHL1599" i="1"/>
  <c r="QHK1599" i="1"/>
  <c r="QHJ1599" i="1"/>
  <c r="QHI1599" i="1"/>
  <c r="QHH1599" i="1"/>
  <c r="QHG1599" i="1"/>
  <c r="QHF1599" i="1"/>
  <c r="QHE1599" i="1"/>
  <c r="QHD1599" i="1"/>
  <c r="QHC1599" i="1"/>
  <c r="QHB1599" i="1"/>
  <c r="QHA1599" i="1"/>
  <c r="QGZ1599" i="1"/>
  <c r="QGY1599" i="1"/>
  <c r="QGX1599" i="1"/>
  <c r="QGW1599" i="1"/>
  <c r="QGV1599" i="1"/>
  <c r="QGU1599" i="1"/>
  <c r="QGT1599" i="1"/>
  <c r="QGS1599" i="1"/>
  <c r="QGR1599" i="1"/>
  <c r="QGQ1599" i="1"/>
  <c r="QGP1599" i="1"/>
  <c r="QGO1599" i="1"/>
  <c r="QGN1599" i="1"/>
  <c r="QGM1599" i="1"/>
  <c r="QGL1599" i="1"/>
  <c r="QGK1599" i="1"/>
  <c r="QGJ1599" i="1"/>
  <c r="QGI1599" i="1"/>
  <c r="QGH1599" i="1"/>
  <c r="QGG1599" i="1"/>
  <c r="QGF1599" i="1"/>
  <c r="QGE1599" i="1"/>
  <c r="QGD1599" i="1"/>
  <c r="QGC1599" i="1"/>
  <c r="QGB1599" i="1"/>
  <c r="QGA1599" i="1"/>
  <c r="QFZ1599" i="1"/>
  <c r="QFY1599" i="1"/>
  <c r="QFX1599" i="1"/>
  <c r="QFW1599" i="1"/>
  <c r="QFV1599" i="1"/>
  <c r="QFU1599" i="1"/>
  <c r="QFT1599" i="1"/>
  <c r="QFS1599" i="1"/>
  <c r="QFR1599" i="1"/>
  <c r="QFQ1599" i="1"/>
  <c r="QFP1599" i="1"/>
  <c r="QFO1599" i="1"/>
  <c r="QFN1599" i="1"/>
  <c r="QFM1599" i="1"/>
  <c r="QFL1599" i="1"/>
  <c r="QFK1599" i="1"/>
  <c r="QFJ1599" i="1"/>
  <c r="QFI1599" i="1"/>
  <c r="QFH1599" i="1"/>
  <c r="QFG1599" i="1"/>
  <c r="QFF1599" i="1"/>
  <c r="QFE1599" i="1"/>
  <c r="QFD1599" i="1"/>
  <c r="QFC1599" i="1"/>
  <c r="QFB1599" i="1"/>
  <c r="QFA1599" i="1"/>
  <c r="QEZ1599" i="1"/>
  <c r="QEY1599" i="1"/>
  <c r="QEX1599" i="1"/>
  <c r="QEW1599" i="1"/>
  <c r="QEV1599" i="1"/>
  <c r="QEU1599" i="1"/>
  <c r="QET1599" i="1"/>
  <c r="QES1599" i="1"/>
  <c r="QER1599" i="1"/>
  <c r="QEQ1599" i="1"/>
  <c r="QEP1599" i="1"/>
  <c r="QEO1599" i="1"/>
  <c r="QEN1599" i="1"/>
  <c r="QEM1599" i="1"/>
  <c r="QEL1599" i="1"/>
  <c r="QEK1599" i="1"/>
  <c r="QEJ1599" i="1"/>
  <c r="QEI1599" i="1"/>
  <c r="QEH1599" i="1"/>
  <c r="QEG1599" i="1"/>
  <c r="QEF1599" i="1"/>
  <c r="QEE1599" i="1"/>
  <c r="QED1599" i="1"/>
  <c r="QEC1599" i="1"/>
  <c r="QEB1599" i="1"/>
  <c r="QEA1599" i="1"/>
  <c r="QDZ1599" i="1"/>
  <c r="QDY1599" i="1"/>
  <c r="QDX1599" i="1"/>
  <c r="QDW1599" i="1"/>
  <c r="QDV1599" i="1"/>
  <c r="QDU1599" i="1"/>
  <c r="QDT1599" i="1"/>
  <c r="QDS1599" i="1"/>
  <c r="QDR1599" i="1"/>
  <c r="QDQ1599" i="1"/>
  <c r="QDP1599" i="1"/>
  <c r="QDO1599" i="1"/>
  <c r="QDN1599" i="1"/>
  <c r="QDM1599" i="1"/>
  <c r="QDL1599" i="1"/>
  <c r="QDK1599" i="1"/>
  <c r="QDJ1599" i="1"/>
  <c r="QDI1599" i="1"/>
  <c r="QDH1599" i="1"/>
  <c r="QDG1599" i="1"/>
  <c r="QDF1599" i="1"/>
  <c r="QDE1599" i="1"/>
  <c r="QDD1599" i="1"/>
  <c r="QDC1599" i="1"/>
  <c r="QDB1599" i="1"/>
  <c r="QDA1599" i="1"/>
  <c r="QCZ1599" i="1"/>
  <c r="QCY1599" i="1"/>
  <c r="QCX1599" i="1"/>
  <c r="QCW1599" i="1"/>
  <c r="QCV1599" i="1"/>
  <c r="QCU1599" i="1"/>
  <c r="QCT1599" i="1"/>
  <c r="QCS1599" i="1"/>
  <c r="QCR1599" i="1"/>
  <c r="QCQ1599" i="1"/>
  <c r="QCP1599" i="1"/>
  <c r="QCO1599" i="1"/>
  <c r="QCN1599" i="1"/>
  <c r="QCM1599" i="1"/>
  <c r="QCL1599" i="1"/>
  <c r="QCK1599" i="1"/>
  <c r="QCJ1599" i="1"/>
  <c r="QCI1599" i="1"/>
  <c r="QCH1599" i="1"/>
  <c r="QCG1599" i="1"/>
  <c r="QCF1599" i="1"/>
  <c r="QCE1599" i="1"/>
  <c r="QCD1599" i="1"/>
  <c r="QCC1599" i="1"/>
  <c r="QCB1599" i="1"/>
  <c r="QCA1599" i="1"/>
  <c r="QBZ1599" i="1"/>
  <c r="QBY1599" i="1"/>
  <c r="QBX1599" i="1"/>
  <c r="QBW1599" i="1"/>
  <c r="QBV1599" i="1"/>
  <c r="QBU1599" i="1"/>
  <c r="QBT1599" i="1"/>
  <c r="QBS1599" i="1"/>
  <c r="QBR1599" i="1"/>
  <c r="QBQ1599" i="1"/>
  <c r="QBP1599" i="1"/>
  <c r="QBO1599" i="1"/>
  <c r="QBN1599" i="1"/>
  <c r="QBM1599" i="1"/>
  <c r="QBL1599" i="1"/>
  <c r="QBK1599" i="1"/>
  <c r="QBJ1599" i="1"/>
  <c r="QBI1599" i="1"/>
  <c r="QBH1599" i="1"/>
  <c r="QBG1599" i="1"/>
  <c r="QBF1599" i="1"/>
  <c r="QBE1599" i="1"/>
  <c r="QBD1599" i="1"/>
  <c r="QBC1599" i="1"/>
  <c r="QBB1599" i="1"/>
  <c r="QBA1599" i="1"/>
  <c r="QAZ1599" i="1"/>
  <c r="QAY1599" i="1"/>
  <c r="QAX1599" i="1"/>
  <c r="QAW1599" i="1"/>
  <c r="QAV1599" i="1"/>
  <c r="QAU1599" i="1"/>
  <c r="QAT1599" i="1"/>
  <c r="QAS1599" i="1"/>
  <c r="QAR1599" i="1"/>
  <c r="QAQ1599" i="1"/>
  <c r="QAP1599" i="1"/>
  <c r="QAO1599" i="1"/>
  <c r="QAN1599" i="1"/>
  <c r="QAM1599" i="1"/>
  <c r="QAL1599" i="1"/>
  <c r="QAK1599" i="1"/>
  <c r="QAJ1599" i="1"/>
  <c r="QAI1599" i="1"/>
  <c r="QAH1599" i="1"/>
  <c r="QAG1599" i="1"/>
  <c r="QAF1599" i="1"/>
  <c r="QAE1599" i="1"/>
  <c r="QAD1599" i="1"/>
  <c r="QAC1599" i="1"/>
  <c r="QAB1599" i="1"/>
  <c r="QAA1599" i="1"/>
  <c r="PZZ1599" i="1"/>
  <c r="PZY1599" i="1"/>
  <c r="PZX1599" i="1"/>
  <c r="PZW1599" i="1"/>
  <c r="PZV1599" i="1"/>
  <c r="PZU1599" i="1"/>
  <c r="PZT1599" i="1"/>
  <c r="PZS1599" i="1"/>
  <c r="PZR1599" i="1"/>
  <c r="PZQ1599" i="1"/>
  <c r="PZP1599" i="1"/>
  <c r="PZO1599" i="1"/>
  <c r="PZN1599" i="1"/>
  <c r="PZM1599" i="1"/>
  <c r="PZL1599" i="1"/>
  <c r="PZK1599" i="1"/>
  <c r="PZJ1599" i="1"/>
  <c r="PZI1599" i="1"/>
  <c r="PZH1599" i="1"/>
  <c r="PZG1599" i="1"/>
  <c r="PZF1599" i="1"/>
  <c r="PZE1599" i="1"/>
  <c r="PZD1599" i="1"/>
  <c r="PZC1599" i="1"/>
  <c r="PZB1599" i="1"/>
  <c r="PZA1599" i="1"/>
  <c r="PYZ1599" i="1"/>
  <c r="PYY1599" i="1"/>
  <c r="PYX1599" i="1"/>
  <c r="PYW1599" i="1"/>
  <c r="PYV1599" i="1"/>
  <c r="PYU1599" i="1"/>
  <c r="PYT1599" i="1"/>
  <c r="PYS1599" i="1"/>
  <c r="PYR1599" i="1"/>
  <c r="PYQ1599" i="1"/>
  <c r="PYP1599" i="1"/>
  <c r="PYO1599" i="1"/>
  <c r="PYN1599" i="1"/>
  <c r="PYM1599" i="1"/>
  <c r="PYL1599" i="1"/>
  <c r="PYK1599" i="1"/>
  <c r="PYJ1599" i="1"/>
  <c r="PYI1599" i="1"/>
  <c r="PYH1599" i="1"/>
  <c r="PYG1599" i="1"/>
  <c r="PYF1599" i="1"/>
  <c r="PYE1599" i="1"/>
  <c r="PYD1599" i="1"/>
  <c r="PYC1599" i="1"/>
  <c r="PYB1599" i="1"/>
  <c r="PYA1599" i="1"/>
  <c r="PXZ1599" i="1"/>
  <c r="PXY1599" i="1"/>
  <c r="PXX1599" i="1"/>
  <c r="PXW1599" i="1"/>
  <c r="PXV1599" i="1"/>
  <c r="PXU1599" i="1"/>
  <c r="PXT1599" i="1"/>
  <c r="PXS1599" i="1"/>
  <c r="PXR1599" i="1"/>
  <c r="PXQ1599" i="1"/>
  <c r="PXP1599" i="1"/>
  <c r="PXO1599" i="1"/>
  <c r="PXN1599" i="1"/>
  <c r="PXM1599" i="1"/>
  <c r="PXL1599" i="1"/>
  <c r="PXK1599" i="1"/>
  <c r="PXJ1599" i="1"/>
  <c r="PXI1599" i="1"/>
  <c r="PXH1599" i="1"/>
  <c r="PXG1599" i="1"/>
  <c r="PXF1599" i="1"/>
  <c r="PXE1599" i="1"/>
  <c r="PXD1599" i="1"/>
  <c r="PXC1599" i="1"/>
  <c r="PXB1599" i="1"/>
  <c r="PXA1599" i="1"/>
  <c r="PWZ1599" i="1"/>
  <c r="PWY1599" i="1"/>
  <c r="PWX1599" i="1"/>
  <c r="PWW1599" i="1"/>
  <c r="PWV1599" i="1"/>
  <c r="PWU1599" i="1"/>
  <c r="PWT1599" i="1"/>
  <c r="PWS1599" i="1"/>
  <c r="PWR1599" i="1"/>
  <c r="PWQ1599" i="1"/>
  <c r="PWP1599" i="1"/>
  <c r="PWO1599" i="1"/>
  <c r="PWN1599" i="1"/>
  <c r="PWM1599" i="1"/>
  <c r="PWL1599" i="1"/>
  <c r="PWK1599" i="1"/>
  <c r="PWJ1599" i="1"/>
  <c r="PWI1599" i="1"/>
  <c r="PWH1599" i="1"/>
  <c r="PWG1599" i="1"/>
  <c r="PWF1599" i="1"/>
  <c r="PWE1599" i="1"/>
  <c r="PWD1599" i="1"/>
  <c r="PWC1599" i="1"/>
  <c r="PWB1599" i="1"/>
  <c r="PWA1599" i="1"/>
  <c r="PVZ1599" i="1"/>
  <c r="PVY1599" i="1"/>
  <c r="PVX1599" i="1"/>
  <c r="PVW1599" i="1"/>
  <c r="PVV1599" i="1"/>
  <c r="PVU1599" i="1"/>
  <c r="PVT1599" i="1"/>
  <c r="PVS1599" i="1"/>
  <c r="PVR1599" i="1"/>
  <c r="PVQ1599" i="1"/>
  <c r="PVP1599" i="1"/>
  <c r="PVO1599" i="1"/>
  <c r="PVN1599" i="1"/>
  <c r="PVM1599" i="1"/>
  <c r="PVL1599" i="1"/>
  <c r="PVK1599" i="1"/>
  <c r="PVJ1599" i="1"/>
  <c r="PVI1599" i="1"/>
  <c r="PVH1599" i="1"/>
  <c r="PVG1599" i="1"/>
  <c r="PVF1599" i="1"/>
  <c r="PVE1599" i="1"/>
  <c r="PVD1599" i="1"/>
  <c r="PVC1599" i="1"/>
  <c r="PVB1599" i="1"/>
  <c r="PVA1599" i="1"/>
  <c r="PUZ1599" i="1"/>
  <c r="PUY1599" i="1"/>
  <c r="PUX1599" i="1"/>
  <c r="PUW1599" i="1"/>
  <c r="PUV1599" i="1"/>
  <c r="PUU1599" i="1"/>
  <c r="PUT1599" i="1"/>
  <c r="PUS1599" i="1"/>
  <c r="PUR1599" i="1"/>
  <c r="PUQ1599" i="1"/>
  <c r="PUP1599" i="1"/>
  <c r="PUO1599" i="1"/>
  <c r="PUN1599" i="1"/>
  <c r="PUM1599" i="1"/>
  <c r="PUL1599" i="1"/>
  <c r="PUK1599" i="1"/>
  <c r="PUJ1599" i="1"/>
  <c r="PUI1599" i="1"/>
  <c r="PUH1599" i="1"/>
  <c r="PUG1599" i="1"/>
  <c r="PUF1599" i="1"/>
  <c r="PUE1599" i="1"/>
  <c r="PUD1599" i="1"/>
  <c r="PUC1599" i="1"/>
  <c r="PUB1599" i="1"/>
  <c r="PUA1599" i="1"/>
  <c r="PTZ1599" i="1"/>
  <c r="PTY1599" i="1"/>
  <c r="PTX1599" i="1"/>
  <c r="PTW1599" i="1"/>
  <c r="PTV1599" i="1"/>
  <c r="PTU1599" i="1"/>
  <c r="PTT1599" i="1"/>
  <c r="PTS1599" i="1"/>
  <c r="PTR1599" i="1"/>
  <c r="PTQ1599" i="1"/>
  <c r="PTP1599" i="1"/>
  <c r="PTO1599" i="1"/>
  <c r="PTN1599" i="1"/>
  <c r="PTM1599" i="1"/>
  <c r="PTL1599" i="1"/>
  <c r="PTK1599" i="1"/>
  <c r="PTJ1599" i="1"/>
  <c r="PTI1599" i="1"/>
  <c r="PTH1599" i="1"/>
  <c r="PTG1599" i="1"/>
  <c r="PTF1599" i="1"/>
  <c r="PTE1599" i="1"/>
  <c r="PTD1599" i="1"/>
  <c r="PTC1599" i="1"/>
  <c r="PTB1599" i="1"/>
  <c r="PTA1599" i="1"/>
  <c r="PSZ1599" i="1"/>
  <c r="PSY1599" i="1"/>
  <c r="PSX1599" i="1"/>
  <c r="PSW1599" i="1"/>
  <c r="PSV1599" i="1"/>
  <c r="PSU1599" i="1"/>
  <c r="PST1599" i="1"/>
  <c r="PSS1599" i="1"/>
  <c r="PSR1599" i="1"/>
  <c r="PSQ1599" i="1"/>
  <c r="PSP1599" i="1"/>
  <c r="PSO1599" i="1"/>
  <c r="PSN1599" i="1"/>
  <c r="PSM1599" i="1"/>
  <c r="PSL1599" i="1"/>
  <c r="PSK1599" i="1"/>
  <c r="PSJ1599" i="1"/>
  <c r="PSI1599" i="1"/>
  <c r="PSH1599" i="1"/>
  <c r="PSG1599" i="1"/>
  <c r="PSF1599" i="1"/>
  <c r="PSE1599" i="1"/>
  <c r="PSD1599" i="1"/>
  <c r="PSC1599" i="1"/>
  <c r="PSB1599" i="1"/>
  <c r="PSA1599" i="1"/>
  <c r="PRZ1599" i="1"/>
  <c r="PRY1599" i="1"/>
  <c r="PRX1599" i="1"/>
  <c r="PRW1599" i="1"/>
  <c r="PRV1599" i="1"/>
  <c r="PRU1599" i="1"/>
  <c r="PRT1599" i="1"/>
  <c r="PRS1599" i="1"/>
  <c r="PRR1599" i="1"/>
  <c r="PRQ1599" i="1"/>
  <c r="PRP1599" i="1"/>
  <c r="PRO1599" i="1"/>
  <c r="PRN1599" i="1"/>
  <c r="PRM1599" i="1"/>
  <c r="PRL1599" i="1"/>
  <c r="PRK1599" i="1"/>
  <c r="PRJ1599" i="1"/>
  <c r="PRI1599" i="1"/>
  <c r="PRH1599" i="1"/>
  <c r="PRG1599" i="1"/>
  <c r="PRF1599" i="1"/>
  <c r="PRE1599" i="1"/>
  <c r="PRD1599" i="1"/>
  <c r="PRC1599" i="1"/>
  <c r="PRB1599" i="1"/>
  <c r="PRA1599" i="1"/>
  <c r="PQZ1599" i="1"/>
  <c r="PQY1599" i="1"/>
  <c r="PQX1599" i="1"/>
  <c r="PQW1599" i="1"/>
  <c r="PQV1599" i="1"/>
  <c r="PQU1599" i="1"/>
  <c r="PQT1599" i="1"/>
  <c r="PQS1599" i="1"/>
  <c r="PQR1599" i="1"/>
  <c r="PQQ1599" i="1"/>
  <c r="PQP1599" i="1"/>
  <c r="PQO1599" i="1"/>
  <c r="PQN1599" i="1"/>
  <c r="PQM1599" i="1"/>
  <c r="PQL1599" i="1"/>
  <c r="PQK1599" i="1"/>
  <c r="PQJ1599" i="1"/>
  <c r="PQI1599" i="1"/>
  <c r="PQH1599" i="1"/>
  <c r="PQG1599" i="1"/>
  <c r="PQF1599" i="1"/>
  <c r="PQE1599" i="1"/>
  <c r="PQD1599" i="1"/>
  <c r="PQC1599" i="1"/>
  <c r="PQB1599" i="1"/>
  <c r="PQA1599" i="1"/>
  <c r="PPZ1599" i="1"/>
  <c r="PPY1599" i="1"/>
  <c r="PPX1599" i="1"/>
  <c r="PPW1599" i="1"/>
  <c r="PPV1599" i="1"/>
  <c r="PPU1599" i="1"/>
  <c r="PPT1599" i="1"/>
  <c r="PPS1599" i="1"/>
  <c r="PPR1599" i="1"/>
  <c r="PPQ1599" i="1"/>
  <c r="PPP1599" i="1"/>
  <c r="PPO1599" i="1"/>
  <c r="PPN1599" i="1"/>
  <c r="PPM1599" i="1"/>
  <c r="PPL1599" i="1"/>
  <c r="PPK1599" i="1"/>
  <c r="PPJ1599" i="1"/>
  <c r="PPI1599" i="1"/>
  <c r="PPH1599" i="1"/>
  <c r="PPG1599" i="1"/>
  <c r="PPF1599" i="1"/>
  <c r="PPE1599" i="1"/>
  <c r="PPD1599" i="1"/>
  <c r="PPC1599" i="1"/>
  <c r="PPB1599" i="1"/>
  <c r="PPA1599" i="1"/>
  <c r="POZ1599" i="1"/>
  <c r="POY1599" i="1"/>
  <c r="POX1599" i="1"/>
  <c r="POW1599" i="1"/>
  <c r="POV1599" i="1"/>
  <c r="POU1599" i="1"/>
  <c r="POT1599" i="1"/>
  <c r="POS1599" i="1"/>
  <c r="POR1599" i="1"/>
  <c r="POQ1599" i="1"/>
  <c r="POP1599" i="1"/>
  <c r="POO1599" i="1"/>
  <c r="PON1599" i="1"/>
  <c r="POM1599" i="1"/>
  <c r="POL1599" i="1"/>
  <c r="POK1599" i="1"/>
  <c r="POJ1599" i="1"/>
  <c r="POI1599" i="1"/>
  <c r="POH1599" i="1"/>
  <c r="POG1599" i="1"/>
  <c r="POF1599" i="1"/>
  <c r="POE1599" i="1"/>
  <c r="POD1599" i="1"/>
  <c r="POC1599" i="1"/>
  <c r="POB1599" i="1"/>
  <c r="POA1599" i="1"/>
  <c r="PNZ1599" i="1"/>
  <c r="PNY1599" i="1"/>
  <c r="PNX1599" i="1"/>
  <c r="PNW1599" i="1"/>
  <c r="PNV1599" i="1"/>
  <c r="PNU1599" i="1"/>
  <c r="PNT1599" i="1"/>
  <c r="PNS1599" i="1"/>
  <c r="PNR1599" i="1"/>
  <c r="PNQ1599" i="1"/>
  <c r="PNP1599" i="1"/>
  <c r="PNO1599" i="1"/>
  <c r="PNN1599" i="1"/>
  <c r="PNM1599" i="1"/>
  <c r="PNL1599" i="1"/>
  <c r="PNK1599" i="1"/>
  <c r="PNJ1599" i="1"/>
  <c r="PNI1599" i="1"/>
  <c r="PNH1599" i="1"/>
  <c r="PNG1599" i="1"/>
  <c r="PNF1599" i="1"/>
  <c r="PNE1599" i="1"/>
  <c r="PND1599" i="1"/>
  <c r="PNC1599" i="1"/>
  <c r="PNB1599" i="1"/>
  <c r="PNA1599" i="1"/>
  <c r="PMZ1599" i="1"/>
  <c r="PMY1599" i="1"/>
  <c r="PMX1599" i="1"/>
  <c r="PMW1599" i="1"/>
  <c r="PMV1599" i="1"/>
  <c r="PMU1599" i="1"/>
  <c r="PMT1599" i="1"/>
  <c r="PMS1599" i="1"/>
  <c r="PMR1599" i="1"/>
  <c r="PMQ1599" i="1"/>
  <c r="PMP1599" i="1"/>
  <c r="PMO1599" i="1"/>
  <c r="PMN1599" i="1"/>
  <c r="PMM1599" i="1"/>
  <c r="PML1599" i="1"/>
  <c r="PMK1599" i="1"/>
  <c r="PMJ1599" i="1"/>
  <c r="PMI1599" i="1"/>
  <c r="PMH1599" i="1"/>
  <c r="PMG1599" i="1"/>
  <c r="PMF1599" i="1"/>
  <c r="PME1599" i="1"/>
  <c r="PMD1599" i="1"/>
  <c r="PMC1599" i="1"/>
  <c r="PMB1599" i="1"/>
  <c r="PMA1599" i="1"/>
  <c r="PLZ1599" i="1"/>
  <c r="PLY1599" i="1"/>
  <c r="PLX1599" i="1"/>
  <c r="PLW1599" i="1"/>
  <c r="PLV1599" i="1"/>
  <c r="PLU1599" i="1"/>
  <c r="PLT1599" i="1"/>
  <c r="PLS1599" i="1"/>
  <c r="PLR1599" i="1"/>
  <c r="PLQ1599" i="1"/>
  <c r="PLP1599" i="1"/>
  <c r="PLO1599" i="1"/>
  <c r="PLN1599" i="1"/>
  <c r="PLM1599" i="1"/>
  <c r="PLL1599" i="1"/>
  <c r="PLK1599" i="1"/>
  <c r="PLJ1599" i="1"/>
  <c r="PLI1599" i="1"/>
  <c r="PLH1599" i="1"/>
  <c r="PLG1599" i="1"/>
  <c r="PLF1599" i="1"/>
  <c r="PLE1599" i="1"/>
  <c r="PLD1599" i="1"/>
  <c r="PLC1599" i="1"/>
  <c r="PLB1599" i="1"/>
  <c r="PLA1599" i="1"/>
  <c r="PKZ1599" i="1"/>
  <c r="PKY1599" i="1"/>
  <c r="PKX1599" i="1"/>
  <c r="PKW1599" i="1"/>
  <c r="PKV1599" i="1"/>
  <c r="PKU1599" i="1"/>
  <c r="PKT1599" i="1"/>
  <c r="PKS1599" i="1"/>
  <c r="PKR1599" i="1"/>
  <c r="PKQ1599" i="1"/>
  <c r="PKP1599" i="1"/>
  <c r="PKO1599" i="1"/>
  <c r="PKN1599" i="1"/>
  <c r="PKM1599" i="1"/>
  <c r="PKL1599" i="1"/>
  <c r="PKK1599" i="1"/>
  <c r="PKJ1599" i="1"/>
  <c r="PKI1599" i="1"/>
  <c r="PKH1599" i="1"/>
  <c r="PKG1599" i="1"/>
  <c r="PKF1599" i="1"/>
  <c r="PKE1599" i="1"/>
  <c r="PKD1599" i="1"/>
  <c r="PKC1599" i="1"/>
  <c r="PKB1599" i="1"/>
  <c r="PKA1599" i="1"/>
  <c r="PJZ1599" i="1"/>
  <c r="PJY1599" i="1"/>
  <c r="PJX1599" i="1"/>
  <c r="PJW1599" i="1"/>
  <c r="PJV1599" i="1"/>
  <c r="PJU1599" i="1"/>
  <c r="PJT1599" i="1"/>
  <c r="PJS1599" i="1"/>
  <c r="PJR1599" i="1"/>
  <c r="PJQ1599" i="1"/>
  <c r="PJP1599" i="1"/>
  <c r="PJO1599" i="1"/>
  <c r="PJN1599" i="1"/>
  <c r="PJM1599" i="1"/>
  <c r="PJL1599" i="1"/>
  <c r="PJK1599" i="1"/>
  <c r="PJJ1599" i="1"/>
  <c r="PJI1599" i="1"/>
  <c r="PJH1599" i="1"/>
  <c r="PJG1599" i="1"/>
  <c r="PJF1599" i="1"/>
  <c r="PJE1599" i="1"/>
  <c r="PJD1599" i="1"/>
  <c r="PJC1599" i="1"/>
  <c r="PJB1599" i="1"/>
  <c r="PJA1599" i="1"/>
  <c r="PIZ1599" i="1"/>
  <c r="PIY1599" i="1"/>
  <c r="PIX1599" i="1"/>
  <c r="PIW1599" i="1"/>
  <c r="PIV1599" i="1"/>
  <c r="PIU1599" i="1"/>
  <c r="PIT1599" i="1"/>
  <c r="PIS1599" i="1"/>
  <c r="PIR1599" i="1"/>
  <c r="PIQ1599" i="1"/>
  <c r="PIP1599" i="1"/>
  <c r="PIO1599" i="1"/>
  <c r="PIN1599" i="1"/>
  <c r="PIM1599" i="1"/>
  <c r="PIL1599" i="1"/>
  <c r="PIK1599" i="1"/>
  <c r="PIJ1599" i="1"/>
  <c r="PII1599" i="1"/>
  <c r="PIH1599" i="1"/>
  <c r="PIG1599" i="1"/>
  <c r="PIF1599" i="1"/>
  <c r="PIE1599" i="1"/>
  <c r="PID1599" i="1"/>
  <c r="PIC1599" i="1"/>
  <c r="PIB1599" i="1"/>
  <c r="PIA1599" i="1"/>
  <c r="PHZ1599" i="1"/>
  <c r="PHY1599" i="1"/>
  <c r="PHX1599" i="1"/>
  <c r="PHW1599" i="1"/>
  <c r="PHV1599" i="1"/>
  <c r="PHU1599" i="1"/>
  <c r="PHT1599" i="1"/>
  <c r="PHS1599" i="1"/>
  <c r="PHR1599" i="1"/>
  <c r="PHQ1599" i="1"/>
  <c r="PHP1599" i="1"/>
  <c r="PHO1599" i="1"/>
  <c r="PHN1599" i="1"/>
  <c r="PHM1599" i="1"/>
  <c r="PHL1599" i="1"/>
  <c r="PHK1599" i="1"/>
  <c r="PHJ1599" i="1"/>
  <c r="PHI1599" i="1"/>
  <c r="PHH1599" i="1"/>
  <c r="PHG1599" i="1"/>
  <c r="PHF1599" i="1"/>
  <c r="PHE1599" i="1"/>
  <c r="PHD1599" i="1"/>
  <c r="PHC1599" i="1"/>
  <c r="PHB1599" i="1"/>
  <c r="PHA1599" i="1"/>
  <c r="PGZ1599" i="1"/>
  <c r="PGY1599" i="1"/>
  <c r="PGX1599" i="1"/>
  <c r="PGW1599" i="1"/>
  <c r="PGV1599" i="1"/>
  <c r="PGU1599" i="1"/>
  <c r="PGT1599" i="1"/>
  <c r="PGS1599" i="1"/>
  <c r="PGR1599" i="1"/>
  <c r="PGQ1599" i="1"/>
  <c r="PGP1599" i="1"/>
  <c r="PGO1599" i="1"/>
  <c r="PGN1599" i="1"/>
  <c r="PGM1599" i="1"/>
  <c r="PGL1599" i="1"/>
  <c r="PGK1599" i="1"/>
  <c r="PGJ1599" i="1"/>
  <c r="PGI1599" i="1"/>
  <c r="PGH1599" i="1"/>
  <c r="PGG1599" i="1"/>
  <c r="PGF1599" i="1"/>
  <c r="PGE1599" i="1"/>
  <c r="PGD1599" i="1"/>
  <c r="PGC1599" i="1"/>
  <c r="PGB1599" i="1"/>
  <c r="PGA1599" i="1"/>
  <c r="PFZ1599" i="1"/>
  <c r="PFY1599" i="1"/>
  <c r="PFX1599" i="1"/>
  <c r="PFW1599" i="1"/>
  <c r="PFV1599" i="1"/>
  <c r="PFU1599" i="1"/>
  <c r="PFT1599" i="1"/>
  <c r="PFS1599" i="1"/>
  <c r="PFR1599" i="1"/>
  <c r="PFQ1599" i="1"/>
  <c r="PFP1599" i="1"/>
  <c r="PFO1599" i="1"/>
  <c r="PFN1599" i="1"/>
  <c r="PFM1599" i="1"/>
  <c r="PFL1599" i="1"/>
  <c r="PFK1599" i="1"/>
  <c r="PFJ1599" i="1"/>
  <c r="PFI1599" i="1"/>
  <c r="PFH1599" i="1"/>
  <c r="PFG1599" i="1"/>
  <c r="PFF1599" i="1"/>
  <c r="PFE1599" i="1"/>
  <c r="PFD1599" i="1"/>
  <c r="PFC1599" i="1"/>
  <c r="PFB1599" i="1"/>
  <c r="PFA1599" i="1"/>
  <c r="PEZ1599" i="1"/>
  <c r="PEY1599" i="1"/>
  <c r="PEX1599" i="1"/>
  <c r="PEW1599" i="1"/>
  <c r="PEV1599" i="1"/>
  <c r="PEU1599" i="1"/>
  <c r="PET1599" i="1"/>
  <c r="PES1599" i="1"/>
  <c r="PER1599" i="1"/>
  <c r="PEQ1599" i="1"/>
  <c r="PEP1599" i="1"/>
  <c r="PEO1599" i="1"/>
  <c r="PEN1599" i="1"/>
  <c r="PEM1599" i="1"/>
  <c r="PEL1599" i="1"/>
  <c r="PEK1599" i="1"/>
  <c r="PEJ1599" i="1"/>
  <c r="PEI1599" i="1"/>
  <c r="PEH1599" i="1"/>
  <c r="PEG1599" i="1"/>
  <c r="PEF1599" i="1"/>
  <c r="PEE1599" i="1"/>
  <c r="PED1599" i="1"/>
  <c r="PEC1599" i="1"/>
  <c r="PEB1599" i="1"/>
  <c r="PEA1599" i="1"/>
  <c r="PDZ1599" i="1"/>
  <c r="PDY1599" i="1"/>
  <c r="PDX1599" i="1"/>
  <c r="PDW1599" i="1"/>
  <c r="PDV1599" i="1"/>
  <c r="PDU1599" i="1"/>
  <c r="PDT1599" i="1"/>
  <c r="PDS1599" i="1"/>
  <c r="PDR1599" i="1"/>
  <c r="PDQ1599" i="1"/>
  <c r="PDP1599" i="1"/>
  <c r="PDO1599" i="1"/>
  <c r="PDN1599" i="1"/>
  <c r="PDM1599" i="1"/>
  <c r="PDL1599" i="1"/>
  <c r="PDK1599" i="1"/>
  <c r="PDJ1599" i="1"/>
  <c r="PDI1599" i="1"/>
  <c r="PDH1599" i="1"/>
  <c r="PDG1599" i="1"/>
  <c r="PDF1599" i="1"/>
  <c r="PDE1599" i="1"/>
  <c r="PDD1599" i="1"/>
  <c r="PDC1599" i="1"/>
  <c r="PDB1599" i="1"/>
  <c r="PDA1599" i="1"/>
  <c r="PCZ1599" i="1"/>
  <c r="PCY1599" i="1"/>
  <c r="PCX1599" i="1"/>
  <c r="PCW1599" i="1"/>
  <c r="PCV1599" i="1"/>
  <c r="PCU1599" i="1"/>
  <c r="PCT1599" i="1"/>
  <c r="PCS1599" i="1"/>
  <c r="PCR1599" i="1"/>
  <c r="PCQ1599" i="1"/>
  <c r="PCP1599" i="1"/>
  <c r="PCO1599" i="1"/>
  <c r="PCN1599" i="1"/>
  <c r="PCM1599" i="1"/>
  <c r="PCL1599" i="1"/>
  <c r="PCK1599" i="1"/>
  <c r="PCJ1599" i="1"/>
  <c r="PCI1599" i="1"/>
  <c r="PCH1599" i="1"/>
  <c r="PCG1599" i="1"/>
  <c r="PCF1599" i="1"/>
  <c r="PCE1599" i="1"/>
  <c r="PCD1599" i="1"/>
  <c r="PCC1599" i="1"/>
  <c r="PCB1599" i="1"/>
  <c r="PCA1599" i="1"/>
  <c r="PBZ1599" i="1"/>
  <c r="PBY1599" i="1"/>
  <c r="PBX1599" i="1"/>
  <c r="PBW1599" i="1"/>
  <c r="PBV1599" i="1"/>
  <c r="PBU1599" i="1"/>
  <c r="PBT1599" i="1"/>
  <c r="PBS1599" i="1"/>
  <c r="PBR1599" i="1"/>
  <c r="PBQ1599" i="1"/>
  <c r="PBP1599" i="1"/>
  <c r="PBO1599" i="1"/>
  <c r="PBN1599" i="1"/>
  <c r="PBM1599" i="1"/>
  <c r="PBL1599" i="1"/>
  <c r="PBK1599" i="1"/>
  <c r="PBJ1599" i="1"/>
  <c r="PBI1599" i="1"/>
  <c r="PBH1599" i="1"/>
  <c r="PBG1599" i="1"/>
  <c r="PBF1599" i="1"/>
  <c r="PBE1599" i="1"/>
  <c r="PBD1599" i="1"/>
  <c r="PBC1599" i="1"/>
  <c r="PBB1599" i="1"/>
  <c r="PBA1599" i="1"/>
  <c r="PAZ1599" i="1"/>
  <c r="PAY1599" i="1"/>
  <c r="PAX1599" i="1"/>
  <c r="PAW1599" i="1"/>
  <c r="PAV1599" i="1"/>
  <c r="PAU1599" i="1"/>
  <c r="PAT1599" i="1"/>
  <c r="PAS1599" i="1"/>
  <c r="PAR1599" i="1"/>
  <c r="PAQ1599" i="1"/>
  <c r="PAP1599" i="1"/>
  <c r="PAO1599" i="1"/>
  <c r="PAN1599" i="1"/>
  <c r="PAM1599" i="1"/>
  <c r="PAL1599" i="1"/>
  <c r="PAK1599" i="1"/>
  <c r="PAJ1599" i="1"/>
  <c r="PAI1599" i="1"/>
  <c r="PAH1599" i="1"/>
  <c r="PAG1599" i="1"/>
  <c r="PAF1599" i="1"/>
  <c r="PAE1599" i="1"/>
  <c r="PAD1599" i="1"/>
  <c r="PAC1599" i="1"/>
  <c r="PAB1599" i="1"/>
  <c r="PAA1599" i="1"/>
  <c r="OZZ1599" i="1"/>
  <c r="OZY1599" i="1"/>
  <c r="OZX1599" i="1"/>
  <c r="OZW1599" i="1"/>
  <c r="OZV1599" i="1"/>
  <c r="OZU1599" i="1"/>
  <c r="OZT1599" i="1"/>
  <c r="OZS1599" i="1"/>
  <c r="OZR1599" i="1"/>
  <c r="OZQ1599" i="1"/>
  <c r="OZP1599" i="1"/>
  <c r="OZO1599" i="1"/>
  <c r="OZN1599" i="1"/>
  <c r="OZM1599" i="1"/>
  <c r="OZL1599" i="1"/>
  <c r="OZK1599" i="1"/>
  <c r="OZJ1599" i="1"/>
  <c r="OZI1599" i="1"/>
  <c r="OZH1599" i="1"/>
  <c r="OZG1599" i="1"/>
  <c r="OZF1599" i="1"/>
  <c r="OZE1599" i="1"/>
  <c r="OZD1599" i="1"/>
  <c r="OZC1599" i="1"/>
  <c r="OZB1599" i="1"/>
  <c r="OZA1599" i="1"/>
  <c r="OYZ1599" i="1"/>
  <c r="OYY1599" i="1"/>
  <c r="OYX1599" i="1"/>
  <c r="OYW1599" i="1"/>
  <c r="OYV1599" i="1"/>
  <c r="OYU1599" i="1"/>
  <c r="OYT1599" i="1"/>
  <c r="OYS1599" i="1"/>
  <c r="OYR1599" i="1"/>
  <c r="OYQ1599" i="1"/>
  <c r="OYP1599" i="1"/>
  <c r="OYO1599" i="1"/>
  <c r="OYN1599" i="1"/>
  <c r="OYM1599" i="1"/>
  <c r="OYL1599" i="1"/>
  <c r="OYK1599" i="1"/>
  <c r="OYJ1599" i="1"/>
  <c r="OYI1599" i="1"/>
  <c r="OYH1599" i="1"/>
  <c r="OYG1599" i="1"/>
  <c r="OYF1599" i="1"/>
  <c r="OYE1599" i="1"/>
  <c r="OYD1599" i="1"/>
  <c r="OYC1599" i="1"/>
  <c r="OYB1599" i="1"/>
  <c r="OYA1599" i="1"/>
  <c r="OXZ1599" i="1"/>
  <c r="OXY1599" i="1"/>
  <c r="OXX1599" i="1"/>
  <c r="OXW1599" i="1"/>
  <c r="OXV1599" i="1"/>
  <c r="OXU1599" i="1"/>
  <c r="OXT1599" i="1"/>
  <c r="OXS1599" i="1"/>
  <c r="OXR1599" i="1"/>
  <c r="OXQ1599" i="1"/>
  <c r="OXP1599" i="1"/>
  <c r="OXO1599" i="1"/>
  <c r="OXN1599" i="1"/>
  <c r="OXM1599" i="1"/>
  <c r="OXL1599" i="1"/>
  <c r="OXK1599" i="1"/>
  <c r="OXJ1599" i="1"/>
  <c r="OXI1599" i="1"/>
  <c r="OXH1599" i="1"/>
  <c r="OXG1599" i="1"/>
  <c r="OXF1599" i="1"/>
  <c r="OXE1599" i="1"/>
  <c r="OXD1599" i="1"/>
  <c r="OXC1599" i="1"/>
  <c r="OXB1599" i="1"/>
  <c r="OXA1599" i="1"/>
  <c r="OWZ1599" i="1"/>
  <c r="OWY1599" i="1"/>
  <c r="OWX1599" i="1"/>
  <c r="OWW1599" i="1"/>
  <c r="OWV1599" i="1"/>
  <c r="OWU1599" i="1"/>
  <c r="OWT1599" i="1"/>
  <c r="OWS1599" i="1"/>
  <c r="OWR1599" i="1"/>
  <c r="OWQ1599" i="1"/>
  <c r="OWP1599" i="1"/>
  <c r="OWO1599" i="1"/>
  <c r="OWN1599" i="1"/>
  <c r="OWM1599" i="1"/>
  <c r="OWL1599" i="1"/>
  <c r="OWK1599" i="1"/>
  <c r="OWJ1599" i="1"/>
  <c r="OWI1599" i="1"/>
  <c r="OWH1599" i="1"/>
  <c r="OWG1599" i="1"/>
  <c r="OWF1599" i="1"/>
  <c r="OWE1599" i="1"/>
  <c r="OWD1599" i="1"/>
  <c r="OWC1599" i="1"/>
  <c r="OWB1599" i="1"/>
  <c r="OWA1599" i="1"/>
  <c r="OVZ1599" i="1"/>
  <c r="OVY1599" i="1"/>
  <c r="OVX1599" i="1"/>
  <c r="OVW1599" i="1"/>
  <c r="OVV1599" i="1"/>
  <c r="OVU1599" i="1"/>
  <c r="OVT1599" i="1"/>
  <c r="OVS1599" i="1"/>
  <c r="OVR1599" i="1"/>
  <c r="OVQ1599" i="1"/>
  <c r="OVP1599" i="1"/>
  <c r="OVO1599" i="1"/>
  <c r="OVN1599" i="1"/>
  <c r="OVM1599" i="1"/>
  <c r="OVL1599" i="1"/>
  <c r="OVK1599" i="1"/>
  <c r="OVJ1599" i="1"/>
  <c r="OVI1599" i="1"/>
  <c r="OVH1599" i="1"/>
  <c r="OVG1599" i="1"/>
  <c r="OVF1599" i="1"/>
  <c r="OVE1599" i="1"/>
  <c r="OVD1599" i="1"/>
  <c r="OVC1599" i="1"/>
  <c r="OVB1599" i="1"/>
  <c r="OVA1599" i="1"/>
  <c r="OUZ1599" i="1"/>
  <c r="OUY1599" i="1"/>
  <c r="OUX1599" i="1"/>
  <c r="OUW1599" i="1"/>
  <c r="OUV1599" i="1"/>
  <c r="OUU1599" i="1"/>
  <c r="OUT1599" i="1"/>
  <c r="OUS1599" i="1"/>
  <c r="OUR1599" i="1"/>
  <c r="OUQ1599" i="1"/>
  <c r="OUP1599" i="1"/>
  <c r="OUO1599" i="1"/>
  <c r="OUN1599" i="1"/>
  <c r="OUM1599" i="1"/>
  <c r="OUL1599" i="1"/>
  <c r="OUK1599" i="1"/>
  <c r="OUJ1599" i="1"/>
  <c r="OUI1599" i="1"/>
  <c r="OUH1599" i="1"/>
  <c r="OUG1599" i="1"/>
  <c r="OUF1599" i="1"/>
  <c r="OUE1599" i="1"/>
  <c r="OUD1599" i="1"/>
  <c r="OUC1599" i="1"/>
  <c r="OUB1599" i="1"/>
  <c r="OUA1599" i="1"/>
  <c r="OTZ1599" i="1"/>
  <c r="OTY1599" i="1"/>
  <c r="OTX1599" i="1"/>
  <c r="OTW1599" i="1"/>
  <c r="OTV1599" i="1"/>
  <c r="OTU1599" i="1"/>
  <c r="OTT1599" i="1"/>
  <c r="OTS1599" i="1"/>
  <c r="OTR1599" i="1"/>
  <c r="OTQ1599" i="1"/>
  <c r="OTP1599" i="1"/>
  <c r="OTO1599" i="1"/>
  <c r="OTN1599" i="1"/>
  <c r="OTM1599" i="1"/>
  <c r="OTL1599" i="1"/>
  <c r="OTK1599" i="1"/>
  <c r="OTJ1599" i="1"/>
  <c r="OTI1599" i="1"/>
  <c r="OTH1599" i="1"/>
  <c r="OTG1599" i="1"/>
  <c r="OTF1599" i="1"/>
  <c r="OTE1599" i="1"/>
  <c r="OTD1599" i="1"/>
  <c r="OTC1599" i="1"/>
  <c r="OTB1599" i="1"/>
  <c r="OTA1599" i="1"/>
  <c r="OSZ1599" i="1"/>
  <c r="OSY1599" i="1"/>
  <c r="OSX1599" i="1"/>
  <c r="OSW1599" i="1"/>
  <c r="OSV1599" i="1"/>
  <c r="OSU1599" i="1"/>
  <c r="OST1599" i="1"/>
  <c r="OSS1599" i="1"/>
  <c r="OSR1599" i="1"/>
  <c r="OSQ1599" i="1"/>
  <c r="OSP1599" i="1"/>
  <c r="OSO1599" i="1"/>
  <c r="OSN1599" i="1"/>
  <c r="OSM1599" i="1"/>
  <c r="OSL1599" i="1"/>
  <c r="OSK1599" i="1"/>
  <c r="OSJ1599" i="1"/>
  <c r="OSI1599" i="1"/>
  <c r="OSH1599" i="1"/>
  <c r="OSG1599" i="1"/>
  <c r="OSF1599" i="1"/>
  <c r="OSE1599" i="1"/>
  <c r="OSD1599" i="1"/>
  <c r="OSC1599" i="1"/>
  <c r="OSB1599" i="1"/>
  <c r="OSA1599" i="1"/>
  <c r="ORZ1599" i="1"/>
  <c r="ORY1599" i="1"/>
  <c r="ORX1599" i="1"/>
  <c r="ORW1599" i="1"/>
  <c r="ORV1599" i="1"/>
  <c r="ORU1599" i="1"/>
  <c r="ORT1599" i="1"/>
  <c r="ORS1599" i="1"/>
  <c r="ORR1599" i="1"/>
  <c r="ORQ1599" i="1"/>
  <c r="ORP1599" i="1"/>
  <c r="ORO1599" i="1"/>
  <c r="ORN1599" i="1"/>
  <c r="ORM1599" i="1"/>
  <c r="ORL1599" i="1"/>
  <c r="ORK1599" i="1"/>
  <c r="ORJ1599" i="1"/>
  <c r="ORI1599" i="1"/>
  <c r="ORH1599" i="1"/>
  <c r="ORG1599" i="1"/>
  <c r="ORF1599" i="1"/>
  <c r="ORE1599" i="1"/>
  <c r="ORD1599" i="1"/>
  <c r="ORC1599" i="1"/>
  <c r="ORB1599" i="1"/>
  <c r="ORA1599" i="1"/>
  <c r="OQZ1599" i="1"/>
  <c r="OQY1599" i="1"/>
  <c r="OQX1599" i="1"/>
  <c r="OQW1599" i="1"/>
  <c r="OQV1599" i="1"/>
  <c r="OQU1599" i="1"/>
  <c r="OQT1599" i="1"/>
  <c r="OQS1599" i="1"/>
  <c r="OQR1599" i="1"/>
  <c r="OQQ1599" i="1"/>
  <c r="OQP1599" i="1"/>
  <c r="OQO1599" i="1"/>
  <c r="OQN1599" i="1"/>
  <c r="OQM1599" i="1"/>
  <c r="OQL1599" i="1"/>
  <c r="OQK1599" i="1"/>
  <c r="OQJ1599" i="1"/>
  <c r="OQI1599" i="1"/>
  <c r="OQH1599" i="1"/>
  <c r="OQG1599" i="1"/>
  <c r="OQF1599" i="1"/>
  <c r="OQE1599" i="1"/>
  <c r="OQD1599" i="1"/>
  <c r="OQC1599" i="1"/>
  <c r="OQB1599" i="1"/>
  <c r="OQA1599" i="1"/>
  <c r="OPZ1599" i="1"/>
  <c r="OPY1599" i="1"/>
  <c r="OPX1599" i="1"/>
  <c r="OPW1599" i="1"/>
  <c r="OPV1599" i="1"/>
  <c r="OPU1599" i="1"/>
  <c r="OPT1599" i="1"/>
  <c r="OPS1599" i="1"/>
  <c r="OPR1599" i="1"/>
  <c r="OPQ1599" i="1"/>
  <c r="OPP1599" i="1"/>
  <c r="OPO1599" i="1"/>
  <c r="OPN1599" i="1"/>
  <c r="OPM1599" i="1"/>
  <c r="OPL1599" i="1"/>
  <c r="OPK1599" i="1"/>
  <c r="OPJ1599" i="1"/>
  <c r="OPI1599" i="1"/>
  <c r="OPH1599" i="1"/>
  <c r="OPG1599" i="1"/>
  <c r="OPF1599" i="1"/>
  <c r="OPE1599" i="1"/>
  <c r="OPD1599" i="1"/>
  <c r="OPC1599" i="1"/>
  <c r="OPB1599" i="1"/>
  <c r="OPA1599" i="1"/>
  <c r="OOZ1599" i="1"/>
  <c r="OOY1599" i="1"/>
  <c r="OOX1599" i="1"/>
  <c r="OOW1599" i="1"/>
  <c r="OOV1599" i="1"/>
  <c r="OOU1599" i="1"/>
  <c r="OOT1599" i="1"/>
  <c r="OOS1599" i="1"/>
  <c r="OOR1599" i="1"/>
  <c r="OOQ1599" i="1"/>
  <c r="OOP1599" i="1"/>
  <c r="OOO1599" i="1"/>
  <c r="OON1599" i="1"/>
  <c r="OOM1599" i="1"/>
  <c r="OOL1599" i="1"/>
  <c r="OOK1599" i="1"/>
  <c r="OOJ1599" i="1"/>
  <c r="OOI1599" i="1"/>
  <c r="OOH1599" i="1"/>
  <c r="OOG1599" i="1"/>
  <c r="OOF1599" i="1"/>
  <c r="OOE1599" i="1"/>
  <c r="OOD1599" i="1"/>
  <c r="OOC1599" i="1"/>
  <c r="OOB1599" i="1"/>
  <c r="OOA1599" i="1"/>
  <c r="ONZ1599" i="1"/>
  <c r="ONY1599" i="1"/>
  <c r="ONX1599" i="1"/>
  <c r="ONW1599" i="1"/>
  <c r="ONV1599" i="1"/>
  <c r="ONU1599" i="1"/>
  <c r="ONT1599" i="1"/>
  <c r="ONS1599" i="1"/>
  <c r="ONR1599" i="1"/>
  <c r="ONQ1599" i="1"/>
  <c r="ONP1599" i="1"/>
  <c r="ONO1599" i="1"/>
  <c r="ONN1599" i="1"/>
  <c r="ONM1599" i="1"/>
  <c r="ONL1599" i="1"/>
  <c r="ONK1599" i="1"/>
  <c r="ONJ1599" i="1"/>
  <c r="ONI1599" i="1"/>
  <c r="ONH1599" i="1"/>
  <c r="ONG1599" i="1"/>
  <c r="ONF1599" i="1"/>
  <c r="ONE1599" i="1"/>
  <c r="OND1599" i="1"/>
  <c r="ONC1599" i="1"/>
  <c r="ONB1599" i="1"/>
  <c r="ONA1599" i="1"/>
  <c r="OMZ1599" i="1"/>
  <c r="OMY1599" i="1"/>
  <c r="OMX1599" i="1"/>
  <c r="OMW1599" i="1"/>
  <c r="OMV1599" i="1"/>
  <c r="OMU1599" i="1"/>
  <c r="OMT1599" i="1"/>
  <c r="OMS1599" i="1"/>
  <c r="OMR1599" i="1"/>
  <c r="OMQ1599" i="1"/>
  <c r="OMP1599" i="1"/>
  <c r="OMO1599" i="1"/>
  <c r="OMN1599" i="1"/>
  <c r="OMM1599" i="1"/>
  <c r="OML1599" i="1"/>
  <c r="OMK1599" i="1"/>
  <c r="OMJ1599" i="1"/>
  <c r="OMI1599" i="1"/>
  <c r="OMH1599" i="1"/>
  <c r="OMG1599" i="1"/>
  <c r="OMF1599" i="1"/>
  <c r="OME1599" i="1"/>
  <c r="OMD1599" i="1"/>
  <c r="OMC1599" i="1"/>
  <c r="OMB1599" i="1"/>
  <c r="OMA1599" i="1"/>
  <c r="OLZ1599" i="1"/>
  <c r="OLY1599" i="1"/>
  <c r="OLX1599" i="1"/>
  <c r="OLW1599" i="1"/>
  <c r="OLV1599" i="1"/>
  <c r="OLU1599" i="1"/>
  <c r="OLT1599" i="1"/>
  <c r="OLS1599" i="1"/>
  <c r="OLR1599" i="1"/>
  <c r="OLQ1599" i="1"/>
  <c r="OLP1599" i="1"/>
  <c r="OLO1599" i="1"/>
  <c r="OLN1599" i="1"/>
  <c r="OLM1599" i="1"/>
  <c r="OLL1599" i="1"/>
  <c r="OLK1599" i="1"/>
  <c r="OLJ1599" i="1"/>
  <c r="OLI1599" i="1"/>
  <c r="OLH1599" i="1"/>
  <c r="OLG1599" i="1"/>
  <c r="OLF1599" i="1"/>
  <c r="OLE1599" i="1"/>
  <c r="OLD1599" i="1"/>
  <c r="OLC1599" i="1"/>
  <c r="OLB1599" i="1"/>
  <c r="OLA1599" i="1"/>
  <c r="OKZ1599" i="1"/>
  <c r="OKY1599" i="1"/>
  <c r="OKX1599" i="1"/>
  <c r="OKW1599" i="1"/>
  <c r="OKV1599" i="1"/>
  <c r="OKU1599" i="1"/>
  <c r="OKT1599" i="1"/>
  <c r="OKS1599" i="1"/>
  <c r="OKR1599" i="1"/>
  <c r="OKQ1599" i="1"/>
  <c r="OKP1599" i="1"/>
  <c r="OKO1599" i="1"/>
  <c r="OKN1599" i="1"/>
  <c r="OKM1599" i="1"/>
  <c r="OKL1599" i="1"/>
  <c r="OKK1599" i="1"/>
  <c r="OKJ1599" i="1"/>
  <c r="OKI1599" i="1"/>
  <c r="OKH1599" i="1"/>
  <c r="OKG1599" i="1"/>
  <c r="OKF1599" i="1"/>
  <c r="OKE1599" i="1"/>
  <c r="OKD1599" i="1"/>
  <c r="OKC1599" i="1"/>
  <c r="OKB1599" i="1"/>
  <c r="OKA1599" i="1"/>
  <c r="OJZ1599" i="1"/>
  <c r="OJY1599" i="1"/>
  <c r="OJX1599" i="1"/>
  <c r="OJW1599" i="1"/>
  <c r="OJV1599" i="1"/>
  <c r="OJU1599" i="1"/>
  <c r="OJT1599" i="1"/>
  <c r="OJS1599" i="1"/>
  <c r="OJR1599" i="1"/>
  <c r="OJQ1599" i="1"/>
  <c r="OJP1599" i="1"/>
  <c r="OJO1599" i="1"/>
  <c r="OJN1599" i="1"/>
  <c r="OJM1599" i="1"/>
  <c r="OJL1599" i="1"/>
  <c r="OJK1599" i="1"/>
  <c r="OJJ1599" i="1"/>
  <c r="OJI1599" i="1"/>
  <c r="OJH1599" i="1"/>
  <c r="OJG1599" i="1"/>
  <c r="OJF1599" i="1"/>
  <c r="OJE1599" i="1"/>
  <c r="OJD1599" i="1"/>
  <c r="OJC1599" i="1"/>
  <c r="OJB1599" i="1"/>
  <c r="OJA1599" i="1"/>
  <c r="OIZ1599" i="1"/>
  <c r="OIY1599" i="1"/>
  <c r="OIX1599" i="1"/>
  <c r="OIW1599" i="1"/>
  <c r="OIV1599" i="1"/>
  <c r="OIU1599" i="1"/>
  <c r="OIT1599" i="1"/>
  <c r="OIS1599" i="1"/>
  <c r="OIR1599" i="1"/>
  <c r="OIQ1599" i="1"/>
  <c r="OIP1599" i="1"/>
  <c r="OIO1599" i="1"/>
  <c r="OIN1599" i="1"/>
  <c r="OIM1599" i="1"/>
  <c r="OIL1599" i="1"/>
  <c r="OIK1599" i="1"/>
  <c r="OIJ1599" i="1"/>
  <c r="OII1599" i="1"/>
  <c r="OIH1599" i="1"/>
  <c r="OIG1599" i="1"/>
  <c r="OIF1599" i="1"/>
  <c r="OIE1599" i="1"/>
  <c r="OID1599" i="1"/>
  <c r="OIC1599" i="1"/>
  <c r="OIB1599" i="1"/>
  <c r="OIA1599" i="1"/>
  <c r="OHZ1599" i="1"/>
  <c r="OHY1599" i="1"/>
  <c r="OHX1599" i="1"/>
  <c r="OHW1599" i="1"/>
  <c r="OHV1599" i="1"/>
  <c r="OHU1599" i="1"/>
  <c r="OHT1599" i="1"/>
  <c r="OHS1599" i="1"/>
  <c r="OHR1599" i="1"/>
  <c r="OHQ1599" i="1"/>
  <c r="OHP1599" i="1"/>
  <c r="OHO1599" i="1"/>
  <c r="OHN1599" i="1"/>
  <c r="OHM1599" i="1"/>
  <c r="OHL1599" i="1"/>
  <c r="OHK1599" i="1"/>
  <c r="OHJ1599" i="1"/>
  <c r="OHI1599" i="1"/>
  <c r="OHH1599" i="1"/>
  <c r="OHG1599" i="1"/>
  <c r="OHF1599" i="1"/>
  <c r="OHE1599" i="1"/>
  <c r="OHD1599" i="1"/>
  <c r="OHC1599" i="1"/>
  <c r="OHB1599" i="1"/>
  <c r="OHA1599" i="1"/>
  <c r="OGZ1599" i="1"/>
  <c r="OGY1599" i="1"/>
  <c r="OGX1599" i="1"/>
  <c r="OGW1599" i="1"/>
  <c r="OGV1599" i="1"/>
  <c r="OGU1599" i="1"/>
  <c r="OGT1599" i="1"/>
  <c r="OGS1599" i="1"/>
  <c r="OGR1599" i="1"/>
  <c r="OGQ1599" i="1"/>
  <c r="OGP1599" i="1"/>
  <c r="OGO1599" i="1"/>
  <c r="OGN1599" i="1"/>
  <c r="OGM1599" i="1"/>
  <c r="OGL1599" i="1"/>
  <c r="OGK1599" i="1"/>
  <c r="OGJ1599" i="1"/>
  <c r="OGI1599" i="1"/>
  <c r="OGH1599" i="1"/>
  <c r="OGG1599" i="1"/>
  <c r="OGF1599" i="1"/>
  <c r="OGE1599" i="1"/>
  <c r="OGD1599" i="1"/>
  <c r="OGC1599" i="1"/>
  <c r="OGB1599" i="1"/>
  <c r="OGA1599" i="1"/>
  <c r="OFZ1599" i="1"/>
  <c r="OFY1599" i="1"/>
  <c r="OFX1599" i="1"/>
  <c r="OFW1599" i="1"/>
  <c r="OFV1599" i="1"/>
  <c r="OFU1599" i="1"/>
  <c r="OFT1599" i="1"/>
  <c r="OFS1599" i="1"/>
  <c r="OFR1599" i="1"/>
  <c r="OFQ1599" i="1"/>
  <c r="OFP1599" i="1"/>
  <c r="OFO1599" i="1"/>
  <c r="OFN1599" i="1"/>
  <c r="OFM1599" i="1"/>
  <c r="OFL1599" i="1"/>
  <c r="OFK1599" i="1"/>
  <c r="OFJ1599" i="1"/>
  <c r="OFI1599" i="1"/>
  <c r="OFH1599" i="1"/>
  <c r="OFG1599" i="1"/>
  <c r="OFF1599" i="1"/>
  <c r="OFE1599" i="1"/>
  <c r="OFD1599" i="1"/>
  <c r="OFC1599" i="1"/>
  <c r="OFB1599" i="1"/>
  <c r="OFA1599" i="1"/>
  <c r="OEZ1599" i="1"/>
  <c r="OEY1599" i="1"/>
  <c r="OEX1599" i="1"/>
  <c r="OEW1599" i="1"/>
  <c r="OEV1599" i="1"/>
  <c r="OEU1599" i="1"/>
  <c r="OET1599" i="1"/>
  <c r="OES1599" i="1"/>
  <c r="OER1599" i="1"/>
  <c r="OEQ1599" i="1"/>
  <c r="OEP1599" i="1"/>
  <c r="OEO1599" i="1"/>
  <c r="OEN1599" i="1"/>
  <c r="OEM1599" i="1"/>
  <c r="OEL1599" i="1"/>
  <c r="OEK1599" i="1"/>
  <c r="OEJ1599" i="1"/>
  <c r="OEI1599" i="1"/>
  <c r="OEH1599" i="1"/>
  <c r="OEG1599" i="1"/>
  <c r="OEF1599" i="1"/>
  <c r="OEE1599" i="1"/>
  <c r="OED1599" i="1"/>
  <c r="OEC1599" i="1"/>
  <c r="OEB1599" i="1"/>
  <c r="OEA1599" i="1"/>
  <c r="ODZ1599" i="1"/>
  <c r="ODY1599" i="1"/>
  <c r="ODX1599" i="1"/>
  <c r="ODW1599" i="1"/>
  <c r="ODV1599" i="1"/>
  <c r="ODU1599" i="1"/>
  <c r="ODT1599" i="1"/>
  <c r="ODS1599" i="1"/>
  <c r="ODR1599" i="1"/>
  <c r="ODQ1599" i="1"/>
  <c r="ODP1599" i="1"/>
  <c r="ODO1599" i="1"/>
  <c r="ODN1599" i="1"/>
  <c r="ODM1599" i="1"/>
  <c r="ODL1599" i="1"/>
  <c r="ODK1599" i="1"/>
  <c r="ODJ1599" i="1"/>
  <c r="ODI1599" i="1"/>
  <c r="ODH1599" i="1"/>
  <c r="ODG1599" i="1"/>
  <c r="ODF1599" i="1"/>
  <c r="ODE1599" i="1"/>
  <c r="ODD1599" i="1"/>
  <c r="ODC1599" i="1"/>
  <c r="ODB1599" i="1"/>
  <c r="ODA1599" i="1"/>
  <c r="OCZ1599" i="1"/>
  <c r="OCY1599" i="1"/>
  <c r="OCX1599" i="1"/>
  <c r="OCW1599" i="1"/>
  <c r="OCV1599" i="1"/>
  <c r="OCU1599" i="1"/>
  <c r="OCT1599" i="1"/>
  <c r="OCS1599" i="1"/>
  <c r="OCR1599" i="1"/>
  <c r="OCQ1599" i="1"/>
  <c r="OCP1599" i="1"/>
  <c r="OCO1599" i="1"/>
  <c r="OCN1599" i="1"/>
  <c r="OCM1599" i="1"/>
  <c r="OCL1599" i="1"/>
  <c r="OCK1599" i="1"/>
  <c r="OCJ1599" i="1"/>
  <c r="OCI1599" i="1"/>
  <c r="OCH1599" i="1"/>
  <c r="OCG1599" i="1"/>
  <c r="OCF1599" i="1"/>
  <c r="OCE1599" i="1"/>
  <c r="OCD1599" i="1"/>
  <c r="OCC1599" i="1"/>
  <c r="OCB1599" i="1"/>
  <c r="OCA1599" i="1"/>
  <c r="OBZ1599" i="1"/>
  <c r="OBY1599" i="1"/>
  <c r="OBX1599" i="1"/>
  <c r="OBW1599" i="1"/>
  <c r="OBV1599" i="1"/>
  <c r="OBU1599" i="1"/>
  <c r="OBT1599" i="1"/>
  <c r="OBS1599" i="1"/>
  <c r="OBR1599" i="1"/>
  <c r="OBQ1599" i="1"/>
  <c r="OBP1599" i="1"/>
  <c r="OBO1599" i="1"/>
  <c r="OBN1599" i="1"/>
  <c r="OBM1599" i="1"/>
  <c r="OBL1599" i="1"/>
  <c r="OBK1599" i="1"/>
  <c r="OBJ1599" i="1"/>
  <c r="OBI1599" i="1"/>
  <c r="OBH1599" i="1"/>
  <c r="OBG1599" i="1"/>
  <c r="OBF1599" i="1"/>
  <c r="OBE1599" i="1"/>
  <c r="OBD1599" i="1"/>
  <c r="OBC1599" i="1"/>
  <c r="OBB1599" i="1"/>
  <c r="OBA1599" i="1"/>
  <c r="OAZ1599" i="1"/>
  <c r="OAY1599" i="1"/>
  <c r="OAX1599" i="1"/>
  <c r="OAW1599" i="1"/>
  <c r="OAV1599" i="1"/>
  <c r="OAU1599" i="1"/>
  <c r="OAT1599" i="1"/>
  <c r="OAS1599" i="1"/>
  <c r="OAR1599" i="1"/>
  <c r="OAQ1599" i="1"/>
  <c r="OAP1599" i="1"/>
  <c r="OAO1599" i="1"/>
  <c r="OAN1599" i="1"/>
  <c r="OAM1599" i="1"/>
  <c r="OAL1599" i="1"/>
  <c r="OAK1599" i="1"/>
  <c r="OAJ1599" i="1"/>
  <c r="OAI1599" i="1"/>
  <c r="OAH1599" i="1"/>
  <c r="OAG1599" i="1"/>
  <c r="OAF1599" i="1"/>
  <c r="OAE1599" i="1"/>
  <c r="OAD1599" i="1"/>
  <c r="OAC1599" i="1"/>
  <c r="OAB1599" i="1"/>
  <c r="OAA1599" i="1"/>
  <c r="NZZ1599" i="1"/>
  <c r="NZY1599" i="1"/>
  <c r="NZX1599" i="1"/>
  <c r="NZW1599" i="1"/>
  <c r="NZV1599" i="1"/>
  <c r="NZU1599" i="1"/>
  <c r="NZT1599" i="1"/>
  <c r="NZS1599" i="1"/>
  <c r="NZR1599" i="1"/>
  <c r="NZQ1599" i="1"/>
  <c r="NZP1599" i="1"/>
  <c r="NZO1599" i="1"/>
  <c r="NZN1599" i="1"/>
  <c r="NZM1599" i="1"/>
  <c r="NZL1599" i="1"/>
  <c r="NZK1599" i="1"/>
  <c r="NZJ1599" i="1"/>
  <c r="NZI1599" i="1"/>
  <c r="NZH1599" i="1"/>
  <c r="NZG1599" i="1"/>
  <c r="NZF1599" i="1"/>
  <c r="NZE1599" i="1"/>
  <c r="NZD1599" i="1"/>
  <c r="NZC1599" i="1"/>
  <c r="NZB1599" i="1"/>
  <c r="NZA1599" i="1"/>
  <c r="NYZ1599" i="1"/>
  <c r="NYY1599" i="1"/>
  <c r="NYX1599" i="1"/>
  <c r="NYW1599" i="1"/>
  <c r="NYV1599" i="1"/>
  <c r="NYU1599" i="1"/>
  <c r="NYT1599" i="1"/>
  <c r="NYS1599" i="1"/>
  <c r="NYR1599" i="1"/>
  <c r="NYQ1599" i="1"/>
  <c r="NYP1599" i="1"/>
  <c r="NYO1599" i="1"/>
  <c r="NYN1599" i="1"/>
  <c r="NYM1599" i="1"/>
  <c r="NYL1599" i="1"/>
  <c r="NYK1599" i="1"/>
  <c r="NYJ1599" i="1"/>
  <c r="NYI1599" i="1"/>
  <c r="NYH1599" i="1"/>
  <c r="NYG1599" i="1"/>
  <c r="NYF1599" i="1"/>
  <c r="NYE1599" i="1"/>
  <c r="NYD1599" i="1"/>
  <c r="NYC1599" i="1"/>
  <c r="NYB1599" i="1"/>
  <c r="NYA1599" i="1"/>
  <c r="NXZ1599" i="1"/>
  <c r="NXY1599" i="1"/>
  <c r="NXX1599" i="1"/>
  <c r="NXW1599" i="1"/>
  <c r="NXV1599" i="1"/>
  <c r="NXU1599" i="1"/>
  <c r="NXT1599" i="1"/>
  <c r="NXS1599" i="1"/>
  <c r="NXR1599" i="1"/>
  <c r="NXQ1599" i="1"/>
  <c r="NXP1599" i="1"/>
  <c r="NXO1599" i="1"/>
  <c r="NXN1599" i="1"/>
  <c r="NXM1599" i="1"/>
  <c r="NXL1599" i="1"/>
  <c r="NXK1599" i="1"/>
  <c r="NXJ1599" i="1"/>
  <c r="NXI1599" i="1"/>
  <c r="NXH1599" i="1"/>
  <c r="NXG1599" i="1"/>
  <c r="NXF1599" i="1"/>
  <c r="NXE1599" i="1"/>
  <c r="NXD1599" i="1"/>
  <c r="NXC1599" i="1"/>
  <c r="NXB1599" i="1"/>
  <c r="NXA1599" i="1"/>
  <c r="NWZ1599" i="1"/>
  <c r="NWY1599" i="1"/>
  <c r="NWX1599" i="1"/>
  <c r="NWW1599" i="1"/>
  <c r="NWV1599" i="1"/>
  <c r="NWU1599" i="1"/>
  <c r="NWT1599" i="1"/>
  <c r="NWS1599" i="1"/>
  <c r="NWR1599" i="1"/>
  <c r="NWQ1599" i="1"/>
  <c r="NWP1599" i="1"/>
  <c r="NWO1599" i="1"/>
  <c r="NWN1599" i="1"/>
  <c r="NWM1599" i="1"/>
  <c r="NWL1599" i="1"/>
  <c r="NWK1599" i="1"/>
  <c r="NWJ1599" i="1"/>
  <c r="NWI1599" i="1"/>
  <c r="NWH1599" i="1"/>
  <c r="NWG1599" i="1"/>
  <c r="NWF1599" i="1"/>
  <c r="NWE1599" i="1"/>
  <c r="NWD1599" i="1"/>
  <c r="NWC1599" i="1"/>
  <c r="NWB1599" i="1"/>
  <c r="NWA1599" i="1"/>
  <c r="NVZ1599" i="1"/>
  <c r="NVY1599" i="1"/>
  <c r="NVX1599" i="1"/>
  <c r="NVW1599" i="1"/>
  <c r="NVV1599" i="1"/>
  <c r="NVU1599" i="1"/>
  <c r="NVT1599" i="1"/>
  <c r="NVS1599" i="1"/>
  <c r="NVR1599" i="1"/>
  <c r="NVQ1599" i="1"/>
  <c r="NVP1599" i="1"/>
  <c r="NVO1599" i="1"/>
  <c r="NVN1599" i="1"/>
  <c r="NVM1599" i="1"/>
  <c r="NVL1599" i="1"/>
  <c r="NVK1599" i="1"/>
  <c r="NVJ1599" i="1"/>
  <c r="NVI1599" i="1"/>
  <c r="NVH1599" i="1"/>
  <c r="NVG1599" i="1"/>
  <c r="NVF1599" i="1"/>
  <c r="NVE1599" i="1"/>
  <c r="NVD1599" i="1"/>
  <c r="NVC1599" i="1"/>
  <c r="NVB1599" i="1"/>
  <c r="NVA1599" i="1"/>
  <c r="NUZ1599" i="1"/>
  <c r="NUY1599" i="1"/>
  <c r="NUX1599" i="1"/>
  <c r="NUW1599" i="1"/>
  <c r="NUV1599" i="1"/>
  <c r="NUU1599" i="1"/>
  <c r="NUT1599" i="1"/>
  <c r="NUS1599" i="1"/>
  <c r="NUR1599" i="1"/>
  <c r="NUQ1599" i="1"/>
  <c r="NUP1599" i="1"/>
  <c r="NUO1599" i="1"/>
  <c r="NUN1599" i="1"/>
  <c r="NUM1599" i="1"/>
  <c r="NUL1599" i="1"/>
  <c r="NUK1599" i="1"/>
  <c r="NUJ1599" i="1"/>
  <c r="NUI1599" i="1"/>
  <c r="NUH1599" i="1"/>
  <c r="NUG1599" i="1"/>
  <c r="NUF1599" i="1"/>
  <c r="NUE1599" i="1"/>
  <c r="NUD1599" i="1"/>
  <c r="NUC1599" i="1"/>
  <c r="NUB1599" i="1"/>
  <c r="NUA1599" i="1"/>
  <c r="NTZ1599" i="1"/>
  <c r="NTY1599" i="1"/>
  <c r="NTX1599" i="1"/>
  <c r="NTW1599" i="1"/>
  <c r="NTV1599" i="1"/>
  <c r="NTU1599" i="1"/>
  <c r="NTT1599" i="1"/>
  <c r="NTS1599" i="1"/>
  <c r="NTR1599" i="1"/>
  <c r="NTQ1599" i="1"/>
  <c r="NTP1599" i="1"/>
  <c r="NTO1599" i="1"/>
  <c r="NTN1599" i="1"/>
  <c r="NTM1599" i="1"/>
  <c r="NTL1599" i="1"/>
  <c r="NTK1599" i="1"/>
  <c r="NTJ1599" i="1"/>
  <c r="NTI1599" i="1"/>
  <c r="NTH1599" i="1"/>
  <c r="NTG1599" i="1"/>
  <c r="NTF1599" i="1"/>
  <c r="NTE1599" i="1"/>
  <c r="NTD1599" i="1"/>
  <c r="NTC1599" i="1"/>
  <c r="NTB1599" i="1"/>
  <c r="NTA1599" i="1"/>
  <c r="NSZ1599" i="1"/>
  <c r="NSY1599" i="1"/>
  <c r="NSX1599" i="1"/>
  <c r="NSW1599" i="1"/>
  <c r="NSV1599" i="1"/>
  <c r="NSU1599" i="1"/>
  <c r="NST1599" i="1"/>
  <c r="NSS1599" i="1"/>
  <c r="NSR1599" i="1"/>
  <c r="NSQ1599" i="1"/>
  <c r="NSP1599" i="1"/>
  <c r="NSO1599" i="1"/>
  <c r="NSN1599" i="1"/>
  <c r="NSM1599" i="1"/>
  <c r="NSL1599" i="1"/>
  <c r="NSK1599" i="1"/>
  <c r="NSJ1599" i="1"/>
  <c r="NSI1599" i="1"/>
  <c r="NSH1599" i="1"/>
  <c r="NSG1599" i="1"/>
  <c r="NSF1599" i="1"/>
  <c r="NSE1599" i="1"/>
  <c r="NSD1599" i="1"/>
  <c r="NSC1599" i="1"/>
  <c r="NSB1599" i="1"/>
  <c r="NSA1599" i="1"/>
  <c r="NRZ1599" i="1"/>
  <c r="NRY1599" i="1"/>
  <c r="NRX1599" i="1"/>
  <c r="NRW1599" i="1"/>
  <c r="NRV1599" i="1"/>
  <c r="NRU1599" i="1"/>
  <c r="NRT1599" i="1"/>
  <c r="NRS1599" i="1"/>
  <c r="NRR1599" i="1"/>
  <c r="NRQ1599" i="1"/>
  <c r="NRP1599" i="1"/>
  <c r="NRO1599" i="1"/>
  <c r="NRN1599" i="1"/>
  <c r="NRM1599" i="1"/>
  <c r="NRL1599" i="1"/>
  <c r="NRK1599" i="1"/>
  <c r="NRJ1599" i="1"/>
  <c r="NRI1599" i="1"/>
  <c r="NRH1599" i="1"/>
  <c r="NRG1599" i="1"/>
  <c r="NRF1599" i="1"/>
  <c r="NRE1599" i="1"/>
  <c r="NRD1599" i="1"/>
  <c r="NRC1599" i="1"/>
  <c r="NRB1599" i="1"/>
  <c r="NRA1599" i="1"/>
  <c r="NQZ1599" i="1"/>
  <c r="NQY1599" i="1"/>
  <c r="NQX1599" i="1"/>
  <c r="NQW1599" i="1"/>
  <c r="NQV1599" i="1"/>
  <c r="NQU1599" i="1"/>
  <c r="NQT1599" i="1"/>
  <c r="NQS1599" i="1"/>
  <c r="NQR1599" i="1"/>
  <c r="NQQ1599" i="1"/>
  <c r="NQP1599" i="1"/>
  <c r="NQO1599" i="1"/>
  <c r="NQN1599" i="1"/>
  <c r="NQM1599" i="1"/>
  <c r="NQL1599" i="1"/>
  <c r="NQK1599" i="1"/>
  <c r="NQJ1599" i="1"/>
  <c r="NQI1599" i="1"/>
  <c r="NQH1599" i="1"/>
  <c r="NQG1599" i="1"/>
  <c r="NQF1599" i="1"/>
  <c r="NQE1599" i="1"/>
  <c r="NQD1599" i="1"/>
  <c r="NQC1599" i="1"/>
  <c r="NQB1599" i="1"/>
  <c r="NQA1599" i="1"/>
  <c r="NPZ1599" i="1"/>
  <c r="NPY1599" i="1"/>
  <c r="NPX1599" i="1"/>
  <c r="NPW1599" i="1"/>
  <c r="NPV1599" i="1"/>
  <c r="NPU1599" i="1"/>
  <c r="NPT1599" i="1"/>
  <c r="NPS1599" i="1"/>
  <c r="NPR1599" i="1"/>
  <c r="NPQ1599" i="1"/>
  <c r="NPP1599" i="1"/>
  <c r="NPO1599" i="1"/>
  <c r="NPN1599" i="1"/>
  <c r="NPM1599" i="1"/>
  <c r="NPL1599" i="1"/>
  <c r="NPK1599" i="1"/>
  <c r="NPJ1599" i="1"/>
  <c r="NPI1599" i="1"/>
  <c r="NPH1599" i="1"/>
  <c r="NPG1599" i="1"/>
  <c r="NPF1599" i="1"/>
  <c r="NPE1599" i="1"/>
  <c r="NPD1599" i="1"/>
  <c r="NPC1599" i="1"/>
  <c r="NPB1599" i="1"/>
  <c r="NPA1599" i="1"/>
  <c r="NOZ1599" i="1"/>
  <c r="NOY1599" i="1"/>
  <c r="NOX1599" i="1"/>
  <c r="NOW1599" i="1"/>
  <c r="NOV1599" i="1"/>
  <c r="NOU1599" i="1"/>
  <c r="NOT1599" i="1"/>
  <c r="NOS1599" i="1"/>
  <c r="NOR1599" i="1"/>
  <c r="NOQ1599" i="1"/>
  <c r="NOP1599" i="1"/>
  <c r="NOO1599" i="1"/>
  <c r="NON1599" i="1"/>
  <c r="NOM1599" i="1"/>
  <c r="NOL1599" i="1"/>
  <c r="NOK1599" i="1"/>
  <c r="NOJ1599" i="1"/>
  <c r="NOI1599" i="1"/>
  <c r="NOH1599" i="1"/>
  <c r="NOG1599" i="1"/>
  <c r="NOF1599" i="1"/>
  <c r="NOE1599" i="1"/>
  <c r="NOD1599" i="1"/>
  <c r="NOC1599" i="1"/>
  <c r="NOB1599" i="1"/>
  <c r="NOA1599" i="1"/>
  <c r="NNZ1599" i="1"/>
  <c r="NNY1599" i="1"/>
  <c r="NNX1599" i="1"/>
  <c r="NNW1599" i="1"/>
  <c r="NNV1599" i="1"/>
  <c r="NNU1599" i="1"/>
  <c r="NNT1599" i="1"/>
  <c r="NNS1599" i="1"/>
  <c r="NNR1599" i="1"/>
  <c r="NNQ1599" i="1"/>
  <c r="NNP1599" i="1"/>
  <c r="NNO1599" i="1"/>
  <c r="NNN1599" i="1"/>
  <c r="NNM1599" i="1"/>
  <c r="NNL1599" i="1"/>
  <c r="NNK1599" i="1"/>
  <c r="NNJ1599" i="1"/>
  <c r="NNI1599" i="1"/>
  <c r="NNH1599" i="1"/>
  <c r="NNG1599" i="1"/>
  <c r="NNF1599" i="1"/>
  <c r="NNE1599" i="1"/>
  <c r="NND1599" i="1"/>
  <c r="NNC1599" i="1"/>
  <c r="NNB1599" i="1"/>
  <c r="NNA1599" i="1"/>
  <c r="NMZ1599" i="1"/>
  <c r="NMY1599" i="1"/>
  <c r="NMX1599" i="1"/>
  <c r="NMW1599" i="1"/>
  <c r="NMV1599" i="1"/>
  <c r="NMU1599" i="1"/>
  <c r="NMT1599" i="1"/>
  <c r="NMS1599" i="1"/>
  <c r="NMR1599" i="1"/>
  <c r="NMQ1599" i="1"/>
  <c r="NMP1599" i="1"/>
  <c r="NMO1599" i="1"/>
  <c r="NMN1599" i="1"/>
  <c r="NMM1599" i="1"/>
  <c r="NML1599" i="1"/>
  <c r="NMK1599" i="1"/>
  <c r="NMJ1599" i="1"/>
  <c r="NMI1599" i="1"/>
  <c r="NMH1599" i="1"/>
  <c r="NMG1599" i="1"/>
  <c r="NMF1599" i="1"/>
  <c r="NME1599" i="1"/>
  <c r="NMD1599" i="1"/>
  <c r="NMC1599" i="1"/>
  <c r="NMB1599" i="1"/>
  <c r="NMA1599" i="1"/>
  <c r="NLZ1599" i="1"/>
  <c r="NLY1599" i="1"/>
  <c r="NLX1599" i="1"/>
  <c r="NLW1599" i="1"/>
  <c r="NLV1599" i="1"/>
  <c r="NLU1599" i="1"/>
  <c r="NLT1599" i="1"/>
  <c r="NLS1599" i="1"/>
  <c r="NLR1599" i="1"/>
  <c r="NLQ1599" i="1"/>
  <c r="NLP1599" i="1"/>
  <c r="NLO1599" i="1"/>
  <c r="NLN1599" i="1"/>
  <c r="NLM1599" i="1"/>
  <c r="NLL1599" i="1"/>
  <c r="NLK1599" i="1"/>
  <c r="NLJ1599" i="1"/>
  <c r="NLI1599" i="1"/>
  <c r="NLH1599" i="1"/>
  <c r="NLG1599" i="1"/>
  <c r="NLF1599" i="1"/>
  <c r="NLE1599" i="1"/>
  <c r="NLD1599" i="1"/>
  <c r="NLC1599" i="1"/>
  <c r="NLB1599" i="1"/>
  <c r="NLA1599" i="1"/>
  <c r="NKZ1599" i="1"/>
  <c r="NKY1599" i="1"/>
  <c r="NKX1599" i="1"/>
  <c r="NKW1599" i="1"/>
  <c r="NKV1599" i="1"/>
  <c r="NKU1599" i="1"/>
  <c r="NKT1599" i="1"/>
  <c r="NKS1599" i="1"/>
  <c r="NKR1599" i="1"/>
  <c r="NKQ1599" i="1"/>
  <c r="NKP1599" i="1"/>
  <c r="NKO1599" i="1"/>
  <c r="NKN1599" i="1"/>
  <c r="NKM1599" i="1"/>
  <c r="NKL1599" i="1"/>
  <c r="NKK1599" i="1"/>
  <c r="NKJ1599" i="1"/>
  <c r="NKI1599" i="1"/>
  <c r="NKH1599" i="1"/>
  <c r="NKG1599" i="1"/>
  <c r="NKF1599" i="1"/>
  <c r="NKE1599" i="1"/>
  <c r="NKD1599" i="1"/>
  <c r="NKC1599" i="1"/>
  <c r="NKB1599" i="1"/>
  <c r="NKA1599" i="1"/>
  <c r="NJZ1599" i="1"/>
  <c r="NJY1599" i="1"/>
  <c r="NJX1599" i="1"/>
  <c r="NJW1599" i="1"/>
  <c r="NJV1599" i="1"/>
  <c r="NJU1599" i="1"/>
  <c r="NJT1599" i="1"/>
  <c r="NJS1599" i="1"/>
  <c r="NJR1599" i="1"/>
  <c r="NJQ1599" i="1"/>
  <c r="NJP1599" i="1"/>
  <c r="NJO1599" i="1"/>
  <c r="NJN1599" i="1"/>
  <c r="NJM1599" i="1"/>
  <c r="NJL1599" i="1"/>
  <c r="NJK1599" i="1"/>
  <c r="NJJ1599" i="1"/>
  <c r="NJI1599" i="1"/>
  <c r="NJH1599" i="1"/>
  <c r="NJG1599" i="1"/>
  <c r="NJF1599" i="1"/>
  <c r="NJE1599" i="1"/>
  <c r="NJD1599" i="1"/>
  <c r="NJC1599" i="1"/>
  <c r="NJB1599" i="1"/>
  <c r="NJA1599" i="1"/>
  <c r="NIZ1599" i="1"/>
  <c r="NIY1599" i="1"/>
  <c r="NIX1599" i="1"/>
  <c r="NIW1599" i="1"/>
  <c r="NIV1599" i="1"/>
  <c r="NIU1599" i="1"/>
  <c r="NIT1599" i="1"/>
  <c r="NIS1599" i="1"/>
  <c r="NIR1599" i="1"/>
  <c r="NIQ1599" i="1"/>
  <c r="NIP1599" i="1"/>
  <c r="NIO1599" i="1"/>
  <c r="NIN1599" i="1"/>
  <c r="NIM1599" i="1"/>
  <c r="NIL1599" i="1"/>
  <c r="NIK1599" i="1"/>
  <c r="NIJ1599" i="1"/>
  <c r="NII1599" i="1"/>
  <c r="NIH1599" i="1"/>
  <c r="NIG1599" i="1"/>
  <c r="NIF1599" i="1"/>
  <c r="NIE1599" i="1"/>
  <c r="NID1599" i="1"/>
  <c r="NIC1599" i="1"/>
  <c r="NIB1599" i="1"/>
  <c r="NIA1599" i="1"/>
  <c r="NHZ1599" i="1"/>
  <c r="NHY1599" i="1"/>
  <c r="NHX1599" i="1"/>
  <c r="NHW1599" i="1"/>
  <c r="NHV1599" i="1"/>
  <c r="NHU1599" i="1"/>
  <c r="NHT1599" i="1"/>
  <c r="NHS1599" i="1"/>
  <c r="NHR1599" i="1"/>
  <c r="NHQ1599" i="1"/>
  <c r="NHP1599" i="1"/>
  <c r="NHO1599" i="1"/>
  <c r="NHN1599" i="1"/>
  <c r="NHM1599" i="1"/>
  <c r="NHL1599" i="1"/>
  <c r="NHK1599" i="1"/>
  <c r="NHJ1599" i="1"/>
  <c r="NHI1599" i="1"/>
  <c r="NHH1599" i="1"/>
  <c r="NHG1599" i="1"/>
  <c r="NHF1599" i="1"/>
  <c r="NHE1599" i="1"/>
  <c r="NHD1599" i="1"/>
  <c r="NHC1599" i="1"/>
  <c r="NHB1599" i="1"/>
  <c r="NHA1599" i="1"/>
  <c r="NGZ1599" i="1"/>
  <c r="NGY1599" i="1"/>
  <c r="NGX1599" i="1"/>
  <c r="NGW1599" i="1"/>
  <c r="NGV1599" i="1"/>
  <c r="NGU1599" i="1"/>
  <c r="NGT1599" i="1"/>
  <c r="NGS1599" i="1"/>
  <c r="NGR1599" i="1"/>
  <c r="NGQ1599" i="1"/>
  <c r="NGP1599" i="1"/>
  <c r="NGO1599" i="1"/>
  <c r="NGN1599" i="1"/>
  <c r="NGM1599" i="1"/>
  <c r="NGL1599" i="1"/>
  <c r="NGK1599" i="1"/>
  <c r="NGJ1599" i="1"/>
  <c r="NGI1599" i="1"/>
  <c r="NGH1599" i="1"/>
  <c r="NGG1599" i="1"/>
  <c r="NGF1599" i="1"/>
  <c r="NGE1599" i="1"/>
  <c r="NGD1599" i="1"/>
  <c r="NGC1599" i="1"/>
  <c r="NGB1599" i="1"/>
  <c r="NGA1599" i="1"/>
  <c r="NFZ1599" i="1"/>
  <c r="NFY1599" i="1"/>
  <c r="NFX1599" i="1"/>
  <c r="NFW1599" i="1"/>
  <c r="NFV1599" i="1"/>
  <c r="NFU1599" i="1"/>
  <c r="NFT1599" i="1"/>
  <c r="NFS1599" i="1"/>
  <c r="NFR1599" i="1"/>
  <c r="NFQ1599" i="1"/>
  <c r="NFP1599" i="1"/>
  <c r="NFO1599" i="1"/>
  <c r="NFN1599" i="1"/>
  <c r="NFM1599" i="1"/>
  <c r="NFL1599" i="1"/>
  <c r="NFK1599" i="1"/>
  <c r="NFJ1599" i="1"/>
  <c r="NFI1599" i="1"/>
  <c r="NFH1599" i="1"/>
  <c r="NFG1599" i="1"/>
  <c r="NFF1599" i="1"/>
  <c r="NFE1599" i="1"/>
  <c r="NFD1599" i="1"/>
  <c r="NFC1599" i="1"/>
  <c r="NFB1599" i="1"/>
  <c r="NFA1599" i="1"/>
  <c r="NEZ1599" i="1"/>
  <c r="NEY1599" i="1"/>
  <c r="NEX1599" i="1"/>
  <c r="NEW1599" i="1"/>
  <c r="NEV1599" i="1"/>
  <c r="NEU1599" i="1"/>
  <c r="NET1599" i="1"/>
  <c r="NES1599" i="1"/>
  <c r="NER1599" i="1"/>
  <c r="NEQ1599" i="1"/>
  <c r="NEP1599" i="1"/>
  <c r="NEO1599" i="1"/>
  <c r="NEN1599" i="1"/>
  <c r="NEM1599" i="1"/>
  <c r="NEL1599" i="1"/>
  <c r="NEK1599" i="1"/>
  <c r="NEJ1599" i="1"/>
  <c r="NEI1599" i="1"/>
  <c r="NEH1599" i="1"/>
  <c r="NEG1599" i="1"/>
  <c r="NEF1599" i="1"/>
  <c r="NEE1599" i="1"/>
  <c r="NED1599" i="1"/>
  <c r="NEC1599" i="1"/>
  <c r="NEB1599" i="1"/>
  <c r="NEA1599" i="1"/>
  <c r="NDZ1599" i="1"/>
  <c r="NDY1599" i="1"/>
  <c r="NDX1599" i="1"/>
  <c r="NDW1599" i="1"/>
  <c r="NDV1599" i="1"/>
  <c r="NDU1599" i="1"/>
  <c r="NDT1599" i="1"/>
  <c r="NDS1599" i="1"/>
  <c r="NDR1599" i="1"/>
  <c r="NDQ1599" i="1"/>
  <c r="NDP1599" i="1"/>
  <c r="NDO1599" i="1"/>
  <c r="NDN1599" i="1"/>
  <c r="NDM1599" i="1"/>
  <c r="NDL1599" i="1"/>
  <c r="NDK1599" i="1"/>
  <c r="NDJ1599" i="1"/>
  <c r="NDI1599" i="1"/>
  <c r="NDH1599" i="1"/>
  <c r="NDG1599" i="1"/>
  <c r="NDF1599" i="1"/>
  <c r="NDE1599" i="1"/>
  <c r="NDD1599" i="1"/>
  <c r="NDC1599" i="1"/>
  <c r="NDB1599" i="1"/>
  <c r="NDA1599" i="1"/>
  <c r="NCZ1599" i="1"/>
  <c r="NCY1599" i="1"/>
  <c r="NCX1599" i="1"/>
  <c r="NCW1599" i="1"/>
  <c r="NCV1599" i="1"/>
  <c r="NCU1599" i="1"/>
  <c r="NCT1599" i="1"/>
  <c r="NCS1599" i="1"/>
  <c r="NCR1599" i="1"/>
  <c r="NCQ1599" i="1"/>
  <c r="NCP1599" i="1"/>
  <c r="NCO1599" i="1"/>
  <c r="NCN1599" i="1"/>
  <c r="NCM1599" i="1"/>
  <c r="NCL1599" i="1"/>
  <c r="NCK1599" i="1"/>
  <c r="NCJ1599" i="1"/>
  <c r="NCI1599" i="1"/>
  <c r="NCH1599" i="1"/>
  <c r="NCG1599" i="1"/>
  <c r="NCF1599" i="1"/>
  <c r="NCE1599" i="1"/>
  <c r="NCD1599" i="1"/>
  <c r="NCC1599" i="1"/>
  <c r="NCB1599" i="1"/>
  <c r="NCA1599" i="1"/>
  <c r="NBZ1599" i="1"/>
  <c r="NBY1599" i="1"/>
  <c r="NBX1599" i="1"/>
  <c r="NBW1599" i="1"/>
  <c r="NBV1599" i="1"/>
  <c r="NBU1599" i="1"/>
  <c r="NBT1599" i="1"/>
  <c r="NBS1599" i="1"/>
  <c r="NBR1599" i="1"/>
  <c r="NBQ1599" i="1"/>
  <c r="NBP1599" i="1"/>
  <c r="NBO1599" i="1"/>
  <c r="NBN1599" i="1"/>
  <c r="NBM1599" i="1"/>
  <c r="NBL1599" i="1"/>
  <c r="NBK1599" i="1"/>
  <c r="NBJ1599" i="1"/>
  <c r="NBI1599" i="1"/>
  <c r="NBH1599" i="1"/>
  <c r="NBG1599" i="1"/>
  <c r="NBF1599" i="1"/>
  <c r="NBE1599" i="1"/>
  <c r="NBD1599" i="1"/>
  <c r="NBC1599" i="1"/>
  <c r="NBB1599" i="1"/>
  <c r="NBA1599" i="1"/>
  <c r="NAZ1599" i="1"/>
  <c r="NAY1599" i="1"/>
  <c r="NAX1599" i="1"/>
  <c r="NAW1599" i="1"/>
  <c r="NAV1599" i="1"/>
  <c r="NAU1599" i="1"/>
  <c r="NAT1599" i="1"/>
  <c r="NAS1599" i="1"/>
  <c r="NAR1599" i="1"/>
  <c r="NAQ1599" i="1"/>
  <c r="NAP1599" i="1"/>
  <c r="NAO1599" i="1"/>
  <c r="NAN1599" i="1"/>
  <c r="NAM1599" i="1"/>
  <c r="NAL1599" i="1"/>
  <c r="NAK1599" i="1"/>
  <c r="NAJ1599" i="1"/>
  <c r="NAI1599" i="1"/>
  <c r="NAH1599" i="1"/>
  <c r="NAG1599" i="1"/>
  <c r="NAF1599" i="1"/>
  <c r="NAE1599" i="1"/>
  <c r="NAD1599" i="1"/>
  <c r="NAC1599" i="1"/>
  <c r="NAB1599" i="1"/>
  <c r="NAA1599" i="1"/>
  <c r="MZZ1599" i="1"/>
  <c r="MZY1599" i="1"/>
  <c r="MZX1599" i="1"/>
  <c r="MZW1599" i="1"/>
  <c r="MZV1599" i="1"/>
  <c r="MZU1599" i="1"/>
  <c r="MZT1599" i="1"/>
  <c r="MZS1599" i="1"/>
  <c r="MZR1599" i="1"/>
  <c r="MZQ1599" i="1"/>
  <c r="MZP1599" i="1"/>
  <c r="MZO1599" i="1"/>
  <c r="MZN1599" i="1"/>
  <c r="MZM1599" i="1"/>
  <c r="MZL1599" i="1"/>
  <c r="MZK1599" i="1"/>
  <c r="MZJ1599" i="1"/>
  <c r="MZI1599" i="1"/>
  <c r="MZH1599" i="1"/>
  <c r="MZG1599" i="1"/>
  <c r="MZF1599" i="1"/>
  <c r="MZE1599" i="1"/>
  <c r="MZD1599" i="1"/>
  <c r="MZC1599" i="1"/>
  <c r="MZB1599" i="1"/>
  <c r="MZA1599" i="1"/>
  <c r="MYZ1599" i="1"/>
  <c r="MYY1599" i="1"/>
  <c r="MYX1599" i="1"/>
  <c r="MYW1599" i="1"/>
  <c r="MYV1599" i="1"/>
  <c r="MYU1599" i="1"/>
  <c r="MYT1599" i="1"/>
  <c r="MYS1599" i="1"/>
  <c r="MYR1599" i="1"/>
  <c r="MYQ1599" i="1"/>
  <c r="MYP1599" i="1"/>
  <c r="MYO1599" i="1"/>
  <c r="MYN1599" i="1"/>
  <c r="MYM1599" i="1"/>
  <c r="MYL1599" i="1"/>
  <c r="MYK1599" i="1"/>
  <c r="MYJ1599" i="1"/>
  <c r="MYI1599" i="1"/>
  <c r="MYH1599" i="1"/>
  <c r="MYG1599" i="1"/>
  <c r="MYF1599" i="1"/>
  <c r="MYE1599" i="1"/>
  <c r="MYD1599" i="1"/>
  <c r="MYC1599" i="1"/>
  <c r="MYB1599" i="1"/>
  <c r="MYA1599" i="1"/>
  <c r="MXZ1599" i="1"/>
  <c r="MXY1599" i="1"/>
  <c r="MXX1599" i="1"/>
  <c r="MXW1599" i="1"/>
  <c r="MXV1599" i="1"/>
  <c r="MXU1599" i="1"/>
  <c r="MXT1599" i="1"/>
  <c r="MXS1599" i="1"/>
  <c r="MXR1599" i="1"/>
  <c r="MXQ1599" i="1"/>
  <c r="MXP1599" i="1"/>
  <c r="MXO1599" i="1"/>
  <c r="MXN1599" i="1"/>
  <c r="MXM1599" i="1"/>
  <c r="MXL1599" i="1"/>
  <c r="MXK1599" i="1"/>
  <c r="MXJ1599" i="1"/>
  <c r="MXI1599" i="1"/>
  <c r="MXH1599" i="1"/>
  <c r="MXG1599" i="1"/>
  <c r="MXF1599" i="1"/>
  <c r="MXE1599" i="1"/>
  <c r="MXD1599" i="1"/>
  <c r="MXC1599" i="1"/>
  <c r="MXB1599" i="1"/>
  <c r="MXA1599" i="1"/>
  <c r="MWZ1599" i="1"/>
  <c r="MWY1599" i="1"/>
  <c r="MWX1599" i="1"/>
  <c r="MWW1599" i="1"/>
  <c r="MWV1599" i="1"/>
  <c r="MWU1599" i="1"/>
  <c r="MWT1599" i="1"/>
  <c r="MWS1599" i="1"/>
  <c r="MWR1599" i="1"/>
  <c r="MWQ1599" i="1"/>
  <c r="MWP1599" i="1"/>
  <c r="MWO1599" i="1"/>
  <c r="MWN1599" i="1"/>
  <c r="MWM1599" i="1"/>
  <c r="MWL1599" i="1"/>
  <c r="MWK1599" i="1"/>
  <c r="MWJ1599" i="1"/>
  <c r="MWI1599" i="1"/>
  <c r="MWH1599" i="1"/>
  <c r="MWG1599" i="1"/>
  <c r="MWF1599" i="1"/>
  <c r="MWE1599" i="1"/>
  <c r="MWD1599" i="1"/>
  <c r="MWC1599" i="1"/>
  <c r="MWB1599" i="1"/>
  <c r="MWA1599" i="1"/>
  <c r="MVZ1599" i="1"/>
  <c r="MVY1599" i="1"/>
  <c r="MVX1599" i="1"/>
  <c r="MVW1599" i="1"/>
  <c r="MVV1599" i="1"/>
  <c r="MVU1599" i="1"/>
  <c r="MVT1599" i="1"/>
  <c r="MVS1599" i="1"/>
  <c r="MVR1599" i="1"/>
  <c r="MVQ1599" i="1"/>
  <c r="MVP1599" i="1"/>
  <c r="MVO1599" i="1"/>
  <c r="MVN1599" i="1"/>
  <c r="MVM1599" i="1"/>
  <c r="MVL1599" i="1"/>
  <c r="MVK1599" i="1"/>
  <c r="MVJ1599" i="1"/>
  <c r="MVI1599" i="1"/>
  <c r="MVH1599" i="1"/>
  <c r="MVG1599" i="1"/>
  <c r="MVF1599" i="1"/>
  <c r="MVE1599" i="1"/>
  <c r="MVD1599" i="1"/>
  <c r="MVC1599" i="1"/>
  <c r="MVB1599" i="1"/>
  <c r="MVA1599" i="1"/>
  <c r="MUZ1599" i="1"/>
  <c r="MUY1599" i="1"/>
  <c r="MUX1599" i="1"/>
  <c r="MUW1599" i="1"/>
  <c r="MUV1599" i="1"/>
  <c r="MUU1599" i="1"/>
  <c r="MUT1599" i="1"/>
  <c r="MUS1599" i="1"/>
  <c r="MUR1599" i="1"/>
  <c r="MUQ1599" i="1"/>
  <c r="MUP1599" i="1"/>
  <c r="MUO1599" i="1"/>
  <c r="MUN1599" i="1"/>
  <c r="MUM1599" i="1"/>
  <c r="MUL1599" i="1"/>
  <c r="MUK1599" i="1"/>
  <c r="MUJ1599" i="1"/>
  <c r="MUI1599" i="1"/>
  <c r="MUH1599" i="1"/>
  <c r="MUG1599" i="1"/>
  <c r="MUF1599" i="1"/>
  <c r="MUE1599" i="1"/>
  <c r="MUD1599" i="1"/>
  <c r="MUC1599" i="1"/>
  <c r="MUB1599" i="1"/>
  <c r="MUA1599" i="1"/>
  <c r="MTZ1599" i="1"/>
  <c r="MTY1599" i="1"/>
  <c r="MTX1599" i="1"/>
  <c r="MTW1599" i="1"/>
  <c r="MTV1599" i="1"/>
  <c r="MTU1599" i="1"/>
  <c r="MTT1599" i="1"/>
  <c r="MTS1599" i="1"/>
  <c r="MTR1599" i="1"/>
  <c r="MTQ1599" i="1"/>
  <c r="MTP1599" i="1"/>
  <c r="MTO1599" i="1"/>
  <c r="MTN1599" i="1"/>
  <c r="MTM1599" i="1"/>
  <c r="MTL1599" i="1"/>
  <c r="MTK1599" i="1"/>
  <c r="MTJ1599" i="1"/>
  <c r="MTI1599" i="1"/>
  <c r="MTH1599" i="1"/>
  <c r="MTG1599" i="1"/>
  <c r="MTF1599" i="1"/>
  <c r="MTE1599" i="1"/>
  <c r="MTD1599" i="1"/>
  <c r="MTC1599" i="1"/>
  <c r="MTB1599" i="1"/>
  <c r="MTA1599" i="1"/>
  <c r="MSZ1599" i="1"/>
  <c r="MSY1599" i="1"/>
  <c r="MSX1599" i="1"/>
  <c r="MSW1599" i="1"/>
  <c r="MSV1599" i="1"/>
  <c r="MSU1599" i="1"/>
  <c r="MST1599" i="1"/>
  <c r="MSS1599" i="1"/>
  <c r="MSR1599" i="1"/>
  <c r="MSQ1599" i="1"/>
  <c r="MSP1599" i="1"/>
  <c r="MSO1599" i="1"/>
  <c r="MSN1599" i="1"/>
  <c r="MSM1599" i="1"/>
  <c r="MSL1599" i="1"/>
  <c r="MSK1599" i="1"/>
  <c r="MSJ1599" i="1"/>
  <c r="MSI1599" i="1"/>
  <c r="MSH1599" i="1"/>
  <c r="MSG1599" i="1"/>
  <c r="MSF1599" i="1"/>
  <c r="MSE1599" i="1"/>
  <c r="MSD1599" i="1"/>
  <c r="MSC1599" i="1"/>
  <c r="MSB1599" i="1"/>
  <c r="MSA1599" i="1"/>
  <c r="MRZ1599" i="1"/>
  <c r="MRY1599" i="1"/>
  <c r="MRX1599" i="1"/>
  <c r="MRW1599" i="1"/>
  <c r="MRV1599" i="1"/>
  <c r="MRU1599" i="1"/>
  <c r="MRT1599" i="1"/>
  <c r="MRS1599" i="1"/>
  <c r="MRR1599" i="1"/>
  <c r="MRQ1599" i="1"/>
  <c r="MRP1599" i="1"/>
  <c r="MRO1599" i="1"/>
  <c r="MRN1599" i="1"/>
  <c r="MRM1599" i="1"/>
  <c r="MRL1599" i="1"/>
  <c r="MRK1599" i="1"/>
  <c r="MRJ1599" i="1"/>
  <c r="MRI1599" i="1"/>
  <c r="MRH1599" i="1"/>
  <c r="MRG1599" i="1"/>
  <c r="MRF1599" i="1"/>
  <c r="MRE1599" i="1"/>
  <c r="MRD1599" i="1"/>
  <c r="MRC1599" i="1"/>
  <c r="MRB1599" i="1"/>
  <c r="MRA1599" i="1"/>
  <c r="MQZ1599" i="1"/>
  <c r="MQY1599" i="1"/>
  <c r="MQX1599" i="1"/>
  <c r="MQW1599" i="1"/>
  <c r="MQV1599" i="1"/>
  <c r="MQU1599" i="1"/>
  <c r="MQT1599" i="1"/>
  <c r="MQS1599" i="1"/>
  <c r="MQR1599" i="1"/>
  <c r="MQQ1599" i="1"/>
  <c r="MQP1599" i="1"/>
  <c r="MQO1599" i="1"/>
  <c r="MQN1599" i="1"/>
  <c r="MQM1599" i="1"/>
  <c r="MQL1599" i="1"/>
  <c r="MQK1599" i="1"/>
  <c r="MQJ1599" i="1"/>
  <c r="MQI1599" i="1"/>
  <c r="MQH1599" i="1"/>
  <c r="MQG1599" i="1"/>
  <c r="MQF1599" i="1"/>
  <c r="MQE1599" i="1"/>
  <c r="MQD1599" i="1"/>
  <c r="MQC1599" i="1"/>
  <c r="MQB1599" i="1"/>
  <c r="MQA1599" i="1"/>
  <c r="MPZ1599" i="1"/>
  <c r="MPY1599" i="1"/>
  <c r="MPX1599" i="1"/>
  <c r="MPW1599" i="1"/>
  <c r="MPV1599" i="1"/>
  <c r="MPU1599" i="1"/>
  <c r="MPT1599" i="1"/>
  <c r="MPS1599" i="1"/>
  <c r="MPR1599" i="1"/>
  <c r="MPQ1599" i="1"/>
  <c r="MPP1599" i="1"/>
  <c r="MPO1599" i="1"/>
  <c r="MPN1599" i="1"/>
  <c r="MPM1599" i="1"/>
  <c r="MPL1599" i="1"/>
  <c r="MPK1599" i="1"/>
  <c r="MPJ1599" i="1"/>
  <c r="MPI1599" i="1"/>
  <c r="MPH1599" i="1"/>
  <c r="MPG1599" i="1"/>
  <c r="MPF1599" i="1"/>
  <c r="MPE1599" i="1"/>
  <c r="MPD1599" i="1"/>
  <c r="MPC1599" i="1"/>
  <c r="MPB1599" i="1"/>
  <c r="MPA1599" i="1"/>
  <c r="MOZ1599" i="1"/>
  <c r="MOY1599" i="1"/>
  <c r="MOX1599" i="1"/>
  <c r="MOW1599" i="1"/>
  <c r="MOV1599" i="1"/>
  <c r="MOU1599" i="1"/>
  <c r="MOT1599" i="1"/>
  <c r="MOS1599" i="1"/>
  <c r="MOR1599" i="1"/>
  <c r="MOQ1599" i="1"/>
  <c r="MOP1599" i="1"/>
  <c r="MOO1599" i="1"/>
  <c r="MON1599" i="1"/>
  <c r="MOM1599" i="1"/>
  <c r="MOL1599" i="1"/>
  <c r="MOK1599" i="1"/>
  <c r="MOJ1599" i="1"/>
  <c r="MOI1599" i="1"/>
  <c r="MOH1599" i="1"/>
  <c r="MOG1599" i="1"/>
  <c r="MOF1599" i="1"/>
  <c r="MOE1599" i="1"/>
  <c r="MOD1599" i="1"/>
  <c r="MOC1599" i="1"/>
  <c r="MOB1599" i="1"/>
  <c r="MOA1599" i="1"/>
  <c r="MNZ1599" i="1"/>
  <c r="MNY1599" i="1"/>
  <c r="MNX1599" i="1"/>
  <c r="MNW1599" i="1"/>
  <c r="MNV1599" i="1"/>
  <c r="MNU1599" i="1"/>
  <c r="MNT1599" i="1"/>
  <c r="MNS1599" i="1"/>
  <c r="MNR1599" i="1"/>
  <c r="MNQ1599" i="1"/>
  <c r="MNP1599" i="1"/>
  <c r="MNO1599" i="1"/>
  <c r="MNN1599" i="1"/>
  <c r="MNM1599" i="1"/>
  <c r="MNL1599" i="1"/>
  <c r="MNK1599" i="1"/>
  <c r="MNJ1599" i="1"/>
  <c r="MNI1599" i="1"/>
  <c r="MNH1599" i="1"/>
  <c r="MNG1599" i="1"/>
  <c r="MNF1599" i="1"/>
  <c r="MNE1599" i="1"/>
  <c r="MND1599" i="1"/>
  <c r="MNC1599" i="1"/>
  <c r="MNB1599" i="1"/>
  <c r="MNA1599" i="1"/>
  <c r="MMZ1599" i="1"/>
  <c r="MMY1599" i="1"/>
  <c r="MMX1599" i="1"/>
  <c r="MMW1599" i="1"/>
  <c r="MMV1599" i="1"/>
  <c r="MMU1599" i="1"/>
  <c r="MMT1599" i="1"/>
  <c r="MMS1599" i="1"/>
  <c r="MMR1599" i="1"/>
  <c r="MMQ1599" i="1"/>
  <c r="MMP1599" i="1"/>
  <c r="MMO1599" i="1"/>
  <c r="MMN1599" i="1"/>
  <c r="MMM1599" i="1"/>
  <c r="MML1599" i="1"/>
  <c r="MMK1599" i="1"/>
  <c r="MMJ1599" i="1"/>
  <c r="MMI1599" i="1"/>
  <c r="MMH1599" i="1"/>
  <c r="MMG1599" i="1"/>
  <c r="MMF1599" i="1"/>
  <c r="MME1599" i="1"/>
  <c r="MMD1599" i="1"/>
  <c r="MMC1599" i="1"/>
  <c r="MMB1599" i="1"/>
  <c r="MMA1599" i="1"/>
  <c r="MLZ1599" i="1"/>
  <c r="MLY1599" i="1"/>
  <c r="MLX1599" i="1"/>
  <c r="MLW1599" i="1"/>
  <c r="MLV1599" i="1"/>
  <c r="MLU1599" i="1"/>
  <c r="MLT1599" i="1"/>
  <c r="MLS1599" i="1"/>
  <c r="MLR1599" i="1"/>
  <c r="MLQ1599" i="1"/>
  <c r="MLP1599" i="1"/>
  <c r="MLO1599" i="1"/>
  <c r="MLN1599" i="1"/>
  <c r="MLM1599" i="1"/>
  <c r="MLL1599" i="1"/>
  <c r="MLK1599" i="1"/>
  <c r="MLJ1599" i="1"/>
  <c r="MLI1599" i="1"/>
  <c r="MLH1599" i="1"/>
  <c r="MLG1599" i="1"/>
  <c r="MLF1599" i="1"/>
  <c r="MLE1599" i="1"/>
  <c r="MLD1599" i="1"/>
  <c r="MLC1599" i="1"/>
  <c r="MLB1599" i="1"/>
  <c r="MLA1599" i="1"/>
  <c r="MKZ1599" i="1"/>
  <c r="MKY1599" i="1"/>
  <c r="MKX1599" i="1"/>
  <c r="MKW1599" i="1"/>
  <c r="MKV1599" i="1"/>
  <c r="MKU1599" i="1"/>
  <c r="MKT1599" i="1"/>
  <c r="MKS1599" i="1"/>
  <c r="MKR1599" i="1"/>
  <c r="MKQ1599" i="1"/>
  <c r="MKP1599" i="1"/>
  <c r="MKO1599" i="1"/>
  <c r="MKN1599" i="1"/>
  <c r="MKM1599" i="1"/>
  <c r="MKL1599" i="1"/>
  <c r="MKK1599" i="1"/>
  <c r="MKJ1599" i="1"/>
  <c r="MKI1599" i="1"/>
  <c r="MKH1599" i="1"/>
  <c r="MKG1599" i="1"/>
  <c r="MKF1599" i="1"/>
  <c r="MKE1599" i="1"/>
  <c r="MKD1599" i="1"/>
  <c r="MKC1599" i="1"/>
  <c r="MKB1599" i="1"/>
  <c r="MKA1599" i="1"/>
  <c r="MJZ1599" i="1"/>
  <c r="MJY1599" i="1"/>
  <c r="MJX1599" i="1"/>
  <c r="MJW1599" i="1"/>
  <c r="MJV1599" i="1"/>
  <c r="MJU1599" i="1"/>
  <c r="MJT1599" i="1"/>
  <c r="MJS1599" i="1"/>
  <c r="MJR1599" i="1"/>
  <c r="MJQ1599" i="1"/>
  <c r="MJP1599" i="1"/>
  <c r="MJO1599" i="1"/>
  <c r="MJN1599" i="1"/>
  <c r="MJM1599" i="1"/>
  <c r="MJL1599" i="1"/>
  <c r="MJK1599" i="1"/>
  <c r="MJJ1599" i="1"/>
  <c r="MJI1599" i="1"/>
  <c r="MJH1599" i="1"/>
  <c r="MJG1599" i="1"/>
  <c r="MJF1599" i="1"/>
  <c r="MJE1599" i="1"/>
  <c r="MJD1599" i="1"/>
  <c r="MJC1599" i="1"/>
  <c r="MJB1599" i="1"/>
  <c r="MJA1599" i="1"/>
  <c r="MIZ1599" i="1"/>
  <c r="MIY1599" i="1"/>
  <c r="MIX1599" i="1"/>
  <c r="MIW1599" i="1"/>
  <c r="MIV1599" i="1"/>
  <c r="MIU1599" i="1"/>
  <c r="MIT1599" i="1"/>
  <c r="MIS1599" i="1"/>
  <c r="MIR1599" i="1"/>
  <c r="MIQ1599" i="1"/>
  <c r="MIP1599" i="1"/>
  <c r="MIO1599" i="1"/>
  <c r="MIN1599" i="1"/>
  <c r="MIM1599" i="1"/>
  <c r="MIL1599" i="1"/>
  <c r="MIK1599" i="1"/>
  <c r="MIJ1599" i="1"/>
  <c r="MII1599" i="1"/>
  <c r="MIH1599" i="1"/>
  <c r="MIG1599" i="1"/>
  <c r="MIF1599" i="1"/>
  <c r="MIE1599" i="1"/>
  <c r="MID1599" i="1"/>
  <c r="MIC1599" i="1"/>
  <c r="MIB1599" i="1"/>
  <c r="MIA1599" i="1"/>
  <c r="MHZ1599" i="1"/>
  <c r="MHY1599" i="1"/>
  <c r="MHX1599" i="1"/>
  <c r="MHW1599" i="1"/>
  <c r="MHV1599" i="1"/>
  <c r="MHU1599" i="1"/>
  <c r="MHT1599" i="1"/>
  <c r="MHS1599" i="1"/>
  <c r="MHR1599" i="1"/>
  <c r="MHQ1599" i="1"/>
  <c r="MHP1599" i="1"/>
  <c r="MHO1599" i="1"/>
  <c r="MHN1599" i="1"/>
  <c r="MHM1599" i="1"/>
  <c r="MHL1599" i="1"/>
  <c r="MHK1599" i="1"/>
  <c r="MHJ1599" i="1"/>
  <c r="MHI1599" i="1"/>
  <c r="MHH1599" i="1"/>
  <c r="MHG1599" i="1"/>
  <c r="MHF1599" i="1"/>
  <c r="MHE1599" i="1"/>
  <c r="MHD1599" i="1"/>
  <c r="MHC1599" i="1"/>
  <c r="MHB1599" i="1"/>
  <c r="MHA1599" i="1"/>
  <c r="MGZ1599" i="1"/>
  <c r="MGY1599" i="1"/>
  <c r="MGX1599" i="1"/>
  <c r="MGW1599" i="1"/>
  <c r="MGV1599" i="1"/>
  <c r="MGU1599" i="1"/>
  <c r="MGT1599" i="1"/>
  <c r="MGS1599" i="1"/>
  <c r="MGR1599" i="1"/>
  <c r="MGQ1599" i="1"/>
  <c r="MGP1599" i="1"/>
  <c r="MGO1599" i="1"/>
  <c r="MGN1599" i="1"/>
  <c r="MGM1599" i="1"/>
  <c r="MGL1599" i="1"/>
  <c r="MGK1599" i="1"/>
  <c r="MGJ1599" i="1"/>
  <c r="MGI1599" i="1"/>
  <c r="MGH1599" i="1"/>
  <c r="MGG1599" i="1"/>
  <c r="MGF1599" i="1"/>
  <c r="MGE1599" i="1"/>
  <c r="MGD1599" i="1"/>
  <c r="MGC1599" i="1"/>
  <c r="MGB1599" i="1"/>
  <c r="MGA1599" i="1"/>
  <c r="MFZ1599" i="1"/>
  <c r="MFY1599" i="1"/>
  <c r="MFX1599" i="1"/>
  <c r="MFW1599" i="1"/>
  <c r="MFV1599" i="1"/>
  <c r="MFU1599" i="1"/>
  <c r="MFT1599" i="1"/>
  <c r="MFS1599" i="1"/>
  <c r="MFR1599" i="1"/>
  <c r="MFQ1599" i="1"/>
  <c r="MFP1599" i="1"/>
  <c r="MFO1599" i="1"/>
  <c r="MFN1599" i="1"/>
  <c r="MFM1599" i="1"/>
  <c r="MFL1599" i="1"/>
  <c r="MFK1599" i="1"/>
  <c r="MFJ1599" i="1"/>
  <c r="MFI1599" i="1"/>
  <c r="MFH1599" i="1"/>
  <c r="MFG1599" i="1"/>
  <c r="MFF1599" i="1"/>
  <c r="MFE1599" i="1"/>
  <c r="MFD1599" i="1"/>
  <c r="MFC1599" i="1"/>
  <c r="MFB1599" i="1"/>
  <c r="MFA1599" i="1"/>
  <c r="MEZ1599" i="1"/>
  <c r="MEY1599" i="1"/>
  <c r="MEX1599" i="1"/>
  <c r="MEW1599" i="1"/>
  <c r="MEV1599" i="1"/>
  <c r="MEU1599" i="1"/>
  <c r="MET1599" i="1"/>
  <c r="MES1599" i="1"/>
  <c r="MER1599" i="1"/>
  <c r="MEQ1599" i="1"/>
  <c r="MEP1599" i="1"/>
  <c r="MEO1599" i="1"/>
  <c r="MEN1599" i="1"/>
  <c r="MEM1599" i="1"/>
  <c r="MEL1599" i="1"/>
  <c r="MEK1599" i="1"/>
  <c r="MEJ1599" i="1"/>
  <c r="MEI1599" i="1"/>
  <c r="MEH1599" i="1"/>
  <c r="MEG1599" i="1"/>
  <c r="MEF1599" i="1"/>
  <c r="MEE1599" i="1"/>
  <c r="MED1599" i="1"/>
  <c r="MEC1599" i="1"/>
  <c r="MEB1599" i="1"/>
  <c r="MEA1599" i="1"/>
  <c r="MDZ1599" i="1"/>
  <c r="MDY1599" i="1"/>
  <c r="MDX1599" i="1"/>
  <c r="MDW1599" i="1"/>
  <c r="MDV1599" i="1"/>
  <c r="MDU1599" i="1"/>
  <c r="MDT1599" i="1"/>
  <c r="MDS1599" i="1"/>
  <c r="MDR1599" i="1"/>
  <c r="MDQ1599" i="1"/>
  <c r="MDP1599" i="1"/>
  <c r="MDO1599" i="1"/>
  <c r="MDN1599" i="1"/>
  <c r="MDM1599" i="1"/>
  <c r="MDL1599" i="1"/>
  <c r="MDK1599" i="1"/>
  <c r="MDJ1599" i="1"/>
  <c r="MDI1599" i="1"/>
  <c r="MDH1599" i="1"/>
  <c r="MDG1599" i="1"/>
  <c r="MDF1599" i="1"/>
  <c r="MDE1599" i="1"/>
  <c r="MDD1599" i="1"/>
  <c r="MDC1599" i="1"/>
  <c r="MDB1599" i="1"/>
  <c r="MDA1599" i="1"/>
  <c r="MCZ1599" i="1"/>
  <c r="MCY1599" i="1"/>
  <c r="MCX1599" i="1"/>
  <c r="MCW1599" i="1"/>
  <c r="MCV1599" i="1"/>
  <c r="MCU1599" i="1"/>
  <c r="MCT1599" i="1"/>
  <c r="MCS1599" i="1"/>
  <c r="MCR1599" i="1"/>
  <c r="MCQ1599" i="1"/>
  <c r="MCP1599" i="1"/>
  <c r="MCO1599" i="1"/>
  <c r="MCN1599" i="1"/>
  <c r="MCM1599" i="1"/>
  <c r="MCL1599" i="1"/>
  <c r="MCK1599" i="1"/>
  <c r="MCJ1599" i="1"/>
  <c r="MCI1599" i="1"/>
  <c r="MCH1599" i="1"/>
  <c r="MCG1599" i="1"/>
  <c r="MCF1599" i="1"/>
  <c r="MCE1599" i="1"/>
  <c r="MCD1599" i="1"/>
  <c r="MCC1599" i="1"/>
  <c r="MCB1599" i="1"/>
  <c r="MCA1599" i="1"/>
  <c r="MBZ1599" i="1"/>
  <c r="MBY1599" i="1"/>
  <c r="MBX1599" i="1"/>
  <c r="MBW1599" i="1"/>
  <c r="MBV1599" i="1"/>
  <c r="MBU1599" i="1"/>
  <c r="MBT1599" i="1"/>
  <c r="MBS1599" i="1"/>
  <c r="MBR1599" i="1"/>
  <c r="MBQ1599" i="1"/>
  <c r="MBP1599" i="1"/>
  <c r="MBO1599" i="1"/>
  <c r="MBN1599" i="1"/>
  <c r="MBM1599" i="1"/>
  <c r="MBL1599" i="1"/>
  <c r="MBK1599" i="1"/>
  <c r="MBJ1599" i="1"/>
  <c r="MBI1599" i="1"/>
  <c r="MBH1599" i="1"/>
  <c r="MBG1599" i="1"/>
  <c r="MBF1599" i="1"/>
  <c r="MBE1599" i="1"/>
  <c r="MBD1599" i="1"/>
  <c r="MBC1599" i="1"/>
  <c r="MBB1599" i="1"/>
  <c r="MBA1599" i="1"/>
  <c r="MAZ1599" i="1"/>
  <c r="MAY1599" i="1"/>
  <c r="MAX1599" i="1"/>
  <c r="MAW1599" i="1"/>
  <c r="MAV1599" i="1"/>
  <c r="MAU1599" i="1"/>
  <c r="MAT1599" i="1"/>
  <c r="MAS1599" i="1"/>
  <c r="MAR1599" i="1"/>
  <c r="MAQ1599" i="1"/>
  <c r="MAP1599" i="1"/>
  <c r="MAO1599" i="1"/>
  <c r="MAN1599" i="1"/>
  <c r="MAM1599" i="1"/>
  <c r="MAL1599" i="1"/>
  <c r="MAK1599" i="1"/>
  <c r="MAJ1599" i="1"/>
  <c r="MAI1599" i="1"/>
  <c r="MAH1599" i="1"/>
  <c r="MAG1599" i="1"/>
  <c r="MAF1599" i="1"/>
  <c r="MAE1599" i="1"/>
  <c r="MAD1599" i="1"/>
  <c r="MAC1599" i="1"/>
  <c r="MAB1599" i="1"/>
  <c r="MAA1599" i="1"/>
  <c r="LZZ1599" i="1"/>
  <c r="LZY1599" i="1"/>
  <c r="LZX1599" i="1"/>
  <c r="LZW1599" i="1"/>
  <c r="LZV1599" i="1"/>
  <c r="LZU1599" i="1"/>
  <c r="LZT1599" i="1"/>
  <c r="LZS1599" i="1"/>
  <c r="LZR1599" i="1"/>
  <c r="LZQ1599" i="1"/>
  <c r="LZP1599" i="1"/>
  <c r="LZO1599" i="1"/>
  <c r="LZN1599" i="1"/>
  <c r="LZM1599" i="1"/>
  <c r="LZL1599" i="1"/>
  <c r="LZK1599" i="1"/>
  <c r="LZJ1599" i="1"/>
  <c r="LZI1599" i="1"/>
  <c r="LZH1599" i="1"/>
  <c r="LZG1599" i="1"/>
  <c r="LZF1599" i="1"/>
  <c r="LZE1599" i="1"/>
  <c r="LZD1599" i="1"/>
  <c r="LZC1599" i="1"/>
  <c r="LZB1599" i="1"/>
  <c r="LZA1599" i="1"/>
  <c r="LYZ1599" i="1"/>
  <c r="LYY1599" i="1"/>
  <c r="LYX1599" i="1"/>
  <c r="LYW1599" i="1"/>
  <c r="LYV1599" i="1"/>
  <c r="LYU1599" i="1"/>
  <c r="LYT1599" i="1"/>
  <c r="LYS1599" i="1"/>
  <c r="LYR1599" i="1"/>
  <c r="LYQ1599" i="1"/>
  <c r="LYP1599" i="1"/>
  <c r="LYO1599" i="1"/>
  <c r="LYN1599" i="1"/>
  <c r="LYM1599" i="1"/>
  <c r="LYL1599" i="1"/>
  <c r="LYK1599" i="1"/>
  <c r="LYJ1599" i="1"/>
  <c r="LYI1599" i="1"/>
  <c r="LYH1599" i="1"/>
  <c r="LYG1599" i="1"/>
  <c r="LYF1599" i="1"/>
  <c r="LYE1599" i="1"/>
  <c r="LYD1599" i="1"/>
  <c r="LYC1599" i="1"/>
  <c r="LYB1599" i="1"/>
  <c r="LYA1599" i="1"/>
  <c r="LXZ1599" i="1"/>
  <c r="LXY1599" i="1"/>
  <c r="LXX1599" i="1"/>
  <c r="LXW1599" i="1"/>
  <c r="LXV1599" i="1"/>
  <c r="LXU1599" i="1"/>
  <c r="LXT1599" i="1"/>
  <c r="LXS1599" i="1"/>
  <c r="LXR1599" i="1"/>
  <c r="LXQ1599" i="1"/>
  <c r="LXP1599" i="1"/>
  <c r="LXO1599" i="1"/>
  <c r="LXN1599" i="1"/>
  <c r="LXM1599" i="1"/>
  <c r="LXL1599" i="1"/>
  <c r="LXK1599" i="1"/>
  <c r="LXJ1599" i="1"/>
  <c r="LXI1599" i="1"/>
  <c r="LXH1599" i="1"/>
  <c r="LXG1599" i="1"/>
  <c r="LXF1599" i="1"/>
  <c r="LXE1599" i="1"/>
  <c r="LXD1599" i="1"/>
  <c r="LXC1599" i="1"/>
  <c r="LXB1599" i="1"/>
  <c r="LXA1599" i="1"/>
  <c r="LWZ1599" i="1"/>
  <c r="LWY1599" i="1"/>
  <c r="LWX1599" i="1"/>
  <c r="LWW1599" i="1"/>
  <c r="LWV1599" i="1"/>
  <c r="LWU1599" i="1"/>
  <c r="LWT1599" i="1"/>
  <c r="LWS1599" i="1"/>
  <c r="LWR1599" i="1"/>
  <c r="LWQ1599" i="1"/>
  <c r="LWP1599" i="1"/>
  <c r="LWO1599" i="1"/>
  <c r="LWN1599" i="1"/>
  <c r="LWM1599" i="1"/>
  <c r="LWL1599" i="1"/>
  <c r="LWK1599" i="1"/>
  <c r="LWJ1599" i="1"/>
  <c r="LWI1599" i="1"/>
  <c r="LWH1599" i="1"/>
  <c r="LWG1599" i="1"/>
  <c r="LWF1599" i="1"/>
  <c r="LWE1599" i="1"/>
  <c r="LWD1599" i="1"/>
  <c r="LWC1599" i="1"/>
  <c r="LWB1599" i="1"/>
  <c r="LWA1599" i="1"/>
  <c r="LVZ1599" i="1"/>
  <c r="LVY1599" i="1"/>
  <c r="LVX1599" i="1"/>
  <c r="LVW1599" i="1"/>
  <c r="LVV1599" i="1"/>
  <c r="LVU1599" i="1"/>
  <c r="LVT1599" i="1"/>
  <c r="LVS1599" i="1"/>
  <c r="LVR1599" i="1"/>
  <c r="LVQ1599" i="1"/>
  <c r="LVP1599" i="1"/>
  <c r="LVO1599" i="1"/>
  <c r="LVN1599" i="1"/>
  <c r="LVM1599" i="1"/>
  <c r="LVL1599" i="1"/>
  <c r="LVK1599" i="1"/>
  <c r="LVJ1599" i="1"/>
  <c r="LVI1599" i="1"/>
  <c r="LVH1599" i="1"/>
  <c r="LVG1599" i="1"/>
  <c r="LVF1599" i="1"/>
  <c r="LVE1599" i="1"/>
  <c r="LVD1599" i="1"/>
  <c r="LVC1599" i="1"/>
  <c r="LVB1599" i="1"/>
  <c r="LVA1599" i="1"/>
  <c r="LUZ1599" i="1"/>
  <c r="LUY1599" i="1"/>
  <c r="LUX1599" i="1"/>
  <c r="LUW1599" i="1"/>
  <c r="LUV1599" i="1"/>
  <c r="LUU1599" i="1"/>
  <c r="LUT1599" i="1"/>
  <c r="LUS1599" i="1"/>
  <c r="LUR1599" i="1"/>
  <c r="LUQ1599" i="1"/>
  <c r="LUP1599" i="1"/>
  <c r="LUO1599" i="1"/>
  <c r="LUN1599" i="1"/>
  <c r="LUM1599" i="1"/>
  <c r="LUL1599" i="1"/>
  <c r="LUK1599" i="1"/>
  <c r="LUJ1599" i="1"/>
  <c r="LUI1599" i="1"/>
  <c r="LUH1599" i="1"/>
  <c r="LUG1599" i="1"/>
  <c r="LUF1599" i="1"/>
  <c r="LUE1599" i="1"/>
  <c r="LUD1599" i="1"/>
  <c r="LUC1599" i="1"/>
  <c r="LUB1599" i="1"/>
  <c r="LUA1599" i="1"/>
  <c r="LTZ1599" i="1"/>
  <c r="LTY1599" i="1"/>
  <c r="LTX1599" i="1"/>
  <c r="LTW1599" i="1"/>
  <c r="LTV1599" i="1"/>
  <c r="LTU1599" i="1"/>
  <c r="LTT1599" i="1"/>
  <c r="LTS1599" i="1"/>
  <c r="LTR1599" i="1"/>
  <c r="LTQ1599" i="1"/>
  <c r="LTP1599" i="1"/>
  <c r="LTO1599" i="1"/>
  <c r="LTN1599" i="1"/>
  <c r="LTM1599" i="1"/>
  <c r="LTL1599" i="1"/>
  <c r="LTK1599" i="1"/>
  <c r="LTJ1599" i="1"/>
  <c r="LTI1599" i="1"/>
  <c r="LTH1599" i="1"/>
  <c r="LTG1599" i="1"/>
  <c r="LTF1599" i="1"/>
  <c r="LTE1599" i="1"/>
  <c r="LTD1599" i="1"/>
  <c r="LTC1599" i="1"/>
  <c r="LTB1599" i="1"/>
  <c r="LTA1599" i="1"/>
  <c r="LSZ1599" i="1"/>
  <c r="LSY1599" i="1"/>
  <c r="LSX1599" i="1"/>
  <c r="LSW1599" i="1"/>
  <c r="LSV1599" i="1"/>
  <c r="LSU1599" i="1"/>
  <c r="LST1599" i="1"/>
  <c r="LSS1599" i="1"/>
  <c r="LSR1599" i="1"/>
  <c r="LSQ1599" i="1"/>
  <c r="LSP1599" i="1"/>
  <c r="LSO1599" i="1"/>
  <c r="LSN1599" i="1"/>
  <c r="LSM1599" i="1"/>
  <c r="LSL1599" i="1"/>
  <c r="LSK1599" i="1"/>
  <c r="LSJ1599" i="1"/>
  <c r="LSI1599" i="1"/>
  <c r="LSH1599" i="1"/>
  <c r="LSG1599" i="1"/>
  <c r="LSF1599" i="1"/>
  <c r="LSE1599" i="1"/>
  <c r="LSD1599" i="1"/>
  <c r="LSC1599" i="1"/>
  <c r="LSB1599" i="1"/>
  <c r="LSA1599" i="1"/>
  <c r="LRZ1599" i="1"/>
  <c r="LRY1599" i="1"/>
  <c r="LRX1599" i="1"/>
  <c r="LRW1599" i="1"/>
  <c r="LRV1599" i="1"/>
  <c r="LRU1599" i="1"/>
  <c r="LRT1599" i="1"/>
  <c r="LRS1599" i="1"/>
  <c r="LRR1599" i="1"/>
  <c r="LRQ1599" i="1"/>
  <c r="LRP1599" i="1"/>
  <c r="LRO1599" i="1"/>
  <c r="LRN1599" i="1"/>
  <c r="LRM1599" i="1"/>
  <c r="LRL1599" i="1"/>
  <c r="LRK1599" i="1"/>
  <c r="LRJ1599" i="1"/>
  <c r="LRI1599" i="1"/>
  <c r="LRH1599" i="1"/>
  <c r="LRG1599" i="1"/>
  <c r="LRF1599" i="1"/>
  <c r="LRE1599" i="1"/>
  <c r="LRD1599" i="1"/>
  <c r="LRC1599" i="1"/>
  <c r="LRB1599" i="1"/>
  <c r="LRA1599" i="1"/>
  <c r="LQZ1599" i="1"/>
  <c r="LQY1599" i="1"/>
  <c r="LQX1599" i="1"/>
  <c r="LQW1599" i="1"/>
  <c r="LQV1599" i="1"/>
  <c r="LQU1599" i="1"/>
  <c r="LQT1599" i="1"/>
  <c r="LQS1599" i="1"/>
  <c r="LQR1599" i="1"/>
  <c r="LQQ1599" i="1"/>
  <c r="LQP1599" i="1"/>
  <c r="LQO1599" i="1"/>
  <c r="LQN1599" i="1"/>
  <c r="LQM1599" i="1"/>
  <c r="LQL1599" i="1"/>
  <c r="LQK1599" i="1"/>
  <c r="LQJ1599" i="1"/>
  <c r="LQI1599" i="1"/>
  <c r="LQH1599" i="1"/>
  <c r="LQG1599" i="1"/>
  <c r="LQF1599" i="1"/>
  <c r="LQE1599" i="1"/>
  <c r="LQD1599" i="1"/>
  <c r="LQC1599" i="1"/>
  <c r="LQB1599" i="1"/>
  <c r="LQA1599" i="1"/>
  <c r="LPZ1599" i="1"/>
  <c r="LPY1599" i="1"/>
  <c r="LPX1599" i="1"/>
  <c r="LPW1599" i="1"/>
  <c r="LPV1599" i="1"/>
  <c r="LPU1599" i="1"/>
  <c r="LPT1599" i="1"/>
  <c r="LPS1599" i="1"/>
  <c r="LPR1599" i="1"/>
  <c r="LPQ1599" i="1"/>
  <c r="LPP1599" i="1"/>
  <c r="LPO1599" i="1"/>
  <c r="LPN1599" i="1"/>
  <c r="LPM1599" i="1"/>
  <c r="LPL1599" i="1"/>
  <c r="LPK1599" i="1"/>
  <c r="LPJ1599" i="1"/>
  <c r="LPI1599" i="1"/>
  <c r="LPH1599" i="1"/>
  <c r="LPG1599" i="1"/>
  <c r="LPF1599" i="1"/>
  <c r="LPE1599" i="1"/>
  <c r="LPD1599" i="1"/>
  <c r="LPC1599" i="1"/>
  <c r="LPB1599" i="1"/>
  <c r="LPA1599" i="1"/>
  <c r="LOZ1599" i="1"/>
  <c r="LOY1599" i="1"/>
  <c r="LOX1599" i="1"/>
  <c r="LOW1599" i="1"/>
  <c r="LOV1599" i="1"/>
  <c r="LOU1599" i="1"/>
  <c r="LOT1599" i="1"/>
  <c r="LOS1599" i="1"/>
  <c r="LOR1599" i="1"/>
  <c r="LOQ1599" i="1"/>
  <c r="LOP1599" i="1"/>
  <c r="LOO1599" i="1"/>
  <c r="LON1599" i="1"/>
  <c r="LOM1599" i="1"/>
  <c r="LOL1599" i="1"/>
  <c r="LOK1599" i="1"/>
  <c r="LOJ1599" i="1"/>
  <c r="LOI1599" i="1"/>
  <c r="LOH1599" i="1"/>
  <c r="LOG1599" i="1"/>
  <c r="LOF1599" i="1"/>
  <c r="LOE1599" i="1"/>
  <c r="LOD1599" i="1"/>
  <c r="LOC1599" i="1"/>
  <c r="LOB1599" i="1"/>
  <c r="LOA1599" i="1"/>
  <c r="LNZ1599" i="1"/>
  <c r="LNY1599" i="1"/>
  <c r="LNX1599" i="1"/>
  <c r="LNW1599" i="1"/>
  <c r="LNV1599" i="1"/>
  <c r="LNU1599" i="1"/>
  <c r="LNT1599" i="1"/>
  <c r="LNS1599" i="1"/>
  <c r="LNR1599" i="1"/>
  <c r="LNQ1599" i="1"/>
  <c r="LNP1599" i="1"/>
  <c r="LNO1599" i="1"/>
  <c r="LNN1599" i="1"/>
  <c r="LNM1599" i="1"/>
  <c r="LNL1599" i="1"/>
  <c r="LNK1599" i="1"/>
  <c r="LNJ1599" i="1"/>
  <c r="LNI1599" i="1"/>
  <c r="LNH1599" i="1"/>
  <c r="LNG1599" i="1"/>
  <c r="LNF1599" i="1"/>
  <c r="LNE1599" i="1"/>
  <c r="LND1599" i="1"/>
  <c r="LNC1599" i="1"/>
  <c r="LNB1599" i="1"/>
  <c r="LNA1599" i="1"/>
  <c r="LMZ1599" i="1"/>
  <c r="LMY1599" i="1"/>
  <c r="LMX1599" i="1"/>
  <c r="LMW1599" i="1"/>
  <c r="LMV1599" i="1"/>
  <c r="LMU1599" i="1"/>
  <c r="LMT1599" i="1"/>
  <c r="LMS1599" i="1"/>
  <c r="LMR1599" i="1"/>
  <c r="LMQ1599" i="1"/>
  <c r="LMP1599" i="1"/>
  <c r="LMO1599" i="1"/>
  <c r="LMN1599" i="1"/>
  <c r="LMM1599" i="1"/>
  <c r="LML1599" i="1"/>
  <c r="LMK1599" i="1"/>
  <c r="LMJ1599" i="1"/>
  <c r="LMI1599" i="1"/>
  <c r="LMH1599" i="1"/>
  <c r="LMG1599" i="1"/>
  <c r="LMF1599" i="1"/>
  <c r="LME1599" i="1"/>
  <c r="LMD1599" i="1"/>
  <c r="LMC1599" i="1"/>
  <c r="LMB1599" i="1"/>
  <c r="LMA1599" i="1"/>
  <c r="LLZ1599" i="1"/>
  <c r="LLY1599" i="1"/>
  <c r="LLX1599" i="1"/>
  <c r="LLW1599" i="1"/>
  <c r="LLV1599" i="1"/>
  <c r="LLU1599" i="1"/>
  <c r="LLT1599" i="1"/>
  <c r="LLS1599" i="1"/>
  <c r="LLR1599" i="1"/>
  <c r="LLQ1599" i="1"/>
  <c r="LLP1599" i="1"/>
  <c r="LLO1599" i="1"/>
  <c r="LLN1599" i="1"/>
  <c r="LLM1599" i="1"/>
  <c r="LLL1599" i="1"/>
  <c r="LLK1599" i="1"/>
  <c r="LLJ1599" i="1"/>
  <c r="LLI1599" i="1"/>
  <c r="LLH1599" i="1"/>
  <c r="LLG1599" i="1"/>
  <c r="LLF1599" i="1"/>
  <c r="LLE1599" i="1"/>
  <c r="LLD1599" i="1"/>
  <c r="LLC1599" i="1"/>
  <c r="LLB1599" i="1"/>
  <c r="LLA1599" i="1"/>
  <c r="LKZ1599" i="1"/>
  <c r="LKY1599" i="1"/>
  <c r="LKX1599" i="1"/>
  <c r="LKW1599" i="1"/>
  <c r="LKV1599" i="1"/>
  <c r="LKU1599" i="1"/>
  <c r="LKT1599" i="1"/>
  <c r="LKS1599" i="1"/>
  <c r="LKR1599" i="1"/>
  <c r="LKQ1599" i="1"/>
  <c r="LKP1599" i="1"/>
  <c r="LKO1599" i="1"/>
  <c r="LKN1599" i="1"/>
  <c r="LKM1599" i="1"/>
  <c r="LKL1599" i="1"/>
  <c r="LKK1599" i="1"/>
  <c r="LKJ1599" i="1"/>
  <c r="LKI1599" i="1"/>
  <c r="LKH1599" i="1"/>
  <c r="LKG1599" i="1"/>
  <c r="LKF1599" i="1"/>
  <c r="LKE1599" i="1"/>
  <c r="LKD1599" i="1"/>
  <c r="LKC1599" i="1"/>
  <c r="LKB1599" i="1"/>
  <c r="LKA1599" i="1"/>
  <c r="LJZ1599" i="1"/>
  <c r="LJY1599" i="1"/>
  <c r="LJX1599" i="1"/>
  <c r="LJW1599" i="1"/>
  <c r="LJV1599" i="1"/>
  <c r="LJU1599" i="1"/>
  <c r="LJT1599" i="1"/>
  <c r="LJS1599" i="1"/>
  <c r="LJR1599" i="1"/>
  <c r="LJQ1599" i="1"/>
  <c r="LJP1599" i="1"/>
  <c r="LJO1599" i="1"/>
  <c r="LJN1599" i="1"/>
  <c r="LJM1599" i="1"/>
  <c r="LJL1599" i="1"/>
  <c r="LJK1599" i="1"/>
  <c r="LJJ1599" i="1"/>
  <c r="LJI1599" i="1"/>
  <c r="LJH1599" i="1"/>
  <c r="LJG1599" i="1"/>
  <c r="LJF1599" i="1"/>
  <c r="LJE1599" i="1"/>
  <c r="LJD1599" i="1"/>
  <c r="LJC1599" i="1"/>
  <c r="LJB1599" i="1"/>
  <c r="LJA1599" i="1"/>
  <c r="LIZ1599" i="1"/>
  <c r="LIY1599" i="1"/>
  <c r="LIX1599" i="1"/>
  <c r="LIW1599" i="1"/>
  <c r="LIV1599" i="1"/>
  <c r="LIU1599" i="1"/>
  <c r="LIT1599" i="1"/>
  <c r="LIS1599" i="1"/>
  <c r="LIR1599" i="1"/>
  <c r="LIQ1599" i="1"/>
  <c r="LIP1599" i="1"/>
  <c r="LIO1599" i="1"/>
  <c r="LIN1599" i="1"/>
  <c r="LIM1599" i="1"/>
  <c r="LIL1599" i="1"/>
  <c r="LIK1599" i="1"/>
  <c r="LIJ1599" i="1"/>
  <c r="LII1599" i="1"/>
  <c r="LIH1599" i="1"/>
  <c r="LIG1599" i="1"/>
  <c r="LIF1599" i="1"/>
  <c r="LIE1599" i="1"/>
  <c r="LID1599" i="1"/>
  <c r="LIC1599" i="1"/>
  <c r="LIB1599" i="1"/>
  <c r="LIA1599" i="1"/>
  <c r="LHZ1599" i="1"/>
  <c r="LHY1599" i="1"/>
  <c r="LHX1599" i="1"/>
  <c r="LHW1599" i="1"/>
  <c r="LHV1599" i="1"/>
  <c r="LHU1599" i="1"/>
  <c r="LHT1599" i="1"/>
  <c r="LHS1599" i="1"/>
  <c r="LHR1599" i="1"/>
  <c r="LHQ1599" i="1"/>
  <c r="LHP1599" i="1"/>
  <c r="LHO1599" i="1"/>
  <c r="LHN1599" i="1"/>
  <c r="LHM1599" i="1"/>
  <c r="LHL1599" i="1"/>
  <c r="LHK1599" i="1"/>
  <c r="LHJ1599" i="1"/>
  <c r="LHI1599" i="1"/>
  <c r="LHH1599" i="1"/>
  <c r="LHG1599" i="1"/>
  <c r="LHF1599" i="1"/>
  <c r="LHE1599" i="1"/>
  <c r="LHD1599" i="1"/>
  <c r="LHC1599" i="1"/>
  <c r="LHB1599" i="1"/>
  <c r="LHA1599" i="1"/>
  <c r="LGZ1599" i="1"/>
  <c r="LGY1599" i="1"/>
  <c r="LGX1599" i="1"/>
  <c r="LGW1599" i="1"/>
  <c r="LGV1599" i="1"/>
  <c r="LGU1599" i="1"/>
  <c r="LGT1599" i="1"/>
  <c r="LGS1599" i="1"/>
  <c r="LGR1599" i="1"/>
  <c r="LGQ1599" i="1"/>
  <c r="LGP1599" i="1"/>
  <c r="LGO1599" i="1"/>
  <c r="LGN1599" i="1"/>
  <c r="LGM1599" i="1"/>
  <c r="LGL1599" i="1"/>
  <c r="LGK1599" i="1"/>
  <c r="LGJ1599" i="1"/>
  <c r="LGI1599" i="1"/>
  <c r="LGH1599" i="1"/>
  <c r="LGG1599" i="1"/>
  <c r="LGF1599" i="1"/>
  <c r="LGE1599" i="1"/>
  <c r="LGD1599" i="1"/>
  <c r="LGC1599" i="1"/>
  <c r="LGB1599" i="1"/>
  <c r="LGA1599" i="1"/>
  <c r="LFZ1599" i="1"/>
  <c r="LFY1599" i="1"/>
  <c r="LFX1599" i="1"/>
  <c r="LFW1599" i="1"/>
  <c r="LFV1599" i="1"/>
  <c r="LFU1599" i="1"/>
  <c r="LFT1599" i="1"/>
  <c r="LFS1599" i="1"/>
  <c r="LFR1599" i="1"/>
  <c r="LFQ1599" i="1"/>
  <c r="LFP1599" i="1"/>
  <c r="LFO1599" i="1"/>
  <c r="LFN1599" i="1"/>
  <c r="LFM1599" i="1"/>
  <c r="LFL1599" i="1"/>
  <c r="LFK1599" i="1"/>
  <c r="LFJ1599" i="1"/>
  <c r="LFI1599" i="1"/>
  <c r="LFH1599" i="1"/>
  <c r="LFG1599" i="1"/>
  <c r="LFF1599" i="1"/>
  <c r="LFE1599" i="1"/>
  <c r="LFD1599" i="1"/>
  <c r="LFC1599" i="1"/>
  <c r="LFB1599" i="1"/>
  <c r="LFA1599" i="1"/>
  <c r="LEZ1599" i="1"/>
  <c r="LEY1599" i="1"/>
  <c r="LEX1599" i="1"/>
  <c r="LEW1599" i="1"/>
  <c r="LEV1599" i="1"/>
  <c r="LEU1599" i="1"/>
  <c r="LET1599" i="1"/>
  <c r="LES1599" i="1"/>
  <c r="LER1599" i="1"/>
  <c r="LEQ1599" i="1"/>
  <c r="LEP1599" i="1"/>
  <c r="LEO1599" i="1"/>
  <c r="LEN1599" i="1"/>
  <c r="LEM1599" i="1"/>
  <c r="LEL1599" i="1"/>
  <c r="LEK1599" i="1"/>
  <c r="LEJ1599" i="1"/>
  <c r="LEI1599" i="1"/>
  <c r="LEH1599" i="1"/>
  <c r="LEG1599" i="1"/>
  <c r="LEF1599" i="1"/>
  <c r="LEE1599" i="1"/>
  <c r="LED1599" i="1"/>
  <c r="LEC1599" i="1"/>
  <c r="LEB1599" i="1"/>
  <c r="LEA1599" i="1"/>
  <c r="LDZ1599" i="1"/>
  <c r="LDY1599" i="1"/>
  <c r="LDX1599" i="1"/>
  <c r="LDW1599" i="1"/>
  <c r="LDV1599" i="1"/>
  <c r="LDU1599" i="1"/>
  <c r="LDT1599" i="1"/>
  <c r="LDS1599" i="1"/>
  <c r="LDR1599" i="1"/>
  <c r="LDQ1599" i="1"/>
  <c r="LDP1599" i="1"/>
  <c r="LDO1599" i="1"/>
  <c r="LDN1599" i="1"/>
  <c r="LDM1599" i="1"/>
  <c r="LDL1599" i="1"/>
  <c r="LDK1599" i="1"/>
  <c r="LDJ1599" i="1"/>
  <c r="LDI1599" i="1"/>
  <c r="LDH1599" i="1"/>
  <c r="LDG1599" i="1"/>
  <c r="LDF1599" i="1"/>
  <c r="LDE1599" i="1"/>
  <c r="LDD1599" i="1"/>
  <c r="LDC1599" i="1"/>
  <c r="LDB1599" i="1"/>
  <c r="LDA1599" i="1"/>
  <c r="LCZ1599" i="1"/>
  <c r="LCY1599" i="1"/>
  <c r="LCX1599" i="1"/>
  <c r="LCW1599" i="1"/>
  <c r="LCV1599" i="1"/>
  <c r="LCU1599" i="1"/>
  <c r="LCT1599" i="1"/>
  <c r="LCS1599" i="1"/>
  <c r="LCR1599" i="1"/>
  <c r="LCQ1599" i="1"/>
  <c r="LCP1599" i="1"/>
  <c r="LCO1599" i="1"/>
  <c r="LCN1599" i="1"/>
  <c r="LCM1599" i="1"/>
  <c r="LCL1599" i="1"/>
  <c r="LCK1599" i="1"/>
  <c r="LCJ1599" i="1"/>
  <c r="LCI1599" i="1"/>
  <c r="LCH1599" i="1"/>
  <c r="LCG1599" i="1"/>
  <c r="LCF1599" i="1"/>
  <c r="LCE1599" i="1"/>
  <c r="LCD1599" i="1"/>
  <c r="LCC1599" i="1"/>
  <c r="LCB1599" i="1"/>
  <c r="LCA1599" i="1"/>
  <c r="LBZ1599" i="1"/>
  <c r="LBY1599" i="1"/>
  <c r="LBX1599" i="1"/>
  <c r="LBW1599" i="1"/>
  <c r="LBV1599" i="1"/>
  <c r="LBU1599" i="1"/>
  <c r="LBT1599" i="1"/>
  <c r="LBS1599" i="1"/>
  <c r="LBR1599" i="1"/>
  <c r="LBQ1599" i="1"/>
  <c r="LBP1599" i="1"/>
  <c r="LBO1599" i="1"/>
  <c r="LBN1599" i="1"/>
  <c r="LBM1599" i="1"/>
  <c r="LBL1599" i="1"/>
  <c r="LBK1599" i="1"/>
  <c r="LBJ1599" i="1"/>
  <c r="LBI1599" i="1"/>
  <c r="LBH1599" i="1"/>
  <c r="LBG1599" i="1"/>
  <c r="LBF1599" i="1"/>
  <c r="LBE1599" i="1"/>
  <c r="LBD1599" i="1"/>
  <c r="LBC1599" i="1"/>
  <c r="LBB1599" i="1"/>
  <c r="LBA1599" i="1"/>
  <c r="LAZ1599" i="1"/>
  <c r="LAY1599" i="1"/>
  <c r="LAX1599" i="1"/>
  <c r="LAW1599" i="1"/>
  <c r="LAV1599" i="1"/>
  <c r="LAU1599" i="1"/>
  <c r="LAT1599" i="1"/>
  <c r="LAS1599" i="1"/>
  <c r="LAR1599" i="1"/>
  <c r="LAQ1599" i="1"/>
  <c r="LAP1599" i="1"/>
  <c r="LAO1599" i="1"/>
  <c r="LAN1599" i="1"/>
  <c r="LAM1599" i="1"/>
  <c r="LAL1599" i="1"/>
  <c r="LAK1599" i="1"/>
  <c r="LAJ1599" i="1"/>
  <c r="LAI1599" i="1"/>
  <c r="LAH1599" i="1"/>
  <c r="LAG1599" i="1"/>
  <c r="LAF1599" i="1"/>
  <c r="LAE1599" i="1"/>
  <c r="LAD1599" i="1"/>
  <c r="LAC1599" i="1"/>
  <c r="LAB1599" i="1"/>
  <c r="LAA1599" i="1"/>
  <c r="KZZ1599" i="1"/>
  <c r="KZY1599" i="1"/>
  <c r="KZX1599" i="1"/>
  <c r="KZW1599" i="1"/>
  <c r="KZV1599" i="1"/>
  <c r="KZU1599" i="1"/>
  <c r="KZT1599" i="1"/>
  <c r="KZS1599" i="1"/>
  <c r="KZR1599" i="1"/>
  <c r="KZQ1599" i="1"/>
  <c r="KZP1599" i="1"/>
  <c r="KZO1599" i="1"/>
  <c r="KZN1599" i="1"/>
  <c r="KZM1599" i="1"/>
  <c r="KZL1599" i="1"/>
  <c r="KZK1599" i="1"/>
  <c r="KZJ1599" i="1"/>
  <c r="KZI1599" i="1"/>
  <c r="KZH1599" i="1"/>
  <c r="KZG1599" i="1"/>
  <c r="KZF1599" i="1"/>
  <c r="KZE1599" i="1"/>
  <c r="KZD1599" i="1"/>
  <c r="KZC1599" i="1"/>
  <c r="KZB1599" i="1"/>
  <c r="KZA1599" i="1"/>
  <c r="KYZ1599" i="1"/>
  <c r="KYY1599" i="1"/>
  <c r="KYX1599" i="1"/>
  <c r="KYW1599" i="1"/>
  <c r="KYV1599" i="1"/>
  <c r="KYU1599" i="1"/>
  <c r="KYT1599" i="1"/>
  <c r="KYS1599" i="1"/>
  <c r="KYR1599" i="1"/>
  <c r="KYQ1599" i="1"/>
  <c r="KYP1599" i="1"/>
  <c r="KYO1599" i="1"/>
  <c r="KYN1599" i="1"/>
  <c r="KYM1599" i="1"/>
  <c r="KYL1599" i="1"/>
  <c r="KYK1599" i="1"/>
  <c r="KYJ1599" i="1"/>
  <c r="KYI1599" i="1"/>
  <c r="KYH1599" i="1"/>
  <c r="KYG1599" i="1"/>
  <c r="KYF1599" i="1"/>
  <c r="KYE1599" i="1"/>
  <c r="KYD1599" i="1"/>
  <c r="KYC1599" i="1"/>
  <c r="KYB1599" i="1"/>
  <c r="KYA1599" i="1"/>
  <c r="KXZ1599" i="1"/>
  <c r="KXY1599" i="1"/>
  <c r="KXX1599" i="1"/>
  <c r="KXW1599" i="1"/>
  <c r="KXV1599" i="1"/>
  <c r="KXU1599" i="1"/>
  <c r="KXT1599" i="1"/>
  <c r="KXS1599" i="1"/>
  <c r="KXR1599" i="1"/>
  <c r="KXQ1599" i="1"/>
  <c r="KXP1599" i="1"/>
  <c r="KXO1599" i="1"/>
  <c r="KXN1599" i="1"/>
  <c r="KXM1599" i="1"/>
  <c r="KXL1599" i="1"/>
  <c r="KXK1599" i="1"/>
  <c r="KXJ1599" i="1"/>
  <c r="KXI1599" i="1"/>
  <c r="KXH1599" i="1"/>
  <c r="KXG1599" i="1"/>
  <c r="KXF1599" i="1"/>
  <c r="KXE1599" i="1"/>
  <c r="KXD1599" i="1"/>
  <c r="KXC1599" i="1"/>
  <c r="KXB1599" i="1"/>
  <c r="KXA1599" i="1"/>
  <c r="KWZ1599" i="1"/>
  <c r="KWY1599" i="1"/>
  <c r="KWX1599" i="1"/>
  <c r="KWW1599" i="1"/>
  <c r="KWV1599" i="1"/>
  <c r="KWU1599" i="1"/>
  <c r="KWT1599" i="1"/>
  <c r="KWS1599" i="1"/>
  <c r="KWR1599" i="1"/>
  <c r="KWQ1599" i="1"/>
  <c r="KWP1599" i="1"/>
  <c r="KWO1599" i="1"/>
  <c r="KWN1599" i="1"/>
  <c r="KWM1599" i="1"/>
  <c r="KWL1599" i="1"/>
  <c r="KWK1599" i="1"/>
  <c r="KWJ1599" i="1"/>
  <c r="KWI1599" i="1"/>
  <c r="KWH1599" i="1"/>
  <c r="KWG1599" i="1"/>
  <c r="KWF1599" i="1"/>
  <c r="KWE1599" i="1"/>
  <c r="KWD1599" i="1"/>
  <c r="KWC1599" i="1"/>
  <c r="KWB1599" i="1"/>
  <c r="KWA1599" i="1"/>
  <c r="KVZ1599" i="1"/>
  <c r="KVY1599" i="1"/>
  <c r="KVX1599" i="1"/>
  <c r="KVW1599" i="1"/>
  <c r="KVV1599" i="1"/>
  <c r="KVU1599" i="1"/>
  <c r="KVT1599" i="1"/>
  <c r="KVS1599" i="1"/>
  <c r="KVR1599" i="1"/>
  <c r="KVQ1599" i="1"/>
  <c r="KVP1599" i="1"/>
  <c r="KVO1599" i="1"/>
  <c r="KVN1599" i="1"/>
  <c r="KVM1599" i="1"/>
  <c r="KVL1599" i="1"/>
  <c r="KVK1599" i="1"/>
  <c r="KVJ1599" i="1"/>
  <c r="KVI1599" i="1"/>
  <c r="KVH1599" i="1"/>
  <c r="KVG1599" i="1"/>
  <c r="KVF1599" i="1"/>
  <c r="KVE1599" i="1"/>
  <c r="KVD1599" i="1"/>
  <c r="KVC1599" i="1"/>
  <c r="KVB1599" i="1"/>
  <c r="KVA1599" i="1"/>
  <c r="KUZ1599" i="1"/>
  <c r="KUY1599" i="1"/>
  <c r="KUX1599" i="1"/>
  <c r="KUW1599" i="1"/>
  <c r="KUV1599" i="1"/>
  <c r="KUU1599" i="1"/>
  <c r="KUT1599" i="1"/>
  <c r="KUS1599" i="1"/>
  <c r="KUR1599" i="1"/>
  <c r="KUQ1599" i="1"/>
  <c r="KUP1599" i="1"/>
  <c r="KUO1599" i="1"/>
  <c r="KUN1599" i="1"/>
  <c r="KUM1599" i="1"/>
  <c r="KUL1599" i="1"/>
  <c r="KUK1599" i="1"/>
  <c r="KUJ1599" i="1"/>
  <c r="KUI1599" i="1"/>
  <c r="KUH1599" i="1"/>
  <c r="KUG1599" i="1"/>
  <c r="KUF1599" i="1"/>
  <c r="KUE1599" i="1"/>
  <c r="KUD1599" i="1"/>
  <c r="KUC1599" i="1"/>
  <c r="KUB1599" i="1"/>
  <c r="KUA1599" i="1"/>
  <c r="KTZ1599" i="1"/>
  <c r="KTY1599" i="1"/>
  <c r="KTX1599" i="1"/>
  <c r="KTW1599" i="1"/>
  <c r="KTV1599" i="1"/>
  <c r="KTU1599" i="1"/>
  <c r="KTT1599" i="1"/>
  <c r="KTS1599" i="1"/>
  <c r="KTR1599" i="1"/>
  <c r="KTQ1599" i="1"/>
  <c r="KTP1599" i="1"/>
  <c r="KTO1599" i="1"/>
  <c r="KTN1599" i="1"/>
  <c r="KTM1599" i="1"/>
  <c r="KTL1599" i="1"/>
  <c r="KTK1599" i="1"/>
  <c r="KTJ1599" i="1"/>
  <c r="KTI1599" i="1"/>
  <c r="KTH1599" i="1"/>
  <c r="KTG1599" i="1"/>
  <c r="KTF1599" i="1"/>
  <c r="KTE1599" i="1"/>
  <c r="KTD1599" i="1"/>
  <c r="KTC1599" i="1"/>
  <c r="KTB1599" i="1"/>
  <c r="KTA1599" i="1"/>
  <c r="KSZ1599" i="1"/>
  <c r="KSY1599" i="1"/>
  <c r="KSX1599" i="1"/>
  <c r="KSW1599" i="1"/>
  <c r="KSV1599" i="1"/>
  <c r="KSU1599" i="1"/>
  <c r="KST1599" i="1"/>
  <c r="KSS1599" i="1"/>
  <c r="KSR1599" i="1"/>
  <c r="KSQ1599" i="1"/>
  <c r="KSP1599" i="1"/>
  <c r="KSO1599" i="1"/>
  <c r="KSN1599" i="1"/>
  <c r="KSM1599" i="1"/>
  <c r="KSL1599" i="1"/>
  <c r="KSK1599" i="1"/>
  <c r="KSJ1599" i="1"/>
  <c r="KSI1599" i="1"/>
  <c r="KSH1599" i="1"/>
  <c r="KSG1599" i="1"/>
  <c r="KSF1599" i="1"/>
  <c r="KSE1599" i="1"/>
  <c r="KSD1599" i="1"/>
  <c r="KSC1599" i="1"/>
  <c r="KSB1599" i="1"/>
  <c r="KSA1599" i="1"/>
  <c r="KRZ1599" i="1"/>
  <c r="KRY1599" i="1"/>
  <c r="KRX1599" i="1"/>
  <c r="KRW1599" i="1"/>
  <c r="KRV1599" i="1"/>
  <c r="KRU1599" i="1"/>
  <c r="KRT1599" i="1"/>
  <c r="KRS1599" i="1"/>
  <c r="KRR1599" i="1"/>
  <c r="KRQ1599" i="1"/>
  <c r="KRP1599" i="1"/>
  <c r="KRO1599" i="1"/>
  <c r="KRN1599" i="1"/>
  <c r="KRM1599" i="1"/>
  <c r="KRL1599" i="1"/>
  <c r="KRK1599" i="1"/>
  <c r="KRJ1599" i="1"/>
  <c r="KRI1599" i="1"/>
  <c r="KRH1599" i="1"/>
  <c r="KRG1599" i="1"/>
  <c r="KRF1599" i="1"/>
  <c r="KRE1599" i="1"/>
  <c r="KRD1599" i="1"/>
  <c r="KRC1599" i="1"/>
  <c r="KRB1599" i="1"/>
  <c r="KRA1599" i="1"/>
  <c r="KQZ1599" i="1"/>
  <c r="KQY1599" i="1"/>
  <c r="KQX1599" i="1"/>
  <c r="KQW1599" i="1"/>
  <c r="KQV1599" i="1"/>
  <c r="KQU1599" i="1"/>
  <c r="KQT1599" i="1"/>
  <c r="KQS1599" i="1"/>
  <c r="KQR1599" i="1"/>
  <c r="KQQ1599" i="1"/>
  <c r="KQP1599" i="1"/>
  <c r="KQO1599" i="1"/>
  <c r="KQN1599" i="1"/>
  <c r="KQM1599" i="1"/>
  <c r="KQL1599" i="1"/>
  <c r="KQK1599" i="1"/>
  <c r="KQJ1599" i="1"/>
  <c r="KQI1599" i="1"/>
  <c r="KQH1599" i="1"/>
  <c r="KQG1599" i="1"/>
  <c r="KQF1599" i="1"/>
  <c r="KQE1599" i="1"/>
  <c r="KQD1599" i="1"/>
  <c r="KQC1599" i="1"/>
  <c r="KQB1599" i="1"/>
  <c r="KQA1599" i="1"/>
  <c r="KPZ1599" i="1"/>
  <c r="KPY1599" i="1"/>
  <c r="KPX1599" i="1"/>
  <c r="KPW1599" i="1"/>
  <c r="KPV1599" i="1"/>
  <c r="KPU1599" i="1"/>
  <c r="KPT1599" i="1"/>
  <c r="KPS1599" i="1"/>
  <c r="KPR1599" i="1"/>
  <c r="KPQ1599" i="1"/>
  <c r="KPP1599" i="1"/>
  <c r="KPO1599" i="1"/>
  <c r="KPN1599" i="1"/>
  <c r="KPM1599" i="1"/>
  <c r="KPL1599" i="1"/>
  <c r="KPK1599" i="1"/>
  <c r="KPJ1599" i="1"/>
  <c r="KPI1599" i="1"/>
  <c r="KPH1599" i="1"/>
  <c r="KPG1599" i="1"/>
  <c r="KPF1599" i="1"/>
  <c r="KPE1599" i="1"/>
  <c r="KPD1599" i="1"/>
  <c r="KPC1599" i="1"/>
  <c r="KPB1599" i="1"/>
  <c r="KPA1599" i="1"/>
  <c r="KOZ1599" i="1"/>
  <c r="KOY1599" i="1"/>
  <c r="KOX1599" i="1"/>
  <c r="KOW1599" i="1"/>
  <c r="KOV1599" i="1"/>
  <c r="KOU1599" i="1"/>
  <c r="KOT1599" i="1"/>
  <c r="KOS1599" i="1"/>
  <c r="KOR1599" i="1"/>
  <c r="KOQ1599" i="1"/>
  <c r="KOP1599" i="1"/>
  <c r="KOO1599" i="1"/>
  <c r="KON1599" i="1"/>
  <c r="KOM1599" i="1"/>
  <c r="KOL1599" i="1"/>
  <c r="KOK1599" i="1"/>
  <c r="KOJ1599" i="1"/>
  <c r="KOI1599" i="1"/>
  <c r="KOH1599" i="1"/>
  <c r="KOG1599" i="1"/>
  <c r="KOF1599" i="1"/>
  <c r="KOE1599" i="1"/>
  <c r="KOD1599" i="1"/>
  <c r="KOC1599" i="1"/>
  <c r="KOB1599" i="1"/>
  <c r="KOA1599" i="1"/>
  <c r="KNZ1599" i="1"/>
  <c r="KNY1599" i="1"/>
  <c r="KNX1599" i="1"/>
  <c r="KNW1599" i="1"/>
  <c r="KNV1599" i="1"/>
  <c r="KNU1599" i="1"/>
  <c r="KNT1599" i="1"/>
  <c r="KNS1599" i="1"/>
  <c r="KNR1599" i="1"/>
  <c r="KNQ1599" i="1"/>
  <c r="KNP1599" i="1"/>
  <c r="KNO1599" i="1"/>
  <c r="KNN1599" i="1"/>
  <c r="KNM1599" i="1"/>
  <c r="KNL1599" i="1"/>
  <c r="KNK1599" i="1"/>
  <c r="KNJ1599" i="1"/>
  <c r="KNI1599" i="1"/>
  <c r="KNH1599" i="1"/>
  <c r="KNG1599" i="1"/>
  <c r="KNF1599" i="1"/>
  <c r="KNE1599" i="1"/>
  <c r="KND1599" i="1"/>
  <c r="KNC1599" i="1"/>
  <c r="KNB1599" i="1"/>
  <c r="KNA1599" i="1"/>
  <c r="KMZ1599" i="1"/>
  <c r="KMY1599" i="1"/>
  <c r="KMX1599" i="1"/>
  <c r="KMW1599" i="1"/>
  <c r="KMV1599" i="1"/>
  <c r="KMU1599" i="1"/>
  <c r="KMT1599" i="1"/>
  <c r="KMS1599" i="1"/>
  <c r="KMR1599" i="1"/>
  <c r="KMQ1599" i="1"/>
  <c r="KMP1599" i="1"/>
  <c r="KMO1599" i="1"/>
  <c r="KMN1599" i="1"/>
  <c r="KMM1599" i="1"/>
  <c r="KML1599" i="1"/>
  <c r="KMK1599" i="1"/>
  <c r="KMJ1599" i="1"/>
  <c r="KMI1599" i="1"/>
  <c r="KMH1599" i="1"/>
  <c r="KMG1599" i="1"/>
  <c r="KMF1599" i="1"/>
  <c r="KME1599" i="1"/>
  <c r="KMD1599" i="1"/>
  <c r="KMC1599" i="1"/>
  <c r="KMB1599" i="1"/>
  <c r="KMA1599" i="1"/>
  <c r="KLZ1599" i="1"/>
  <c r="KLY1599" i="1"/>
  <c r="KLX1599" i="1"/>
  <c r="KLW1599" i="1"/>
  <c r="KLV1599" i="1"/>
  <c r="KLU1599" i="1"/>
  <c r="KLT1599" i="1"/>
  <c r="KLS1599" i="1"/>
  <c r="KLR1599" i="1"/>
  <c r="KLQ1599" i="1"/>
  <c r="KLP1599" i="1"/>
  <c r="KLO1599" i="1"/>
  <c r="KLN1599" i="1"/>
  <c r="KLM1599" i="1"/>
  <c r="KLL1599" i="1"/>
  <c r="KLK1599" i="1"/>
  <c r="KLJ1599" i="1"/>
  <c r="KLI1599" i="1"/>
  <c r="KLH1599" i="1"/>
  <c r="KLG1599" i="1"/>
  <c r="KLF1599" i="1"/>
  <c r="KLE1599" i="1"/>
  <c r="KLD1599" i="1"/>
  <c r="KLC1599" i="1"/>
  <c r="KLB1599" i="1"/>
  <c r="KLA1599" i="1"/>
  <c r="KKZ1599" i="1"/>
  <c r="KKY1599" i="1"/>
  <c r="KKX1599" i="1"/>
  <c r="KKW1599" i="1"/>
  <c r="KKV1599" i="1"/>
  <c r="KKU1599" i="1"/>
  <c r="KKT1599" i="1"/>
  <c r="KKS1599" i="1"/>
  <c r="KKR1599" i="1"/>
  <c r="KKQ1599" i="1"/>
  <c r="KKP1599" i="1"/>
  <c r="KKO1599" i="1"/>
  <c r="KKN1599" i="1"/>
  <c r="KKM1599" i="1"/>
  <c r="KKL1599" i="1"/>
  <c r="KKK1599" i="1"/>
  <c r="KKJ1599" i="1"/>
  <c r="KKI1599" i="1"/>
  <c r="KKH1599" i="1"/>
  <c r="KKG1599" i="1"/>
  <c r="KKF1599" i="1"/>
  <c r="KKE1599" i="1"/>
  <c r="KKD1599" i="1"/>
  <c r="KKC1599" i="1"/>
  <c r="KKB1599" i="1"/>
  <c r="KKA1599" i="1"/>
  <c r="KJZ1599" i="1"/>
  <c r="KJY1599" i="1"/>
  <c r="KJX1599" i="1"/>
  <c r="KJW1599" i="1"/>
  <c r="KJV1599" i="1"/>
  <c r="KJU1599" i="1"/>
  <c r="KJT1599" i="1"/>
  <c r="KJS1599" i="1"/>
  <c r="KJR1599" i="1"/>
  <c r="KJQ1599" i="1"/>
  <c r="KJP1599" i="1"/>
  <c r="KJO1599" i="1"/>
  <c r="KJN1599" i="1"/>
  <c r="KJM1599" i="1"/>
  <c r="KJL1599" i="1"/>
  <c r="KJK1599" i="1"/>
  <c r="KJJ1599" i="1"/>
  <c r="KJI1599" i="1"/>
  <c r="KJH1599" i="1"/>
  <c r="KJG1599" i="1"/>
  <c r="KJF1599" i="1"/>
  <c r="KJE1599" i="1"/>
  <c r="KJD1599" i="1"/>
  <c r="KJC1599" i="1"/>
  <c r="KJB1599" i="1"/>
  <c r="KJA1599" i="1"/>
  <c r="KIZ1599" i="1"/>
  <c r="KIY1599" i="1"/>
  <c r="KIX1599" i="1"/>
  <c r="KIW1599" i="1"/>
  <c r="KIV1599" i="1"/>
  <c r="KIU1599" i="1"/>
  <c r="KIT1599" i="1"/>
  <c r="KIS1599" i="1"/>
  <c r="KIR1599" i="1"/>
  <c r="KIQ1599" i="1"/>
  <c r="KIP1599" i="1"/>
  <c r="KIO1599" i="1"/>
  <c r="KIN1599" i="1"/>
  <c r="KIM1599" i="1"/>
  <c r="KIL1599" i="1"/>
  <c r="KIK1599" i="1"/>
  <c r="KIJ1599" i="1"/>
  <c r="KII1599" i="1"/>
  <c r="KIH1599" i="1"/>
  <c r="KIG1599" i="1"/>
  <c r="KIF1599" i="1"/>
  <c r="KIE1599" i="1"/>
  <c r="KID1599" i="1"/>
  <c r="KIC1599" i="1"/>
  <c r="KIB1599" i="1"/>
  <c r="KIA1599" i="1"/>
  <c r="KHZ1599" i="1"/>
  <c r="KHY1599" i="1"/>
  <c r="KHX1599" i="1"/>
  <c r="KHW1599" i="1"/>
  <c r="KHV1599" i="1"/>
  <c r="KHU1599" i="1"/>
  <c r="KHT1599" i="1"/>
  <c r="KHS1599" i="1"/>
  <c r="KHR1599" i="1"/>
  <c r="KHQ1599" i="1"/>
  <c r="KHP1599" i="1"/>
  <c r="KHO1599" i="1"/>
  <c r="KHN1599" i="1"/>
  <c r="KHM1599" i="1"/>
  <c r="KHL1599" i="1"/>
  <c r="KHK1599" i="1"/>
  <c r="KHJ1599" i="1"/>
  <c r="KHI1599" i="1"/>
  <c r="KHH1599" i="1"/>
  <c r="KHG1599" i="1"/>
  <c r="KHF1599" i="1"/>
  <c r="KHE1599" i="1"/>
  <c r="KHD1599" i="1"/>
  <c r="KHC1599" i="1"/>
  <c r="KHB1599" i="1"/>
  <c r="KHA1599" i="1"/>
  <c r="KGZ1599" i="1"/>
  <c r="KGY1599" i="1"/>
  <c r="KGX1599" i="1"/>
  <c r="KGW1599" i="1"/>
  <c r="KGV1599" i="1"/>
  <c r="KGU1599" i="1"/>
  <c r="KGT1599" i="1"/>
  <c r="KGS1599" i="1"/>
  <c r="KGR1599" i="1"/>
  <c r="KGQ1599" i="1"/>
  <c r="KGP1599" i="1"/>
  <c r="KGO1599" i="1"/>
  <c r="KGN1599" i="1"/>
  <c r="KGM1599" i="1"/>
  <c r="KGL1599" i="1"/>
  <c r="KGK1599" i="1"/>
  <c r="KGJ1599" i="1"/>
  <c r="KGI1599" i="1"/>
  <c r="KGH1599" i="1"/>
  <c r="KGG1599" i="1"/>
  <c r="KGF1599" i="1"/>
  <c r="KGE1599" i="1"/>
  <c r="KGD1599" i="1"/>
  <c r="KGC1599" i="1"/>
  <c r="KGB1599" i="1"/>
  <c r="KGA1599" i="1"/>
  <c r="KFZ1599" i="1"/>
  <c r="KFY1599" i="1"/>
  <c r="KFX1599" i="1"/>
  <c r="KFW1599" i="1"/>
  <c r="KFV1599" i="1"/>
  <c r="KFU1599" i="1"/>
  <c r="KFT1599" i="1"/>
  <c r="KFS1599" i="1"/>
  <c r="KFR1599" i="1"/>
  <c r="KFQ1599" i="1"/>
  <c r="KFP1599" i="1"/>
  <c r="KFO1599" i="1"/>
  <c r="KFN1599" i="1"/>
  <c r="KFM1599" i="1"/>
  <c r="KFL1599" i="1"/>
  <c r="KFK1599" i="1"/>
  <c r="KFJ1599" i="1"/>
  <c r="KFI1599" i="1"/>
  <c r="KFH1599" i="1"/>
  <c r="KFG1599" i="1"/>
  <c r="KFF1599" i="1"/>
  <c r="KFE1599" i="1"/>
  <c r="KFD1599" i="1"/>
  <c r="KFC1599" i="1"/>
  <c r="KFB1599" i="1"/>
  <c r="KFA1599" i="1"/>
  <c r="KEZ1599" i="1"/>
  <c r="KEY1599" i="1"/>
  <c r="KEX1599" i="1"/>
  <c r="KEW1599" i="1"/>
  <c r="KEV1599" i="1"/>
  <c r="KEU1599" i="1"/>
  <c r="KET1599" i="1"/>
  <c r="KES1599" i="1"/>
  <c r="KER1599" i="1"/>
  <c r="KEQ1599" i="1"/>
  <c r="KEP1599" i="1"/>
  <c r="KEO1599" i="1"/>
  <c r="KEN1599" i="1"/>
  <c r="KEM1599" i="1"/>
  <c r="KEL1599" i="1"/>
  <c r="KEK1599" i="1"/>
  <c r="KEJ1599" i="1"/>
  <c r="KEI1599" i="1"/>
  <c r="KEH1599" i="1"/>
  <c r="KEG1599" i="1"/>
  <c r="KEF1599" i="1"/>
  <c r="KEE1599" i="1"/>
  <c r="KED1599" i="1"/>
  <c r="KEC1599" i="1"/>
  <c r="KEB1599" i="1"/>
  <c r="KEA1599" i="1"/>
  <c r="KDZ1599" i="1"/>
  <c r="KDY1599" i="1"/>
  <c r="KDX1599" i="1"/>
  <c r="KDW1599" i="1"/>
  <c r="KDV1599" i="1"/>
  <c r="KDU1599" i="1"/>
  <c r="KDT1599" i="1"/>
  <c r="KDS1599" i="1"/>
  <c r="KDR1599" i="1"/>
  <c r="KDQ1599" i="1"/>
  <c r="KDP1599" i="1"/>
  <c r="KDO1599" i="1"/>
  <c r="KDN1599" i="1"/>
  <c r="KDM1599" i="1"/>
  <c r="KDL1599" i="1"/>
  <c r="KDK1599" i="1"/>
  <c r="KDJ1599" i="1"/>
  <c r="KDI1599" i="1"/>
  <c r="KDH1599" i="1"/>
  <c r="KDG1599" i="1"/>
  <c r="KDF1599" i="1"/>
  <c r="KDE1599" i="1"/>
  <c r="KDD1599" i="1"/>
  <c r="KDC1599" i="1"/>
  <c r="KDB1599" i="1"/>
  <c r="KDA1599" i="1"/>
  <c r="KCZ1599" i="1"/>
  <c r="KCY1599" i="1"/>
  <c r="KCX1599" i="1"/>
  <c r="KCW1599" i="1"/>
  <c r="KCV1599" i="1"/>
  <c r="KCU1599" i="1"/>
  <c r="KCT1599" i="1"/>
  <c r="KCS1599" i="1"/>
  <c r="KCR1599" i="1"/>
  <c r="KCQ1599" i="1"/>
  <c r="KCP1599" i="1"/>
  <c r="KCO1599" i="1"/>
  <c r="KCN1599" i="1"/>
  <c r="KCM1599" i="1"/>
  <c r="KCL1599" i="1"/>
  <c r="KCK1599" i="1"/>
  <c r="KCJ1599" i="1"/>
  <c r="KCI1599" i="1"/>
  <c r="KCH1599" i="1"/>
  <c r="KCG1599" i="1"/>
  <c r="KCF1599" i="1"/>
  <c r="KCE1599" i="1"/>
  <c r="KCD1599" i="1"/>
  <c r="KCC1599" i="1"/>
  <c r="KCB1599" i="1"/>
  <c r="KCA1599" i="1"/>
  <c r="KBZ1599" i="1"/>
  <c r="KBY1599" i="1"/>
  <c r="KBX1599" i="1"/>
  <c r="KBW1599" i="1"/>
  <c r="KBV1599" i="1"/>
  <c r="KBU1599" i="1"/>
  <c r="KBT1599" i="1"/>
  <c r="KBS1599" i="1"/>
  <c r="KBR1599" i="1"/>
  <c r="KBQ1599" i="1"/>
  <c r="KBP1599" i="1"/>
  <c r="KBO1599" i="1"/>
  <c r="KBN1599" i="1"/>
  <c r="KBM1599" i="1"/>
  <c r="KBL1599" i="1"/>
  <c r="KBK1599" i="1"/>
  <c r="KBJ1599" i="1"/>
  <c r="KBI1599" i="1"/>
  <c r="KBH1599" i="1"/>
  <c r="KBG1599" i="1"/>
  <c r="KBF1599" i="1"/>
  <c r="KBE1599" i="1"/>
  <c r="KBD1599" i="1"/>
  <c r="KBC1599" i="1"/>
  <c r="KBB1599" i="1"/>
  <c r="KBA1599" i="1"/>
  <c r="KAZ1599" i="1"/>
  <c r="KAY1599" i="1"/>
  <c r="KAX1599" i="1"/>
  <c r="KAW1599" i="1"/>
  <c r="KAV1599" i="1"/>
  <c r="KAU1599" i="1"/>
  <c r="KAT1599" i="1"/>
  <c r="KAS1599" i="1"/>
  <c r="KAR1599" i="1"/>
  <c r="KAQ1599" i="1"/>
  <c r="KAP1599" i="1"/>
  <c r="KAO1599" i="1"/>
  <c r="KAN1599" i="1"/>
  <c r="KAM1599" i="1"/>
  <c r="KAL1599" i="1"/>
  <c r="KAK1599" i="1"/>
  <c r="KAJ1599" i="1"/>
  <c r="KAI1599" i="1"/>
  <c r="KAH1599" i="1"/>
  <c r="KAG1599" i="1"/>
  <c r="KAF1599" i="1"/>
  <c r="KAE1599" i="1"/>
  <c r="KAD1599" i="1"/>
  <c r="KAC1599" i="1"/>
  <c r="KAB1599" i="1"/>
  <c r="KAA1599" i="1"/>
  <c r="JZZ1599" i="1"/>
  <c r="JZY1599" i="1"/>
  <c r="JZX1599" i="1"/>
  <c r="JZW1599" i="1"/>
  <c r="JZV1599" i="1"/>
  <c r="JZU1599" i="1"/>
  <c r="JZT1599" i="1"/>
  <c r="JZS1599" i="1"/>
  <c r="JZR1599" i="1"/>
  <c r="JZQ1599" i="1"/>
  <c r="JZP1599" i="1"/>
  <c r="JZO1599" i="1"/>
  <c r="JZN1599" i="1"/>
  <c r="JZM1599" i="1"/>
  <c r="JZL1599" i="1"/>
  <c r="JZK1599" i="1"/>
  <c r="JZJ1599" i="1"/>
  <c r="JZI1599" i="1"/>
  <c r="JZH1599" i="1"/>
  <c r="JZG1599" i="1"/>
  <c r="JZF1599" i="1"/>
  <c r="JZE1599" i="1"/>
  <c r="JZD1599" i="1"/>
  <c r="JZC1599" i="1"/>
  <c r="JZB1599" i="1"/>
  <c r="JZA1599" i="1"/>
  <c r="JYZ1599" i="1"/>
  <c r="JYY1599" i="1"/>
  <c r="JYX1599" i="1"/>
  <c r="JYW1599" i="1"/>
  <c r="JYV1599" i="1"/>
  <c r="JYU1599" i="1"/>
  <c r="JYT1599" i="1"/>
  <c r="JYS1599" i="1"/>
  <c r="JYR1599" i="1"/>
  <c r="JYQ1599" i="1"/>
  <c r="JYP1599" i="1"/>
  <c r="JYO1599" i="1"/>
  <c r="JYN1599" i="1"/>
  <c r="JYM1599" i="1"/>
  <c r="JYL1599" i="1"/>
  <c r="JYK1599" i="1"/>
  <c r="JYJ1599" i="1"/>
  <c r="JYI1599" i="1"/>
  <c r="JYH1599" i="1"/>
  <c r="JYG1599" i="1"/>
  <c r="JYF1599" i="1"/>
  <c r="JYE1599" i="1"/>
  <c r="JYD1599" i="1"/>
  <c r="JYC1599" i="1"/>
  <c r="JYB1599" i="1"/>
  <c r="JYA1599" i="1"/>
  <c r="JXZ1599" i="1"/>
  <c r="JXY1599" i="1"/>
  <c r="JXX1599" i="1"/>
  <c r="JXW1599" i="1"/>
  <c r="JXV1599" i="1"/>
  <c r="JXU1599" i="1"/>
  <c r="JXT1599" i="1"/>
  <c r="JXS1599" i="1"/>
  <c r="JXR1599" i="1"/>
  <c r="JXQ1599" i="1"/>
  <c r="JXP1599" i="1"/>
  <c r="JXO1599" i="1"/>
  <c r="JXN1599" i="1"/>
  <c r="JXM1599" i="1"/>
  <c r="JXL1599" i="1"/>
  <c r="JXK1599" i="1"/>
  <c r="JXJ1599" i="1"/>
  <c r="JXI1599" i="1"/>
  <c r="JXH1599" i="1"/>
  <c r="JXG1599" i="1"/>
  <c r="JXF1599" i="1"/>
  <c r="JXE1599" i="1"/>
  <c r="JXD1599" i="1"/>
  <c r="JXC1599" i="1"/>
  <c r="JXB1599" i="1"/>
  <c r="JXA1599" i="1"/>
  <c r="JWZ1599" i="1"/>
  <c r="JWY1599" i="1"/>
  <c r="JWX1599" i="1"/>
  <c r="JWW1599" i="1"/>
  <c r="JWV1599" i="1"/>
  <c r="JWU1599" i="1"/>
  <c r="JWT1599" i="1"/>
  <c r="JWS1599" i="1"/>
  <c r="JWR1599" i="1"/>
  <c r="JWQ1599" i="1"/>
  <c r="JWP1599" i="1"/>
  <c r="JWO1599" i="1"/>
  <c r="JWN1599" i="1"/>
  <c r="JWM1599" i="1"/>
  <c r="JWL1599" i="1"/>
  <c r="JWK1599" i="1"/>
  <c r="JWJ1599" i="1"/>
  <c r="JWI1599" i="1"/>
  <c r="JWH1599" i="1"/>
  <c r="JWG1599" i="1"/>
  <c r="JWF1599" i="1"/>
  <c r="JWE1599" i="1"/>
  <c r="JWD1599" i="1"/>
  <c r="JWC1599" i="1"/>
  <c r="JWB1599" i="1"/>
  <c r="JWA1599" i="1"/>
  <c r="JVZ1599" i="1"/>
  <c r="JVY1599" i="1"/>
  <c r="JVX1599" i="1"/>
  <c r="JVW1599" i="1"/>
  <c r="JVV1599" i="1"/>
  <c r="JVU1599" i="1"/>
  <c r="JVT1599" i="1"/>
  <c r="JVS1599" i="1"/>
  <c r="JVR1599" i="1"/>
  <c r="JVQ1599" i="1"/>
  <c r="JVP1599" i="1"/>
  <c r="JVO1599" i="1"/>
  <c r="JVN1599" i="1"/>
  <c r="JVM1599" i="1"/>
  <c r="JVL1599" i="1"/>
  <c r="JVK1599" i="1"/>
  <c r="JVJ1599" i="1"/>
  <c r="JVI1599" i="1"/>
  <c r="JVH1599" i="1"/>
  <c r="JVG1599" i="1"/>
  <c r="JVF1599" i="1"/>
  <c r="JVE1599" i="1"/>
  <c r="JVD1599" i="1"/>
  <c r="JVC1599" i="1"/>
  <c r="JVB1599" i="1"/>
  <c r="JVA1599" i="1"/>
  <c r="JUZ1599" i="1"/>
  <c r="JUY1599" i="1"/>
  <c r="JUX1599" i="1"/>
  <c r="JUW1599" i="1"/>
  <c r="JUV1599" i="1"/>
  <c r="JUU1599" i="1"/>
  <c r="JUT1599" i="1"/>
  <c r="JUS1599" i="1"/>
  <c r="JUR1599" i="1"/>
  <c r="JUQ1599" i="1"/>
  <c r="JUP1599" i="1"/>
  <c r="JUO1599" i="1"/>
  <c r="JUN1599" i="1"/>
  <c r="JUM1599" i="1"/>
  <c r="JUL1599" i="1"/>
  <c r="JUK1599" i="1"/>
  <c r="JUJ1599" i="1"/>
  <c r="JUI1599" i="1"/>
  <c r="JUH1599" i="1"/>
  <c r="JUG1599" i="1"/>
  <c r="JUF1599" i="1"/>
  <c r="JUE1599" i="1"/>
  <c r="JUD1599" i="1"/>
  <c r="JUC1599" i="1"/>
  <c r="JUB1599" i="1"/>
  <c r="JUA1599" i="1"/>
  <c r="JTZ1599" i="1"/>
  <c r="JTY1599" i="1"/>
  <c r="JTX1599" i="1"/>
  <c r="JTW1599" i="1"/>
  <c r="JTV1599" i="1"/>
  <c r="JTU1599" i="1"/>
  <c r="JTT1599" i="1"/>
  <c r="JTS1599" i="1"/>
  <c r="JTR1599" i="1"/>
  <c r="JTQ1599" i="1"/>
  <c r="JTP1599" i="1"/>
  <c r="JTO1599" i="1"/>
  <c r="JTN1599" i="1"/>
  <c r="JTM1599" i="1"/>
  <c r="JTL1599" i="1"/>
  <c r="JTK1599" i="1"/>
  <c r="JTJ1599" i="1"/>
  <c r="JTI1599" i="1"/>
  <c r="JTH1599" i="1"/>
  <c r="JTG1599" i="1"/>
  <c r="JTF1599" i="1"/>
  <c r="JTE1599" i="1"/>
  <c r="JTD1599" i="1"/>
  <c r="JTC1599" i="1"/>
  <c r="JTB1599" i="1"/>
  <c r="JTA1599" i="1"/>
  <c r="JSZ1599" i="1"/>
  <c r="JSY1599" i="1"/>
  <c r="JSX1599" i="1"/>
  <c r="JSW1599" i="1"/>
  <c r="JSV1599" i="1"/>
  <c r="JSU1599" i="1"/>
  <c r="JST1599" i="1"/>
  <c r="JSS1599" i="1"/>
  <c r="JSR1599" i="1"/>
  <c r="JSQ1599" i="1"/>
  <c r="JSP1599" i="1"/>
  <c r="JSO1599" i="1"/>
  <c r="JSN1599" i="1"/>
  <c r="JSM1599" i="1"/>
  <c r="JSL1599" i="1"/>
  <c r="JSK1599" i="1"/>
  <c r="JSJ1599" i="1"/>
  <c r="JSI1599" i="1"/>
  <c r="JSH1599" i="1"/>
  <c r="JSG1599" i="1"/>
  <c r="JSF1599" i="1"/>
  <c r="JSE1599" i="1"/>
  <c r="JSD1599" i="1"/>
  <c r="JSC1599" i="1"/>
  <c r="JSB1599" i="1"/>
  <c r="JSA1599" i="1"/>
  <c r="JRZ1599" i="1"/>
  <c r="JRY1599" i="1"/>
  <c r="JRX1599" i="1"/>
  <c r="JRW1599" i="1"/>
  <c r="JRV1599" i="1"/>
  <c r="JRU1599" i="1"/>
  <c r="JRT1599" i="1"/>
  <c r="JRS1599" i="1"/>
  <c r="JRR1599" i="1"/>
  <c r="JRQ1599" i="1"/>
  <c r="JRP1599" i="1"/>
  <c r="JRO1599" i="1"/>
  <c r="JRN1599" i="1"/>
  <c r="JRM1599" i="1"/>
  <c r="JRL1599" i="1"/>
  <c r="JRK1599" i="1"/>
  <c r="JRJ1599" i="1"/>
  <c r="JRI1599" i="1"/>
  <c r="JRH1599" i="1"/>
  <c r="JRG1599" i="1"/>
  <c r="JRF1599" i="1"/>
  <c r="JRE1599" i="1"/>
  <c r="JRD1599" i="1"/>
  <c r="JRC1599" i="1"/>
  <c r="JRB1599" i="1"/>
  <c r="JRA1599" i="1"/>
  <c r="JQZ1599" i="1"/>
  <c r="JQY1599" i="1"/>
  <c r="JQX1599" i="1"/>
  <c r="JQW1599" i="1"/>
  <c r="JQV1599" i="1"/>
  <c r="JQU1599" i="1"/>
  <c r="JQT1599" i="1"/>
  <c r="JQS1599" i="1"/>
  <c r="JQR1599" i="1"/>
  <c r="JQQ1599" i="1"/>
  <c r="JQP1599" i="1"/>
  <c r="JQO1599" i="1"/>
  <c r="JQN1599" i="1"/>
  <c r="JQM1599" i="1"/>
  <c r="JQL1599" i="1"/>
  <c r="JQK1599" i="1"/>
  <c r="JQJ1599" i="1"/>
  <c r="JQI1599" i="1"/>
  <c r="JQH1599" i="1"/>
  <c r="JQG1599" i="1"/>
  <c r="JQF1599" i="1"/>
  <c r="JQE1599" i="1"/>
  <c r="JQD1599" i="1"/>
  <c r="JQC1599" i="1"/>
  <c r="JQB1599" i="1"/>
  <c r="JQA1599" i="1"/>
  <c r="JPZ1599" i="1"/>
  <c r="JPY1599" i="1"/>
  <c r="JPX1599" i="1"/>
  <c r="JPW1599" i="1"/>
  <c r="JPV1599" i="1"/>
  <c r="JPU1599" i="1"/>
  <c r="JPT1599" i="1"/>
  <c r="JPS1599" i="1"/>
  <c r="JPR1599" i="1"/>
  <c r="JPQ1599" i="1"/>
  <c r="JPP1599" i="1"/>
  <c r="JPO1599" i="1"/>
  <c r="JPN1599" i="1"/>
  <c r="JPM1599" i="1"/>
  <c r="JPL1599" i="1"/>
  <c r="JPK1599" i="1"/>
  <c r="JPJ1599" i="1"/>
  <c r="JPI1599" i="1"/>
  <c r="JPH1599" i="1"/>
  <c r="JPG1599" i="1"/>
  <c r="JPF1599" i="1"/>
  <c r="JPE1599" i="1"/>
  <c r="JPD1599" i="1"/>
  <c r="JPC1599" i="1"/>
  <c r="JPB1599" i="1"/>
  <c r="JPA1599" i="1"/>
  <c r="JOZ1599" i="1"/>
  <c r="JOY1599" i="1"/>
  <c r="JOX1599" i="1"/>
  <c r="JOW1599" i="1"/>
  <c r="JOV1599" i="1"/>
  <c r="JOU1599" i="1"/>
  <c r="JOT1599" i="1"/>
  <c r="JOS1599" i="1"/>
  <c r="JOR1599" i="1"/>
  <c r="JOQ1599" i="1"/>
  <c r="JOP1599" i="1"/>
  <c r="JOO1599" i="1"/>
  <c r="JON1599" i="1"/>
  <c r="JOM1599" i="1"/>
  <c r="JOL1599" i="1"/>
  <c r="JOK1599" i="1"/>
  <c r="JOJ1599" i="1"/>
  <c r="JOI1599" i="1"/>
  <c r="JOH1599" i="1"/>
  <c r="JOG1599" i="1"/>
  <c r="JOF1599" i="1"/>
  <c r="JOE1599" i="1"/>
  <c r="JOD1599" i="1"/>
  <c r="JOC1599" i="1"/>
  <c r="JOB1599" i="1"/>
  <c r="JOA1599" i="1"/>
  <c r="JNZ1599" i="1"/>
  <c r="JNY1599" i="1"/>
  <c r="JNX1599" i="1"/>
  <c r="JNW1599" i="1"/>
  <c r="JNV1599" i="1"/>
  <c r="JNU1599" i="1"/>
  <c r="JNT1599" i="1"/>
  <c r="JNS1599" i="1"/>
  <c r="JNR1599" i="1"/>
  <c r="JNQ1599" i="1"/>
  <c r="JNP1599" i="1"/>
  <c r="JNO1599" i="1"/>
  <c r="JNN1599" i="1"/>
  <c r="JNM1599" i="1"/>
  <c r="JNL1599" i="1"/>
  <c r="JNK1599" i="1"/>
  <c r="JNJ1599" i="1"/>
  <c r="JNI1599" i="1"/>
  <c r="JNH1599" i="1"/>
  <c r="JNG1599" i="1"/>
  <c r="JNF1599" i="1"/>
  <c r="JNE1599" i="1"/>
  <c r="JND1599" i="1"/>
  <c r="JNC1599" i="1"/>
  <c r="JNB1599" i="1"/>
  <c r="JNA1599" i="1"/>
  <c r="JMZ1599" i="1"/>
  <c r="JMY1599" i="1"/>
  <c r="JMX1599" i="1"/>
  <c r="JMW1599" i="1"/>
  <c r="JMV1599" i="1"/>
  <c r="JMU1599" i="1"/>
  <c r="JMT1599" i="1"/>
  <c r="JMS1599" i="1"/>
  <c r="JMR1599" i="1"/>
  <c r="JMQ1599" i="1"/>
  <c r="JMP1599" i="1"/>
  <c r="JMO1599" i="1"/>
  <c r="JMN1599" i="1"/>
  <c r="JMM1599" i="1"/>
  <c r="JML1599" i="1"/>
  <c r="JMK1599" i="1"/>
  <c r="JMJ1599" i="1"/>
  <c r="JMI1599" i="1"/>
  <c r="JMH1599" i="1"/>
  <c r="JMG1599" i="1"/>
  <c r="JMF1599" i="1"/>
  <c r="JME1599" i="1"/>
  <c r="JMD1599" i="1"/>
  <c r="JMC1599" i="1"/>
  <c r="JMB1599" i="1"/>
  <c r="JMA1599" i="1"/>
  <c r="JLZ1599" i="1"/>
  <c r="JLY1599" i="1"/>
  <c r="JLX1599" i="1"/>
  <c r="JLW1599" i="1"/>
  <c r="JLV1599" i="1"/>
  <c r="JLU1599" i="1"/>
  <c r="JLT1599" i="1"/>
  <c r="JLS1599" i="1"/>
  <c r="JLR1599" i="1"/>
  <c r="JLQ1599" i="1"/>
  <c r="JLP1599" i="1"/>
  <c r="JLO1599" i="1"/>
  <c r="JLN1599" i="1"/>
  <c r="JLM1599" i="1"/>
  <c r="JLL1599" i="1"/>
  <c r="JLK1599" i="1"/>
  <c r="JLJ1599" i="1"/>
  <c r="JLI1599" i="1"/>
  <c r="JLH1599" i="1"/>
  <c r="JLG1599" i="1"/>
  <c r="JLF1599" i="1"/>
  <c r="JLE1599" i="1"/>
  <c r="JLD1599" i="1"/>
  <c r="JLC1599" i="1"/>
  <c r="JLB1599" i="1"/>
  <c r="JLA1599" i="1"/>
  <c r="JKZ1599" i="1"/>
  <c r="JKY1599" i="1"/>
  <c r="JKX1599" i="1"/>
  <c r="JKW1599" i="1"/>
  <c r="JKV1599" i="1"/>
  <c r="JKU1599" i="1"/>
  <c r="JKT1599" i="1"/>
  <c r="JKS1599" i="1"/>
  <c r="JKR1599" i="1"/>
  <c r="JKQ1599" i="1"/>
  <c r="JKP1599" i="1"/>
  <c r="JKO1599" i="1"/>
  <c r="JKN1599" i="1"/>
  <c r="JKM1599" i="1"/>
  <c r="JKL1599" i="1"/>
  <c r="JKK1599" i="1"/>
  <c r="JKJ1599" i="1"/>
  <c r="JKI1599" i="1"/>
  <c r="JKH1599" i="1"/>
  <c r="JKG1599" i="1"/>
  <c r="JKF1599" i="1"/>
  <c r="JKE1599" i="1"/>
  <c r="JKD1599" i="1"/>
  <c r="JKC1599" i="1"/>
  <c r="JKB1599" i="1"/>
  <c r="JKA1599" i="1"/>
  <c r="JJZ1599" i="1"/>
  <c r="JJY1599" i="1"/>
  <c r="JJX1599" i="1"/>
  <c r="JJW1599" i="1"/>
  <c r="JJV1599" i="1"/>
  <c r="JJU1599" i="1"/>
  <c r="JJT1599" i="1"/>
  <c r="JJS1599" i="1"/>
  <c r="JJR1599" i="1"/>
  <c r="JJQ1599" i="1"/>
  <c r="JJP1599" i="1"/>
  <c r="JJO1599" i="1"/>
  <c r="JJN1599" i="1"/>
  <c r="JJM1599" i="1"/>
  <c r="JJL1599" i="1"/>
  <c r="JJK1599" i="1"/>
  <c r="JJJ1599" i="1"/>
  <c r="JJI1599" i="1"/>
  <c r="JJH1599" i="1"/>
  <c r="JJG1599" i="1"/>
  <c r="JJF1599" i="1"/>
  <c r="JJE1599" i="1"/>
  <c r="JJD1599" i="1"/>
  <c r="JJC1599" i="1"/>
  <c r="JJB1599" i="1"/>
  <c r="JJA1599" i="1"/>
  <c r="JIZ1599" i="1"/>
  <c r="JIY1599" i="1"/>
  <c r="JIX1599" i="1"/>
  <c r="JIW1599" i="1"/>
  <c r="JIV1599" i="1"/>
  <c r="JIU1599" i="1"/>
  <c r="JIT1599" i="1"/>
  <c r="JIS1599" i="1"/>
  <c r="JIR1599" i="1"/>
  <c r="JIQ1599" i="1"/>
  <c r="JIP1599" i="1"/>
  <c r="JIO1599" i="1"/>
  <c r="JIN1599" i="1"/>
  <c r="JIM1599" i="1"/>
  <c r="JIL1599" i="1"/>
  <c r="JIK1599" i="1"/>
  <c r="JIJ1599" i="1"/>
  <c r="JII1599" i="1"/>
  <c r="JIH1599" i="1"/>
  <c r="JIG1599" i="1"/>
  <c r="JIF1599" i="1"/>
  <c r="JIE1599" i="1"/>
  <c r="JID1599" i="1"/>
  <c r="JIC1599" i="1"/>
  <c r="JIB1599" i="1"/>
  <c r="JIA1599" i="1"/>
  <c r="JHZ1599" i="1"/>
  <c r="JHY1599" i="1"/>
  <c r="JHX1599" i="1"/>
  <c r="JHW1599" i="1"/>
  <c r="JHV1599" i="1"/>
  <c r="JHU1599" i="1"/>
  <c r="JHT1599" i="1"/>
  <c r="JHS1599" i="1"/>
  <c r="JHR1599" i="1"/>
  <c r="JHQ1599" i="1"/>
  <c r="JHP1599" i="1"/>
  <c r="JHO1599" i="1"/>
  <c r="JHN1599" i="1"/>
  <c r="JHM1599" i="1"/>
  <c r="JHL1599" i="1"/>
  <c r="JHK1599" i="1"/>
  <c r="JHJ1599" i="1"/>
  <c r="JHI1599" i="1"/>
  <c r="JHH1599" i="1"/>
  <c r="JHG1599" i="1"/>
  <c r="JHF1599" i="1"/>
  <c r="JHE1599" i="1"/>
  <c r="JHD1599" i="1"/>
  <c r="JHC1599" i="1"/>
  <c r="JHB1599" i="1"/>
  <c r="JHA1599" i="1"/>
  <c r="JGZ1599" i="1"/>
  <c r="JGY1599" i="1"/>
  <c r="JGX1599" i="1"/>
  <c r="JGW1599" i="1"/>
  <c r="JGV1599" i="1"/>
  <c r="JGU1599" i="1"/>
  <c r="JGT1599" i="1"/>
  <c r="JGS1599" i="1"/>
  <c r="JGR1599" i="1"/>
  <c r="JGQ1599" i="1"/>
  <c r="JGP1599" i="1"/>
  <c r="JGO1599" i="1"/>
  <c r="JGN1599" i="1"/>
  <c r="JGM1599" i="1"/>
  <c r="JGL1599" i="1"/>
  <c r="JGK1599" i="1"/>
  <c r="JGJ1599" i="1"/>
  <c r="JGI1599" i="1"/>
  <c r="JGH1599" i="1"/>
  <c r="JGG1599" i="1"/>
  <c r="JGF1599" i="1"/>
  <c r="JGE1599" i="1"/>
  <c r="JGD1599" i="1"/>
  <c r="JGC1599" i="1"/>
  <c r="JGB1599" i="1"/>
  <c r="JGA1599" i="1"/>
  <c r="JFZ1599" i="1"/>
  <c r="JFY1599" i="1"/>
  <c r="JFX1599" i="1"/>
  <c r="JFW1599" i="1"/>
  <c r="JFV1599" i="1"/>
  <c r="JFU1599" i="1"/>
  <c r="JFT1599" i="1"/>
  <c r="JFS1599" i="1"/>
  <c r="JFR1599" i="1"/>
  <c r="JFQ1599" i="1"/>
  <c r="JFP1599" i="1"/>
  <c r="JFO1599" i="1"/>
  <c r="JFN1599" i="1"/>
  <c r="JFM1599" i="1"/>
  <c r="JFL1599" i="1"/>
  <c r="JFK1599" i="1"/>
  <c r="JFJ1599" i="1"/>
  <c r="JFI1599" i="1"/>
  <c r="JFH1599" i="1"/>
  <c r="JFG1599" i="1"/>
  <c r="JFF1599" i="1"/>
  <c r="JFE1599" i="1"/>
  <c r="JFD1599" i="1"/>
  <c r="JFC1599" i="1"/>
  <c r="JFB1599" i="1"/>
  <c r="JFA1599" i="1"/>
  <c r="JEZ1599" i="1"/>
  <c r="JEY1599" i="1"/>
  <c r="JEX1599" i="1"/>
  <c r="JEW1599" i="1"/>
  <c r="JEV1599" i="1"/>
  <c r="JEU1599" i="1"/>
  <c r="JET1599" i="1"/>
  <c r="JES1599" i="1"/>
  <c r="JER1599" i="1"/>
  <c r="JEQ1599" i="1"/>
  <c r="JEP1599" i="1"/>
  <c r="JEO1599" i="1"/>
  <c r="JEN1599" i="1"/>
  <c r="JEM1599" i="1"/>
  <c r="JEL1599" i="1"/>
  <c r="JEK1599" i="1"/>
  <c r="JEJ1599" i="1"/>
  <c r="JEI1599" i="1"/>
  <c r="JEH1599" i="1"/>
  <c r="JEG1599" i="1"/>
  <c r="JEF1599" i="1"/>
  <c r="JEE1599" i="1"/>
  <c r="JED1599" i="1"/>
  <c r="JEC1599" i="1"/>
  <c r="JEB1599" i="1"/>
  <c r="JEA1599" i="1"/>
  <c r="JDZ1599" i="1"/>
  <c r="JDY1599" i="1"/>
  <c r="JDX1599" i="1"/>
  <c r="JDW1599" i="1"/>
  <c r="JDV1599" i="1"/>
  <c r="JDU1599" i="1"/>
  <c r="JDT1599" i="1"/>
  <c r="JDS1599" i="1"/>
  <c r="JDR1599" i="1"/>
  <c r="JDQ1599" i="1"/>
  <c r="JDP1599" i="1"/>
  <c r="JDO1599" i="1"/>
  <c r="JDN1599" i="1"/>
  <c r="JDM1599" i="1"/>
  <c r="JDL1599" i="1"/>
  <c r="JDK1599" i="1"/>
  <c r="JDJ1599" i="1"/>
  <c r="JDI1599" i="1"/>
  <c r="JDH1599" i="1"/>
  <c r="JDG1599" i="1"/>
  <c r="JDF1599" i="1"/>
  <c r="JDE1599" i="1"/>
  <c r="JDD1599" i="1"/>
  <c r="JDC1599" i="1"/>
  <c r="JDB1599" i="1"/>
  <c r="JDA1599" i="1"/>
  <c r="JCZ1599" i="1"/>
  <c r="JCY1599" i="1"/>
  <c r="JCX1599" i="1"/>
  <c r="JCW1599" i="1"/>
  <c r="JCV1599" i="1"/>
  <c r="JCU1599" i="1"/>
  <c r="JCT1599" i="1"/>
  <c r="JCS1599" i="1"/>
  <c r="JCR1599" i="1"/>
  <c r="JCQ1599" i="1"/>
  <c r="JCP1599" i="1"/>
  <c r="JCO1599" i="1"/>
  <c r="JCN1599" i="1"/>
  <c r="JCM1599" i="1"/>
  <c r="JCL1599" i="1"/>
  <c r="JCK1599" i="1"/>
  <c r="JCJ1599" i="1"/>
  <c r="JCI1599" i="1"/>
  <c r="JCH1599" i="1"/>
  <c r="JCG1599" i="1"/>
  <c r="JCF1599" i="1"/>
  <c r="JCE1599" i="1"/>
  <c r="JCD1599" i="1"/>
  <c r="JCC1599" i="1"/>
  <c r="JCB1599" i="1"/>
  <c r="JCA1599" i="1"/>
  <c r="JBZ1599" i="1"/>
  <c r="JBY1599" i="1"/>
  <c r="JBX1599" i="1"/>
  <c r="JBW1599" i="1"/>
  <c r="JBV1599" i="1"/>
  <c r="JBU1599" i="1"/>
  <c r="JBT1599" i="1"/>
  <c r="JBS1599" i="1"/>
  <c r="JBR1599" i="1"/>
  <c r="JBQ1599" i="1"/>
  <c r="JBP1599" i="1"/>
  <c r="JBO1599" i="1"/>
  <c r="JBN1599" i="1"/>
  <c r="JBM1599" i="1"/>
  <c r="JBL1599" i="1"/>
  <c r="JBK1599" i="1"/>
  <c r="JBJ1599" i="1"/>
  <c r="JBI1599" i="1"/>
  <c r="JBH1599" i="1"/>
  <c r="JBG1599" i="1"/>
  <c r="JBF1599" i="1"/>
  <c r="JBE1599" i="1"/>
  <c r="JBD1599" i="1"/>
  <c r="JBC1599" i="1"/>
  <c r="JBB1599" i="1"/>
  <c r="JBA1599" i="1"/>
  <c r="JAZ1599" i="1"/>
  <c r="JAY1599" i="1"/>
  <c r="JAX1599" i="1"/>
  <c r="JAW1599" i="1"/>
  <c r="JAV1599" i="1"/>
  <c r="JAU1599" i="1"/>
  <c r="JAT1599" i="1"/>
  <c r="JAS1599" i="1"/>
  <c r="JAR1599" i="1"/>
  <c r="JAQ1599" i="1"/>
  <c r="JAP1599" i="1"/>
  <c r="JAO1599" i="1"/>
  <c r="JAN1599" i="1"/>
  <c r="JAM1599" i="1"/>
  <c r="JAL1599" i="1"/>
  <c r="JAK1599" i="1"/>
  <c r="JAJ1599" i="1"/>
  <c r="JAI1599" i="1"/>
  <c r="JAH1599" i="1"/>
  <c r="JAG1599" i="1"/>
  <c r="JAF1599" i="1"/>
  <c r="JAE1599" i="1"/>
  <c r="JAD1599" i="1"/>
  <c r="JAC1599" i="1"/>
  <c r="JAB1599" i="1"/>
  <c r="JAA1599" i="1"/>
  <c r="IZZ1599" i="1"/>
  <c r="IZY1599" i="1"/>
  <c r="IZX1599" i="1"/>
  <c r="IZW1599" i="1"/>
  <c r="IZV1599" i="1"/>
  <c r="IZU1599" i="1"/>
  <c r="IZT1599" i="1"/>
  <c r="IZS1599" i="1"/>
  <c r="IZR1599" i="1"/>
  <c r="IZQ1599" i="1"/>
  <c r="IZP1599" i="1"/>
  <c r="IZO1599" i="1"/>
  <c r="IZN1599" i="1"/>
  <c r="IZM1599" i="1"/>
  <c r="IZL1599" i="1"/>
  <c r="IZK1599" i="1"/>
  <c r="IZJ1599" i="1"/>
  <c r="IZI1599" i="1"/>
  <c r="IZH1599" i="1"/>
  <c r="IZG1599" i="1"/>
  <c r="IZF1599" i="1"/>
  <c r="IZE1599" i="1"/>
  <c r="IZD1599" i="1"/>
  <c r="IZC1599" i="1"/>
  <c r="IZB1599" i="1"/>
  <c r="IZA1599" i="1"/>
  <c r="IYZ1599" i="1"/>
  <c r="IYY1599" i="1"/>
  <c r="IYX1599" i="1"/>
  <c r="IYW1599" i="1"/>
  <c r="IYV1599" i="1"/>
  <c r="IYU1599" i="1"/>
  <c r="IYT1599" i="1"/>
  <c r="IYS1599" i="1"/>
  <c r="IYR1599" i="1"/>
  <c r="IYQ1599" i="1"/>
  <c r="IYP1599" i="1"/>
  <c r="IYO1599" i="1"/>
  <c r="IYN1599" i="1"/>
  <c r="IYM1599" i="1"/>
  <c r="IYL1599" i="1"/>
  <c r="IYK1599" i="1"/>
  <c r="IYJ1599" i="1"/>
  <c r="IYI1599" i="1"/>
  <c r="IYH1599" i="1"/>
  <c r="IYG1599" i="1"/>
  <c r="IYF1599" i="1"/>
  <c r="IYE1599" i="1"/>
  <c r="IYD1599" i="1"/>
  <c r="IYC1599" i="1"/>
  <c r="IYB1599" i="1"/>
  <c r="IYA1599" i="1"/>
  <c r="IXZ1599" i="1"/>
  <c r="IXY1599" i="1"/>
  <c r="IXX1599" i="1"/>
  <c r="IXW1599" i="1"/>
  <c r="IXV1599" i="1"/>
  <c r="IXU1599" i="1"/>
  <c r="IXT1599" i="1"/>
  <c r="IXS1599" i="1"/>
  <c r="IXR1599" i="1"/>
  <c r="IXQ1599" i="1"/>
  <c r="IXP1599" i="1"/>
  <c r="IXO1599" i="1"/>
  <c r="IXN1599" i="1"/>
  <c r="IXM1599" i="1"/>
  <c r="IXL1599" i="1"/>
  <c r="IXK1599" i="1"/>
  <c r="IXJ1599" i="1"/>
  <c r="IXI1599" i="1"/>
  <c r="IXH1599" i="1"/>
  <c r="IXG1599" i="1"/>
  <c r="IXF1599" i="1"/>
  <c r="IXE1599" i="1"/>
  <c r="IXD1599" i="1"/>
  <c r="IXC1599" i="1"/>
  <c r="IXB1599" i="1"/>
  <c r="IXA1599" i="1"/>
  <c r="IWZ1599" i="1"/>
  <c r="IWY1599" i="1"/>
  <c r="IWX1599" i="1"/>
  <c r="IWW1599" i="1"/>
  <c r="IWV1599" i="1"/>
  <c r="IWU1599" i="1"/>
  <c r="IWT1599" i="1"/>
  <c r="IWS1599" i="1"/>
  <c r="IWR1599" i="1"/>
  <c r="IWQ1599" i="1"/>
  <c r="IWP1599" i="1"/>
  <c r="IWO1599" i="1"/>
  <c r="IWN1599" i="1"/>
  <c r="IWM1599" i="1"/>
  <c r="IWL1599" i="1"/>
  <c r="IWK1599" i="1"/>
  <c r="IWJ1599" i="1"/>
  <c r="IWI1599" i="1"/>
  <c r="IWH1599" i="1"/>
  <c r="IWG1599" i="1"/>
  <c r="IWF1599" i="1"/>
  <c r="IWE1599" i="1"/>
  <c r="IWD1599" i="1"/>
  <c r="IWC1599" i="1"/>
  <c r="IWB1599" i="1"/>
  <c r="IWA1599" i="1"/>
  <c r="IVZ1599" i="1"/>
  <c r="IVY1599" i="1"/>
  <c r="IVX1599" i="1"/>
  <c r="IVW1599" i="1"/>
  <c r="IVV1599" i="1"/>
  <c r="IVU1599" i="1"/>
  <c r="IVT1599" i="1"/>
  <c r="IVS1599" i="1"/>
  <c r="IVR1599" i="1"/>
  <c r="IVQ1599" i="1"/>
  <c r="IVP1599" i="1"/>
  <c r="IVO1599" i="1"/>
  <c r="IVN1599" i="1"/>
  <c r="IVM1599" i="1"/>
  <c r="IVL1599" i="1"/>
  <c r="IVK1599" i="1"/>
  <c r="IVJ1599" i="1"/>
  <c r="IVI1599" i="1"/>
  <c r="IVH1599" i="1"/>
  <c r="IVG1599" i="1"/>
  <c r="IVF1599" i="1"/>
  <c r="IVE1599" i="1"/>
  <c r="IVD1599" i="1"/>
  <c r="IVC1599" i="1"/>
  <c r="IVB1599" i="1"/>
  <c r="IVA1599" i="1"/>
  <c r="IUZ1599" i="1"/>
  <c r="IUY1599" i="1"/>
  <c r="IUX1599" i="1"/>
  <c r="IUW1599" i="1"/>
  <c r="IUV1599" i="1"/>
  <c r="IUU1599" i="1"/>
  <c r="IUT1599" i="1"/>
  <c r="IUS1599" i="1"/>
  <c r="IUR1599" i="1"/>
  <c r="IUQ1599" i="1"/>
  <c r="IUP1599" i="1"/>
  <c r="IUO1599" i="1"/>
  <c r="IUN1599" i="1"/>
  <c r="IUM1599" i="1"/>
  <c r="IUL1599" i="1"/>
  <c r="IUK1599" i="1"/>
  <c r="IUJ1599" i="1"/>
  <c r="IUI1599" i="1"/>
  <c r="IUH1599" i="1"/>
  <c r="IUG1599" i="1"/>
  <c r="IUF1599" i="1"/>
  <c r="IUE1599" i="1"/>
  <c r="IUD1599" i="1"/>
  <c r="IUC1599" i="1"/>
  <c r="IUB1599" i="1"/>
  <c r="IUA1599" i="1"/>
  <c r="ITZ1599" i="1"/>
  <c r="ITY1599" i="1"/>
  <c r="ITX1599" i="1"/>
  <c r="ITW1599" i="1"/>
  <c r="ITV1599" i="1"/>
  <c r="ITU1599" i="1"/>
  <c r="ITT1599" i="1"/>
  <c r="ITS1599" i="1"/>
  <c r="ITR1599" i="1"/>
  <c r="ITQ1599" i="1"/>
  <c r="ITP1599" i="1"/>
  <c r="ITO1599" i="1"/>
  <c r="ITN1599" i="1"/>
  <c r="ITM1599" i="1"/>
  <c r="ITL1599" i="1"/>
  <c r="ITK1599" i="1"/>
  <c r="ITJ1599" i="1"/>
  <c r="ITI1599" i="1"/>
  <c r="ITH1599" i="1"/>
  <c r="ITG1599" i="1"/>
  <c r="ITF1599" i="1"/>
  <c r="ITE1599" i="1"/>
  <c r="ITD1599" i="1"/>
  <c r="ITC1599" i="1"/>
  <c r="ITB1599" i="1"/>
  <c r="ITA1599" i="1"/>
  <c r="ISZ1599" i="1"/>
  <c r="ISY1599" i="1"/>
  <c r="ISX1599" i="1"/>
  <c r="ISW1599" i="1"/>
  <c r="ISV1599" i="1"/>
  <c r="ISU1599" i="1"/>
  <c r="IST1599" i="1"/>
  <c r="ISS1599" i="1"/>
  <c r="ISR1599" i="1"/>
  <c r="ISQ1599" i="1"/>
  <c r="ISP1599" i="1"/>
  <c r="ISO1599" i="1"/>
  <c r="ISN1599" i="1"/>
  <c r="ISM1599" i="1"/>
  <c r="ISL1599" i="1"/>
  <c r="ISK1599" i="1"/>
  <c r="ISJ1599" i="1"/>
  <c r="ISI1599" i="1"/>
  <c r="ISH1599" i="1"/>
  <c r="ISG1599" i="1"/>
  <c r="ISF1599" i="1"/>
  <c r="ISE1599" i="1"/>
  <c r="ISD1599" i="1"/>
  <c r="ISC1599" i="1"/>
  <c r="ISB1599" i="1"/>
  <c r="ISA1599" i="1"/>
  <c r="IRZ1599" i="1"/>
  <c r="IRY1599" i="1"/>
  <c r="IRX1599" i="1"/>
  <c r="IRW1599" i="1"/>
  <c r="IRV1599" i="1"/>
  <c r="IRU1599" i="1"/>
  <c r="IRT1599" i="1"/>
  <c r="IRS1599" i="1"/>
  <c r="IRR1599" i="1"/>
  <c r="IRQ1599" i="1"/>
  <c r="IRP1599" i="1"/>
  <c r="IRO1599" i="1"/>
  <c r="IRN1599" i="1"/>
  <c r="IRM1599" i="1"/>
  <c r="IRL1599" i="1"/>
  <c r="IRK1599" i="1"/>
  <c r="IRJ1599" i="1"/>
  <c r="IRI1599" i="1"/>
  <c r="IRH1599" i="1"/>
  <c r="IRG1599" i="1"/>
  <c r="IRF1599" i="1"/>
  <c r="IRE1599" i="1"/>
  <c r="IRD1599" i="1"/>
  <c r="IRC1599" i="1"/>
  <c r="IRB1599" i="1"/>
  <c r="IRA1599" i="1"/>
  <c r="IQZ1599" i="1"/>
  <c r="IQY1599" i="1"/>
  <c r="IQX1599" i="1"/>
  <c r="IQW1599" i="1"/>
  <c r="IQV1599" i="1"/>
  <c r="IQU1599" i="1"/>
  <c r="IQT1599" i="1"/>
  <c r="IQS1599" i="1"/>
  <c r="IQR1599" i="1"/>
  <c r="IQQ1599" i="1"/>
  <c r="IQP1599" i="1"/>
  <c r="IQO1599" i="1"/>
  <c r="IQN1599" i="1"/>
  <c r="IQM1599" i="1"/>
  <c r="IQL1599" i="1"/>
  <c r="IQK1599" i="1"/>
  <c r="IQJ1599" i="1"/>
  <c r="IQI1599" i="1"/>
  <c r="IQH1599" i="1"/>
  <c r="IQG1599" i="1"/>
  <c r="IQF1599" i="1"/>
  <c r="IQE1599" i="1"/>
  <c r="IQD1599" i="1"/>
  <c r="IQC1599" i="1"/>
  <c r="IQB1599" i="1"/>
  <c r="IQA1599" i="1"/>
  <c r="IPZ1599" i="1"/>
  <c r="IPY1599" i="1"/>
  <c r="IPX1599" i="1"/>
  <c r="IPW1599" i="1"/>
  <c r="IPV1599" i="1"/>
  <c r="IPU1599" i="1"/>
  <c r="IPT1599" i="1"/>
  <c r="IPS1599" i="1"/>
  <c r="IPR1599" i="1"/>
  <c r="IPQ1599" i="1"/>
  <c r="IPP1599" i="1"/>
  <c r="IPO1599" i="1"/>
  <c r="IPN1599" i="1"/>
  <c r="IPM1599" i="1"/>
  <c r="IPL1599" i="1"/>
  <c r="IPK1599" i="1"/>
  <c r="IPJ1599" i="1"/>
  <c r="IPI1599" i="1"/>
  <c r="IPH1599" i="1"/>
  <c r="IPG1599" i="1"/>
  <c r="IPF1599" i="1"/>
  <c r="IPE1599" i="1"/>
  <c r="IPD1599" i="1"/>
  <c r="IPC1599" i="1"/>
  <c r="IPB1599" i="1"/>
  <c r="IPA1599" i="1"/>
  <c r="IOZ1599" i="1"/>
  <c r="IOY1599" i="1"/>
  <c r="IOX1599" i="1"/>
  <c r="IOW1599" i="1"/>
  <c r="IOV1599" i="1"/>
  <c r="IOU1599" i="1"/>
  <c r="IOT1599" i="1"/>
  <c r="IOS1599" i="1"/>
  <c r="IOR1599" i="1"/>
  <c r="IOQ1599" i="1"/>
  <c r="IOP1599" i="1"/>
  <c r="IOO1599" i="1"/>
  <c r="ION1599" i="1"/>
  <c r="IOM1599" i="1"/>
  <c r="IOL1599" i="1"/>
  <c r="IOK1599" i="1"/>
  <c r="IOJ1599" i="1"/>
  <c r="IOI1599" i="1"/>
  <c r="IOH1599" i="1"/>
  <c r="IOG1599" i="1"/>
  <c r="IOF1599" i="1"/>
  <c r="IOE1599" i="1"/>
  <c r="IOD1599" i="1"/>
  <c r="IOC1599" i="1"/>
  <c r="IOB1599" i="1"/>
  <c r="IOA1599" i="1"/>
  <c r="INZ1599" i="1"/>
  <c r="INY1599" i="1"/>
  <c r="INX1599" i="1"/>
  <c r="INW1599" i="1"/>
  <c r="INV1599" i="1"/>
  <c r="INU1599" i="1"/>
  <c r="INT1599" i="1"/>
  <c r="INS1599" i="1"/>
  <c r="INR1599" i="1"/>
  <c r="INQ1599" i="1"/>
  <c r="INP1599" i="1"/>
  <c r="INO1599" i="1"/>
  <c r="INN1599" i="1"/>
  <c r="INM1599" i="1"/>
  <c r="INL1599" i="1"/>
  <c r="INK1599" i="1"/>
  <c r="INJ1599" i="1"/>
  <c r="INI1599" i="1"/>
  <c r="INH1599" i="1"/>
  <c r="ING1599" i="1"/>
  <c r="INF1599" i="1"/>
  <c r="INE1599" i="1"/>
  <c r="IND1599" i="1"/>
  <c r="INC1599" i="1"/>
  <c r="INB1599" i="1"/>
  <c r="INA1599" i="1"/>
  <c r="IMZ1599" i="1"/>
  <c r="IMY1599" i="1"/>
  <c r="IMX1599" i="1"/>
  <c r="IMW1599" i="1"/>
  <c r="IMV1599" i="1"/>
  <c r="IMU1599" i="1"/>
  <c r="IMT1599" i="1"/>
  <c r="IMS1599" i="1"/>
  <c r="IMR1599" i="1"/>
  <c r="IMQ1599" i="1"/>
  <c r="IMP1599" i="1"/>
  <c r="IMO1599" i="1"/>
  <c r="IMN1599" i="1"/>
  <c r="IMM1599" i="1"/>
  <c r="IML1599" i="1"/>
  <c r="IMK1599" i="1"/>
  <c r="IMJ1599" i="1"/>
  <c r="IMI1599" i="1"/>
  <c r="IMH1599" i="1"/>
  <c r="IMG1599" i="1"/>
  <c r="IMF1599" i="1"/>
  <c r="IME1599" i="1"/>
  <c r="IMD1599" i="1"/>
  <c r="IMC1599" i="1"/>
  <c r="IMB1599" i="1"/>
  <c r="IMA1599" i="1"/>
  <c r="ILZ1599" i="1"/>
  <c r="ILY1599" i="1"/>
  <c r="ILX1599" i="1"/>
  <c r="ILW1599" i="1"/>
  <c r="ILV1599" i="1"/>
  <c r="ILU1599" i="1"/>
  <c r="ILT1599" i="1"/>
  <c r="ILS1599" i="1"/>
  <c r="ILR1599" i="1"/>
  <c r="ILQ1599" i="1"/>
  <c r="ILP1599" i="1"/>
  <c r="ILO1599" i="1"/>
  <c r="ILN1599" i="1"/>
  <c r="ILM1599" i="1"/>
  <c r="ILL1599" i="1"/>
  <c r="ILK1599" i="1"/>
  <c r="ILJ1599" i="1"/>
  <c r="ILI1599" i="1"/>
  <c r="ILH1599" i="1"/>
  <c r="ILG1599" i="1"/>
  <c r="ILF1599" i="1"/>
  <c r="ILE1599" i="1"/>
  <c r="ILD1599" i="1"/>
  <c r="ILC1599" i="1"/>
  <c r="ILB1599" i="1"/>
  <c r="ILA1599" i="1"/>
  <c r="IKZ1599" i="1"/>
  <c r="IKY1599" i="1"/>
  <c r="IKX1599" i="1"/>
  <c r="IKW1599" i="1"/>
  <c r="IKV1599" i="1"/>
  <c r="IKU1599" i="1"/>
  <c r="IKT1599" i="1"/>
  <c r="IKS1599" i="1"/>
  <c r="IKR1599" i="1"/>
  <c r="IKQ1599" i="1"/>
  <c r="IKP1599" i="1"/>
  <c r="IKO1599" i="1"/>
  <c r="IKN1599" i="1"/>
  <c r="IKM1599" i="1"/>
  <c r="IKL1599" i="1"/>
  <c r="IKK1599" i="1"/>
  <c r="IKJ1599" i="1"/>
  <c r="IKI1599" i="1"/>
  <c r="IKH1599" i="1"/>
  <c r="IKG1599" i="1"/>
  <c r="IKF1599" i="1"/>
  <c r="IKE1599" i="1"/>
  <c r="IKD1599" i="1"/>
  <c r="IKC1599" i="1"/>
  <c r="IKB1599" i="1"/>
  <c r="IKA1599" i="1"/>
  <c r="IJZ1599" i="1"/>
  <c r="IJY1599" i="1"/>
  <c r="IJX1599" i="1"/>
  <c r="IJW1599" i="1"/>
  <c r="IJV1599" i="1"/>
  <c r="IJU1599" i="1"/>
  <c r="IJT1599" i="1"/>
  <c r="IJS1599" i="1"/>
  <c r="IJR1599" i="1"/>
  <c r="IJQ1599" i="1"/>
  <c r="IJP1599" i="1"/>
  <c r="IJO1599" i="1"/>
  <c r="IJN1599" i="1"/>
  <c r="IJM1599" i="1"/>
  <c r="IJL1599" i="1"/>
  <c r="IJK1599" i="1"/>
  <c r="IJJ1599" i="1"/>
  <c r="IJI1599" i="1"/>
  <c r="IJH1599" i="1"/>
  <c r="IJG1599" i="1"/>
  <c r="IJF1599" i="1"/>
  <c r="IJE1599" i="1"/>
  <c r="IJD1599" i="1"/>
  <c r="IJC1599" i="1"/>
  <c r="IJB1599" i="1"/>
  <c r="IJA1599" i="1"/>
  <c r="IIZ1599" i="1"/>
  <c r="IIY1599" i="1"/>
  <c r="IIX1599" i="1"/>
  <c r="IIW1599" i="1"/>
  <c r="IIV1599" i="1"/>
  <c r="IIU1599" i="1"/>
  <c r="IIT1599" i="1"/>
  <c r="IIS1599" i="1"/>
  <c r="IIR1599" i="1"/>
  <c r="IIQ1599" i="1"/>
  <c r="IIP1599" i="1"/>
  <c r="IIO1599" i="1"/>
  <c r="IIN1599" i="1"/>
  <c r="IIM1599" i="1"/>
  <c r="IIL1599" i="1"/>
  <c r="IIK1599" i="1"/>
  <c r="IIJ1599" i="1"/>
  <c r="III1599" i="1"/>
  <c r="IIH1599" i="1"/>
  <c r="IIG1599" i="1"/>
  <c r="IIF1599" i="1"/>
  <c r="IIE1599" i="1"/>
  <c r="IID1599" i="1"/>
  <c r="IIC1599" i="1"/>
  <c r="IIB1599" i="1"/>
  <c r="IIA1599" i="1"/>
  <c r="IHZ1599" i="1"/>
  <c r="IHY1599" i="1"/>
  <c r="IHX1599" i="1"/>
  <c r="IHW1599" i="1"/>
  <c r="IHV1599" i="1"/>
  <c r="IHU1599" i="1"/>
  <c r="IHT1599" i="1"/>
  <c r="IHS1599" i="1"/>
  <c r="IHR1599" i="1"/>
  <c r="IHQ1599" i="1"/>
  <c r="IHP1599" i="1"/>
  <c r="IHO1599" i="1"/>
  <c r="IHN1599" i="1"/>
  <c r="IHM1599" i="1"/>
  <c r="IHL1599" i="1"/>
  <c r="IHK1599" i="1"/>
  <c r="IHJ1599" i="1"/>
  <c r="IHI1599" i="1"/>
  <c r="IHH1599" i="1"/>
  <c r="IHG1599" i="1"/>
  <c r="IHF1599" i="1"/>
  <c r="IHE1599" i="1"/>
  <c r="IHD1599" i="1"/>
  <c r="IHC1599" i="1"/>
  <c r="IHB1599" i="1"/>
  <c r="IHA1599" i="1"/>
  <c r="IGZ1599" i="1"/>
  <c r="IGY1599" i="1"/>
  <c r="IGX1599" i="1"/>
  <c r="IGW1599" i="1"/>
  <c r="IGV1599" i="1"/>
  <c r="IGU1599" i="1"/>
  <c r="IGT1599" i="1"/>
  <c r="IGS1599" i="1"/>
  <c r="IGR1599" i="1"/>
  <c r="IGQ1599" i="1"/>
  <c r="IGP1599" i="1"/>
  <c r="IGO1599" i="1"/>
  <c r="IGN1599" i="1"/>
  <c r="IGM1599" i="1"/>
  <c r="IGL1599" i="1"/>
  <c r="IGK1599" i="1"/>
  <c r="IGJ1599" i="1"/>
  <c r="IGI1599" i="1"/>
  <c r="IGH1599" i="1"/>
  <c r="IGG1599" i="1"/>
  <c r="IGF1599" i="1"/>
  <c r="IGE1599" i="1"/>
  <c r="IGD1599" i="1"/>
  <c r="IGC1599" i="1"/>
  <c r="IGB1599" i="1"/>
  <c r="IGA1599" i="1"/>
  <c r="IFZ1599" i="1"/>
  <c r="IFY1599" i="1"/>
  <c r="IFX1599" i="1"/>
  <c r="IFW1599" i="1"/>
  <c r="IFV1599" i="1"/>
  <c r="IFU1599" i="1"/>
  <c r="IFT1599" i="1"/>
  <c r="IFS1599" i="1"/>
  <c r="IFR1599" i="1"/>
  <c r="IFQ1599" i="1"/>
  <c r="IFP1599" i="1"/>
  <c r="IFO1599" i="1"/>
  <c r="IFN1599" i="1"/>
  <c r="IFM1599" i="1"/>
  <c r="IFL1599" i="1"/>
  <c r="IFK1599" i="1"/>
  <c r="IFJ1599" i="1"/>
  <c r="IFI1599" i="1"/>
  <c r="IFH1599" i="1"/>
  <c r="IFG1599" i="1"/>
  <c r="IFF1599" i="1"/>
  <c r="IFE1599" i="1"/>
  <c r="IFD1599" i="1"/>
  <c r="IFC1599" i="1"/>
  <c r="IFB1599" i="1"/>
  <c r="IFA1599" i="1"/>
  <c r="IEZ1599" i="1"/>
  <c r="IEY1599" i="1"/>
  <c r="IEX1599" i="1"/>
  <c r="IEW1599" i="1"/>
  <c r="IEV1599" i="1"/>
  <c r="IEU1599" i="1"/>
  <c r="IET1599" i="1"/>
  <c r="IES1599" i="1"/>
  <c r="IER1599" i="1"/>
  <c r="IEQ1599" i="1"/>
  <c r="IEP1599" i="1"/>
  <c r="IEO1599" i="1"/>
  <c r="IEN1599" i="1"/>
  <c r="IEM1599" i="1"/>
  <c r="IEL1599" i="1"/>
  <c r="IEK1599" i="1"/>
  <c r="IEJ1599" i="1"/>
  <c r="IEI1599" i="1"/>
  <c r="IEH1599" i="1"/>
  <c r="IEG1599" i="1"/>
  <c r="IEF1599" i="1"/>
  <c r="IEE1599" i="1"/>
  <c r="IED1599" i="1"/>
  <c r="IEC1599" i="1"/>
  <c r="IEB1599" i="1"/>
  <c r="IEA1599" i="1"/>
  <c r="IDZ1599" i="1"/>
  <c r="IDY1599" i="1"/>
  <c r="IDX1599" i="1"/>
  <c r="IDW1599" i="1"/>
  <c r="IDV1599" i="1"/>
  <c r="IDU1599" i="1"/>
  <c r="IDT1599" i="1"/>
  <c r="IDS1599" i="1"/>
  <c r="IDR1599" i="1"/>
  <c r="IDQ1599" i="1"/>
  <c r="IDP1599" i="1"/>
  <c r="IDO1599" i="1"/>
  <c r="IDN1599" i="1"/>
  <c r="IDM1599" i="1"/>
  <c r="IDL1599" i="1"/>
  <c r="IDK1599" i="1"/>
  <c r="IDJ1599" i="1"/>
  <c r="IDI1599" i="1"/>
  <c r="IDH1599" i="1"/>
  <c r="IDG1599" i="1"/>
  <c r="IDF1599" i="1"/>
  <c r="IDE1599" i="1"/>
  <c r="IDD1599" i="1"/>
  <c r="IDC1599" i="1"/>
  <c r="IDB1599" i="1"/>
  <c r="IDA1599" i="1"/>
  <c r="ICZ1599" i="1"/>
  <c r="ICY1599" i="1"/>
  <c r="ICX1599" i="1"/>
  <c r="ICW1599" i="1"/>
  <c r="ICV1599" i="1"/>
  <c r="ICU1599" i="1"/>
  <c r="ICT1599" i="1"/>
  <c r="ICS1599" i="1"/>
  <c r="ICR1599" i="1"/>
  <c r="ICQ1599" i="1"/>
  <c r="ICP1599" i="1"/>
  <c r="ICO1599" i="1"/>
  <c r="ICN1599" i="1"/>
  <c r="ICM1599" i="1"/>
  <c r="ICL1599" i="1"/>
  <c r="ICK1599" i="1"/>
  <c r="ICJ1599" i="1"/>
  <c r="ICI1599" i="1"/>
  <c r="ICH1599" i="1"/>
  <c r="ICG1599" i="1"/>
  <c r="ICF1599" i="1"/>
  <c r="ICE1599" i="1"/>
  <c r="ICD1599" i="1"/>
  <c r="ICC1599" i="1"/>
  <c r="ICB1599" i="1"/>
  <c r="ICA1599" i="1"/>
  <c r="IBZ1599" i="1"/>
  <c r="IBY1599" i="1"/>
  <c r="IBX1599" i="1"/>
  <c r="IBW1599" i="1"/>
  <c r="IBV1599" i="1"/>
  <c r="IBU1599" i="1"/>
  <c r="IBT1599" i="1"/>
  <c r="IBS1599" i="1"/>
  <c r="IBR1599" i="1"/>
  <c r="IBQ1599" i="1"/>
  <c r="IBP1599" i="1"/>
  <c r="IBO1599" i="1"/>
  <c r="IBN1599" i="1"/>
  <c r="IBM1599" i="1"/>
  <c r="IBL1599" i="1"/>
  <c r="IBK1599" i="1"/>
  <c r="IBJ1599" i="1"/>
  <c r="IBI1599" i="1"/>
  <c r="IBH1599" i="1"/>
  <c r="IBG1599" i="1"/>
  <c r="IBF1599" i="1"/>
  <c r="IBE1599" i="1"/>
  <c r="IBD1599" i="1"/>
  <c r="IBC1599" i="1"/>
  <c r="IBB1599" i="1"/>
  <c r="IBA1599" i="1"/>
  <c r="IAZ1599" i="1"/>
  <c r="IAY1599" i="1"/>
  <c r="IAX1599" i="1"/>
  <c r="IAW1599" i="1"/>
  <c r="IAV1599" i="1"/>
  <c r="IAU1599" i="1"/>
  <c r="IAT1599" i="1"/>
  <c r="IAS1599" i="1"/>
  <c r="IAR1599" i="1"/>
  <c r="IAQ1599" i="1"/>
  <c r="IAP1599" i="1"/>
  <c r="IAO1599" i="1"/>
  <c r="IAN1599" i="1"/>
  <c r="IAM1599" i="1"/>
  <c r="IAL1599" i="1"/>
  <c r="IAK1599" i="1"/>
  <c r="IAJ1599" i="1"/>
  <c r="IAI1599" i="1"/>
  <c r="IAH1599" i="1"/>
  <c r="IAG1599" i="1"/>
  <c r="IAF1599" i="1"/>
  <c r="IAE1599" i="1"/>
  <c r="IAD1599" i="1"/>
  <c r="IAC1599" i="1"/>
  <c r="IAB1599" i="1"/>
  <c r="IAA1599" i="1"/>
  <c r="HZZ1599" i="1"/>
  <c r="HZY1599" i="1"/>
  <c r="HZX1599" i="1"/>
  <c r="HZW1599" i="1"/>
  <c r="HZV1599" i="1"/>
  <c r="HZU1599" i="1"/>
  <c r="HZT1599" i="1"/>
  <c r="HZS1599" i="1"/>
  <c r="HZR1599" i="1"/>
  <c r="HZQ1599" i="1"/>
  <c r="HZP1599" i="1"/>
  <c r="HZO1599" i="1"/>
  <c r="HZN1599" i="1"/>
  <c r="HZM1599" i="1"/>
  <c r="HZL1599" i="1"/>
  <c r="HZK1599" i="1"/>
  <c r="HZJ1599" i="1"/>
  <c r="HZI1599" i="1"/>
  <c r="HZH1599" i="1"/>
  <c r="HZG1599" i="1"/>
  <c r="HZF1599" i="1"/>
  <c r="HZE1599" i="1"/>
  <c r="HZD1599" i="1"/>
  <c r="HZC1599" i="1"/>
  <c r="HZB1599" i="1"/>
  <c r="HZA1599" i="1"/>
  <c r="HYZ1599" i="1"/>
  <c r="HYY1599" i="1"/>
  <c r="HYX1599" i="1"/>
  <c r="HYW1599" i="1"/>
  <c r="HYV1599" i="1"/>
  <c r="HYU1599" i="1"/>
  <c r="HYT1599" i="1"/>
  <c r="HYS1599" i="1"/>
  <c r="HYR1599" i="1"/>
  <c r="HYQ1599" i="1"/>
  <c r="HYP1599" i="1"/>
  <c r="HYO1599" i="1"/>
  <c r="HYN1599" i="1"/>
  <c r="HYM1599" i="1"/>
  <c r="HYL1599" i="1"/>
  <c r="HYK1599" i="1"/>
  <c r="HYJ1599" i="1"/>
  <c r="HYI1599" i="1"/>
  <c r="HYH1599" i="1"/>
  <c r="HYG1599" i="1"/>
  <c r="HYF1599" i="1"/>
  <c r="HYE1599" i="1"/>
  <c r="HYD1599" i="1"/>
  <c r="HYC1599" i="1"/>
  <c r="HYB1599" i="1"/>
  <c r="HYA1599" i="1"/>
  <c r="HXZ1599" i="1"/>
  <c r="HXY1599" i="1"/>
  <c r="HXX1599" i="1"/>
  <c r="HXW1599" i="1"/>
  <c r="HXV1599" i="1"/>
  <c r="HXU1599" i="1"/>
  <c r="HXT1599" i="1"/>
  <c r="HXS1599" i="1"/>
  <c r="HXR1599" i="1"/>
  <c r="HXQ1599" i="1"/>
  <c r="HXP1599" i="1"/>
  <c r="HXO1599" i="1"/>
  <c r="HXN1599" i="1"/>
  <c r="HXM1599" i="1"/>
  <c r="HXL1599" i="1"/>
  <c r="HXK1599" i="1"/>
  <c r="HXJ1599" i="1"/>
  <c r="HXI1599" i="1"/>
  <c r="HXH1599" i="1"/>
  <c r="HXG1599" i="1"/>
  <c r="HXF1599" i="1"/>
  <c r="HXE1599" i="1"/>
  <c r="HXD1599" i="1"/>
  <c r="HXC1599" i="1"/>
  <c r="HXB1599" i="1"/>
  <c r="HXA1599" i="1"/>
  <c r="HWZ1599" i="1"/>
  <c r="HWY1599" i="1"/>
  <c r="HWX1599" i="1"/>
  <c r="HWW1599" i="1"/>
  <c r="HWV1599" i="1"/>
  <c r="HWU1599" i="1"/>
  <c r="HWT1599" i="1"/>
  <c r="HWS1599" i="1"/>
  <c r="HWR1599" i="1"/>
  <c r="HWQ1599" i="1"/>
  <c r="HWP1599" i="1"/>
  <c r="HWO1599" i="1"/>
  <c r="HWN1599" i="1"/>
  <c r="HWM1599" i="1"/>
  <c r="HWL1599" i="1"/>
  <c r="HWK1599" i="1"/>
  <c r="HWJ1599" i="1"/>
  <c r="HWI1599" i="1"/>
  <c r="HWH1599" i="1"/>
  <c r="HWG1599" i="1"/>
  <c r="HWF1599" i="1"/>
  <c r="HWE1599" i="1"/>
  <c r="HWD1599" i="1"/>
  <c r="HWC1599" i="1"/>
  <c r="HWB1599" i="1"/>
  <c r="HWA1599" i="1"/>
  <c r="HVZ1599" i="1"/>
  <c r="HVY1599" i="1"/>
  <c r="HVX1599" i="1"/>
  <c r="HVW1599" i="1"/>
  <c r="HVV1599" i="1"/>
  <c r="HVU1599" i="1"/>
  <c r="HVT1599" i="1"/>
  <c r="HVS1599" i="1"/>
  <c r="HVR1599" i="1"/>
  <c r="HVQ1599" i="1"/>
  <c r="HVP1599" i="1"/>
  <c r="HVO1599" i="1"/>
  <c r="HVN1599" i="1"/>
  <c r="HVM1599" i="1"/>
  <c r="HVL1599" i="1"/>
  <c r="HVK1599" i="1"/>
  <c r="HVJ1599" i="1"/>
  <c r="HVI1599" i="1"/>
  <c r="HVH1599" i="1"/>
  <c r="HVG1599" i="1"/>
  <c r="HVF1599" i="1"/>
  <c r="HVE1599" i="1"/>
  <c r="HVD1599" i="1"/>
  <c r="HVC1599" i="1"/>
  <c r="HVB1599" i="1"/>
  <c r="HVA1599" i="1"/>
  <c r="HUZ1599" i="1"/>
  <c r="HUY1599" i="1"/>
  <c r="HUX1599" i="1"/>
  <c r="HUW1599" i="1"/>
  <c r="HUV1599" i="1"/>
  <c r="HUU1599" i="1"/>
  <c r="HUT1599" i="1"/>
  <c r="HUS1599" i="1"/>
  <c r="HUR1599" i="1"/>
  <c r="HUQ1599" i="1"/>
  <c r="HUP1599" i="1"/>
  <c r="HUO1599" i="1"/>
  <c r="HUN1599" i="1"/>
  <c r="HUM1599" i="1"/>
  <c r="HUL1599" i="1"/>
  <c r="HUK1599" i="1"/>
  <c r="HUJ1599" i="1"/>
  <c r="HUI1599" i="1"/>
  <c r="HUH1599" i="1"/>
  <c r="HUG1599" i="1"/>
  <c r="HUF1599" i="1"/>
  <c r="HUE1599" i="1"/>
  <c r="HUD1599" i="1"/>
  <c r="HUC1599" i="1"/>
  <c r="HUB1599" i="1"/>
  <c r="HUA1599" i="1"/>
  <c r="HTZ1599" i="1"/>
  <c r="HTY1599" i="1"/>
  <c r="HTX1599" i="1"/>
  <c r="HTW1599" i="1"/>
  <c r="HTV1599" i="1"/>
  <c r="HTU1599" i="1"/>
  <c r="HTT1599" i="1"/>
  <c r="HTS1599" i="1"/>
  <c r="HTR1599" i="1"/>
  <c r="HTQ1599" i="1"/>
  <c r="HTP1599" i="1"/>
  <c r="HTO1599" i="1"/>
  <c r="HTN1599" i="1"/>
  <c r="HTM1599" i="1"/>
  <c r="HTL1599" i="1"/>
  <c r="HTK1599" i="1"/>
  <c r="HTJ1599" i="1"/>
  <c r="HTI1599" i="1"/>
  <c r="HTH1599" i="1"/>
  <c r="HTG1599" i="1"/>
  <c r="HTF1599" i="1"/>
  <c r="HTE1599" i="1"/>
  <c r="HTD1599" i="1"/>
  <c r="HTC1599" i="1"/>
  <c r="HTB1599" i="1"/>
  <c r="HTA1599" i="1"/>
  <c r="HSZ1599" i="1"/>
  <c r="HSY1599" i="1"/>
  <c r="HSX1599" i="1"/>
  <c r="HSW1599" i="1"/>
  <c r="HSV1599" i="1"/>
  <c r="HSU1599" i="1"/>
  <c r="HST1599" i="1"/>
  <c r="HSS1599" i="1"/>
  <c r="HSR1599" i="1"/>
  <c r="HSQ1599" i="1"/>
  <c r="HSP1599" i="1"/>
  <c r="HSO1599" i="1"/>
  <c r="HSN1599" i="1"/>
  <c r="HSM1599" i="1"/>
  <c r="HSL1599" i="1"/>
  <c r="HSK1599" i="1"/>
  <c r="HSJ1599" i="1"/>
  <c r="HSI1599" i="1"/>
  <c r="HSH1599" i="1"/>
  <c r="HSG1599" i="1"/>
  <c r="HSF1599" i="1"/>
  <c r="HSE1599" i="1"/>
  <c r="HSD1599" i="1"/>
  <c r="HSC1599" i="1"/>
  <c r="HSB1599" i="1"/>
  <c r="HSA1599" i="1"/>
  <c r="HRZ1599" i="1"/>
  <c r="HRY1599" i="1"/>
  <c r="HRX1599" i="1"/>
  <c r="HRW1599" i="1"/>
  <c r="HRV1599" i="1"/>
  <c r="HRU1599" i="1"/>
  <c r="HRT1599" i="1"/>
  <c r="HRS1599" i="1"/>
  <c r="HRR1599" i="1"/>
  <c r="HRQ1599" i="1"/>
  <c r="HRP1599" i="1"/>
  <c r="HRO1599" i="1"/>
  <c r="HRN1599" i="1"/>
  <c r="HRM1599" i="1"/>
  <c r="HRL1599" i="1"/>
  <c r="HRK1599" i="1"/>
  <c r="HRJ1599" i="1"/>
  <c r="HRI1599" i="1"/>
  <c r="HRH1599" i="1"/>
  <c r="HRG1599" i="1"/>
  <c r="HRF1599" i="1"/>
  <c r="HRE1599" i="1"/>
  <c r="HRD1599" i="1"/>
  <c r="HRC1599" i="1"/>
  <c r="HRB1599" i="1"/>
  <c r="HRA1599" i="1"/>
  <c r="HQZ1599" i="1"/>
  <c r="HQY1599" i="1"/>
  <c r="HQX1599" i="1"/>
  <c r="HQW1599" i="1"/>
  <c r="HQV1599" i="1"/>
  <c r="HQU1599" i="1"/>
  <c r="HQT1599" i="1"/>
  <c r="HQS1599" i="1"/>
  <c r="HQR1599" i="1"/>
  <c r="HQQ1599" i="1"/>
  <c r="HQP1599" i="1"/>
  <c r="HQO1599" i="1"/>
  <c r="HQN1599" i="1"/>
  <c r="HQM1599" i="1"/>
  <c r="HQL1599" i="1"/>
  <c r="HQK1599" i="1"/>
  <c r="HQJ1599" i="1"/>
  <c r="HQI1599" i="1"/>
  <c r="HQH1599" i="1"/>
  <c r="HQG1599" i="1"/>
  <c r="HQF1599" i="1"/>
  <c r="HQE1599" i="1"/>
  <c r="HQD1599" i="1"/>
  <c r="HQC1599" i="1"/>
  <c r="HQB1599" i="1"/>
  <c r="HQA1599" i="1"/>
  <c r="HPZ1599" i="1"/>
  <c r="HPY1599" i="1"/>
  <c r="HPX1599" i="1"/>
  <c r="HPW1599" i="1"/>
  <c r="HPV1599" i="1"/>
  <c r="HPU1599" i="1"/>
  <c r="HPT1599" i="1"/>
  <c r="HPS1599" i="1"/>
  <c r="HPR1599" i="1"/>
  <c r="HPQ1599" i="1"/>
  <c r="HPP1599" i="1"/>
  <c r="HPO1599" i="1"/>
  <c r="HPN1599" i="1"/>
  <c r="HPM1599" i="1"/>
  <c r="HPL1599" i="1"/>
  <c r="HPK1599" i="1"/>
  <c r="HPJ1599" i="1"/>
  <c r="HPI1599" i="1"/>
  <c r="HPH1599" i="1"/>
  <c r="HPG1599" i="1"/>
  <c r="HPF1599" i="1"/>
  <c r="HPE1599" i="1"/>
  <c r="HPD1599" i="1"/>
  <c r="HPC1599" i="1"/>
  <c r="HPB1599" i="1"/>
  <c r="HPA1599" i="1"/>
  <c r="HOZ1599" i="1"/>
  <c r="HOY1599" i="1"/>
  <c r="HOX1599" i="1"/>
  <c r="HOW1599" i="1"/>
  <c r="HOV1599" i="1"/>
  <c r="HOU1599" i="1"/>
  <c r="HOT1599" i="1"/>
  <c r="HOS1599" i="1"/>
  <c r="HOR1599" i="1"/>
  <c r="HOQ1599" i="1"/>
  <c r="HOP1599" i="1"/>
  <c r="HOO1599" i="1"/>
  <c r="HON1599" i="1"/>
  <c r="HOM1599" i="1"/>
  <c r="HOL1599" i="1"/>
  <c r="HOK1599" i="1"/>
  <c r="HOJ1599" i="1"/>
  <c r="HOI1599" i="1"/>
  <c r="HOH1599" i="1"/>
  <c r="HOG1599" i="1"/>
  <c r="HOF1599" i="1"/>
  <c r="HOE1599" i="1"/>
  <c r="HOD1599" i="1"/>
  <c r="HOC1599" i="1"/>
  <c r="HOB1599" i="1"/>
  <c r="HOA1599" i="1"/>
  <c r="HNZ1599" i="1"/>
  <c r="HNY1599" i="1"/>
  <c r="HNX1599" i="1"/>
  <c r="HNW1599" i="1"/>
  <c r="HNV1599" i="1"/>
  <c r="HNU1599" i="1"/>
  <c r="HNT1599" i="1"/>
  <c r="HNS1599" i="1"/>
  <c r="HNR1599" i="1"/>
  <c r="HNQ1599" i="1"/>
  <c r="HNP1599" i="1"/>
  <c r="HNO1599" i="1"/>
  <c r="HNN1599" i="1"/>
  <c r="HNM1599" i="1"/>
  <c r="HNL1599" i="1"/>
  <c r="HNK1599" i="1"/>
  <c r="HNJ1599" i="1"/>
  <c r="HNI1599" i="1"/>
  <c r="HNH1599" i="1"/>
  <c r="HNG1599" i="1"/>
  <c r="HNF1599" i="1"/>
  <c r="HNE1599" i="1"/>
  <c r="HND1599" i="1"/>
  <c r="HNC1599" i="1"/>
  <c r="HNB1599" i="1"/>
  <c r="HNA1599" i="1"/>
  <c r="HMZ1599" i="1"/>
  <c r="HMY1599" i="1"/>
  <c r="HMX1599" i="1"/>
  <c r="HMW1599" i="1"/>
  <c r="HMV1599" i="1"/>
  <c r="HMU1599" i="1"/>
  <c r="HMT1599" i="1"/>
  <c r="HMS1599" i="1"/>
  <c r="HMR1599" i="1"/>
  <c r="HMQ1599" i="1"/>
  <c r="HMP1599" i="1"/>
  <c r="HMO1599" i="1"/>
  <c r="HMN1599" i="1"/>
  <c r="HMM1599" i="1"/>
  <c r="HML1599" i="1"/>
  <c r="HMK1599" i="1"/>
  <c r="HMJ1599" i="1"/>
  <c r="HMI1599" i="1"/>
  <c r="HMH1599" i="1"/>
  <c r="HMG1599" i="1"/>
  <c r="HMF1599" i="1"/>
  <c r="HME1599" i="1"/>
  <c r="HMD1599" i="1"/>
  <c r="HMC1599" i="1"/>
  <c r="HMB1599" i="1"/>
  <c r="HMA1599" i="1"/>
  <c r="HLZ1599" i="1"/>
  <c r="HLY1599" i="1"/>
  <c r="HLX1599" i="1"/>
  <c r="HLW1599" i="1"/>
  <c r="HLV1599" i="1"/>
  <c r="HLU1599" i="1"/>
  <c r="HLT1599" i="1"/>
  <c r="HLS1599" i="1"/>
  <c r="HLR1599" i="1"/>
  <c r="HLQ1599" i="1"/>
  <c r="HLP1599" i="1"/>
  <c r="HLO1599" i="1"/>
  <c r="HLN1599" i="1"/>
  <c r="HLM1599" i="1"/>
  <c r="HLL1599" i="1"/>
  <c r="HLK1599" i="1"/>
  <c r="HLJ1599" i="1"/>
  <c r="HLI1599" i="1"/>
  <c r="HLH1599" i="1"/>
  <c r="HLG1599" i="1"/>
  <c r="HLF1599" i="1"/>
  <c r="HLE1599" i="1"/>
  <c r="HLD1599" i="1"/>
  <c r="HLC1599" i="1"/>
  <c r="HLB1599" i="1"/>
  <c r="HLA1599" i="1"/>
  <c r="HKZ1599" i="1"/>
  <c r="HKY1599" i="1"/>
  <c r="HKX1599" i="1"/>
  <c r="HKW1599" i="1"/>
  <c r="HKV1599" i="1"/>
  <c r="HKU1599" i="1"/>
  <c r="HKT1599" i="1"/>
  <c r="HKS1599" i="1"/>
  <c r="HKR1599" i="1"/>
  <c r="HKQ1599" i="1"/>
  <c r="HKP1599" i="1"/>
  <c r="HKO1599" i="1"/>
  <c r="HKN1599" i="1"/>
  <c r="HKM1599" i="1"/>
  <c r="HKL1599" i="1"/>
  <c r="HKK1599" i="1"/>
  <c r="HKJ1599" i="1"/>
  <c r="HKI1599" i="1"/>
  <c r="HKH1599" i="1"/>
  <c r="HKG1599" i="1"/>
  <c r="HKF1599" i="1"/>
  <c r="HKE1599" i="1"/>
  <c r="HKD1599" i="1"/>
  <c r="HKC1599" i="1"/>
  <c r="HKB1599" i="1"/>
  <c r="HKA1599" i="1"/>
  <c r="HJZ1599" i="1"/>
  <c r="HJY1599" i="1"/>
  <c r="HJX1599" i="1"/>
  <c r="HJW1599" i="1"/>
  <c r="HJV1599" i="1"/>
  <c r="HJU1599" i="1"/>
  <c r="HJT1599" i="1"/>
  <c r="HJS1599" i="1"/>
  <c r="HJR1599" i="1"/>
  <c r="HJQ1599" i="1"/>
  <c r="HJP1599" i="1"/>
  <c r="HJO1599" i="1"/>
  <c r="HJN1599" i="1"/>
  <c r="HJM1599" i="1"/>
  <c r="HJL1599" i="1"/>
  <c r="HJK1599" i="1"/>
  <c r="HJJ1599" i="1"/>
  <c r="HJI1599" i="1"/>
  <c r="HJH1599" i="1"/>
  <c r="HJG1599" i="1"/>
  <c r="HJF1599" i="1"/>
  <c r="HJE1599" i="1"/>
  <c r="HJD1599" i="1"/>
  <c r="HJC1599" i="1"/>
  <c r="HJB1599" i="1"/>
  <c r="HJA1599" i="1"/>
  <c r="HIZ1599" i="1"/>
  <c r="HIY1599" i="1"/>
  <c r="HIX1599" i="1"/>
  <c r="HIW1599" i="1"/>
  <c r="HIV1599" i="1"/>
  <c r="HIU1599" i="1"/>
  <c r="HIT1599" i="1"/>
  <c r="HIS1599" i="1"/>
  <c r="HIR1599" i="1"/>
  <c r="HIQ1599" i="1"/>
  <c r="HIP1599" i="1"/>
  <c r="HIO1599" i="1"/>
  <c r="HIN1599" i="1"/>
  <c r="HIM1599" i="1"/>
  <c r="HIL1599" i="1"/>
  <c r="HIK1599" i="1"/>
  <c r="HIJ1599" i="1"/>
  <c r="HII1599" i="1"/>
  <c r="HIH1599" i="1"/>
  <c r="HIG1599" i="1"/>
  <c r="HIF1599" i="1"/>
  <c r="HIE1599" i="1"/>
  <c r="HID1599" i="1"/>
  <c r="HIC1599" i="1"/>
  <c r="HIB1599" i="1"/>
  <c r="HIA1599" i="1"/>
  <c r="HHZ1599" i="1"/>
  <c r="HHY1599" i="1"/>
  <c r="HHX1599" i="1"/>
  <c r="HHW1599" i="1"/>
  <c r="HHV1599" i="1"/>
  <c r="HHU1599" i="1"/>
  <c r="HHT1599" i="1"/>
  <c r="HHS1599" i="1"/>
  <c r="HHR1599" i="1"/>
  <c r="HHQ1599" i="1"/>
  <c r="HHP1599" i="1"/>
  <c r="HHO1599" i="1"/>
  <c r="HHN1599" i="1"/>
  <c r="HHM1599" i="1"/>
  <c r="HHL1599" i="1"/>
  <c r="HHK1599" i="1"/>
  <c r="HHJ1599" i="1"/>
  <c r="HHI1599" i="1"/>
  <c r="HHH1599" i="1"/>
  <c r="HHG1599" i="1"/>
  <c r="HHF1599" i="1"/>
  <c r="HHE1599" i="1"/>
  <c r="HHD1599" i="1"/>
  <c r="HHC1599" i="1"/>
  <c r="HHB1599" i="1"/>
  <c r="HHA1599" i="1"/>
  <c r="HGZ1599" i="1"/>
  <c r="HGY1599" i="1"/>
  <c r="HGX1599" i="1"/>
  <c r="HGW1599" i="1"/>
  <c r="HGV1599" i="1"/>
  <c r="HGU1599" i="1"/>
  <c r="HGT1599" i="1"/>
  <c r="HGS1599" i="1"/>
  <c r="HGR1599" i="1"/>
  <c r="HGQ1599" i="1"/>
  <c r="HGP1599" i="1"/>
  <c r="HGO1599" i="1"/>
  <c r="HGN1599" i="1"/>
  <c r="HGM1599" i="1"/>
  <c r="HGL1599" i="1"/>
  <c r="HGK1599" i="1"/>
  <c r="HGJ1599" i="1"/>
  <c r="HGI1599" i="1"/>
  <c r="HGH1599" i="1"/>
  <c r="HGG1599" i="1"/>
  <c r="HGF1599" i="1"/>
  <c r="HGE1599" i="1"/>
  <c r="HGD1599" i="1"/>
  <c r="HGC1599" i="1"/>
  <c r="HGB1599" i="1"/>
  <c r="HGA1599" i="1"/>
  <c r="HFZ1599" i="1"/>
  <c r="HFY1599" i="1"/>
  <c r="HFX1599" i="1"/>
  <c r="HFW1599" i="1"/>
  <c r="HFV1599" i="1"/>
  <c r="HFU1599" i="1"/>
  <c r="HFT1599" i="1"/>
  <c r="HFS1599" i="1"/>
  <c r="HFR1599" i="1"/>
  <c r="HFQ1599" i="1"/>
  <c r="HFP1599" i="1"/>
  <c r="HFO1599" i="1"/>
  <c r="HFN1599" i="1"/>
  <c r="HFM1599" i="1"/>
  <c r="HFL1599" i="1"/>
  <c r="HFK1599" i="1"/>
  <c r="HFJ1599" i="1"/>
  <c r="HFI1599" i="1"/>
  <c r="HFH1599" i="1"/>
  <c r="HFG1599" i="1"/>
  <c r="HFF1599" i="1"/>
  <c r="HFE1599" i="1"/>
  <c r="HFD1599" i="1"/>
  <c r="HFC1599" i="1"/>
  <c r="HFB1599" i="1"/>
  <c r="HFA1599" i="1"/>
  <c r="HEZ1599" i="1"/>
  <c r="HEY1599" i="1"/>
  <c r="HEX1599" i="1"/>
  <c r="HEW1599" i="1"/>
  <c r="HEV1599" i="1"/>
  <c r="HEU1599" i="1"/>
  <c r="HET1599" i="1"/>
  <c r="HES1599" i="1"/>
  <c r="HER1599" i="1"/>
  <c r="HEQ1599" i="1"/>
  <c r="HEP1599" i="1"/>
  <c r="HEO1599" i="1"/>
  <c r="HEN1599" i="1"/>
  <c r="HEM1599" i="1"/>
  <c r="HEL1599" i="1"/>
  <c r="HEK1599" i="1"/>
  <c r="HEJ1599" i="1"/>
  <c r="HEI1599" i="1"/>
  <c r="HEH1599" i="1"/>
  <c r="HEG1599" i="1"/>
  <c r="HEF1599" i="1"/>
  <c r="HEE1599" i="1"/>
  <c r="HED1599" i="1"/>
  <c r="HEC1599" i="1"/>
  <c r="HEB1599" i="1"/>
  <c r="HEA1599" i="1"/>
  <c r="HDZ1599" i="1"/>
  <c r="HDY1599" i="1"/>
  <c r="HDX1599" i="1"/>
  <c r="HDW1599" i="1"/>
  <c r="HDV1599" i="1"/>
  <c r="HDU1599" i="1"/>
  <c r="HDT1599" i="1"/>
  <c r="HDS1599" i="1"/>
  <c r="HDR1599" i="1"/>
  <c r="HDQ1599" i="1"/>
  <c r="HDP1599" i="1"/>
  <c r="HDO1599" i="1"/>
  <c r="HDN1599" i="1"/>
  <c r="HDM1599" i="1"/>
  <c r="HDL1599" i="1"/>
  <c r="HDK1599" i="1"/>
  <c r="HDJ1599" i="1"/>
  <c r="HDI1599" i="1"/>
  <c r="HDH1599" i="1"/>
  <c r="HDG1599" i="1"/>
  <c r="HDF1599" i="1"/>
  <c r="HDE1599" i="1"/>
  <c r="HDD1599" i="1"/>
  <c r="HDC1599" i="1"/>
  <c r="HDB1599" i="1"/>
  <c r="HDA1599" i="1"/>
  <c r="HCZ1599" i="1"/>
  <c r="HCY1599" i="1"/>
  <c r="HCX1599" i="1"/>
  <c r="HCW1599" i="1"/>
  <c r="HCV1599" i="1"/>
  <c r="HCU1599" i="1"/>
  <c r="HCT1599" i="1"/>
  <c r="HCS1599" i="1"/>
  <c r="HCR1599" i="1"/>
  <c r="HCQ1599" i="1"/>
  <c r="HCP1599" i="1"/>
  <c r="HCO1599" i="1"/>
  <c r="HCN1599" i="1"/>
  <c r="HCM1599" i="1"/>
  <c r="HCL1599" i="1"/>
  <c r="HCK1599" i="1"/>
  <c r="HCJ1599" i="1"/>
  <c r="HCI1599" i="1"/>
  <c r="HCH1599" i="1"/>
  <c r="HCG1599" i="1"/>
  <c r="HCF1599" i="1"/>
  <c r="HCE1599" i="1"/>
  <c r="HCD1599" i="1"/>
  <c r="HCC1599" i="1"/>
  <c r="HCB1599" i="1"/>
  <c r="HCA1599" i="1"/>
  <c r="HBZ1599" i="1"/>
  <c r="HBY1599" i="1"/>
  <c r="HBX1599" i="1"/>
  <c r="HBW1599" i="1"/>
  <c r="HBV1599" i="1"/>
  <c r="HBU1599" i="1"/>
  <c r="HBT1599" i="1"/>
  <c r="HBS1599" i="1"/>
  <c r="HBR1599" i="1"/>
  <c r="HBQ1599" i="1"/>
  <c r="HBP1599" i="1"/>
  <c r="HBO1599" i="1"/>
  <c r="HBN1599" i="1"/>
  <c r="HBM1599" i="1"/>
  <c r="HBL1599" i="1"/>
  <c r="HBK1599" i="1"/>
  <c r="HBJ1599" i="1"/>
  <c r="HBI1599" i="1"/>
  <c r="HBH1599" i="1"/>
  <c r="HBG1599" i="1"/>
  <c r="HBF1599" i="1"/>
  <c r="HBE1599" i="1"/>
  <c r="HBD1599" i="1"/>
  <c r="HBC1599" i="1"/>
  <c r="HBB1599" i="1"/>
  <c r="HBA1599" i="1"/>
  <c r="HAZ1599" i="1"/>
  <c r="HAY1599" i="1"/>
  <c r="HAX1599" i="1"/>
  <c r="HAW1599" i="1"/>
  <c r="HAV1599" i="1"/>
  <c r="HAU1599" i="1"/>
  <c r="HAT1599" i="1"/>
  <c r="HAS1599" i="1"/>
  <c r="HAR1599" i="1"/>
  <c r="HAQ1599" i="1"/>
  <c r="HAP1599" i="1"/>
  <c r="HAO1599" i="1"/>
  <c r="HAN1599" i="1"/>
  <c r="HAM1599" i="1"/>
  <c r="HAL1599" i="1"/>
  <c r="HAK1599" i="1"/>
  <c r="HAJ1599" i="1"/>
  <c r="HAI1599" i="1"/>
  <c r="HAH1599" i="1"/>
  <c r="HAG1599" i="1"/>
  <c r="HAF1599" i="1"/>
  <c r="HAE1599" i="1"/>
  <c r="HAD1599" i="1"/>
  <c r="HAC1599" i="1"/>
  <c r="HAB1599" i="1"/>
  <c r="HAA1599" i="1"/>
  <c r="GZZ1599" i="1"/>
  <c r="GZY1599" i="1"/>
  <c r="GZX1599" i="1"/>
  <c r="GZW1599" i="1"/>
  <c r="GZV1599" i="1"/>
  <c r="GZU1599" i="1"/>
  <c r="GZT1599" i="1"/>
  <c r="GZS1599" i="1"/>
  <c r="GZR1599" i="1"/>
  <c r="GZQ1599" i="1"/>
  <c r="GZP1599" i="1"/>
  <c r="GZO1599" i="1"/>
  <c r="GZN1599" i="1"/>
  <c r="GZM1599" i="1"/>
  <c r="GZL1599" i="1"/>
  <c r="GZK1599" i="1"/>
  <c r="GZJ1599" i="1"/>
  <c r="GZI1599" i="1"/>
  <c r="GZH1599" i="1"/>
  <c r="GZG1599" i="1"/>
  <c r="GZF1599" i="1"/>
  <c r="GZE1599" i="1"/>
  <c r="GZD1599" i="1"/>
  <c r="GZC1599" i="1"/>
  <c r="GZB1599" i="1"/>
  <c r="GZA1599" i="1"/>
  <c r="GYZ1599" i="1"/>
  <c r="GYY1599" i="1"/>
  <c r="GYX1599" i="1"/>
  <c r="GYW1599" i="1"/>
  <c r="GYV1599" i="1"/>
  <c r="GYU1599" i="1"/>
  <c r="GYT1599" i="1"/>
  <c r="GYS1599" i="1"/>
  <c r="GYR1599" i="1"/>
  <c r="GYQ1599" i="1"/>
  <c r="GYP1599" i="1"/>
  <c r="GYO1599" i="1"/>
  <c r="GYN1599" i="1"/>
  <c r="GYM1599" i="1"/>
  <c r="GYL1599" i="1"/>
  <c r="GYK1599" i="1"/>
  <c r="GYJ1599" i="1"/>
  <c r="GYI1599" i="1"/>
  <c r="GYH1599" i="1"/>
  <c r="GYG1599" i="1"/>
  <c r="GYF1599" i="1"/>
  <c r="GYE1599" i="1"/>
  <c r="GYD1599" i="1"/>
  <c r="GYC1599" i="1"/>
  <c r="GYB1599" i="1"/>
  <c r="GYA1599" i="1"/>
  <c r="GXZ1599" i="1"/>
  <c r="GXY1599" i="1"/>
  <c r="GXX1599" i="1"/>
  <c r="GXW1599" i="1"/>
  <c r="GXV1599" i="1"/>
  <c r="GXU1599" i="1"/>
  <c r="GXT1599" i="1"/>
  <c r="GXS1599" i="1"/>
  <c r="GXR1599" i="1"/>
  <c r="GXQ1599" i="1"/>
  <c r="GXP1599" i="1"/>
  <c r="GXO1599" i="1"/>
  <c r="GXN1599" i="1"/>
  <c r="GXM1599" i="1"/>
  <c r="GXL1599" i="1"/>
  <c r="GXK1599" i="1"/>
  <c r="GXJ1599" i="1"/>
  <c r="GXI1599" i="1"/>
  <c r="GXH1599" i="1"/>
  <c r="GXG1599" i="1"/>
  <c r="GXF1599" i="1"/>
  <c r="GXE1599" i="1"/>
  <c r="GXD1599" i="1"/>
  <c r="GXC1599" i="1"/>
  <c r="GXB1599" i="1"/>
  <c r="GXA1599" i="1"/>
  <c r="GWZ1599" i="1"/>
  <c r="GWY1599" i="1"/>
  <c r="GWX1599" i="1"/>
  <c r="GWW1599" i="1"/>
  <c r="GWV1599" i="1"/>
  <c r="GWU1599" i="1"/>
  <c r="GWT1599" i="1"/>
  <c r="GWS1599" i="1"/>
  <c r="GWR1599" i="1"/>
  <c r="GWQ1599" i="1"/>
  <c r="GWP1599" i="1"/>
  <c r="GWO1599" i="1"/>
  <c r="GWN1599" i="1"/>
  <c r="GWM1599" i="1"/>
  <c r="GWL1599" i="1"/>
  <c r="GWK1599" i="1"/>
  <c r="GWJ1599" i="1"/>
  <c r="GWI1599" i="1"/>
  <c r="GWH1599" i="1"/>
  <c r="GWG1599" i="1"/>
  <c r="GWF1599" i="1"/>
  <c r="GWE1599" i="1"/>
  <c r="GWD1599" i="1"/>
  <c r="GWC1599" i="1"/>
  <c r="GWB1599" i="1"/>
  <c r="GWA1599" i="1"/>
  <c r="GVZ1599" i="1"/>
  <c r="GVY1599" i="1"/>
  <c r="GVX1599" i="1"/>
  <c r="GVW1599" i="1"/>
  <c r="GVV1599" i="1"/>
  <c r="GVU1599" i="1"/>
  <c r="GVT1599" i="1"/>
  <c r="GVS1599" i="1"/>
  <c r="GVR1599" i="1"/>
  <c r="GVQ1599" i="1"/>
  <c r="GVP1599" i="1"/>
  <c r="GVO1599" i="1"/>
  <c r="GVN1599" i="1"/>
  <c r="GVM1599" i="1"/>
  <c r="GVL1599" i="1"/>
  <c r="GVK1599" i="1"/>
  <c r="GVJ1599" i="1"/>
  <c r="GVI1599" i="1"/>
  <c r="GVH1599" i="1"/>
  <c r="GVG1599" i="1"/>
  <c r="GVF1599" i="1"/>
  <c r="GVE1599" i="1"/>
  <c r="GVD1599" i="1"/>
  <c r="GVC1599" i="1"/>
  <c r="GVB1599" i="1"/>
  <c r="GVA1599" i="1"/>
  <c r="GUZ1599" i="1"/>
  <c r="GUY1599" i="1"/>
  <c r="GUX1599" i="1"/>
  <c r="GUW1599" i="1"/>
  <c r="GUV1599" i="1"/>
  <c r="GUU1599" i="1"/>
  <c r="GUT1599" i="1"/>
  <c r="GUS1599" i="1"/>
  <c r="GUR1599" i="1"/>
  <c r="GUQ1599" i="1"/>
  <c r="GUP1599" i="1"/>
  <c r="GUO1599" i="1"/>
  <c r="GUN1599" i="1"/>
  <c r="GUM1599" i="1"/>
  <c r="GUL1599" i="1"/>
  <c r="GUK1599" i="1"/>
  <c r="GUJ1599" i="1"/>
  <c r="GUI1599" i="1"/>
  <c r="GUH1599" i="1"/>
  <c r="GUG1599" i="1"/>
  <c r="GUF1599" i="1"/>
  <c r="GUE1599" i="1"/>
  <c r="GUD1599" i="1"/>
  <c r="GUC1599" i="1"/>
  <c r="GUB1599" i="1"/>
  <c r="GUA1599" i="1"/>
  <c r="GTZ1599" i="1"/>
  <c r="GTY1599" i="1"/>
  <c r="GTX1599" i="1"/>
  <c r="GTW1599" i="1"/>
  <c r="GTV1599" i="1"/>
  <c r="GTU1599" i="1"/>
  <c r="GTT1599" i="1"/>
  <c r="GTS1599" i="1"/>
  <c r="GTR1599" i="1"/>
  <c r="GTQ1599" i="1"/>
  <c r="GTP1599" i="1"/>
  <c r="GTO1599" i="1"/>
  <c r="GTN1599" i="1"/>
  <c r="GTM1599" i="1"/>
  <c r="GTL1599" i="1"/>
  <c r="GTK1599" i="1"/>
  <c r="GTJ1599" i="1"/>
  <c r="GTI1599" i="1"/>
  <c r="GTH1599" i="1"/>
  <c r="GTG1599" i="1"/>
  <c r="GTF1599" i="1"/>
  <c r="GTE1599" i="1"/>
  <c r="GTD1599" i="1"/>
  <c r="GTC1599" i="1"/>
  <c r="GTB1599" i="1"/>
  <c r="GTA1599" i="1"/>
  <c r="GSZ1599" i="1"/>
  <c r="GSY1599" i="1"/>
  <c r="GSX1599" i="1"/>
  <c r="GSW1599" i="1"/>
  <c r="GSV1599" i="1"/>
  <c r="GSU1599" i="1"/>
  <c r="GST1599" i="1"/>
  <c r="GSS1599" i="1"/>
  <c r="GSR1599" i="1"/>
  <c r="GSQ1599" i="1"/>
  <c r="GSP1599" i="1"/>
  <c r="GSO1599" i="1"/>
  <c r="GSN1599" i="1"/>
  <c r="GSM1599" i="1"/>
  <c r="GSL1599" i="1"/>
  <c r="GSK1599" i="1"/>
  <c r="GSJ1599" i="1"/>
  <c r="GSI1599" i="1"/>
  <c r="GSH1599" i="1"/>
  <c r="GSG1599" i="1"/>
  <c r="GSF1599" i="1"/>
  <c r="GSE1599" i="1"/>
  <c r="GSD1599" i="1"/>
  <c r="GSC1599" i="1"/>
  <c r="GSB1599" i="1"/>
  <c r="GSA1599" i="1"/>
  <c r="GRZ1599" i="1"/>
  <c r="GRY1599" i="1"/>
  <c r="GRX1599" i="1"/>
  <c r="GRW1599" i="1"/>
  <c r="GRV1599" i="1"/>
  <c r="GRU1599" i="1"/>
  <c r="GRT1599" i="1"/>
  <c r="GRS1599" i="1"/>
  <c r="GRR1599" i="1"/>
  <c r="GRQ1599" i="1"/>
  <c r="GRP1599" i="1"/>
  <c r="GRO1599" i="1"/>
  <c r="GRN1599" i="1"/>
  <c r="GRM1599" i="1"/>
  <c r="GRL1599" i="1"/>
  <c r="GRK1599" i="1"/>
  <c r="GRJ1599" i="1"/>
  <c r="GRI1599" i="1"/>
  <c r="GRH1599" i="1"/>
  <c r="GRG1599" i="1"/>
  <c r="GRF1599" i="1"/>
  <c r="GRE1599" i="1"/>
  <c r="GRD1599" i="1"/>
  <c r="GRC1599" i="1"/>
  <c r="GRB1599" i="1"/>
  <c r="GRA1599" i="1"/>
  <c r="GQZ1599" i="1"/>
  <c r="GQY1599" i="1"/>
  <c r="GQX1599" i="1"/>
  <c r="GQW1599" i="1"/>
  <c r="GQV1599" i="1"/>
  <c r="GQU1599" i="1"/>
  <c r="GQT1599" i="1"/>
  <c r="GQS1599" i="1"/>
  <c r="GQR1599" i="1"/>
  <c r="GQQ1599" i="1"/>
  <c r="GQP1599" i="1"/>
  <c r="GQO1599" i="1"/>
  <c r="GQN1599" i="1"/>
  <c r="GQM1599" i="1"/>
  <c r="GQL1599" i="1"/>
  <c r="GQK1599" i="1"/>
  <c r="GQJ1599" i="1"/>
  <c r="GQI1599" i="1"/>
  <c r="GQH1599" i="1"/>
  <c r="GQG1599" i="1"/>
  <c r="GQF1599" i="1"/>
  <c r="GQE1599" i="1"/>
  <c r="GQD1599" i="1"/>
  <c r="GQC1599" i="1"/>
  <c r="GQB1599" i="1"/>
  <c r="GQA1599" i="1"/>
  <c r="GPZ1599" i="1"/>
  <c r="GPY1599" i="1"/>
  <c r="GPX1599" i="1"/>
  <c r="GPW1599" i="1"/>
  <c r="GPV1599" i="1"/>
  <c r="GPU1599" i="1"/>
  <c r="GPT1599" i="1"/>
  <c r="GPS1599" i="1"/>
  <c r="GPR1599" i="1"/>
  <c r="GPQ1599" i="1"/>
  <c r="GPP1599" i="1"/>
  <c r="GPO1599" i="1"/>
  <c r="GPN1599" i="1"/>
  <c r="GPM1599" i="1"/>
  <c r="GPL1599" i="1"/>
  <c r="GPK1599" i="1"/>
  <c r="GPJ1599" i="1"/>
  <c r="GPI1599" i="1"/>
  <c r="GPH1599" i="1"/>
  <c r="GPG1599" i="1"/>
  <c r="GPF1599" i="1"/>
  <c r="GPE1599" i="1"/>
  <c r="GPD1599" i="1"/>
  <c r="GPC1599" i="1"/>
  <c r="GPB1599" i="1"/>
  <c r="GPA1599" i="1"/>
  <c r="GOZ1599" i="1"/>
  <c r="GOY1599" i="1"/>
  <c r="GOX1599" i="1"/>
  <c r="GOW1599" i="1"/>
  <c r="GOV1599" i="1"/>
  <c r="GOU1599" i="1"/>
  <c r="GOT1599" i="1"/>
  <c r="GOS1599" i="1"/>
  <c r="GOR1599" i="1"/>
  <c r="GOQ1599" i="1"/>
  <c r="GOP1599" i="1"/>
  <c r="GOO1599" i="1"/>
  <c r="GON1599" i="1"/>
  <c r="GOM1599" i="1"/>
  <c r="GOL1599" i="1"/>
  <c r="GOK1599" i="1"/>
  <c r="GOJ1599" i="1"/>
  <c r="GOI1599" i="1"/>
  <c r="GOH1599" i="1"/>
  <c r="GOG1599" i="1"/>
  <c r="GOF1599" i="1"/>
  <c r="GOE1599" i="1"/>
  <c r="GOD1599" i="1"/>
  <c r="GOC1599" i="1"/>
  <c r="GOB1599" i="1"/>
  <c r="GOA1599" i="1"/>
  <c r="GNZ1599" i="1"/>
  <c r="GNY1599" i="1"/>
  <c r="GNX1599" i="1"/>
  <c r="GNW1599" i="1"/>
  <c r="GNV1599" i="1"/>
  <c r="GNU1599" i="1"/>
  <c r="GNT1599" i="1"/>
  <c r="GNS1599" i="1"/>
  <c r="GNR1599" i="1"/>
  <c r="GNQ1599" i="1"/>
  <c r="GNP1599" i="1"/>
  <c r="GNO1599" i="1"/>
  <c r="GNN1599" i="1"/>
  <c r="GNM1599" i="1"/>
  <c r="GNL1599" i="1"/>
  <c r="GNK1599" i="1"/>
  <c r="GNJ1599" i="1"/>
  <c r="GNI1599" i="1"/>
  <c r="GNH1599" i="1"/>
  <c r="GNG1599" i="1"/>
  <c r="GNF1599" i="1"/>
  <c r="GNE1599" i="1"/>
  <c r="GND1599" i="1"/>
  <c r="GNC1599" i="1"/>
  <c r="GNB1599" i="1"/>
  <c r="GNA1599" i="1"/>
  <c r="GMZ1599" i="1"/>
  <c r="GMY1599" i="1"/>
  <c r="GMX1599" i="1"/>
  <c r="GMW1599" i="1"/>
  <c r="GMV1599" i="1"/>
  <c r="GMU1599" i="1"/>
  <c r="GMT1599" i="1"/>
  <c r="GMS1599" i="1"/>
  <c r="GMR1599" i="1"/>
  <c r="GMQ1599" i="1"/>
  <c r="GMP1599" i="1"/>
  <c r="GMO1599" i="1"/>
  <c r="GMN1599" i="1"/>
  <c r="GMM1599" i="1"/>
  <c r="GML1599" i="1"/>
  <c r="GMK1599" i="1"/>
  <c r="GMJ1599" i="1"/>
  <c r="GMI1599" i="1"/>
  <c r="GMH1599" i="1"/>
  <c r="GMG1599" i="1"/>
  <c r="GMF1599" i="1"/>
  <c r="GME1599" i="1"/>
  <c r="GMD1599" i="1"/>
  <c r="GMC1599" i="1"/>
  <c r="GMB1599" i="1"/>
  <c r="GMA1599" i="1"/>
  <c r="GLZ1599" i="1"/>
  <c r="GLY1599" i="1"/>
  <c r="GLX1599" i="1"/>
  <c r="GLW1599" i="1"/>
  <c r="GLV1599" i="1"/>
  <c r="GLU1599" i="1"/>
  <c r="GLT1599" i="1"/>
  <c r="GLS1599" i="1"/>
  <c r="GLR1599" i="1"/>
  <c r="GLQ1599" i="1"/>
  <c r="GLP1599" i="1"/>
  <c r="GLO1599" i="1"/>
  <c r="GLN1599" i="1"/>
  <c r="GLM1599" i="1"/>
  <c r="GLL1599" i="1"/>
  <c r="GLK1599" i="1"/>
  <c r="GLJ1599" i="1"/>
  <c r="GLI1599" i="1"/>
  <c r="GLH1599" i="1"/>
  <c r="GLG1599" i="1"/>
  <c r="GLF1599" i="1"/>
  <c r="GLE1599" i="1"/>
  <c r="GLD1599" i="1"/>
  <c r="GLC1599" i="1"/>
  <c r="GLB1599" i="1"/>
  <c r="GLA1599" i="1"/>
  <c r="GKZ1599" i="1"/>
  <c r="GKY1599" i="1"/>
  <c r="GKX1599" i="1"/>
  <c r="GKW1599" i="1"/>
  <c r="GKV1599" i="1"/>
  <c r="GKU1599" i="1"/>
  <c r="GKT1599" i="1"/>
  <c r="GKS1599" i="1"/>
  <c r="GKR1599" i="1"/>
  <c r="GKQ1599" i="1"/>
  <c r="GKP1599" i="1"/>
  <c r="GKO1599" i="1"/>
  <c r="GKN1599" i="1"/>
  <c r="GKM1599" i="1"/>
  <c r="GKL1599" i="1"/>
  <c r="GKK1599" i="1"/>
  <c r="GKJ1599" i="1"/>
  <c r="GKI1599" i="1"/>
  <c r="GKH1599" i="1"/>
  <c r="GKG1599" i="1"/>
  <c r="GKF1599" i="1"/>
  <c r="GKE1599" i="1"/>
  <c r="GKD1599" i="1"/>
  <c r="GKC1599" i="1"/>
  <c r="GKB1599" i="1"/>
  <c r="GKA1599" i="1"/>
  <c r="GJZ1599" i="1"/>
  <c r="GJY1599" i="1"/>
  <c r="GJX1599" i="1"/>
  <c r="GJW1599" i="1"/>
  <c r="GJV1599" i="1"/>
  <c r="GJU1599" i="1"/>
  <c r="GJT1599" i="1"/>
  <c r="GJS1599" i="1"/>
  <c r="GJR1599" i="1"/>
  <c r="GJQ1599" i="1"/>
  <c r="GJP1599" i="1"/>
  <c r="GJO1599" i="1"/>
  <c r="GJN1599" i="1"/>
  <c r="GJM1599" i="1"/>
  <c r="GJL1599" i="1"/>
  <c r="GJK1599" i="1"/>
  <c r="GJJ1599" i="1"/>
  <c r="GJI1599" i="1"/>
  <c r="GJH1599" i="1"/>
  <c r="GJG1599" i="1"/>
  <c r="GJF1599" i="1"/>
  <c r="GJE1599" i="1"/>
  <c r="GJD1599" i="1"/>
  <c r="GJC1599" i="1"/>
  <c r="GJB1599" i="1"/>
  <c r="GJA1599" i="1"/>
  <c r="GIZ1599" i="1"/>
  <c r="GIY1599" i="1"/>
  <c r="GIX1599" i="1"/>
  <c r="GIW1599" i="1"/>
  <c r="GIV1599" i="1"/>
  <c r="GIU1599" i="1"/>
  <c r="GIT1599" i="1"/>
  <c r="GIS1599" i="1"/>
  <c r="GIR1599" i="1"/>
  <c r="GIQ1599" i="1"/>
  <c r="GIP1599" i="1"/>
  <c r="GIO1599" i="1"/>
  <c r="GIN1599" i="1"/>
  <c r="GIM1599" i="1"/>
  <c r="GIL1599" i="1"/>
  <c r="GIK1599" i="1"/>
  <c r="GIJ1599" i="1"/>
  <c r="GII1599" i="1"/>
  <c r="GIH1599" i="1"/>
  <c r="GIG1599" i="1"/>
  <c r="GIF1599" i="1"/>
  <c r="GIE1599" i="1"/>
  <c r="GID1599" i="1"/>
  <c r="GIC1599" i="1"/>
  <c r="GIB1599" i="1"/>
  <c r="GIA1599" i="1"/>
  <c r="GHZ1599" i="1"/>
  <c r="GHY1599" i="1"/>
  <c r="GHX1599" i="1"/>
  <c r="GHW1599" i="1"/>
  <c r="GHV1599" i="1"/>
  <c r="GHU1599" i="1"/>
  <c r="GHT1599" i="1"/>
  <c r="GHS1599" i="1"/>
  <c r="GHR1599" i="1"/>
  <c r="GHQ1599" i="1"/>
  <c r="GHP1599" i="1"/>
  <c r="GHO1599" i="1"/>
  <c r="GHN1599" i="1"/>
  <c r="GHM1599" i="1"/>
  <c r="GHL1599" i="1"/>
  <c r="GHK1599" i="1"/>
  <c r="GHJ1599" i="1"/>
  <c r="GHI1599" i="1"/>
  <c r="GHH1599" i="1"/>
  <c r="GHG1599" i="1"/>
  <c r="GHF1599" i="1"/>
  <c r="GHE1599" i="1"/>
  <c r="GHD1599" i="1"/>
  <c r="GHC1599" i="1"/>
  <c r="GHB1599" i="1"/>
  <c r="GHA1599" i="1"/>
  <c r="GGZ1599" i="1"/>
  <c r="GGY1599" i="1"/>
  <c r="GGX1599" i="1"/>
  <c r="GGW1599" i="1"/>
  <c r="GGV1599" i="1"/>
  <c r="GGU1599" i="1"/>
  <c r="GGT1599" i="1"/>
  <c r="GGS1599" i="1"/>
  <c r="GGR1599" i="1"/>
  <c r="GGQ1599" i="1"/>
  <c r="GGP1599" i="1"/>
  <c r="GGO1599" i="1"/>
  <c r="GGN1599" i="1"/>
  <c r="GGM1599" i="1"/>
  <c r="GGL1599" i="1"/>
  <c r="GGK1599" i="1"/>
  <c r="GGJ1599" i="1"/>
  <c r="GGI1599" i="1"/>
  <c r="GGH1599" i="1"/>
  <c r="GGG1599" i="1"/>
  <c r="GGF1599" i="1"/>
  <c r="GGE1599" i="1"/>
  <c r="GGD1599" i="1"/>
  <c r="GGC1599" i="1"/>
  <c r="GGB1599" i="1"/>
  <c r="GGA1599" i="1"/>
  <c r="GFZ1599" i="1"/>
  <c r="GFY1599" i="1"/>
  <c r="GFX1599" i="1"/>
  <c r="GFW1599" i="1"/>
  <c r="GFV1599" i="1"/>
  <c r="GFU1599" i="1"/>
  <c r="GFT1599" i="1"/>
  <c r="GFS1599" i="1"/>
  <c r="GFR1599" i="1"/>
  <c r="GFQ1599" i="1"/>
  <c r="GFP1599" i="1"/>
  <c r="GFO1599" i="1"/>
  <c r="GFN1599" i="1"/>
  <c r="GFM1599" i="1"/>
  <c r="GFL1599" i="1"/>
  <c r="GFK1599" i="1"/>
  <c r="GFJ1599" i="1"/>
  <c r="GFI1599" i="1"/>
  <c r="GFH1599" i="1"/>
  <c r="GFG1599" i="1"/>
  <c r="GFF1599" i="1"/>
  <c r="GFE1599" i="1"/>
  <c r="GFD1599" i="1"/>
  <c r="GFC1599" i="1"/>
  <c r="GFB1599" i="1"/>
  <c r="GFA1599" i="1"/>
  <c r="GEZ1599" i="1"/>
  <c r="GEY1599" i="1"/>
  <c r="GEX1599" i="1"/>
  <c r="GEW1599" i="1"/>
  <c r="GEV1599" i="1"/>
  <c r="GEU1599" i="1"/>
  <c r="GET1599" i="1"/>
  <c r="GES1599" i="1"/>
  <c r="GER1599" i="1"/>
  <c r="GEQ1599" i="1"/>
  <c r="GEP1599" i="1"/>
  <c r="GEO1599" i="1"/>
  <c r="GEN1599" i="1"/>
  <c r="GEM1599" i="1"/>
  <c r="GEL1599" i="1"/>
  <c r="GEK1599" i="1"/>
  <c r="GEJ1599" i="1"/>
  <c r="GEI1599" i="1"/>
  <c r="GEH1599" i="1"/>
  <c r="GEG1599" i="1"/>
  <c r="GEF1599" i="1"/>
  <c r="GEE1599" i="1"/>
  <c r="GED1599" i="1"/>
  <c r="GEC1599" i="1"/>
  <c r="GEB1599" i="1"/>
  <c r="GEA1599" i="1"/>
  <c r="GDZ1599" i="1"/>
  <c r="GDY1599" i="1"/>
  <c r="GDX1599" i="1"/>
  <c r="GDW1599" i="1"/>
  <c r="GDV1599" i="1"/>
  <c r="GDU1599" i="1"/>
  <c r="GDT1599" i="1"/>
  <c r="GDS1599" i="1"/>
  <c r="GDR1599" i="1"/>
  <c r="GDQ1599" i="1"/>
  <c r="GDP1599" i="1"/>
  <c r="GDO1599" i="1"/>
  <c r="GDN1599" i="1"/>
  <c r="GDM1599" i="1"/>
  <c r="GDL1599" i="1"/>
  <c r="GDK1599" i="1"/>
  <c r="GDJ1599" i="1"/>
  <c r="GDI1599" i="1"/>
  <c r="GDH1599" i="1"/>
  <c r="GDG1599" i="1"/>
  <c r="GDF1599" i="1"/>
  <c r="GDE1599" i="1"/>
  <c r="GDD1599" i="1"/>
  <c r="GDC1599" i="1"/>
  <c r="GDB1599" i="1"/>
  <c r="GDA1599" i="1"/>
  <c r="GCZ1599" i="1"/>
  <c r="GCY1599" i="1"/>
  <c r="GCX1599" i="1"/>
  <c r="GCW1599" i="1"/>
  <c r="GCV1599" i="1"/>
  <c r="GCU1599" i="1"/>
  <c r="GCT1599" i="1"/>
  <c r="GCS1599" i="1"/>
  <c r="GCR1599" i="1"/>
  <c r="GCQ1599" i="1"/>
  <c r="GCP1599" i="1"/>
  <c r="GCO1599" i="1"/>
  <c r="GCN1599" i="1"/>
  <c r="GCM1599" i="1"/>
  <c r="GCL1599" i="1"/>
  <c r="GCK1599" i="1"/>
  <c r="GCJ1599" i="1"/>
  <c r="GCI1599" i="1"/>
  <c r="GCH1599" i="1"/>
  <c r="GCG1599" i="1"/>
  <c r="GCF1599" i="1"/>
  <c r="GCE1599" i="1"/>
  <c r="GCD1599" i="1"/>
  <c r="GCC1599" i="1"/>
  <c r="GCB1599" i="1"/>
  <c r="GCA1599" i="1"/>
  <c r="GBZ1599" i="1"/>
  <c r="GBY1599" i="1"/>
  <c r="GBX1599" i="1"/>
  <c r="GBW1599" i="1"/>
  <c r="GBV1599" i="1"/>
  <c r="GBU1599" i="1"/>
  <c r="GBT1599" i="1"/>
  <c r="GBS1599" i="1"/>
  <c r="GBR1599" i="1"/>
  <c r="GBQ1599" i="1"/>
  <c r="GBP1599" i="1"/>
  <c r="GBO1599" i="1"/>
  <c r="GBN1599" i="1"/>
  <c r="GBM1599" i="1"/>
  <c r="GBL1599" i="1"/>
  <c r="GBK1599" i="1"/>
  <c r="GBJ1599" i="1"/>
  <c r="GBI1599" i="1"/>
  <c r="GBH1599" i="1"/>
  <c r="GBG1599" i="1"/>
  <c r="GBF1599" i="1"/>
  <c r="GBE1599" i="1"/>
  <c r="GBD1599" i="1"/>
  <c r="GBC1599" i="1"/>
  <c r="GBB1599" i="1"/>
  <c r="GBA1599" i="1"/>
  <c r="GAZ1599" i="1"/>
  <c r="GAY1599" i="1"/>
  <c r="GAX1599" i="1"/>
  <c r="GAW1599" i="1"/>
  <c r="GAV1599" i="1"/>
  <c r="GAU1599" i="1"/>
  <c r="GAT1599" i="1"/>
  <c r="GAS1599" i="1"/>
  <c r="GAR1599" i="1"/>
  <c r="GAQ1599" i="1"/>
  <c r="GAP1599" i="1"/>
  <c r="GAO1599" i="1"/>
  <c r="GAN1599" i="1"/>
  <c r="GAM1599" i="1"/>
  <c r="GAL1599" i="1"/>
  <c r="GAK1599" i="1"/>
  <c r="GAJ1599" i="1"/>
  <c r="GAI1599" i="1"/>
  <c r="GAH1599" i="1"/>
  <c r="GAG1599" i="1"/>
  <c r="GAF1599" i="1"/>
  <c r="GAE1599" i="1"/>
  <c r="GAD1599" i="1"/>
  <c r="GAC1599" i="1"/>
  <c r="GAB1599" i="1"/>
  <c r="GAA1599" i="1"/>
  <c r="FZZ1599" i="1"/>
  <c r="FZY1599" i="1"/>
  <c r="FZX1599" i="1"/>
  <c r="FZW1599" i="1"/>
  <c r="FZV1599" i="1"/>
  <c r="FZU1599" i="1"/>
  <c r="FZT1599" i="1"/>
  <c r="FZS1599" i="1"/>
  <c r="FZR1599" i="1"/>
  <c r="FZQ1599" i="1"/>
  <c r="FZP1599" i="1"/>
  <c r="FZO1599" i="1"/>
  <c r="FZN1599" i="1"/>
  <c r="FZM1599" i="1"/>
  <c r="FZL1599" i="1"/>
  <c r="FZK1599" i="1"/>
  <c r="FZJ1599" i="1"/>
  <c r="FZI1599" i="1"/>
  <c r="FZH1599" i="1"/>
  <c r="FZG1599" i="1"/>
  <c r="FZF1599" i="1"/>
  <c r="FZE1599" i="1"/>
  <c r="FZD1599" i="1"/>
  <c r="FZC1599" i="1"/>
  <c r="FZB1599" i="1"/>
  <c r="FZA1599" i="1"/>
  <c r="FYZ1599" i="1"/>
  <c r="FYY1599" i="1"/>
  <c r="FYX1599" i="1"/>
  <c r="FYW1599" i="1"/>
  <c r="FYV1599" i="1"/>
  <c r="FYU1599" i="1"/>
  <c r="FYT1599" i="1"/>
  <c r="FYS1599" i="1"/>
  <c r="FYR1599" i="1"/>
  <c r="FYQ1599" i="1"/>
  <c r="FYP1599" i="1"/>
  <c r="FYO1599" i="1"/>
  <c r="FYN1599" i="1"/>
  <c r="FYM1599" i="1"/>
  <c r="FYL1599" i="1"/>
  <c r="FYK1599" i="1"/>
  <c r="FYJ1599" i="1"/>
  <c r="FYI1599" i="1"/>
  <c r="FYH1599" i="1"/>
  <c r="FYG1599" i="1"/>
  <c r="FYF1599" i="1"/>
  <c r="FYE1599" i="1"/>
  <c r="FYD1599" i="1"/>
  <c r="FYC1599" i="1"/>
  <c r="FYB1599" i="1"/>
  <c r="FYA1599" i="1"/>
  <c r="FXZ1599" i="1"/>
  <c r="FXY1599" i="1"/>
  <c r="FXX1599" i="1"/>
  <c r="FXW1599" i="1"/>
  <c r="FXV1599" i="1"/>
  <c r="FXU1599" i="1"/>
  <c r="FXT1599" i="1"/>
  <c r="FXS1599" i="1"/>
  <c r="FXR1599" i="1"/>
  <c r="FXQ1599" i="1"/>
  <c r="FXP1599" i="1"/>
  <c r="FXO1599" i="1"/>
  <c r="FXN1599" i="1"/>
  <c r="FXM1599" i="1"/>
  <c r="FXL1599" i="1"/>
  <c r="FXK1599" i="1"/>
  <c r="FXJ1599" i="1"/>
  <c r="FXI1599" i="1"/>
  <c r="FXH1599" i="1"/>
  <c r="FXG1599" i="1"/>
  <c r="FXF1599" i="1"/>
  <c r="FXE1599" i="1"/>
  <c r="FXD1599" i="1"/>
  <c r="FXC1599" i="1"/>
  <c r="FXB1599" i="1"/>
  <c r="FXA1599" i="1"/>
  <c r="FWZ1599" i="1"/>
  <c r="FWY1599" i="1"/>
  <c r="FWX1599" i="1"/>
  <c r="FWW1599" i="1"/>
  <c r="FWV1599" i="1"/>
  <c r="FWU1599" i="1"/>
  <c r="FWT1599" i="1"/>
  <c r="FWS1599" i="1"/>
  <c r="FWR1599" i="1"/>
  <c r="FWQ1599" i="1"/>
  <c r="FWP1599" i="1"/>
  <c r="FWO1599" i="1"/>
  <c r="FWN1599" i="1"/>
  <c r="FWM1599" i="1"/>
  <c r="FWL1599" i="1"/>
  <c r="FWK1599" i="1"/>
  <c r="FWJ1599" i="1"/>
  <c r="FWI1599" i="1"/>
  <c r="FWH1599" i="1"/>
  <c r="FWG1599" i="1"/>
  <c r="FWF1599" i="1"/>
  <c r="FWE1599" i="1"/>
  <c r="FWD1599" i="1"/>
  <c r="FWC1599" i="1"/>
  <c r="FWB1599" i="1"/>
  <c r="FWA1599" i="1"/>
  <c r="FVZ1599" i="1"/>
  <c r="FVY1599" i="1"/>
  <c r="FVX1599" i="1"/>
  <c r="FVW1599" i="1"/>
  <c r="FVV1599" i="1"/>
  <c r="FVU1599" i="1"/>
  <c r="FVT1599" i="1"/>
  <c r="FVS1599" i="1"/>
  <c r="FVR1599" i="1"/>
  <c r="FVQ1599" i="1"/>
  <c r="FVP1599" i="1"/>
  <c r="FVO1599" i="1"/>
  <c r="FVN1599" i="1"/>
  <c r="FVM1599" i="1"/>
  <c r="FVL1599" i="1"/>
  <c r="FVK1599" i="1"/>
  <c r="FVJ1599" i="1"/>
  <c r="FVI1599" i="1"/>
  <c r="FVH1599" i="1"/>
  <c r="FVG1599" i="1"/>
  <c r="FVF1599" i="1"/>
  <c r="FVE1599" i="1"/>
  <c r="FVD1599" i="1"/>
  <c r="FVC1599" i="1"/>
  <c r="FVB1599" i="1"/>
  <c r="FVA1599" i="1"/>
  <c r="FUZ1599" i="1"/>
  <c r="FUY1599" i="1"/>
  <c r="FUX1599" i="1"/>
  <c r="FUW1599" i="1"/>
  <c r="FUV1599" i="1"/>
  <c r="FUU1599" i="1"/>
  <c r="FUT1599" i="1"/>
  <c r="FUS1599" i="1"/>
  <c r="FUR1599" i="1"/>
  <c r="FUQ1599" i="1"/>
  <c r="FUP1599" i="1"/>
  <c r="FUO1599" i="1"/>
  <c r="FUN1599" i="1"/>
  <c r="FUM1599" i="1"/>
  <c r="FUL1599" i="1"/>
  <c r="FUK1599" i="1"/>
  <c r="FUJ1599" i="1"/>
  <c r="FUI1599" i="1"/>
  <c r="FUH1599" i="1"/>
  <c r="FUG1599" i="1"/>
  <c r="FUF1599" i="1"/>
  <c r="FUE1599" i="1"/>
  <c r="FUD1599" i="1"/>
  <c r="FUC1599" i="1"/>
  <c r="FUB1599" i="1"/>
  <c r="FUA1599" i="1"/>
  <c r="FTZ1599" i="1"/>
  <c r="FTY1599" i="1"/>
  <c r="FTX1599" i="1"/>
  <c r="FTW1599" i="1"/>
  <c r="FTV1599" i="1"/>
  <c r="FTU1599" i="1"/>
  <c r="FTT1599" i="1"/>
  <c r="FTS1599" i="1"/>
  <c r="FTR1599" i="1"/>
  <c r="FTQ1599" i="1"/>
  <c r="FTP1599" i="1"/>
  <c r="FTO1599" i="1"/>
  <c r="FTN1599" i="1"/>
  <c r="FTM1599" i="1"/>
  <c r="FTL1599" i="1"/>
  <c r="FTK1599" i="1"/>
  <c r="FTJ1599" i="1"/>
  <c r="FTI1599" i="1"/>
  <c r="FTH1599" i="1"/>
  <c r="FTG1599" i="1"/>
  <c r="FTF1599" i="1"/>
  <c r="FTE1599" i="1"/>
  <c r="FTD1599" i="1"/>
  <c r="FTC1599" i="1"/>
  <c r="FTB1599" i="1"/>
  <c r="FTA1599" i="1"/>
  <c r="FSZ1599" i="1"/>
  <c r="FSY1599" i="1"/>
  <c r="FSX1599" i="1"/>
  <c r="FSW1599" i="1"/>
  <c r="FSV1599" i="1"/>
  <c r="FSU1599" i="1"/>
  <c r="FST1599" i="1"/>
  <c r="FSS1599" i="1"/>
  <c r="FSR1599" i="1"/>
  <c r="FSQ1599" i="1"/>
  <c r="FSP1599" i="1"/>
  <c r="FSO1599" i="1"/>
  <c r="FSN1599" i="1"/>
  <c r="FSM1599" i="1"/>
  <c r="FSL1599" i="1"/>
  <c r="FSK1599" i="1"/>
  <c r="FSJ1599" i="1"/>
  <c r="FSI1599" i="1"/>
  <c r="FSH1599" i="1"/>
  <c r="FSG1599" i="1"/>
  <c r="FSF1599" i="1"/>
  <c r="FSE1599" i="1"/>
  <c r="FSD1599" i="1"/>
  <c r="FSC1599" i="1"/>
  <c r="FSB1599" i="1"/>
  <c r="FSA1599" i="1"/>
  <c r="FRZ1599" i="1"/>
  <c r="FRY1599" i="1"/>
  <c r="FRX1599" i="1"/>
  <c r="FRW1599" i="1"/>
  <c r="FRV1599" i="1"/>
  <c r="FRU1599" i="1"/>
  <c r="FRT1599" i="1"/>
  <c r="FRS1599" i="1"/>
  <c r="FRR1599" i="1"/>
  <c r="FRQ1599" i="1"/>
  <c r="FRP1599" i="1"/>
  <c r="FRO1599" i="1"/>
  <c r="FRN1599" i="1"/>
  <c r="FRM1599" i="1"/>
  <c r="FRL1599" i="1"/>
  <c r="FRK1599" i="1"/>
  <c r="FRJ1599" i="1"/>
  <c r="FRI1599" i="1"/>
  <c r="FRH1599" i="1"/>
  <c r="FRG1599" i="1"/>
  <c r="FRF1599" i="1"/>
  <c r="FRE1599" i="1"/>
  <c r="FRD1599" i="1"/>
  <c r="FRC1599" i="1"/>
  <c r="FRB1599" i="1"/>
  <c r="FRA1599" i="1"/>
  <c r="FQZ1599" i="1"/>
  <c r="FQY1599" i="1"/>
  <c r="FQX1599" i="1"/>
  <c r="FQW1599" i="1"/>
  <c r="FQV1599" i="1"/>
  <c r="FQU1599" i="1"/>
  <c r="FQT1599" i="1"/>
  <c r="FQS1599" i="1"/>
  <c r="FQR1599" i="1"/>
  <c r="FQQ1599" i="1"/>
  <c r="FQP1599" i="1"/>
  <c r="FQO1599" i="1"/>
  <c r="FQN1599" i="1"/>
  <c r="FQM1599" i="1"/>
  <c r="FQL1599" i="1"/>
  <c r="FQK1599" i="1"/>
  <c r="FQJ1599" i="1"/>
  <c r="FQI1599" i="1"/>
  <c r="FQH1599" i="1"/>
  <c r="FQG1599" i="1"/>
  <c r="FQF1599" i="1"/>
  <c r="FQE1599" i="1"/>
  <c r="FQD1599" i="1"/>
  <c r="FQC1599" i="1"/>
  <c r="FQB1599" i="1"/>
  <c r="FQA1599" i="1"/>
  <c r="FPZ1599" i="1"/>
  <c r="FPY1599" i="1"/>
  <c r="FPX1599" i="1"/>
  <c r="FPW1599" i="1"/>
  <c r="FPV1599" i="1"/>
  <c r="FPU1599" i="1"/>
  <c r="FPT1599" i="1"/>
  <c r="FPS1599" i="1"/>
  <c r="FPR1599" i="1"/>
  <c r="FPQ1599" i="1"/>
  <c r="FPP1599" i="1"/>
  <c r="FPO1599" i="1"/>
  <c r="FPN1599" i="1"/>
  <c r="FPM1599" i="1"/>
  <c r="FPL1599" i="1"/>
  <c r="FPK1599" i="1"/>
  <c r="FPJ1599" i="1"/>
  <c r="FPI1599" i="1"/>
  <c r="FPH1599" i="1"/>
  <c r="FPG1599" i="1"/>
  <c r="FPF1599" i="1"/>
  <c r="FPE1599" i="1"/>
  <c r="FPD1599" i="1"/>
  <c r="FPC1599" i="1"/>
  <c r="FPB1599" i="1"/>
  <c r="FPA1599" i="1"/>
  <c r="FOZ1599" i="1"/>
  <c r="FOY1599" i="1"/>
  <c r="FOX1599" i="1"/>
  <c r="FOW1599" i="1"/>
  <c r="FOV1599" i="1"/>
  <c r="FOU1599" i="1"/>
  <c r="FOT1599" i="1"/>
  <c r="FOS1599" i="1"/>
  <c r="FOR1599" i="1"/>
  <c r="FOQ1599" i="1"/>
  <c r="FOP1599" i="1"/>
  <c r="FOO1599" i="1"/>
  <c r="FON1599" i="1"/>
  <c r="FOM1599" i="1"/>
  <c r="FOL1599" i="1"/>
  <c r="FOK1599" i="1"/>
  <c r="FOJ1599" i="1"/>
  <c r="FOI1599" i="1"/>
  <c r="FOH1599" i="1"/>
  <c r="FOG1599" i="1"/>
  <c r="FOF1599" i="1"/>
  <c r="FOE1599" i="1"/>
  <c r="FOD1599" i="1"/>
  <c r="FOC1599" i="1"/>
  <c r="FOB1599" i="1"/>
  <c r="FOA1599" i="1"/>
  <c r="FNZ1599" i="1"/>
  <c r="FNY1599" i="1"/>
  <c r="FNX1599" i="1"/>
  <c r="FNW1599" i="1"/>
  <c r="FNV1599" i="1"/>
  <c r="FNU1599" i="1"/>
  <c r="FNT1599" i="1"/>
  <c r="FNS1599" i="1"/>
  <c r="FNR1599" i="1"/>
  <c r="FNQ1599" i="1"/>
  <c r="FNP1599" i="1"/>
  <c r="FNO1599" i="1"/>
  <c r="FNN1599" i="1"/>
  <c r="FNM1599" i="1"/>
  <c r="FNL1599" i="1"/>
  <c r="FNK1599" i="1"/>
  <c r="FNJ1599" i="1"/>
  <c r="FNI1599" i="1"/>
  <c r="FNH1599" i="1"/>
  <c r="FNG1599" i="1"/>
  <c r="FNF1599" i="1"/>
  <c r="FNE1599" i="1"/>
  <c r="FND1599" i="1"/>
  <c r="FNC1599" i="1"/>
  <c r="FNB1599" i="1"/>
  <c r="FNA1599" i="1"/>
  <c r="FMZ1599" i="1"/>
  <c r="FMY1599" i="1"/>
  <c r="FMX1599" i="1"/>
  <c r="FMW1599" i="1"/>
  <c r="FMV1599" i="1"/>
  <c r="FMU1599" i="1"/>
  <c r="FMT1599" i="1"/>
  <c r="FMS1599" i="1"/>
  <c r="FMR1599" i="1"/>
  <c r="FMQ1599" i="1"/>
  <c r="FMP1599" i="1"/>
  <c r="FMO1599" i="1"/>
  <c r="FMN1599" i="1"/>
  <c r="FMM1599" i="1"/>
  <c r="FML1599" i="1"/>
  <c r="FMK1599" i="1"/>
  <c r="FMJ1599" i="1"/>
  <c r="FMI1599" i="1"/>
  <c r="FMH1599" i="1"/>
  <c r="FMG1599" i="1"/>
  <c r="FMF1599" i="1"/>
  <c r="FME1599" i="1"/>
  <c r="FMD1599" i="1"/>
  <c r="FMC1599" i="1"/>
  <c r="FMB1599" i="1"/>
  <c r="FMA1599" i="1"/>
  <c r="FLZ1599" i="1"/>
  <c r="FLY1599" i="1"/>
  <c r="FLX1599" i="1"/>
  <c r="FLW1599" i="1"/>
  <c r="FLV1599" i="1"/>
  <c r="FLU1599" i="1"/>
  <c r="FLT1599" i="1"/>
  <c r="FLS1599" i="1"/>
  <c r="FLR1599" i="1"/>
  <c r="FLQ1599" i="1"/>
  <c r="FLP1599" i="1"/>
  <c r="FLO1599" i="1"/>
  <c r="FLN1599" i="1"/>
  <c r="FLM1599" i="1"/>
  <c r="FLL1599" i="1"/>
  <c r="FLK1599" i="1"/>
  <c r="FLJ1599" i="1"/>
  <c r="FLI1599" i="1"/>
  <c r="FLH1599" i="1"/>
  <c r="FLG1599" i="1"/>
  <c r="FLF1599" i="1"/>
  <c r="FLE1599" i="1"/>
  <c r="FLD1599" i="1"/>
  <c r="FLC1599" i="1"/>
  <c r="FLB1599" i="1"/>
  <c r="FLA1599" i="1"/>
  <c r="FKZ1599" i="1"/>
  <c r="FKY1599" i="1"/>
  <c r="FKX1599" i="1"/>
  <c r="FKW1599" i="1"/>
  <c r="FKV1599" i="1"/>
  <c r="FKU1599" i="1"/>
  <c r="FKT1599" i="1"/>
  <c r="FKS1599" i="1"/>
  <c r="FKR1599" i="1"/>
  <c r="FKQ1599" i="1"/>
  <c r="FKP1599" i="1"/>
  <c r="FKO1599" i="1"/>
  <c r="FKN1599" i="1"/>
  <c r="FKM1599" i="1"/>
  <c r="FKL1599" i="1"/>
  <c r="FKK1599" i="1"/>
  <c r="FKJ1599" i="1"/>
  <c r="FKI1599" i="1"/>
  <c r="FKH1599" i="1"/>
  <c r="FKG1599" i="1"/>
  <c r="FKF1599" i="1"/>
  <c r="FKE1599" i="1"/>
  <c r="FKD1599" i="1"/>
  <c r="FKC1599" i="1"/>
  <c r="FKB1599" i="1"/>
  <c r="FKA1599" i="1"/>
  <c r="FJZ1599" i="1"/>
  <c r="FJY1599" i="1"/>
  <c r="FJX1599" i="1"/>
  <c r="FJW1599" i="1"/>
  <c r="FJV1599" i="1"/>
  <c r="FJU1599" i="1"/>
  <c r="FJT1599" i="1"/>
  <c r="FJS1599" i="1"/>
  <c r="FJR1599" i="1"/>
  <c r="FJQ1599" i="1"/>
  <c r="FJP1599" i="1"/>
  <c r="FJO1599" i="1"/>
  <c r="FJN1599" i="1"/>
  <c r="FJM1599" i="1"/>
  <c r="FJL1599" i="1"/>
  <c r="FJK1599" i="1"/>
  <c r="FJJ1599" i="1"/>
  <c r="FJI1599" i="1"/>
  <c r="FJH1599" i="1"/>
  <c r="FJG1599" i="1"/>
  <c r="FJF1599" i="1"/>
  <c r="FJE1599" i="1"/>
  <c r="FJD1599" i="1"/>
  <c r="FJC1599" i="1"/>
  <c r="FJB1599" i="1"/>
  <c r="FJA1599" i="1"/>
  <c r="FIZ1599" i="1"/>
  <c r="FIY1599" i="1"/>
  <c r="FIX1599" i="1"/>
  <c r="FIW1599" i="1"/>
  <c r="FIV1599" i="1"/>
  <c r="FIU1599" i="1"/>
  <c r="FIT1599" i="1"/>
  <c r="FIS1599" i="1"/>
  <c r="FIR1599" i="1"/>
  <c r="FIQ1599" i="1"/>
  <c r="FIP1599" i="1"/>
  <c r="FIO1599" i="1"/>
  <c r="FIN1599" i="1"/>
  <c r="FIM1599" i="1"/>
  <c r="FIL1599" i="1"/>
  <c r="FIK1599" i="1"/>
  <c r="FIJ1599" i="1"/>
  <c r="FII1599" i="1"/>
  <c r="FIH1599" i="1"/>
  <c r="FIG1599" i="1"/>
  <c r="FIF1599" i="1"/>
  <c r="FIE1599" i="1"/>
  <c r="FID1599" i="1"/>
  <c r="FIC1599" i="1"/>
  <c r="FIB1599" i="1"/>
  <c r="FIA1599" i="1"/>
  <c r="FHZ1599" i="1"/>
  <c r="FHY1599" i="1"/>
  <c r="FHX1599" i="1"/>
  <c r="FHW1599" i="1"/>
  <c r="FHV1599" i="1"/>
  <c r="FHU1599" i="1"/>
  <c r="FHT1599" i="1"/>
  <c r="FHS1599" i="1"/>
  <c r="FHR1599" i="1"/>
  <c r="FHQ1599" i="1"/>
  <c r="FHP1599" i="1"/>
  <c r="FHO1599" i="1"/>
  <c r="FHN1599" i="1"/>
  <c r="FHM1599" i="1"/>
  <c r="FHL1599" i="1"/>
  <c r="FHK1599" i="1"/>
  <c r="FHJ1599" i="1"/>
  <c r="FHI1599" i="1"/>
  <c r="FHH1599" i="1"/>
  <c r="FHG1599" i="1"/>
  <c r="FHF1599" i="1"/>
  <c r="FHE1599" i="1"/>
  <c r="FHD1599" i="1"/>
  <c r="FHC1599" i="1"/>
  <c r="FHB1599" i="1"/>
  <c r="FHA1599" i="1"/>
  <c r="FGZ1599" i="1"/>
  <c r="FGY1599" i="1"/>
  <c r="FGX1599" i="1"/>
  <c r="FGW1599" i="1"/>
  <c r="FGV1599" i="1"/>
  <c r="FGU1599" i="1"/>
  <c r="FGT1599" i="1"/>
  <c r="FGS1599" i="1"/>
  <c r="FGR1599" i="1"/>
  <c r="FGQ1599" i="1"/>
  <c r="FGP1599" i="1"/>
  <c r="FGO1599" i="1"/>
  <c r="FGN1599" i="1"/>
  <c r="FGM1599" i="1"/>
  <c r="FGL1599" i="1"/>
  <c r="FGK1599" i="1"/>
  <c r="FGJ1599" i="1"/>
  <c r="FGI1599" i="1"/>
  <c r="FGH1599" i="1"/>
  <c r="FGG1599" i="1"/>
  <c r="FGF1599" i="1"/>
  <c r="FGE1599" i="1"/>
  <c r="FGD1599" i="1"/>
  <c r="FGC1599" i="1"/>
  <c r="FGB1599" i="1"/>
  <c r="FGA1599" i="1"/>
  <c r="FFZ1599" i="1"/>
  <c r="FFY1599" i="1"/>
  <c r="FFX1599" i="1"/>
  <c r="FFW1599" i="1"/>
  <c r="FFV1599" i="1"/>
  <c r="FFU1599" i="1"/>
  <c r="FFT1599" i="1"/>
  <c r="FFS1599" i="1"/>
  <c r="FFR1599" i="1"/>
  <c r="FFQ1599" i="1"/>
  <c r="FFP1599" i="1"/>
  <c r="FFO1599" i="1"/>
  <c r="FFN1599" i="1"/>
  <c r="FFM1599" i="1"/>
  <c r="FFL1599" i="1"/>
  <c r="FFK1599" i="1"/>
  <c r="FFJ1599" i="1"/>
  <c r="FFI1599" i="1"/>
  <c r="FFH1599" i="1"/>
  <c r="FFG1599" i="1"/>
  <c r="FFF1599" i="1"/>
  <c r="FFE1599" i="1"/>
  <c r="FFD1599" i="1"/>
  <c r="FFC1599" i="1"/>
  <c r="FFB1599" i="1"/>
  <c r="FFA1599" i="1"/>
  <c r="FEZ1599" i="1"/>
  <c r="FEY1599" i="1"/>
  <c r="FEX1599" i="1"/>
  <c r="FEW1599" i="1"/>
  <c r="FEV1599" i="1"/>
  <c r="FEU1599" i="1"/>
  <c r="FET1599" i="1"/>
  <c r="FES1599" i="1"/>
  <c r="FER1599" i="1"/>
  <c r="FEQ1599" i="1"/>
  <c r="FEP1599" i="1"/>
  <c r="FEO1599" i="1"/>
  <c r="FEN1599" i="1"/>
  <c r="FEM1599" i="1"/>
  <c r="FEL1599" i="1"/>
  <c r="FEK1599" i="1"/>
  <c r="FEJ1599" i="1"/>
  <c r="FEI1599" i="1"/>
  <c r="FEH1599" i="1"/>
  <c r="FEG1599" i="1"/>
  <c r="FEF1599" i="1"/>
  <c r="FEE1599" i="1"/>
  <c r="FED1599" i="1"/>
  <c r="FEC1599" i="1"/>
  <c r="FEB1599" i="1"/>
  <c r="FEA1599" i="1"/>
  <c r="FDZ1599" i="1"/>
  <c r="FDY1599" i="1"/>
  <c r="FDX1599" i="1"/>
  <c r="FDW1599" i="1"/>
  <c r="FDV1599" i="1"/>
  <c r="FDU1599" i="1"/>
  <c r="FDT1599" i="1"/>
  <c r="FDS1599" i="1"/>
  <c r="FDR1599" i="1"/>
  <c r="FDQ1599" i="1"/>
  <c r="FDP1599" i="1"/>
  <c r="FDO1599" i="1"/>
  <c r="FDN1599" i="1"/>
  <c r="FDM1599" i="1"/>
  <c r="FDL1599" i="1"/>
  <c r="FDK1599" i="1"/>
  <c r="FDJ1599" i="1"/>
  <c r="FDI1599" i="1"/>
  <c r="FDH1599" i="1"/>
  <c r="FDG1599" i="1"/>
  <c r="FDF1599" i="1"/>
  <c r="FDE1599" i="1"/>
  <c r="FDD1599" i="1"/>
  <c r="FDC1599" i="1"/>
  <c r="FDB1599" i="1"/>
  <c r="FDA1599" i="1"/>
  <c r="FCZ1599" i="1"/>
  <c r="FCY1599" i="1"/>
  <c r="FCX1599" i="1"/>
  <c r="FCW1599" i="1"/>
  <c r="FCV1599" i="1"/>
  <c r="FCU1599" i="1"/>
  <c r="FCT1599" i="1"/>
  <c r="FCS1599" i="1"/>
  <c r="FCR1599" i="1"/>
  <c r="FCQ1599" i="1"/>
  <c r="FCP1599" i="1"/>
  <c r="FCO1599" i="1"/>
  <c r="FCN1599" i="1"/>
  <c r="FCM1599" i="1"/>
  <c r="FCL1599" i="1"/>
  <c r="FCK1599" i="1"/>
  <c r="FCJ1599" i="1"/>
  <c r="FCI1599" i="1"/>
  <c r="FCH1599" i="1"/>
  <c r="FCG1599" i="1"/>
  <c r="FCF1599" i="1"/>
  <c r="FCE1599" i="1"/>
  <c r="FCD1599" i="1"/>
  <c r="FCC1599" i="1"/>
  <c r="FCB1599" i="1"/>
  <c r="FCA1599" i="1"/>
  <c r="FBZ1599" i="1"/>
  <c r="FBY1599" i="1"/>
  <c r="FBX1599" i="1"/>
  <c r="FBW1599" i="1"/>
  <c r="FBV1599" i="1"/>
  <c r="FBU1599" i="1"/>
  <c r="FBT1599" i="1"/>
  <c r="FBS1599" i="1"/>
  <c r="FBR1599" i="1"/>
  <c r="FBQ1599" i="1"/>
  <c r="FBP1599" i="1"/>
  <c r="FBO1599" i="1"/>
  <c r="FBN1599" i="1"/>
  <c r="FBM1599" i="1"/>
  <c r="FBL1599" i="1"/>
  <c r="FBK1599" i="1"/>
  <c r="FBJ1599" i="1"/>
  <c r="FBI1599" i="1"/>
  <c r="FBH1599" i="1"/>
  <c r="FBG1599" i="1"/>
  <c r="FBF1599" i="1"/>
  <c r="FBE1599" i="1"/>
  <c r="FBD1599" i="1"/>
  <c r="FBC1599" i="1"/>
  <c r="FBB1599" i="1"/>
  <c r="FBA1599" i="1"/>
  <c r="FAZ1599" i="1"/>
  <c r="FAY1599" i="1"/>
  <c r="FAX1599" i="1"/>
  <c r="FAW1599" i="1"/>
  <c r="FAV1599" i="1"/>
  <c r="FAU1599" i="1"/>
  <c r="FAT1599" i="1"/>
  <c r="FAS1599" i="1"/>
  <c r="FAR1599" i="1"/>
  <c r="FAQ1599" i="1"/>
  <c r="FAP1599" i="1"/>
  <c r="FAO1599" i="1"/>
  <c r="FAN1599" i="1"/>
  <c r="FAM1599" i="1"/>
  <c r="FAL1599" i="1"/>
  <c r="FAK1599" i="1"/>
  <c r="FAJ1599" i="1"/>
  <c r="FAI1599" i="1"/>
  <c r="FAH1599" i="1"/>
  <c r="FAG1599" i="1"/>
  <c r="FAF1599" i="1"/>
  <c r="FAE1599" i="1"/>
  <c r="FAD1599" i="1"/>
  <c r="FAC1599" i="1"/>
  <c r="FAB1599" i="1"/>
  <c r="FAA1599" i="1"/>
  <c r="EZZ1599" i="1"/>
  <c r="EZY1599" i="1"/>
  <c r="EZX1599" i="1"/>
  <c r="EZW1599" i="1"/>
  <c r="EZV1599" i="1"/>
  <c r="EZU1599" i="1"/>
  <c r="EZT1599" i="1"/>
  <c r="EZS1599" i="1"/>
  <c r="EZR1599" i="1"/>
  <c r="EZQ1599" i="1"/>
  <c r="EZP1599" i="1"/>
  <c r="EZO1599" i="1"/>
  <c r="EZN1599" i="1"/>
  <c r="EZM1599" i="1"/>
  <c r="EZL1599" i="1"/>
  <c r="EZK1599" i="1"/>
  <c r="EZJ1599" i="1"/>
  <c r="EZI1599" i="1"/>
  <c r="EZH1599" i="1"/>
  <c r="EZG1599" i="1"/>
  <c r="EZF1599" i="1"/>
  <c r="EZE1599" i="1"/>
  <c r="EZD1599" i="1"/>
  <c r="EZC1599" i="1"/>
  <c r="EZB1599" i="1"/>
  <c r="EZA1599" i="1"/>
  <c r="EYZ1599" i="1"/>
  <c r="EYY1599" i="1"/>
  <c r="EYX1599" i="1"/>
  <c r="EYW1599" i="1"/>
  <c r="EYV1599" i="1"/>
  <c r="EYU1599" i="1"/>
  <c r="EYT1599" i="1"/>
  <c r="EYS1599" i="1"/>
  <c r="EYR1599" i="1"/>
  <c r="EYQ1599" i="1"/>
  <c r="EYP1599" i="1"/>
  <c r="EYO1599" i="1"/>
  <c r="EYN1599" i="1"/>
  <c r="EYM1599" i="1"/>
  <c r="EYL1599" i="1"/>
  <c r="EYK1599" i="1"/>
  <c r="EYJ1599" i="1"/>
  <c r="EYI1599" i="1"/>
  <c r="EYH1599" i="1"/>
  <c r="EYG1599" i="1"/>
  <c r="EYF1599" i="1"/>
  <c r="EYE1599" i="1"/>
  <c r="EYD1599" i="1"/>
  <c r="EYC1599" i="1"/>
  <c r="EYB1599" i="1"/>
  <c r="EYA1599" i="1"/>
  <c r="EXZ1599" i="1"/>
  <c r="EXY1599" i="1"/>
  <c r="EXX1599" i="1"/>
  <c r="EXW1599" i="1"/>
  <c r="EXV1599" i="1"/>
  <c r="EXU1599" i="1"/>
  <c r="EXT1599" i="1"/>
  <c r="EXS1599" i="1"/>
  <c r="EXR1599" i="1"/>
  <c r="EXQ1599" i="1"/>
  <c r="EXP1599" i="1"/>
  <c r="EXO1599" i="1"/>
  <c r="EXN1599" i="1"/>
  <c r="EXM1599" i="1"/>
  <c r="EXL1599" i="1"/>
  <c r="EXK1599" i="1"/>
  <c r="EXJ1599" i="1"/>
  <c r="EXI1599" i="1"/>
  <c r="EXH1599" i="1"/>
  <c r="EXG1599" i="1"/>
  <c r="EXF1599" i="1"/>
  <c r="EXE1599" i="1"/>
  <c r="EXD1599" i="1"/>
  <c r="EXC1599" i="1"/>
  <c r="EXB1599" i="1"/>
  <c r="EXA1599" i="1"/>
  <c r="EWZ1599" i="1"/>
  <c r="EWY1599" i="1"/>
  <c r="EWX1599" i="1"/>
  <c r="EWW1599" i="1"/>
  <c r="EWV1599" i="1"/>
  <c r="EWU1599" i="1"/>
  <c r="EWT1599" i="1"/>
  <c r="EWS1599" i="1"/>
  <c r="EWR1599" i="1"/>
  <c r="EWQ1599" i="1"/>
  <c r="EWP1599" i="1"/>
  <c r="EWO1599" i="1"/>
  <c r="EWN1599" i="1"/>
  <c r="EWM1599" i="1"/>
  <c r="EWL1599" i="1"/>
  <c r="EWK1599" i="1"/>
  <c r="EWJ1599" i="1"/>
  <c r="EWI1599" i="1"/>
  <c r="EWH1599" i="1"/>
  <c r="EWG1599" i="1"/>
  <c r="EWF1599" i="1"/>
  <c r="EWE1599" i="1"/>
  <c r="EWD1599" i="1"/>
  <c r="EWC1599" i="1"/>
  <c r="EWB1599" i="1"/>
  <c r="EWA1599" i="1"/>
  <c r="EVZ1599" i="1"/>
  <c r="EVY1599" i="1"/>
  <c r="EVX1599" i="1"/>
  <c r="EVW1599" i="1"/>
  <c r="EVV1599" i="1"/>
  <c r="EVU1599" i="1"/>
  <c r="EVT1599" i="1"/>
  <c r="EVS1599" i="1"/>
  <c r="EVR1599" i="1"/>
  <c r="EVQ1599" i="1"/>
  <c r="EVP1599" i="1"/>
  <c r="EVO1599" i="1"/>
  <c r="EVN1599" i="1"/>
  <c r="EVM1599" i="1"/>
  <c r="EVL1599" i="1"/>
  <c r="EVK1599" i="1"/>
  <c r="EVJ1599" i="1"/>
  <c r="EVI1599" i="1"/>
  <c r="EVH1599" i="1"/>
  <c r="EVG1599" i="1"/>
  <c r="EVF1599" i="1"/>
  <c r="EVE1599" i="1"/>
  <c r="EVD1599" i="1"/>
  <c r="EVC1599" i="1"/>
  <c r="EVB1599" i="1"/>
  <c r="EVA1599" i="1"/>
  <c r="EUZ1599" i="1"/>
  <c r="EUY1599" i="1"/>
  <c r="EUX1599" i="1"/>
  <c r="EUW1599" i="1"/>
  <c r="EUV1599" i="1"/>
  <c r="EUU1599" i="1"/>
  <c r="EUT1599" i="1"/>
  <c r="EUS1599" i="1"/>
  <c r="EUR1599" i="1"/>
  <c r="EUQ1599" i="1"/>
  <c r="EUP1599" i="1"/>
  <c r="EUO1599" i="1"/>
  <c r="EUN1599" i="1"/>
  <c r="EUM1599" i="1"/>
  <c r="EUL1599" i="1"/>
  <c r="EUK1599" i="1"/>
  <c r="EUJ1599" i="1"/>
  <c r="EUI1599" i="1"/>
  <c r="EUH1599" i="1"/>
  <c r="EUG1599" i="1"/>
  <c r="EUF1599" i="1"/>
  <c r="EUE1599" i="1"/>
  <c r="EUD1599" i="1"/>
  <c r="EUC1599" i="1"/>
  <c r="EUB1599" i="1"/>
  <c r="EUA1599" i="1"/>
  <c r="ETZ1599" i="1"/>
  <c r="ETY1599" i="1"/>
  <c r="ETX1599" i="1"/>
  <c r="ETW1599" i="1"/>
  <c r="ETV1599" i="1"/>
  <c r="ETU1599" i="1"/>
  <c r="ETT1599" i="1"/>
  <c r="ETS1599" i="1"/>
  <c r="ETR1599" i="1"/>
  <c r="ETQ1599" i="1"/>
  <c r="ETP1599" i="1"/>
  <c r="ETO1599" i="1"/>
  <c r="ETN1599" i="1"/>
  <c r="ETM1599" i="1"/>
  <c r="ETL1599" i="1"/>
  <c r="ETK1599" i="1"/>
  <c r="ETJ1599" i="1"/>
  <c r="ETI1599" i="1"/>
  <c r="ETH1599" i="1"/>
  <c r="ETG1599" i="1"/>
  <c r="ETF1599" i="1"/>
  <c r="ETE1599" i="1"/>
  <c r="ETD1599" i="1"/>
  <c r="ETC1599" i="1"/>
  <c r="ETB1599" i="1"/>
  <c r="ETA1599" i="1"/>
  <c r="ESZ1599" i="1"/>
  <c r="ESY1599" i="1"/>
  <c r="ESX1599" i="1"/>
  <c r="ESW1599" i="1"/>
  <c r="ESV1599" i="1"/>
  <c r="ESU1599" i="1"/>
  <c r="EST1599" i="1"/>
  <c r="ESS1599" i="1"/>
  <c r="ESR1599" i="1"/>
  <c r="ESQ1599" i="1"/>
  <c r="ESP1599" i="1"/>
  <c r="ESO1599" i="1"/>
  <c r="ESN1599" i="1"/>
  <c r="ESM1599" i="1"/>
  <c r="ESL1599" i="1"/>
  <c r="ESK1599" i="1"/>
  <c r="ESJ1599" i="1"/>
  <c r="ESI1599" i="1"/>
  <c r="ESH1599" i="1"/>
  <c r="ESG1599" i="1"/>
  <c r="ESF1599" i="1"/>
  <c r="ESE1599" i="1"/>
  <c r="ESD1599" i="1"/>
  <c r="ESC1599" i="1"/>
  <c r="ESB1599" i="1"/>
  <c r="ESA1599" i="1"/>
  <c r="ERZ1599" i="1"/>
  <c r="ERY1599" i="1"/>
  <c r="ERX1599" i="1"/>
  <c r="ERW1599" i="1"/>
  <c r="ERV1599" i="1"/>
  <c r="ERU1599" i="1"/>
  <c r="ERT1599" i="1"/>
  <c r="ERS1599" i="1"/>
  <c r="ERR1599" i="1"/>
  <c r="ERQ1599" i="1"/>
  <c r="ERP1599" i="1"/>
  <c r="ERO1599" i="1"/>
  <c r="ERN1599" i="1"/>
  <c r="ERM1599" i="1"/>
  <c r="ERL1599" i="1"/>
  <c r="ERK1599" i="1"/>
  <c r="ERJ1599" i="1"/>
  <c r="ERI1599" i="1"/>
  <c r="ERH1599" i="1"/>
  <c r="ERG1599" i="1"/>
  <c r="ERF1599" i="1"/>
  <c r="ERE1599" i="1"/>
  <c r="ERD1599" i="1"/>
  <c r="ERC1599" i="1"/>
  <c r="ERB1599" i="1"/>
  <c r="ERA1599" i="1"/>
  <c r="EQZ1599" i="1"/>
  <c r="EQY1599" i="1"/>
  <c r="EQX1599" i="1"/>
  <c r="EQW1599" i="1"/>
  <c r="EQV1599" i="1"/>
  <c r="EQU1599" i="1"/>
  <c r="EQT1599" i="1"/>
  <c r="EQS1599" i="1"/>
  <c r="EQR1599" i="1"/>
  <c r="EQQ1599" i="1"/>
  <c r="EQP1599" i="1"/>
  <c r="EQO1599" i="1"/>
  <c r="EQN1599" i="1"/>
  <c r="EQM1599" i="1"/>
  <c r="EQL1599" i="1"/>
  <c r="EQK1599" i="1"/>
  <c r="EQJ1599" i="1"/>
  <c r="EQI1599" i="1"/>
  <c r="EQH1599" i="1"/>
  <c r="EQG1599" i="1"/>
  <c r="EQF1599" i="1"/>
  <c r="EQE1599" i="1"/>
  <c r="EQD1599" i="1"/>
  <c r="EQC1599" i="1"/>
  <c r="EQB1599" i="1"/>
  <c r="EQA1599" i="1"/>
  <c r="EPZ1599" i="1"/>
  <c r="EPY1599" i="1"/>
  <c r="EPX1599" i="1"/>
  <c r="EPW1599" i="1"/>
  <c r="EPV1599" i="1"/>
  <c r="EPU1599" i="1"/>
  <c r="EPT1599" i="1"/>
  <c r="EPS1599" i="1"/>
  <c r="EPR1599" i="1"/>
  <c r="EPQ1599" i="1"/>
  <c r="EPP1599" i="1"/>
  <c r="EPO1599" i="1"/>
  <c r="EPN1599" i="1"/>
  <c r="EPM1599" i="1"/>
  <c r="EPL1599" i="1"/>
  <c r="EPK1599" i="1"/>
  <c r="EPJ1599" i="1"/>
  <c r="EPI1599" i="1"/>
  <c r="EPH1599" i="1"/>
  <c r="EPG1599" i="1"/>
  <c r="EPF1599" i="1"/>
  <c r="EPE1599" i="1"/>
  <c r="EPD1599" i="1"/>
  <c r="EPC1599" i="1"/>
  <c r="EPB1599" i="1"/>
  <c r="EPA1599" i="1"/>
  <c r="EOZ1599" i="1"/>
  <c r="EOY1599" i="1"/>
  <c r="EOX1599" i="1"/>
  <c r="EOW1599" i="1"/>
  <c r="EOV1599" i="1"/>
  <c r="EOU1599" i="1"/>
  <c r="EOT1599" i="1"/>
  <c r="EOS1599" i="1"/>
  <c r="EOR1599" i="1"/>
  <c r="EOQ1599" i="1"/>
  <c r="EOP1599" i="1"/>
  <c r="EOO1599" i="1"/>
  <c r="EON1599" i="1"/>
  <c r="EOM1599" i="1"/>
  <c r="EOL1599" i="1"/>
  <c r="EOK1599" i="1"/>
  <c r="EOJ1599" i="1"/>
  <c r="EOI1599" i="1"/>
  <c r="EOH1599" i="1"/>
  <c r="EOG1599" i="1"/>
  <c r="EOF1599" i="1"/>
  <c r="EOE1599" i="1"/>
  <c r="EOD1599" i="1"/>
  <c r="EOC1599" i="1"/>
  <c r="EOB1599" i="1"/>
  <c r="EOA1599" i="1"/>
  <c r="ENZ1599" i="1"/>
  <c r="ENY1599" i="1"/>
  <c r="ENX1599" i="1"/>
  <c r="ENW1599" i="1"/>
  <c r="ENV1599" i="1"/>
  <c r="ENU1599" i="1"/>
  <c r="ENT1599" i="1"/>
  <c r="ENS1599" i="1"/>
  <c r="ENR1599" i="1"/>
  <c r="ENQ1599" i="1"/>
  <c r="ENP1599" i="1"/>
  <c r="ENO1599" i="1"/>
  <c r="ENN1599" i="1"/>
  <c r="ENM1599" i="1"/>
  <c r="ENL1599" i="1"/>
  <c r="ENK1599" i="1"/>
  <c r="ENJ1599" i="1"/>
  <c r="ENI1599" i="1"/>
  <c r="ENH1599" i="1"/>
  <c r="ENG1599" i="1"/>
  <c r="ENF1599" i="1"/>
  <c r="ENE1599" i="1"/>
  <c r="END1599" i="1"/>
  <c r="ENC1599" i="1"/>
  <c r="ENB1599" i="1"/>
  <c r="ENA1599" i="1"/>
  <c r="EMZ1599" i="1"/>
  <c r="EMY1599" i="1"/>
  <c r="EMX1599" i="1"/>
  <c r="EMW1599" i="1"/>
  <c r="EMV1599" i="1"/>
  <c r="EMU1599" i="1"/>
  <c r="EMT1599" i="1"/>
  <c r="EMS1599" i="1"/>
  <c r="EMR1599" i="1"/>
  <c r="EMQ1599" i="1"/>
  <c r="EMP1599" i="1"/>
  <c r="EMO1599" i="1"/>
  <c r="EMN1599" i="1"/>
  <c r="EMM1599" i="1"/>
  <c r="EML1599" i="1"/>
  <c r="EMK1599" i="1"/>
  <c r="EMJ1599" i="1"/>
  <c r="EMI1599" i="1"/>
  <c r="EMH1599" i="1"/>
  <c r="EMG1599" i="1"/>
  <c r="EMF1599" i="1"/>
  <c r="EME1599" i="1"/>
  <c r="EMD1599" i="1"/>
  <c r="EMC1599" i="1"/>
  <c r="EMB1599" i="1"/>
  <c r="EMA1599" i="1"/>
  <c r="ELZ1599" i="1"/>
  <c r="ELY1599" i="1"/>
  <c r="ELX1599" i="1"/>
  <c r="ELW1599" i="1"/>
  <c r="ELV1599" i="1"/>
  <c r="ELU1599" i="1"/>
  <c r="ELT1599" i="1"/>
  <c r="ELS1599" i="1"/>
  <c r="ELR1599" i="1"/>
  <c r="ELQ1599" i="1"/>
  <c r="ELP1599" i="1"/>
  <c r="ELO1599" i="1"/>
  <c r="ELN1599" i="1"/>
  <c r="ELM1599" i="1"/>
  <c r="ELL1599" i="1"/>
  <c r="ELK1599" i="1"/>
  <c r="ELJ1599" i="1"/>
  <c r="ELI1599" i="1"/>
  <c r="ELH1599" i="1"/>
  <c r="ELG1599" i="1"/>
  <c r="ELF1599" i="1"/>
  <c r="ELE1599" i="1"/>
  <c r="ELD1599" i="1"/>
  <c r="ELC1599" i="1"/>
  <c r="ELB1599" i="1"/>
  <c r="ELA1599" i="1"/>
  <c r="EKZ1599" i="1"/>
  <c r="EKY1599" i="1"/>
  <c r="EKX1599" i="1"/>
  <c r="EKW1599" i="1"/>
  <c r="EKV1599" i="1"/>
  <c r="EKU1599" i="1"/>
  <c r="EKT1599" i="1"/>
  <c r="EKS1599" i="1"/>
  <c r="EKR1599" i="1"/>
  <c r="EKQ1599" i="1"/>
  <c r="EKP1599" i="1"/>
  <c r="EKO1599" i="1"/>
  <c r="EKN1599" i="1"/>
  <c r="EKM1599" i="1"/>
  <c r="EKL1599" i="1"/>
  <c r="EKK1599" i="1"/>
  <c r="EKJ1599" i="1"/>
  <c r="EKI1599" i="1"/>
  <c r="EKH1599" i="1"/>
  <c r="EKG1599" i="1"/>
  <c r="EKF1599" i="1"/>
  <c r="EKE1599" i="1"/>
  <c r="EKD1599" i="1"/>
  <c r="EKC1599" i="1"/>
  <c r="EKB1599" i="1"/>
  <c r="EKA1599" i="1"/>
  <c r="EJZ1599" i="1"/>
  <c r="EJY1599" i="1"/>
  <c r="EJX1599" i="1"/>
  <c r="EJW1599" i="1"/>
  <c r="EJV1599" i="1"/>
  <c r="EJU1599" i="1"/>
  <c r="EJT1599" i="1"/>
  <c r="EJS1599" i="1"/>
  <c r="EJR1599" i="1"/>
  <c r="EJQ1599" i="1"/>
  <c r="EJP1599" i="1"/>
  <c r="EJO1599" i="1"/>
  <c r="EJN1599" i="1"/>
  <c r="EJM1599" i="1"/>
  <c r="EJL1599" i="1"/>
  <c r="EJK1599" i="1"/>
  <c r="EJJ1599" i="1"/>
  <c r="EJI1599" i="1"/>
  <c r="EJH1599" i="1"/>
  <c r="EJG1599" i="1"/>
  <c r="EJF1599" i="1"/>
  <c r="EJE1599" i="1"/>
  <c r="EJD1599" i="1"/>
  <c r="EJC1599" i="1"/>
  <c r="EJB1599" i="1"/>
  <c r="EJA1599" i="1"/>
  <c r="EIZ1599" i="1"/>
  <c r="EIY1599" i="1"/>
  <c r="EIX1599" i="1"/>
  <c r="EIW1599" i="1"/>
  <c r="EIV1599" i="1"/>
  <c r="EIU1599" i="1"/>
  <c r="EIT1599" i="1"/>
  <c r="EIS1599" i="1"/>
  <c r="EIR1599" i="1"/>
  <c r="EIQ1599" i="1"/>
  <c r="EIP1599" i="1"/>
  <c r="EIO1599" i="1"/>
  <c r="EIN1599" i="1"/>
  <c r="EIM1599" i="1"/>
  <c r="EIL1599" i="1"/>
  <c r="EIK1599" i="1"/>
  <c r="EIJ1599" i="1"/>
  <c r="EII1599" i="1"/>
  <c r="EIH1599" i="1"/>
  <c r="EIG1599" i="1"/>
  <c r="EIF1599" i="1"/>
  <c r="EIE1599" i="1"/>
  <c r="EID1599" i="1"/>
  <c r="EIC1599" i="1"/>
  <c r="EIB1599" i="1"/>
  <c r="EIA1599" i="1"/>
  <c r="EHZ1599" i="1"/>
  <c r="EHY1599" i="1"/>
  <c r="EHX1599" i="1"/>
  <c r="EHW1599" i="1"/>
  <c r="EHV1599" i="1"/>
  <c r="EHU1599" i="1"/>
  <c r="EHT1599" i="1"/>
  <c r="EHS1599" i="1"/>
  <c r="EHR1599" i="1"/>
  <c r="EHQ1599" i="1"/>
  <c r="EHP1599" i="1"/>
  <c r="EHO1599" i="1"/>
  <c r="EHN1599" i="1"/>
  <c r="EHM1599" i="1"/>
  <c r="EHL1599" i="1"/>
  <c r="EHK1599" i="1"/>
  <c r="EHJ1599" i="1"/>
  <c r="EHI1599" i="1"/>
  <c r="EHH1599" i="1"/>
  <c r="EHG1599" i="1"/>
  <c r="EHF1599" i="1"/>
  <c r="EHE1599" i="1"/>
  <c r="EHD1599" i="1"/>
  <c r="EHC1599" i="1"/>
  <c r="EHB1599" i="1"/>
  <c r="EHA1599" i="1"/>
  <c r="EGZ1599" i="1"/>
  <c r="EGY1599" i="1"/>
  <c r="EGX1599" i="1"/>
  <c r="EGW1599" i="1"/>
  <c r="EGV1599" i="1"/>
  <c r="EGU1599" i="1"/>
  <c r="EGT1599" i="1"/>
  <c r="EGS1599" i="1"/>
  <c r="EGR1599" i="1"/>
  <c r="EGQ1599" i="1"/>
  <c r="EGP1599" i="1"/>
  <c r="EGO1599" i="1"/>
  <c r="EGN1599" i="1"/>
  <c r="EGM1599" i="1"/>
  <c r="EGL1599" i="1"/>
  <c r="EGK1599" i="1"/>
  <c r="EGJ1599" i="1"/>
  <c r="EGI1599" i="1"/>
  <c r="EGH1599" i="1"/>
  <c r="EGG1599" i="1"/>
  <c r="EGF1599" i="1"/>
  <c r="EGE1599" i="1"/>
  <c r="EGD1599" i="1"/>
  <c r="EGC1599" i="1"/>
  <c r="EGB1599" i="1"/>
  <c r="EGA1599" i="1"/>
  <c r="EFZ1599" i="1"/>
  <c r="EFY1599" i="1"/>
  <c r="EFX1599" i="1"/>
  <c r="EFW1599" i="1"/>
  <c r="EFV1599" i="1"/>
  <c r="EFU1599" i="1"/>
  <c r="EFT1599" i="1"/>
  <c r="EFS1599" i="1"/>
  <c r="EFR1599" i="1"/>
  <c r="EFQ1599" i="1"/>
  <c r="EFP1599" i="1"/>
  <c r="EFO1599" i="1"/>
  <c r="EFN1599" i="1"/>
  <c r="EFM1599" i="1"/>
  <c r="EFL1599" i="1"/>
  <c r="EFK1599" i="1"/>
  <c r="EFJ1599" i="1"/>
  <c r="EFI1599" i="1"/>
  <c r="EFH1599" i="1"/>
  <c r="EFG1599" i="1"/>
  <c r="EFF1599" i="1"/>
  <c r="EFE1599" i="1"/>
  <c r="EFD1599" i="1"/>
  <c r="EFC1599" i="1"/>
  <c r="EFB1599" i="1"/>
  <c r="EFA1599" i="1"/>
  <c r="EEZ1599" i="1"/>
  <c r="EEY1599" i="1"/>
  <c r="EEX1599" i="1"/>
  <c r="EEW1599" i="1"/>
  <c r="EEV1599" i="1"/>
  <c r="EEU1599" i="1"/>
  <c r="EET1599" i="1"/>
  <c r="EES1599" i="1"/>
  <c r="EER1599" i="1"/>
  <c r="EEQ1599" i="1"/>
  <c r="EEP1599" i="1"/>
  <c r="EEO1599" i="1"/>
  <c r="EEN1599" i="1"/>
  <c r="EEM1599" i="1"/>
  <c r="EEL1599" i="1"/>
  <c r="EEK1599" i="1"/>
  <c r="EEJ1599" i="1"/>
  <c r="EEI1599" i="1"/>
  <c r="EEH1599" i="1"/>
  <c r="EEG1599" i="1"/>
  <c r="EEF1599" i="1"/>
  <c r="EEE1599" i="1"/>
  <c r="EED1599" i="1"/>
  <c r="EEC1599" i="1"/>
  <c r="EEB1599" i="1"/>
  <c r="EEA1599" i="1"/>
  <c r="EDZ1599" i="1"/>
  <c r="EDY1599" i="1"/>
  <c r="EDX1599" i="1"/>
  <c r="EDW1599" i="1"/>
  <c r="EDV1599" i="1"/>
  <c r="EDU1599" i="1"/>
  <c r="EDT1599" i="1"/>
  <c r="EDS1599" i="1"/>
  <c r="EDR1599" i="1"/>
  <c r="EDQ1599" i="1"/>
  <c r="EDP1599" i="1"/>
  <c r="EDO1599" i="1"/>
  <c r="EDN1599" i="1"/>
  <c r="EDM1599" i="1"/>
  <c r="EDL1599" i="1"/>
  <c r="EDK1599" i="1"/>
  <c r="EDJ1599" i="1"/>
  <c r="EDI1599" i="1"/>
  <c r="EDH1599" i="1"/>
  <c r="EDG1599" i="1"/>
  <c r="EDF1599" i="1"/>
  <c r="EDE1599" i="1"/>
  <c r="EDD1599" i="1"/>
  <c r="EDC1599" i="1"/>
  <c r="EDB1599" i="1"/>
  <c r="EDA1599" i="1"/>
  <c r="ECZ1599" i="1"/>
  <c r="ECY1599" i="1"/>
  <c r="ECX1599" i="1"/>
  <c r="ECW1599" i="1"/>
  <c r="ECV1599" i="1"/>
  <c r="ECU1599" i="1"/>
  <c r="ECT1599" i="1"/>
  <c r="ECS1599" i="1"/>
  <c r="ECR1599" i="1"/>
  <c r="ECQ1599" i="1"/>
  <c r="ECP1599" i="1"/>
  <c r="ECO1599" i="1"/>
  <c r="ECN1599" i="1"/>
  <c r="ECM1599" i="1"/>
  <c r="ECL1599" i="1"/>
  <c r="ECK1599" i="1"/>
  <c r="ECJ1599" i="1"/>
  <c r="ECI1599" i="1"/>
  <c r="ECH1599" i="1"/>
  <c r="ECG1599" i="1"/>
  <c r="ECF1599" i="1"/>
  <c r="ECE1599" i="1"/>
  <c r="ECD1599" i="1"/>
  <c r="ECC1599" i="1"/>
  <c r="ECB1599" i="1"/>
  <c r="ECA1599" i="1"/>
  <c r="EBZ1599" i="1"/>
  <c r="EBY1599" i="1"/>
  <c r="EBX1599" i="1"/>
  <c r="EBW1599" i="1"/>
  <c r="EBV1599" i="1"/>
  <c r="EBU1599" i="1"/>
  <c r="EBT1599" i="1"/>
  <c r="EBS1599" i="1"/>
  <c r="EBR1599" i="1"/>
  <c r="EBQ1599" i="1"/>
  <c r="EBP1599" i="1"/>
  <c r="EBO1599" i="1"/>
  <c r="EBN1599" i="1"/>
  <c r="EBM1599" i="1"/>
  <c r="EBL1599" i="1"/>
  <c r="EBK1599" i="1"/>
  <c r="EBJ1599" i="1"/>
  <c r="EBI1599" i="1"/>
  <c r="EBH1599" i="1"/>
  <c r="EBG1599" i="1"/>
  <c r="EBF1599" i="1"/>
  <c r="EBE1599" i="1"/>
  <c r="EBD1599" i="1"/>
  <c r="EBC1599" i="1"/>
  <c r="EBB1599" i="1"/>
  <c r="EBA1599" i="1"/>
  <c r="EAZ1599" i="1"/>
  <c r="EAY1599" i="1"/>
  <c r="EAX1599" i="1"/>
  <c r="EAW1599" i="1"/>
  <c r="EAV1599" i="1"/>
  <c r="EAU1599" i="1"/>
  <c r="EAT1599" i="1"/>
  <c r="EAS1599" i="1"/>
  <c r="EAR1599" i="1"/>
  <c r="EAQ1599" i="1"/>
  <c r="EAP1599" i="1"/>
  <c r="EAO1599" i="1"/>
  <c r="EAN1599" i="1"/>
  <c r="EAM1599" i="1"/>
  <c r="EAL1599" i="1"/>
  <c r="EAK1599" i="1"/>
  <c r="EAJ1599" i="1"/>
  <c r="EAI1599" i="1"/>
  <c r="EAH1599" i="1"/>
  <c r="EAG1599" i="1"/>
  <c r="EAF1599" i="1"/>
  <c r="EAE1599" i="1"/>
  <c r="EAD1599" i="1"/>
  <c r="EAC1599" i="1"/>
  <c r="EAB1599" i="1"/>
  <c r="EAA1599" i="1"/>
  <c r="DZZ1599" i="1"/>
  <c r="DZY1599" i="1"/>
  <c r="DZX1599" i="1"/>
  <c r="DZW1599" i="1"/>
  <c r="DZV1599" i="1"/>
  <c r="DZU1599" i="1"/>
  <c r="DZT1599" i="1"/>
  <c r="DZS1599" i="1"/>
  <c r="DZR1599" i="1"/>
  <c r="DZQ1599" i="1"/>
  <c r="DZP1599" i="1"/>
  <c r="DZO1599" i="1"/>
  <c r="DZN1599" i="1"/>
  <c r="DZM1599" i="1"/>
  <c r="DZL1599" i="1"/>
  <c r="DZK1599" i="1"/>
  <c r="DZJ1599" i="1"/>
  <c r="DZI1599" i="1"/>
  <c r="DZH1599" i="1"/>
  <c r="DZG1599" i="1"/>
  <c r="DZF1599" i="1"/>
  <c r="DZE1599" i="1"/>
  <c r="DZD1599" i="1"/>
  <c r="DZC1599" i="1"/>
  <c r="DZB1599" i="1"/>
  <c r="DZA1599" i="1"/>
  <c r="DYZ1599" i="1"/>
  <c r="DYY1599" i="1"/>
  <c r="DYX1599" i="1"/>
  <c r="DYW1599" i="1"/>
  <c r="DYV1599" i="1"/>
  <c r="DYU1599" i="1"/>
  <c r="DYT1599" i="1"/>
  <c r="DYS1599" i="1"/>
  <c r="DYR1599" i="1"/>
  <c r="DYQ1599" i="1"/>
  <c r="DYP1599" i="1"/>
  <c r="DYO1599" i="1"/>
  <c r="DYN1599" i="1"/>
  <c r="DYM1599" i="1"/>
  <c r="DYL1599" i="1"/>
  <c r="DYK1599" i="1"/>
  <c r="DYJ1599" i="1"/>
  <c r="DYI1599" i="1"/>
  <c r="DYH1599" i="1"/>
  <c r="DYG1599" i="1"/>
  <c r="DYF1599" i="1"/>
  <c r="DYE1599" i="1"/>
  <c r="DYD1599" i="1"/>
  <c r="DYC1599" i="1"/>
  <c r="DYB1599" i="1"/>
  <c r="DYA1599" i="1"/>
  <c r="DXZ1599" i="1"/>
  <c r="DXY1599" i="1"/>
  <c r="DXX1599" i="1"/>
  <c r="DXW1599" i="1"/>
  <c r="DXV1599" i="1"/>
  <c r="DXU1599" i="1"/>
  <c r="DXT1599" i="1"/>
  <c r="DXS1599" i="1"/>
  <c r="DXR1599" i="1"/>
  <c r="DXQ1599" i="1"/>
  <c r="DXP1599" i="1"/>
  <c r="DXO1599" i="1"/>
  <c r="DXN1599" i="1"/>
  <c r="DXM1599" i="1"/>
  <c r="DXL1599" i="1"/>
  <c r="DXK1599" i="1"/>
  <c r="DXJ1599" i="1"/>
  <c r="DXI1599" i="1"/>
  <c r="DXH1599" i="1"/>
  <c r="DXG1599" i="1"/>
  <c r="DXF1599" i="1"/>
  <c r="DXE1599" i="1"/>
  <c r="DXD1599" i="1"/>
  <c r="DXC1599" i="1"/>
  <c r="DXB1599" i="1"/>
  <c r="DXA1599" i="1"/>
  <c r="DWZ1599" i="1"/>
  <c r="DWY1599" i="1"/>
  <c r="DWX1599" i="1"/>
  <c r="DWW1599" i="1"/>
  <c r="DWV1599" i="1"/>
  <c r="DWU1599" i="1"/>
  <c r="DWT1599" i="1"/>
  <c r="DWS1599" i="1"/>
  <c r="DWR1599" i="1"/>
  <c r="DWQ1599" i="1"/>
  <c r="DWP1599" i="1"/>
  <c r="DWO1599" i="1"/>
  <c r="DWN1599" i="1"/>
  <c r="DWM1599" i="1"/>
  <c r="DWL1599" i="1"/>
  <c r="DWK1599" i="1"/>
  <c r="DWJ1599" i="1"/>
  <c r="DWI1599" i="1"/>
  <c r="DWH1599" i="1"/>
  <c r="DWG1599" i="1"/>
  <c r="DWF1599" i="1"/>
  <c r="DWE1599" i="1"/>
  <c r="DWD1599" i="1"/>
  <c r="DWC1599" i="1"/>
  <c r="DWB1599" i="1"/>
  <c r="DWA1599" i="1"/>
  <c r="DVZ1599" i="1"/>
  <c r="DVY1599" i="1"/>
  <c r="DVX1599" i="1"/>
  <c r="DVW1599" i="1"/>
  <c r="DVV1599" i="1"/>
  <c r="DVU1599" i="1"/>
  <c r="DVT1599" i="1"/>
  <c r="DVS1599" i="1"/>
  <c r="DVR1599" i="1"/>
  <c r="DVQ1599" i="1"/>
  <c r="DVP1599" i="1"/>
  <c r="DVO1599" i="1"/>
  <c r="DVN1599" i="1"/>
  <c r="DVM1599" i="1"/>
  <c r="DVL1599" i="1"/>
  <c r="DVK1599" i="1"/>
  <c r="DVJ1599" i="1"/>
  <c r="DVI1599" i="1"/>
  <c r="DVH1599" i="1"/>
  <c r="DVG1599" i="1"/>
  <c r="DVF1599" i="1"/>
  <c r="DVE1599" i="1"/>
  <c r="DVD1599" i="1"/>
  <c r="DVC1599" i="1"/>
  <c r="DVB1599" i="1"/>
  <c r="DVA1599" i="1"/>
  <c r="DUZ1599" i="1"/>
  <c r="DUY1599" i="1"/>
  <c r="DUX1599" i="1"/>
  <c r="DUW1599" i="1"/>
  <c r="DUV1599" i="1"/>
  <c r="DUU1599" i="1"/>
  <c r="DUT1599" i="1"/>
  <c r="DUS1599" i="1"/>
  <c r="DUR1599" i="1"/>
  <c r="DUQ1599" i="1"/>
  <c r="DUP1599" i="1"/>
  <c r="DUO1599" i="1"/>
  <c r="DUN1599" i="1"/>
  <c r="DUM1599" i="1"/>
  <c r="DUL1599" i="1"/>
  <c r="DUK1599" i="1"/>
  <c r="DUJ1599" i="1"/>
  <c r="DUI1599" i="1"/>
  <c r="DUH1599" i="1"/>
  <c r="DUG1599" i="1"/>
  <c r="DUF1599" i="1"/>
  <c r="DUE1599" i="1"/>
  <c r="DUD1599" i="1"/>
  <c r="DUC1599" i="1"/>
  <c r="DUB1599" i="1"/>
  <c r="DUA1599" i="1"/>
  <c r="DTZ1599" i="1"/>
  <c r="DTY1599" i="1"/>
  <c r="DTX1599" i="1"/>
  <c r="DTW1599" i="1"/>
  <c r="DTV1599" i="1"/>
  <c r="DTU1599" i="1"/>
  <c r="DTT1599" i="1"/>
  <c r="DTS1599" i="1"/>
  <c r="DTR1599" i="1"/>
  <c r="DTQ1599" i="1"/>
  <c r="DTP1599" i="1"/>
  <c r="DTO1599" i="1"/>
  <c r="DTN1599" i="1"/>
  <c r="DTM1599" i="1"/>
  <c r="DTL1599" i="1"/>
  <c r="DTK1599" i="1"/>
  <c r="DTJ1599" i="1"/>
  <c r="DTI1599" i="1"/>
  <c r="DTH1599" i="1"/>
  <c r="DTG1599" i="1"/>
  <c r="DTF1599" i="1"/>
  <c r="DTE1599" i="1"/>
  <c r="DTD1599" i="1"/>
  <c r="DTC1599" i="1"/>
  <c r="DTB1599" i="1"/>
  <c r="DTA1599" i="1"/>
  <c r="DSZ1599" i="1"/>
  <c r="DSY1599" i="1"/>
  <c r="DSX1599" i="1"/>
  <c r="DSW1599" i="1"/>
  <c r="DSV1599" i="1"/>
  <c r="DSU1599" i="1"/>
  <c r="DST1599" i="1"/>
  <c r="DSS1599" i="1"/>
  <c r="DSR1599" i="1"/>
  <c r="DSQ1599" i="1"/>
  <c r="DSP1599" i="1"/>
  <c r="DSO1599" i="1"/>
  <c r="DSN1599" i="1"/>
  <c r="DSM1599" i="1"/>
  <c r="DSL1599" i="1"/>
  <c r="DSK1599" i="1"/>
  <c r="DSJ1599" i="1"/>
  <c r="DSI1599" i="1"/>
  <c r="DSH1599" i="1"/>
  <c r="DSG1599" i="1"/>
  <c r="DSF1599" i="1"/>
  <c r="DSE1599" i="1"/>
  <c r="DSD1599" i="1"/>
  <c r="DSC1599" i="1"/>
  <c r="DSB1599" i="1"/>
  <c r="DSA1599" i="1"/>
  <c r="DRZ1599" i="1"/>
  <c r="DRY1599" i="1"/>
  <c r="DRX1599" i="1"/>
  <c r="DRW1599" i="1"/>
  <c r="DRV1599" i="1"/>
  <c r="DRU1599" i="1"/>
  <c r="DRT1599" i="1"/>
  <c r="DRS1599" i="1"/>
  <c r="DRR1599" i="1"/>
  <c r="DRQ1599" i="1"/>
  <c r="DRP1599" i="1"/>
  <c r="DRO1599" i="1"/>
  <c r="DRN1599" i="1"/>
  <c r="DRM1599" i="1"/>
  <c r="DRL1599" i="1"/>
  <c r="DRK1599" i="1"/>
  <c r="DRJ1599" i="1"/>
  <c r="DRI1599" i="1"/>
  <c r="DRH1599" i="1"/>
  <c r="DRG1599" i="1"/>
  <c r="DRF1599" i="1"/>
  <c r="DRE1599" i="1"/>
  <c r="DRD1599" i="1"/>
  <c r="DRC1599" i="1"/>
  <c r="DRB1599" i="1"/>
  <c r="DRA1599" i="1"/>
  <c r="DQZ1599" i="1"/>
  <c r="DQY1599" i="1"/>
  <c r="DQX1599" i="1"/>
  <c r="DQW1599" i="1"/>
  <c r="DQV1599" i="1"/>
  <c r="DQU1599" i="1"/>
  <c r="DQT1599" i="1"/>
  <c r="DQS1599" i="1"/>
  <c r="DQR1599" i="1"/>
  <c r="DQQ1599" i="1"/>
  <c r="DQP1599" i="1"/>
  <c r="DQO1599" i="1"/>
  <c r="DQN1599" i="1"/>
  <c r="DQM1599" i="1"/>
  <c r="DQL1599" i="1"/>
  <c r="DQK1599" i="1"/>
  <c r="DQJ1599" i="1"/>
  <c r="DQI1599" i="1"/>
  <c r="DQH1599" i="1"/>
  <c r="DQG1599" i="1"/>
  <c r="DQF1599" i="1"/>
  <c r="DQE1599" i="1"/>
  <c r="DQD1599" i="1"/>
  <c r="DQC1599" i="1"/>
  <c r="DQB1599" i="1"/>
  <c r="DQA1599" i="1"/>
  <c r="DPZ1599" i="1"/>
  <c r="DPY1599" i="1"/>
  <c r="DPX1599" i="1"/>
  <c r="DPW1599" i="1"/>
  <c r="DPV1599" i="1"/>
  <c r="DPU1599" i="1"/>
  <c r="DPT1599" i="1"/>
  <c r="DPS1599" i="1"/>
  <c r="DPR1599" i="1"/>
  <c r="DPQ1599" i="1"/>
  <c r="DPP1599" i="1"/>
  <c r="DPO1599" i="1"/>
  <c r="DPN1599" i="1"/>
  <c r="DPM1599" i="1"/>
  <c r="DPL1599" i="1"/>
  <c r="DPK1599" i="1"/>
  <c r="DPJ1599" i="1"/>
  <c r="DPI1599" i="1"/>
  <c r="DPH1599" i="1"/>
  <c r="DPG1599" i="1"/>
  <c r="DPF1599" i="1"/>
  <c r="DPE1599" i="1"/>
  <c r="DPD1599" i="1"/>
  <c r="DPC1599" i="1"/>
  <c r="DPB1599" i="1"/>
  <c r="DPA1599" i="1"/>
  <c r="DOZ1599" i="1"/>
  <c r="DOY1599" i="1"/>
  <c r="DOX1599" i="1"/>
  <c r="DOW1599" i="1"/>
  <c r="DOV1599" i="1"/>
  <c r="DOU1599" i="1"/>
  <c r="DOT1599" i="1"/>
  <c r="DOS1599" i="1"/>
  <c r="DOR1599" i="1"/>
  <c r="DOQ1599" i="1"/>
  <c r="DOP1599" i="1"/>
  <c r="DOO1599" i="1"/>
  <c r="DON1599" i="1"/>
  <c r="DOM1599" i="1"/>
  <c r="DOL1599" i="1"/>
  <c r="DOK1599" i="1"/>
  <c r="DOJ1599" i="1"/>
  <c r="DOI1599" i="1"/>
  <c r="DOH1599" i="1"/>
  <c r="DOG1599" i="1"/>
  <c r="DOF1599" i="1"/>
  <c r="DOE1599" i="1"/>
  <c r="DOD1599" i="1"/>
  <c r="DOC1599" i="1"/>
  <c r="DOB1599" i="1"/>
  <c r="DOA1599" i="1"/>
  <c r="DNZ1599" i="1"/>
  <c r="DNY1599" i="1"/>
  <c r="DNX1599" i="1"/>
  <c r="DNW1599" i="1"/>
  <c r="DNV1599" i="1"/>
  <c r="DNU1599" i="1"/>
  <c r="DNT1599" i="1"/>
  <c r="DNS1599" i="1"/>
  <c r="DNR1599" i="1"/>
  <c r="DNQ1599" i="1"/>
  <c r="DNP1599" i="1"/>
  <c r="DNO1599" i="1"/>
  <c r="DNN1599" i="1"/>
  <c r="DNM1599" i="1"/>
  <c r="DNL1599" i="1"/>
  <c r="DNK1599" i="1"/>
  <c r="DNJ1599" i="1"/>
  <c r="DNI1599" i="1"/>
  <c r="DNH1599" i="1"/>
  <c r="DNG1599" i="1"/>
  <c r="DNF1599" i="1"/>
  <c r="DNE1599" i="1"/>
  <c r="DND1599" i="1"/>
  <c r="DNC1599" i="1"/>
  <c r="DNB1599" i="1"/>
  <c r="DNA1599" i="1"/>
  <c r="DMZ1599" i="1"/>
  <c r="DMY1599" i="1"/>
  <c r="DMX1599" i="1"/>
  <c r="DMW1599" i="1"/>
  <c r="DMV1599" i="1"/>
  <c r="DMU1599" i="1"/>
  <c r="DMT1599" i="1"/>
  <c r="DMS1599" i="1"/>
  <c r="DMR1599" i="1"/>
  <c r="DMQ1599" i="1"/>
  <c r="DMP1599" i="1"/>
  <c r="DMO1599" i="1"/>
  <c r="DMN1599" i="1"/>
  <c r="DMM1599" i="1"/>
  <c r="DML1599" i="1"/>
  <c r="DMK1599" i="1"/>
  <c r="DMJ1599" i="1"/>
  <c r="DMI1599" i="1"/>
  <c r="DMH1599" i="1"/>
  <c r="DMG1599" i="1"/>
  <c r="DMF1599" i="1"/>
  <c r="DME1599" i="1"/>
  <c r="DMD1599" i="1"/>
  <c r="DMC1599" i="1"/>
  <c r="DMB1599" i="1"/>
  <c r="DMA1599" i="1"/>
  <c r="DLZ1599" i="1"/>
  <c r="DLY1599" i="1"/>
  <c r="DLX1599" i="1"/>
  <c r="DLW1599" i="1"/>
  <c r="DLV1599" i="1"/>
  <c r="DLU1599" i="1"/>
  <c r="DLT1599" i="1"/>
  <c r="DLS1599" i="1"/>
  <c r="DLR1599" i="1"/>
  <c r="DLQ1599" i="1"/>
  <c r="DLP1599" i="1"/>
  <c r="DLO1599" i="1"/>
  <c r="DLN1599" i="1"/>
  <c r="DLM1599" i="1"/>
  <c r="DLL1599" i="1"/>
  <c r="DLK1599" i="1"/>
  <c r="DLJ1599" i="1"/>
  <c r="DLI1599" i="1"/>
  <c r="DLH1599" i="1"/>
  <c r="DLG1599" i="1"/>
  <c r="DLF1599" i="1"/>
  <c r="DLE1599" i="1"/>
  <c r="DLD1599" i="1"/>
  <c r="DLC1599" i="1"/>
  <c r="DLB1599" i="1"/>
  <c r="DLA1599" i="1"/>
  <c r="DKZ1599" i="1"/>
  <c r="DKY1599" i="1"/>
  <c r="DKX1599" i="1"/>
  <c r="DKW1599" i="1"/>
  <c r="DKV1599" i="1"/>
  <c r="DKU1599" i="1"/>
  <c r="DKT1599" i="1"/>
  <c r="DKS1599" i="1"/>
  <c r="DKR1599" i="1"/>
  <c r="DKQ1599" i="1"/>
  <c r="DKP1599" i="1"/>
  <c r="DKO1599" i="1"/>
  <c r="DKN1599" i="1"/>
  <c r="DKM1599" i="1"/>
  <c r="DKL1599" i="1"/>
  <c r="DKK1599" i="1"/>
  <c r="DKJ1599" i="1"/>
  <c r="DKI1599" i="1"/>
  <c r="DKH1599" i="1"/>
  <c r="DKG1599" i="1"/>
  <c r="DKF1599" i="1"/>
  <c r="DKE1599" i="1"/>
  <c r="DKD1599" i="1"/>
  <c r="DKC1599" i="1"/>
  <c r="DKB1599" i="1"/>
  <c r="DKA1599" i="1"/>
  <c r="DJZ1599" i="1"/>
  <c r="DJY1599" i="1"/>
  <c r="DJX1599" i="1"/>
  <c r="DJW1599" i="1"/>
  <c r="DJV1599" i="1"/>
  <c r="DJU1599" i="1"/>
  <c r="DJT1599" i="1"/>
  <c r="DJS1599" i="1"/>
  <c r="DJR1599" i="1"/>
  <c r="DJQ1599" i="1"/>
  <c r="DJP1599" i="1"/>
  <c r="DJO1599" i="1"/>
  <c r="DJN1599" i="1"/>
  <c r="DJM1599" i="1"/>
  <c r="DJL1599" i="1"/>
  <c r="DJK1599" i="1"/>
  <c r="DJJ1599" i="1"/>
  <c r="DJI1599" i="1"/>
  <c r="DJH1599" i="1"/>
  <c r="DJG1599" i="1"/>
  <c r="DJF1599" i="1"/>
  <c r="DJE1599" i="1"/>
  <c r="DJD1599" i="1"/>
  <c r="DJC1599" i="1"/>
  <c r="DJB1599" i="1"/>
  <c r="DJA1599" i="1"/>
  <c r="DIZ1599" i="1"/>
  <c r="DIY1599" i="1"/>
  <c r="DIX1599" i="1"/>
  <c r="DIW1599" i="1"/>
  <c r="DIV1599" i="1"/>
  <c r="DIU1599" i="1"/>
  <c r="DIT1599" i="1"/>
  <c r="DIS1599" i="1"/>
  <c r="DIR1599" i="1"/>
  <c r="DIQ1599" i="1"/>
  <c r="DIP1599" i="1"/>
  <c r="DIO1599" i="1"/>
  <c r="DIN1599" i="1"/>
  <c r="DIM1599" i="1"/>
  <c r="DIL1599" i="1"/>
  <c r="DIK1599" i="1"/>
  <c r="DIJ1599" i="1"/>
  <c r="DII1599" i="1"/>
  <c r="DIH1599" i="1"/>
  <c r="DIG1599" i="1"/>
  <c r="DIF1599" i="1"/>
  <c r="DIE1599" i="1"/>
  <c r="DID1599" i="1"/>
  <c r="DIC1599" i="1"/>
  <c r="DIB1599" i="1"/>
  <c r="DIA1599" i="1"/>
  <c r="DHZ1599" i="1"/>
  <c r="DHY1599" i="1"/>
  <c r="DHX1599" i="1"/>
  <c r="DHW1599" i="1"/>
  <c r="DHV1599" i="1"/>
  <c r="DHU1599" i="1"/>
  <c r="DHT1599" i="1"/>
  <c r="DHS1599" i="1"/>
  <c r="DHR1599" i="1"/>
  <c r="DHQ1599" i="1"/>
  <c r="DHP1599" i="1"/>
  <c r="DHO1599" i="1"/>
  <c r="DHN1599" i="1"/>
  <c r="DHM1599" i="1"/>
  <c r="DHL1599" i="1"/>
  <c r="DHK1599" i="1"/>
  <c r="DHJ1599" i="1"/>
  <c r="DHI1599" i="1"/>
  <c r="DHH1599" i="1"/>
  <c r="DHG1599" i="1"/>
  <c r="DHF1599" i="1"/>
  <c r="DHE1599" i="1"/>
  <c r="DHD1599" i="1"/>
  <c r="DHC1599" i="1"/>
  <c r="DHB1599" i="1"/>
  <c r="DHA1599" i="1"/>
  <c r="DGZ1599" i="1"/>
  <c r="DGY1599" i="1"/>
  <c r="DGX1599" i="1"/>
  <c r="DGW1599" i="1"/>
  <c r="DGV1599" i="1"/>
  <c r="DGU1599" i="1"/>
  <c r="DGT1599" i="1"/>
  <c r="DGS1599" i="1"/>
  <c r="DGR1599" i="1"/>
  <c r="DGQ1599" i="1"/>
  <c r="DGP1599" i="1"/>
  <c r="DGO1599" i="1"/>
  <c r="DGN1599" i="1"/>
  <c r="DGM1599" i="1"/>
  <c r="DGL1599" i="1"/>
  <c r="DGK1599" i="1"/>
  <c r="DGJ1599" i="1"/>
  <c r="DGI1599" i="1"/>
  <c r="DGH1599" i="1"/>
  <c r="DGG1599" i="1"/>
  <c r="DGF1599" i="1"/>
  <c r="DGE1599" i="1"/>
  <c r="DGD1599" i="1"/>
  <c r="DGC1599" i="1"/>
  <c r="DGB1599" i="1"/>
  <c r="DGA1599" i="1"/>
  <c r="DFZ1599" i="1"/>
  <c r="DFY1599" i="1"/>
  <c r="DFX1599" i="1"/>
  <c r="DFW1599" i="1"/>
  <c r="DFV1599" i="1"/>
  <c r="DFU1599" i="1"/>
  <c r="DFT1599" i="1"/>
  <c r="DFS1599" i="1"/>
  <c r="DFR1599" i="1"/>
  <c r="DFQ1599" i="1"/>
  <c r="DFP1599" i="1"/>
  <c r="DFO1599" i="1"/>
  <c r="DFN1599" i="1"/>
  <c r="DFM1599" i="1"/>
  <c r="DFL1599" i="1"/>
  <c r="DFK1599" i="1"/>
  <c r="DFJ1599" i="1"/>
  <c r="DFI1599" i="1"/>
  <c r="DFH1599" i="1"/>
  <c r="DFG1599" i="1"/>
  <c r="DFF1599" i="1"/>
  <c r="DFE1599" i="1"/>
  <c r="DFD1599" i="1"/>
  <c r="DFC1599" i="1"/>
  <c r="DFB1599" i="1"/>
  <c r="DFA1599" i="1"/>
  <c r="DEZ1599" i="1"/>
  <c r="DEY1599" i="1"/>
  <c r="DEX1599" i="1"/>
  <c r="DEW1599" i="1"/>
  <c r="DEV1599" i="1"/>
  <c r="DEU1599" i="1"/>
  <c r="DET1599" i="1"/>
  <c r="DES1599" i="1"/>
  <c r="DER1599" i="1"/>
  <c r="DEQ1599" i="1"/>
  <c r="DEP1599" i="1"/>
  <c r="DEO1599" i="1"/>
  <c r="DEN1599" i="1"/>
  <c r="DEM1599" i="1"/>
  <c r="DEL1599" i="1"/>
  <c r="DEK1599" i="1"/>
  <c r="DEJ1599" i="1"/>
  <c r="DEI1599" i="1"/>
  <c r="DEH1599" i="1"/>
  <c r="DEG1599" i="1"/>
  <c r="DEF1599" i="1"/>
  <c r="DEE1599" i="1"/>
  <c r="DED1599" i="1"/>
  <c r="DEC1599" i="1"/>
  <c r="DEB1599" i="1"/>
  <c r="DEA1599" i="1"/>
  <c r="DDZ1599" i="1"/>
  <c r="DDY1599" i="1"/>
  <c r="DDX1599" i="1"/>
  <c r="DDW1599" i="1"/>
  <c r="DDV1599" i="1"/>
  <c r="DDU1599" i="1"/>
  <c r="DDT1599" i="1"/>
  <c r="DDS1599" i="1"/>
  <c r="DDR1599" i="1"/>
  <c r="DDQ1599" i="1"/>
  <c r="DDP1599" i="1"/>
  <c r="DDO1599" i="1"/>
  <c r="DDN1599" i="1"/>
  <c r="DDM1599" i="1"/>
  <c r="DDL1599" i="1"/>
  <c r="DDK1599" i="1"/>
  <c r="DDJ1599" i="1"/>
  <c r="DDI1599" i="1"/>
  <c r="DDH1599" i="1"/>
  <c r="DDG1599" i="1"/>
  <c r="DDF1599" i="1"/>
  <c r="DDE1599" i="1"/>
  <c r="DDD1599" i="1"/>
  <c r="DDC1599" i="1"/>
  <c r="DDB1599" i="1"/>
  <c r="DDA1599" i="1"/>
  <c r="DCZ1599" i="1"/>
  <c r="DCY1599" i="1"/>
  <c r="DCX1599" i="1"/>
  <c r="DCW1599" i="1"/>
  <c r="DCV1599" i="1"/>
  <c r="DCU1599" i="1"/>
  <c r="DCT1599" i="1"/>
  <c r="DCS1599" i="1"/>
  <c r="DCR1599" i="1"/>
  <c r="DCQ1599" i="1"/>
  <c r="DCP1599" i="1"/>
  <c r="DCO1599" i="1"/>
  <c r="DCN1599" i="1"/>
  <c r="DCM1599" i="1"/>
  <c r="DCL1599" i="1"/>
  <c r="DCK1599" i="1"/>
  <c r="DCJ1599" i="1"/>
  <c r="DCI1599" i="1"/>
  <c r="DCH1599" i="1"/>
  <c r="DCG1599" i="1"/>
  <c r="DCF1599" i="1"/>
  <c r="DCE1599" i="1"/>
  <c r="DCD1599" i="1"/>
  <c r="DCC1599" i="1"/>
  <c r="DCB1599" i="1"/>
  <c r="DCA1599" i="1"/>
  <c r="DBZ1599" i="1"/>
  <c r="DBY1599" i="1"/>
  <c r="DBX1599" i="1"/>
  <c r="DBW1599" i="1"/>
  <c r="DBV1599" i="1"/>
  <c r="DBU1599" i="1"/>
  <c r="DBT1599" i="1"/>
  <c r="DBS1599" i="1"/>
  <c r="DBR1599" i="1"/>
  <c r="DBQ1599" i="1"/>
  <c r="DBP1599" i="1"/>
  <c r="DBO1599" i="1"/>
  <c r="DBN1599" i="1"/>
  <c r="DBM1599" i="1"/>
  <c r="DBL1599" i="1"/>
  <c r="DBK1599" i="1"/>
  <c r="DBJ1599" i="1"/>
  <c r="DBI1599" i="1"/>
  <c r="DBH1599" i="1"/>
  <c r="DBG1599" i="1"/>
  <c r="DBF1599" i="1"/>
  <c r="DBE1599" i="1"/>
  <c r="DBD1599" i="1"/>
  <c r="DBC1599" i="1"/>
  <c r="DBB1599" i="1"/>
  <c r="DBA1599" i="1"/>
  <c r="DAZ1599" i="1"/>
  <c r="DAY1599" i="1"/>
  <c r="DAX1599" i="1"/>
  <c r="DAW1599" i="1"/>
  <c r="DAV1599" i="1"/>
  <c r="DAU1599" i="1"/>
  <c r="DAT1599" i="1"/>
  <c r="DAS1599" i="1"/>
  <c r="DAR1599" i="1"/>
  <c r="DAQ1599" i="1"/>
  <c r="DAP1599" i="1"/>
  <c r="DAO1599" i="1"/>
  <c r="DAN1599" i="1"/>
  <c r="DAM1599" i="1"/>
  <c r="DAL1599" i="1"/>
  <c r="DAK1599" i="1"/>
  <c r="DAJ1599" i="1"/>
  <c r="DAI1599" i="1"/>
  <c r="DAH1599" i="1"/>
  <c r="DAG1599" i="1"/>
  <c r="DAF1599" i="1"/>
  <c r="DAE1599" i="1"/>
  <c r="DAD1599" i="1"/>
  <c r="DAC1599" i="1"/>
  <c r="DAB1599" i="1"/>
  <c r="DAA1599" i="1"/>
  <c r="CZZ1599" i="1"/>
  <c r="CZY1599" i="1"/>
  <c r="CZX1599" i="1"/>
  <c r="CZW1599" i="1"/>
  <c r="CZV1599" i="1"/>
  <c r="CZU1599" i="1"/>
  <c r="CZT1599" i="1"/>
  <c r="CZS1599" i="1"/>
  <c r="CZR1599" i="1"/>
  <c r="CZQ1599" i="1"/>
  <c r="CZP1599" i="1"/>
  <c r="CZO1599" i="1"/>
  <c r="CZN1599" i="1"/>
  <c r="CZM1599" i="1"/>
  <c r="CZL1599" i="1"/>
  <c r="CZK1599" i="1"/>
  <c r="CZJ1599" i="1"/>
  <c r="CZI1599" i="1"/>
  <c r="CZH1599" i="1"/>
  <c r="CZG1599" i="1"/>
  <c r="CZF1599" i="1"/>
  <c r="CZE1599" i="1"/>
  <c r="CZD1599" i="1"/>
  <c r="CZC1599" i="1"/>
  <c r="CZB1599" i="1"/>
  <c r="CZA1599" i="1"/>
  <c r="CYZ1599" i="1"/>
  <c r="CYY1599" i="1"/>
  <c r="CYX1599" i="1"/>
  <c r="CYW1599" i="1"/>
  <c r="CYV1599" i="1"/>
  <c r="CYU1599" i="1"/>
  <c r="CYT1599" i="1"/>
  <c r="CYS1599" i="1"/>
  <c r="CYR1599" i="1"/>
  <c r="CYQ1599" i="1"/>
  <c r="CYP1599" i="1"/>
  <c r="CYO1599" i="1"/>
  <c r="CYN1599" i="1"/>
  <c r="CYM1599" i="1"/>
  <c r="CYL1599" i="1"/>
  <c r="CYK1599" i="1"/>
  <c r="CYJ1599" i="1"/>
  <c r="CYI1599" i="1"/>
  <c r="CYH1599" i="1"/>
  <c r="CYG1599" i="1"/>
  <c r="CYF1599" i="1"/>
  <c r="CYE1599" i="1"/>
  <c r="CYD1599" i="1"/>
  <c r="CYC1599" i="1"/>
  <c r="CYB1599" i="1"/>
  <c r="CYA1599" i="1"/>
  <c r="CXZ1599" i="1"/>
  <c r="CXY1599" i="1"/>
  <c r="CXX1599" i="1"/>
  <c r="CXW1599" i="1"/>
  <c r="CXV1599" i="1"/>
  <c r="CXU1599" i="1"/>
  <c r="CXT1599" i="1"/>
  <c r="CXS1599" i="1"/>
  <c r="CXR1599" i="1"/>
  <c r="CXQ1599" i="1"/>
  <c r="CXP1599" i="1"/>
  <c r="CXO1599" i="1"/>
  <c r="CXN1599" i="1"/>
  <c r="CXM1599" i="1"/>
  <c r="CXL1599" i="1"/>
  <c r="CXK1599" i="1"/>
  <c r="CXJ1599" i="1"/>
  <c r="CXI1599" i="1"/>
  <c r="CXH1599" i="1"/>
  <c r="CXG1599" i="1"/>
  <c r="CXF1599" i="1"/>
  <c r="CXE1599" i="1"/>
  <c r="CXD1599" i="1"/>
  <c r="CXC1599" i="1"/>
  <c r="CXB1599" i="1"/>
  <c r="CXA1599" i="1"/>
  <c r="CWZ1599" i="1"/>
  <c r="CWY1599" i="1"/>
  <c r="CWX1599" i="1"/>
  <c r="CWW1599" i="1"/>
  <c r="CWV1599" i="1"/>
  <c r="CWU1599" i="1"/>
  <c r="CWT1599" i="1"/>
  <c r="CWS1599" i="1"/>
  <c r="CWR1599" i="1"/>
  <c r="CWQ1599" i="1"/>
  <c r="CWP1599" i="1"/>
  <c r="CWO1599" i="1"/>
  <c r="CWN1599" i="1"/>
  <c r="CWM1599" i="1"/>
  <c r="CWL1599" i="1"/>
  <c r="CWK1599" i="1"/>
  <c r="CWJ1599" i="1"/>
  <c r="CWI1599" i="1"/>
  <c r="CWH1599" i="1"/>
  <c r="CWG1599" i="1"/>
  <c r="CWF1599" i="1"/>
  <c r="CWE1599" i="1"/>
  <c r="CWD1599" i="1"/>
  <c r="CWC1599" i="1"/>
  <c r="CWB1599" i="1"/>
  <c r="CWA1599" i="1"/>
  <c r="CVZ1599" i="1"/>
  <c r="CVY1599" i="1"/>
  <c r="CVX1599" i="1"/>
  <c r="CVW1599" i="1"/>
  <c r="CVV1599" i="1"/>
  <c r="CVU1599" i="1"/>
  <c r="CVT1599" i="1"/>
  <c r="CVS1599" i="1"/>
  <c r="CVR1599" i="1"/>
  <c r="CVQ1599" i="1"/>
  <c r="CVP1599" i="1"/>
  <c r="CVO1599" i="1"/>
  <c r="CVN1599" i="1"/>
  <c r="CVM1599" i="1"/>
  <c r="CVL1599" i="1"/>
  <c r="CVK1599" i="1"/>
  <c r="CVJ1599" i="1"/>
  <c r="CVI1599" i="1"/>
  <c r="CVH1599" i="1"/>
  <c r="CVG1599" i="1"/>
  <c r="CVF1599" i="1"/>
  <c r="CVE1599" i="1"/>
  <c r="CVD1599" i="1"/>
  <c r="CVC1599" i="1"/>
  <c r="CVB1599" i="1"/>
  <c r="CVA1599" i="1"/>
  <c r="CUZ1599" i="1"/>
  <c r="CUY1599" i="1"/>
  <c r="CUX1599" i="1"/>
  <c r="CUW1599" i="1"/>
  <c r="CUV1599" i="1"/>
  <c r="CUU1599" i="1"/>
  <c r="CUT1599" i="1"/>
  <c r="CUS1599" i="1"/>
  <c r="CUR1599" i="1"/>
  <c r="CUQ1599" i="1"/>
  <c r="CUP1599" i="1"/>
  <c r="CUO1599" i="1"/>
  <c r="CUN1599" i="1"/>
  <c r="CUM1599" i="1"/>
  <c r="CUL1599" i="1"/>
  <c r="CUK1599" i="1"/>
  <c r="CUJ1599" i="1"/>
  <c r="CUI1599" i="1"/>
  <c r="CUH1599" i="1"/>
  <c r="CUG1599" i="1"/>
  <c r="CUF1599" i="1"/>
  <c r="CUE1599" i="1"/>
  <c r="CUD1599" i="1"/>
  <c r="CUC1599" i="1"/>
  <c r="CUB1599" i="1"/>
  <c r="CUA1599" i="1"/>
  <c r="CTZ1599" i="1"/>
  <c r="CTY1599" i="1"/>
  <c r="CTX1599" i="1"/>
  <c r="CTW1599" i="1"/>
  <c r="CTV1599" i="1"/>
  <c r="CTU1599" i="1"/>
  <c r="CTT1599" i="1"/>
  <c r="CTS1599" i="1"/>
  <c r="CTR1599" i="1"/>
  <c r="CTQ1599" i="1"/>
  <c r="CTP1599" i="1"/>
  <c r="CTO1599" i="1"/>
  <c r="CTN1599" i="1"/>
  <c r="CTM1599" i="1"/>
  <c r="CTL1599" i="1"/>
  <c r="CTK1599" i="1"/>
  <c r="CTJ1599" i="1"/>
  <c r="CTI1599" i="1"/>
  <c r="CTH1599" i="1"/>
  <c r="CTG1599" i="1"/>
  <c r="CTF1599" i="1"/>
  <c r="CTE1599" i="1"/>
  <c r="CTD1599" i="1"/>
  <c r="CTC1599" i="1"/>
  <c r="CTB1599" i="1"/>
  <c r="CTA1599" i="1"/>
  <c r="CSZ1599" i="1"/>
  <c r="CSY1599" i="1"/>
  <c r="CSX1599" i="1"/>
  <c r="CSW1599" i="1"/>
  <c r="CSV1599" i="1"/>
  <c r="CSU1599" i="1"/>
  <c r="CST1599" i="1"/>
  <c r="CSS1599" i="1"/>
  <c r="CSR1599" i="1"/>
  <c r="CSQ1599" i="1"/>
  <c r="CSP1599" i="1"/>
  <c r="CSO1599" i="1"/>
  <c r="CSN1599" i="1"/>
  <c r="CSM1599" i="1"/>
  <c r="CSL1599" i="1"/>
  <c r="CSK1599" i="1"/>
  <c r="CSJ1599" i="1"/>
  <c r="CSI1599" i="1"/>
  <c r="CSH1599" i="1"/>
  <c r="CSG1599" i="1"/>
  <c r="CSF1599" i="1"/>
  <c r="CSE1599" i="1"/>
  <c r="CSD1599" i="1"/>
  <c r="CSC1599" i="1"/>
  <c r="CSB1599" i="1"/>
  <c r="CSA1599" i="1"/>
  <c r="CRZ1599" i="1"/>
  <c r="CRY1599" i="1"/>
  <c r="CRX1599" i="1"/>
  <c r="CRW1599" i="1"/>
  <c r="CRV1599" i="1"/>
  <c r="CRU1599" i="1"/>
  <c r="CRT1599" i="1"/>
  <c r="CRS1599" i="1"/>
  <c r="CRR1599" i="1"/>
  <c r="CRQ1599" i="1"/>
  <c r="CRP1599" i="1"/>
  <c r="CRO1599" i="1"/>
  <c r="CRN1599" i="1"/>
  <c r="CRM1599" i="1"/>
  <c r="CRL1599" i="1"/>
  <c r="CRK1599" i="1"/>
  <c r="CRJ1599" i="1"/>
  <c r="CRI1599" i="1"/>
  <c r="CRH1599" i="1"/>
  <c r="CRG1599" i="1"/>
  <c r="CRF1599" i="1"/>
  <c r="CRE1599" i="1"/>
  <c r="CRD1599" i="1"/>
  <c r="CRC1599" i="1"/>
  <c r="CRB1599" i="1"/>
  <c r="CRA1599" i="1"/>
  <c r="CQZ1599" i="1"/>
  <c r="CQY1599" i="1"/>
  <c r="CQX1599" i="1"/>
  <c r="CQW1599" i="1"/>
  <c r="CQV1599" i="1"/>
  <c r="CQU1599" i="1"/>
  <c r="CQT1599" i="1"/>
  <c r="CQS1599" i="1"/>
  <c r="CQR1599" i="1"/>
  <c r="CQQ1599" i="1"/>
  <c r="CQP1599" i="1"/>
  <c r="CQO1599" i="1"/>
  <c r="CQN1599" i="1"/>
  <c r="CQM1599" i="1"/>
  <c r="CQL1599" i="1"/>
  <c r="CQK1599" i="1"/>
  <c r="CQJ1599" i="1"/>
  <c r="CQI1599" i="1"/>
  <c r="CQH1599" i="1"/>
  <c r="CQG1599" i="1"/>
  <c r="CQF1599" i="1"/>
  <c r="CQE1599" i="1"/>
  <c r="CQD1599" i="1"/>
  <c r="CQC1599" i="1"/>
  <c r="CQB1599" i="1"/>
  <c r="CQA1599" i="1"/>
  <c r="CPZ1599" i="1"/>
  <c r="CPY1599" i="1"/>
  <c r="CPX1599" i="1"/>
  <c r="CPW1599" i="1"/>
  <c r="CPV1599" i="1"/>
  <c r="CPU1599" i="1"/>
  <c r="CPT1599" i="1"/>
  <c r="CPS1599" i="1"/>
  <c r="CPR1599" i="1"/>
  <c r="CPQ1599" i="1"/>
  <c r="CPP1599" i="1"/>
  <c r="CPO1599" i="1"/>
  <c r="CPN1599" i="1"/>
  <c r="CPM1599" i="1"/>
  <c r="CPL1599" i="1"/>
  <c r="CPK1599" i="1"/>
  <c r="CPJ1599" i="1"/>
  <c r="CPI1599" i="1"/>
  <c r="CPH1599" i="1"/>
  <c r="CPG1599" i="1"/>
  <c r="CPF1599" i="1"/>
  <c r="CPE1599" i="1"/>
  <c r="CPD1599" i="1"/>
  <c r="CPC1599" i="1"/>
  <c r="CPB1599" i="1"/>
  <c r="CPA1599" i="1"/>
  <c r="COZ1599" i="1"/>
  <c r="COY1599" i="1"/>
  <c r="COX1599" i="1"/>
  <c r="COW1599" i="1"/>
  <c r="COV1599" i="1"/>
  <c r="COU1599" i="1"/>
  <c r="COT1599" i="1"/>
  <c r="COS1599" i="1"/>
  <c r="COR1599" i="1"/>
  <c r="COQ1599" i="1"/>
  <c r="COP1599" i="1"/>
  <c r="COO1599" i="1"/>
  <c r="CON1599" i="1"/>
  <c r="COM1599" i="1"/>
  <c r="COL1599" i="1"/>
  <c r="COK1599" i="1"/>
  <c r="COJ1599" i="1"/>
  <c r="COI1599" i="1"/>
  <c r="COH1599" i="1"/>
  <c r="COG1599" i="1"/>
  <c r="COF1599" i="1"/>
  <c r="COE1599" i="1"/>
  <c r="COD1599" i="1"/>
  <c r="COC1599" i="1"/>
  <c r="COB1599" i="1"/>
  <c r="COA1599" i="1"/>
  <c r="CNZ1599" i="1"/>
  <c r="CNY1599" i="1"/>
  <c r="CNX1599" i="1"/>
  <c r="CNW1599" i="1"/>
  <c r="CNV1599" i="1"/>
  <c r="CNU1599" i="1"/>
  <c r="CNT1599" i="1"/>
  <c r="CNS1599" i="1"/>
  <c r="CNR1599" i="1"/>
  <c r="CNQ1599" i="1"/>
  <c r="CNP1599" i="1"/>
  <c r="CNO1599" i="1"/>
  <c r="CNN1599" i="1"/>
  <c r="CNM1599" i="1"/>
  <c r="CNL1599" i="1"/>
  <c r="CNK1599" i="1"/>
  <c r="CNJ1599" i="1"/>
  <c r="CNI1599" i="1"/>
  <c r="CNH1599" i="1"/>
  <c r="CNG1599" i="1"/>
  <c r="CNF1599" i="1"/>
  <c r="CNE1599" i="1"/>
  <c r="CND1599" i="1"/>
  <c r="CNC1599" i="1"/>
  <c r="CNB1599" i="1"/>
  <c r="CNA1599" i="1"/>
  <c r="CMZ1599" i="1"/>
  <c r="CMY1599" i="1"/>
  <c r="CMX1599" i="1"/>
  <c r="CMW1599" i="1"/>
  <c r="CMV1599" i="1"/>
  <c r="CMU1599" i="1"/>
  <c r="CMT1599" i="1"/>
  <c r="CMS1599" i="1"/>
  <c r="CMR1599" i="1"/>
  <c r="CMQ1599" i="1"/>
  <c r="CMP1599" i="1"/>
  <c r="CMO1599" i="1"/>
  <c r="CMN1599" i="1"/>
  <c r="CMM1599" i="1"/>
  <c r="CML1599" i="1"/>
  <c r="CMK1599" i="1"/>
  <c r="CMJ1599" i="1"/>
  <c r="CMI1599" i="1"/>
  <c r="CMH1599" i="1"/>
  <c r="CMG1599" i="1"/>
  <c r="CMF1599" i="1"/>
  <c r="CME1599" i="1"/>
  <c r="CMD1599" i="1"/>
  <c r="CMC1599" i="1"/>
  <c r="CMB1599" i="1"/>
  <c r="CMA1599" i="1"/>
  <c r="CLZ1599" i="1"/>
  <c r="CLY1599" i="1"/>
  <c r="CLX1599" i="1"/>
  <c r="CLW1599" i="1"/>
  <c r="CLV1599" i="1"/>
  <c r="CLU1599" i="1"/>
  <c r="CLT1599" i="1"/>
  <c r="CLS1599" i="1"/>
  <c r="CLR1599" i="1"/>
  <c r="CLQ1599" i="1"/>
  <c r="CLP1599" i="1"/>
  <c r="CLO1599" i="1"/>
  <c r="CLN1599" i="1"/>
  <c r="CLM1599" i="1"/>
  <c r="CLL1599" i="1"/>
  <c r="CLK1599" i="1"/>
  <c r="CLJ1599" i="1"/>
  <c r="CLI1599" i="1"/>
  <c r="CLH1599" i="1"/>
  <c r="CLG1599" i="1"/>
  <c r="CLF1599" i="1"/>
  <c r="CLE1599" i="1"/>
  <c r="CLD1599" i="1"/>
  <c r="CLC1599" i="1"/>
  <c r="CLB1599" i="1"/>
  <c r="CLA1599" i="1"/>
  <c r="CKZ1599" i="1"/>
  <c r="CKY1599" i="1"/>
  <c r="CKX1599" i="1"/>
  <c r="CKW1599" i="1"/>
  <c r="CKV1599" i="1"/>
  <c r="CKU1599" i="1"/>
  <c r="CKT1599" i="1"/>
  <c r="CKS1599" i="1"/>
  <c r="CKR1599" i="1"/>
  <c r="CKQ1599" i="1"/>
  <c r="CKP1599" i="1"/>
  <c r="CKO1599" i="1"/>
  <c r="CKN1599" i="1"/>
  <c r="CKM1599" i="1"/>
  <c r="CKL1599" i="1"/>
  <c r="CKK1599" i="1"/>
  <c r="CKJ1599" i="1"/>
  <c r="CKI1599" i="1"/>
  <c r="CKH1599" i="1"/>
  <c r="CKG1599" i="1"/>
  <c r="CKF1599" i="1"/>
  <c r="CKE1599" i="1"/>
  <c r="CKD1599" i="1"/>
  <c r="CKC1599" i="1"/>
  <c r="CKB1599" i="1"/>
  <c r="CKA1599" i="1"/>
  <c r="CJZ1599" i="1"/>
  <c r="CJY1599" i="1"/>
  <c r="CJX1599" i="1"/>
  <c r="CJW1599" i="1"/>
  <c r="CJV1599" i="1"/>
  <c r="CJU1599" i="1"/>
  <c r="CJT1599" i="1"/>
  <c r="CJS1599" i="1"/>
  <c r="CJR1599" i="1"/>
  <c r="CJQ1599" i="1"/>
  <c r="CJP1599" i="1"/>
  <c r="CJO1599" i="1"/>
  <c r="CJN1599" i="1"/>
  <c r="CJM1599" i="1"/>
  <c r="CJL1599" i="1"/>
  <c r="CJK1599" i="1"/>
  <c r="CJJ1599" i="1"/>
  <c r="CJI1599" i="1"/>
  <c r="CJH1599" i="1"/>
  <c r="CJG1599" i="1"/>
  <c r="CJF1599" i="1"/>
  <c r="CJE1599" i="1"/>
  <c r="CJD1599" i="1"/>
  <c r="CJC1599" i="1"/>
  <c r="CJB1599" i="1"/>
  <c r="CJA1599" i="1"/>
  <c r="CIZ1599" i="1"/>
  <c r="CIY1599" i="1"/>
  <c r="CIX1599" i="1"/>
  <c r="CIW1599" i="1"/>
  <c r="CIV1599" i="1"/>
  <c r="CIU1599" i="1"/>
  <c r="CIT1599" i="1"/>
  <c r="CIS1599" i="1"/>
  <c r="CIR1599" i="1"/>
  <c r="CIQ1599" i="1"/>
  <c r="CIP1599" i="1"/>
  <c r="CIO1599" i="1"/>
  <c r="CIN1599" i="1"/>
  <c r="CIM1599" i="1"/>
  <c r="CIL1599" i="1"/>
  <c r="CIK1599" i="1"/>
  <c r="CIJ1599" i="1"/>
  <c r="CII1599" i="1"/>
  <c r="CIH1599" i="1"/>
  <c r="CIG1599" i="1"/>
  <c r="CIF1599" i="1"/>
  <c r="CIE1599" i="1"/>
  <c r="CID1599" i="1"/>
  <c r="CIC1599" i="1"/>
  <c r="CIB1599" i="1"/>
  <c r="CIA1599" i="1"/>
  <c r="CHZ1599" i="1"/>
  <c r="CHY1599" i="1"/>
  <c r="CHX1599" i="1"/>
  <c r="CHW1599" i="1"/>
  <c r="CHV1599" i="1"/>
  <c r="CHU1599" i="1"/>
  <c r="CHT1599" i="1"/>
  <c r="CHS1599" i="1"/>
  <c r="CHR1599" i="1"/>
  <c r="CHQ1599" i="1"/>
  <c r="CHP1599" i="1"/>
  <c r="CHO1599" i="1"/>
  <c r="CHN1599" i="1"/>
  <c r="CHM1599" i="1"/>
  <c r="CHL1599" i="1"/>
  <c r="CHK1599" i="1"/>
  <c r="CHJ1599" i="1"/>
  <c r="CHI1599" i="1"/>
  <c r="CHH1599" i="1"/>
  <c r="CHG1599" i="1"/>
  <c r="CHF1599" i="1"/>
  <c r="CHE1599" i="1"/>
  <c r="CHD1599" i="1"/>
  <c r="CHC1599" i="1"/>
  <c r="CHB1599" i="1"/>
  <c r="CHA1599" i="1"/>
  <c r="CGZ1599" i="1"/>
  <c r="CGY1599" i="1"/>
  <c r="CGX1599" i="1"/>
  <c r="CGW1599" i="1"/>
  <c r="CGV1599" i="1"/>
  <c r="CGU1599" i="1"/>
  <c r="CGT1599" i="1"/>
  <c r="CGS1599" i="1"/>
  <c r="CGR1599" i="1"/>
  <c r="CGQ1599" i="1"/>
  <c r="CGP1599" i="1"/>
  <c r="CGO1599" i="1"/>
  <c r="CGN1599" i="1"/>
  <c r="CGM1599" i="1"/>
  <c r="CGL1599" i="1"/>
  <c r="CGK1599" i="1"/>
  <c r="CGJ1599" i="1"/>
  <c r="CGI1599" i="1"/>
  <c r="CGH1599" i="1"/>
  <c r="CGG1599" i="1"/>
  <c r="CGF1599" i="1"/>
  <c r="CGE1599" i="1"/>
  <c r="CGD1599" i="1"/>
  <c r="CGC1599" i="1"/>
  <c r="CGB1599" i="1"/>
  <c r="CGA1599" i="1"/>
  <c r="CFZ1599" i="1"/>
  <c r="CFY1599" i="1"/>
  <c r="CFX1599" i="1"/>
  <c r="CFW1599" i="1"/>
  <c r="CFV1599" i="1"/>
  <c r="CFU1599" i="1"/>
  <c r="CFT1599" i="1"/>
  <c r="CFS1599" i="1"/>
  <c r="CFR1599" i="1"/>
  <c r="CFQ1599" i="1"/>
  <c r="CFP1599" i="1"/>
  <c r="CFO1599" i="1"/>
  <c r="CFN1599" i="1"/>
  <c r="CFM1599" i="1"/>
  <c r="CFL1599" i="1"/>
  <c r="CFK1599" i="1"/>
  <c r="CFJ1599" i="1"/>
  <c r="CFI1599" i="1"/>
  <c r="CFH1599" i="1"/>
  <c r="CFG1599" i="1"/>
  <c r="CFF1599" i="1"/>
  <c r="CFE1599" i="1"/>
  <c r="CFD1599" i="1"/>
  <c r="CFC1599" i="1"/>
  <c r="CFB1599" i="1"/>
  <c r="CFA1599" i="1"/>
  <c r="CEZ1599" i="1"/>
  <c r="CEY1599" i="1"/>
  <c r="CEX1599" i="1"/>
  <c r="CEW1599" i="1"/>
  <c r="CEV1599" i="1"/>
  <c r="CEU1599" i="1"/>
  <c r="CET1599" i="1"/>
  <c r="CES1599" i="1"/>
  <c r="CER1599" i="1"/>
  <c r="CEQ1599" i="1"/>
  <c r="CEP1599" i="1"/>
  <c r="CEO1599" i="1"/>
  <c r="CEN1599" i="1"/>
  <c r="CEM1599" i="1"/>
  <c r="CEL1599" i="1"/>
  <c r="CEK1599" i="1"/>
  <c r="CEJ1599" i="1"/>
  <c r="CEI1599" i="1"/>
  <c r="CEH1599" i="1"/>
  <c r="CEG1599" i="1"/>
  <c r="CEF1599" i="1"/>
  <c r="CEE1599" i="1"/>
  <c r="CED1599" i="1"/>
  <c r="CEC1599" i="1"/>
  <c r="CEB1599" i="1"/>
  <c r="CEA1599" i="1"/>
  <c r="CDZ1599" i="1"/>
  <c r="CDY1599" i="1"/>
  <c r="CDX1599" i="1"/>
  <c r="CDW1599" i="1"/>
  <c r="CDV1599" i="1"/>
  <c r="CDU1599" i="1"/>
  <c r="CDT1599" i="1"/>
  <c r="CDS1599" i="1"/>
  <c r="CDR1599" i="1"/>
  <c r="CDQ1599" i="1"/>
  <c r="CDP1599" i="1"/>
  <c r="CDO1599" i="1"/>
  <c r="CDN1599" i="1"/>
  <c r="CDM1599" i="1"/>
  <c r="CDL1599" i="1"/>
  <c r="CDK1599" i="1"/>
  <c r="CDJ1599" i="1"/>
  <c r="CDI1599" i="1"/>
  <c r="CDH1599" i="1"/>
  <c r="CDG1599" i="1"/>
  <c r="CDF1599" i="1"/>
  <c r="CDE1599" i="1"/>
  <c r="CDD1599" i="1"/>
  <c r="CDC1599" i="1"/>
  <c r="CDB1599" i="1"/>
  <c r="CDA1599" i="1"/>
  <c r="CCZ1599" i="1"/>
  <c r="CCY1599" i="1"/>
  <c r="CCX1599" i="1"/>
  <c r="CCW1599" i="1"/>
  <c r="CCV1599" i="1"/>
  <c r="CCU1599" i="1"/>
  <c r="CCT1599" i="1"/>
  <c r="CCS1599" i="1"/>
  <c r="CCR1599" i="1"/>
  <c r="CCQ1599" i="1"/>
  <c r="CCP1599" i="1"/>
  <c r="CCO1599" i="1"/>
  <c r="CCN1599" i="1"/>
  <c r="CCM1599" i="1"/>
  <c r="CCL1599" i="1"/>
  <c r="CCK1599" i="1"/>
  <c r="CCJ1599" i="1"/>
  <c r="CCI1599" i="1"/>
  <c r="CCH1599" i="1"/>
  <c r="CCG1599" i="1"/>
  <c r="CCF1599" i="1"/>
  <c r="CCE1599" i="1"/>
  <c r="CCD1599" i="1"/>
  <c r="CCC1599" i="1"/>
  <c r="CCB1599" i="1"/>
  <c r="CCA1599" i="1"/>
  <c r="CBZ1599" i="1"/>
  <c r="CBY1599" i="1"/>
  <c r="CBX1599" i="1"/>
  <c r="CBW1599" i="1"/>
  <c r="CBV1599" i="1"/>
  <c r="CBU1599" i="1"/>
  <c r="CBT1599" i="1"/>
  <c r="CBS1599" i="1"/>
  <c r="CBR1599" i="1"/>
  <c r="CBQ1599" i="1"/>
  <c r="CBP1599" i="1"/>
  <c r="CBO1599" i="1"/>
  <c r="CBN1599" i="1"/>
  <c r="CBM1599" i="1"/>
  <c r="CBL1599" i="1"/>
  <c r="CBK1599" i="1"/>
  <c r="CBJ1599" i="1"/>
  <c r="CBI1599" i="1"/>
  <c r="CBH1599" i="1"/>
  <c r="CBG1599" i="1"/>
  <c r="CBF1599" i="1"/>
  <c r="CBE1599" i="1"/>
  <c r="CBD1599" i="1"/>
  <c r="CBC1599" i="1"/>
  <c r="CBB1599" i="1"/>
  <c r="CBA1599" i="1"/>
  <c r="CAZ1599" i="1"/>
  <c r="CAY1599" i="1"/>
  <c r="CAX1599" i="1"/>
  <c r="CAW1599" i="1"/>
  <c r="CAV1599" i="1"/>
  <c r="CAU1599" i="1"/>
  <c r="CAT1599" i="1"/>
  <c r="CAS1599" i="1"/>
  <c r="CAR1599" i="1"/>
  <c r="CAQ1599" i="1"/>
  <c r="CAP1599" i="1"/>
  <c r="CAO1599" i="1"/>
  <c r="CAN1599" i="1"/>
  <c r="CAM1599" i="1"/>
  <c r="CAL1599" i="1"/>
  <c r="CAK1599" i="1"/>
  <c r="CAJ1599" i="1"/>
  <c r="CAI1599" i="1"/>
  <c r="CAH1599" i="1"/>
  <c r="CAG1599" i="1"/>
  <c r="CAF1599" i="1"/>
  <c r="CAE1599" i="1"/>
  <c r="CAD1599" i="1"/>
  <c r="CAC1599" i="1"/>
  <c r="CAB1599" i="1"/>
  <c r="CAA1599" i="1"/>
  <c r="BZZ1599" i="1"/>
  <c r="BZY1599" i="1"/>
  <c r="BZX1599" i="1"/>
  <c r="BZW1599" i="1"/>
  <c r="BZV1599" i="1"/>
  <c r="BZU1599" i="1"/>
  <c r="BZT1599" i="1"/>
  <c r="BZS1599" i="1"/>
  <c r="BZR1599" i="1"/>
  <c r="BZQ1599" i="1"/>
  <c r="BZP1599" i="1"/>
  <c r="BZO1599" i="1"/>
  <c r="BZN1599" i="1"/>
  <c r="BZM1599" i="1"/>
  <c r="BZL1599" i="1"/>
  <c r="BZK1599" i="1"/>
  <c r="BZJ1599" i="1"/>
  <c r="BZI1599" i="1"/>
  <c r="BZH1599" i="1"/>
  <c r="BZG1599" i="1"/>
  <c r="BZF1599" i="1"/>
  <c r="BZE1599" i="1"/>
  <c r="BZD1599" i="1"/>
  <c r="BZC1599" i="1"/>
  <c r="BZB1599" i="1"/>
  <c r="BZA1599" i="1"/>
  <c r="BYZ1599" i="1"/>
  <c r="BYY1599" i="1"/>
  <c r="BYX1599" i="1"/>
  <c r="BYW1599" i="1"/>
  <c r="BYV1599" i="1"/>
  <c r="BYU1599" i="1"/>
  <c r="BYT1599" i="1"/>
  <c r="BYS1599" i="1"/>
  <c r="BYR1599" i="1"/>
  <c r="BYQ1599" i="1"/>
  <c r="BYP1599" i="1"/>
  <c r="BYO1599" i="1"/>
  <c r="BYN1599" i="1"/>
  <c r="BYM1599" i="1"/>
  <c r="BYL1599" i="1"/>
  <c r="BYK1599" i="1"/>
  <c r="BYJ1599" i="1"/>
  <c r="BYI1599" i="1"/>
  <c r="BYH1599" i="1"/>
  <c r="BYG1599" i="1"/>
  <c r="BYF1599" i="1"/>
  <c r="BYE1599" i="1"/>
  <c r="BYD1599" i="1"/>
  <c r="BYC1599" i="1"/>
  <c r="BYB1599" i="1"/>
  <c r="BYA1599" i="1"/>
  <c r="BXZ1599" i="1"/>
  <c r="BXY1599" i="1"/>
  <c r="BXX1599" i="1"/>
  <c r="BXW1599" i="1"/>
  <c r="BXV1599" i="1"/>
  <c r="BXU1599" i="1"/>
  <c r="BXT1599" i="1"/>
  <c r="BXS1599" i="1"/>
  <c r="BXR1599" i="1"/>
  <c r="BXQ1599" i="1"/>
  <c r="BXP1599" i="1"/>
  <c r="BXO1599" i="1"/>
  <c r="BXN1599" i="1"/>
  <c r="BXM1599" i="1"/>
  <c r="BXL1599" i="1"/>
  <c r="BXK1599" i="1"/>
  <c r="BXJ1599" i="1"/>
  <c r="BXI1599" i="1"/>
  <c r="BXH1599" i="1"/>
  <c r="BXG1599" i="1"/>
  <c r="BXF1599" i="1"/>
  <c r="BXE1599" i="1"/>
  <c r="BXD1599" i="1"/>
  <c r="BXC1599" i="1"/>
  <c r="BXB1599" i="1"/>
  <c r="BXA1599" i="1"/>
  <c r="BWZ1599" i="1"/>
  <c r="BWY1599" i="1"/>
  <c r="BWX1599" i="1"/>
  <c r="BWW1599" i="1"/>
  <c r="BWV1599" i="1"/>
  <c r="BWU1599" i="1"/>
  <c r="BWT1599" i="1"/>
  <c r="BWS1599" i="1"/>
  <c r="BWR1599" i="1"/>
  <c r="BWQ1599" i="1"/>
  <c r="BWP1599" i="1"/>
  <c r="BWO1599" i="1"/>
  <c r="BWN1599" i="1"/>
  <c r="BWM1599" i="1"/>
  <c r="BWL1599" i="1"/>
  <c r="BWK1599" i="1"/>
  <c r="BWJ1599" i="1"/>
  <c r="BWI1599" i="1"/>
  <c r="BWH1599" i="1"/>
  <c r="BWG1599" i="1"/>
  <c r="BWF1599" i="1"/>
  <c r="BWE1599" i="1"/>
  <c r="BWD1599" i="1"/>
  <c r="BWC1599" i="1"/>
  <c r="BWB1599" i="1"/>
  <c r="BWA1599" i="1"/>
  <c r="BVZ1599" i="1"/>
  <c r="BVY1599" i="1"/>
  <c r="BVX1599" i="1"/>
  <c r="BVW1599" i="1"/>
  <c r="BVV1599" i="1"/>
  <c r="BVU1599" i="1"/>
  <c r="BVT1599" i="1"/>
  <c r="BVS1599" i="1"/>
  <c r="BVR1599" i="1"/>
  <c r="BVQ1599" i="1"/>
  <c r="BVP1599" i="1"/>
  <c r="BVO1599" i="1"/>
  <c r="BVN1599" i="1"/>
  <c r="BVM1599" i="1"/>
  <c r="BVL1599" i="1"/>
  <c r="BVK1599" i="1"/>
  <c r="BVJ1599" i="1"/>
  <c r="BVI1599" i="1"/>
  <c r="BVH1599" i="1"/>
  <c r="BVG1599" i="1"/>
  <c r="BVF1599" i="1"/>
  <c r="BVE1599" i="1"/>
  <c r="BVD1599" i="1"/>
  <c r="BVC1599" i="1"/>
  <c r="BVB1599" i="1"/>
  <c r="BVA1599" i="1"/>
  <c r="BUZ1599" i="1"/>
  <c r="BUY1599" i="1"/>
  <c r="BUX1599" i="1"/>
  <c r="BUW1599" i="1"/>
  <c r="BUV1599" i="1"/>
  <c r="BUU1599" i="1"/>
  <c r="BUT1599" i="1"/>
  <c r="BUS1599" i="1"/>
  <c r="BUR1599" i="1"/>
  <c r="BUQ1599" i="1"/>
  <c r="BUP1599" i="1"/>
  <c r="BUO1599" i="1"/>
  <c r="BUN1599" i="1"/>
  <c r="BUM1599" i="1"/>
  <c r="BUL1599" i="1"/>
  <c r="BUK1599" i="1"/>
  <c r="BUJ1599" i="1"/>
  <c r="BUI1599" i="1"/>
  <c r="BUH1599" i="1"/>
  <c r="BUG1599" i="1"/>
  <c r="BUF1599" i="1"/>
  <c r="BUE1599" i="1"/>
  <c r="BUD1599" i="1"/>
  <c r="BUC1599" i="1"/>
  <c r="BUB1599" i="1"/>
  <c r="BUA1599" i="1"/>
  <c r="BTZ1599" i="1"/>
  <c r="BTY1599" i="1"/>
  <c r="BTX1599" i="1"/>
  <c r="BTW1599" i="1"/>
  <c r="BTV1599" i="1"/>
  <c r="BTU1599" i="1"/>
  <c r="BTT1599" i="1"/>
  <c r="BTS1599" i="1"/>
  <c r="BTR1599" i="1"/>
  <c r="BTQ1599" i="1"/>
  <c r="BTP1599" i="1"/>
  <c r="BTO1599" i="1"/>
  <c r="BTN1599" i="1"/>
  <c r="BTM1599" i="1"/>
  <c r="BTL1599" i="1"/>
  <c r="BTK1599" i="1"/>
  <c r="BTJ1599" i="1"/>
  <c r="BTI1599" i="1"/>
  <c r="BTH1599" i="1"/>
  <c r="BTG1599" i="1"/>
  <c r="BTF1599" i="1"/>
  <c r="BTE1599" i="1"/>
  <c r="BTD1599" i="1"/>
  <c r="BTC1599" i="1"/>
  <c r="BTB1599" i="1"/>
  <c r="BTA1599" i="1"/>
  <c r="BSZ1599" i="1"/>
  <c r="BSY1599" i="1"/>
  <c r="BSX1599" i="1"/>
  <c r="BSW1599" i="1"/>
  <c r="BSV1599" i="1"/>
  <c r="BSU1599" i="1"/>
  <c r="BST1599" i="1"/>
  <c r="BSS1599" i="1"/>
  <c r="BSR1599" i="1"/>
  <c r="BSQ1599" i="1"/>
  <c r="BSP1599" i="1"/>
  <c r="BSO1599" i="1"/>
  <c r="BSN1599" i="1"/>
  <c r="BSM1599" i="1"/>
  <c r="BSL1599" i="1"/>
  <c r="BSK1599" i="1"/>
  <c r="BSJ1599" i="1"/>
  <c r="BSI1599" i="1"/>
  <c r="BSH1599" i="1"/>
  <c r="BSG1599" i="1"/>
  <c r="BSF1599" i="1"/>
  <c r="BSE1599" i="1"/>
  <c r="BSD1599" i="1"/>
  <c r="BSC1599" i="1"/>
  <c r="BSB1599" i="1"/>
  <c r="BSA1599" i="1"/>
  <c r="BRZ1599" i="1"/>
  <c r="BRY1599" i="1"/>
  <c r="BRX1599" i="1"/>
  <c r="BRW1599" i="1"/>
  <c r="BRV1599" i="1"/>
  <c r="BRU1599" i="1"/>
  <c r="BRT1599" i="1"/>
  <c r="BRS1599" i="1"/>
  <c r="BRR1599" i="1"/>
  <c r="BRQ1599" i="1"/>
  <c r="BRP1599" i="1"/>
  <c r="BRO1599" i="1"/>
  <c r="BRN1599" i="1"/>
  <c r="BRM1599" i="1"/>
  <c r="BRL1599" i="1"/>
  <c r="BRK1599" i="1"/>
  <c r="BRJ1599" i="1"/>
  <c r="BRI1599" i="1"/>
  <c r="BRH1599" i="1"/>
  <c r="BRG1599" i="1"/>
  <c r="BRF1599" i="1"/>
  <c r="BRE1599" i="1"/>
  <c r="BRD1599" i="1"/>
  <c r="BRC1599" i="1"/>
  <c r="BRB1599" i="1"/>
  <c r="BRA1599" i="1"/>
  <c r="BQZ1599" i="1"/>
  <c r="BQY1599" i="1"/>
  <c r="BQX1599" i="1"/>
  <c r="BQW1599" i="1"/>
  <c r="BQV1599" i="1"/>
  <c r="BQU1599" i="1"/>
  <c r="BQT1599" i="1"/>
  <c r="BQS1599" i="1"/>
  <c r="BQR1599" i="1"/>
  <c r="BQQ1599" i="1"/>
  <c r="BQP1599" i="1"/>
  <c r="BQO1599" i="1"/>
  <c r="BQN1599" i="1"/>
  <c r="BQM1599" i="1"/>
  <c r="BQL1599" i="1"/>
  <c r="BQK1599" i="1"/>
  <c r="BQJ1599" i="1"/>
  <c r="BQI1599" i="1"/>
  <c r="BQH1599" i="1"/>
  <c r="BQG1599" i="1"/>
  <c r="BQF1599" i="1"/>
  <c r="BQE1599" i="1"/>
  <c r="BQD1599" i="1"/>
  <c r="BQC1599" i="1"/>
  <c r="BQB1599" i="1"/>
  <c r="BQA1599" i="1"/>
  <c r="BPZ1599" i="1"/>
  <c r="BPY1599" i="1"/>
  <c r="BPX1599" i="1"/>
  <c r="BPW1599" i="1"/>
  <c r="BPV1599" i="1"/>
  <c r="BPU1599" i="1"/>
  <c r="BPT1599" i="1"/>
  <c r="BPS1599" i="1"/>
  <c r="BPR1599" i="1"/>
  <c r="BPQ1599" i="1"/>
  <c r="BPP1599" i="1"/>
  <c r="BPO1599" i="1"/>
  <c r="BPN1599" i="1"/>
  <c r="BPM1599" i="1"/>
  <c r="BPL1599" i="1"/>
  <c r="BPK1599" i="1"/>
  <c r="BPJ1599" i="1"/>
  <c r="BPI1599" i="1"/>
  <c r="BPH1599" i="1"/>
  <c r="BPG1599" i="1"/>
  <c r="BPF1599" i="1"/>
  <c r="BPE1599" i="1"/>
  <c r="BPD1599" i="1"/>
  <c r="BPC1599" i="1"/>
  <c r="BPB1599" i="1"/>
  <c r="BPA1599" i="1"/>
  <c r="BOZ1599" i="1"/>
  <c r="BOY1599" i="1"/>
  <c r="BOX1599" i="1"/>
  <c r="BOW1599" i="1"/>
  <c r="BOV1599" i="1"/>
  <c r="BOU1599" i="1"/>
  <c r="BOT1599" i="1"/>
  <c r="BOS1599" i="1"/>
  <c r="BOR1599" i="1"/>
  <c r="BOQ1599" i="1"/>
  <c r="BOP1599" i="1"/>
  <c r="BOO1599" i="1"/>
  <c r="BON1599" i="1"/>
  <c r="BOM1599" i="1"/>
  <c r="BOL1599" i="1"/>
  <c r="BOK1599" i="1"/>
  <c r="BOJ1599" i="1"/>
  <c r="BOI1599" i="1"/>
  <c r="BOH1599" i="1"/>
  <c r="BOG1599" i="1"/>
  <c r="BOF1599" i="1"/>
  <c r="BOE1599" i="1"/>
  <c r="BOD1599" i="1"/>
  <c r="BOC1599" i="1"/>
  <c r="BOB1599" i="1"/>
  <c r="BOA1599" i="1"/>
  <c r="BNZ1599" i="1"/>
  <c r="BNY1599" i="1"/>
  <c r="BNX1599" i="1"/>
  <c r="BNW1599" i="1"/>
  <c r="BNV1599" i="1"/>
  <c r="BNU1599" i="1"/>
  <c r="BNT1599" i="1"/>
  <c r="BNS1599" i="1"/>
  <c r="BNR1599" i="1"/>
  <c r="BNQ1599" i="1"/>
  <c r="BNP1599" i="1"/>
  <c r="BNO1599" i="1"/>
  <c r="BNN1599" i="1"/>
  <c r="BNM1599" i="1"/>
  <c r="BNL1599" i="1"/>
  <c r="BNK1599" i="1"/>
  <c r="BNJ1599" i="1"/>
  <c r="BNI1599" i="1"/>
  <c r="BNH1599" i="1"/>
  <c r="BNG1599" i="1"/>
  <c r="BNF1599" i="1"/>
  <c r="BNE1599" i="1"/>
  <c r="BND1599" i="1"/>
  <c r="BNC1599" i="1"/>
  <c r="BNB1599" i="1"/>
  <c r="BNA1599" i="1"/>
  <c r="BMZ1599" i="1"/>
  <c r="BMY1599" i="1"/>
  <c r="BMX1599" i="1"/>
  <c r="BMW1599" i="1"/>
  <c r="BMV1599" i="1"/>
  <c r="BMU1599" i="1"/>
  <c r="BMT1599" i="1"/>
  <c r="BMS1599" i="1"/>
  <c r="BMR1599" i="1"/>
  <c r="BMQ1599" i="1"/>
  <c r="BMP1599" i="1"/>
  <c r="BMO1599" i="1"/>
  <c r="BMN1599" i="1"/>
  <c r="BMM1599" i="1"/>
  <c r="BML1599" i="1"/>
  <c r="BMK1599" i="1"/>
  <c r="BMJ1599" i="1"/>
  <c r="BMI1599" i="1"/>
  <c r="BMH1599" i="1"/>
  <c r="BMG1599" i="1"/>
  <c r="BMF1599" i="1"/>
  <c r="BME1599" i="1"/>
  <c r="BMD1599" i="1"/>
  <c r="BMC1599" i="1"/>
  <c r="BMB1599" i="1"/>
  <c r="BMA1599" i="1"/>
  <c r="BLZ1599" i="1"/>
  <c r="BLY1599" i="1"/>
  <c r="BLX1599" i="1"/>
  <c r="BLW1599" i="1"/>
  <c r="BLV1599" i="1"/>
  <c r="BLU1599" i="1"/>
  <c r="BLT1599" i="1"/>
  <c r="BLS1599" i="1"/>
  <c r="BLR1599" i="1"/>
  <c r="BLQ1599" i="1"/>
  <c r="BLP1599" i="1"/>
  <c r="BLO1599" i="1"/>
  <c r="BLN1599" i="1"/>
  <c r="BLM1599" i="1"/>
  <c r="BLL1599" i="1"/>
  <c r="BLK1599" i="1"/>
  <c r="BLJ1599" i="1"/>
  <c r="BLI1599" i="1"/>
  <c r="BLH1599" i="1"/>
  <c r="BLG1599" i="1"/>
  <c r="BLF1599" i="1"/>
  <c r="BLE1599" i="1"/>
  <c r="BLD1599" i="1"/>
  <c r="BLC1599" i="1"/>
  <c r="BLB1599" i="1"/>
  <c r="BLA1599" i="1"/>
  <c r="BKZ1599" i="1"/>
  <c r="BKY1599" i="1"/>
  <c r="BKX1599" i="1"/>
  <c r="BKW1599" i="1"/>
  <c r="BKV1599" i="1"/>
  <c r="BKU1599" i="1"/>
  <c r="BKT1599" i="1"/>
  <c r="BKS1599" i="1"/>
  <c r="BKR1599" i="1"/>
  <c r="BKQ1599" i="1"/>
  <c r="BKP1599" i="1"/>
  <c r="BKO1599" i="1"/>
  <c r="BKN1599" i="1"/>
  <c r="BKM1599" i="1"/>
  <c r="BKL1599" i="1"/>
  <c r="BKK1599" i="1"/>
  <c r="BKJ1599" i="1"/>
  <c r="BKI1599" i="1"/>
  <c r="BKH1599" i="1"/>
  <c r="BKG1599" i="1"/>
  <c r="BKF1599" i="1"/>
  <c r="BKE1599" i="1"/>
  <c r="BKD1599" i="1"/>
  <c r="BKC1599" i="1"/>
  <c r="BKB1599" i="1"/>
  <c r="BKA1599" i="1"/>
  <c r="BJZ1599" i="1"/>
  <c r="BJY1599" i="1"/>
  <c r="BJX1599" i="1"/>
  <c r="BJW1599" i="1"/>
  <c r="BJV1599" i="1"/>
  <c r="BJU1599" i="1"/>
  <c r="BJT1599" i="1"/>
  <c r="BJS1599" i="1"/>
  <c r="BJR1599" i="1"/>
  <c r="BJQ1599" i="1"/>
  <c r="BJP1599" i="1"/>
  <c r="BJO1599" i="1"/>
  <c r="BJN1599" i="1"/>
  <c r="BJM1599" i="1"/>
  <c r="BJL1599" i="1"/>
  <c r="BJK1599" i="1"/>
  <c r="BJJ1599" i="1"/>
  <c r="BJI1599" i="1"/>
  <c r="BJH1599" i="1"/>
  <c r="BJG1599" i="1"/>
  <c r="BJF1599" i="1"/>
  <c r="BJE1599" i="1"/>
  <c r="BJD1599" i="1"/>
  <c r="BJC1599" i="1"/>
  <c r="BJB1599" i="1"/>
  <c r="BJA1599" i="1"/>
  <c r="BIZ1599" i="1"/>
  <c r="BIY1599" i="1"/>
  <c r="BIX1599" i="1"/>
  <c r="BIW1599" i="1"/>
  <c r="BIV1599" i="1"/>
  <c r="BIU1599" i="1"/>
  <c r="BIT1599" i="1"/>
  <c r="BIS1599" i="1"/>
  <c r="BIR1599" i="1"/>
  <c r="BIQ1599" i="1"/>
  <c r="BIP1599" i="1"/>
  <c r="BIO1599" i="1"/>
  <c r="BIN1599" i="1"/>
  <c r="BIM1599" i="1"/>
  <c r="BIL1599" i="1"/>
  <c r="BIK1599" i="1"/>
  <c r="BIJ1599" i="1"/>
  <c r="BII1599" i="1"/>
  <c r="BIH1599" i="1"/>
  <c r="BIG1599" i="1"/>
  <c r="BIF1599" i="1"/>
  <c r="BIE1599" i="1"/>
  <c r="BID1599" i="1"/>
  <c r="BIC1599" i="1"/>
  <c r="BIB1599" i="1"/>
  <c r="BIA1599" i="1"/>
  <c r="BHZ1599" i="1"/>
  <c r="BHY1599" i="1"/>
  <c r="BHX1599" i="1"/>
  <c r="BHW1599" i="1"/>
  <c r="BHV1599" i="1"/>
  <c r="BHU1599" i="1"/>
  <c r="BHT1599" i="1"/>
  <c r="BHS1599" i="1"/>
  <c r="BHR1599" i="1"/>
  <c r="BHQ1599" i="1"/>
  <c r="BHP1599" i="1"/>
  <c r="BHO1599" i="1"/>
  <c r="BHN1599" i="1"/>
  <c r="BHM1599" i="1"/>
  <c r="BHL1599" i="1"/>
  <c r="BHK1599" i="1"/>
  <c r="BHJ1599" i="1"/>
  <c r="BHI1599" i="1"/>
  <c r="BHH1599" i="1"/>
  <c r="BHG1599" i="1"/>
  <c r="BHF1599" i="1"/>
  <c r="BHE1599" i="1"/>
  <c r="BHD1599" i="1"/>
  <c r="BHC1599" i="1"/>
  <c r="BHB1599" i="1"/>
  <c r="BHA1599" i="1"/>
  <c r="BGZ1599" i="1"/>
  <c r="BGY1599" i="1"/>
  <c r="BGX1599" i="1"/>
  <c r="BGW1599" i="1"/>
  <c r="BGV1599" i="1"/>
  <c r="BGU1599" i="1"/>
  <c r="BGT1599" i="1"/>
  <c r="BGS1599" i="1"/>
  <c r="BGR1599" i="1"/>
  <c r="BGQ1599" i="1"/>
  <c r="BGP1599" i="1"/>
  <c r="BGO1599" i="1"/>
  <c r="BGN1599" i="1"/>
  <c r="BGM1599" i="1"/>
  <c r="BGL1599" i="1"/>
  <c r="BGK1599" i="1"/>
  <c r="BGJ1599" i="1"/>
  <c r="BGI1599" i="1"/>
  <c r="BGH1599" i="1"/>
  <c r="BGG1599" i="1"/>
  <c r="BGF1599" i="1"/>
  <c r="BGE1599" i="1"/>
  <c r="BGD1599" i="1"/>
  <c r="BGC1599" i="1"/>
  <c r="BGB1599" i="1"/>
  <c r="BGA1599" i="1"/>
  <c r="BFZ1599" i="1"/>
  <c r="BFY1599" i="1"/>
  <c r="BFX1599" i="1"/>
  <c r="BFW1599" i="1"/>
  <c r="BFV1599" i="1"/>
  <c r="BFU1599" i="1"/>
  <c r="BFT1599" i="1"/>
  <c r="BFS1599" i="1"/>
  <c r="BFR1599" i="1"/>
  <c r="BFQ1599" i="1"/>
  <c r="BFP1599" i="1"/>
  <c r="BFO1599" i="1"/>
  <c r="BFN1599" i="1"/>
  <c r="BFM1599" i="1"/>
  <c r="BFL1599" i="1"/>
  <c r="BFK1599" i="1"/>
  <c r="BFJ1599" i="1"/>
  <c r="BFI1599" i="1"/>
  <c r="BFH1599" i="1"/>
  <c r="BFG1599" i="1"/>
  <c r="BFF1599" i="1"/>
  <c r="BFE1599" i="1"/>
  <c r="BFD1599" i="1"/>
  <c r="BFC1599" i="1"/>
  <c r="BFB1599" i="1"/>
  <c r="BFA1599" i="1"/>
  <c r="BEZ1599" i="1"/>
  <c r="BEY1599" i="1"/>
  <c r="BEX1599" i="1"/>
  <c r="BEW1599" i="1"/>
  <c r="BEV1599" i="1"/>
  <c r="BEU1599" i="1"/>
  <c r="BET1599" i="1"/>
  <c r="BES1599" i="1"/>
  <c r="BER1599" i="1"/>
  <c r="BEQ1599" i="1"/>
  <c r="BEP1599" i="1"/>
  <c r="BEO1599" i="1"/>
  <c r="BEN1599" i="1"/>
  <c r="BEM1599" i="1"/>
  <c r="BEL1599" i="1"/>
  <c r="BEK1599" i="1"/>
  <c r="BEJ1599" i="1"/>
  <c r="BEI1599" i="1"/>
  <c r="BEH1599" i="1"/>
  <c r="BEG1599" i="1"/>
  <c r="BEF1599" i="1"/>
  <c r="BEE1599" i="1"/>
  <c r="BED1599" i="1"/>
  <c r="BEC1599" i="1"/>
  <c r="BEB1599" i="1"/>
  <c r="BEA1599" i="1"/>
  <c r="BDZ1599" i="1"/>
  <c r="BDY1599" i="1"/>
  <c r="BDX1599" i="1"/>
  <c r="BDW1599" i="1"/>
  <c r="BDV1599" i="1"/>
  <c r="BDU1599" i="1"/>
  <c r="BDT1599" i="1"/>
  <c r="BDS1599" i="1"/>
  <c r="BDR1599" i="1"/>
  <c r="BDQ1599" i="1"/>
  <c r="BDP1599" i="1"/>
  <c r="BDO1599" i="1"/>
  <c r="BDN1599" i="1"/>
  <c r="BDM1599" i="1"/>
  <c r="BDL1599" i="1"/>
  <c r="BDK1599" i="1"/>
  <c r="BDJ1599" i="1"/>
  <c r="BDI1599" i="1"/>
  <c r="BDH1599" i="1"/>
  <c r="BDG1599" i="1"/>
  <c r="BDF1599" i="1"/>
  <c r="BDE1599" i="1"/>
  <c r="BDD1599" i="1"/>
  <c r="BDC1599" i="1"/>
  <c r="BDB1599" i="1"/>
  <c r="BDA1599" i="1"/>
  <c r="BCZ1599" i="1"/>
  <c r="BCY1599" i="1"/>
  <c r="BCX1599" i="1"/>
  <c r="BCW1599" i="1"/>
  <c r="BCV1599" i="1"/>
  <c r="BCU1599" i="1"/>
  <c r="BCT1599" i="1"/>
  <c r="BCS1599" i="1"/>
  <c r="BCR1599" i="1"/>
  <c r="BCQ1599" i="1"/>
  <c r="BCP1599" i="1"/>
  <c r="BCO1599" i="1"/>
  <c r="BCN1599" i="1"/>
  <c r="BCM1599" i="1"/>
  <c r="BCL1599" i="1"/>
  <c r="BCK1599" i="1"/>
  <c r="BCJ1599" i="1"/>
  <c r="BCI1599" i="1"/>
  <c r="BCH1599" i="1"/>
  <c r="BCG1599" i="1"/>
  <c r="BCF1599" i="1"/>
  <c r="BCE1599" i="1"/>
  <c r="BCD1599" i="1"/>
  <c r="BCC1599" i="1"/>
  <c r="BCB1599" i="1"/>
  <c r="BCA1599" i="1"/>
  <c r="BBZ1599" i="1"/>
  <c r="BBY1599" i="1"/>
  <c r="BBX1599" i="1"/>
  <c r="BBW1599" i="1"/>
  <c r="BBV1599" i="1"/>
  <c r="BBU1599" i="1"/>
  <c r="BBT1599" i="1"/>
  <c r="BBS1599" i="1"/>
  <c r="BBR1599" i="1"/>
  <c r="BBQ1599" i="1"/>
  <c r="BBP1599" i="1"/>
  <c r="BBO1599" i="1"/>
  <c r="BBN1599" i="1"/>
  <c r="BBM1599" i="1"/>
  <c r="BBL1599" i="1"/>
  <c r="BBK1599" i="1"/>
  <c r="BBJ1599" i="1"/>
  <c r="BBI1599" i="1"/>
  <c r="BBH1599" i="1"/>
  <c r="BBG1599" i="1"/>
  <c r="BBF1599" i="1"/>
  <c r="BBE1599" i="1"/>
  <c r="BBD1599" i="1"/>
  <c r="BBC1599" i="1"/>
  <c r="BBB1599" i="1"/>
  <c r="BBA1599" i="1"/>
  <c r="BAZ1599" i="1"/>
  <c r="BAY1599" i="1"/>
  <c r="BAX1599" i="1"/>
  <c r="BAW1599" i="1"/>
  <c r="BAV1599" i="1"/>
  <c r="BAU1599" i="1"/>
  <c r="BAT1599" i="1"/>
  <c r="BAS1599" i="1"/>
  <c r="BAR1599" i="1"/>
  <c r="BAQ1599" i="1"/>
  <c r="BAP1599" i="1"/>
  <c r="BAO1599" i="1"/>
  <c r="BAN1599" i="1"/>
  <c r="BAM1599" i="1"/>
  <c r="BAL1599" i="1"/>
  <c r="BAK1599" i="1"/>
  <c r="BAJ1599" i="1"/>
  <c r="BAI1599" i="1"/>
  <c r="BAH1599" i="1"/>
  <c r="BAG1599" i="1"/>
  <c r="BAF1599" i="1"/>
  <c r="BAE1599" i="1"/>
  <c r="BAD1599" i="1"/>
  <c r="BAC1599" i="1"/>
  <c r="BAB1599" i="1"/>
  <c r="BAA1599" i="1"/>
  <c r="AZZ1599" i="1"/>
  <c r="AZY1599" i="1"/>
  <c r="AZX1599" i="1"/>
  <c r="AZW1599" i="1"/>
  <c r="AZV1599" i="1"/>
  <c r="AZU1599" i="1"/>
  <c r="AZT1599" i="1"/>
  <c r="AZS1599" i="1"/>
  <c r="AZR1599" i="1"/>
  <c r="AZQ1599" i="1"/>
  <c r="AZP1599" i="1"/>
  <c r="AZO1599" i="1"/>
  <c r="AZN1599" i="1"/>
  <c r="AZM1599" i="1"/>
  <c r="AZL1599" i="1"/>
  <c r="AZK1599" i="1"/>
  <c r="AZJ1599" i="1"/>
  <c r="AZI1599" i="1"/>
  <c r="AZH1599" i="1"/>
  <c r="AZG1599" i="1"/>
  <c r="AZF1599" i="1"/>
  <c r="AZE1599" i="1"/>
  <c r="AZD1599" i="1"/>
  <c r="AZC1599" i="1"/>
  <c r="AZB1599" i="1"/>
  <c r="AZA1599" i="1"/>
  <c r="AYZ1599" i="1"/>
  <c r="AYY1599" i="1"/>
  <c r="AYX1599" i="1"/>
  <c r="AYW1599" i="1"/>
  <c r="AYV1599" i="1"/>
  <c r="AYU1599" i="1"/>
  <c r="AYT1599" i="1"/>
  <c r="AYS1599" i="1"/>
  <c r="AYR1599" i="1"/>
  <c r="AYQ1599" i="1"/>
  <c r="AYP1599" i="1"/>
  <c r="AYO1599" i="1"/>
  <c r="AYN1599" i="1"/>
  <c r="AYM1599" i="1"/>
  <c r="AYL1599" i="1"/>
  <c r="AYK1599" i="1"/>
  <c r="AYJ1599" i="1"/>
  <c r="AYI1599" i="1"/>
  <c r="AYH1599" i="1"/>
  <c r="AYG1599" i="1"/>
  <c r="AYF1599" i="1"/>
  <c r="AYE1599" i="1"/>
  <c r="AYD1599" i="1"/>
  <c r="AYC1599" i="1"/>
  <c r="AYB1599" i="1"/>
  <c r="AYA1599" i="1"/>
  <c r="AXZ1599" i="1"/>
  <c r="AXY1599" i="1"/>
  <c r="AXX1599" i="1"/>
  <c r="AXW1599" i="1"/>
  <c r="AXV1599" i="1"/>
  <c r="AXU1599" i="1"/>
  <c r="AXT1599" i="1"/>
  <c r="AXS1599" i="1"/>
  <c r="AXR1599" i="1"/>
  <c r="AXQ1599" i="1"/>
  <c r="AXP1599" i="1"/>
  <c r="AXO1599" i="1"/>
  <c r="AXN1599" i="1"/>
  <c r="AXM1599" i="1"/>
  <c r="AXL1599" i="1"/>
  <c r="AXK1599" i="1"/>
  <c r="AXJ1599" i="1"/>
  <c r="AXI1599" i="1"/>
  <c r="AXH1599" i="1"/>
  <c r="AXG1599" i="1"/>
  <c r="AXF1599" i="1"/>
  <c r="AXE1599" i="1"/>
  <c r="AXD1599" i="1"/>
  <c r="AXC1599" i="1"/>
  <c r="AXB1599" i="1"/>
  <c r="AXA1599" i="1"/>
  <c r="AWZ1599" i="1"/>
  <c r="AWY1599" i="1"/>
  <c r="AWX1599" i="1"/>
  <c r="AWW1599" i="1"/>
  <c r="AWV1599" i="1"/>
  <c r="AWU1599" i="1"/>
  <c r="AWT1599" i="1"/>
  <c r="AWS1599" i="1"/>
  <c r="AWR1599" i="1"/>
  <c r="AWQ1599" i="1"/>
  <c r="AWP1599" i="1"/>
  <c r="AWO1599" i="1"/>
  <c r="AWN1599" i="1"/>
  <c r="AWM1599" i="1"/>
  <c r="AWL1599" i="1"/>
  <c r="AWK1599" i="1"/>
  <c r="AWJ1599" i="1"/>
  <c r="AWI1599" i="1"/>
  <c r="AWH1599" i="1"/>
  <c r="AWG1599" i="1"/>
  <c r="AWF1599" i="1"/>
  <c r="AWE1599" i="1"/>
  <c r="AWD1599" i="1"/>
  <c r="AWC1599" i="1"/>
  <c r="AWB1599" i="1"/>
  <c r="AWA1599" i="1"/>
  <c r="AVZ1599" i="1"/>
  <c r="AVY1599" i="1"/>
  <c r="AVX1599" i="1"/>
  <c r="AVW1599" i="1"/>
  <c r="AVV1599" i="1"/>
  <c r="AVU1599" i="1"/>
  <c r="AVT1599" i="1"/>
  <c r="AVS1599" i="1"/>
  <c r="AVR1599" i="1"/>
  <c r="AVQ1599" i="1"/>
  <c r="AVP1599" i="1"/>
  <c r="AVO1599" i="1"/>
  <c r="AVN1599" i="1"/>
  <c r="AVM1599" i="1"/>
  <c r="AVL1599" i="1"/>
  <c r="AVK1599" i="1"/>
  <c r="AVJ1599" i="1"/>
  <c r="AVI1599" i="1"/>
  <c r="AVH1599" i="1"/>
  <c r="AVG1599" i="1"/>
  <c r="AVF1599" i="1"/>
  <c r="AVE1599" i="1"/>
  <c r="AVD1599" i="1"/>
  <c r="AVC1599" i="1"/>
  <c r="AVB1599" i="1"/>
  <c r="AVA1599" i="1"/>
  <c r="AUZ1599" i="1"/>
  <c r="AUY1599" i="1"/>
  <c r="AUX1599" i="1"/>
  <c r="AUW1599" i="1"/>
  <c r="AUV1599" i="1"/>
  <c r="AUU1599" i="1"/>
  <c r="AUT1599" i="1"/>
  <c r="AUS1599" i="1"/>
  <c r="AUR1599" i="1"/>
  <c r="AUQ1599" i="1"/>
  <c r="AUP1599" i="1"/>
  <c r="AUO1599" i="1"/>
  <c r="AUN1599" i="1"/>
  <c r="AUM1599" i="1"/>
  <c r="AUL1599" i="1"/>
  <c r="AUK1599" i="1"/>
  <c r="AUJ1599" i="1"/>
  <c r="AUI1599" i="1"/>
  <c r="AUH1599" i="1"/>
  <c r="AUG1599" i="1"/>
  <c r="AUF1599" i="1"/>
  <c r="AUE1599" i="1"/>
  <c r="AUD1599" i="1"/>
  <c r="AUC1599" i="1"/>
  <c r="AUB1599" i="1"/>
  <c r="AUA1599" i="1"/>
  <c r="ATZ1599" i="1"/>
  <c r="ATY1599" i="1"/>
  <c r="ATX1599" i="1"/>
  <c r="ATW1599" i="1"/>
  <c r="ATV1599" i="1"/>
  <c r="ATU1599" i="1"/>
  <c r="ATT1599" i="1"/>
  <c r="ATS1599" i="1"/>
  <c r="ATR1599" i="1"/>
  <c r="ATQ1599" i="1"/>
  <c r="ATP1599" i="1"/>
  <c r="ATO1599" i="1"/>
  <c r="ATN1599" i="1"/>
  <c r="ATM1599" i="1"/>
  <c r="ATL1599" i="1"/>
  <c r="ATK1599" i="1"/>
  <c r="ATJ1599" i="1"/>
  <c r="ATI1599" i="1"/>
  <c r="ATH1599" i="1"/>
  <c r="ATG1599" i="1"/>
  <c r="ATF1599" i="1"/>
  <c r="ATE1599" i="1"/>
  <c r="ATD1599" i="1"/>
  <c r="ATC1599" i="1"/>
  <c r="ATB1599" i="1"/>
  <c r="ATA1599" i="1"/>
  <c r="ASZ1599" i="1"/>
  <c r="ASY1599" i="1"/>
  <c r="ASX1599" i="1"/>
  <c r="ASW1599" i="1"/>
  <c r="ASV1599" i="1"/>
  <c r="ASU1599" i="1"/>
  <c r="AST1599" i="1"/>
  <c r="ASS1599" i="1"/>
  <c r="ASR1599" i="1"/>
  <c r="ASQ1599" i="1"/>
  <c r="ASP1599" i="1"/>
  <c r="ASO1599" i="1"/>
  <c r="ASN1599" i="1"/>
  <c r="ASM1599" i="1"/>
  <c r="ASL1599" i="1"/>
  <c r="ASK1599" i="1"/>
  <c r="ASJ1599" i="1"/>
  <c r="ASI1599" i="1"/>
  <c r="ASH1599" i="1"/>
  <c r="ASG1599" i="1"/>
  <c r="ASF1599" i="1"/>
  <c r="ASE1599" i="1"/>
  <c r="ASD1599" i="1"/>
  <c r="ASC1599" i="1"/>
  <c r="ASB1599" i="1"/>
  <c r="ASA1599" i="1"/>
  <c r="ARZ1599" i="1"/>
  <c r="ARY1599" i="1"/>
  <c r="ARX1599" i="1"/>
  <c r="ARW1599" i="1"/>
  <c r="ARV1599" i="1"/>
  <c r="ARU1599" i="1"/>
  <c r="ART1599" i="1"/>
  <c r="ARS1599" i="1"/>
  <c r="ARR1599" i="1"/>
  <c r="ARQ1599" i="1"/>
  <c r="ARP1599" i="1"/>
  <c r="ARO1599" i="1"/>
  <c r="ARN1599" i="1"/>
  <c r="ARM1599" i="1"/>
  <c r="ARL1599" i="1"/>
  <c r="ARK1599" i="1"/>
  <c r="ARJ1599" i="1"/>
  <c r="ARI1599" i="1"/>
  <c r="ARH1599" i="1"/>
  <c r="ARG1599" i="1"/>
  <c r="ARF1599" i="1"/>
  <c r="ARE1599" i="1"/>
  <c r="ARD1599" i="1"/>
  <c r="ARC1599" i="1"/>
  <c r="ARB1599" i="1"/>
  <c r="ARA1599" i="1"/>
  <c r="AQZ1599" i="1"/>
  <c r="AQY1599" i="1"/>
  <c r="AQX1599" i="1"/>
  <c r="AQW1599" i="1"/>
  <c r="AQV1599" i="1"/>
  <c r="AQU1599" i="1"/>
  <c r="AQT1599" i="1"/>
  <c r="AQS1599" i="1"/>
  <c r="AQR1599" i="1"/>
  <c r="AQQ1599" i="1"/>
  <c r="AQP1599" i="1"/>
  <c r="AQO1599" i="1"/>
  <c r="AQN1599" i="1"/>
  <c r="AQM1599" i="1"/>
  <c r="AQL1599" i="1"/>
  <c r="AQK1599" i="1"/>
  <c r="AQJ1599" i="1"/>
  <c r="AQI1599" i="1"/>
  <c r="AQH1599" i="1"/>
  <c r="AQG1599" i="1"/>
  <c r="AQF1599" i="1"/>
  <c r="AQE1599" i="1"/>
  <c r="AQD1599" i="1"/>
  <c r="AQC1599" i="1"/>
  <c r="AQB1599" i="1"/>
  <c r="AQA1599" i="1"/>
  <c r="APZ1599" i="1"/>
  <c r="APY1599" i="1"/>
  <c r="APX1599" i="1"/>
  <c r="APW1599" i="1"/>
  <c r="APV1599" i="1"/>
  <c r="APU1599" i="1"/>
  <c r="APT1599" i="1"/>
  <c r="APS1599" i="1"/>
  <c r="APR1599" i="1"/>
  <c r="APQ1599" i="1"/>
  <c r="APP1599" i="1"/>
  <c r="APO1599" i="1"/>
  <c r="APN1599" i="1"/>
  <c r="APM1599" i="1"/>
  <c r="APL1599" i="1"/>
  <c r="APK1599" i="1"/>
  <c r="APJ1599" i="1"/>
  <c r="API1599" i="1"/>
  <c r="APH1599" i="1"/>
  <c r="APG1599" i="1"/>
  <c r="APF1599" i="1"/>
  <c r="APE1599" i="1"/>
  <c r="APD1599" i="1"/>
  <c r="APC1599" i="1"/>
  <c r="APB1599" i="1"/>
  <c r="APA1599" i="1"/>
  <c r="AOZ1599" i="1"/>
  <c r="AOY1599" i="1"/>
  <c r="AOX1599" i="1"/>
  <c r="AOW1599" i="1"/>
  <c r="AOV1599" i="1"/>
  <c r="AOU1599" i="1"/>
  <c r="AOT1599" i="1"/>
  <c r="AOS1599" i="1"/>
  <c r="AOR1599" i="1"/>
  <c r="AOQ1599" i="1"/>
  <c r="AOP1599" i="1"/>
  <c r="AOO1599" i="1"/>
  <c r="AON1599" i="1"/>
  <c r="AOM1599" i="1"/>
  <c r="AOL1599" i="1"/>
  <c r="AOK1599" i="1"/>
  <c r="AOJ1599" i="1"/>
  <c r="AOI1599" i="1"/>
  <c r="AOH1599" i="1"/>
  <c r="AOG1599" i="1"/>
  <c r="AOF1599" i="1"/>
  <c r="AOE1599" i="1"/>
  <c r="AOD1599" i="1"/>
  <c r="AOC1599" i="1"/>
  <c r="AOB1599" i="1"/>
  <c r="AOA1599" i="1"/>
  <c r="ANZ1599" i="1"/>
  <c r="ANY1599" i="1"/>
  <c r="ANX1599" i="1"/>
  <c r="ANW1599" i="1"/>
  <c r="ANV1599" i="1"/>
  <c r="ANU1599" i="1"/>
  <c r="ANT1599" i="1"/>
  <c r="ANS1599" i="1"/>
  <c r="ANR1599" i="1"/>
  <c r="ANQ1599" i="1"/>
  <c r="ANP1599" i="1"/>
  <c r="ANO1599" i="1"/>
  <c r="ANN1599" i="1"/>
  <c r="ANM1599" i="1"/>
  <c r="ANL1599" i="1"/>
  <c r="ANK1599" i="1"/>
  <c r="ANJ1599" i="1"/>
  <c r="ANI1599" i="1"/>
  <c r="ANH1599" i="1"/>
  <c r="ANG1599" i="1"/>
  <c r="ANF1599" i="1"/>
  <c r="ANE1599" i="1"/>
  <c r="AND1599" i="1"/>
  <c r="ANC1599" i="1"/>
  <c r="ANB1599" i="1"/>
  <c r="ANA1599" i="1"/>
  <c r="AMZ1599" i="1"/>
  <c r="AMY1599" i="1"/>
  <c r="AMX1599" i="1"/>
  <c r="AMW1599" i="1"/>
  <c r="AMV1599" i="1"/>
  <c r="AMU1599" i="1"/>
  <c r="AMT1599" i="1"/>
  <c r="AMS1599" i="1"/>
  <c r="AMR1599" i="1"/>
  <c r="AMQ1599" i="1"/>
  <c r="AMP1599" i="1"/>
  <c r="AMO1599" i="1"/>
  <c r="AMN1599" i="1"/>
  <c r="AMM1599" i="1"/>
  <c r="AML1599" i="1"/>
  <c r="AMK1599" i="1"/>
  <c r="AMJ1599" i="1"/>
  <c r="AMI1599" i="1"/>
  <c r="AMH1599" i="1"/>
  <c r="AMG1599" i="1"/>
  <c r="AMF1599" i="1"/>
  <c r="AME1599" i="1"/>
  <c r="AMD1599" i="1"/>
  <c r="AMC1599" i="1"/>
  <c r="AMB1599" i="1"/>
  <c r="AMA1599" i="1"/>
  <c r="ALZ1599" i="1"/>
  <c r="ALY1599" i="1"/>
  <c r="ALX1599" i="1"/>
  <c r="ALW1599" i="1"/>
  <c r="ALV1599" i="1"/>
  <c r="ALU1599" i="1"/>
  <c r="ALT1599" i="1"/>
  <c r="ALS1599" i="1"/>
  <c r="ALR1599" i="1"/>
  <c r="ALQ1599" i="1"/>
  <c r="ALP1599" i="1"/>
  <c r="ALO1599" i="1"/>
  <c r="ALN1599" i="1"/>
  <c r="ALM1599" i="1"/>
  <c r="ALL1599" i="1"/>
  <c r="ALK1599" i="1"/>
  <c r="ALJ1599" i="1"/>
  <c r="ALI1599" i="1"/>
  <c r="ALH1599" i="1"/>
  <c r="ALG1599" i="1"/>
  <c r="ALF1599" i="1"/>
  <c r="ALE1599" i="1"/>
  <c r="ALD1599" i="1"/>
  <c r="ALC1599" i="1"/>
  <c r="ALB1599" i="1"/>
  <c r="ALA1599" i="1"/>
  <c r="AKZ1599" i="1"/>
  <c r="AKY1599" i="1"/>
  <c r="AKX1599" i="1"/>
  <c r="AKW1599" i="1"/>
  <c r="AKV1599" i="1"/>
  <c r="AKU1599" i="1"/>
  <c r="AKT1599" i="1"/>
  <c r="AKS1599" i="1"/>
  <c r="AKR1599" i="1"/>
  <c r="AKQ1599" i="1"/>
  <c r="AKP1599" i="1"/>
  <c r="AKO1599" i="1"/>
  <c r="AKN1599" i="1"/>
  <c r="AKM1599" i="1"/>
  <c r="AKL1599" i="1"/>
  <c r="AKK1599" i="1"/>
  <c r="AKJ1599" i="1"/>
  <c r="AKI1599" i="1"/>
  <c r="AKH1599" i="1"/>
  <c r="AKG1599" i="1"/>
  <c r="AKF1599" i="1"/>
  <c r="AKE1599" i="1"/>
  <c r="AKD1599" i="1"/>
  <c r="AKC1599" i="1"/>
  <c r="AKB1599" i="1"/>
  <c r="AKA1599" i="1"/>
  <c r="AJZ1599" i="1"/>
  <c r="AJY1599" i="1"/>
  <c r="AJX1599" i="1"/>
  <c r="AJW1599" i="1"/>
  <c r="AJV1599" i="1"/>
  <c r="AJU1599" i="1"/>
  <c r="AJT1599" i="1"/>
  <c r="AJS1599" i="1"/>
  <c r="AJR1599" i="1"/>
  <c r="AJQ1599" i="1"/>
  <c r="AJP1599" i="1"/>
  <c r="AJO1599" i="1"/>
  <c r="AJN1599" i="1"/>
  <c r="AJM1599" i="1"/>
  <c r="AJL1599" i="1"/>
  <c r="AJK1599" i="1"/>
  <c r="AJJ1599" i="1"/>
  <c r="AJI1599" i="1"/>
  <c r="AJH1599" i="1"/>
  <c r="AJG1599" i="1"/>
  <c r="AJF1599" i="1"/>
  <c r="AJE1599" i="1"/>
  <c r="AJD1599" i="1"/>
  <c r="AJC1599" i="1"/>
  <c r="AJB1599" i="1"/>
  <c r="AJA1599" i="1"/>
  <c r="AIZ1599" i="1"/>
  <c r="AIY1599" i="1"/>
  <c r="AIX1599" i="1"/>
  <c r="AIW1599" i="1"/>
  <c r="AIV1599" i="1"/>
  <c r="AIU1599" i="1"/>
  <c r="AIT1599" i="1"/>
  <c r="AIS1599" i="1"/>
  <c r="AIR1599" i="1"/>
  <c r="AIQ1599" i="1"/>
  <c r="AIP1599" i="1"/>
  <c r="AIO1599" i="1"/>
  <c r="AIN1599" i="1"/>
  <c r="AIM1599" i="1"/>
  <c r="AIL1599" i="1"/>
  <c r="AIK1599" i="1"/>
  <c r="AIJ1599" i="1"/>
  <c r="AII1599" i="1"/>
  <c r="AIH1599" i="1"/>
  <c r="AIG1599" i="1"/>
  <c r="AIF1599" i="1"/>
  <c r="AIE1599" i="1"/>
  <c r="AID1599" i="1"/>
  <c r="AIC1599" i="1"/>
  <c r="AIB1599" i="1"/>
  <c r="AIA1599" i="1"/>
  <c r="AHZ1599" i="1"/>
  <c r="AHY1599" i="1"/>
  <c r="AHX1599" i="1"/>
  <c r="AHW1599" i="1"/>
  <c r="AHV1599" i="1"/>
  <c r="AHU1599" i="1"/>
  <c r="AHT1599" i="1"/>
  <c r="AHS1599" i="1"/>
  <c r="AHR1599" i="1"/>
  <c r="AHQ1599" i="1"/>
  <c r="AHP1599" i="1"/>
  <c r="AHO1599" i="1"/>
  <c r="AHN1599" i="1"/>
  <c r="AHM1599" i="1"/>
  <c r="AHL1599" i="1"/>
  <c r="AHK1599" i="1"/>
  <c r="AHJ1599" i="1"/>
  <c r="AHI1599" i="1"/>
  <c r="AHH1599" i="1"/>
  <c r="AHG1599" i="1"/>
  <c r="AHF1599" i="1"/>
  <c r="AHE1599" i="1"/>
  <c r="AHD1599" i="1"/>
  <c r="AHC1599" i="1"/>
  <c r="AHB1599" i="1"/>
  <c r="AHA1599" i="1"/>
  <c r="AGZ1599" i="1"/>
  <c r="AGY1599" i="1"/>
  <c r="AGX1599" i="1"/>
  <c r="AGW1599" i="1"/>
  <c r="AGV1599" i="1"/>
  <c r="AGU1599" i="1"/>
  <c r="AGT1599" i="1"/>
  <c r="AGS1599" i="1"/>
  <c r="AGR1599" i="1"/>
  <c r="AGQ1599" i="1"/>
  <c r="AGP1599" i="1"/>
  <c r="AGO1599" i="1"/>
  <c r="AGN1599" i="1"/>
  <c r="AGM1599" i="1"/>
  <c r="AGL1599" i="1"/>
  <c r="AGK1599" i="1"/>
  <c r="AGJ1599" i="1"/>
  <c r="AGI1599" i="1"/>
  <c r="AGH1599" i="1"/>
  <c r="AGG1599" i="1"/>
  <c r="AGF1599" i="1"/>
  <c r="AGE1599" i="1"/>
  <c r="AGD1599" i="1"/>
  <c r="AGC1599" i="1"/>
  <c r="AGB1599" i="1"/>
  <c r="AGA1599" i="1"/>
  <c r="AFZ1599" i="1"/>
  <c r="AFY1599" i="1"/>
  <c r="AFX1599" i="1"/>
  <c r="AFW1599" i="1"/>
  <c r="AFV1599" i="1"/>
  <c r="AFU1599" i="1"/>
  <c r="AFT1599" i="1"/>
  <c r="AFS1599" i="1"/>
  <c r="AFR1599" i="1"/>
  <c r="AFQ1599" i="1"/>
  <c r="AFP1599" i="1"/>
  <c r="AFO1599" i="1"/>
  <c r="AFN1599" i="1"/>
  <c r="AFM1599" i="1"/>
  <c r="AFL1599" i="1"/>
  <c r="AFK1599" i="1"/>
  <c r="AFJ1599" i="1"/>
  <c r="AFI1599" i="1"/>
  <c r="AFH1599" i="1"/>
  <c r="AFG1599" i="1"/>
  <c r="AFF1599" i="1"/>
  <c r="AFE1599" i="1"/>
  <c r="AFD1599" i="1"/>
  <c r="AFC1599" i="1"/>
  <c r="AFB1599" i="1"/>
  <c r="AFA1599" i="1"/>
  <c r="AEZ1599" i="1"/>
  <c r="AEY1599" i="1"/>
  <c r="AEX1599" i="1"/>
  <c r="AEW1599" i="1"/>
  <c r="AEV1599" i="1"/>
  <c r="AEU1599" i="1"/>
  <c r="AET1599" i="1"/>
  <c r="AES1599" i="1"/>
  <c r="AER1599" i="1"/>
  <c r="AEQ1599" i="1"/>
  <c r="AEP1599" i="1"/>
  <c r="AEO1599" i="1"/>
  <c r="AEN1599" i="1"/>
  <c r="AEM1599" i="1"/>
  <c r="AEL1599" i="1"/>
  <c r="AEK1599" i="1"/>
  <c r="AEJ1599" i="1"/>
  <c r="AEI1599" i="1"/>
  <c r="AEH1599" i="1"/>
  <c r="AEG1599" i="1"/>
  <c r="AEF1599" i="1"/>
  <c r="AEE1599" i="1"/>
  <c r="AED1599" i="1"/>
  <c r="AEC1599" i="1"/>
  <c r="AEB1599" i="1"/>
  <c r="AEA1599" i="1"/>
  <c r="ADZ1599" i="1"/>
  <c r="ADY1599" i="1"/>
  <c r="ADX1599" i="1"/>
  <c r="ADW1599" i="1"/>
  <c r="ADV1599" i="1"/>
  <c r="ADU1599" i="1"/>
  <c r="ADT1599" i="1"/>
  <c r="ADS1599" i="1"/>
  <c r="ADR1599" i="1"/>
  <c r="ADQ1599" i="1"/>
  <c r="ADP1599" i="1"/>
  <c r="ADO1599" i="1"/>
  <c r="ADN1599" i="1"/>
  <c r="ADM1599" i="1"/>
  <c r="ADL1599" i="1"/>
  <c r="ADK1599" i="1"/>
  <c r="ADJ1599" i="1"/>
  <c r="ADI1599" i="1"/>
  <c r="ADH1599" i="1"/>
  <c r="ADG1599" i="1"/>
  <c r="ADF1599" i="1"/>
  <c r="ADE1599" i="1"/>
  <c r="ADD1599" i="1"/>
  <c r="ADC1599" i="1"/>
  <c r="ADB1599" i="1"/>
  <c r="ADA1599" i="1"/>
  <c r="ACZ1599" i="1"/>
  <c r="ACY1599" i="1"/>
  <c r="ACX1599" i="1"/>
  <c r="ACW1599" i="1"/>
  <c r="ACV1599" i="1"/>
  <c r="ACU1599" i="1"/>
  <c r="ACT1599" i="1"/>
  <c r="ACS1599" i="1"/>
  <c r="ACR1599" i="1"/>
  <c r="ACQ1599" i="1"/>
  <c r="ACP1599" i="1"/>
  <c r="ACO1599" i="1"/>
  <c r="ACN1599" i="1"/>
  <c r="ACM1599" i="1"/>
  <c r="ACL1599" i="1"/>
  <c r="ACK1599" i="1"/>
  <c r="ACJ1599" i="1"/>
  <c r="ACI1599" i="1"/>
  <c r="ACH1599" i="1"/>
  <c r="ACG1599" i="1"/>
  <c r="ACF1599" i="1"/>
  <c r="ACE1599" i="1"/>
  <c r="ACD1599" i="1"/>
  <c r="ACC1599" i="1"/>
  <c r="ACB1599" i="1"/>
  <c r="ACA1599" i="1"/>
  <c r="ABZ1599" i="1"/>
  <c r="ABY1599" i="1"/>
  <c r="ABX1599" i="1"/>
  <c r="ABW1599" i="1"/>
  <c r="ABV1599" i="1"/>
  <c r="ABU1599" i="1"/>
  <c r="ABT1599" i="1"/>
  <c r="ABS1599" i="1"/>
  <c r="ABR1599" i="1"/>
  <c r="ABQ1599" i="1"/>
  <c r="ABP1599" i="1"/>
  <c r="ABO1599" i="1"/>
  <c r="ABN1599" i="1"/>
  <c r="ABM1599" i="1"/>
  <c r="ABL1599" i="1"/>
  <c r="ABK1599" i="1"/>
  <c r="ABJ1599" i="1"/>
  <c r="ABI1599" i="1"/>
  <c r="ABH1599" i="1"/>
  <c r="ABG1599" i="1"/>
  <c r="ABF1599" i="1"/>
  <c r="ABE1599" i="1"/>
  <c r="ABD1599" i="1"/>
  <c r="ABC1599" i="1"/>
  <c r="ABB1599" i="1"/>
  <c r="ABA1599" i="1"/>
  <c r="AAZ1599" i="1"/>
  <c r="AAY1599" i="1"/>
  <c r="AAX1599" i="1"/>
  <c r="AAW1599" i="1"/>
  <c r="AAV1599" i="1"/>
  <c r="AAU1599" i="1"/>
  <c r="AAT1599" i="1"/>
  <c r="AAS1599" i="1"/>
  <c r="AAR1599" i="1"/>
  <c r="AAQ1599" i="1"/>
  <c r="AAP1599" i="1"/>
  <c r="AAO1599" i="1"/>
  <c r="AAN1599" i="1"/>
  <c r="AAM1599" i="1"/>
  <c r="AAL1599" i="1"/>
  <c r="AAK1599" i="1"/>
  <c r="AAJ1599" i="1"/>
  <c r="AAI1599" i="1"/>
  <c r="AAH1599" i="1"/>
  <c r="AAG1599" i="1"/>
  <c r="AAF1599" i="1"/>
  <c r="AAE1599" i="1"/>
  <c r="AAD1599" i="1"/>
  <c r="AAC1599" i="1"/>
  <c r="AAB1599" i="1"/>
  <c r="AAA1599" i="1"/>
  <c r="ZZ1599" i="1"/>
  <c r="ZY1599" i="1"/>
  <c r="ZX1599" i="1"/>
  <c r="ZW1599" i="1"/>
  <c r="ZV1599" i="1"/>
  <c r="ZU1599" i="1"/>
  <c r="ZT1599" i="1"/>
  <c r="ZS1599" i="1"/>
  <c r="ZR1599" i="1"/>
  <c r="ZQ1599" i="1"/>
  <c r="ZP1599" i="1"/>
  <c r="ZO1599" i="1"/>
  <c r="ZN1599" i="1"/>
  <c r="ZM1599" i="1"/>
  <c r="ZL1599" i="1"/>
  <c r="ZK1599" i="1"/>
  <c r="ZJ1599" i="1"/>
  <c r="ZI1599" i="1"/>
  <c r="ZH1599" i="1"/>
  <c r="ZG1599" i="1"/>
  <c r="ZF1599" i="1"/>
  <c r="ZE1599" i="1"/>
  <c r="ZD1599" i="1"/>
  <c r="ZC1599" i="1"/>
  <c r="ZB1599" i="1"/>
  <c r="ZA1599" i="1"/>
  <c r="YZ1599" i="1"/>
  <c r="YY1599" i="1"/>
  <c r="YX1599" i="1"/>
  <c r="YW1599" i="1"/>
  <c r="YV1599" i="1"/>
  <c r="YU1599" i="1"/>
  <c r="YT1599" i="1"/>
  <c r="YS1599" i="1"/>
  <c r="YR1599" i="1"/>
  <c r="YQ1599" i="1"/>
  <c r="YP1599" i="1"/>
  <c r="YO1599" i="1"/>
  <c r="YN1599" i="1"/>
  <c r="YM1599" i="1"/>
  <c r="YL1599" i="1"/>
  <c r="YK1599" i="1"/>
  <c r="YJ1599" i="1"/>
  <c r="YI1599" i="1"/>
  <c r="YH1599" i="1"/>
  <c r="YG1599" i="1"/>
  <c r="YF1599" i="1"/>
  <c r="YE1599" i="1"/>
  <c r="YD1599" i="1"/>
  <c r="YC1599" i="1"/>
  <c r="YB1599" i="1"/>
  <c r="YA1599" i="1"/>
  <c r="XZ1599" i="1"/>
  <c r="XY1599" i="1"/>
  <c r="XX1599" i="1"/>
  <c r="XW1599" i="1"/>
  <c r="XV1599" i="1"/>
  <c r="XU1599" i="1"/>
  <c r="XT1599" i="1"/>
  <c r="XS1599" i="1"/>
  <c r="XR1599" i="1"/>
  <c r="XQ1599" i="1"/>
  <c r="XP1599" i="1"/>
  <c r="XO1599" i="1"/>
  <c r="XN1599" i="1"/>
  <c r="XM1599" i="1"/>
  <c r="XL1599" i="1"/>
  <c r="XK1599" i="1"/>
  <c r="XJ1599" i="1"/>
  <c r="XI1599" i="1"/>
  <c r="XH1599" i="1"/>
  <c r="XG1599" i="1"/>
  <c r="XF1599" i="1"/>
  <c r="XE1599" i="1"/>
  <c r="XD1599" i="1"/>
  <c r="XC1599" i="1"/>
  <c r="XB1599" i="1"/>
  <c r="XA1599" i="1"/>
  <c r="WZ1599" i="1"/>
  <c r="WY1599" i="1"/>
  <c r="WX1599" i="1"/>
  <c r="WW1599" i="1"/>
  <c r="WV1599" i="1"/>
  <c r="WU1599" i="1"/>
  <c r="WT1599" i="1"/>
  <c r="WS1599" i="1"/>
  <c r="WR1599" i="1"/>
  <c r="WQ1599" i="1"/>
  <c r="WP1599" i="1"/>
  <c r="WO1599" i="1"/>
  <c r="WN1599" i="1"/>
  <c r="WM1599" i="1"/>
  <c r="WL1599" i="1"/>
  <c r="WK1599" i="1"/>
  <c r="WJ1599" i="1"/>
  <c r="WI1599" i="1"/>
  <c r="WH1599" i="1"/>
  <c r="WG1599" i="1"/>
  <c r="WF1599" i="1"/>
  <c r="WE1599" i="1"/>
  <c r="WD1599" i="1"/>
  <c r="WC1599" i="1"/>
  <c r="WB1599" i="1"/>
  <c r="WA1599" i="1"/>
  <c r="VZ1599" i="1"/>
  <c r="VY1599" i="1"/>
  <c r="VX1599" i="1"/>
  <c r="VW1599" i="1"/>
  <c r="VV1599" i="1"/>
  <c r="VU1599" i="1"/>
  <c r="VT1599" i="1"/>
  <c r="VS1599" i="1"/>
  <c r="VR1599" i="1"/>
  <c r="VQ1599" i="1"/>
  <c r="VP1599" i="1"/>
  <c r="VO1599" i="1"/>
  <c r="VN1599" i="1"/>
  <c r="VM1599" i="1"/>
  <c r="VL1599" i="1"/>
  <c r="VK1599" i="1"/>
  <c r="VJ1599" i="1"/>
  <c r="VI1599" i="1"/>
  <c r="VH1599" i="1"/>
  <c r="VG1599" i="1"/>
  <c r="VF1599" i="1"/>
  <c r="VE1599" i="1"/>
  <c r="VD1599" i="1"/>
  <c r="VC1599" i="1"/>
  <c r="VB1599" i="1"/>
  <c r="VA1599" i="1"/>
  <c r="UZ1599" i="1"/>
  <c r="UY1599" i="1"/>
  <c r="UX1599" i="1"/>
  <c r="UW1599" i="1"/>
  <c r="UV1599" i="1"/>
  <c r="UU1599" i="1"/>
  <c r="UT1599" i="1"/>
  <c r="US1599" i="1"/>
  <c r="UR1599" i="1"/>
  <c r="UQ1599" i="1"/>
  <c r="UP1599" i="1"/>
  <c r="UO1599" i="1"/>
  <c r="UN1599" i="1"/>
  <c r="UM1599" i="1"/>
  <c r="UL1599" i="1"/>
  <c r="UK1599" i="1"/>
  <c r="UJ1599" i="1"/>
  <c r="UI1599" i="1"/>
  <c r="UH1599" i="1"/>
  <c r="UG1599" i="1"/>
  <c r="UF1599" i="1"/>
  <c r="UE1599" i="1"/>
  <c r="UD1599" i="1"/>
  <c r="UC1599" i="1"/>
  <c r="UB1599" i="1"/>
  <c r="UA1599" i="1"/>
  <c r="TZ1599" i="1"/>
  <c r="TY1599" i="1"/>
  <c r="TX1599" i="1"/>
  <c r="TW1599" i="1"/>
  <c r="TV1599" i="1"/>
  <c r="TU1599" i="1"/>
  <c r="TT1599" i="1"/>
  <c r="TS1599" i="1"/>
  <c r="TR1599" i="1"/>
  <c r="TQ1599" i="1"/>
  <c r="TP1599" i="1"/>
  <c r="TO1599" i="1"/>
  <c r="TN1599" i="1"/>
  <c r="TM1599" i="1"/>
  <c r="TL1599" i="1"/>
  <c r="TK1599" i="1"/>
  <c r="TJ1599" i="1"/>
  <c r="TI1599" i="1"/>
  <c r="TH1599" i="1"/>
  <c r="TG1599" i="1"/>
  <c r="TF1599" i="1"/>
  <c r="TE1599" i="1"/>
  <c r="TD1599" i="1"/>
  <c r="TC1599" i="1"/>
  <c r="TB1599" i="1"/>
  <c r="TA1599" i="1"/>
  <c r="SZ1599" i="1"/>
  <c r="SY1599" i="1"/>
  <c r="SX1599" i="1"/>
  <c r="SW1599" i="1"/>
  <c r="SV1599" i="1"/>
  <c r="SU1599" i="1"/>
  <c r="ST1599" i="1"/>
  <c r="SS1599" i="1"/>
  <c r="SR1599" i="1"/>
  <c r="SQ1599" i="1"/>
  <c r="SP1599" i="1"/>
  <c r="SO1599" i="1"/>
  <c r="SN1599" i="1"/>
  <c r="SM1599" i="1"/>
  <c r="SL1599" i="1"/>
  <c r="SK1599" i="1"/>
  <c r="SJ1599" i="1"/>
  <c r="SI1599" i="1"/>
  <c r="SH1599" i="1"/>
  <c r="SG1599" i="1"/>
  <c r="SF1599" i="1"/>
  <c r="SE1599" i="1"/>
  <c r="SD1599" i="1"/>
  <c r="SC1599" i="1"/>
  <c r="SB1599" i="1"/>
  <c r="SA1599" i="1"/>
  <c r="RZ1599" i="1"/>
  <c r="RY1599" i="1"/>
  <c r="RX1599" i="1"/>
  <c r="RW1599" i="1"/>
  <c r="RV1599" i="1"/>
  <c r="RU1599" i="1"/>
  <c r="RT1599" i="1"/>
  <c r="RS1599" i="1"/>
  <c r="RR1599" i="1"/>
  <c r="RQ1599" i="1"/>
  <c r="RP1599" i="1"/>
  <c r="RO1599" i="1"/>
  <c r="RN1599" i="1"/>
  <c r="RM1599" i="1"/>
  <c r="RL1599" i="1"/>
  <c r="RK1599" i="1"/>
  <c r="RJ1599" i="1"/>
  <c r="RI1599" i="1"/>
  <c r="RH1599" i="1"/>
  <c r="RG1599" i="1"/>
  <c r="RF1599" i="1"/>
  <c r="RE1599" i="1"/>
  <c r="RD1599" i="1"/>
  <c r="RC1599" i="1"/>
  <c r="RB1599" i="1"/>
  <c r="RA1599" i="1"/>
  <c r="QZ1599" i="1"/>
  <c r="QY1599" i="1"/>
  <c r="QX1599" i="1"/>
  <c r="QW1599" i="1"/>
  <c r="QV1599" i="1"/>
  <c r="QU1599" i="1"/>
  <c r="QT1599" i="1"/>
  <c r="QS1599" i="1"/>
  <c r="QR1599" i="1"/>
  <c r="QQ1599" i="1"/>
  <c r="QP1599" i="1"/>
  <c r="QO1599" i="1"/>
  <c r="QN1599" i="1"/>
  <c r="QM1599" i="1"/>
  <c r="QL1599" i="1"/>
  <c r="QK1599" i="1"/>
  <c r="QJ1599" i="1"/>
  <c r="QI1599" i="1"/>
  <c r="QH1599" i="1"/>
  <c r="QG1599" i="1"/>
  <c r="QF1599" i="1"/>
  <c r="QE1599" i="1"/>
  <c r="QD1599" i="1"/>
  <c r="QC1599" i="1"/>
  <c r="QB1599" i="1"/>
  <c r="QA1599" i="1"/>
  <c r="PZ1599" i="1"/>
  <c r="PY1599" i="1"/>
  <c r="PX1599" i="1"/>
  <c r="PW1599" i="1"/>
  <c r="PV1599" i="1"/>
  <c r="PU1599" i="1"/>
  <c r="PT1599" i="1"/>
  <c r="PS1599" i="1"/>
  <c r="PR1599" i="1"/>
  <c r="PQ1599" i="1"/>
  <c r="PP1599" i="1"/>
  <c r="PO1599" i="1"/>
  <c r="PN1599" i="1"/>
  <c r="PM1599" i="1"/>
  <c r="PL1599" i="1"/>
  <c r="PK1599" i="1"/>
  <c r="PJ1599" i="1"/>
  <c r="PI1599" i="1"/>
  <c r="PH1599" i="1"/>
  <c r="PG1599" i="1"/>
  <c r="PF1599" i="1"/>
  <c r="PE1599" i="1"/>
  <c r="PD1599" i="1"/>
  <c r="PC1599" i="1"/>
  <c r="PB1599" i="1"/>
  <c r="PA1599" i="1"/>
  <c r="OZ1599" i="1"/>
  <c r="OY1599" i="1"/>
  <c r="OX1599" i="1"/>
  <c r="OW1599" i="1"/>
  <c r="OV1599" i="1"/>
  <c r="OU1599" i="1"/>
  <c r="OT1599" i="1"/>
  <c r="OS1599" i="1"/>
  <c r="OR1599" i="1"/>
  <c r="OQ1599" i="1"/>
  <c r="OP1599" i="1"/>
  <c r="OO1599" i="1"/>
  <c r="ON1599" i="1"/>
  <c r="OM1599" i="1"/>
  <c r="OL1599" i="1"/>
  <c r="OK1599" i="1"/>
  <c r="OJ1599" i="1"/>
  <c r="OI1599" i="1"/>
  <c r="OH1599" i="1"/>
  <c r="OG1599" i="1"/>
  <c r="OF1599" i="1"/>
  <c r="OE1599" i="1"/>
  <c r="OD1599" i="1"/>
  <c r="OC1599" i="1"/>
  <c r="OB1599" i="1"/>
  <c r="OA1599" i="1"/>
  <c r="NZ1599" i="1"/>
  <c r="NY1599" i="1"/>
  <c r="NX1599" i="1"/>
  <c r="NW1599" i="1"/>
  <c r="NV1599" i="1"/>
  <c r="NU1599" i="1"/>
  <c r="NT1599" i="1"/>
  <c r="NS1599" i="1"/>
  <c r="NR1599" i="1"/>
  <c r="NQ1599" i="1"/>
  <c r="NP1599" i="1"/>
  <c r="NO1599" i="1"/>
  <c r="NN1599" i="1"/>
  <c r="NM1599" i="1"/>
  <c r="NL1599" i="1"/>
  <c r="NK1599" i="1"/>
  <c r="NJ1599" i="1"/>
  <c r="NI1599" i="1"/>
  <c r="NH1599" i="1"/>
  <c r="NG1599" i="1"/>
  <c r="NF1599" i="1"/>
  <c r="NE1599" i="1"/>
  <c r="ND1599" i="1"/>
  <c r="NC1599" i="1"/>
  <c r="NB1599" i="1"/>
  <c r="NA1599" i="1"/>
  <c r="MZ1599" i="1"/>
  <c r="MY1599" i="1"/>
  <c r="MX1599" i="1"/>
  <c r="MW1599" i="1"/>
  <c r="MV1599" i="1"/>
  <c r="MU1599" i="1"/>
  <c r="MT1599" i="1"/>
  <c r="MS1599" i="1"/>
  <c r="MR1599" i="1"/>
  <c r="MQ1599" i="1"/>
  <c r="MP1599" i="1"/>
  <c r="MO1599" i="1"/>
  <c r="MN1599" i="1"/>
  <c r="MM1599" i="1"/>
  <c r="ML1599" i="1"/>
  <c r="MK1599" i="1"/>
  <c r="MJ1599" i="1"/>
  <c r="MI1599" i="1"/>
  <c r="MH1599" i="1"/>
  <c r="MG1599" i="1"/>
  <c r="MF1599" i="1"/>
  <c r="ME1599" i="1"/>
  <c r="MD1599" i="1"/>
  <c r="MC1599" i="1"/>
  <c r="MB1599" i="1"/>
  <c r="MA1599" i="1"/>
  <c r="LZ1599" i="1"/>
  <c r="LY1599" i="1"/>
  <c r="LX1599" i="1"/>
  <c r="LW1599" i="1"/>
  <c r="LV1599" i="1"/>
  <c r="LU1599" i="1"/>
  <c r="LT1599" i="1"/>
  <c r="LS1599" i="1"/>
  <c r="LR1599" i="1"/>
  <c r="LQ1599" i="1"/>
  <c r="LP1599" i="1"/>
  <c r="LO1599" i="1"/>
  <c r="LN1599" i="1"/>
  <c r="LM1599" i="1"/>
  <c r="LL1599" i="1"/>
  <c r="LK1599" i="1"/>
  <c r="LJ1599" i="1"/>
  <c r="LI1599" i="1"/>
  <c r="LH1599" i="1"/>
  <c r="LG1599" i="1"/>
  <c r="LF1599" i="1"/>
  <c r="LE1599" i="1"/>
  <c r="LD1599" i="1"/>
  <c r="LC1599" i="1"/>
  <c r="LB1599" i="1"/>
  <c r="LA1599" i="1"/>
  <c r="KZ1599" i="1"/>
  <c r="KY1599" i="1"/>
  <c r="KX1599" i="1"/>
  <c r="KW1599" i="1"/>
  <c r="KV1599" i="1"/>
  <c r="KU1599" i="1"/>
  <c r="KT1599" i="1"/>
  <c r="KS1599" i="1"/>
  <c r="KR1599" i="1"/>
  <c r="KQ1599" i="1"/>
  <c r="KP1599" i="1"/>
  <c r="KO1599" i="1"/>
  <c r="KN1599" i="1"/>
  <c r="KM1599" i="1"/>
  <c r="KL1599" i="1"/>
  <c r="KK1599" i="1"/>
  <c r="KJ1599" i="1"/>
  <c r="KI1599" i="1"/>
  <c r="KH1599" i="1"/>
  <c r="KG1599" i="1"/>
  <c r="KF1599" i="1"/>
  <c r="KE1599" i="1"/>
  <c r="KD1599" i="1"/>
  <c r="KC1599" i="1"/>
  <c r="KB1599" i="1"/>
  <c r="KA1599" i="1"/>
  <c r="JZ1599" i="1"/>
  <c r="JY1599" i="1"/>
  <c r="JX1599" i="1"/>
  <c r="JW1599" i="1"/>
  <c r="JV1599" i="1"/>
  <c r="JU1599" i="1"/>
  <c r="JT1599" i="1"/>
  <c r="JS1599" i="1"/>
  <c r="JR1599" i="1"/>
  <c r="JQ1599" i="1"/>
  <c r="JP1599" i="1"/>
  <c r="JO1599" i="1"/>
  <c r="JN1599" i="1"/>
  <c r="JM1599" i="1"/>
  <c r="JL1599" i="1"/>
  <c r="JK1599" i="1"/>
  <c r="JJ1599" i="1"/>
  <c r="JI1599" i="1"/>
  <c r="JH1599" i="1"/>
  <c r="JG1599" i="1"/>
  <c r="JF1599" i="1"/>
  <c r="JE1599" i="1"/>
  <c r="JD1599" i="1"/>
  <c r="JC1599" i="1"/>
  <c r="JB1599" i="1"/>
  <c r="JA1599" i="1"/>
  <c r="IZ1599" i="1"/>
  <c r="IY1599" i="1"/>
  <c r="IX1599" i="1"/>
  <c r="IW1599" i="1"/>
  <c r="IV1599" i="1"/>
  <c r="IU1599" i="1"/>
  <c r="IT1599" i="1"/>
  <c r="IS1599" i="1"/>
  <c r="IR1599" i="1"/>
  <c r="IQ1599" i="1"/>
  <c r="IP1599" i="1"/>
  <c r="IO1599" i="1"/>
  <c r="IN1599" i="1"/>
  <c r="IM1599" i="1"/>
  <c r="IL1599" i="1"/>
  <c r="IK1599" i="1"/>
  <c r="IJ1599" i="1"/>
  <c r="II1599" i="1"/>
  <c r="IH1599" i="1"/>
  <c r="IG1599" i="1"/>
  <c r="IF1599" i="1"/>
  <c r="IE1599" i="1"/>
  <c r="ID1599" i="1"/>
  <c r="IC1599" i="1"/>
  <c r="IB1599" i="1"/>
  <c r="IA1599" i="1"/>
  <c r="HZ1599" i="1"/>
  <c r="HY1599" i="1"/>
  <c r="HX1599" i="1"/>
  <c r="HW1599" i="1"/>
  <c r="HV1599" i="1"/>
  <c r="HU1599" i="1"/>
  <c r="HT1599" i="1"/>
  <c r="HS1599" i="1"/>
  <c r="HR1599" i="1"/>
  <c r="HQ1599" i="1"/>
  <c r="HP1599" i="1"/>
  <c r="HO1599" i="1"/>
  <c r="HN1599" i="1"/>
  <c r="HM1599" i="1"/>
  <c r="HL1599" i="1"/>
  <c r="HK1599" i="1"/>
  <c r="HJ1599" i="1"/>
  <c r="HI1599" i="1"/>
  <c r="HH1599" i="1"/>
  <c r="HG1599" i="1"/>
  <c r="HF1599" i="1"/>
  <c r="HE1599" i="1"/>
  <c r="HD1599" i="1"/>
  <c r="HC1599" i="1"/>
  <c r="HB1599" i="1"/>
  <c r="HA1599" i="1"/>
  <c r="GZ1599" i="1"/>
  <c r="GY1599" i="1"/>
  <c r="GX1599" i="1"/>
  <c r="GW1599" i="1"/>
  <c r="GV1599" i="1"/>
  <c r="GU1599" i="1"/>
  <c r="GT1599" i="1"/>
  <c r="GS1599" i="1"/>
  <c r="GR1599" i="1"/>
  <c r="GQ1599" i="1"/>
  <c r="GP1599" i="1"/>
  <c r="GO1599" i="1"/>
  <c r="GN1599" i="1"/>
  <c r="GM1599" i="1"/>
  <c r="GL1599" i="1"/>
  <c r="GK1599" i="1"/>
  <c r="GJ1599" i="1"/>
  <c r="GI1599" i="1"/>
  <c r="GH1599" i="1"/>
  <c r="GG1599" i="1"/>
  <c r="GF1599" i="1"/>
  <c r="GE1599" i="1"/>
  <c r="GD1599" i="1"/>
  <c r="GC1599" i="1"/>
  <c r="GB1599" i="1"/>
  <c r="GA1599" i="1"/>
  <c r="FZ1599" i="1"/>
  <c r="FY1599" i="1"/>
  <c r="FX1599" i="1"/>
  <c r="FW1599" i="1"/>
  <c r="FV1599" i="1"/>
  <c r="FU1599" i="1"/>
  <c r="FT1599" i="1"/>
  <c r="FS1599" i="1"/>
  <c r="FR1599" i="1"/>
  <c r="FQ1599" i="1"/>
  <c r="FP1599" i="1"/>
  <c r="FO1599" i="1"/>
  <c r="FN1599" i="1"/>
  <c r="FM1599" i="1"/>
  <c r="FL1599" i="1"/>
  <c r="FK1599" i="1"/>
  <c r="FJ1599" i="1"/>
  <c r="FI1599" i="1"/>
  <c r="FH1599" i="1"/>
  <c r="FG1599" i="1"/>
  <c r="FF1599" i="1"/>
  <c r="FE1599" i="1"/>
  <c r="FD1599" i="1"/>
  <c r="FC1599" i="1"/>
  <c r="FB1599" i="1"/>
  <c r="FA1599" i="1"/>
  <c r="EZ1599" i="1"/>
  <c r="EY1599" i="1"/>
  <c r="EX1599" i="1"/>
  <c r="EW1599" i="1"/>
  <c r="EV1599" i="1"/>
  <c r="EU1599" i="1"/>
  <c r="ET1599" i="1"/>
  <c r="ES1599" i="1"/>
  <c r="ER1599" i="1"/>
  <c r="EQ1599" i="1"/>
  <c r="EP1599" i="1"/>
  <c r="EO1599" i="1"/>
  <c r="EN1599" i="1"/>
  <c r="EM1599" i="1"/>
  <c r="EL1599" i="1"/>
  <c r="EK1599" i="1"/>
  <c r="EJ1599" i="1"/>
  <c r="EI1599" i="1"/>
  <c r="EH1599" i="1"/>
  <c r="EG1599" i="1"/>
  <c r="EF1599" i="1"/>
  <c r="EE1599" i="1"/>
  <c r="ED1599" i="1"/>
  <c r="EC1599" i="1"/>
  <c r="EB1599" i="1"/>
  <c r="EA1599" i="1"/>
  <c r="DZ1599" i="1"/>
  <c r="DY1599" i="1"/>
  <c r="DX1599" i="1"/>
  <c r="DW1599" i="1"/>
  <c r="DV1599" i="1"/>
  <c r="DU1599" i="1"/>
  <c r="DT1599" i="1"/>
  <c r="DS1599" i="1"/>
  <c r="DR1599" i="1"/>
  <c r="DQ1599" i="1"/>
  <c r="DP1599" i="1"/>
  <c r="DO1599" i="1"/>
  <c r="DN1599" i="1"/>
  <c r="DM1599" i="1"/>
  <c r="DL1599" i="1"/>
  <c r="DK1599" i="1"/>
  <c r="DJ1599" i="1"/>
  <c r="DI1599" i="1"/>
  <c r="DH1599" i="1"/>
  <c r="DG1599" i="1"/>
  <c r="DF1599" i="1"/>
  <c r="DE1599" i="1"/>
  <c r="DD1599" i="1"/>
  <c r="DC1599" i="1"/>
  <c r="DB1599" i="1"/>
  <c r="DA1599" i="1"/>
  <c r="CZ1599" i="1"/>
  <c r="CY1599" i="1"/>
  <c r="CX1599" i="1"/>
  <c r="CW1599" i="1"/>
  <c r="CV1599" i="1"/>
  <c r="CU1599" i="1"/>
  <c r="CT1599" i="1"/>
  <c r="CS1599" i="1"/>
  <c r="CR1599" i="1"/>
  <c r="CQ1599" i="1"/>
  <c r="CP1599" i="1"/>
  <c r="CO1599" i="1"/>
  <c r="CN1599" i="1"/>
  <c r="CM1599" i="1"/>
  <c r="CL1599" i="1"/>
  <c r="CK1599" i="1"/>
  <c r="CJ1599" i="1"/>
  <c r="CI1599" i="1"/>
  <c r="CH1599" i="1"/>
  <c r="CG1599" i="1"/>
  <c r="CF1599" i="1"/>
  <c r="CE1599" i="1"/>
  <c r="CD1599" i="1"/>
  <c r="CC1599" i="1"/>
  <c r="CB1599" i="1"/>
  <c r="CA1599" i="1"/>
  <c r="BZ1599" i="1"/>
  <c r="BY1599" i="1"/>
  <c r="BX1599" i="1"/>
  <c r="BW1599" i="1"/>
  <c r="BV1599" i="1"/>
  <c r="BU1599" i="1"/>
  <c r="BT1599" i="1"/>
  <c r="BS1599" i="1"/>
  <c r="BR1599" i="1"/>
  <c r="BQ1599" i="1"/>
  <c r="BP1599" i="1"/>
  <c r="BO1599" i="1"/>
  <c r="BN1599" i="1"/>
  <c r="BM1599" i="1"/>
  <c r="BL1599" i="1"/>
  <c r="BK1599" i="1"/>
  <c r="BJ1599" i="1"/>
  <c r="BI1599" i="1"/>
  <c r="BH1599" i="1"/>
  <c r="BG1599" i="1"/>
  <c r="BF1599" i="1"/>
  <c r="BE1599" i="1"/>
  <c r="BD1599" i="1"/>
  <c r="BC1599" i="1"/>
  <c r="BB1599" i="1"/>
  <c r="BA1599" i="1"/>
  <c r="AZ1599" i="1"/>
  <c r="AY1599" i="1"/>
  <c r="AX1599" i="1"/>
  <c r="AW1599" i="1"/>
  <c r="AV1599" i="1"/>
  <c r="AU1599" i="1"/>
  <c r="AT1599" i="1"/>
  <c r="AS1599" i="1"/>
  <c r="AR1599" i="1"/>
  <c r="AQ1599" i="1"/>
  <c r="AP1599" i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C1598" i="1"/>
  <c r="E1597" i="1"/>
  <c r="E1609" i="1" s="1"/>
  <c r="E1620" i="1" s="1"/>
  <c r="F1620" i="1" s="1"/>
  <c r="C1597" i="1"/>
  <c r="F1596" i="1"/>
  <c r="E1596" i="1"/>
  <c r="E1608" i="1" s="1"/>
  <c r="F1608" i="1" s="1"/>
  <c r="C1596" i="1"/>
  <c r="C1595" i="1"/>
  <c r="XFC1590" i="1"/>
  <c r="XFB1590" i="1"/>
  <c r="XFA1590" i="1"/>
  <c r="XEZ1590" i="1"/>
  <c r="XEY1590" i="1"/>
  <c r="XEX1590" i="1"/>
  <c r="XEW1590" i="1"/>
  <c r="XEV1590" i="1"/>
  <c r="XEU1590" i="1"/>
  <c r="XET1590" i="1"/>
  <c r="XES1590" i="1"/>
  <c r="XER1590" i="1"/>
  <c r="XEQ1590" i="1"/>
  <c r="XEP1590" i="1"/>
  <c r="XEO1590" i="1"/>
  <c r="XEN1590" i="1"/>
  <c r="XEM1590" i="1"/>
  <c r="XEL1590" i="1"/>
  <c r="XEK1590" i="1"/>
  <c r="XEJ1590" i="1"/>
  <c r="XEI1590" i="1"/>
  <c r="XEH1590" i="1"/>
  <c r="XEG1590" i="1"/>
  <c r="XEF1590" i="1"/>
  <c r="XEE1590" i="1"/>
  <c r="XED1590" i="1"/>
  <c r="XEC1590" i="1"/>
  <c r="XEB1590" i="1"/>
  <c r="XEA1590" i="1"/>
  <c r="XDZ1590" i="1"/>
  <c r="XDY1590" i="1"/>
  <c r="XDX1590" i="1"/>
  <c r="XDW1590" i="1"/>
  <c r="XDV1590" i="1"/>
  <c r="XDU1590" i="1"/>
  <c r="XDT1590" i="1"/>
  <c r="XDS1590" i="1"/>
  <c r="XDR1590" i="1"/>
  <c r="XDQ1590" i="1"/>
  <c r="XDP1590" i="1"/>
  <c r="XDO1590" i="1"/>
  <c r="XDN1590" i="1"/>
  <c r="XDM1590" i="1"/>
  <c r="XDL1590" i="1"/>
  <c r="XDK1590" i="1"/>
  <c r="XDJ1590" i="1"/>
  <c r="XDI1590" i="1"/>
  <c r="XDH1590" i="1"/>
  <c r="XDG1590" i="1"/>
  <c r="XDF1590" i="1"/>
  <c r="XDE1590" i="1"/>
  <c r="XDD1590" i="1"/>
  <c r="XDC1590" i="1"/>
  <c r="XDB1590" i="1"/>
  <c r="XDA1590" i="1"/>
  <c r="XCZ1590" i="1"/>
  <c r="XCY1590" i="1"/>
  <c r="XCX1590" i="1"/>
  <c r="XCW1590" i="1"/>
  <c r="XCV1590" i="1"/>
  <c r="XCU1590" i="1"/>
  <c r="XCT1590" i="1"/>
  <c r="XCS1590" i="1"/>
  <c r="XCR1590" i="1"/>
  <c r="XCQ1590" i="1"/>
  <c r="XCP1590" i="1"/>
  <c r="XCO1590" i="1"/>
  <c r="XCN1590" i="1"/>
  <c r="XCM1590" i="1"/>
  <c r="XCL1590" i="1"/>
  <c r="XCK1590" i="1"/>
  <c r="XCJ1590" i="1"/>
  <c r="XCI1590" i="1"/>
  <c r="XCH1590" i="1"/>
  <c r="XCG1590" i="1"/>
  <c r="XCF1590" i="1"/>
  <c r="XCE1590" i="1"/>
  <c r="XCD1590" i="1"/>
  <c r="XCC1590" i="1"/>
  <c r="XCB1590" i="1"/>
  <c r="XCA1590" i="1"/>
  <c r="XBZ1590" i="1"/>
  <c r="XBY1590" i="1"/>
  <c r="XBX1590" i="1"/>
  <c r="XBW1590" i="1"/>
  <c r="XBV1590" i="1"/>
  <c r="XBU1590" i="1"/>
  <c r="XBT1590" i="1"/>
  <c r="XBS1590" i="1"/>
  <c r="XBR1590" i="1"/>
  <c r="XBQ1590" i="1"/>
  <c r="XBP1590" i="1"/>
  <c r="XBO1590" i="1"/>
  <c r="XBN1590" i="1"/>
  <c r="XBM1590" i="1"/>
  <c r="XBL1590" i="1"/>
  <c r="XBK1590" i="1"/>
  <c r="XBJ1590" i="1"/>
  <c r="XBI1590" i="1"/>
  <c r="XBH1590" i="1"/>
  <c r="XBG1590" i="1"/>
  <c r="XBF1590" i="1"/>
  <c r="XBE1590" i="1"/>
  <c r="XBD1590" i="1"/>
  <c r="XBC1590" i="1"/>
  <c r="XBB1590" i="1"/>
  <c r="XBA1590" i="1"/>
  <c r="XAZ1590" i="1"/>
  <c r="XAY1590" i="1"/>
  <c r="XAX1590" i="1"/>
  <c r="XAW1590" i="1"/>
  <c r="XAV1590" i="1"/>
  <c r="XAU1590" i="1"/>
  <c r="XAT1590" i="1"/>
  <c r="XAS1590" i="1"/>
  <c r="XAR1590" i="1"/>
  <c r="XAQ1590" i="1"/>
  <c r="XAP1590" i="1"/>
  <c r="XAO1590" i="1"/>
  <c r="XAN1590" i="1"/>
  <c r="XAM1590" i="1"/>
  <c r="XAL1590" i="1"/>
  <c r="XAK1590" i="1"/>
  <c r="XAJ1590" i="1"/>
  <c r="XAI1590" i="1"/>
  <c r="XAH1590" i="1"/>
  <c r="XAG1590" i="1"/>
  <c r="XAF1590" i="1"/>
  <c r="XAE1590" i="1"/>
  <c r="XAD1590" i="1"/>
  <c r="XAC1590" i="1"/>
  <c r="XAB1590" i="1"/>
  <c r="XAA1590" i="1"/>
  <c r="WZZ1590" i="1"/>
  <c r="WZY1590" i="1"/>
  <c r="WZX1590" i="1"/>
  <c r="WZW1590" i="1"/>
  <c r="WZV1590" i="1"/>
  <c r="WZU1590" i="1"/>
  <c r="WZT1590" i="1"/>
  <c r="WZS1590" i="1"/>
  <c r="WZR1590" i="1"/>
  <c r="WZQ1590" i="1"/>
  <c r="WZP1590" i="1"/>
  <c r="WZO1590" i="1"/>
  <c r="WZN1590" i="1"/>
  <c r="WZM1590" i="1"/>
  <c r="WZL1590" i="1"/>
  <c r="WZK1590" i="1"/>
  <c r="WZJ1590" i="1"/>
  <c r="WZI1590" i="1"/>
  <c r="WZH1590" i="1"/>
  <c r="WZG1590" i="1"/>
  <c r="WZF1590" i="1"/>
  <c r="WZE1590" i="1"/>
  <c r="WZD1590" i="1"/>
  <c r="WZC1590" i="1"/>
  <c r="WZB1590" i="1"/>
  <c r="WZA1590" i="1"/>
  <c r="WYZ1590" i="1"/>
  <c r="WYY1590" i="1"/>
  <c r="WYX1590" i="1"/>
  <c r="WYW1590" i="1"/>
  <c r="WYV1590" i="1"/>
  <c r="WYU1590" i="1"/>
  <c r="WYT1590" i="1"/>
  <c r="WYS1590" i="1"/>
  <c r="WYR1590" i="1"/>
  <c r="WYQ1590" i="1"/>
  <c r="WYP1590" i="1"/>
  <c r="WYO1590" i="1"/>
  <c r="WYN1590" i="1"/>
  <c r="WYM1590" i="1"/>
  <c r="WYL1590" i="1"/>
  <c r="WYK1590" i="1"/>
  <c r="WYJ1590" i="1"/>
  <c r="WYI1590" i="1"/>
  <c r="WYH1590" i="1"/>
  <c r="WYG1590" i="1"/>
  <c r="WYF1590" i="1"/>
  <c r="WYE1590" i="1"/>
  <c r="WYD1590" i="1"/>
  <c r="WYC1590" i="1"/>
  <c r="WYB1590" i="1"/>
  <c r="WYA1590" i="1"/>
  <c r="WXZ1590" i="1"/>
  <c r="WXY1590" i="1"/>
  <c r="WXX1590" i="1"/>
  <c r="WXW1590" i="1"/>
  <c r="WXV1590" i="1"/>
  <c r="WXU1590" i="1"/>
  <c r="WXT1590" i="1"/>
  <c r="WXS1590" i="1"/>
  <c r="WXR1590" i="1"/>
  <c r="WXQ1590" i="1"/>
  <c r="WXP1590" i="1"/>
  <c r="WXO1590" i="1"/>
  <c r="WXN1590" i="1"/>
  <c r="WXM1590" i="1"/>
  <c r="WXL1590" i="1"/>
  <c r="WXK1590" i="1"/>
  <c r="WXJ1590" i="1"/>
  <c r="WXI1590" i="1"/>
  <c r="WXH1590" i="1"/>
  <c r="WXG1590" i="1"/>
  <c r="WXF1590" i="1"/>
  <c r="WXE1590" i="1"/>
  <c r="WXD1590" i="1"/>
  <c r="WXC1590" i="1"/>
  <c r="WXB1590" i="1"/>
  <c r="WXA1590" i="1"/>
  <c r="WWZ1590" i="1"/>
  <c r="WWY1590" i="1"/>
  <c r="WWX1590" i="1"/>
  <c r="WWW1590" i="1"/>
  <c r="WWV1590" i="1"/>
  <c r="WWU1590" i="1"/>
  <c r="WWT1590" i="1"/>
  <c r="WWS1590" i="1"/>
  <c r="WWR1590" i="1"/>
  <c r="WWQ1590" i="1"/>
  <c r="WWP1590" i="1"/>
  <c r="WWO1590" i="1"/>
  <c r="WWN1590" i="1"/>
  <c r="WWM1590" i="1"/>
  <c r="WWL1590" i="1"/>
  <c r="WWK1590" i="1"/>
  <c r="WWJ1590" i="1"/>
  <c r="WWI1590" i="1"/>
  <c r="WWH1590" i="1"/>
  <c r="WWG1590" i="1"/>
  <c r="WWF1590" i="1"/>
  <c r="WWE1590" i="1"/>
  <c r="WWD1590" i="1"/>
  <c r="WWC1590" i="1"/>
  <c r="WWB1590" i="1"/>
  <c r="WWA1590" i="1"/>
  <c r="WVZ1590" i="1"/>
  <c r="WVY1590" i="1"/>
  <c r="WVX1590" i="1"/>
  <c r="WVW1590" i="1"/>
  <c r="WVV1590" i="1"/>
  <c r="WVU1590" i="1"/>
  <c r="WVT1590" i="1"/>
  <c r="WVS1590" i="1"/>
  <c r="WVR1590" i="1"/>
  <c r="WVQ1590" i="1"/>
  <c r="WVP1590" i="1"/>
  <c r="WVO1590" i="1"/>
  <c r="WVN1590" i="1"/>
  <c r="WVM1590" i="1"/>
  <c r="WVL1590" i="1"/>
  <c r="WVK1590" i="1"/>
  <c r="WVJ1590" i="1"/>
  <c r="WVI1590" i="1"/>
  <c r="WVH1590" i="1"/>
  <c r="WVG1590" i="1"/>
  <c r="WVF1590" i="1"/>
  <c r="WVE1590" i="1"/>
  <c r="WVD1590" i="1"/>
  <c r="WVC1590" i="1"/>
  <c r="WVB1590" i="1"/>
  <c r="WVA1590" i="1"/>
  <c r="WUZ1590" i="1"/>
  <c r="WUY1590" i="1"/>
  <c r="WUX1590" i="1"/>
  <c r="WUW1590" i="1"/>
  <c r="WUV1590" i="1"/>
  <c r="WUU1590" i="1"/>
  <c r="WUT1590" i="1"/>
  <c r="WUS1590" i="1"/>
  <c r="WUR1590" i="1"/>
  <c r="WUQ1590" i="1"/>
  <c r="WUP1590" i="1"/>
  <c r="WUO1590" i="1"/>
  <c r="WUN1590" i="1"/>
  <c r="WUM1590" i="1"/>
  <c r="WUL1590" i="1"/>
  <c r="WUK1590" i="1"/>
  <c r="WUJ1590" i="1"/>
  <c r="WUI1590" i="1"/>
  <c r="WUH1590" i="1"/>
  <c r="WUG1590" i="1"/>
  <c r="WUF1590" i="1"/>
  <c r="WUE1590" i="1"/>
  <c r="WUD1590" i="1"/>
  <c r="WUC1590" i="1"/>
  <c r="WUB1590" i="1"/>
  <c r="WUA1590" i="1"/>
  <c r="WTZ1590" i="1"/>
  <c r="WTY1590" i="1"/>
  <c r="WTX1590" i="1"/>
  <c r="WTW1590" i="1"/>
  <c r="WTV1590" i="1"/>
  <c r="WTU1590" i="1"/>
  <c r="WTT1590" i="1"/>
  <c r="WTS1590" i="1"/>
  <c r="WTR1590" i="1"/>
  <c r="WTQ1590" i="1"/>
  <c r="WTP1590" i="1"/>
  <c r="WTO1590" i="1"/>
  <c r="WTN1590" i="1"/>
  <c r="WTM1590" i="1"/>
  <c r="WTL1590" i="1"/>
  <c r="WTK1590" i="1"/>
  <c r="WTJ1590" i="1"/>
  <c r="WTI1590" i="1"/>
  <c r="WTH1590" i="1"/>
  <c r="WTG1590" i="1"/>
  <c r="WTF1590" i="1"/>
  <c r="WTE1590" i="1"/>
  <c r="WTD1590" i="1"/>
  <c r="WTC1590" i="1"/>
  <c r="WTB1590" i="1"/>
  <c r="WTA1590" i="1"/>
  <c r="WSZ1590" i="1"/>
  <c r="WSY1590" i="1"/>
  <c r="WSX1590" i="1"/>
  <c r="WSW1590" i="1"/>
  <c r="WSV1590" i="1"/>
  <c r="WSU1590" i="1"/>
  <c r="WST1590" i="1"/>
  <c r="WSS1590" i="1"/>
  <c r="WSR1590" i="1"/>
  <c r="WSQ1590" i="1"/>
  <c r="WSP1590" i="1"/>
  <c r="WSO1590" i="1"/>
  <c r="WSN1590" i="1"/>
  <c r="WSM1590" i="1"/>
  <c r="WSL1590" i="1"/>
  <c r="WSK1590" i="1"/>
  <c r="WSJ1590" i="1"/>
  <c r="WSI1590" i="1"/>
  <c r="WSH1590" i="1"/>
  <c r="WSG1590" i="1"/>
  <c r="WSF1590" i="1"/>
  <c r="WSE1590" i="1"/>
  <c r="WSD1590" i="1"/>
  <c r="WSC1590" i="1"/>
  <c r="WSB1590" i="1"/>
  <c r="WSA1590" i="1"/>
  <c r="WRZ1590" i="1"/>
  <c r="WRY1590" i="1"/>
  <c r="WRX1590" i="1"/>
  <c r="WRW1590" i="1"/>
  <c r="WRV1590" i="1"/>
  <c r="WRU1590" i="1"/>
  <c r="WRT1590" i="1"/>
  <c r="WRS1590" i="1"/>
  <c r="WRR1590" i="1"/>
  <c r="WRQ1590" i="1"/>
  <c r="WRP1590" i="1"/>
  <c r="WRO1590" i="1"/>
  <c r="WRN1590" i="1"/>
  <c r="WRM1590" i="1"/>
  <c r="WRL1590" i="1"/>
  <c r="WRK1590" i="1"/>
  <c r="WRJ1590" i="1"/>
  <c r="WRI1590" i="1"/>
  <c r="WRH1590" i="1"/>
  <c r="WRG1590" i="1"/>
  <c r="WRF1590" i="1"/>
  <c r="WRE1590" i="1"/>
  <c r="WRD1590" i="1"/>
  <c r="WRC1590" i="1"/>
  <c r="WRB1590" i="1"/>
  <c r="WRA1590" i="1"/>
  <c r="WQZ1590" i="1"/>
  <c r="WQY1590" i="1"/>
  <c r="WQX1590" i="1"/>
  <c r="WQW1590" i="1"/>
  <c r="WQV1590" i="1"/>
  <c r="WQU1590" i="1"/>
  <c r="WQT1590" i="1"/>
  <c r="WQS1590" i="1"/>
  <c r="WQR1590" i="1"/>
  <c r="WQQ1590" i="1"/>
  <c r="WQP1590" i="1"/>
  <c r="WQO1590" i="1"/>
  <c r="WQN1590" i="1"/>
  <c r="WQM1590" i="1"/>
  <c r="WQL1590" i="1"/>
  <c r="WQK1590" i="1"/>
  <c r="WQJ1590" i="1"/>
  <c r="WQI1590" i="1"/>
  <c r="WQH1590" i="1"/>
  <c r="WQG1590" i="1"/>
  <c r="WQF1590" i="1"/>
  <c r="WQE1590" i="1"/>
  <c r="WQD1590" i="1"/>
  <c r="WQC1590" i="1"/>
  <c r="WQB1590" i="1"/>
  <c r="WQA1590" i="1"/>
  <c r="WPZ1590" i="1"/>
  <c r="WPY1590" i="1"/>
  <c r="WPX1590" i="1"/>
  <c r="WPW1590" i="1"/>
  <c r="WPV1590" i="1"/>
  <c r="WPU1590" i="1"/>
  <c r="WPT1590" i="1"/>
  <c r="WPS1590" i="1"/>
  <c r="WPR1590" i="1"/>
  <c r="WPQ1590" i="1"/>
  <c r="WPP1590" i="1"/>
  <c r="WPO1590" i="1"/>
  <c r="WPN1590" i="1"/>
  <c r="WPM1590" i="1"/>
  <c r="WPL1590" i="1"/>
  <c r="WPK1590" i="1"/>
  <c r="WPJ1590" i="1"/>
  <c r="WPI1590" i="1"/>
  <c r="WPH1590" i="1"/>
  <c r="WPG1590" i="1"/>
  <c r="WPF1590" i="1"/>
  <c r="WPE1590" i="1"/>
  <c r="WPD1590" i="1"/>
  <c r="WPC1590" i="1"/>
  <c r="WPB1590" i="1"/>
  <c r="WPA1590" i="1"/>
  <c r="WOZ1590" i="1"/>
  <c r="WOY1590" i="1"/>
  <c r="WOX1590" i="1"/>
  <c r="WOW1590" i="1"/>
  <c r="WOV1590" i="1"/>
  <c r="WOU1590" i="1"/>
  <c r="WOT1590" i="1"/>
  <c r="WOS1590" i="1"/>
  <c r="WOR1590" i="1"/>
  <c r="WOQ1590" i="1"/>
  <c r="WOP1590" i="1"/>
  <c r="WOO1590" i="1"/>
  <c r="WON1590" i="1"/>
  <c r="WOM1590" i="1"/>
  <c r="WOL1590" i="1"/>
  <c r="WOK1590" i="1"/>
  <c r="WOJ1590" i="1"/>
  <c r="WOI1590" i="1"/>
  <c r="WOH1590" i="1"/>
  <c r="WOG1590" i="1"/>
  <c r="WOF1590" i="1"/>
  <c r="WOE1590" i="1"/>
  <c r="WOD1590" i="1"/>
  <c r="WOC1590" i="1"/>
  <c r="WOB1590" i="1"/>
  <c r="WOA1590" i="1"/>
  <c r="WNZ1590" i="1"/>
  <c r="WNY1590" i="1"/>
  <c r="WNX1590" i="1"/>
  <c r="WNW1590" i="1"/>
  <c r="WNV1590" i="1"/>
  <c r="WNU1590" i="1"/>
  <c r="WNT1590" i="1"/>
  <c r="WNS1590" i="1"/>
  <c r="WNR1590" i="1"/>
  <c r="WNQ1590" i="1"/>
  <c r="WNP1590" i="1"/>
  <c r="WNO1590" i="1"/>
  <c r="WNN1590" i="1"/>
  <c r="WNM1590" i="1"/>
  <c r="WNL1590" i="1"/>
  <c r="WNK1590" i="1"/>
  <c r="WNJ1590" i="1"/>
  <c r="WNI1590" i="1"/>
  <c r="WNH1590" i="1"/>
  <c r="WNG1590" i="1"/>
  <c r="WNF1590" i="1"/>
  <c r="WNE1590" i="1"/>
  <c r="WND1590" i="1"/>
  <c r="WNC1590" i="1"/>
  <c r="WNB1590" i="1"/>
  <c r="WNA1590" i="1"/>
  <c r="WMZ1590" i="1"/>
  <c r="WMY1590" i="1"/>
  <c r="WMX1590" i="1"/>
  <c r="WMW1590" i="1"/>
  <c r="WMV1590" i="1"/>
  <c r="WMU1590" i="1"/>
  <c r="WMT1590" i="1"/>
  <c r="WMS1590" i="1"/>
  <c r="WMR1590" i="1"/>
  <c r="WMQ1590" i="1"/>
  <c r="WMP1590" i="1"/>
  <c r="WMO1590" i="1"/>
  <c r="WMN1590" i="1"/>
  <c r="WMM1590" i="1"/>
  <c r="WML1590" i="1"/>
  <c r="WMK1590" i="1"/>
  <c r="WMJ1590" i="1"/>
  <c r="WMI1590" i="1"/>
  <c r="WMH1590" i="1"/>
  <c r="WMG1590" i="1"/>
  <c r="WMF1590" i="1"/>
  <c r="WME1590" i="1"/>
  <c r="WMD1590" i="1"/>
  <c r="WMC1590" i="1"/>
  <c r="WMB1590" i="1"/>
  <c r="WMA1590" i="1"/>
  <c r="WLZ1590" i="1"/>
  <c r="WLY1590" i="1"/>
  <c r="WLX1590" i="1"/>
  <c r="WLW1590" i="1"/>
  <c r="WLV1590" i="1"/>
  <c r="WLU1590" i="1"/>
  <c r="WLT1590" i="1"/>
  <c r="WLS1590" i="1"/>
  <c r="WLR1590" i="1"/>
  <c r="WLQ1590" i="1"/>
  <c r="WLP1590" i="1"/>
  <c r="WLO1590" i="1"/>
  <c r="WLN1590" i="1"/>
  <c r="WLM1590" i="1"/>
  <c r="WLL1590" i="1"/>
  <c r="WLK1590" i="1"/>
  <c r="WLJ1590" i="1"/>
  <c r="WLI1590" i="1"/>
  <c r="WLH1590" i="1"/>
  <c r="WLG1590" i="1"/>
  <c r="WLF1590" i="1"/>
  <c r="WLE1590" i="1"/>
  <c r="WLD1590" i="1"/>
  <c r="WLC1590" i="1"/>
  <c r="WLB1590" i="1"/>
  <c r="WLA1590" i="1"/>
  <c r="WKZ1590" i="1"/>
  <c r="WKY1590" i="1"/>
  <c r="WKX1590" i="1"/>
  <c r="WKW1590" i="1"/>
  <c r="WKV1590" i="1"/>
  <c r="WKU1590" i="1"/>
  <c r="WKT1590" i="1"/>
  <c r="WKS1590" i="1"/>
  <c r="WKR1590" i="1"/>
  <c r="WKQ1590" i="1"/>
  <c r="WKP1590" i="1"/>
  <c r="WKO1590" i="1"/>
  <c r="WKN1590" i="1"/>
  <c r="WKM1590" i="1"/>
  <c r="WKL1590" i="1"/>
  <c r="WKK1590" i="1"/>
  <c r="WKJ1590" i="1"/>
  <c r="WKI1590" i="1"/>
  <c r="WKH1590" i="1"/>
  <c r="WKG1590" i="1"/>
  <c r="WKF1590" i="1"/>
  <c r="WKE1590" i="1"/>
  <c r="WKD1590" i="1"/>
  <c r="WKC1590" i="1"/>
  <c r="WKB1590" i="1"/>
  <c r="WKA1590" i="1"/>
  <c r="WJZ1590" i="1"/>
  <c r="WJY1590" i="1"/>
  <c r="WJX1590" i="1"/>
  <c r="WJW1590" i="1"/>
  <c r="WJV1590" i="1"/>
  <c r="WJU1590" i="1"/>
  <c r="WJT1590" i="1"/>
  <c r="WJS1590" i="1"/>
  <c r="WJR1590" i="1"/>
  <c r="WJQ1590" i="1"/>
  <c r="WJP1590" i="1"/>
  <c r="WJO1590" i="1"/>
  <c r="WJN1590" i="1"/>
  <c r="WJM1590" i="1"/>
  <c r="WJL1590" i="1"/>
  <c r="WJK1590" i="1"/>
  <c r="WJJ1590" i="1"/>
  <c r="WJI1590" i="1"/>
  <c r="WJH1590" i="1"/>
  <c r="WJG1590" i="1"/>
  <c r="WJF1590" i="1"/>
  <c r="WJE1590" i="1"/>
  <c r="WJD1590" i="1"/>
  <c r="WJC1590" i="1"/>
  <c r="WJB1590" i="1"/>
  <c r="WJA1590" i="1"/>
  <c r="WIZ1590" i="1"/>
  <c r="WIY1590" i="1"/>
  <c r="WIX1590" i="1"/>
  <c r="WIW1590" i="1"/>
  <c r="WIV1590" i="1"/>
  <c r="WIU1590" i="1"/>
  <c r="WIT1590" i="1"/>
  <c r="WIS1590" i="1"/>
  <c r="WIR1590" i="1"/>
  <c r="WIQ1590" i="1"/>
  <c r="WIP1590" i="1"/>
  <c r="WIO1590" i="1"/>
  <c r="WIN1590" i="1"/>
  <c r="WIM1590" i="1"/>
  <c r="WIL1590" i="1"/>
  <c r="WIK1590" i="1"/>
  <c r="WIJ1590" i="1"/>
  <c r="WII1590" i="1"/>
  <c r="WIH1590" i="1"/>
  <c r="WIG1590" i="1"/>
  <c r="WIF1590" i="1"/>
  <c r="WIE1590" i="1"/>
  <c r="WID1590" i="1"/>
  <c r="WIC1590" i="1"/>
  <c r="WIB1590" i="1"/>
  <c r="WIA1590" i="1"/>
  <c r="WHZ1590" i="1"/>
  <c r="WHY1590" i="1"/>
  <c r="WHX1590" i="1"/>
  <c r="WHW1590" i="1"/>
  <c r="WHV1590" i="1"/>
  <c r="WHU1590" i="1"/>
  <c r="WHT1590" i="1"/>
  <c r="WHS1590" i="1"/>
  <c r="WHR1590" i="1"/>
  <c r="WHQ1590" i="1"/>
  <c r="WHP1590" i="1"/>
  <c r="WHO1590" i="1"/>
  <c r="WHN1590" i="1"/>
  <c r="WHM1590" i="1"/>
  <c r="WHL1590" i="1"/>
  <c r="WHK1590" i="1"/>
  <c r="WHJ1590" i="1"/>
  <c r="WHI1590" i="1"/>
  <c r="WHH1590" i="1"/>
  <c r="WHG1590" i="1"/>
  <c r="WHF1590" i="1"/>
  <c r="WHE1590" i="1"/>
  <c r="WHD1590" i="1"/>
  <c r="WHC1590" i="1"/>
  <c r="WHB1590" i="1"/>
  <c r="WHA1590" i="1"/>
  <c r="WGZ1590" i="1"/>
  <c r="WGY1590" i="1"/>
  <c r="WGX1590" i="1"/>
  <c r="WGW1590" i="1"/>
  <c r="WGV1590" i="1"/>
  <c r="WGU1590" i="1"/>
  <c r="WGT1590" i="1"/>
  <c r="WGS1590" i="1"/>
  <c r="WGR1590" i="1"/>
  <c r="WGQ1590" i="1"/>
  <c r="WGP1590" i="1"/>
  <c r="WGO1590" i="1"/>
  <c r="WGN1590" i="1"/>
  <c r="WGM1590" i="1"/>
  <c r="WGL1590" i="1"/>
  <c r="WGK1590" i="1"/>
  <c r="WGJ1590" i="1"/>
  <c r="WGI1590" i="1"/>
  <c r="WGH1590" i="1"/>
  <c r="WGG1590" i="1"/>
  <c r="WGF1590" i="1"/>
  <c r="WGE1590" i="1"/>
  <c r="WGD1590" i="1"/>
  <c r="WGC1590" i="1"/>
  <c r="WGB1590" i="1"/>
  <c r="WGA1590" i="1"/>
  <c r="WFZ1590" i="1"/>
  <c r="WFY1590" i="1"/>
  <c r="WFX1590" i="1"/>
  <c r="WFW1590" i="1"/>
  <c r="WFV1590" i="1"/>
  <c r="WFU1590" i="1"/>
  <c r="WFT1590" i="1"/>
  <c r="WFS1590" i="1"/>
  <c r="WFR1590" i="1"/>
  <c r="WFQ1590" i="1"/>
  <c r="WFP1590" i="1"/>
  <c r="WFO1590" i="1"/>
  <c r="WFN1590" i="1"/>
  <c r="WFM1590" i="1"/>
  <c r="WFL1590" i="1"/>
  <c r="WFK1590" i="1"/>
  <c r="WFJ1590" i="1"/>
  <c r="WFI1590" i="1"/>
  <c r="WFH1590" i="1"/>
  <c r="WFG1590" i="1"/>
  <c r="WFF1590" i="1"/>
  <c r="WFE1590" i="1"/>
  <c r="WFD1590" i="1"/>
  <c r="WFC1590" i="1"/>
  <c r="WFB1590" i="1"/>
  <c r="WFA1590" i="1"/>
  <c r="WEZ1590" i="1"/>
  <c r="WEY1590" i="1"/>
  <c r="WEX1590" i="1"/>
  <c r="WEW1590" i="1"/>
  <c r="WEV1590" i="1"/>
  <c r="WEU1590" i="1"/>
  <c r="WET1590" i="1"/>
  <c r="WES1590" i="1"/>
  <c r="WER1590" i="1"/>
  <c r="WEQ1590" i="1"/>
  <c r="WEP1590" i="1"/>
  <c r="WEO1590" i="1"/>
  <c r="WEN1590" i="1"/>
  <c r="WEM1590" i="1"/>
  <c r="WEL1590" i="1"/>
  <c r="WEK1590" i="1"/>
  <c r="WEJ1590" i="1"/>
  <c r="WEI1590" i="1"/>
  <c r="WEH1590" i="1"/>
  <c r="WEG1590" i="1"/>
  <c r="WEF1590" i="1"/>
  <c r="WEE1590" i="1"/>
  <c r="WED1590" i="1"/>
  <c r="WEC1590" i="1"/>
  <c r="WEB1590" i="1"/>
  <c r="WEA1590" i="1"/>
  <c r="WDZ1590" i="1"/>
  <c r="WDY1590" i="1"/>
  <c r="WDX1590" i="1"/>
  <c r="WDW1590" i="1"/>
  <c r="WDV1590" i="1"/>
  <c r="WDU1590" i="1"/>
  <c r="WDT1590" i="1"/>
  <c r="WDS1590" i="1"/>
  <c r="WDR1590" i="1"/>
  <c r="WDQ1590" i="1"/>
  <c r="WDP1590" i="1"/>
  <c r="WDO1590" i="1"/>
  <c r="WDN1590" i="1"/>
  <c r="WDM1590" i="1"/>
  <c r="WDL1590" i="1"/>
  <c r="WDK1590" i="1"/>
  <c r="WDJ1590" i="1"/>
  <c r="WDI1590" i="1"/>
  <c r="WDH1590" i="1"/>
  <c r="WDG1590" i="1"/>
  <c r="WDF1590" i="1"/>
  <c r="WDE1590" i="1"/>
  <c r="WDD1590" i="1"/>
  <c r="WDC1590" i="1"/>
  <c r="WDB1590" i="1"/>
  <c r="WDA1590" i="1"/>
  <c r="WCZ1590" i="1"/>
  <c r="WCY1590" i="1"/>
  <c r="WCX1590" i="1"/>
  <c r="WCW1590" i="1"/>
  <c r="WCV1590" i="1"/>
  <c r="WCU1590" i="1"/>
  <c r="WCT1590" i="1"/>
  <c r="WCS1590" i="1"/>
  <c r="WCR1590" i="1"/>
  <c r="WCQ1590" i="1"/>
  <c r="WCP1590" i="1"/>
  <c r="WCO1590" i="1"/>
  <c r="WCN1590" i="1"/>
  <c r="WCM1590" i="1"/>
  <c r="WCL1590" i="1"/>
  <c r="WCK1590" i="1"/>
  <c r="WCJ1590" i="1"/>
  <c r="WCI1590" i="1"/>
  <c r="WCH1590" i="1"/>
  <c r="WCG1590" i="1"/>
  <c r="WCF1590" i="1"/>
  <c r="WCE1590" i="1"/>
  <c r="WCD1590" i="1"/>
  <c r="WCC1590" i="1"/>
  <c r="WCB1590" i="1"/>
  <c r="WCA1590" i="1"/>
  <c r="WBZ1590" i="1"/>
  <c r="WBY1590" i="1"/>
  <c r="WBX1590" i="1"/>
  <c r="WBW1590" i="1"/>
  <c r="WBV1590" i="1"/>
  <c r="WBU1590" i="1"/>
  <c r="WBT1590" i="1"/>
  <c r="WBS1590" i="1"/>
  <c r="WBR1590" i="1"/>
  <c r="WBQ1590" i="1"/>
  <c r="WBP1590" i="1"/>
  <c r="WBO1590" i="1"/>
  <c r="WBN1590" i="1"/>
  <c r="WBM1590" i="1"/>
  <c r="WBL1590" i="1"/>
  <c r="WBK1590" i="1"/>
  <c r="WBJ1590" i="1"/>
  <c r="WBI1590" i="1"/>
  <c r="WBH1590" i="1"/>
  <c r="WBG1590" i="1"/>
  <c r="WBF1590" i="1"/>
  <c r="WBE1590" i="1"/>
  <c r="WBD1590" i="1"/>
  <c r="WBC1590" i="1"/>
  <c r="WBB1590" i="1"/>
  <c r="WBA1590" i="1"/>
  <c r="WAZ1590" i="1"/>
  <c r="WAY1590" i="1"/>
  <c r="WAX1590" i="1"/>
  <c r="WAW1590" i="1"/>
  <c r="WAV1590" i="1"/>
  <c r="WAU1590" i="1"/>
  <c r="WAT1590" i="1"/>
  <c r="WAS1590" i="1"/>
  <c r="WAR1590" i="1"/>
  <c r="WAQ1590" i="1"/>
  <c r="WAP1590" i="1"/>
  <c r="WAO1590" i="1"/>
  <c r="WAN1590" i="1"/>
  <c r="WAM1590" i="1"/>
  <c r="WAL1590" i="1"/>
  <c r="WAK1590" i="1"/>
  <c r="WAJ1590" i="1"/>
  <c r="WAI1590" i="1"/>
  <c r="WAH1590" i="1"/>
  <c r="WAG1590" i="1"/>
  <c r="WAF1590" i="1"/>
  <c r="WAE1590" i="1"/>
  <c r="WAD1590" i="1"/>
  <c r="WAC1590" i="1"/>
  <c r="WAB1590" i="1"/>
  <c r="WAA1590" i="1"/>
  <c r="VZZ1590" i="1"/>
  <c r="VZY1590" i="1"/>
  <c r="VZX1590" i="1"/>
  <c r="VZW1590" i="1"/>
  <c r="VZV1590" i="1"/>
  <c r="VZU1590" i="1"/>
  <c r="VZT1590" i="1"/>
  <c r="VZS1590" i="1"/>
  <c r="VZR1590" i="1"/>
  <c r="VZQ1590" i="1"/>
  <c r="VZP1590" i="1"/>
  <c r="VZO1590" i="1"/>
  <c r="VZN1590" i="1"/>
  <c r="VZM1590" i="1"/>
  <c r="VZL1590" i="1"/>
  <c r="VZK1590" i="1"/>
  <c r="VZJ1590" i="1"/>
  <c r="VZI1590" i="1"/>
  <c r="VZH1590" i="1"/>
  <c r="VZG1590" i="1"/>
  <c r="VZF1590" i="1"/>
  <c r="VZE1590" i="1"/>
  <c r="VZD1590" i="1"/>
  <c r="VZC1590" i="1"/>
  <c r="VZB1590" i="1"/>
  <c r="VZA1590" i="1"/>
  <c r="VYZ1590" i="1"/>
  <c r="VYY1590" i="1"/>
  <c r="VYX1590" i="1"/>
  <c r="VYW1590" i="1"/>
  <c r="VYV1590" i="1"/>
  <c r="VYU1590" i="1"/>
  <c r="VYT1590" i="1"/>
  <c r="VYS1590" i="1"/>
  <c r="VYR1590" i="1"/>
  <c r="VYQ1590" i="1"/>
  <c r="VYP1590" i="1"/>
  <c r="VYO1590" i="1"/>
  <c r="VYN1590" i="1"/>
  <c r="VYM1590" i="1"/>
  <c r="VYL1590" i="1"/>
  <c r="VYK1590" i="1"/>
  <c r="VYJ1590" i="1"/>
  <c r="VYI1590" i="1"/>
  <c r="VYH1590" i="1"/>
  <c r="VYG1590" i="1"/>
  <c r="VYF1590" i="1"/>
  <c r="VYE1590" i="1"/>
  <c r="VYD1590" i="1"/>
  <c r="VYC1590" i="1"/>
  <c r="VYB1590" i="1"/>
  <c r="VYA1590" i="1"/>
  <c r="VXZ1590" i="1"/>
  <c r="VXY1590" i="1"/>
  <c r="VXX1590" i="1"/>
  <c r="VXW1590" i="1"/>
  <c r="VXV1590" i="1"/>
  <c r="VXU1590" i="1"/>
  <c r="VXT1590" i="1"/>
  <c r="VXS1590" i="1"/>
  <c r="VXR1590" i="1"/>
  <c r="VXQ1590" i="1"/>
  <c r="VXP1590" i="1"/>
  <c r="VXO1590" i="1"/>
  <c r="VXN1590" i="1"/>
  <c r="VXM1590" i="1"/>
  <c r="VXL1590" i="1"/>
  <c r="VXK1590" i="1"/>
  <c r="VXJ1590" i="1"/>
  <c r="VXI1590" i="1"/>
  <c r="VXH1590" i="1"/>
  <c r="VXG1590" i="1"/>
  <c r="VXF1590" i="1"/>
  <c r="VXE1590" i="1"/>
  <c r="VXD1590" i="1"/>
  <c r="VXC1590" i="1"/>
  <c r="VXB1590" i="1"/>
  <c r="VXA1590" i="1"/>
  <c r="VWZ1590" i="1"/>
  <c r="VWY1590" i="1"/>
  <c r="VWX1590" i="1"/>
  <c r="VWW1590" i="1"/>
  <c r="VWV1590" i="1"/>
  <c r="VWU1590" i="1"/>
  <c r="VWT1590" i="1"/>
  <c r="VWS1590" i="1"/>
  <c r="VWR1590" i="1"/>
  <c r="VWQ1590" i="1"/>
  <c r="VWP1590" i="1"/>
  <c r="VWO1590" i="1"/>
  <c r="VWN1590" i="1"/>
  <c r="VWM1590" i="1"/>
  <c r="VWL1590" i="1"/>
  <c r="VWK1590" i="1"/>
  <c r="VWJ1590" i="1"/>
  <c r="VWI1590" i="1"/>
  <c r="VWH1590" i="1"/>
  <c r="VWG1590" i="1"/>
  <c r="VWF1590" i="1"/>
  <c r="VWE1590" i="1"/>
  <c r="VWD1590" i="1"/>
  <c r="VWC1590" i="1"/>
  <c r="VWB1590" i="1"/>
  <c r="VWA1590" i="1"/>
  <c r="VVZ1590" i="1"/>
  <c r="VVY1590" i="1"/>
  <c r="VVX1590" i="1"/>
  <c r="VVW1590" i="1"/>
  <c r="VVV1590" i="1"/>
  <c r="VVU1590" i="1"/>
  <c r="VVT1590" i="1"/>
  <c r="VVS1590" i="1"/>
  <c r="VVR1590" i="1"/>
  <c r="VVQ1590" i="1"/>
  <c r="VVP1590" i="1"/>
  <c r="VVO1590" i="1"/>
  <c r="VVN1590" i="1"/>
  <c r="VVM1590" i="1"/>
  <c r="VVL1590" i="1"/>
  <c r="VVK1590" i="1"/>
  <c r="VVJ1590" i="1"/>
  <c r="VVI1590" i="1"/>
  <c r="VVH1590" i="1"/>
  <c r="VVG1590" i="1"/>
  <c r="VVF1590" i="1"/>
  <c r="VVE1590" i="1"/>
  <c r="VVD1590" i="1"/>
  <c r="VVC1590" i="1"/>
  <c r="VVB1590" i="1"/>
  <c r="VVA1590" i="1"/>
  <c r="VUZ1590" i="1"/>
  <c r="VUY1590" i="1"/>
  <c r="VUX1590" i="1"/>
  <c r="VUW1590" i="1"/>
  <c r="VUV1590" i="1"/>
  <c r="VUU1590" i="1"/>
  <c r="VUT1590" i="1"/>
  <c r="VUS1590" i="1"/>
  <c r="VUR1590" i="1"/>
  <c r="VUQ1590" i="1"/>
  <c r="VUP1590" i="1"/>
  <c r="VUO1590" i="1"/>
  <c r="VUN1590" i="1"/>
  <c r="VUM1590" i="1"/>
  <c r="VUL1590" i="1"/>
  <c r="VUK1590" i="1"/>
  <c r="VUJ1590" i="1"/>
  <c r="VUI1590" i="1"/>
  <c r="VUH1590" i="1"/>
  <c r="VUG1590" i="1"/>
  <c r="VUF1590" i="1"/>
  <c r="VUE1590" i="1"/>
  <c r="VUD1590" i="1"/>
  <c r="VUC1590" i="1"/>
  <c r="VUB1590" i="1"/>
  <c r="VUA1590" i="1"/>
  <c r="VTZ1590" i="1"/>
  <c r="VTY1590" i="1"/>
  <c r="VTX1590" i="1"/>
  <c r="VTW1590" i="1"/>
  <c r="VTV1590" i="1"/>
  <c r="VTU1590" i="1"/>
  <c r="VTT1590" i="1"/>
  <c r="VTS1590" i="1"/>
  <c r="VTR1590" i="1"/>
  <c r="VTQ1590" i="1"/>
  <c r="VTP1590" i="1"/>
  <c r="VTO1590" i="1"/>
  <c r="VTN1590" i="1"/>
  <c r="VTM1590" i="1"/>
  <c r="VTL1590" i="1"/>
  <c r="VTK1590" i="1"/>
  <c r="VTJ1590" i="1"/>
  <c r="VTI1590" i="1"/>
  <c r="VTH1590" i="1"/>
  <c r="VTG1590" i="1"/>
  <c r="VTF1590" i="1"/>
  <c r="VTE1590" i="1"/>
  <c r="VTD1590" i="1"/>
  <c r="VTC1590" i="1"/>
  <c r="VTB1590" i="1"/>
  <c r="VTA1590" i="1"/>
  <c r="VSZ1590" i="1"/>
  <c r="VSY1590" i="1"/>
  <c r="VSX1590" i="1"/>
  <c r="VSW1590" i="1"/>
  <c r="VSV1590" i="1"/>
  <c r="VSU1590" i="1"/>
  <c r="VST1590" i="1"/>
  <c r="VSS1590" i="1"/>
  <c r="VSR1590" i="1"/>
  <c r="VSQ1590" i="1"/>
  <c r="VSP1590" i="1"/>
  <c r="VSO1590" i="1"/>
  <c r="VSN1590" i="1"/>
  <c r="VSM1590" i="1"/>
  <c r="VSL1590" i="1"/>
  <c r="VSK1590" i="1"/>
  <c r="VSJ1590" i="1"/>
  <c r="VSI1590" i="1"/>
  <c r="VSH1590" i="1"/>
  <c r="VSG1590" i="1"/>
  <c r="VSF1590" i="1"/>
  <c r="VSE1590" i="1"/>
  <c r="VSD1590" i="1"/>
  <c r="VSC1590" i="1"/>
  <c r="VSB1590" i="1"/>
  <c r="VSA1590" i="1"/>
  <c r="VRZ1590" i="1"/>
  <c r="VRY1590" i="1"/>
  <c r="VRX1590" i="1"/>
  <c r="VRW1590" i="1"/>
  <c r="VRV1590" i="1"/>
  <c r="VRU1590" i="1"/>
  <c r="VRT1590" i="1"/>
  <c r="VRS1590" i="1"/>
  <c r="VRR1590" i="1"/>
  <c r="VRQ1590" i="1"/>
  <c r="VRP1590" i="1"/>
  <c r="VRO1590" i="1"/>
  <c r="VRN1590" i="1"/>
  <c r="VRM1590" i="1"/>
  <c r="VRL1590" i="1"/>
  <c r="VRK1590" i="1"/>
  <c r="VRJ1590" i="1"/>
  <c r="VRI1590" i="1"/>
  <c r="VRH1590" i="1"/>
  <c r="VRG1590" i="1"/>
  <c r="VRF1590" i="1"/>
  <c r="VRE1590" i="1"/>
  <c r="VRD1590" i="1"/>
  <c r="VRC1590" i="1"/>
  <c r="VRB1590" i="1"/>
  <c r="VRA1590" i="1"/>
  <c r="VQZ1590" i="1"/>
  <c r="VQY1590" i="1"/>
  <c r="VQX1590" i="1"/>
  <c r="VQW1590" i="1"/>
  <c r="VQV1590" i="1"/>
  <c r="VQU1590" i="1"/>
  <c r="VQT1590" i="1"/>
  <c r="VQS1590" i="1"/>
  <c r="VQR1590" i="1"/>
  <c r="VQQ1590" i="1"/>
  <c r="VQP1590" i="1"/>
  <c r="VQO1590" i="1"/>
  <c r="VQN1590" i="1"/>
  <c r="VQM1590" i="1"/>
  <c r="VQL1590" i="1"/>
  <c r="VQK1590" i="1"/>
  <c r="VQJ1590" i="1"/>
  <c r="VQI1590" i="1"/>
  <c r="VQH1590" i="1"/>
  <c r="VQG1590" i="1"/>
  <c r="VQF1590" i="1"/>
  <c r="VQE1590" i="1"/>
  <c r="VQD1590" i="1"/>
  <c r="VQC1590" i="1"/>
  <c r="VQB1590" i="1"/>
  <c r="VQA1590" i="1"/>
  <c r="VPZ1590" i="1"/>
  <c r="VPY1590" i="1"/>
  <c r="VPX1590" i="1"/>
  <c r="VPW1590" i="1"/>
  <c r="VPV1590" i="1"/>
  <c r="VPU1590" i="1"/>
  <c r="VPT1590" i="1"/>
  <c r="VPS1590" i="1"/>
  <c r="VPR1590" i="1"/>
  <c r="VPQ1590" i="1"/>
  <c r="VPP1590" i="1"/>
  <c r="VPO1590" i="1"/>
  <c r="VPN1590" i="1"/>
  <c r="VPM1590" i="1"/>
  <c r="VPL1590" i="1"/>
  <c r="VPK1590" i="1"/>
  <c r="VPJ1590" i="1"/>
  <c r="VPI1590" i="1"/>
  <c r="VPH1590" i="1"/>
  <c r="VPG1590" i="1"/>
  <c r="VPF1590" i="1"/>
  <c r="VPE1590" i="1"/>
  <c r="VPD1590" i="1"/>
  <c r="VPC1590" i="1"/>
  <c r="VPB1590" i="1"/>
  <c r="VPA1590" i="1"/>
  <c r="VOZ1590" i="1"/>
  <c r="VOY1590" i="1"/>
  <c r="VOX1590" i="1"/>
  <c r="VOW1590" i="1"/>
  <c r="VOV1590" i="1"/>
  <c r="VOU1590" i="1"/>
  <c r="VOT1590" i="1"/>
  <c r="VOS1590" i="1"/>
  <c r="VOR1590" i="1"/>
  <c r="VOQ1590" i="1"/>
  <c r="VOP1590" i="1"/>
  <c r="VOO1590" i="1"/>
  <c r="VON1590" i="1"/>
  <c r="VOM1590" i="1"/>
  <c r="VOL1590" i="1"/>
  <c r="VOK1590" i="1"/>
  <c r="VOJ1590" i="1"/>
  <c r="VOI1590" i="1"/>
  <c r="VOH1590" i="1"/>
  <c r="VOG1590" i="1"/>
  <c r="VOF1590" i="1"/>
  <c r="VOE1590" i="1"/>
  <c r="VOD1590" i="1"/>
  <c r="VOC1590" i="1"/>
  <c r="VOB1590" i="1"/>
  <c r="VOA1590" i="1"/>
  <c r="VNZ1590" i="1"/>
  <c r="VNY1590" i="1"/>
  <c r="VNX1590" i="1"/>
  <c r="VNW1590" i="1"/>
  <c r="VNV1590" i="1"/>
  <c r="VNU1590" i="1"/>
  <c r="VNT1590" i="1"/>
  <c r="VNS1590" i="1"/>
  <c r="VNR1590" i="1"/>
  <c r="VNQ1590" i="1"/>
  <c r="VNP1590" i="1"/>
  <c r="VNO1590" i="1"/>
  <c r="VNN1590" i="1"/>
  <c r="VNM1590" i="1"/>
  <c r="VNL1590" i="1"/>
  <c r="VNK1590" i="1"/>
  <c r="VNJ1590" i="1"/>
  <c r="VNI1590" i="1"/>
  <c r="VNH1590" i="1"/>
  <c r="VNG1590" i="1"/>
  <c r="VNF1590" i="1"/>
  <c r="VNE1590" i="1"/>
  <c r="VND1590" i="1"/>
  <c r="VNC1590" i="1"/>
  <c r="VNB1590" i="1"/>
  <c r="VNA1590" i="1"/>
  <c r="VMZ1590" i="1"/>
  <c r="VMY1590" i="1"/>
  <c r="VMX1590" i="1"/>
  <c r="VMW1590" i="1"/>
  <c r="VMV1590" i="1"/>
  <c r="VMU1590" i="1"/>
  <c r="VMT1590" i="1"/>
  <c r="VMS1590" i="1"/>
  <c r="VMR1590" i="1"/>
  <c r="VMQ1590" i="1"/>
  <c r="VMP1590" i="1"/>
  <c r="VMO1590" i="1"/>
  <c r="VMN1590" i="1"/>
  <c r="VMM1590" i="1"/>
  <c r="VML1590" i="1"/>
  <c r="VMK1590" i="1"/>
  <c r="VMJ1590" i="1"/>
  <c r="VMI1590" i="1"/>
  <c r="VMH1590" i="1"/>
  <c r="VMG1590" i="1"/>
  <c r="VMF1590" i="1"/>
  <c r="VME1590" i="1"/>
  <c r="VMD1590" i="1"/>
  <c r="VMC1590" i="1"/>
  <c r="VMB1590" i="1"/>
  <c r="VMA1590" i="1"/>
  <c r="VLZ1590" i="1"/>
  <c r="VLY1590" i="1"/>
  <c r="VLX1590" i="1"/>
  <c r="VLW1590" i="1"/>
  <c r="VLV1590" i="1"/>
  <c r="VLU1590" i="1"/>
  <c r="VLT1590" i="1"/>
  <c r="VLS1590" i="1"/>
  <c r="VLR1590" i="1"/>
  <c r="VLQ1590" i="1"/>
  <c r="VLP1590" i="1"/>
  <c r="VLO1590" i="1"/>
  <c r="VLN1590" i="1"/>
  <c r="VLM1590" i="1"/>
  <c r="VLL1590" i="1"/>
  <c r="VLK1590" i="1"/>
  <c r="VLJ1590" i="1"/>
  <c r="VLI1590" i="1"/>
  <c r="VLH1590" i="1"/>
  <c r="VLG1590" i="1"/>
  <c r="VLF1590" i="1"/>
  <c r="VLE1590" i="1"/>
  <c r="VLD1590" i="1"/>
  <c r="VLC1590" i="1"/>
  <c r="VLB1590" i="1"/>
  <c r="VLA1590" i="1"/>
  <c r="VKZ1590" i="1"/>
  <c r="VKY1590" i="1"/>
  <c r="VKX1590" i="1"/>
  <c r="VKW1590" i="1"/>
  <c r="VKV1590" i="1"/>
  <c r="VKU1590" i="1"/>
  <c r="VKT1590" i="1"/>
  <c r="VKS1590" i="1"/>
  <c r="VKR1590" i="1"/>
  <c r="VKQ1590" i="1"/>
  <c r="VKP1590" i="1"/>
  <c r="VKO1590" i="1"/>
  <c r="VKN1590" i="1"/>
  <c r="VKM1590" i="1"/>
  <c r="VKL1590" i="1"/>
  <c r="VKK1590" i="1"/>
  <c r="VKJ1590" i="1"/>
  <c r="VKI1590" i="1"/>
  <c r="VKH1590" i="1"/>
  <c r="VKG1590" i="1"/>
  <c r="VKF1590" i="1"/>
  <c r="VKE1590" i="1"/>
  <c r="VKD1590" i="1"/>
  <c r="VKC1590" i="1"/>
  <c r="VKB1590" i="1"/>
  <c r="VKA1590" i="1"/>
  <c r="VJZ1590" i="1"/>
  <c r="VJY1590" i="1"/>
  <c r="VJX1590" i="1"/>
  <c r="VJW1590" i="1"/>
  <c r="VJV1590" i="1"/>
  <c r="VJU1590" i="1"/>
  <c r="VJT1590" i="1"/>
  <c r="VJS1590" i="1"/>
  <c r="VJR1590" i="1"/>
  <c r="VJQ1590" i="1"/>
  <c r="VJP1590" i="1"/>
  <c r="VJO1590" i="1"/>
  <c r="VJN1590" i="1"/>
  <c r="VJM1590" i="1"/>
  <c r="VJL1590" i="1"/>
  <c r="VJK1590" i="1"/>
  <c r="VJJ1590" i="1"/>
  <c r="VJI1590" i="1"/>
  <c r="VJH1590" i="1"/>
  <c r="VJG1590" i="1"/>
  <c r="VJF1590" i="1"/>
  <c r="VJE1590" i="1"/>
  <c r="VJD1590" i="1"/>
  <c r="VJC1590" i="1"/>
  <c r="VJB1590" i="1"/>
  <c r="VJA1590" i="1"/>
  <c r="VIZ1590" i="1"/>
  <c r="VIY1590" i="1"/>
  <c r="VIX1590" i="1"/>
  <c r="VIW1590" i="1"/>
  <c r="VIV1590" i="1"/>
  <c r="VIU1590" i="1"/>
  <c r="VIT1590" i="1"/>
  <c r="VIS1590" i="1"/>
  <c r="VIR1590" i="1"/>
  <c r="VIQ1590" i="1"/>
  <c r="VIP1590" i="1"/>
  <c r="VIO1590" i="1"/>
  <c r="VIN1590" i="1"/>
  <c r="VIM1590" i="1"/>
  <c r="VIL1590" i="1"/>
  <c r="VIK1590" i="1"/>
  <c r="VIJ1590" i="1"/>
  <c r="VII1590" i="1"/>
  <c r="VIH1590" i="1"/>
  <c r="VIG1590" i="1"/>
  <c r="VIF1590" i="1"/>
  <c r="VIE1590" i="1"/>
  <c r="VID1590" i="1"/>
  <c r="VIC1590" i="1"/>
  <c r="VIB1590" i="1"/>
  <c r="VIA1590" i="1"/>
  <c r="VHZ1590" i="1"/>
  <c r="VHY1590" i="1"/>
  <c r="VHX1590" i="1"/>
  <c r="VHW1590" i="1"/>
  <c r="VHV1590" i="1"/>
  <c r="VHU1590" i="1"/>
  <c r="VHT1590" i="1"/>
  <c r="VHS1590" i="1"/>
  <c r="VHR1590" i="1"/>
  <c r="VHQ1590" i="1"/>
  <c r="VHP1590" i="1"/>
  <c r="VHO1590" i="1"/>
  <c r="VHN1590" i="1"/>
  <c r="VHM1590" i="1"/>
  <c r="VHL1590" i="1"/>
  <c r="VHK1590" i="1"/>
  <c r="VHJ1590" i="1"/>
  <c r="VHI1590" i="1"/>
  <c r="VHH1590" i="1"/>
  <c r="VHG1590" i="1"/>
  <c r="VHF1590" i="1"/>
  <c r="VHE1590" i="1"/>
  <c r="VHD1590" i="1"/>
  <c r="VHC1590" i="1"/>
  <c r="VHB1590" i="1"/>
  <c r="VHA1590" i="1"/>
  <c r="VGZ1590" i="1"/>
  <c r="VGY1590" i="1"/>
  <c r="VGX1590" i="1"/>
  <c r="VGW1590" i="1"/>
  <c r="VGV1590" i="1"/>
  <c r="VGU1590" i="1"/>
  <c r="VGT1590" i="1"/>
  <c r="VGS1590" i="1"/>
  <c r="VGR1590" i="1"/>
  <c r="VGQ1590" i="1"/>
  <c r="VGP1590" i="1"/>
  <c r="VGO1590" i="1"/>
  <c r="VGN1590" i="1"/>
  <c r="VGM1590" i="1"/>
  <c r="VGL1590" i="1"/>
  <c r="VGK1590" i="1"/>
  <c r="VGJ1590" i="1"/>
  <c r="VGI1590" i="1"/>
  <c r="VGH1590" i="1"/>
  <c r="VGG1590" i="1"/>
  <c r="VGF1590" i="1"/>
  <c r="VGE1590" i="1"/>
  <c r="VGD1590" i="1"/>
  <c r="VGC1590" i="1"/>
  <c r="VGB1590" i="1"/>
  <c r="VGA1590" i="1"/>
  <c r="VFZ1590" i="1"/>
  <c r="VFY1590" i="1"/>
  <c r="VFX1590" i="1"/>
  <c r="VFW1590" i="1"/>
  <c r="VFV1590" i="1"/>
  <c r="VFU1590" i="1"/>
  <c r="VFT1590" i="1"/>
  <c r="VFS1590" i="1"/>
  <c r="VFR1590" i="1"/>
  <c r="VFQ1590" i="1"/>
  <c r="VFP1590" i="1"/>
  <c r="VFO1590" i="1"/>
  <c r="VFN1590" i="1"/>
  <c r="VFM1590" i="1"/>
  <c r="VFL1590" i="1"/>
  <c r="VFK1590" i="1"/>
  <c r="VFJ1590" i="1"/>
  <c r="VFI1590" i="1"/>
  <c r="VFH1590" i="1"/>
  <c r="VFG1590" i="1"/>
  <c r="VFF1590" i="1"/>
  <c r="VFE1590" i="1"/>
  <c r="VFD1590" i="1"/>
  <c r="VFC1590" i="1"/>
  <c r="VFB1590" i="1"/>
  <c r="VFA1590" i="1"/>
  <c r="VEZ1590" i="1"/>
  <c r="VEY1590" i="1"/>
  <c r="VEX1590" i="1"/>
  <c r="VEW1590" i="1"/>
  <c r="VEV1590" i="1"/>
  <c r="VEU1590" i="1"/>
  <c r="VET1590" i="1"/>
  <c r="VES1590" i="1"/>
  <c r="VER1590" i="1"/>
  <c r="VEQ1590" i="1"/>
  <c r="VEP1590" i="1"/>
  <c r="VEO1590" i="1"/>
  <c r="VEN1590" i="1"/>
  <c r="VEM1590" i="1"/>
  <c r="VEL1590" i="1"/>
  <c r="VEK1590" i="1"/>
  <c r="VEJ1590" i="1"/>
  <c r="VEI1590" i="1"/>
  <c r="VEH1590" i="1"/>
  <c r="VEG1590" i="1"/>
  <c r="VEF1590" i="1"/>
  <c r="VEE1590" i="1"/>
  <c r="VED1590" i="1"/>
  <c r="VEC1590" i="1"/>
  <c r="VEB1590" i="1"/>
  <c r="VEA1590" i="1"/>
  <c r="VDZ1590" i="1"/>
  <c r="VDY1590" i="1"/>
  <c r="VDX1590" i="1"/>
  <c r="VDW1590" i="1"/>
  <c r="VDV1590" i="1"/>
  <c r="VDU1590" i="1"/>
  <c r="VDT1590" i="1"/>
  <c r="VDS1590" i="1"/>
  <c r="VDR1590" i="1"/>
  <c r="VDQ1590" i="1"/>
  <c r="VDP1590" i="1"/>
  <c r="VDO1590" i="1"/>
  <c r="VDN1590" i="1"/>
  <c r="VDM1590" i="1"/>
  <c r="VDL1590" i="1"/>
  <c r="VDK1590" i="1"/>
  <c r="VDJ1590" i="1"/>
  <c r="VDI1590" i="1"/>
  <c r="VDH1590" i="1"/>
  <c r="VDG1590" i="1"/>
  <c r="VDF1590" i="1"/>
  <c r="VDE1590" i="1"/>
  <c r="VDD1590" i="1"/>
  <c r="VDC1590" i="1"/>
  <c r="VDB1590" i="1"/>
  <c r="VDA1590" i="1"/>
  <c r="VCZ1590" i="1"/>
  <c r="VCY1590" i="1"/>
  <c r="VCX1590" i="1"/>
  <c r="VCW1590" i="1"/>
  <c r="VCV1590" i="1"/>
  <c r="VCU1590" i="1"/>
  <c r="VCT1590" i="1"/>
  <c r="VCS1590" i="1"/>
  <c r="VCR1590" i="1"/>
  <c r="VCQ1590" i="1"/>
  <c r="VCP1590" i="1"/>
  <c r="VCO1590" i="1"/>
  <c r="VCN1590" i="1"/>
  <c r="VCM1590" i="1"/>
  <c r="VCL1590" i="1"/>
  <c r="VCK1590" i="1"/>
  <c r="VCJ1590" i="1"/>
  <c r="VCI1590" i="1"/>
  <c r="VCH1590" i="1"/>
  <c r="VCG1590" i="1"/>
  <c r="VCF1590" i="1"/>
  <c r="VCE1590" i="1"/>
  <c r="VCD1590" i="1"/>
  <c r="VCC1590" i="1"/>
  <c r="VCB1590" i="1"/>
  <c r="VCA1590" i="1"/>
  <c r="VBZ1590" i="1"/>
  <c r="VBY1590" i="1"/>
  <c r="VBX1590" i="1"/>
  <c r="VBW1590" i="1"/>
  <c r="VBV1590" i="1"/>
  <c r="VBU1590" i="1"/>
  <c r="VBT1590" i="1"/>
  <c r="VBS1590" i="1"/>
  <c r="VBR1590" i="1"/>
  <c r="VBQ1590" i="1"/>
  <c r="VBP1590" i="1"/>
  <c r="VBO1590" i="1"/>
  <c r="VBN1590" i="1"/>
  <c r="VBM1590" i="1"/>
  <c r="VBL1590" i="1"/>
  <c r="VBK1590" i="1"/>
  <c r="VBJ1590" i="1"/>
  <c r="VBI1590" i="1"/>
  <c r="VBH1590" i="1"/>
  <c r="VBG1590" i="1"/>
  <c r="VBF1590" i="1"/>
  <c r="VBE1590" i="1"/>
  <c r="VBD1590" i="1"/>
  <c r="VBC1590" i="1"/>
  <c r="VBB1590" i="1"/>
  <c r="VBA1590" i="1"/>
  <c r="VAZ1590" i="1"/>
  <c r="VAY1590" i="1"/>
  <c r="VAX1590" i="1"/>
  <c r="VAW1590" i="1"/>
  <c r="VAV1590" i="1"/>
  <c r="VAU1590" i="1"/>
  <c r="VAT1590" i="1"/>
  <c r="VAS1590" i="1"/>
  <c r="VAR1590" i="1"/>
  <c r="VAQ1590" i="1"/>
  <c r="VAP1590" i="1"/>
  <c r="VAO1590" i="1"/>
  <c r="VAN1590" i="1"/>
  <c r="VAM1590" i="1"/>
  <c r="VAL1590" i="1"/>
  <c r="VAK1590" i="1"/>
  <c r="VAJ1590" i="1"/>
  <c r="VAI1590" i="1"/>
  <c r="VAH1590" i="1"/>
  <c r="VAG1590" i="1"/>
  <c r="VAF1590" i="1"/>
  <c r="VAE1590" i="1"/>
  <c r="VAD1590" i="1"/>
  <c r="VAC1590" i="1"/>
  <c r="VAB1590" i="1"/>
  <c r="VAA1590" i="1"/>
  <c r="UZZ1590" i="1"/>
  <c r="UZY1590" i="1"/>
  <c r="UZX1590" i="1"/>
  <c r="UZW1590" i="1"/>
  <c r="UZV1590" i="1"/>
  <c r="UZU1590" i="1"/>
  <c r="UZT1590" i="1"/>
  <c r="UZS1590" i="1"/>
  <c r="UZR1590" i="1"/>
  <c r="UZQ1590" i="1"/>
  <c r="UZP1590" i="1"/>
  <c r="UZO1590" i="1"/>
  <c r="UZN1590" i="1"/>
  <c r="UZM1590" i="1"/>
  <c r="UZL1590" i="1"/>
  <c r="UZK1590" i="1"/>
  <c r="UZJ1590" i="1"/>
  <c r="UZI1590" i="1"/>
  <c r="UZH1590" i="1"/>
  <c r="UZG1590" i="1"/>
  <c r="UZF1590" i="1"/>
  <c r="UZE1590" i="1"/>
  <c r="UZD1590" i="1"/>
  <c r="UZC1590" i="1"/>
  <c r="UZB1590" i="1"/>
  <c r="UZA1590" i="1"/>
  <c r="UYZ1590" i="1"/>
  <c r="UYY1590" i="1"/>
  <c r="UYX1590" i="1"/>
  <c r="UYW1590" i="1"/>
  <c r="UYV1590" i="1"/>
  <c r="UYU1590" i="1"/>
  <c r="UYT1590" i="1"/>
  <c r="UYS1590" i="1"/>
  <c r="UYR1590" i="1"/>
  <c r="UYQ1590" i="1"/>
  <c r="UYP1590" i="1"/>
  <c r="UYO1590" i="1"/>
  <c r="UYN1590" i="1"/>
  <c r="UYM1590" i="1"/>
  <c r="UYL1590" i="1"/>
  <c r="UYK1590" i="1"/>
  <c r="UYJ1590" i="1"/>
  <c r="UYI1590" i="1"/>
  <c r="UYH1590" i="1"/>
  <c r="UYG1590" i="1"/>
  <c r="UYF1590" i="1"/>
  <c r="UYE1590" i="1"/>
  <c r="UYD1590" i="1"/>
  <c r="UYC1590" i="1"/>
  <c r="UYB1590" i="1"/>
  <c r="UYA1590" i="1"/>
  <c r="UXZ1590" i="1"/>
  <c r="UXY1590" i="1"/>
  <c r="UXX1590" i="1"/>
  <c r="UXW1590" i="1"/>
  <c r="UXV1590" i="1"/>
  <c r="UXU1590" i="1"/>
  <c r="UXT1590" i="1"/>
  <c r="UXS1590" i="1"/>
  <c r="UXR1590" i="1"/>
  <c r="UXQ1590" i="1"/>
  <c r="UXP1590" i="1"/>
  <c r="UXO1590" i="1"/>
  <c r="UXN1590" i="1"/>
  <c r="UXM1590" i="1"/>
  <c r="UXL1590" i="1"/>
  <c r="UXK1590" i="1"/>
  <c r="UXJ1590" i="1"/>
  <c r="UXI1590" i="1"/>
  <c r="UXH1590" i="1"/>
  <c r="UXG1590" i="1"/>
  <c r="UXF1590" i="1"/>
  <c r="UXE1590" i="1"/>
  <c r="UXD1590" i="1"/>
  <c r="UXC1590" i="1"/>
  <c r="UXB1590" i="1"/>
  <c r="UXA1590" i="1"/>
  <c r="UWZ1590" i="1"/>
  <c r="UWY1590" i="1"/>
  <c r="UWX1590" i="1"/>
  <c r="UWW1590" i="1"/>
  <c r="UWV1590" i="1"/>
  <c r="UWU1590" i="1"/>
  <c r="UWT1590" i="1"/>
  <c r="UWS1590" i="1"/>
  <c r="UWR1590" i="1"/>
  <c r="UWQ1590" i="1"/>
  <c r="UWP1590" i="1"/>
  <c r="UWO1590" i="1"/>
  <c r="UWN1590" i="1"/>
  <c r="UWM1590" i="1"/>
  <c r="UWL1590" i="1"/>
  <c r="UWK1590" i="1"/>
  <c r="UWJ1590" i="1"/>
  <c r="UWI1590" i="1"/>
  <c r="UWH1590" i="1"/>
  <c r="UWG1590" i="1"/>
  <c r="UWF1590" i="1"/>
  <c r="UWE1590" i="1"/>
  <c r="UWD1590" i="1"/>
  <c r="UWC1590" i="1"/>
  <c r="UWB1590" i="1"/>
  <c r="UWA1590" i="1"/>
  <c r="UVZ1590" i="1"/>
  <c r="UVY1590" i="1"/>
  <c r="UVX1590" i="1"/>
  <c r="UVW1590" i="1"/>
  <c r="UVV1590" i="1"/>
  <c r="UVU1590" i="1"/>
  <c r="UVT1590" i="1"/>
  <c r="UVS1590" i="1"/>
  <c r="UVR1590" i="1"/>
  <c r="UVQ1590" i="1"/>
  <c r="UVP1590" i="1"/>
  <c r="UVO1590" i="1"/>
  <c r="UVN1590" i="1"/>
  <c r="UVM1590" i="1"/>
  <c r="UVL1590" i="1"/>
  <c r="UVK1590" i="1"/>
  <c r="UVJ1590" i="1"/>
  <c r="UVI1590" i="1"/>
  <c r="UVH1590" i="1"/>
  <c r="UVG1590" i="1"/>
  <c r="UVF1590" i="1"/>
  <c r="UVE1590" i="1"/>
  <c r="UVD1590" i="1"/>
  <c r="UVC1590" i="1"/>
  <c r="UVB1590" i="1"/>
  <c r="UVA1590" i="1"/>
  <c r="UUZ1590" i="1"/>
  <c r="UUY1590" i="1"/>
  <c r="UUX1590" i="1"/>
  <c r="UUW1590" i="1"/>
  <c r="UUV1590" i="1"/>
  <c r="UUU1590" i="1"/>
  <c r="UUT1590" i="1"/>
  <c r="UUS1590" i="1"/>
  <c r="UUR1590" i="1"/>
  <c r="UUQ1590" i="1"/>
  <c r="UUP1590" i="1"/>
  <c r="UUO1590" i="1"/>
  <c r="UUN1590" i="1"/>
  <c r="UUM1590" i="1"/>
  <c r="UUL1590" i="1"/>
  <c r="UUK1590" i="1"/>
  <c r="UUJ1590" i="1"/>
  <c r="UUI1590" i="1"/>
  <c r="UUH1590" i="1"/>
  <c r="UUG1590" i="1"/>
  <c r="UUF1590" i="1"/>
  <c r="UUE1590" i="1"/>
  <c r="UUD1590" i="1"/>
  <c r="UUC1590" i="1"/>
  <c r="UUB1590" i="1"/>
  <c r="UUA1590" i="1"/>
  <c r="UTZ1590" i="1"/>
  <c r="UTY1590" i="1"/>
  <c r="UTX1590" i="1"/>
  <c r="UTW1590" i="1"/>
  <c r="UTV1590" i="1"/>
  <c r="UTU1590" i="1"/>
  <c r="UTT1590" i="1"/>
  <c r="UTS1590" i="1"/>
  <c r="UTR1590" i="1"/>
  <c r="UTQ1590" i="1"/>
  <c r="UTP1590" i="1"/>
  <c r="UTO1590" i="1"/>
  <c r="UTN1590" i="1"/>
  <c r="UTM1590" i="1"/>
  <c r="UTL1590" i="1"/>
  <c r="UTK1590" i="1"/>
  <c r="UTJ1590" i="1"/>
  <c r="UTI1590" i="1"/>
  <c r="UTH1590" i="1"/>
  <c r="UTG1590" i="1"/>
  <c r="UTF1590" i="1"/>
  <c r="UTE1590" i="1"/>
  <c r="UTD1590" i="1"/>
  <c r="UTC1590" i="1"/>
  <c r="UTB1590" i="1"/>
  <c r="UTA1590" i="1"/>
  <c r="USZ1590" i="1"/>
  <c r="USY1590" i="1"/>
  <c r="USX1590" i="1"/>
  <c r="USW1590" i="1"/>
  <c r="USV1590" i="1"/>
  <c r="USU1590" i="1"/>
  <c r="UST1590" i="1"/>
  <c r="USS1590" i="1"/>
  <c r="USR1590" i="1"/>
  <c r="USQ1590" i="1"/>
  <c r="USP1590" i="1"/>
  <c r="USO1590" i="1"/>
  <c r="USN1590" i="1"/>
  <c r="USM1590" i="1"/>
  <c r="USL1590" i="1"/>
  <c r="USK1590" i="1"/>
  <c r="USJ1590" i="1"/>
  <c r="USI1590" i="1"/>
  <c r="USH1590" i="1"/>
  <c r="USG1590" i="1"/>
  <c r="USF1590" i="1"/>
  <c r="USE1590" i="1"/>
  <c r="USD1590" i="1"/>
  <c r="USC1590" i="1"/>
  <c r="USB1590" i="1"/>
  <c r="USA1590" i="1"/>
  <c r="URZ1590" i="1"/>
  <c r="URY1590" i="1"/>
  <c r="URX1590" i="1"/>
  <c r="URW1590" i="1"/>
  <c r="URV1590" i="1"/>
  <c r="URU1590" i="1"/>
  <c r="URT1590" i="1"/>
  <c r="URS1590" i="1"/>
  <c r="URR1590" i="1"/>
  <c r="URQ1590" i="1"/>
  <c r="URP1590" i="1"/>
  <c r="URO1590" i="1"/>
  <c r="URN1590" i="1"/>
  <c r="URM1590" i="1"/>
  <c r="URL1590" i="1"/>
  <c r="URK1590" i="1"/>
  <c r="URJ1590" i="1"/>
  <c r="URI1590" i="1"/>
  <c r="URH1590" i="1"/>
  <c r="URG1590" i="1"/>
  <c r="URF1590" i="1"/>
  <c r="URE1590" i="1"/>
  <c r="URD1590" i="1"/>
  <c r="URC1590" i="1"/>
  <c r="URB1590" i="1"/>
  <c r="URA1590" i="1"/>
  <c r="UQZ1590" i="1"/>
  <c r="UQY1590" i="1"/>
  <c r="UQX1590" i="1"/>
  <c r="UQW1590" i="1"/>
  <c r="UQV1590" i="1"/>
  <c r="UQU1590" i="1"/>
  <c r="UQT1590" i="1"/>
  <c r="UQS1590" i="1"/>
  <c r="UQR1590" i="1"/>
  <c r="UQQ1590" i="1"/>
  <c r="UQP1590" i="1"/>
  <c r="UQO1590" i="1"/>
  <c r="UQN1590" i="1"/>
  <c r="UQM1590" i="1"/>
  <c r="UQL1590" i="1"/>
  <c r="UQK1590" i="1"/>
  <c r="UQJ1590" i="1"/>
  <c r="UQI1590" i="1"/>
  <c r="UQH1590" i="1"/>
  <c r="UQG1590" i="1"/>
  <c r="UQF1590" i="1"/>
  <c r="UQE1590" i="1"/>
  <c r="UQD1590" i="1"/>
  <c r="UQC1590" i="1"/>
  <c r="UQB1590" i="1"/>
  <c r="UQA1590" i="1"/>
  <c r="UPZ1590" i="1"/>
  <c r="UPY1590" i="1"/>
  <c r="UPX1590" i="1"/>
  <c r="UPW1590" i="1"/>
  <c r="UPV1590" i="1"/>
  <c r="UPU1590" i="1"/>
  <c r="UPT1590" i="1"/>
  <c r="UPS1590" i="1"/>
  <c r="UPR1590" i="1"/>
  <c r="UPQ1590" i="1"/>
  <c r="UPP1590" i="1"/>
  <c r="UPO1590" i="1"/>
  <c r="UPN1590" i="1"/>
  <c r="UPM1590" i="1"/>
  <c r="UPL1590" i="1"/>
  <c r="UPK1590" i="1"/>
  <c r="UPJ1590" i="1"/>
  <c r="UPI1590" i="1"/>
  <c r="UPH1590" i="1"/>
  <c r="UPG1590" i="1"/>
  <c r="UPF1590" i="1"/>
  <c r="UPE1590" i="1"/>
  <c r="UPD1590" i="1"/>
  <c r="UPC1590" i="1"/>
  <c r="UPB1590" i="1"/>
  <c r="UPA1590" i="1"/>
  <c r="UOZ1590" i="1"/>
  <c r="UOY1590" i="1"/>
  <c r="UOX1590" i="1"/>
  <c r="UOW1590" i="1"/>
  <c r="UOV1590" i="1"/>
  <c r="UOU1590" i="1"/>
  <c r="UOT1590" i="1"/>
  <c r="UOS1590" i="1"/>
  <c r="UOR1590" i="1"/>
  <c r="UOQ1590" i="1"/>
  <c r="UOP1590" i="1"/>
  <c r="UOO1590" i="1"/>
  <c r="UON1590" i="1"/>
  <c r="UOM1590" i="1"/>
  <c r="UOL1590" i="1"/>
  <c r="UOK1590" i="1"/>
  <c r="UOJ1590" i="1"/>
  <c r="UOI1590" i="1"/>
  <c r="UOH1590" i="1"/>
  <c r="UOG1590" i="1"/>
  <c r="UOF1590" i="1"/>
  <c r="UOE1590" i="1"/>
  <c r="UOD1590" i="1"/>
  <c r="UOC1590" i="1"/>
  <c r="UOB1590" i="1"/>
  <c r="UOA1590" i="1"/>
  <c r="UNZ1590" i="1"/>
  <c r="UNY1590" i="1"/>
  <c r="UNX1590" i="1"/>
  <c r="UNW1590" i="1"/>
  <c r="UNV1590" i="1"/>
  <c r="UNU1590" i="1"/>
  <c r="UNT1590" i="1"/>
  <c r="UNS1590" i="1"/>
  <c r="UNR1590" i="1"/>
  <c r="UNQ1590" i="1"/>
  <c r="UNP1590" i="1"/>
  <c r="UNO1590" i="1"/>
  <c r="UNN1590" i="1"/>
  <c r="UNM1590" i="1"/>
  <c r="UNL1590" i="1"/>
  <c r="UNK1590" i="1"/>
  <c r="UNJ1590" i="1"/>
  <c r="UNI1590" i="1"/>
  <c r="UNH1590" i="1"/>
  <c r="UNG1590" i="1"/>
  <c r="UNF1590" i="1"/>
  <c r="UNE1590" i="1"/>
  <c r="UND1590" i="1"/>
  <c r="UNC1590" i="1"/>
  <c r="UNB1590" i="1"/>
  <c r="UNA1590" i="1"/>
  <c r="UMZ1590" i="1"/>
  <c r="UMY1590" i="1"/>
  <c r="UMX1590" i="1"/>
  <c r="UMW1590" i="1"/>
  <c r="UMV1590" i="1"/>
  <c r="UMU1590" i="1"/>
  <c r="UMT1590" i="1"/>
  <c r="UMS1590" i="1"/>
  <c r="UMR1590" i="1"/>
  <c r="UMQ1590" i="1"/>
  <c r="UMP1590" i="1"/>
  <c r="UMO1590" i="1"/>
  <c r="UMN1590" i="1"/>
  <c r="UMM1590" i="1"/>
  <c r="UML1590" i="1"/>
  <c r="UMK1590" i="1"/>
  <c r="UMJ1590" i="1"/>
  <c r="UMI1590" i="1"/>
  <c r="UMH1590" i="1"/>
  <c r="UMG1590" i="1"/>
  <c r="UMF1590" i="1"/>
  <c r="UME1590" i="1"/>
  <c r="UMD1590" i="1"/>
  <c r="UMC1590" i="1"/>
  <c r="UMB1590" i="1"/>
  <c r="UMA1590" i="1"/>
  <c r="ULZ1590" i="1"/>
  <c r="ULY1590" i="1"/>
  <c r="ULX1590" i="1"/>
  <c r="ULW1590" i="1"/>
  <c r="ULV1590" i="1"/>
  <c r="ULU1590" i="1"/>
  <c r="ULT1590" i="1"/>
  <c r="ULS1590" i="1"/>
  <c r="ULR1590" i="1"/>
  <c r="ULQ1590" i="1"/>
  <c r="ULP1590" i="1"/>
  <c r="ULO1590" i="1"/>
  <c r="ULN1590" i="1"/>
  <c r="ULM1590" i="1"/>
  <c r="ULL1590" i="1"/>
  <c r="ULK1590" i="1"/>
  <c r="ULJ1590" i="1"/>
  <c r="ULI1590" i="1"/>
  <c r="ULH1590" i="1"/>
  <c r="ULG1590" i="1"/>
  <c r="ULF1590" i="1"/>
  <c r="ULE1590" i="1"/>
  <c r="ULD1590" i="1"/>
  <c r="ULC1590" i="1"/>
  <c r="ULB1590" i="1"/>
  <c r="ULA1590" i="1"/>
  <c r="UKZ1590" i="1"/>
  <c r="UKY1590" i="1"/>
  <c r="UKX1590" i="1"/>
  <c r="UKW1590" i="1"/>
  <c r="UKV1590" i="1"/>
  <c r="UKU1590" i="1"/>
  <c r="UKT1590" i="1"/>
  <c r="UKS1590" i="1"/>
  <c r="UKR1590" i="1"/>
  <c r="UKQ1590" i="1"/>
  <c r="UKP1590" i="1"/>
  <c r="UKO1590" i="1"/>
  <c r="UKN1590" i="1"/>
  <c r="UKM1590" i="1"/>
  <c r="UKL1590" i="1"/>
  <c r="UKK1590" i="1"/>
  <c r="UKJ1590" i="1"/>
  <c r="UKI1590" i="1"/>
  <c r="UKH1590" i="1"/>
  <c r="UKG1590" i="1"/>
  <c r="UKF1590" i="1"/>
  <c r="UKE1590" i="1"/>
  <c r="UKD1590" i="1"/>
  <c r="UKC1590" i="1"/>
  <c r="UKB1590" i="1"/>
  <c r="UKA1590" i="1"/>
  <c r="UJZ1590" i="1"/>
  <c r="UJY1590" i="1"/>
  <c r="UJX1590" i="1"/>
  <c r="UJW1590" i="1"/>
  <c r="UJV1590" i="1"/>
  <c r="UJU1590" i="1"/>
  <c r="UJT1590" i="1"/>
  <c r="UJS1590" i="1"/>
  <c r="UJR1590" i="1"/>
  <c r="UJQ1590" i="1"/>
  <c r="UJP1590" i="1"/>
  <c r="UJO1590" i="1"/>
  <c r="UJN1590" i="1"/>
  <c r="UJM1590" i="1"/>
  <c r="UJL1590" i="1"/>
  <c r="UJK1590" i="1"/>
  <c r="UJJ1590" i="1"/>
  <c r="UJI1590" i="1"/>
  <c r="UJH1590" i="1"/>
  <c r="UJG1590" i="1"/>
  <c r="UJF1590" i="1"/>
  <c r="UJE1590" i="1"/>
  <c r="UJD1590" i="1"/>
  <c r="UJC1590" i="1"/>
  <c r="UJB1590" i="1"/>
  <c r="UJA1590" i="1"/>
  <c r="UIZ1590" i="1"/>
  <c r="UIY1590" i="1"/>
  <c r="UIX1590" i="1"/>
  <c r="UIW1590" i="1"/>
  <c r="UIV1590" i="1"/>
  <c r="UIU1590" i="1"/>
  <c r="UIT1590" i="1"/>
  <c r="UIS1590" i="1"/>
  <c r="UIR1590" i="1"/>
  <c r="UIQ1590" i="1"/>
  <c r="UIP1590" i="1"/>
  <c r="UIO1590" i="1"/>
  <c r="UIN1590" i="1"/>
  <c r="UIM1590" i="1"/>
  <c r="UIL1590" i="1"/>
  <c r="UIK1590" i="1"/>
  <c r="UIJ1590" i="1"/>
  <c r="UII1590" i="1"/>
  <c r="UIH1590" i="1"/>
  <c r="UIG1590" i="1"/>
  <c r="UIF1590" i="1"/>
  <c r="UIE1590" i="1"/>
  <c r="UID1590" i="1"/>
  <c r="UIC1590" i="1"/>
  <c r="UIB1590" i="1"/>
  <c r="UIA1590" i="1"/>
  <c r="UHZ1590" i="1"/>
  <c r="UHY1590" i="1"/>
  <c r="UHX1590" i="1"/>
  <c r="UHW1590" i="1"/>
  <c r="UHV1590" i="1"/>
  <c r="UHU1590" i="1"/>
  <c r="UHT1590" i="1"/>
  <c r="UHS1590" i="1"/>
  <c r="UHR1590" i="1"/>
  <c r="UHQ1590" i="1"/>
  <c r="UHP1590" i="1"/>
  <c r="UHO1590" i="1"/>
  <c r="UHN1590" i="1"/>
  <c r="UHM1590" i="1"/>
  <c r="UHL1590" i="1"/>
  <c r="UHK1590" i="1"/>
  <c r="UHJ1590" i="1"/>
  <c r="UHI1590" i="1"/>
  <c r="UHH1590" i="1"/>
  <c r="UHG1590" i="1"/>
  <c r="UHF1590" i="1"/>
  <c r="UHE1590" i="1"/>
  <c r="UHD1590" i="1"/>
  <c r="UHC1590" i="1"/>
  <c r="UHB1590" i="1"/>
  <c r="UHA1590" i="1"/>
  <c r="UGZ1590" i="1"/>
  <c r="UGY1590" i="1"/>
  <c r="UGX1590" i="1"/>
  <c r="UGW1590" i="1"/>
  <c r="UGV1590" i="1"/>
  <c r="UGU1590" i="1"/>
  <c r="UGT1590" i="1"/>
  <c r="UGS1590" i="1"/>
  <c r="UGR1590" i="1"/>
  <c r="UGQ1590" i="1"/>
  <c r="UGP1590" i="1"/>
  <c r="UGO1590" i="1"/>
  <c r="UGN1590" i="1"/>
  <c r="UGM1590" i="1"/>
  <c r="UGL1590" i="1"/>
  <c r="UGK1590" i="1"/>
  <c r="UGJ1590" i="1"/>
  <c r="UGI1590" i="1"/>
  <c r="UGH1590" i="1"/>
  <c r="UGG1590" i="1"/>
  <c r="UGF1590" i="1"/>
  <c r="UGE1590" i="1"/>
  <c r="UGD1590" i="1"/>
  <c r="UGC1590" i="1"/>
  <c r="UGB1590" i="1"/>
  <c r="UGA1590" i="1"/>
  <c r="UFZ1590" i="1"/>
  <c r="UFY1590" i="1"/>
  <c r="UFX1590" i="1"/>
  <c r="UFW1590" i="1"/>
  <c r="UFV1590" i="1"/>
  <c r="UFU1590" i="1"/>
  <c r="UFT1590" i="1"/>
  <c r="UFS1590" i="1"/>
  <c r="UFR1590" i="1"/>
  <c r="UFQ1590" i="1"/>
  <c r="UFP1590" i="1"/>
  <c r="UFO1590" i="1"/>
  <c r="UFN1590" i="1"/>
  <c r="UFM1590" i="1"/>
  <c r="UFL1590" i="1"/>
  <c r="UFK1590" i="1"/>
  <c r="UFJ1590" i="1"/>
  <c r="UFI1590" i="1"/>
  <c r="UFH1590" i="1"/>
  <c r="UFG1590" i="1"/>
  <c r="UFF1590" i="1"/>
  <c r="UFE1590" i="1"/>
  <c r="UFD1590" i="1"/>
  <c r="UFC1590" i="1"/>
  <c r="UFB1590" i="1"/>
  <c r="UFA1590" i="1"/>
  <c r="UEZ1590" i="1"/>
  <c r="UEY1590" i="1"/>
  <c r="UEX1590" i="1"/>
  <c r="UEW1590" i="1"/>
  <c r="UEV1590" i="1"/>
  <c r="UEU1590" i="1"/>
  <c r="UET1590" i="1"/>
  <c r="UES1590" i="1"/>
  <c r="UER1590" i="1"/>
  <c r="UEQ1590" i="1"/>
  <c r="UEP1590" i="1"/>
  <c r="UEO1590" i="1"/>
  <c r="UEN1590" i="1"/>
  <c r="UEM1590" i="1"/>
  <c r="UEL1590" i="1"/>
  <c r="UEK1590" i="1"/>
  <c r="UEJ1590" i="1"/>
  <c r="UEI1590" i="1"/>
  <c r="UEH1590" i="1"/>
  <c r="UEG1590" i="1"/>
  <c r="UEF1590" i="1"/>
  <c r="UEE1590" i="1"/>
  <c r="UED1590" i="1"/>
  <c r="UEC1590" i="1"/>
  <c r="UEB1590" i="1"/>
  <c r="UEA1590" i="1"/>
  <c r="UDZ1590" i="1"/>
  <c r="UDY1590" i="1"/>
  <c r="UDX1590" i="1"/>
  <c r="UDW1590" i="1"/>
  <c r="UDV1590" i="1"/>
  <c r="UDU1590" i="1"/>
  <c r="UDT1590" i="1"/>
  <c r="UDS1590" i="1"/>
  <c r="UDR1590" i="1"/>
  <c r="UDQ1590" i="1"/>
  <c r="UDP1590" i="1"/>
  <c r="UDO1590" i="1"/>
  <c r="UDN1590" i="1"/>
  <c r="UDM1590" i="1"/>
  <c r="UDL1590" i="1"/>
  <c r="UDK1590" i="1"/>
  <c r="UDJ1590" i="1"/>
  <c r="UDI1590" i="1"/>
  <c r="UDH1590" i="1"/>
  <c r="UDG1590" i="1"/>
  <c r="UDF1590" i="1"/>
  <c r="UDE1590" i="1"/>
  <c r="UDD1590" i="1"/>
  <c r="UDC1590" i="1"/>
  <c r="UDB1590" i="1"/>
  <c r="UDA1590" i="1"/>
  <c r="UCZ1590" i="1"/>
  <c r="UCY1590" i="1"/>
  <c r="UCX1590" i="1"/>
  <c r="UCW1590" i="1"/>
  <c r="UCV1590" i="1"/>
  <c r="UCU1590" i="1"/>
  <c r="UCT1590" i="1"/>
  <c r="UCS1590" i="1"/>
  <c r="UCR1590" i="1"/>
  <c r="UCQ1590" i="1"/>
  <c r="UCP1590" i="1"/>
  <c r="UCO1590" i="1"/>
  <c r="UCN1590" i="1"/>
  <c r="UCM1590" i="1"/>
  <c r="UCL1590" i="1"/>
  <c r="UCK1590" i="1"/>
  <c r="UCJ1590" i="1"/>
  <c r="UCI1590" i="1"/>
  <c r="UCH1590" i="1"/>
  <c r="UCG1590" i="1"/>
  <c r="UCF1590" i="1"/>
  <c r="UCE1590" i="1"/>
  <c r="UCD1590" i="1"/>
  <c r="UCC1590" i="1"/>
  <c r="UCB1590" i="1"/>
  <c r="UCA1590" i="1"/>
  <c r="UBZ1590" i="1"/>
  <c r="UBY1590" i="1"/>
  <c r="UBX1590" i="1"/>
  <c r="UBW1590" i="1"/>
  <c r="UBV1590" i="1"/>
  <c r="UBU1590" i="1"/>
  <c r="UBT1590" i="1"/>
  <c r="UBS1590" i="1"/>
  <c r="UBR1590" i="1"/>
  <c r="UBQ1590" i="1"/>
  <c r="UBP1590" i="1"/>
  <c r="UBO1590" i="1"/>
  <c r="UBN1590" i="1"/>
  <c r="UBM1590" i="1"/>
  <c r="UBL1590" i="1"/>
  <c r="UBK1590" i="1"/>
  <c r="UBJ1590" i="1"/>
  <c r="UBI1590" i="1"/>
  <c r="UBH1590" i="1"/>
  <c r="UBG1590" i="1"/>
  <c r="UBF1590" i="1"/>
  <c r="UBE1590" i="1"/>
  <c r="UBD1590" i="1"/>
  <c r="UBC1590" i="1"/>
  <c r="UBB1590" i="1"/>
  <c r="UBA1590" i="1"/>
  <c r="UAZ1590" i="1"/>
  <c r="UAY1590" i="1"/>
  <c r="UAX1590" i="1"/>
  <c r="UAW1590" i="1"/>
  <c r="UAV1590" i="1"/>
  <c r="UAU1590" i="1"/>
  <c r="UAT1590" i="1"/>
  <c r="UAS1590" i="1"/>
  <c r="UAR1590" i="1"/>
  <c r="UAQ1590" i="1"/>
  <c r="UAP1590" i="1"/>
  <c r="UAO1590" i="1"/>
  <c r="UAN1590" i="1"/>
  <c r="UAM1590" i="1"/>
  <c r="UAL1590" i="1"/>
  <c r="UAK1590" i="1"/>
  <c r="UAJ1590" i="1"/>
  <c r="UAI1590" i="1"/>
  <c r="UAH1590" i="1"/>
  <c r="UAG1590" i="1"/>
  <c r="UAF1590" i="1"/>
  <c r="UAE1590" i="1"/>
  <c r="UAD1590" i="1"/>
  <c r="UAC1590" i="1"/>
  <c r="UAB1590" i="1"/>
  <c r="UAA1590" i="1"/>
  <c r="TZZ1590" i="1"/>
  <c r="TZY1590" i="1"/>
  <c r="TZX1590" i="1"/>
  <c r="TZW1590" i="1"/>
  <c r="TZV1590" i="1"/>
  <c r="TZU1590" i="1"/>
  <c r="TZT1590" i="1"/>
  <c r="TZS1590" i="1"/>
  <c r="TZR1590" i="1"/>
  <c r="TZQ1590" i="1"/>
  <c r="TZP1590" i="1"/>
  <c r="TZO1590" i="1"/>
  <c r="TZN1590" i="1"/>
  <c r="TZM1590" i="1"/>
  <c r="TZL1590" i="1"/>
  <c r="TZK1590" i="1"/>
  <c r="TZJ1590" i="1"/>
  <c r="TZI1590" i="1"/>
  <c r="TZH1590" i="1"/>
  <c r="TZG1590" i="1"/>
  <c r="TZF1590" i="1"/>
  <c r="TZE1590" i="1"/>
  <c r="TZD1590" i="1"/>
  <c r="TZC1590" i="1"/>
  <c r="TZB1590" i="1"/>
  <c r="TZA1590" i="1"/>
  <c r="TYZ1590" i="1"/>
  <c r="TYY1590" i="1"/>
  <c r="TYX1590" i="1"/>
  <c r="TYW1590" i="1"/>
  <c r="TYV1590" i="1"/>
  <c r="TYU1590" i="1"/>
  <c r="TYT1590" i="1"/>
  <c r="TYS1590" i="1"/>
  <c r="TYR1590" i="1"/>
  <c r="TYQ1590" i="1"/>
  <c r="TYP1590" i="1"/>
  <c r="TYO1590" i="1"/>
  <c r="TYN1590" i="1"/>
  <c r="TYM1590" i="1"/>
  <c r="TYL1590" i="1"/>
  <c r="TYK1590" i="1"/>
  <c r="TYJ1590" i="1"/>
  <c r="TYI1590" i="1"/>
  <c r="TYH1590" i="1"/>
  <c r="TYG1590" i="1"/>
  <c r="TYF1590" i="1"/>
  <c r="TYE1590" i="1"/>
  <c r="TYD1590" i="1"/>
  <c r="TYC1590" i="1"/>
  <c r="TYB1590" i="1"/>
  <c r="TYA1590" i="1"/>
  <c r="TXZ1590" i="1"/>
  <c r="TXY1590" i="1"/>
  <c r="TXX1590" i="1"/>
  <c r="TXW1590" i="1"/>
  <c r="TXV1590" i="1"/>
  <c r="TXU1590" i="1"/>
  <c r="TXT1590" i="1"/>
  <c r="TXS1590" i="1"/>
  <c r="TXR1590" i="1"/>
  <c r="TXQ1590" i="1"/>
  <c r="TXP1590" i="1"/>
  <c r="TXO1590" i="1"/>
  <c r="TXN1590" i="1"/>
  <c r="TXM1590" i="1"/>
  <c r="TXL1590" i="1"/>
  <c r="TXK1590" i="1"/>
  <c r="TXJ1590" i="1"/>
  <c r="TXI1590" i="1"/>
  <c r="TXH1590" i="1"/>
  <c r="TXG1590" i="1"/>
  <c r="TXF1590" i="1"/>
  <c r="TXE1590" i="1"/>
  <c r="TXD1590" i="1"/>
  <c r="TXC1590" i="1"/>
  <c r="TXB1590" i="1"/>
  <c r="TXA1590" i="1"/>
  <c r="TWZ1590" i="1"/>
  <c r="TWY1590" i="1"/>
  <c r="TWX1590" i="1"/>
  <c r="TWW1590" i="1"/>
  <c r="TWV1590" i="1"/>
  <c r="TWU1590" i="1"/>
  <c r="TWT1590" i="1"/>
  <c r="TWS1590" i="1"/>
  <c r="TWR1590" i="1"/>
  <c r="TWQ1590" i="1"/>
  <c r="TWP1590" i="1"/>
  <c r="TWO1590" i="1"/>
  <c r="TWN1590" i="1"/>
  <c r="TWM1590" i="1"/>
  <c r="TWL1590" i="1"/>
  <c r="TWK1590" i="1"/>
  <c r="TWJ1590" i="1"/>
  <c r="TWI1590" i="1"/>
  <c r="TWH1590" i="1"/>
  <c r="TWG1590" i="1"/>
  <c r="TWF1590" i="1"/>
  <c r="TWE1590" i="1"/>
  <c r="TWD1590" i="1"/>
  <c r="TWC1590" i="1"/>
  <c r="TWB1590" i="1"/>
  <c r="TWA1590" i="1"/>
  <c r="TVZ1590" i="1"/>
  <c r="TVY1590" i="1"/>
  <c r="TVX1590" i="1"/>
  <c r="TVW1590" i="1"/>
  <c r="TVV1590" i="1"/>
  <c r="TVU1590" i="1"/>
  <c r="TVT1590" i="1"/>
  <c r="TVS1590" i="1"/>
  <c r="TVR1590" i="1"/>
  <c r="TVQ1590" i="1"/>
  <c r="TVP1590" i="1"/>
  <c r="TVO1590" i="1"/>
  <c r="TVN1590" i="1"/>
  <c r="TVM1590" i="1"/>
  <c r="TVL1590" i="1"/>
  <c r="TVK1590" i="1"/>
  <c r="TVJ1590" i="1"/>
  <c r="TVI1590" i="1"/>
  <c r="TVH1590" i="1"/>
  <c r="TVG1590" i="1"/>
  <c r="TVF1590" i="1"/>
  <c r="TVE1590" i="1"/>
  <c r="TVD1590" i="1"/>
  <c r="TVC1590" i="1"/>
  <c r="TVB1590" i="1"/>
  <c r="TVA1590" i="1"/>
  <c r="TUZ1590" i="1"/>
  <c r="TUY1590" i="1"/>
  <c r="TUX1590" i="1"/>
  <c r="TUW1590" i="1"/>
  <c r="TUV1590" i="1"/>
  <c r="TUU1590" i="1"/>
  <c r="TUT1590" i="1"/>
  <c r="TUS1590" i="1"/>
  <c r="TUR1590" i="1"/>
  <c r="TUQ1590" i="1"/>
  <c r="TUP1590" i="1"/>
  <c r="TUO1590" i="1"/>
  <c r="TUN1590" i="1"/>
  <c r="TUM1590" i="1"/>
  <c r="TUL1590" i="1"/>
  <c r="TUK1590" i="1"/>
  <c r="TUJ1590" i="1"/>
  <c r="TUI1590" i="1"/>
  <c r="TUH1590" i="1"/>
  <c r="TUG1590" i="1"/>
  <c r="TUF1590" i="1"/>
  <c r="TUE1590" i="1"/>
  <c r="TUD1590" i="1"/>
  <c r="TUC1590" i="1"/>
  <c r="TUB1590" i="1"/>
  <c r="TUA1590" i="1"/>
  <c r="TTZ1590" i="1"/>
  <c r="TTY1590" i="1"/>
  <c r="TTX1590" i="1"/>
  <c r="TTW1590" i="1"/>
  <c r="TTV1590" i="1"/>
  <c r="TTU1590" i="1"/>
  <c r="TTT1590" i="1"/>
  <c r="TTS1590" i="1"/>
  <c r="TTR1590" i="1"/>
  <c r="TTQ1590" i="1"/>
  <c r="TTP1590" i="1"/>
  <c r="TTO1590" i="1"/>
  <c r="TTN1590" i="1"/>
  <c r="TTM1590" i="1"/>
  <c r="TTL1590" i="1"/>
  <c r="TTK1590" i="1"/>
  <c r="TTJ1590" i="1"/>
  <c r="TTI1590" i="1"/>
  <c r="TTH1590" i="1"/>
  <c r="TTG1590" i="1"/>
  <c r="TTF1590" i="1"/>
  <c r="TTE1590" i="1"/>
  <c r="TTD1590" i="1"/>
  <c r="TTC1590" i="1"/>
  <c r="TTB1590" i="1"/>
  <c r="TTA1590" i="1"/>
  <c r="TSZ1590" i="1"/>
  <c r="TSY1590" i="1"/>
  <c r="TSX1590" i="1"/>
  <c r="TSW1590" i="1"/>
  <c r="TSV1590" i="1"/>
  <c r="TSU1590" i="1"/>
  <c r="TST1590" i="1"/>
  <c r="TSS1590" i="1"/>
  <c r="TSR1590" i="1"/>
  <c r="TSQ1590" i="1"/>
  <c r="TSP1590" i="1"/>
  <c r="TSO1590" i="1"/>
  <c r="TSN1590" i="1"/>
  <c r="TSM1590" i="1"/>
  <c r="TSL1590" i="1"/>
  <c r="TSK1590" i="1"/>
  <c r="TSJ1590" i="1"/>
  <c r="TSI1590" i="1"/>
  <c r="TSH1590" i="1"/>
  <c r="TSG1590" i="1"/>
  <c r="TSF1590" i="1"/>
  <c r="TSE1590" i="1"/>
  <c r="TSD1590" i="1"/>
  <c r="TSC1590" i="1"/>
  <c r="TSB1590" i="1"/>
  <c r="TSA1590" i="1"/>
  <c r="TRZ1590" i="1"/>
  <c r="TRY1590" i="1"/>
  <c r="TRX1590" i="1"/>
  <c r="TRW1590" i="1"/>
  <c r="TRV1590" i="1"/>
  <c r="TRU1590" i="1"/>
  <c r="TRT1590" i="1"/>
  <c r="TRS1590" i="1"/>
  <c r="TRR1590" i="1"/>
  <c r="TRQ1590" i="1"/>
  <c r="TRP1590" i="1"/>
  <c r="TRO1590" i="1"/>
  <c r="TRN1590" i="1"/>
  <c r="TRM1590" i="1"/>
  <c r="TRL1590" i="1"/>
  <c r="TRK1590" i="1"/>
  <c r="TRJ1590" i="1"/>
  <c r="TRI1590" i="1"/>
  <c r="TRH1590" i="1"/>
  <c r="TRG1590" i="1"/>
  <c r="TRF1590" i="1"/>
  <c r="TRE1590" i="1"/>
  <c r="TRD1590" i="1"/>
  <c r="TRC1590" i="1"/>
  <c r="TRB1590" i="1"/>
  <c r="TRA1590" i="1"/>
  <c r="TQZ1590" i="1"/>
  <c r="TQY1590" i="1"/>
  <c r="TQX1590" i="1"/>
  <c r="TQW1590" i="1"/>
  <c r="TQV1590" i="1"/>
  <c r="TQU1590" i="1"/>
  <c r="TQT1590" i="1"/>
  <c r="TQS1590" i="1"/>
  <c r="TQR1590" i="1"/>
  <c r="TQQ1590" i="1"/>
  <c r="TQP1590" i="1"/>
  <c r="TQO1590" i="1"/>
  <c r="TQN1590" i="1"/>
  <c r="TQM1590" i="1"/>
  <c r="TQL1590" i="1"/>
  <c r="TQK1590" i="1"/>
  <c r="TQJ1590" i="1"/>
  <c r="TQI1590" i="1"/>
  <c r="TQH1590" i="1"/>
  <c r="TQG1590" i="1"/>
  <c r="TQF1590" i="1"/>
  <c r="TQE1590" i="1"/>
  <c r="TQD1590" i="1"/>
  <c r="TQC1590" i="1"/>
  <c r="TQB1590" i="1"/>
  <c r="TQA1590" i="1"/>
  <c r="TPZ1590" i="1"/>
  <c r="TPY1590" i="1"/>
  <c r="TPX1590" i="1"/>
  <c r="TPW1590" i="1"/>
  <c r="TPV1590" i="1"/>
  <c r="TPU1590" i="1"/>
  <c r="TPT1590" i="1"/>
  <c r="TPS1590" i="1"/>
  <c r="TPR1590" i="1"/>
  <c r="TPQ1590" i="1"/>
  <c r="TPP1590" i="1"/>
  <c r="TPO1590" i="1"/>
  <c r="TPN1590" i="1"/>
  <c r="TPM1590" i="1"/>
  <c r="TPL1590" i="1"/>
  <c r="TPK1590" i="1"/>
  <c r="TPJ1590" i="1"/>
  <c r="TPI1590" i="1"/>
  <c r="TPH1590" i="1"/>
  <c r="TPG1590" i="1"/>
  <c r="TPF1590" i="1"/>
  <c r="TPE1590" i="1"/>
  <c r="TPD1590" i="1"/>
  <c r="TPC1590" i="1"/>
  <c r="TPB1590" i="1"/>
  <c r="TPA1590" i="1"/>
  <c r="TOZ1590" i="1"/>
  <c r="TOY1590" i="1"/>
  <c r="TOX1590" i="1"/>
  <c r="TOW1590" i="1"/>
  <c r="TOV1590" i="1"/>
  <c r="TOU1590" i="1"/>
  <c r="TOT1590" i="1"/>
  <c r="TOS1590" i="1"/>
  <c r="TOR1590" i="1"/>
  <c r="TOQ1590" i="1"/>
  <c r="TOP1590" i="1"/>
  <c r="TOO1590" i="1"/>
  <c r="TON1590" i="1"/>
  <c r="TOM1590" i="1"/>
  <c r="TOL1590" i="1"/>
  <c r="TOK1590" i="1"/>
  <c r="TOJ1590" i="1"/>
  <c r="TOI1590" i="1"/>
  <c r="TOH1590" i="1"/>
  <c r="TOG1590" i="1"/>
  <c r="TOF1590" i="1"/>
  <c r="TOE1590" i="1"/>
  <c r="TOD1590" i="1"/>
  <c r="TOC1590" i="1"/>
  <c r="TOB1590" i="1"/>
  <c r="TOA1590" i="1"/>
  <c r="TNZ1590" i="1"/>
  <c r="TNY1590" i="1"/>
  <c r="TNX1590" i="1"/>
  <c r="TNW1590" i="1"/>
  <c r="TNV1590" i="1"/>
  <c r="TNU1590" i="1"/>
  <c r="TNT1590" i="1"/>
  <c r="TNS1590" i="1"/>
  <c r="TNR1590" i="1"/>
  <c r="TNQ1590" i="1"/>
  <c r="TNP1590" i="1"/>
  <c r="TNO1590" i="1"/>
  <c r="TNN1590" i="1"/>
  <c r="TNM1590" i="1"/>
  <c r="TNL1590" i="1"/>
  <c r="TNK1590" i="1"/>
  <c r="TNJ1590" i="1"/>
  <c r="TNI1590" i="1"/>
  <c r="TNH1590" i="1"/>
  <c r="TNG1590" i="1"/>
  <c r="TNF1590" i="1"/>
  <c r="TNE1590" i="1"/>
  <c r="TND1590" i="1"/>
  <c r="TNC1590" i="1"/>
  <c r="TNB1590" i="1"/>
  <c r="TNA1590" i="1"/>
  <c r="TMZ1590" i="1"/>
  <c r="TMY1590" i="1"/>
  <c r="TMX1590" i="1"/>
  <c r="TMW1590" i="1"/>
  <c r="TMV1590" i="1"/>
  <c r="TMU1590" i="1"/>
  <c r="TMT1590" i="1"/>
  <c r="TMS1590" i="1"/>
  <c r="TMR1590" i="1"/>
  <c r="TMQ1590" i="1"/>
  <c r="TMP1590" i="1"/>
  <c r="TMO1590" i="1"/>
  <c r="TMN1590" i="1"/>
  <c r="TMM1590" i="1"/>
  <c r="TML1590" i="1"/>
  <c r="TMK1590" i="1"/>
  <c r="TMJ1590" i="1"/>
  <c r="TMI1590" i="1"/>
  <c r="TMH1590" i="1"/>
  <c r="TMG1590" i="1"/>
  <c r="TMF1590" i="1"/>
  <c r="TME1590" i="1"/>
  <c r="TMD1590" i="1"/>
  <c r="TMC1590" i="1"/>
  <c r="TMB1590" i="1"/>
  <c r="TMA1590" i="1"/>
  <c r="TLZ1590" i="1"/>
  <c r="TLY1590" i="1"/>
  <c r="TLX1590" i="1"/>
  <c r="TLW1590" i="1"/>
  <c r="TLV1590" i="1"/>
  <c r="TLU1590" i="1"/>
  <c r="TLT1590" i="1"/>
  <c r="TLS1590" i="1"/>
  <c r="TLR1590" i="1"/>
  <c r="TLQ1590" i="1"/>
  <c r="TLP1590" i="1"/>
  <c r="TLO1590" i="1"/>
  <c r="TLN1590" i="1"/>
  <c r="TLM1590" i="1"/>
  <c r="TLL1590" i="1"/>
  <c r="TLK1590" i="1"/>
  <c r="TLJ1590" i="1"/>
  <c r="TLI1590" i="1"/>
  <c r="TLH1590" i="1"/>
  <c r="TLG1590" i="1"/>
  <c r="TLF1590" i="1"/>
  <c r="TLE1590" i="1"/>
  <c r="TLD1590" i="1"/>
  <c r="TLC1590" i="1"/>
  <c r="TLB1590" i="1"/>
  <c r="TLA1590" i="1"/>
  <c r="TKZ1590" i="1"/>
  <c r="TKY1590" i="1"/>
  <c r="TKX1590" i="1"/>
  <c r="TKW1590" i="1"/>
  <c r="TKV1590" i="1"/>
  <c r="TKU1590" i="1"/>
  <c r="TKT1590" i="1"/>
  <c r="TKS1590" i="1"/>
  <c r="TKR1590" i="1"/>
  <c r="TKQ1590" i="1"/>
  <c r="TKP1590" i="1"/>
  <c r="TKO1590" i="1"/>
  <c r="TKN1590" i="1"/>
  <c r="TKM1590" i="1"/>
  <c r="TKL1590" i="1"/>
  <c r="TKK1590" i="1"/>
  <c r="TKJ1590" i="1"/>
  <c r="TKI1590" i="1"/>
  <c r="TKH1590" i="1"/>
  <c r="TKG1590" i="1"/>
  <c r="TKF1590" i="1"/>
  <c r="TKE1590" i="1"/>
  <c r="TKD1590" i="1"/>
  <c r="TKC1590" i="1"/>
  <c r="TKB1590" i="1"/>
  <c r="TKA1590" i="1"/>
  <c r="TJZ1590" i="1"/>
  <c r="TJY1590" i="1"/>
  <c r="TJX1590" i="1"/>
  <c r="TJW1590" i="1"/>
  <c r="TJV1590" i="1"/>
  <c r="TJU1590" i="1"/>
  <c r="TJT1590" i="1"/>
  <c r="TJS1590" i="1"/>
  <c r="TJR1590" i="1"/>
  <c r="TJQ1590" i="1"/>
  <c r="TJP1590" i="1"/>
  <c r="TJO1590" i="1"/>
  <c r="TJN1590" i="1"/>
  <c r="TJM1590" i="1"/>
  <c r="TJL1590" i="1"/>
  <c r="TJK1590" i="1"/>
  <c r="TJJ1590" i="1"/>
  <c r="TJI1590" i="1"/>
  <c r="TJH1590" i="1"/>
  <c r="TJG1590" i="1"/>
  <c r="TJF1590" i="1"/>
  <c r="TJE1590" i="1"/>
  <c r="TJD1590" i="1"/>
  <c r="TJC1590" i="1"/>
  <c r="TJB1590" i="1"/>
  <c r="TJA1590" i="1"/>
  <c r="TIZ1590" i="1"/>
  <c r="TIY1590" i="1"/>
  <c r="TIX1590" i="1"/>
  <c r="TIW1590" i="1"/>
  <c r="TIV1590" i="1"/>
  <c r="TIU1590" i="1"/>
  <c r="TIT1590" i="1"/>
  <c r="TIS1590" i="1"/>
  <c r="TIR1590" i="1"/>
  <c r="TIQ1590" i="1"/>
  <c r="TIP1590" i="1"/>
  <c r="TIO1590" i="1"/>
  <c r="TIN1590" i="1"/>
  <c r="TIM1590" i="1"/>
  <c r="TIL1590" i="1"/>
  <c r="TIK1590" i="1"/>
  <c r="TIJ1590" i="1"/>
  <c r="TII1590" i="1"/>
  <c r="TIH1590" i="1"/>
  <c r="TIG1590" i="1"/>
  <c r="TIF1590" i="1"/>
  <c r="TIE1590" i="1"/>
  <c r="TID1590" i="1"/>
  <c r="TIC1590" i="1"/>
  <c r="TIB1590" i="1"/>
  <c r="TIA1590" i="1"/>
  <c r="THZ1590" i="1"/>
  <c r="THY1590" i="1"/>
  <c r="THX1590" i="1"/>
  <c r="THW1590" i="1"/>
  <c r="THV1590" i="1"/>
  <c r="THU1590" i="1"/>
  <c r="THT1590" i="1"/>
  <c r="THS1590" i="1"/>
  <c r="THR1590" i="1"/>
  <c r="THQ1590" i="1"/>
  <c r="THP1590" i="1"/>
  <c r="THO1590" i="1"/>
  <c r="THN1590" i="1"/>
  <c r="THM1590" i="1"/>
  <c r="THL1590" i="1"/>
  <c r="THK1590" i="1"/>
  <c r="THJ1590" i="1"/>
  <c r="THI1590" i="1"/>
  <c r="THH1590" i="1"/>
  <c r="THG1590" i="1"/>
  <c r="THF1590" i="1"/>
  <c r="THE1590" i="1"/>
  <c r="THD1590" i="1"/>
  <c r="THC1590" i="1"/>
  <c r="THB1590" i="1"/>
  <c r="THA1590" i="1"/>
  <c r="TGZ1590" i="1"/>
  <c r="TGY1590" i="1"/>
  <c r="TGX1590" i="1"/>
  <c r="TGW1590" i="1"/>
  <c r="TGV1590" i="1"/>
  <c r="TGU1590" i="1"/>
  <c r="TGT1590" i="1"/>
  <c r="TGS1590" i="1"/>
  <c r="TGR1590" i="1"/>
  <c r="TGQ1590" i="1"/>
  <c r="TGP1590" i="1"/>
  <c r="TGO1590" i="1"/>
  <c r="TGN1590" i="1"/>
  <c r="TGM1590" i="1"/>
  <c r="TGL1590" i="1"/>
  <c r="TGK1590" i="1"/>
  <c r="TGJ1590" i="1"/>
  <c r="TGI1590" i="1"/>
  <c r="TGH1590" i="1"/>
  <c r="TGG1590" i="1"/>
  <c r="TGF1590" i="1"/>
  <c r="TGE1590" i="1"/>
  <c r="TGD1590" i="1"/>
  <c r="TGC1590" i="1"/>
  <c r="TGB1590" i="1"/>
  <c r="TGA1590" i="1"/>
  <c r="TFZ1590" i="1"/>
  <c r="TFY1590" i="1"/>
  <c r="TFX1590" i="1"/>
  <c r="TFW1590" i="1"/>
  <c r="TFV1590" i="1"/>
  <c r="TFU1590" i="1"/>
  <c r="TFT1590" i="1"/>
  <c r="TFS1590" i="1"/>
  <c r="TFR1590" i="1"/>
  <c r="TFQ1590" i="1"/>
  <c r="TFP1590" i="1"/>
  <c r="TFO1590" i="1"/>
  <c r="TFN1590" i="1"/>
  <c r="TFM1590" i="1"/>
  <c r="TFL1590" i="1"/>
  <c r="TFK1590" i="1"/>
  <c r="TFJ1590" i="1"/>
  <c r="TFI1590" i="1"/>
  <c r="TFH1590" i="1"/>
  <c r="TFG1590" i="1"/>
  <c r="TFF1590" i="1"/>
  <c r="TFE1590" i="1"/>
  <c r="TFD1590" i="1"/>
  <c r="TFC1590" i="1"/>
  <c r="TFB1590" i="1"/>
  <c r="TFA1590" i="1"/>
  <c r="TEZ1590" i="1"/>
  <c r="TEY1590" i="1"/>
  <c r="TEX1590" i="1"/>
  <c r="TEW1590" i="1"/>
  <c r="TEV1590" i="1"/>
  <c r="TEU1590" i="1"/>
  <c r="TET1590" i="1"/>
  <c r="TES1590" i="1"/>
  <c r="TER1590" i="1"/>
  <c r="TEQ1590" i="1"/>
  <c r="TEP1590" i="1"/>
  <c r="TEO1590" i="1"/>
  <c r="TEN1590" i="1"/>
  <c r="TEM1590" i="1"/>
  <c r="TEL1590" i="1"/>
  <c r="TEK1590" i="1"/>
  <c r="TEJ1590" i="1"/>
  <c r="TEI1590" i="1"/>
  <c r="TEH1590" i="1"/>
  <c r="TEG1590" i="1"/>
  <c r="TEF1590" i="1"/>
  <c r="TEE1590" i="1"/>
  <c r="TED1590" i="1"/>
  <c r="TEC1590" i="1"/>
  <c r="TEB1590" i="1"/>
  <c r="TEA1590" i="1"/>
  <c r="TDZ1590" i="1"/>
  <c r="TDY1590" i="1"/>
  <c r="TDX1590" i="1"/>
  <c r="TDW1590" i="1"/>
  <c r="TDV1590" i="1"/>
  <c r="TDU1590" i="1"/>
  <c r="TDT1590" i="1"/>
  <c r="TDS1590" i="1"/>
  <c r="TDR1590" i="1"/>
  <c r="TDQ1590" i="1"/>
  <c r="TDP1590" i="1"/>
  <c r="TDO1590" i="1"/>
  <c r="TDN1590" i="1"/>
  <c r="TDM1590" i="1"/>
  <c r="TDL1590" i="1"/>
  <c r="TDK1590" i="1"/>
  <c r="TDJ1590" i="1"/>
  <c r="TDI1590" i="1"/>
  <c r="TDH1590" i="1"/>
  <c r="TDG1590" i="1"/>
  <c r="TDF1590" i="1"/>
  <c r="TDE1590" i="1"/>
  <c r="TDD1590" i="1"/>
  <c r="TDC1590" i="1"/>
  <c r="TDB1590" i="1"/>
  <c r="TDA1590" i="1"/>
  <c r="TCZ1590" i="1"/>
  <c r="TCY1590" i="1"/>
  <c r="TCX1590" i="1"/>
  <c r="TCW1590" i="1"/>
  <c r="TCV1590" i="1"/>
  <c r="TCU1590" i="1"/>
  <c r="TCT1590" i="1"/>
  <c r="TCS1590" i="1"/>
  <c r="TCR1590" i="1"/>
  <c r="TCQ1590" i="1"/>
  <c r="TCP1590" i="1"/>
  <c r="TCO1590" i="1"/>
  <c r="TCN1590" i="1"/>
  <c r="TCM1590" i="1"/>
  <c r="TCL1590" i="1"/>
  <c r="TCK1590" i="1"/>
  <c r="TCJ1590" i="1"/>
  <c r="TCI1590" i="1"/>
  <c r="TCH1590" i="1"/>
  <c r="TCG1590" i="1"/>
  <c r="TCF1590" i="1"/>
  <c r="TCE1590" i="1"/>
  <c r="TCD1590" i="1"/>
  <c r="TCC1590" i="1"/>
  <c r="TCB1590" i="1"/>
  <c r="TCA1590" i="1"/>
  <c r="TBZ1590" i="1"/>
  <c r="TBY1590" i="1"/>
  <c r="TBX1590" i="1"/>
  <c r="TBW1590" i="1"/>
  <c r="TBV1590" i="1"/>
  <c r="TBU1590" i="1"/>
  <c r="TBT1590" i="1"/>
  <c r="TBS1590" i="1"/>
  <c r="TBR1590" i="1"/>
  <c r="TBQ1590" i="1"/>
  <c r="TBP1590" i="1"/>
  <c r="TBO1590" i="1"/>
  <c r="TBN1590" i="1"/>
  <c r="TBM1590" i="1"/>
  <c r="TBL1590" i="1"/>
  <c r="TBK1590" i="1"/>
  <c r="TBJ1590" i="1"/>
  <c r="TBI1590" i="1"/>
  <c r="TBH1590" i="1"/>
  <c r="TBG1590" i="1"/>
  <c r="TBF1590" i="1"/>
  <c r="TBE1590" i="1"/>
  <c r="TBD1590" i="1"/>
  <c r="TBC1590" i="1"/>
  <c r="TBB1590" i="1"/>
  <c r="TBA1590" i="1"/>
  <c r="TAZ1590" i="1"/>
  <c r="TAY1590" i="1"/>
  <c r="TAX1590" i="1"/>
  <c r="TAW1590" i="1"/>
  <c r="TAV1590" i="1"/>
  <c r="TAU1590" i="1"/>
  <c r="TAT1590" i="1"/>
  <c r="TAS1590" i="1"/>
  <c r="TAR1590" i="1"/>
  <c r="TAQ1590" i="1"/>
  <c r="TAP1590" i="1"/>
  <c r="TAO1590" i="1"/>
  <c r="TAN1590" i="1"/>
  <c r="TAM1590" i="1"/>
  <c r="TAL1590" i="1"/>
  <c r="TAK1590" i="1"/>
  <c r="TAJ1590" i="1"/>
  <c r="TAI1590" i="1"/>
  <c r="TAH1590" i="1"/>
  <c r="TAG1590" i="1"/>
  <c r="TAF1590" i="1"/>
  <c r="TAE1590" i="1"/>
  <c r="TAD1590" i="1"/>
  <c r="TAC1590" i="1"/>
  <c r="TAB1590" i="1"/>
  <c r="TAA1590" i="1"/>
  <c r="SZZ1590" i="1"/>
  <c r="SZY1590" i="1"/>
  <c r="SZX1590" i="1"/>
  <c r="SZW1590" i="1"/>
  <c r="SZV1590" i="1"/>
  <c r="SZU1590" i="1"/>
  <c r="SZT1590" i="1"/>
  <c r="SZS1590" i="1"/>
  <c r="SZR1590" i="1"/>
  <c r="SZQ1590" i="1"/>
  <c r="SZP1590" i="1"/>
  <c r="SZO1590" i="1"/>
  <c r="SZN1590" i="1"/>
  <c r="SZM1590" i="1"/>
  <c r="SZL1590" i="1"/>
  <c r="SZK1590" i="1"/>
  <c r="SZJ1590" i="1"/>
  <c r="SZI1590" i="1"/>
  <c r="SZH1590" i="1"/>
  <c r="SZG1590" i="1"/>
  <c r="SZF1590" i="1"/>
  <c r="SZE1590" i="1"/>
  <c r="SZD1590" i="1"/>
  <c r="SZC1590" i="1"/>
  <c r="SZB1590" i="1"/>
  <c r="SZA1590" i="1"/>
  <c r="SYZ1590" i="1"/>
  <c r="SYY1590" i="1"/>
  <c r="SYX1590" i="1"/>
  <c r="SYW1590" i="1"/>
  <c r="SYV1590" i="1"/>
  <c r="SYU1590" i="1"/>
  <c r="SYT1590" i="1"/>
  <c r="SYS1590" i="1"/>
  <c r="SYR1590" i="1"/>
  <c r="SYQ1590" i="1"/>
  <c r="SYP1590" i="1"/>
  <c r="SYO1590" i="1"/>
  <c r="SYN1590" i="1"/>
  <c r="SYM1590" i="1"/>
  <c r="SYL1590" i="1"/>
  <c r="SYK1590" i="1"/>
  <c r="SYJ1590" i="1"/>
  <c r="SYI1590" i="1"/>
  <c r="SYH1590" i="1"/>
  <c r="SYG1590" i="1"/>
  <c r="SYF1590" i="1"/>
  <c r="SYE1590" i="1"/>
  <c r="SYD1590" i="1"/>
  <c r="SYC1590" i="1"/>
  <c r="SYB1590" i="1"/>
  <c r="SYA1590" i="1"/>
  <c r="SXZ1590" i="1"/>
  <c r="SXY1590" i="1"/>
  <c r="SXX1590" i="1"/>
  <c r="SXW1590" i="1"/>
  <c r="SXV1590" i="1"/>
  <c r="SXU1590" i="1"/>
  <c r="SXT1590" i="1"/>
  <c r="SXS1590" i="1"/>
  <c r="SXR1590" i="1"/>
  <c r="SXQ1590" i="1"/>
  <c r="SXP1590" i="1"/>
  <c r="SXO1590" i="1"/>
  <c r="SXN1590" i="1"/>
  <c r="SXM1590" i="1"/>
  <c r="SXL1590" i="1"/>
  <c r="SXK1590" i="1"/>
  <c r="SXJ1590" i="1"/>
  <c r="SXI1590" i="1"/>
  <c r="SXH1590" i="1"/>
  <c r="SXG1590" i="1"/>
  <c r="SXF1590" i="1"/>
  <c r="SXE1590" i="1"/>
  <c r="SXD1590" i="1"/>
  <c r="SXC1590" i="1"/>
  <c r="SXB1590" i="1"/>
  <c r="SXA1590" i="1"/>
  <c r="SWZ1590" i="1"/>
  <c r="SWY1590" i="1"/>
  <c r="SWX1590" i="1"/>
  <c r="SWW1590" i="1"/>
  <c r="SWV1590" i="1"/>
  <c r="SWU1590" i="1"/>
  <c r="SWT1590" i="1"/>
  <c r="SWS1590" i="1"/>
  <c r="SWR1590" i="1"/>
  <c r="SWQ1590" i="1"/>
  <c r="SWP1590" i="1"/>
  <c r="SWO1590" i="1"/>
  <c r="SWN1590" i="1"/>
  <c r="SWM1590" i="1"/>
  <c r="SWL1590" i="1"/>
  <c r="SWK1590" i="1"/>
  <c r="SWJ1590" i="1"/>
  <c r="SWI1590" i="1"/>
  <c r="SWH1590" i="1"/>
  <c r="SWG1590" i="1"/>
  <c r="SWF1590" i="1"/>
  <c r="SWE1590" i="1"/>
  <c r="SWD1590" i="1"/>
  <c r="SWC1590" i="1"/>
  <c r="SWB1590" i="1"/>
  <c r="SWA1590" i="1"/>
  <c r="SVZ1590" i="1"/>
  <c r="SVY1590" i="1"/>
  <c r="SVX1590" i="1"/>
  <c r="SVW1590" i="1"/>
  <c r="SVV1590" i="1"/>
  <c r="SVU1590" i="1"/>
  <c r="SVT1590" i="1"/>
  <c r="SVS1590" i="1"/>
  <c r="SVR1590" i="1"/>
  <c r="SVQ1590" i="1"/>
  <c r="SVP1590" i="1"/>
  <c r="SVO1590" i="1"/>
  <c r="SVN1590" i="1"/>
  <c r="SVM1590" i="1"/>
  <c r="SVL1590" i="1"/>
  <c r="SVK1590" i="1"/>
  <c r="SVJ1590" i="1"/>
  <c r="SVI1590" i="1"/>
  <c r="SVH1590" i="1"/>
  <c r="SVG1590" i="1"/>
  <c r="SVF1590" i="1"/>
  <c r="SVE1590" i="1"/>
  <c r="SVD1590" i="1"/>
  <c r="SVC1590" i="1"/>
  <c r="SVB1590" i="1"/>
  <c r="SVA1590" i="1"/>
  <c r="SUZ1590" i="1"/>
  <c r="SUY1590" i="1"/>
  <c r="SUX1590" i="1"/>
  <c r="SUW1590" i="1"/>
  <c r="SUV1590" i="1"/>
  <c r="SUU1590" i="1"/>
  <c r="SUT1590" i="1"/>
  <c r="SUS1590" i="1"/>
  <c r="SUR1590" i="1"/>
  <c r="SUQ1590" i="1"/>
  <c r="SUP1590" i="1"/>
  <c r="SUO1590" i="1"/>
  <c r="SUN1590" i="1"/>
  <c r="SUM1590" i="1"/>
  <c r="SUL1590" i="1"/>
  <c r="SUK1590" i="1"/>
  <c r="SUJ1590" i="1"/>
  <c r="SUI1590" i="1"/>
  <c r="SUH1590" i="1"/>
  <c r="SUG1590" i="1"/>
  <c r="SUF1590" i="1"/>
  <c r="SUE1590" i="1"/>
  <c r="SUD1590" i="1"/>
  <c r="SUC1590" i="1"/>
  <c r="SUB1590" i="1"/>
  <c r="SUA1590" i="1"/>
  <c r="STZ1590" i="1"/>
  <c r="STY1590" i="1"/>
  <c r="STX1590" i="1"/>
  <c r="STW1590" i="1"/>
  <c r="STV1590" i="1"/>
  <c r="STU1590" i="1"/>
  <c r="STT1590" i="1"/>
  <c r="STS1590" i="1"/>
  <c r="STR1590" i="1"/>
  <c r="STQ1590" i="1"/>
  <c r="STP1590" i="1"/>
  <c r="STO1590" i="1"/>
  <c r="STN1590" i="1"/>
  <c r="STM1590" i="1"/>
  <c r="STL1590" i="1"/>
  <c r="STK1590" i="1"/>
  <c r="STJ1590" i="1"/>
  <c r="STI1590" i="1"/>
  <c r="STH1590" i="1"/>
  <c r="STG1590" i="1"/>
  <c r="STF1590" i="1"/>
  <c r="STE1590" i="1"/>
  <c r="STD1590" i="1"/>
  <c r="STC1590" i="1"/>
  <c r="STB1590" i="1"/>
  <c r="STA1590" i="1"/>
  <c r="SSZ1590" i="1"/>
  <c r="SSY1590" i="1"/>
  <c r="SSX1590" i="1"/>
  <c r="SSW1590" i="1"/>
  <c r="SSV1590" i="1"/>
  <c r="SSU1590" i="1"/>
  <c r="SST1590" i="1"/>
  <c r="SSS1590" i="1"/>
  <c r="SSR1590" i="1"/>
  <c r="SSQ1590" i="1"/>
  <c r="SSP1590" i="1"/>
  <c r="SSO1590" i="1"/>
  <c r="SSN1590" i="1"/>
  <c r="SSM1590" i="1"/>
  <c r="SSL1590" i="1"/>
  <c r="SSK1590" i="1"/>
  <c r="SSJ1590" i="1"/>
  <c r="SSI1590" i="1"/>
  <c r="SSH1590" i="1"/>
  <c r="SSG1590" i="1"/>
  <c r="SSF1590" i="1"/>
  <c r="SSE1590" i="1"/>
  <c r="SSD1590" i="1"/>
  <c r="SSC1590" i="1"/>
  <c r="SSB1590" i="1"/>
  <c r="SSA1590" i="1"/>
  <c r="SRZ1590" i="1"/>
  <c r="SRY1590" i="1"/>
  <c r="SRX1590" i="1"/>
  <c r="SRW1590" i="1"/>
  <c r="SRV1590" i="1"/>
  <c r="SRU1590" i="1"/>
  <c r="SRT1590" i="1"/>
  <c r="SRS1590" i="1"/>
  <c r="SRR1590" i="1"/>
  <c r="SRQ1590" i="1"/>
  <c r="SRP1590" i="1"/>
  <c r="SRO1590" i="1"/>
  <c r="SRN1590" i="1"/>
  <c r="SRM1590" i="1"/>
  <c r="SRL1590" i="1"/>
  <c r="SRK1590" i="1"/>
  <c r="SRJ1590" i="1"/>
  <c r="SRI1590" i="1"/>
  <c r="SRH1590" i="1"/>
  <c r="SRG1590" i="1"/>
  <c r="SRF1590" i="1"/>
  <c r="SRE1590" i="1"/>
  <c r="SRD1590" i="1"/>
  <c r="SRC1590" i="1"/>
  <c r="SRB1590" i="1"/>
  <c r="SRA1590" i="1"/>
  <c r="SQZ1590" i="1"/>
  <c r="SQY1590" i="1"/>
  <c r="SQX1590" i="1"/>
  <c r="SQW1590" i="1"/>
  <c r="SQV1590" i="1"/>
  <c r="SQU1590" i="1"/>
  <c r="SQT1590" i="1"/>
  <c r="SQS1590" i="1"/>
  <c r="SQR1590" i="1"/>
  <c r="SQQ1590" i="1"/>
  <c r="SQP1590" i="1"/>
  <c r="SQO1590" i="1"/>
  <c r="SQN1590" i="1"/>
  <c r="SQM1590" i="1"/>
  <c r="SQL1590" i="1"/>
  <c r="SQK1590" i="1"/>
  <c r="SQJ1590" i="1"/>
  <c r="SQI1590" i="1"/>
  <c r="SQH1590" i="1"/>
  <c r="SQG1590" i="1"/>
  <c r="SQF1590" i="1"/>
  <c r="SQE1590" i="1"/>
  <c r="SQD1590" i="1"/>
  <c r="SQC1590" i="1"/>
  <c r="SQB1590" i="1"/>
  <c r="SQA1590" i="1"/>
  <c r="SPZ1590" i="1"/>
  <c r="SPY1590" i="1"/>
  <c r="SPX1590" i="1"/>
  <c r="SPW1590" i="1"/>
  <c r="SPV1590" i="1"/>
  <c r="SPU1590" i="1"/>
  <c r="SPT1590" i="1"/>
  <c r="SPS1590" i="1"/>
  <c r="SPR1590" i="1"/>
  <c r="SPQ1590" i="1"/>
  <c r="SPP1590" i="1"/>
  <c r="SPO1590" i="1"/>
  <c r="SPN1590" i="1"/>
  <c r="SPM1590" i="1"/>
  <c r="SPL1590" i="1"/>
  <c r="SPK1590" i="1"/>
  <c r="SPJ1590" i="1"/>
  <c r="SPI1590" i="1"/>
  <c r="SPH1590" i="1"/>
  <c r="SPG1590" i="1"/>
  <c r="SPF1590" i="1"/>
  <c r="SPE1590" i="1"/>
  <c r="SPD1590" i="1"/>
  <c r="SPC1590" i="1"/>
  <c r="SPB1590" i="1"/>
  <c r="SPA1590" i="1"/>
  <c r="SOZ1590" i="1"/>
  <c r="SOY1590" i="1"/>
  <c r="SOX1590" i="1"/>
  <c r="SOW1590" i="1"/>
  <c r="SOV1590" i="1"/>
  <c r="SOU1590" i="1"/>
  <c r="SOT1590" i="1"/>
  <c r="SOS1590" i="1"/>
  <c r="SOR1590" i="1"/>
  <c r="SOQ1590" i="1"/>
  <c r="SOP1590" i="1"/>
  <c r="SOO1590" i="1"/>
  <c r="SON1590" i="1"/>
  <c r="SOM1590" i="1"/>
  <c r="SOL1590" i="1"/>
  <c r="SOK1590" i="1"/>
  <c r="SOJ1590" i="1"/>
  <c r="SOI1590" i="1"/>
  <c r="SOH1590" i="1"/>
  <c r="SOG1590" i="1"/>
  <c r="SOF1590" i="1"/>
  <c r="SOE1590" i="1"/>
  <c r="SOD1590" i="1"/>
  <c r="SOC1590" i="1"/>
  <c r="SOB1590" i="1"/>
  <c r="SOA1590" i="1"/>
  <c r="SNZ1590" i="1"/>
  <c r="SNY1590" i="1"/>
  <c r="SNX1590" i="1"/>
  <c r="SNW1590" i="1"/>
  <c r="SNV1590" i="1"/>
  <c r="SNU1590" i="1"/>
  <c r="SNT1590" i="1"/>
  <c r="SNS1590" i="1"/>
  <c r="SNR1590" i="1"/>
  <c r="SNQ1590" i="1"/>
  <c r="SNP1590" i="1"/>
  <c r="SNO1590" i="1"/>
  <c r="SNN1590" i="1"/>
  <c r="SNM1590" i="1"/>
  <c r="SNL1590" i="1"/>
  <c r="SNK1590" i="1"/>
  <c r="SNJ1590" i="1"/>
  <c r="SNI1590" i="1"/>
  <c r="SNH1590" i="1"/>
  <c r="SNG1590" i="1"/>
  <c r="SNF1590" i="1"/>
  <c r="SNE1590" i="1"/>
  <c r="SND1590" i="1"/>
  <c r="SNC1590" i="1"/>
  <c r="SNB1590" i="1"/>
  <c r="SNA1590" i="1"/>
  <c r="SMZ1590" i="1"/>
  <c r="SMY1590" i="1"/>
  <c r="SMX1590" i="1"/>
  <c r="SMW1590" i="1"/>
  <c r="SMV1590" i="1"/>
  <c r="SMU1590" i="1"/>
  <c r="SMT1590" i="1"/>
  <c r="SMS1590" i="1"/>
  <c r="SMR1590" i="1"/>
  <c r="SMQ1590" i="1"/>
  <c r="SMP1590" i="1"/>
  <c r="SMO1590" i="1"/>
  <c r="SMN1590" i="1"/>
  <c r="SMM1590" i="1"/>
  <c r="SML1590" i="1"/>
  <c r="SMK1590" i="1"/>
  <c r="SMJ1590" i="1"/>
  <c r="SMI1590" i="1"/>
  <c r="SMH1590" i="1"/>
  <c r="SMG1590" i="1"/>
  <c r="SMF1590" i="1"/>
  <c r="SME1590" i="1"/>
  <c r="SMD1590" i="1"/>
  <c r="SMC1590" i="1"/>
  <c r="SMB1590" i="1"/>
  <c r="SMA1590" i="1"/>
  <c r="SLZ1590" i="1"/>
  <c r="SLY1590" i="1"/>
  <c r="SLX1590" i="1"/>
  <c r="SLW1590" i="1"/>
  <c r="SLV1590" i="1"/>
  <c r="SLU1590" i="1"/>
  <c r="SLT1590" i="1"/>
  <c r="SLS1590" i="1"/>
  <c r="SLR1590" i="1"/>
  <c r="SLQ1590" i="1"/>
  <c r="SLP1590" i="1"/>
  <c r="SLO1590" i="1"/>
  <c r="SLN1590" i="1"/>
  <c r="SLM1590" i="1"/>
  <c r="SLL1590" i="1"/>
  <c r="SLK1590" i="1"/>
  <c r="SLJ1590" i="1"/>
  <c r="SLI1590" i="1"/>
  <c r="SLH1590" i="1"/>
  <c r="SLG1590" i="1"/>
  <c r="SLF1590" i="1"/>
  <c r="SLE1590" i="1"/>
  <c r="SLD1590" i="1"/>
  <c r="SLC1590" i="1"/>
  <c r="SLB1590" i="1"/>
  <c r="SLA1590" i="1"/>
  <c r="SKZ1590" i="1"/>
  <c r="SKY1590" i="1"/>
  <c r="SKX1590" i="1"/>
  <c r="SKW1590" i="1"/>
  <c r="SKV1590" i="1"/>
  <c r="SKU1590" i="1"/>
  <c r="SKT1590" i="1"/>
  <c r="SKS1590" i="1"/>
  <c r="SKR1590" i="1"/>
  <c r="SKQ1590" i="1"/>
  <c r="SKP1590" i="1"/>
  <c r="SKO1590" i="1"/>
  <c r="SKN1590" i="1"/>
  <c r="SKM1590" i="1"/>
  <c r="SKL1590" i="1"/>
  <c r="SKK1590" i="1"/>
  <c r="SKJ1590" i="1"/>
  <c r="SKI1590" i="1"/>
  <c r="SKH1590" i="1"/>
  <c r="SKG1590" i="1"/>
  <c r="SKF1590" i="1"/>
  <c r="SKE1590" i="1"/>
  <c r="SKD1590" i="1"/>
  <c r="SKC1590" i="1"/>
  <c r="SKB1590" i="1"/>
  <c r="SKA1590" i="1"/>
  <c r="SJZ1590" i="1"/>
  <c r="SJY1590" i="1"/>
  <c r="SJX1590" i="1"/>
  <c r="SJW1590" i="1"/>
  <c r="SJV1590" i="1"/>
  <c r="SJU1590" i="1"/>
  <c r="SJT1590" i="1"/>
  <c r="SJS1590" i="1"/>
  <c r="SJR1590" i="1"/>
  <c r="SJQ1590" i="1"/>
  <c r="SJP1590" i="1"/>
  <c r="SJO1590" i="1"/>
  <c r="SJN1590" i="1"/>
  <c r="SJM1590" i="1"/>
  <c r="SJL1590" i="1"/>
  <c r="SJK1590" i="1"/>
  <c r="SJJ1590" i="1"/>
  <c r="SJI1590" i="1"/>
  <c r="SJH1590" i="1"/>
  <c r="SJG1590" i="1"/>
  <c r="SJF1590" i="1"/>
  <c r="SJE1590" i="1"/>
  <c r="SJD1590" i="1"/>
  <c r="SJC1590" i="1"/>
  <c r="SJB1590" i="1"/>
  <c r="SJA1590" i="1"/>
  <c r="SIZ1590" i="1"/>
  <c r="SIY1590" i="1"/>
  <c r="SIX1590" i="1"/>
  <c r="SIW1590" i="1"/>
  <c r="SIV1590" i="1"/>
  <c r="SIU1590" i="1"/>
  <c r="SIT1590" i="1"/>
  <c r="SIS1590" i="1"/>
  <c r="SIR1590" i="1"/>
  <c r="SIQ1590" i="1"/>
  <c r="SIP1590" i="1"/>
  <c r="SIO1590" i="1"/>
  <c r="SIN1590" i="1"/>
  <c r="SIM1590" i="1"/>
  <c r="SIL1590" i="1"/>
  <c r="SIK1590" i="1"/>
  <c r="SIJ1590" i="1"/>
  <c r="SII1590" i="1"/>
  <c r="SIH1590" i="1"/>
  <c r="SIG1590" i="1"/>
  <c r="SIF1590" i="1"/>
  <c r="SIE1590" i="1"/>
  <c r="SID1590" i="1"/>
  <c r="SIC1590" i="1"/>
  <c r="SIB1590" i="1"/>
  <c r="SIA1590" i="1"/>
  <c r="SHZ1590" i="1"/>
  <c r="SHY1590" i="1"/>
  <c r="SHX1590" i="1"/>
  <c r="SHW1590" i="1"/>
  <c r="SHV1590" i="1"/>
  <c r="SHU1590" i="1"/>
  <c r="SHT1590" i="1"/>
  <c r="SHS1590" i="1"/>
  <c r="SHR1590" i="1"/>
  <c r="SHQ1590" i="1"/>
  <c r="SHP1590" i="1"/>
  <c r="SHO1590" i="1"/>
  <c r="SHN1590" i="1"/>
  <c r="SHM1590" i="1"/>
  <c r="SHL1590" i="1"/>
  <c r="SHK1590" i="1"/>
  <c r="SHJ1590" i="1"/>
  <c r="SHI1590" i="1"/>
  <c r="SHH1590" i="1"/>
  <c r="SHG1590" i="1"/>
  <c r="SHF1590" i="1"/>
  <c r="SHE1590" i="1"/>
  <c r="SHD1590" i="1"/>
  <c r="SHC1590" i="1"/>
  <c r="SHB1590" i="1"/>
  <c r="SHA1590" i="1"/>
  <c r="SGZ1590" i="1"/>
  <c r="SGY1590" i="1"/>
  <c r="SGX1590" i="1"/>
  <c r="SGW1590" i="1"/>
  <c r="SGV1590" i="1"/>
  <c r="SGU1590" i="1"/>
  <c r="SGT1590" i="1"/>
  <c r="SGS1590" i="1"/>
  <c r="SGR1590" i="1"/>
  <c r="SGQ1590" i="1"/>
  <c r="SGP1590" i="1"/>
  <c r="SGO1590" i="1"/>
  <c r="SGN1590" i="1"/>
  <c r="SGM1590" i="1"/>
  <c r="SGL1590" i="1"/>
  <c r="SGK1590" i="1"/>
  <c r="SGJ1590" i="1"/>
  <c r="SGI1590" i="1"/>
  <c r="SGH1590" i="1"/>
  <c r="SGG1590" i="1"/>
  <c r="SGF1590" i="1"/>
  <c r="SGE1590" i="1"/>
  <c r="SGD1590" i="1"/>
  <c r="SGC1590" i="1"/>
  <c r="SGB1590" i="1"/>
  <c r="SGA1590" i="1"/>
  <c r="SFZ1590" i="1"/>
  <c r="SFY1590" i="1"/>
  <c r="SFX1590" i="1"/>
  <c r="SFW1590" i="1"/>
  <c r="SFV1590" i="1"/>
  <c r="SFU1590" i="1"/>
  <c r="SFT1590" i="1"/>
  <c r="SFS1590" i="1"/>
  <c r="SFR1590" i="1"/>
  <c r="SFQ1590" i="1"/>
  <c r="SFP1590" i="1"/>
  <c r="SFO1590" i="1"/>
  <c r="SFN1590" i="1"/>
  <c r="SFM1590" i="1"/>
  <c r="SFL1590" i="1"/>
  <c r="SFK1590" i="1"/>
  <c r="SFJ1590" i="1"/>
  <c r="SFI1590" i="1"/>
  <c r="SFH1590" i="1"/>
  <c r="SFG1590" i="1"/>
  <c r="SFF1590" i="1"/>
  <c r="SFE1590" i="1"/>
  <c r="SFD1590" i="1"/>
  <c r="SFC1590" i="1"/>
  <c r="SFB1590" i="1"/>
  <c r="SFA1590" i="1"/>
  <c r="SEZ1590" i="1"/>
  <c r="SEY1590" i="1"/>
  <c r="SEX1590" i="1"/>
  <c r="SEW1590" i="1"/>
  <c r="SEV1590" i="1"/>
  <c r="SEU1590" i="1"/>
  <c r="SET1590" i="1"/>
  <c r="SES1590" i="1"/>
  <c r="SER1590" i="1"/>
  <c r="SEQ1590" i="1"/>
  <c r="SEP1590" i="1"/>
  <c r="SEO1590" i="1"/>
  <c r="SEN1590" i="1"/>
  <c r="SEM1590" i="1"/>
  <c r="SEL1590" i="1"/>
  <c r="SEK1590" i="1"/>
  <c r="SEJ1590" i="1"/>
  <c r="SEI1590" i="1"/>
  <c r="SEH1590" i="1"/>
  <c r="SEG1590" i="1"/>
  <c r="SEF1590" i="1"/>
  <c r="SEE1590" i="1"/>
  <c r="SED1590" i="1"/>
  <c r="SEC1590" i="1"/>
  <c r="SEB1590" i="1"/>
  <c r="SEA1590" i="1"/>
  <c r="SDZ1590" i="1"/>
  <c r="SDY1590" i="1"/>
  <c r="SDX1590" i="1"/>
  <c r="SDW1590" i="1"/>
  <c r="SDV1590" i="1"/>
  <c r="SDU1590" i="1"/>
  <c r="SDT1590" i="1"/>
  <c r="SDS1590" i="1"/>
  <c r="SDR1590" i="1"/>
  <c r="SDQ1590" i="1"/>
  <c r="SDP1590" i="1"/>
  <c r="SDO1590" i="1"/>
  <c r="SDN1590" i="1"/>
  <c r="SDM1590" i="1"/>
  <c r="SDL1590" i="1"/>
  <c r="SDK1590" i="1"/>
  <c r="SDJ1590" i="1"/>
  <c r="SDI1590" i="1"/>
  <c r="SDH1590" i="1"/>
  <c r="SDG1590" i="1"/>
  <c r="SDF1590" i="1"/>
  <c r="SDE1590" i="1"/>
  <c r="SDD1590" i="1"/>
  <c r="SDC1590" i="1"/>
  <c r="SDB1590" i="1"/>
  <c r="SDA1590" i="1"/>
  <c r="SCZ1590" i="1"/>
  <c r="SCY1590" i="1"/>
  <c r="SCX1590" i="1"/>
  <c r="SCW1590" i="1"/>
  <c r="SCV1590" i="1"/>
  <c r="SCU1590" i="1"/>
  <c r="SCT1590" i="1"/>
  <c r="SCS1590" i="1"/>
  <c r="SCR1590" i="1"/>
  <c r="SCQ1590" i="1"/>
  <c r="SCP1590" i="1"/>
  <c r="SCO1590" i="1"/>
  <c r="SCN1590" i="1"/>
  <c r="SCM1590" i="1"/>
  <c r="SCL1590" i="1"/>
  <c r="SCK1590" i="1"/>
  <c r="SCJ1590" i="1"/>
  <c r="SCI1590" i="1"/>
  <c r="SCH1590" i="1"/>
  <c r="SCG1590" i="1"/>
  <c r="SCF1590" i="1"/>
  <c r="SCE1590" i="1"/>
  <c r="SCD1590" i="1"/>
  <c r="SCC1590" i="1"/>
  <c r="SCB1590" i="1"/>
  <c r="SCA1590" i="1"/>
  <c r="SBZ1590" i="1"/>
  <c r="SBY1590" i="1"/>
  <c r="SBX1590" i="1"/>
  <c r="SBW1590" i="1"/>
  <c r="SBV1590" i="1"/>
  <c r="SBU1590" i="1"/>
  <c r="SBT1590" i="1"/>
  <c r="SBS1590" i="1"/>
  <c r="SBR1590" i="1"/>
  <c r="SBQ1590" i="1"/>
  <c r="SBP1590" i="1"/>
  <c r="SBO1590" i="1"/>
  <c r="SBN1590" i="1"/>
  <c r="SBM1590" i="1"/>
  <c r="SBL1590" i="1"/>
  <c r="SBK1590" i="1"/>
  <c r="SBJ1590" i="1"/>
  <c r="SBI1590" i="1"/>
  <c r="SBH1590" i="1"/>
  <c r="SBG1590" i="1"/>
  <c r="SBF1590" i="1"/>
  <c r="SBE1590" i="1"/>
  <c r="SBD1590" i="1"/>
  <c r="SBC1590" i="1"/>
  <c r="SBB1590" i="1"/>
  <c r="SBA1590" i="1"/>
  <c r="SAZ1590" i="1"/>
  <c r="SAY1590" i="1"/>
  <c r="SAX1590" i="1"/>
  <c r="SAW1590" i="1"/>
  <c r="SAV1590" i="1"/>
  <c r="SAU1590" i="1"/>
  <c r="SAT1590" i="1"/>
  <c r="SAS1590" i="1"/>
  <c r="SAR1590" i="1"/>
  <c r="SAQ1590" i="1"/>
  <c r="SAP1590" i="1"/>
  <c r="SAO1590" i="1"/>
  <c r="SAN1590" i="1"/>
  <c r="SAM1590" i="1"/>
  <c r="SAL1590" i="1"/>
  <c r="SAK1590" i="1"/>
  <c r="SAJ1590" i="1"/>
  <c r="SAI1590" i="1"/>
  <c r="SAH1590" i="1"/>
  <c r="SAG1590" i="1"/>
  <c r="SAF1590" i="1"/>
  <c r="SAE1590" i="1"/>
  <c r="SAD1590" i="1"/>
  <c r="SAC1590" i="1"/>
  <c r="SAB1590" i="1"/>
  <c r="SAA1590" i="1"/>
  <c r="RZZ1590" i="1"/>
  <c r="RZY1590" i="1"/>
  <c r="RZX1590" i="1"/>
  <c r="RZW1590" i="1"/>
  <c r="RZV1590" i="1"/>
  <c r="RZU1590" i="1"/>
  <c r="RZT1590" i="1"/>
  <c r="RZS1590" i="1"/>
  <c r="RZR1590" i="1"/>
  <c r="RZQ1590" i="1"/>
  <c r="RZP1590" i="1"/>
  <c r="RZO1590" i="1"/>
  <c r="RZN1590" i="1"/>
  <c r="RZM1590" i="1"/>
  <c r="RZL1590" i="1"/>
  <c r="RZK1590" i="1"/>
  <c r="RZJ1590" i="1"/>
  <c r="RZI1590" i="1"/>
  <c r="RZH1590" i="1"/>
  <c r="RZG1590" i="1"/>
  <c r="RZF1590" i="1"/>
  <c r="RZE1590" i="1"/>
  <c r="RZD1590" i="1"/>
  <c r="RZC1590" i="1"/>
  <c r="RZB1590" i="1"/>
  <c r="RZA1590" i="1"/>
  <c r="RYZ1590" i="1"/>
  <c r="RYY1590" i="1"/>
  <c r="RYX1590" i="1"/>
  <c r="RYW1590" i="1"/>
  <c r="RYV1590" i="1"/>
  <c r="RYU1590" i="1"/>
  <c r="RYT1590" i="1"/>
  <c r="RYS1590" i="1"/>
  <c r="RYR1590" i="1"/>
  <c r="RYQ1590" i="1"/>
  <c r="RYP1590" i="1"/>
  <c r="RYO1590" i="1"/>
  <c r="RYN1590" i="1"/>
  <c r="RYM1590" i="1"/>
  <c r="RYL1590" i="1"/>
  <c r="RYK1590" i="1"/>
  <c r="RYJ1590" i="1"/>
  <c r="RYI1590" i="1"/>
  <c r="RYH1590" i="1"/>
  <c r="RYG1590" i="1"/>
  <c r="RYF1590" i="1"/>
  <c r="RYE1590" i="1"/>
  <c r="RYD1590" i="1"/>
  <c r="RYC1590" i="1"/>
  <c r="RYB1590" i="1"/>
  <c r="RYA1590" i="1"/>
  <c r="RXZ1590" i="1"/>
  <c r="RXY1590" i="1"/>
  <c r="RXX1590" i="1"/>
  <c r="RXW1590" i="1"/>
  <c r="RXV1590" i="1"/>
  <c r="RXU1590" i="1"/>
  <c r="RXT1590" i="1"/>
  <c r="RXS1590" i="1"/>
  <c r="RXR1590" i="1"/>
  <c r="RXQ1590" i="1"/>
  <c r="RXP1590" i="1"/>
  <c r="RXO1590" i="1"/>
  <c r="RXN1590" i="1"/>
  <c r="RXM1590" i="1"/>
  <c r="RXL1590" i="1"/>
  <c r="RXK1590" i="1"/>
  <c r="RXJ1590" i="1"/>
  <c r="RXI1590" i="1"/>
  <c r="RXH1590" i="1"/>
  <c r="RXG1590" i="1"/>
  <c r="RXF1590" i="1"/>
  <c r="RXE1590" i="1"/>
  <c r="RXD1590" i="1"/>
  <c r="RXC1590" i="1"/>
  <c r="RXB1590" i="1"/>
  <c r="RXA1590" i="1"/>
  <c r="RWZ1590" i="1"/>
  <c r="RWY1590" i="1"/>
  <c r="RWX1590" i="1"/>
  <c r="RWW1590" i="1"/>
  <c r="RWV1590" i="1"/>
  <c r="RWU1590" i="1"/>
  <c r="RWT1590" i="1"/>
  <c r="RWS1590" i="1"/>
  <c r="RWR1590" i="1"/>
  <c r="RWQ1590" i="1"/>
  <c r="RWP1590" i="1"/>
  <c r="RWO1590" i="1"/>
  <c r="RWN1590" i="1"/>
  <c r="RWM1590" i="1"/>
  <c r="RWL1590" i="1"/>
  <c r="RWK1590" i="1"/>
  <c r="RWJ1590" i="1"/>
  <c r="RWI1590" i="1"/>
  <c r="RWH1590" i="1"/>
  <c r="RWG1590" i="1"/>
  <c r="RWF1590" i="1"/>
  <c r="RWE1590" i="1"/>
  <c r="RWD1590" i="1"/>
  <c r="RWC1590" i="1"/>
  <c r="RWB1590" i="1"/>
  <c r="RWA1590" i="1"/>
  <c r="RVZ1590" i="1"/>
  <c r="RVY1590" i="1"/>
  <c r="RVX1590" i="1"/>
  <c r="RVW1590" i="1"/>
  <c r="RVV1590" i="1"/>
  <c r="RVU1590" i="1"/>
  <c r="RVT1590" i="1"/>
  <c r="RVS1590" i="1"/>
  <c r="RVR1590" i="1"/>
  <c r="RVQ1590" i="1"/>
  <c r="RVP1590" i="1"/>
  <c r="RVO1590" i="1"/>
  <c r="RVN1590" i="1"/>
  <c r="RVM1590" i="1"/>
  <c r="RVL1590" i="1"/>
  <c r="RVK1590" i="1"/>
  <c r="RVJ1590" i="1"/>
  <c r="RVI1590" i="1"/>
  <c r="RVH1590" i="1"/>
  <c r="RVG1590" i="1"/>
  <c r="RVF1590" i="1"/>
  <c r="RVE1590" i="1"/>
  <c r="RVD1590" i="1"/>
  <c r="RVC1590" i="1"/>
  <c r="RVB1590" i="1"/>
  <c r="RVA1590" i="1"/>
  <c r="RUZ1590" i="1"/>
  <c r="RUY1590" i="1"/>
  <c r="RUX1590" i="1"/>
  <c r="RUW1590" i="1"/>
  <c r="RUV1590" i="1"/>
  <c r="RUU1590" i="1"/>
  <c r="RUT1590" i="1"/>
  <c r="RUS1590" i="1"/>
  <c r="RUR1590" i="1"/>
  <c r="RUQ1590" i="1"/>
  <c r="RUP1590" i="1"/>
  <c r="RUO1590" i="1"/>
  <c r="RUN1590" i="1"/>
  <c r="RUM1590" i="1"/>
  <c r="RUL1590" i="1"/>
  <c r="RUK1590" i="1"/>
  <c r="RUJ1590" i="1"/>
  <c r="RUI1590" i="1"/>
  <c r="RUH1590" i="1"/>
  <c r="RUG1590" i="1"/>
  <c r="RUF1590" i="1"/>
  <c r="RUE1590" i="1"/>
  <c r="RUD1590" i="1"/>
  <c r="RUC1590" i="1"/>
  <c r="RUB1590" i="1"/>
  <c r="RUA1590" i="1"/>
  <c r="RTZ1590" i="1"/>
  <c r="RTY1590" i="1"/>
  <c r="RTX1590" i="1"/>
  <c r="RTW1590" i="1"/>
  <c r="RTV1590" i="1"/>
  <c r="RTU1590" i="1"/>
  <c r="RTT1590" i="1"/>
  <c r="RTS1590" i="1"/>
  <c r="RTR1590" i="1"/>
  <c r="RTQ1590" i="1"/>
  <c r="RTP1590" i="1"/>
  <c r="RTO1590" i="1"/>
  <c r="RTN1590" i="1"/>
  <c r="RTM1590" i="1"/>
  <c r="RTL1590" i="1"/>
  <c r="RTK1590" i="1"/>
  <c r="RTJ1590" i="1"/>
  <c r="RTI1590" i="1"/>
  <c r="RTH1590" i="1"/>
  <c r="RTG1590" i="1"/>
  <c r="RTF1590" i="1"/>
  <c r="RTE1590" i="1"/>
  <c r="RTD1590" i="1"/>
  <c r="RTC1590" i="1"/>
  <c r="RTB1590" i="1"/>
  <c r="RTA1590" i="1"/>
  <c r="RSZ1590" i="1"/>
  <c r="RSY1590" i="1"/>
  <c r="RSX1590" i="1"/>
  <c r="RSW1590" i="1"/>
  <c r="RSV1590" i="1"/>
  <c r="RSU1590" i="1"/>
  <c r="RST1590" i="1"/>
  <c r="RSS1590" i="1"/>
  <c r="RSR1590" i="1"/>
  <c r="RSQ1590" i="1"/>
  <c r="RSP1590" i="1"/>
  <c r="RSO1590" i="1"/>
  <c r="RSN1590" i="1"/>
  <c r="RSM1590" i="1"/>
  <c r="RSL1590" i="1"/>
  <c r="RSK1590" i="1"/>
  <c r="RSJ1590" i="1"/>
  <c r="RSI1590" i="1"/>
  <c r="RSH1590" i="1"/>
  <c r="RSG1590" i="1"/>
  <c r="RSF1590" i="1"/>
  <c r="RSE1590" i="1"/>
  <c r="RSD1590" i="1"/>
  <c r="RSC1590" i="1"/>
  <c r="RSB1590" i="1"/>
  <c r="RSA1590" i="1"/>
  <c r="RRZ1590" i="1"/>
  <c r="RRY1590" i="1"/>
  <c r="RRX1590" i="1"/>
  <c r="RRW1590" i="1"/>
  <c r="RRV1590" i="1"/>
  <c r="RRU1590" i="1"/>
  <c r="RRT1590" i="1"/>
  <c r="RRS1590" i="1"/>
  <c r="RRR1590" i="1"/>
  <c r="RRQ1590" i="1"/>
  <c r="RRP1590" i="1"/>
  <c r="RRO1590" i="1"/>
  <c r="RRN1590" i="1"/>
  <c r="RRM1590" i="1"/>
  <c r="RRL1590" i="1"/>
  <c r="RRK1590" i="1"/>
  <c r="RRJ1590" i="1"/>
  <c r="RRI1590" i="1"/>
  <c r="RRH1590" i="1"/>
  <c r="RRG1590" i="1"/>
  <c r="RRF1590" i="1"/>
  <c r="RRE1590" i="1"/>
  <c r="RRD1590" i="1"/>
  <c r="RRC1590" i="1"/>
  <c r="RRB1590" i="1"/>
  <c r="RRA1590" i="1"/>
  <c r="RQZ1590" i="1"/>
  <c r="RQY1590" i="1"/>
  <c r="RQX1590" i="1"/>
  <c r="RQW1590" i="1"/>
  <c r="RQV1590" i="1"/>
  <c r="RQU1590" i="1"/>
  <c r="RQT1590" i="1"/>
  <c r="RQS1590" i="1"/>
  <c r="RQR1590" i="1"/>
  <c r="RQQ1590" i="1"/>
  <c r="RQP1590" i="1"/>
  <c r="RQO1590" i="1"/>
  <c r="RQN1590" i="1"/>
  <c r="RQM1590" i="1"/>
  <c r="RQL1590" i="1"/>
  <c r="RQK1590" i="1"/>
  <c r="RQJ1590" i="1"/>
  <c r="RQI1590" i="1"/>
  <c r="RQH1590" i="1"/>
  <c r="RQG1590" i="1"/>
  <c r="RQF1590" i="1"/>
  <c r="RQE1590" i="1"/>
  <c r="RQD1590" i="1"/>
  <c r="RQC1590" i="1"/>
  <c r="RQB1590" i="1"/>
  <c r="RQA1590" i="1"/>
  <c r="RPZ1590" i="1"/>
  <c r="RPY1590" i="1"/>
  <c r="RPX1590" i="1"/>
  <c r="RPW1590" i="1"/>
  <c r="RPV1590" i="1"/>
  <c r="RPU1590" i="1"/>
  <c r="RPT1590" i="1"/>
  <c r="RPS1590" i="1"/>
  <c r="RPR1590" i="1"/>
  <c r="RPQ1590" i="1"/>
  <c r="RPP1590" i="1"/>
  <c r="RPO1590" i="1"/>
  <c r="RPN1590" i="1"/>
  <c r="RPM1590" i="1"/>
  <c r="RPL1590" i="1"/>
  <c r="RPK1590" i="1"/>
  <c r="RPJ1590" i="1"/>
  <c r="RPI1590" i="1"/>
  <c r="RPH1590" i="1"/>
  <c r="RPG1590" i="1"/>
  <c r="RPF1590" i="1"/>
  <c r="RPE1590" i="1"/>
  <c r="RPD1590" i="1"/>
  <c r="RPC1590" i="1"/>
  <c r="RPB1590" i="1"/>
  <c r="RPA1590" i="1"/>
  <c r="ROZ1590" i="1"/>
  <c r="ROY1590" i="1"/>
  <c r="ROX1590" i="1"/>
  <c r="ROW1590" i="1"/>
  <c r="ROV1590" i="1"/>
  <c r="ROU1590" i="1"/>
  <c r="ROT1590" i="1"/>
  <c r="ROS1590" i="1"/>
  <c r="ROR1590" i="1"/>
  <c r="ROQ1590" i="1"/>
  <c r="ROP1590" i="1"/>
  <c r="ROO1590" i="1"/>
  <c r="RON1590" i="1"/>
  <c r="ROM1590" i="1"/>
  <c r="ROL1590" i="1"/>
  <c r="ROK1590" i="1"/>
  <c r="ROJ1590" i="1"/>
  <c r="ROI1590" i="1"/>
  <c r="ROH1590" i="1"/>
  <c r="ROG1590" i="1"/>
  <c r="ROF1590" i="1"/>
  <c r="ROE1590" i="1"/>
  <c r="ROD1590" i="1"/>
  <c r="ROC1590" i="1"/>
  <c r="ROB1590" i="1"/>
  <c r="ROA1590" i="1"/>
  <c r="RNZ1590" i="1"/>
  <c r="RNY1590" i="1"/>
  <c r="RNX1590" i="1"/>
  <c r="RNW1590" i="1"/>
  <c r="RNV1590" i="1"/>
  <c r="RNU1590" i="1"/>
  <c r="RNT1590" i="1"/>
  <c r="RNS1590" i="1"/>
  <c r="RNR1590" i="1"/>
  <c r="RNQ1590" i="1"/>
  <c r="RNP1590" i="1"/>
  <c r="RNO1590" i="1"/>
  <c r="RNN1590" i="1"/>
  <c r="RNM1590" i="1"/>
  <c r="RNL1590" i="1"/>
  <c r="RNK1590" i="1"/>
  <c r="RNJ1590" i="1"/>
  <c r="RNI1590" i="1"/>
  <c r="RNH1590" i="1"/>
  <c r="RNG1590" i="1"/>
  <c r="RNF1590" i="1"/>
  <c r="RNE1590" i="1"/>
  <c r="RND1590" i="1"/>
  <c r="RNC1590" i="1"/>
  <c r="RNB1590" i="1"/>
  <c r="RNA1590" i="1"/>
  <c r="RMZ1590" i="1"/>
  <c r="RMY1590" i="1"/>
  <c r="RMX1590" i="1"/>
  <c r="RMW1590" i="1"/>
  <c r="RMV1590" i="1"/>
  <c r="RMU1590" i="1"/>
  <c r="RMT1590" i="1"/>
  <c r="RMS1590" i="1"/>
  <c r="RMR1590" i="1"/>
  <c r="RMQ1590" i="1"/>
  <c r="RMP1590" i="1"/>
  <c r="RMO1590" i="1"/>
  <c r="RMN1590" i="1"/>
  <c r="RMM1590" i="1"/>
  <c r="RML1590" i="1"/>
  <c r="RMK1590" i="1"/>
  <c r="RMJ1590" i="1"/>
  <c r="RMI1590" i="1"/>
  <c r="RMH1590" i="1"/>
  <c r="RMG1590" i="1"/>
  <c r="RMF1590" i="1"/>
  <c r="RME1590" i="1"/>
  <c r="RMD1590" i="1"/>
  <c r="RMC1590" i="1"/>
  <c r="RMB1590" i="1"/>
  <c r="RMA1590" i="1"/>
  <c r="RLZ1590" i="1"/>
  <c r="RLY1590" i="1"/>
  <c r="RLX1590" i="1"/>
  <c r="RLW1590" i="1"/>
  <c r="RLV1590" i="1"/>
  <c r="RLU1590" i="1"/>
  <c r="RLT1590" i="1"/>
  <c r="RLS1590" i="1"/>
  <c r="RLR1590" i="1"/>
  <c r="RLQ1590" i="1"/>
  <c r="RLP1590" i="1"/>
  <c r="RLO1590" i="1"/>
  <c r="RLN1590" i="1"/>
  <c r="RLM1590" i="1"/>
  <c r="RLL1590" i="1"/>
  <c r="RLK1590" i="1"/>
  <c r="RLJ1590" i="1"/>
  <c r="RLI1590" i="1"/>
  <c r="RLH1590" i="1"/>
  <c r="RLG1590" i="1"/>
  <c r="RLF1590" i="1"/>
  <c r="RLE1590" i="1"/>
  <c r="RLD1590" i="1"/>
  <c r="RLC1590" i="1"/>
  <c r="RLB1590" i="1"/>
  <c r="RLA1590" i="1"/>
  <c r="RKZ1590" i="1"/>
  <c r="RKY1590" i="1"/>
  <c r="RKX1590" i="1"/>
  <c r="RKW1590" i="1"/>
  <c r="RKV1590" i="1"/>
  <c r="RKU1590" i="1"/>
  <c r="RKT1590" i="1"/>
  <c r="RKS1590" i="1"/>
  <c r="RKR1590" i="1"/>
  <c r="RKQ1590" i="1"/>
  <c r="RKP1590" i="1"/>
  <c r="RKO1590" i="1"/>
  <c r="RKN1590" i="1"/>
  <c r="RKM1590" i="1"/>
  <c r="RKL1590" i="1"/>
  <c r="RKK1590" i="1"/>
  <c r="RKJ1590" i="1"/>
  <c r="RKI1590" i="1"/>
  <c r="RKH1590" i="1"/>
  <c r="RKG1590" i="1"/>
  <c r="RKF1590" i="1"/>
  <c r="RKE1590" i="1"/>
  <c r="RKD1590" i="1"/>
  <c r="RKC1590" i="1"/>
  <c r="RKB1590" i="1"/>
  <c r="RKA1590" i="1"/>
  <c r="RJZ1590" i="1"/>
  <c r="RJY1590" i="1"/>
  <c r="RJX1590" i="1"/>
  <c r="RJW1590" i="1"/>
  <c r="RJV1590" i="1"/>
  <c r="RJU1590" i="1"/>
  <c r="RJT1590" i="1"/>
  <c r="RJS1590" i="1"/>
  <c r="RJR1590" i="1"/>
  <c r="RJQ1590" i="1"/>
  <c r="RJP1590" i="1"/>
  <c r="RJO1590" i="1"/>
  <c r="RJN1590" i="1"/>
  <c r="RJM1590" i="1"/>
  <c r="RJL1590" i="1"/>
  <c r="RJK1590" i="1"/>
  <c r="RJJ1590" i="1"/>
  <c r="RJI1590" i="1"/>
  <c r="RJH1590" i="1"/>
  <c r="RJG1590" i="1"/>
  <c r="RJF1590" i="1"/>
  <c r="RJE1590" i="1"/>
  <c r="RJD1590" i="1"/>
  <c r="RJC1590" i="1"/>
  <c r="RJB1590" i="1"/>
  <c r="RJA1590" i="1"/>
  <c r="RIZ1590" i="1"/>
  <c r="RIY1590" i="1"/>
  <c r="RIX1590" i="1"/>
  <c r="RIW1590" i="1"/>
  <c r="RIV1590" i="1"/>
  <c r="RIU1590" i="1"/>
  <c r="RIT1590" i="1"/>
  <c r="RIS1590" i="1"/>
  <c r="RIR1590" i="1"/>
  <c r="RIQ1590" i="1"/>
  <c r="RIP1590" i="1"/>
  <c r="RIO1590" i="1"/>
  <c r="RIN1590" i="1"/>
  <c r="RIM1590" i="1"/>
  <c r="RIL1590" i="1"/>
  <c r="RIK1590" i="1"/>
  <c r="RIJ1590" i="1"/>
  <c r="RII1590" i="1"/>
  <c r="RIH1590" i="1"/>
  <c r="RIG1590" i="1"/>
  <c r="RIF1590" i="1"/>
  <c r="RIE1590" i="1"/>
  <c r="RID1590" i="1"/>
  <c r="RIC1590" i="1"/>
  <c r="RIB1590" i="1"/>
  <c r="RIA1590" i="1"/>
  <c r="RHZ1590" i="1"/>
  <c r="RHY1590" i="1"/>
  <c r="RHX1590" i="1"/>
  <c r="RHW1590" i="1"/>
  <c r="RHV1590" i="1"/>
  <c r="RHU1590" i="1"/>
  <c r="RHT1590" i="1"/>
  <c r="RHS1590" i="1"/>
  <c r="RHR1590" i="1"/>
  <c r="RHQ1590" i="1"/>
  <c r="RHP1590" i="1"/>
  <c r="RHO1590" i="1"/>
  <c r="RHN1590" i="1"/>
  <c r="RHM1590" i="1"/>
  <c r="RHL1590" i="1"/>
  <c r="RHK1590" i="1"/>
  <c r="RHJ1590" i="1"/>
  <c r="RHI1590" i="1"/>
  <c r="RHH1590" i="1"/>
  <c r="RHG1590" i="1"/>
  <c r="RHF1590" i="1"/>
  <c r="RHE1590" i="1"/>
  <c r="RHD1590" i="1"/>
  <c r="RHC1590" i="1"/>
  <c r="RHB1590" i="1"/>
  <c r="RHA1590" i="1"/>
  <c r="RGZ1590" i="1"/>
  <c r="RGY1590" i="1"/>
  <c r="RGX1590" i="1"/>
  <c r="RGW1590" i="1"/>
  <c r="RGV1590" i="1"/>
  <c r="RGU1590" i="1"/>
  <c r="RGT1590" i="1"/>
  <c r="RGS1590" i="1"/>
  <c r="RGR1590" i="1"/>
  <c r="RGQ1590" i="1"/>
  <c r="RGP1590" i="1"/>
  <c r="RGO1590" i="1"/>
  <c r="RGN1590" i="1"/>
  <c r="RGM1590" i="1"/>
  <c r="RGL1590" i="1"/>
  <c r="RGK1590" i="1"/>
  <c r="RGJ1590" i="1"/>
  <c r="RGI1590" i="1"/>
  <c r="RGH1590" i="1"/>
  <c r="RGG1590" i="1"/>
  <c r="RGF1590" i="1"/>
  <c r="RGE1590" i="1"/>
  <c r="RGD1590" i="1"/>
  <c r="RGC1590" i="1"/>
  <c r="RGB1590" i="1"/>
  <c r="RGA1590" i="1"/>
  <c r="RFZ1590" i="1"/>
  <c r="RFY1590" i="1"/>
  <c r="RFX1590" i="1"/>
  <c r="RFW1590" i="1"/>
  <c r="RFV1590" i="1"/>
  <c r="RFU1590" i="1"/>
  <c r="RFT1590" i="1"/>
  <c r="RFS1590" i="1"/>
  <c r="RFR1590" i="1"/>
  <c r="RFQ1590" i="1"/>
  <c r="RFP1590" i="1"/>
  <c r="RFO1590" i="1"/>
  <c r="RFN1590" i="1"/>
  <c r="RFM1590" i="1"/>
  <c r="RFL1590" i="1"/>
  <c r="RFK1590" i="1"/>
  <c r="RFJ1590" i="1"/>
  <c r="RFI1590" i="1"/>
  <c r="RFH1590" i="1"/>
  <c r="RFG1590" i="1"/>
  <c r="RFF1590" i="1"/>
  <c r="RFE1590" i="1"/>
  <c r="RFD1590" i="1"/>
  <c r="RFC1590" i="1"/>
  <c r="RFB1590" i="1"/>
  <c r="RFA1590" i="1"/>
  <c r="REZ1590" i="1"/>
  <c r="REY1590" i="1"/>
  <c r="REX1590" i="1"/>
  <c r="REW1590" i="1"/>
  <c r="REV1590" i="1"/>
  <c r="REU1590" i="1"/>
  <c r="RET1590" i="1"/>
  <c r="RES1590" i="1"/>
  <c r="RER1590" i="1"/>
  <c r="REQ1590" i="1"/>
  <c r="REP1590" i="1"/>
  <c r="REO1590" i="1"/>
  <c r="REN1590" i="1"/>
  <c r="REM1590" i="1"/>
  <c r="REL1590" i="1"/>
  <c r="REK1590" i="1"/>
  <c r="REJ1590" i="1"/>
  <c r="REI1590" i="1"/>
  <c r="REH1590" i="1"/>
  <c r="REG1590" i="1"/>
  <c r="REF1590" i="1"/>
  <c r="REE1590" i="1"/>
  <c r="RED1590" i="1"/>
  <c r="REC1590" i="1"/>
  <c r="REB1590" i="1"/>
  <c r="REA1590" i="1"/>
  <c r="RDZ1590" i="1"/>
  <c r="RDY1590" i="1"/>
  <c r="RDX1590" i="1"/>
  <c r="RDW1590" i="1"/>
  <c r="RDV1590" i="1"/>
  <c r="RDU1590" i="1"/>
  <c r="RDT1590" i="1"/>
  <c r="RDS1590" i="1"/>
  <c r="RDR1590" i="1"/>
  <c r="RDQ1590" i="1"/>
  <c r="RDP1590" i="1"/>
  <c r="RDO1590" i="1"/>
  <c r="RDN1590" i="1"/>
  <c r="RDM1590" i="1"/>
  <c r="RDL1590" i="1"/>
  <c r="RDK1590" i="1"/>
  <c r="RDJ1590" i="1"/>
  <c r="RDI1590" i="1"/>
  <c r="RDH1590" i="1"/>
  <c r="RDG1590" i="1"/>
  <c r="RDF1590" i="1"/>
  <c r="RDE1590" i="1"/>
  <c r="RDD1590" i="1"/>
  <c r="RDC1590" i="1"/>
  <c r="RDB1590" i="1"/>
  <c r="RDA1590" i="1"/>
  <c r="RCZ1590" i="1"/>
  <c r="RCY1590" i="1"/>
  <c r="RCX1590" i="1"/>
  <c r="RCW1590" i="1"/>
  <c r="RCV1590" i="1"/>
  <c r="RCU1590" i="1"/>
  <c r="RCT1590" i="1"/>
  <c r="RCS1590" i="1"/>
  <c r="RCR1590" i="1"/>
  <c r="RCQ1590" i="1"/>
  <c r="RCP1590" i="1"/>
  <c r="RCO1590" i="1"/>
  <c r="RCN1590" i="1"/>
  <c r="RCM1590" i="1"/>
  <c r="RCL1590" i="1"/>
  <c r="RCK1590" i="1"/>
  <c r="RCJ1590" i="1"/>
  <c r="RCI1590" i="1"/>
  <c r="RCH1590" i="1"/>
  <c r="RCG1590" i="1"/>
  <c r="RCF1590" i="1"/>
  <c r="RCE1590" i="1"/>
  <c r="RCD1590" i="1"/>
  <c r="RCC1590" i="1"/>
  <c r="RCB1590" i="1"/>
  <c r="RCA1590" i="1"/>
  <c r="RBZ1590" i="1"/>
  <c r="RBY1590" i="1"/>
  <c r="RBX1590" i="1"/>
  <c r="RBW1590" i="1"/>
  <c r="RBV1590" i="1"/>
  <c r="RBU1590" i="1"/>
  <c r="RBT1590" i="1"/>
  <c r="RBS1590" i="1"/>
  <c r="RBR1590" i="1"/>
  <c r="RBQ1590" i="1"/>
  <c r="RBP1590" i="1"/>
  <c r="RBO1590" i="1"/>
  <c r="RBN1590" i="1"/>
  <c r="RBM1590" i="1"/>
  <c r="RBL1590" i="1"/>
  <c r="RBK1590" i="1"/>
  <c r="RBJ1590" i="1"/>
  <c r="RBI1590" i="1"/>
  <c r="RBH1590" i="1"/>
  <c r="RBG1590" i="1"/>
  <c r="RBF1590" i="1"/>
  <c r="RBE1590" i="1"/>
  <c r="RBD1590" i="1"/>
  <c r="RBC1590" i="1"/>
  <c r="RBB1590" i="1"/>
  <c r="RBA1590" i="1"/>
  <c r="RAZ1590" i="1"/>
  <c r="RAY1590" i="1"/>
  <c r="RAX1590" i="1"/>
  <c r="RAW1590" i="1"/>
  <c r="RAV1590" i="1"/>
  <c r="RAU1590" i="1"/>
  <c r="RAT1590" i="1"/>
  <c r="RAS1590" i="1"/>
  <c r="RAR1590" i="1"/>
  <c r="RAQ1590" i="1"/>
  <c r="RAP1590" i="1"/>
  <c r="RAO1590" i="1"/>
  <c r="RAN1590" i="1"/>
  <c r="RAM1590" i="1"/>
  <c r="RAL1590" i="1"/>
  <c r="RAK1590" i="1"/>
  <c r="RAJ1590" i="1"/>
  <c r="RAI1590" i="1"/>
  <c r="RAH1590" i="1"/>
  <c r="RAG1590" i="1"/>
  <c r="RAF1590" i="1"/>
  <c r="RAE1590" i="1"/>
  <c r="RAD1590" i="1"/>
  <c r="RAC1590" i="1"/>
  <c r="RAB1590" i="1"/>
  <c r="RAA1590" i="1"/>
  <c r="QZZ1590" i="1"/>
  <c r="QZY1590" i="1"/>
  <c r="QZX1590" i="1"/>
  <c r="QZW1590" i="1"/>
  <c r="QZV1590" i="1"/>
  <c r="QZU1590" i="1"/>
  <c r="QZT1590" i="1"/>
  <c r="QZS1590" i="1"/>
  <c r="QZR1590" i="1"/>
  <c r="QZQ1590" i="1"/>
  <c r="QZP1590" i="1"/>
  <c r="QZO1590" i="1"/>
  <c r="QZN1590" i="1"/>
  <c r="QZM1590" i="1"/>
  <c r="QZL1590" i="1"/>
  <c r="QZK1590" i="1"/>
  <c r="QZJ1590" i="1"/>
  <c r="QZI1590" i="1"/>
  <c r="QZH1590" i="1"/>
  <c r="QZG1590" i="1"/>
  <c r="QZF1590" i="1"/>
  <c r="QZE1590" i="1"/>
  <c r="QZD1590" i="1"/>
  <c r="QZC1590" i="1"/>
  <c r="QZB1590" i="1"/>
  <c r="QZA1590" i="1"/>
  <c r="QYZ1590" i="1"/>
  <c r="QYY1590" i="1"/>
  <c r="QYX1590" i="1"/>
  <c r="QYW1590" i="1"/>
  <c r="QYV1590" i="1"/>
  <c r="QYU1590" i="1"/>
  <c r="QYT1590" i="1"/>
  <c r="QYS1590" i="1"/>
  <c r="QYR1590" i="1"/>
  <c r="QYQ1590" i="1"/>
  <c r="QYP1590" i="1"/>
  <c r="QYO1590" i="1"/>
  <c r="QYN1590" i="1"/>
  <c r="QYM1590" i="1"/>
  <c r="QYL1590" i="1"/>
  <c r="QYK1590" i="1"/>
  <c r="QYJ1590" i="1"/>
  <c r="QYI1590" i="1"/>
  <c r="QYH1590" i="1"/>
  <c r="QYG1590" i="1"/>
  <c r="QYF1590" i="1"/>
  <c r="QYE1590" i="1"/>
  <c r="QYD1590" i="1"/>
  <c r="QYC1590" i="1"/>
  <c r="QYB1590" i="1"/>
  <c r="QYA1590" i="1"/>
  <c r="QXZ1590" i="1"/>
  <c r="QXY1590" i="1"/>
  <c r="QXX1590" i="1"/>
  <c r="QXW1590" i="1"/>
  <c r="QXV1590" i="1"/>
  <c r="QXU1590" i="1"/>
  <c r="QXT1590" i="1"/>
  <c r="QXS1590" i="1"/>
  <c r="QXR1590" i="1"/>
  <c r="QXQ1590" i="1"/>
  <c r="QXP1590" i="1"/>
  <c r="QXO1590" i="1"/>
  <c r="QXN1590" i="1"/>
  <c r="QXM1590" i="1"/>
  <c r="QXL1590" i="1"/>
  <c r="QXK1590" i="1"/>
  <c r="QXJ1590" i="1"/>
  <c r="QXI1590" i="1"/>
  <c r="QXH1590" i="1"/>
  <c r="QXG1590" i="1"/>
  <c r="QXF1590" i="1"/>
  <c r="QXE1590" i="1"/>
  <c r="QXD1590" i="1"/>
  <c r="QXC1590" i="1"/>
  <c r="QXB1590" i="1"/>
  <c r="QXA1590" i="1"/>
  <c r="QWZ1590" i="1"/>
  <c r="QWY1590" i="1"/>
  <c r="QWX1590" i="1"/>
  <c r="QWW1590" i="1"/>
  <c r="QWV1590" i="1"/>
  <c r="QWU1590" i="1"/>
  <c r="QWT1590" i="1"/>
  <c r="QWS1590" i="1"/>
  <c r="QWR1590" i="1"/>
  <c r="QWQ1590" i="1"/>
  <c r="QWP1590" i="1"/>
  <c r="QWO1590" i="1"/>
  <c r="QWN1590" i="1"/>
  <c r="QWM1590" i="1"/>
  <c r="QWL1590" i="1"/>
  <c r="QWK1590" i="1"/>
  <c r="QWJ1590" i="1"/>
  <c r="QWI1590" i="1"/>
  <c r="QWH1590" i="1"/>
  <c r="QWG1590" i="1"/>
  <c r="QWF1590" i="1"/>
  <c r="QWE1590" i="1"/>
  <c r="QWD1590" i="1"/>
  <c r="QWC1590" i="1"/>
  <c r="QWB1590" i="1"/>
  <c r="QWA1590" i="1"/>
  <c r="QVZ1590" i="1"/>
  <c r="QVY1590" i="1"/>
  <c r="QVX1590" i="1"/>
  <c r="QVW1590" i="1"/>
  <c r="QVV1590" i="1"/>
  <c r="QVU1590" i="1"/>
  <c r="QVT1590" i="1"/>
  <c r="QVS1590" i="1"/>
  <c r="QVR1590" i="1"/>
  <c r="QVQ1590" i="1"/>
  <c r="QVP1590" i="1"/>
  <c r="QVO1590" i="1"/>
  <c r="QVN1590" i="1"/>
  <c r="QVM1590" i="1"/>
  <c r="QVL1590" i="1"/>
  <c r="QVK1590" i="1"/>
  <c r="QVJ1590" i="1"/>
  <c r="QVI1590" i="1"/>
  <c r="QVH1590" i="1"/>
  <c r="QVG1590" i="1"/>
  <c r="QVF1590" i="1"/>
  <c r="QVE1590" i="1"/>
  <c r="QVD1590" i="1"/>
  <c r="QVC1590" i="1"/>
  <c r="QVB1590" i="1"/>
  <c r="QVA1590" i="1"/>
  <c r="QUZ1590" i="1"/>
  <c r="QUY1590" i="1"/>
  <c r="QUX1590" i="1"/>
  <c r="QUW1590" i="1"/>
  <c r="QUV1590" i="1"/>
  <c r="QUU1590" i="1"/>
  <c r="QUT1590" i="1"/>
  <c r="QUS1590" i="1"/>
  <c r="QUR1590" i="1"/>
  <c r="QUQ1590" i="1"/>
  <c r="QUP1590" i="1"/>
  <c r="QUO1590" i="1"/>
  <c r="QUN1590" i="1"/>
  <c r="QUM1590" i="1"/>
  <c r="QUL1590" i="1"/>
  <c r="QUK1590" i="1"/>
  <c r="QUJ1590" i="1"/>
  <c r="QUI1590" i="1"/>
  <c r="QUH1590" i="1"/>
  <c r="QUG1590" i="1"/>
  <c r="QUF1590" i="1"/>
  <c r="QUE1590" i="1"/>
  <c r="QUD1590" i="1"/>
  <c r="QUC1590" i="1"/>
  <c r="QUB1590" i="1"/>
  <c r="QUA1590" i="1"/>
  <c r="QTZ1590" i="1"/>
  <c r="QTY1590" i="1"/>
  <c r="QTX1590" i="1"/>
  <c r="QTW1590" i="1"/>
  <c r="QTV1590" i="1"/>
  <c r="QTU1590" i="1"/>
  <c r="QTT1590" i="1"/>
  <c r="QTS1590" i="1"/>
  <c r="QTR1590" i="1"/>
  <c r="QTQ1590" i="1"/>
  <c r="QTP1590" i="1"/>
  <c r="QTO1590" i="1"/>
  <c r="QTN1590" i="1"/>
  <c r="QTM1590" i="1"/>
  <c r="QTL1590" i="1"/>
  <c r="QTK1590" i="1"/>
  <c r="QTJ1590" i="1"/>
  <c r="QTI1590" i="1"/>
  <c r="QTH1590" i="1"/>
  <c r="QTG1590" i="1"/>
  <c r="QTF1590" i="1"/>
  <c r="QTE1590" i="1"/>
  <c r="QTD1590" i="1"/>
  <c r="QTC1590" i="1"/>
  <c r="QTB1590" i="1"/>
  <c r="QTA1590" i="1"/>
  <c r="QSZ1590" i="1"/>
  <c r="QSY1590" i="1"/>
  <c r="QSX1590" i="1"/>
  <c r="QSW1590" i="1"/>
  <c r="QSV1590" i="1"/>
  <c r="QSU1590" i="1"/>
  <c r="QST1590" i="1"/>
  <c r="QSS1590" i="1"/>
  <c r="QSR1590" i="1"/>
  <c r="QSQ1590" i="1"/>
  <c r="QSP1590" i="1"/>
  <c r="QSO1590" i="1"/>
  <c r="QSN1590" i="1"/>
  <c r="QSM1590" i="1"/>
  <c r="QSL1590" i="1"/>
  <c r="QSK1590" i="1"/>
  <c r="QSJ1590" i="1"/>
  <c r="QSI1590" i="1"/>
  <c r="QSH1590" i="1"/>
  <c r="QSG1590" i="1"/>
  <c r="QSF1590" i="1"/>
  <c r="QSE1590" i="1"/>
  <c r="QSD1590" i="1"/>
  <c r="QSC1590" i="1"/>
  <c r="QSB1590" i="1"/>
  <c r="QSA1590" i="1"/>
  <c r="QRZ1590" i="1"/>
  <c r="QRY1590" i="1"/>
  <c r="QRX1590" i="1"/>
  <c r="QRW1590" i="1"/>
  <c r="QRV1590" i="1"/>
  <c r="QRU1590" i="1"/>
  <c r="QRT1590" i="1"/>
  <c r="QRS1590" i="1"/>
  <c r="QRR1590" i="1"/>
  <c r="QRQ1590" i="1"/>
  <c r="QRP1590" i="1"/>
  <c r="QRO1590" i="1"/>
  <c r="QRN1590" i="1"/>
  <c r="QRM1590" i="1"/>
  <c r="QRL1590" i="1"/>
  <c r="QRK1590" i="1"/>
  <c r="QRJ1590" i="1"/>
  <c r="QRI1590" i="1"/>
  <c r="QRH1590" i="1"/>
  <c r="QRG1590" i="1"/>
  <c r="QRF1590" i="1"/>
  <c r="QRE1590" i="1"/>
  <c r="QRD1590" i="1"/>
  <c r="QRC1590" i="1"/>
  <c r="QRB1590" i="1"/>
  <c r="QRA1590" i="1"/>
  <c r="QQZ1590" i="1"/>
  <c r="QQY1590" i="1"/>
  <c r="QQX1590" i="1"/>
  <c r="QQW1590" i="1"/>
  <c r="QQV1590" i="1"/>
  <c r="QQU1590" i="1"/>
  <c r="QQT1590" i="1"/>
  <c r="QQS1590" i="1"/>
  <c r="QQR1590" i="1"/>
  <c r="QQQ1590" i="1"/>
  <c r="QQP1590" i="1"/>
  <c r="QQO1590" i="1"/>
  <c r="QQN1590" i="1"/>
  <c r="QQM1590" i="1"/>
  <c r="QQL1590" i="1"/>
  <c r="QQK1590" i="1"/>
  <c r="QQJ1590" i="1"/>
  <c r="QQI1590" i="1"/>
  <c r="QQH1590" i="1"/>
  <c r="QQG1590" i="1"/>
  <c r="QQF1590" i="1"/>
  <c r="QQE1590" i="1"/>
  <c r="QQD1590" i="1"/>
  <c r="QQC1590" i="1"/>
  <c r="QQB1590" i="1"/>
  <c r="QQA1590" i="1"/>
  <c r="QPZ1590" i="1"/>
  <c r="QPY1590" i="1"/>
  <c r="QPX1590" i="1"/>
  <c r="QPW1590" i="1"/>
  <c r="QPV1590" i="1"/>
  <c r="QPU1590" i="1"/>
  <c r="QPT1590" i="1"/>
  <c r="QPS1590" i="1"/>
  <c r="QPR1590" i="1"/>
  <c r="QPQ1590" i="1"/>
  <c r="QPP1590" i="1"/>
  <c r="QPO1590" i="1"/>
  <c r="QPN1590" i="1"/>
  <c r="QPM1590" i="1"/>
  <c r="QPL1590" i="1"/>
  <c r="QPK1590" i="1"/>
  <c r="QPJ1590" i="1"/>
  <c r="QPI1590" i="1"/>
  <c r="QPH1590" i="1"/>
  <c r="QPG1590" i="1"/>
  <c r="QPF1590" i="1"/>
  <c r="QPE1590" i="1"/>
  <c r="QPD1590" i="1"/>
  <c r="QPC1590" i="1"/>
  <c r="QPB1590" i="1"/>
  <c r="QPA1590" i="1"/>
  <c r="QOZ1590" i="1"/>
  <c r="QOY1590" i="1"/>
  <c r="QOX1590" i="1"/>
  <c r="QOW1590" i="1"/>
  <c r="QOV1590" i="1"/>
  <c r="QOU1590" i="1"/>
  <c r="QOT1590" i="1"/>
  <c r="QOS1590" i="1"/>
  <c r="QOR1590" i="1"/>
  <c r="QOQ1590" i="1"/>
  <c r="QOP1590" i="1"/>
  <c r="QOO1590" i="1"/>
  <c r="QON1590" i="1"/>
  <c r="QOM1590" i="1"/>
  <c r="QOL1590" i="1"/>
  <c r="QOK1590" i="1"/>
  <c r="QOJ1590" i="1"/>
  <c r="QOI1590" i="1"/>
  <c r="QOH1590" i="1"/>
  <c r="QOG1590" i="1"/>
  <c r="QOF1590" i="1"/>
  <c r="QOE1590" i="1"/>
  <c r="QOD1590" i="1"/>
  <c r="QOC1590" i="1"/>
  <c r="QOB1590" i="1"/>
  <c r="QOA1590" i="1"/>
  <c r="QNZ1590" i="1"/>
  <c r="QNY1590" i="1"/>
  <c r="QNX1590" i="1"/>
  <c r="QNW1590" i="1"/>
  <c r="QNV1590" i="1"/>
  <c r="QNU1590" i="1"/>
  <c r="QNT1590" i="1"/>
  <c r="QNS1590" i="1"/>
  <c r="QNR1590" i="1"/>
  <c r="QNQ1590" i="1"/>
  <c r="QNP1590" i="1"/>
  <c r="QNO1590" i="1"/>
  <c r="QNN1590" i="1"/>
  <c r="QNM1590" i="1"/>
  <c r="QNL1590" i="1"/>
  <c r="QNK1590" i="1"/>
  <c r="QNJ1590" i="1"/>
  <c r="QNI1590" i="1"/>
  <c r="QNH1590" i="1"/>
  <c r="QNG1590" i="1"/>
  <c r="QNF1590" i="1"/>
  <c r="QNE1590" i="1"/>
  <c r="QND1590" i="1"/>
  <c r="QNC1590" i="1"/>
  <c r="QNB1590" i="1"/>
  <c r="QNA1590" i="1"/>
  <c r="QMZ1590" i="1"/>
  <c r="QMY1590" i="1"/>
  <c r="QMX1590" i="1"/>
  <c r="QMW1590" i="1"/>
  <c r="QMV1590" i="1"/>
  <c r="QMU1590" i="1"/>
  <c r="QMT1590" i="1"/>
  <c r="QMS1590" i="1"/>
  <c r="QMR1590" i="1"/>
  <c r="QMQ1590" i="1"/>
  <c r="QMP1590" i="1"/>
  <c r="QMO1590" i="1"/>
  <c r="QMN1590" i="1"/>
  <c r="QMM1590" i="1"/>
  <c r="QML1590" i="1"/>
  <c r="QMK1590" i="1"/>
  <c r="QMJ1590" i="1"/>
  <c r="QMI1590" i="1"/>
  <c r="QMH1590" i="1"/>
  <c r="QMG1590" i="1"/>
  <c r="QMF1590" i="1"/>
  <c r="QME1590" i="1"/>
  <c r="QMD1590" i="1"/>
  <c r="QMC1590" i="1"/>
  <c r="QMB1590" i="1"/>
  <c r="QMA1590" i="1"/>
  <c r="QLZ1590" i="1"/>
  <c r="QLY1590" i="1"/>
  <c r="QLX1590" i="1"/>
  <c r="QLW1590" i="1"/>
  <c r="QLV1590" i="1"/>
  <c r="QLU1590" i="1"/>
  <c r="QLT1590" i="1"/>
  <c r="QLS1590" i="1"/>
  <c r="QLR1590" i="1"/>
  <c r="QLQ1590" i="1"/>
  <c r="QLP1590" i="1"/>
  <c r="QLO1590" i="1"/>
  <c r="QLN1590" i="1"/>
  <c r="QLM1590" i="1"/>
  <c r="QLL1590" i="1"/>
  <c r="QLK1590" i="1"/>
  <c r="QLJ1590" i="1"/>
  <c r="QLI1590" i="1"/>
  <c r="QLH1590" i="1"/>
  <c r="QLG1590" i="1"/>
  <c r="QLF1590" i="1"/>
  <c r="QLE1590" i="1"/>
  <c r="QLD1590" i="1"/>
  <c r="QLC1590" i="1"/>
  <c r="QLB1590" i="1"/>
  <c r="QLA1590" i="1"/>
  <c r="QKZ1590" i="1"/>
  <c r="QKY1590" i="1"/>
  <c r="QKX1590" i="1"/>
  <c r="QKW1590" i="1"/>
  <c r="QKV1590" i="1"/>
  <c r="QKU1590" i="1"/>
  <c r="QKT1590" i="1"/>
  <c r="QKS1590" i="1"/>
  <c r="QKR1590" i="1"/>
  <c r="QKQ1590" i="1"/>
  <c r="QKP1590" i="1"/>
  <c r="QKO1590" i="1"/>
  <c r="QKN1590" i="1"/>
  <c r="QKM1590" i="1"/>
  <c r="QKL1590" i="1"/>
  <c r="QKK1590" i="1"/>
  <c r="QKJ1590" i="1"/>
  <c r="QKI1590" i="1"/>
  <c r="QKH1590" i="1"/>
  <c r="QKG1590" i="1"/>
  <c r="QKF1590" i="1"/>
  <c r="QKE1590" i="1"/>
  <c r="QKD1590" i="1"/>
  <c r="QKC1590" i="1"/>
  <c r="QKB1590" i="1"/>
  <c r="QKA1590" i="1"/>
  <c r="QJZ1590" i="1"/>
  <c r="QJY1590" i="1"/>
  <c r="QJX1590" i="1"/>
  <c r="QJW1590" i="1"/>
  <c r="QJV1590" i="1"/>
  <c r="QJU1590" i="1"/>
  <c r="QJT1590" i="1"/>
  <c r="QJS1590" i="1"/>
  <c r="QJR1590" i="1"/>
  <c r="QJQ1590" i="1"/>
  <c r="QJP1590" i="1"/>
  <c r="QJO1590" i="1"/>
  <c r="QJN1590" i="1"/>
  <c r="QJM1590" i="1"/>
  <c r="QJL1590" i="1"/>
  <c r="QJK1590" i="1"/>
  <c r="QJJ1590" i="1"/>
  <c r="QJI1590" i="1"/>
  <c r="QJH1590" i="1"/>
  <c r="QJG1590" i="1"/>
  <c r="QJF1590" i="1"/>
  <c r="QJE1590" i="1"/>
  <c r="QJD1590" i="1"/>
  <c r="QJC1590" i="1"/>
  <c r="QJB1590" i="1"/>
  <c r="QJA1590" i="1"/>
  <c r="QIZ1590" i="1"/>
  <c r="QIY1590" i="1"/>
  <c r="QIX1590" i="1"/>
  <c r="QIW1590" i="1"/>
  <c r="QIV1590" i="1"/>
  <c r="QIU1590" i="1"/>
  <c r="QIT1590" i="1"/>
  <c r="QIS1590" i="1"/>
  <c r="QIR1590" i="1"/>
  <c r="QIQ1590" i="1"/>
  <c r="QIP1590" i="1"/>
  <c r="QIO1590" i="1"/>
  <c r="QIN1590" i="1"/>
  <c r="QIM1590" i="1"/>
  <c r="QIL1590" i="1"/>
  <c r="QIK1590" i="1"/>
  <c r="QIJ1590" i="1"/>
  <c r="QII1590" i="1"/>
  <c r="QIH1590" i="1"/>
  <c r="QIG1590" i="1"/>
  <c r="QIF1590" i="1"/>
  <c r="QIE1590" i="1"/>
  <c r="QID1590" i="1"/>
  <c r="QIC1590" i="1"/>
  <c r="QIB1590" i="1"/>
  <c r="QIA1590" i="1"/>
  <c r="QHZ1590" i="1"/>
  <c r="QHY1590" i="1"/>
  <c r="QHX1590" i="1"/>
  <c r="QHW1590" i="1"/>
  <c r="QHV1590" i="1"/>
  <c r="QHU1590" i="1"/>
  <c r="QHT1590" i="1"/>
  <c r="QHS1590" i="1"/>
  <c r="QHR1590" i="1"/>
  <c r="QHQ1590" i="1"/>
  <c r="QHP1590" i="1"/>
  <c r="QHO1590" i="1"/>
  <c r="QHN1590" i="1"/>
  <c r="QHM1590" i="1"/>
  <c r="QHL1590" i="1"/>
  <c r="QHK1590" i="1"/>
  <c r="QHJ1590" i="1"/>
  <c r="QHI1590" i="1"/>
  <c r="QHH1590" i="1"/>
  <c r="QHG1590" i="1"/>
  <c r="QHF1590" i="1"/>
  <c r="QHE1590" i="1"/>
  <c r="QHD1590" i="1"/>
  <c r="QHC1590" i="1"/>
  <c r="QHB1590" i="1"/>
  <c r="QHA1590" i="1"/>
  <c r="QGZ1590" i="1"/>
  <c r="QGY1590" i="1"/>
  <c r="QGX1590" i="1"/>
  <c r="QGW1590" i="1"/>
  <c r="QGV1590" i="1"/>
  <c r="QGU1590" i="1"/>
  <c r="QGT1590" i="1"/>
  <c r="QGS1590" i="1"/>
  <c r="QGR1590" i="1"/>
  <c r="QGQ1590" i="1"/>
  <c r="QGP1590" i="1"/>
  <c r="QGO1590" i="1"/>
  <c r="QGN1590" i="1"/>
  <c r="QGM1590" i="1"/>
  <c r="QGL1590" i="1"/>
  <c r="QGK1590" i="1"/>
  <c r="QGJ1590" i="1"/>
  <c r="QGI1590" i="1"/>
  <c r="QGH1590" i="1"/>
  <c r="QGG1590" i="1"/>
  <c r="QGF1590" i="1"/>
  <c r="QGE1590" i="1"/>
  <c r="QGD1590" i="1"/>
  <c r="QGC1590" i="1"/>
  <c r="QGB1590" i="1"/>
  <c r="QGA1590" i="1"/>
  <c r="QFZ1590" i="1"/>
  <c r="QFY1590" i="1"/>
  <c r="QFX1590" i="1"/>
  <c r="QFW1590" i="1"/>
  <c r="QFV1590" i="1"/>
  <c r="QFU1590" i="1"/>
  <c r="QFT1590" i="1"/>
  <c r="QFS1590" i="1"/>
  <c r="QFR1590" i="1"/>
  <c r="QFQ1590" i="1"/>
  <c r="QFP1590" i="1"/>
  <c r="QFO1590" i="1"/>
  <c r="QFN1590" i="1"/>
  <c r="QFM1590" i="1"/>
  <c r="QFL1590" i="1"/>
  <c r="QFK1590" i="1"/>
  <c r="QFJ1590" i="1"/>
  <c r="QFI1590" i="1"/>
  <c r="QFH1590" i="1"/>
  <c r="QFG1590" i="1"/>
  <c r="QFF1590" i="1"/>
  <c r="QFE1590" i="1"/>
  <c r="QFD1590" i="1"/>
  <c r="QFC1590" i="1"/>
  <c r="QFB1590" i="1"/>
  <c r="QFA1590" i="1"/>
  <c r="QEZ1590" i="1"/>
  <c r="QEY1590" i="1"/>
  <c r="QEX1590" i="1"/>
  <c r="QEW1590" i="1"/>
  <c r="QEV1590" i="1"/>
  <c r="QEU1590" i="1"/>
  <c r="QET1590" i="1"/>
  <c r="QES1590" i="1"/>
  <c r="QER1590" i="1"/>
  <c r="QEQ1590" i="1"/>
  <c r="QEP1590" i="1"/>
  <c r="QEO1590" i="1"/>
  <c r="QEN1590" i="1"/>
  <c r="QEM1590" i="1"/>
  <c r="QEL1590" i="1"/>
  <c r="QEK1590" i="1"/>
  <c r="QEJ1590" i="1"/>
  <c r="QEI1590" i="1"/>
  <c r="QEH1590" i="1"/>
  <c r="QEG1590" i="1"/>
  <c r="QEF1590" i="1"/>
  <c r="QEE1590" i="1"/>
  <c r="QED1590" i="1"/>
  <c r="QEC1590" i="1"/>
  <c r="QEB1590" i="1"/>
  <c r="QEA1590" i="1"/>
  <c r="QDZ1590" i="1"/>
  <c r="QDY1590" i="1"/>
  <c r="QDX1590" i="1"/>
  <c r="QDW1590" i="1"/>
  <c r="QDV1590" i="1"/>
  <c r="QDU1590" i="1"/>
  <c r="QDT1590" i="1"/>
  <c r="QDS1590" i="1"/>
  <c r="QDR1590" i="1"/>
  <c r="QDQ1590" i="1"/>
  <c r="QDP1590" i="1"/>
  <c r="QDO1590" i="1"/>
  <c r="QDN1590" i="1"/>
  <c r="QDM1590" i="1"/>
  <c r="QDL1590" i="1"/>
  <c r="QDK1590" i="1"/>
  <c r="QDJ1590" i="1"/>
  <c r="QDI1590" i="1"/>
  <c r="QDH1590" i="1"/>
  <c r="QDG1590" i="1"/>
  <c r="QDF1590" i="1"/>
  <c r="QDE1590" i="1"/>
  <c r="QDD1590" i="1"/>
  <c r="QDC1590" i="1"/>
  <c r="QDB1590" i="1"/>
  <c r="QDA1590" i="1"/>
  <c r="QCZ1590" i="1"/>
  <c r="QCY1590" i="1"/>
  <c r="QCX1590" i="1"/>
  <c r="QCW1590" i="1"/>
  <c r="QCV1590" i="1"/>
  <c r="QCU1590" i="1"/>
  <c r="QCT1590" i="1"/>
  <c r="QCS1590" i="1"/>
  <c r="QCR1590" i="1"/>
  <c r="QCQ1590" i="1"/>
  <c r="QCP1590" i="1"/>
  <c r="QCO1590" i="1"/>
  <c r="QCN1590" i="1"/>
  <c r="QCM1590" i="1"/>
  <c r="QCL1590" i="1"/>
  <c r="QCK1590" i="1"/>
  <c r="QCJ1590" i="1"/>
  <c r="QCI1590" i="1"/>
  <c r="QCH1590" i="1"/>
  <c r="QCG1590" i="1"/>
  <c r="QCF1590" i="1"/>
  <c r="QCE1590" i="1"/>
  <c r="QCD1590" i="1"/>
  <c r="QCC1590" i="1"/>
  <c r="QCB1590" i="1"/>
  <c r="QCA1590" i="1"/>
  <c r="QBZ1590" i="1"/>
  <c r="QBY1590" i="1"/>
  <c r="QBX1590" i="1"/>
  <c r="QBW1590" i="1"/>
  <c r="QBV1590" i="1"/>
  <c r="QBU1590" i="1"/>
  <c r="QBT1590" i="1"/>
  <c r="QBS1590" i="1"/>
  <c r="QBR1590" i="1"/>
  <c r="QBQ1590" i="1"/>
  <c r="QBP1590" i="1"/>
  <c r="QBO1590" i="1"/>
  <c r="QBN1590" i="1"/>
  <c r="QBM1590" i="1"/>
  <c r="QBL1590" i="1"/>
  <c r="QBK1590" i="1"/>
  <c r="QBJ1590" i="1"/>
  <c r="QBI1590" i="1"/>
  <c r="QBH1590" i="1"/>
  <c r="QBG1590" i="1"/>
  <c r="QBF1590" i="1"/>
  <c r="QBE1590" i="1"/>
  <c r="QBD1590" i="1"/>
  <c r="QBC1590" i="1"/>
  <c r="QBB1590" i="1"/>
  <c r="QBA1590" i="1"/>
  <c r="QAZ1590" i="1"/>
  <c r="QAY1590" i="1"/>
  <c r="QAX1590" i="1"/>
  <c r="QAW1590" i="1"/>
  <c r="QAV1590" i="1"/>
  <c r="QAU1590" i="1"/>
  <c r="QAT1590" i="1"/>
  <c r="QAS1590" i="1"/>
  <c r="QAR1590" i="1"/>
  <c r="QAQ1590" i="1"/>
  <c r="QAP1590" i="1"/>
  <c r="QAO1590" i="1"/>
  <c r="QAN1590" i="1"/>
  <c r="QAM1590" i="1"/>
  <c r="QAL1590" i="1"/>
  <c r="QAK1590" i="1"/>
  <c r="QAJ1590" i="1"/>
  <c r="QAI1590" i="1"/>
  <c r="QAH1590" i="1"/>
  <c r="QAG1590" i="1"/>
  <c r="QAF1590" i="1"/>
  <c r="QAE1590" i="1"/>
  <c r="QAD1590" i="1"/>
  <c r="QAC1590" i="1"/>
  <c r="QAB1590" i="1"/>
  <c r="QAA1590" i="1"/>
  <c r="PZZ1590" i="1"/>
  <c r="PZY1590" i="1"/>
  <c r="PZX1590" i="1"/>
  <c r="PZW1590" i="1"/>
  <c r="PZV1590" i="1"/>
  <c r="PZU1590" i="1"/>
  <c r="PZT1590" i="1"/>
  <c r="PZS1590" i="1"/>
  <c r="PZR1590" i="1"/>
  <c r="PZQ1590" i="1"/>
  <c r="PZP1590" i="1"/>
  <c r="PZO1590" i="1"/>
  <c r="PZN1590" i="1"/>
  <c r="PZM1590" i="1"/>
  <c r="PZL1590" i="1"/>
  <c r="PZK1590" i="1"/>
  <c r="PZJ1590" i="1"/>
  <c r="PZI1590" i="1"/>
  <c r="PZH1590" i="1"/>
  <c r="PZG1590" i="1"/>
  <c r="PZF1590" i="1"/>
  <c r="PZE1590" i="1"/>
  <c r="PZD1590" i="1"/>
  <c r="PZC1590" i="1"/>
  <c r="PZB1590" i="1"/>
  <c r="PZA1590" i="1"/>
  <c r="PYZ1590" i="1"/>
  <c r="PYY1590" i="1"/>
  <c r="PYX1590" i="1"/>
  <c r="PYW1590" i="1"/>
  <c r="PYV1590" i="1"/>
  <c r="PYU1590" i="1"/>
  <c r="PYT1590" i="1"/>
  <c r="PYS1590" i="1"/>
  <c r="PYR1590" i="1"/>
  <c r="PYQ1590" i="1"/>
  <c r="PYP1590" i="1"/>
  <c r="PYO1590" i="1"/>
  <c r="PYN1590" i="1"/>
  <c r="PYM1590" i="1"/>
  <c r="PYL1590" i="1"/>
  <c r="PYK1590" i="1"/>
  <c r="PYJ1590" i="1"/>
  <c r="PYI1590" i="1"/>
  <c r="PYH1590" i="1"/>
  <c r="PYG1590" i="1"/>
  <c r="PYF1590" i="1"/>
  <c r="PYE1590" i="1"/>
  <c r="PYD1590" i="1"/>
  <c r="PYC1590" i="1"/>
  <c r="PYB1590" i="1"/>
  <c r="PYA1590" i="1"/>
  <c r="PXZ1590" i="1"/>
  <c r="PXY1590" i="1"/>
  <c r="PXX1590" i="1"/>
  <c r="PXW1590" i="1"/>
  <c r="PXV1590" i="1"/>
  <c r="PXU1590" i="1"/>
  <c r="PXT1590" i="1"/>
  <c r="PXS1590" i="1"/>
  <c r="PXR1590" i="1"/>
  <c r="PXQ1590" i="1"/>
  <c r="PXP1590" i="1"/>
  <c r="PXO1590" i="1"/>
  <c r="PXN1590" i="1"/>
  <c r="PXM1590" i="1"/>
  <c r="PXL1590" i="1"/>
  <c r="PXK1590" i="1"/>
  <c r="PXJ1590" i="1"/>
  <c r="PXI1590" i="1"/>
  <c r="PXH1590" i="1"/>
  <c r="PXG1590" i="1"/>
  <c r="PXF1590" i="1"/>
  <c r="PXE1590" i="1"/>
  <c r="PXD1590" i="1"/>
  <c r="PXC1590" i="1"/>
  <c r="PXB1590" i="1"/>
  <c r="PXA1590" i="1"/>
  <c r="PWZ1590" i="1"/>
  <c r="PWY1590" i="1"/>
  <c r="PWX1590" i="1"/>
  <c r="PWW1590" i="1"/>
  <c r="PWV1590" i="1"/>
  <c r="PWU1590" i="1"/>
  <c r="PWT1590" i="1"/>
  <c r="PWS1590" i="1"/>
  <c r="PWR1590" i="1"/>
  <c r="PWQ1590" i="1"/>
  <c r="PWP1590" i="1"/>
  <c r="PWO1590" i="1"/>
  <c r="PWN1590" i="1"/>
  <c r="PWM1590" i="1"/>
  <c r="PWL1590" i="1"/>
  <c r="PWK1590" i="1"/>
  <c r="PWJ1590" i="1"/>
  <c r="PWI1590" i="1"/>
  <c r="PWH1590" i="1"/>
  <c r="PWG1590" i="1"/>
  <c r="PWF1590" i="1"/>
  <c r="PWE1590" i="1"/>
  <c r="PWD1590" i="1"/>
  <c r="PWC1590" i="1"/>
  <c r="PWB1590" i="1"/>
  <c r="PWA1590" i="1"/>
  <c r="PVZ1590" i="1"/>
  <c r="PVY1590" i="1"/>
  <c r="PVX1590" i="1"/>
  <c r="PVW1590" i="1"/>
  <c r="PVV1590" i="1"/>
  <c r="PVU1590" i="1"/>
  <c r="PVT1590" i="1"/>
  <c r="PVS1590" i="1"/>
  <c r="PVR1590" i="1"/>
  <c r="PVQ1590" i="1"/>
  <c r="PVP1590" i="1"/>
  <c r="PVO1590" i="1"/>
  <c r="PVN1590" i="1"/>
  <c r="PVM1590" i="1"/>
  <c r="PVL1590" i="1"/>
  <c r="PVK1590" i="1"/>
  <c r="PVJ1590" i="1"/>
  <c r="PVI1590" i="1"/>
  <c r="PVH1590" i="1"/>
  <c r="PVG1590" i="1"/>
  <c r="PVF1590" i="1"/>
  <c r="PVE1590" i="1"/>
  <c r="PVD1590" i="1"/>
  <c r="PVC1590" i="1"/>
  <c r="PVB1590" i="1"/>
  <c r="PVA1590" i="1"/>
  <c r="PUZ1590" i="1"/>
  <c r="PUY1590" i="1"/>
  <c r="PUX1590" i="1"/>
  <c r="PUW1590" i="1"/>
  <c r="PUV1590" i="1"/>
  <c r="PUU1590" i="1"/>
  <c r="PUT1590" i="1"/>
  <c r="PUS1590" i="1"/>
  <c r="PUR1590" i="1"/>
  <c r="PUQ1590" i="1"/>
  <c r="PUP1590" i="1"/>
  <c r="PUO1590" i="1"/>
  <c r="PUN1590" i="1"/>
  <c r="PUM1590" i="1"/>
  <c r="PUL1590" i="1"/>
  <c r="PUK1590" i="1"/>
  <c r="PUJ1590" i="1"/>
  <c r="PUI1590" i="1"/>
  <c r="PUH1590" i="1"/>
  <c r="PUG1590" i="1"/>
  <c r="PUF1590" i="1"/>
  <c r="PUE1590" i="1"/>
  <c r="PUD1590" i="1"/>
  <c r="PUC1590" i="1"/>
  <c r="PUB1590" i="1"/>
  <c r="PUA1590" i="1"/>
  <c r="PTZ1590" i="1"/>
  <c r="PTY1590" i="1"/>
  <c r="PTX1590" i="1"/>
  <c r="PTW1590" i="1"/>
  <c r="PTV1590" i="1"/>
  <c r="PTU1590" i="1"/>
  <c r="PTT1590" i="1"/>
  <c r="PTS1590" i="1"/>
  <c r="PTR1590" i="1"/>
  <c r="PTQ1590" i="1"/>
  <c r="PTP1590" i="1"/>
  <c r="PTO1590" i="1"/>
  <c r="PTN1590" i="1"/>
  <c r="PTM1590" i="1"/>
  <c r="PTL1590" i="1"/>
  <c r="PTK1590" i="1"/>
  <c r="PTJ1590" i="1"/>
  <c r="PTI1590" i="1"/>
  <c r="PTH1590" i="1"/>
  <c r="PTG1590" i="1"/>
  <c r="PTF1590" i="1"/>
  <c r="PTE1590" i="1"/>
  <c r="PTD1590" i="1"/>
  <c r="PTC1590" i="1"/>
  <c r="PTB1590" i="1"/>
  <c r="PTA1590" i="1"/>
  <c r="PSZ1590" i="1"/>
  <c r="PSY1590" i="1"/>
  <c r="PSX1590" i="1"/>
  <c r="PSW1590" i="1"/>
  <c r="PSV1590" i="1"/>
  <c r="PSU1590" i="1"/>
  <c r="PST1590" i="1"/>
  <c r="PSS1590" i="1"/>
  <c r="PSR1590" i="1"/>
  <c r="PSQ1590" i="1"/>
  <c r="PSP1590" i="1"/>
  <c r="PSO1590" i="1"/>
  <c r="PSN1590" i="1"/>
  <c r="PSM1590" i="1"/>
  <c r="PSL1590" i="1"/>
  <c r="PSK1590" i="1"/>
  <c r="PSJ1590" i="1"/>
  <c r="PSI1590" i="1"/>
  <c r="PSH1590" i="1"/>
  <c r="PSG1590" i="1"/>
  <c r="PSF1590" i="1"/>
  <c r="PSE1590" i="1"/>
  <c r="PSD1590" i="1"/>
  <c r="PSC1590" i="1"/>
  <c r="PSB1590" i="1"/>
  <c r="PSA1590" i="1"/>
  <c r="PRZ1590" i="1"/>
  <c r="PRY1590" i="1"/>
  <c r="PRX1590" i="1"/>
  <c r="PRW1590" i="1"/>
  <c r="PRV1590" i="1"/>
  <c r="PRU1590" i="1"/>
  <c r="PRT1590" i="1"/>
  <c r="PRS1590" i="1"/>
  <c r="PRR1590" i="1"/>
  <c r="PRQ1590" i="1"/>
  <c r="PRP1590" i="1"/>
  <c r="PRO1590" i="1"/>
  <c r="PRN1590" i="1"/>
  <c r="PRM1590" i="1"/>
  <c r="PRL1590" i="1"/>
  <c r="PRK1590" i="1"/>
  <c r="PRJ1590" i="1"/>
  <c r="PRI1590" i="1"/>
  <c r="PRH1590" i="1"/>
  <c r="PRG1590" i="1"/>
  <c r="PRF1590" i="1"/>
  <c r="PRE1590" i="1"/>
  <c r="PRD1590" i="1"/>
  <c r="PRC1590" i="1"/>
  <c r="PRB1590" i="1"/>
  <c r="PRA1590" i="1"/>
  <c r="PQZ1590" i="1"/>
  <c r="PQY1590" i="1"/>
  <c r="PQX1590" i="1"/>
  <c r="PQW1590" i="1"/>
  <c r="PQV1590" i="1"/>
  <c r="PQU1590" i="1"/>
  <c r="PQT1590" i="1"/>
  <c r="PQS1590" i="1"/>
  <c r="PQR1590" i="1"/>
  <c r="PQQ1590" i="1"/>
  <c r="PQP1590" i="1"/>
  <c r="PQO1590" i="1"/>
  <c r="PQN1590" i="1"/>
  <c r="PQM1590" i="1"/>
  <c r="PQL1590" i="1"/>
  <c r="PQK1590" i="1"/>
  <c r="PQJ1590" i="1"/>
  <c r="PQI1590" i="1"/>
  <c r="PQH1590" i="1"/>
  <c r="PQG1590" i="1"/>
  <c r="PQF1590" i="1"/>
  <c r="PQE1590" i="1"/>
  <c r="PQD1590" i="1"/>
  <c r="PQC1590" i="1"/>
  <c r="PQB1590" i="1"/>
  <c r="PQA1590" i="1"/>
  <c r="PPZ1590" i="1"/>
  <c r="PPY1590" i="1"/>
  <c r="PPX1590" i="1"/>
  <c r="PPW1590" i="1"/>
  <c r="PPV1590" i="1"/>
  <c r="PPU1590" i="1"/>
  <c r="PPT1590" i="1"/>
  <c r="PPS1590" i="1"/>
  <c r="PPR1590" i="1"/>
  <c r="PPQ1590" i="1"/>
  <c r="PPP1590" i="1"/>
  <c r="PPO1590" i="1"/>
  <c r="PPN1590" i="1"/>
  <c r="PPM1590" i="1"/>
  <c r="PPL1590" i="1"/>
  <c r="PPK1590" i="1"/>
  <c r="PPJ1590" i="1"/>
  <c r="PPI1590" i="1"/>
  <c r="PPH1590" i="1"/>
  <c r="PPG1590" i="1"/>
  <c r="PPF1590" i="1"/>
  <c r="PPE1590" i="1"/>
  <c r="PPD1590" i="1"/>
  <c r="PPC1590" i="1"/>
  <c r="PPB1590" i="1"/>
  <c r="PPA1590" i="1"/>
  <c r="POZ1590" i="1"/>
  <c r="POY1590" i="1"/>
  <c r="POX1590" i="1"/>
  <c r="POW1590" i="1"/>
  <c r="POV1590" i="1"/>
  <c r="POU1590" i="1"/>
  <c r="POT1590" i="1"/>
  <c r="POS1590" i="1"/>
  <c r="POR1590" i="1"/>
  <c r="POQ1590" i="1"/>
  <c r="POP1590" i="1"/>
  <c r="POO1590" i="1"/>
  <c r="PON1590" i="1"/>
  <c r="POM1590" i="1"/>
  <c r="POL1590" i="1"/>
  <c r="POK1590" i="1"/>
  <c r="POJ1590" i="1"/>
  <c r="POI1590" i="1"/>
  <c r="POH1590" i="1"/>
  <c r="POG1590" i="1"/>
  <c r="POF1590" i="1"/>
  <c r="POE1590" i="1"/>
  <c r="POD1590" i="1"/>
  <c r="POC1590" i="1"/>
  <c r="POB1590" i="1"/>
  <c r="POA1590" i="1"/>
  <c r="PNZ1590" i="1"/>
  <c r="PNY1590" i="1"/>
  <c r="PNX1590" i="1"/>
  <c r="PNW1590" i="1"/>
  <c r="PNV1590" i="1"/>
  <c r="PNU1590" i="1"/>
  <c r="PNT1590" i="1"/>
  <c r="PNS1590" i="1"/>
  <c r="PNR1590" i="1"/>
  <c r="PNQ1590" i="1"/>
  <c r="PNP1590" i="1"/>
  <c r="PNO1590" i="1"/>
  <c r="PNN1590" i="1"/>
  <c r="PNM1590" i="1"/>
  <c r="PNL1590" i="1"/>
  <c r="PNK1590" i="1"/>
  <c r="PNJ1590" i="1"/>
  <c r="PNI1590" i="1"/>
  <c r="PNH1590" i="1"/>
  <c r="PNG1590" i="1"/>
  <c r="PNF1590" i="1"/>
  <c r="PNE1590" i="1"/>
  <c r="PND1590" i="1"/>
  <c r="PNC1590" i="1"/>
  <c r="PNB1590" i="1"/>
  <c r="PNA1590" i="1"/>
  <c r="PMZ1590" i="1"/>
  <c r="PMY1590" i="1"/>
  <c r="PMX1590" i="1"/>
  <c r="PMW1590" i="1"/>
  <c r="PMV1590" i="1"/>
  <c r="PMU1590" i="1"/>
  <c r="PMT1590" i="1"/>
  <c r="PMS1590" i="1"/>
  <c r="PMR1590" i="1"/>
  <c r="PMQ1590" i="1"/>
  <c r="PMP1590" i="1"/>
  <c r="PMO1590" i="1"/>
  <c r="PMN1590" i="1"/>
  <c r="PMM1590" i="1"/>
  <c r="PML1590" i="1"/>
  <c r="PMK1590" i="1"/>
  <c r="PMJ1590" i="1"/>
  <c r="PMI1590" i="1"/>
  <c r="PMH1590" i="1"/>
  <c r="PMG1590" i="1"/>
  <c r="PMF1590" i="1"/>
  <c r="PME1590" i="1"/>
  <c r="PMD1590" i="1"/>
  <c r="PMC1590" i="1"/>
  <c r="PMB1590" i="1"/>
  <c r="PMA1590" i="1"/>
  <c r="PLZ1590" i="1"/>
  <c r="PLY1590" i="1"/>
  <c r="PLX1590" i="1"/>
  <c r="PLW1590" i="1"/>
  <c r="PLV1590" i="1"/>
  <c r="PLU1590" i="1"/>
  <c r="PLT1590" i="1"/>
  <c r="PLS1590" i="1"/>
  <c r="PLR1590" i="1"/>
  <c r="PLQ1590" i="1"/>
  <c r="PLP1590" i="1"/>
  <c r="PLO1590" i="1"/>
  <c r="PLN1590" i="1"/>
  <c r="PLM1590" i="1"/>
  <c r="PLL1590" i="1"/>
  <c r="PLK1590" i="1"/>
  <c r="PLJ1590" i="1"/>
  <c r="PLI1590" i="1"/>
  <c r="PLH1590" i="1"/>
  <c r="PLG1590" i="1"/>
  <c r="PLF1590" i="1"/>
  <c r="PLE1590" i="1"/>
  <c r="PLD1590" i="1"/>
  <c r="PLC1590" i="1"/>
  <c r="PLB1590" i="1"/>
  <c r="PLA1590" i="1"/>
  <c r="PKZ1590" i="1"/>
  <c r="PKY1590" i="1"/>
  <c r="PKX1590" i="1"/>
  <c r="PKW1590" i="1"/>
  <c r="PKV1590" i="1"/>
  <c r="PKU1590" i="1"/>
  <c r="PKT1590" i="1"/>
  <c r="PKS1590" i="1"/>
  <c r="PKR1590" i="1"/>
  <c r="PKQ1590" i="1"/>
  <c r="PKP1590" i="1"/>
  <c r="PKO1590" i="1"/>
  <c r="PKN1590" i="1"/>
  <c r="PKM1590" i="1"/>
  <c r="PKL1590" i="1"/>
  <c r="PKK1590" i="1"/>
  <c r="PKJ1590" i="1"/>
  <c r="PKI1590" i="1"/>
  <c r="PKH1590" i="1"/>
  <c r="PKG1590" i="1"/>
  <c r="PKF1590" i="1"/>
  <c r="PKE1590" i="1"/>
  <c r="PKD1590" i="1"/>
  <c r="PKC1590" i="1"/>
  <c r="PKB1590" i="1"/>
  <c r="PKA1590" i="1"/>
  <c r="PJZ1590" i="1"/>
  <c r="PJY1590" i="1"/>
  <c r="PJX1590" i="1"/>
  <c r="PJW1590" i="1"/>
  <c r="PJV1590" i="1"/>
  <c r="PJU1590" i="1"/>
  <c r="PJT1590" i="1"/>
  <c r="PJS1590" i="1"/>
  <c r="PJR1590" i="1"/>
  <c r="PJQ1590" i="1"/>
  <c r="PJP1590" i="1"/>
  <c r="PJO1590" i="1"/>
  <c r="PJN1590" i="1"/>
  <c r="PJM1590" i="1"/>
  <c r="PJL1590" i="1"/>
  <c r="PJK1590" i="1"/>
  <c r="PJJ1590" i="1"/>
  <c r="PJI1590" i="1"/>
  <c r="PJH1590" i="1"/>
  <c r="PJG1590" i="1"/>
  <c r="PJF1590" i="1"/>
  <c r="PJE1590" i="1"/>
  <c r="PJD1590" i="1"/>
  <c r="PJC1590" i="1"/>
  <c r="PJB1590" i="1"/>
  <c r="PJA1590" i="1"/>
  <c r="PIZ1590" i="1"/>
  <c r="PIY1590" i="1"/>
  <c r="PIX1590" i="1"/>
  <c r="PIW1590" i="1"/>
  <c r="PIV1590" i="1"/>
  <c r="PIU1590" i="1"/>
  <c r="PIT1590" i="1"/>
  <c r="PIS1590" i="1"/>
  <c r="PIR1590" i="1"/>
  <c r="PIQ1590" i="1"/>
  <c r="PIP1590" i="1"/>
  <c r="PIO1590" i="1"/>
  <c r="PIN1590" i="1"/>
  <c r="PIM1590" i="1"/>
  <c r="PIL1590" i="1"/>
  <c r="PIK1590" i="1"/>
  <c r="PIJ1590" i="1"/>
  <c r="PII1590" i="1"/>
  <c r="PIH1590" i="1"/>
  <c r="PIG1590" i="1"/>
  <c r="PIF1590" i="1"/>
  <c r="PIE1590" i="1"/>
  <c r="PID1590" i="1"/>
  <c r="PIC1590" i="1"/>
  <c r="PIB1590" i="1"/>
  <c r="PIA1590" i="1"/>
  <c r="PHZ1590" i="1"/>
  <c r="PHY1590" i="1"/>
  <c r="PHX1590" i="1"/>
  <c r="PHW1590" i="1"/>
  <c r="PHV1590" i="1"/>
  <c r="PHU1590" i="1"/>
  <c r="PHT1590" i="1"/>
  <c r="PHS1590" i="1"/>
  <c r="PHR1590" i="1"/>
  <c r="PHQ1590" i="1"/>
  <c r="PHP1590" i="1"/>
  <c r="PHO1590" i="1"/>
  <c r="PHN1590" i="1"/>
  <c r="PHM1590" i="1"/>
  <c r="PHL1590" i="1"/>
  <c r="PHK1590" i="1"/>
  <c r="PHJ1590" i="1"/>
  <c r="PHI1590" i="1"/>
  <c r="PHH1590" i="1"/>
  <c r="PHG1590" i="1"/>
  <c r="PHF1590" i="1"/>
  <c r="PHE1590" i="1"/>
  <c r="PHD1590" i="1"/>
  <c r="PHC1590" i="1"/>
  <c r="PHB1590" i="1"/>
  <c r="PHA1590" i="1"/>
  <c r="PGZ1590" i="1"/>
  <c r="PGY1590" i="1"/>
  <c r="PGX1590" i="1"/>
  <c r="PGW1590" i="1"/>
  <c r="PGV1590" i="1"/>
  <c r="PGU1590" i="1"/>
  <c r="PGT1590" i="1"/>
  <c r="PGS1590" i="1"/>
  <c r="PGR1590" i="1"/>
  <c r="PGQ1590" i="1"/>
  <c r="PGP1590" i="1"/>
  <c r="PGO1590" i="1"/>
  <c r="PGN1590" i="1"/>
  <c r="PGM1590" i="1"/>
  <c r="PGL1590" i="1"/>
  <c r="PGK1590" i="1"/>
  <c r="PGJ1590" i="1"/>
  <c r="PGI1590" i="1"/>
  <c r="PGH1590" i="1"/>
  <c r="PGG1590" i="1"/>
  <c r="PGF1590" i="1"/>
  <c r="PGE1590" i="1"/>
  <c r="PGD1590" i="1"/>
  <c r="PGC1590" i="1"/>
  <c r="PGB1590" i="1"/>
  <c r="PGA1590" i="1"/>
  <c r="PFZ1590" i="1"/>
  <c r="PFY1590" i="1"/>
  <c r="PFX1590" i="1"/>
  <c r="PFW1590" i="1"/>
  <c r="PFV1590" i="1"/>
  <c r="PFU1590" i="1"/>
  <c r="PFT1590" i="1"/>
  <c r="PFS1590" i="1"/>
  <c r="PFR1590" i="1"/>
  <c r="PFQ1590" i="1"/>
  <c r="PFP1590" i="1"/>
  <c r="PFO1590" i="1"/>
  <c r="PFN1590" i="1"/>
  <c r="PFM1590" i="1"/>
  <c r="PFL1590" i="1"/>
  <c r="PFK1590" i="1"/>
  <c r="PFJ1590" i="1"/>
  <c r="PFI1590" i="1"/>
  <c r="PFH1590" i="1"/>
  <c r="PFG1590" i="1"/>
  <c r="PFF1590" i="1"/>
  <c r="PFE1590" i="1"/>
  <c r="PFD1590" i="1"/>
  <c r="PFC1590" i="1"/>
  <c r="PFB1590" i="1"/>
  <c r="PFA1590" i="1"/>
  <c r="PEZ1590" i="1"/>
  <c r="PEY1590" i="1"/>
  <c r="PEX1590" i="1"/>
  <c r="PEW1590" i="1"/>
  <c r="PEV1590" i="1"/>
  <c r="PEU1590" i="1"/>
  <c r="PET1590" i="1"/>
  <c r="PES1590" i="1"/>
  <c r="PER1590" i="1"/>
  <c r="PEQ1590" i="1"/>
  <c r="PEP1590" i="1"/>
  <c r="PEO1590" i="1"/>
  <c r="PEN1590" i="1"/>
  <c r="PEM1590" i="1"/>
  <c r="PEL1590" i="1"/>
  <c r="PEK1590" i="1"/>
  <c r="PEJ1590" i="1"/>
  <c r="PEI1590" i="1"/>
  <c r="PEH1590" i="1"/>
  <c r="PEG1590" i="1"/>
  <c r="PEF1590" i="1"/>
  <c r="PEE1590" i="1"/>
  <c r="PED1590" i="1"/>
  <c r="PEC1590" i="1"/>
  <c r="PEB1590" i="1"/>
  <c r="PEA1590" i="1"/>
  <c r="PDZ1590" i="1"/>
  <c r="PDY1590" i="1"/>
  <c r="PDX1590" i="1"/>
  <c r="PDW1590" i="1"/>
  <c r="PDV1590" i="1"/>
  <c r="PDU1590" i="1"/>
  <c r="PDT1590" i="1"/>
  <c r="PDS1590" i="1"/>
  <c r="PDR1590" i="1"/>
  <c r="PDQ1590" i="1"/>
  <c r="PDP1590" i="1"/>
  <c r="PDO1590" i="1"/>
  <c r="PDN1590" i="1"/>
  <c r="PDM1590" i="1"/>
  <c r="PDL1590" i="1"/>
  <c r="PDK1590" i="1"/>
  <c r="PDJ1590" i="1"/>
  <c r="PDI1590" i="1"/>
  <c r="PDH1590" i="1"/>
  <c r="PDG1590" i="1"/>
  <c r="PDF1590" i="1"/>
  <c r="PDE1590" i="1"/>
  <c r="PDD1590" i="1"/>
  <c r="PDC1590" i="1"/>
  <c r="PDB1590" i="1"/>
  <c r="PDA1590" i="1"/>
  <c r="PCZ1590" i="1"/>
  <c r="PCY1590" i="1"/>
  <c r="PCX1590" i="1"/>
  <c r="PCW1590" i="1"/>
  <c r="PCV1590" i="1"/>
  <c r="PCU1590" i="1"/>
  <c r="PCT1590" i="1"/>
  <c r="PCS1590" i="1"/>
  <c r="PCR1590" i="1"/>
  <c r="PCQ1590" i="1"/>
  <c r="PCP1590" i="1"/>
  <c r="PCO1590" i="1"/>
  <c r="PCN1590" i="1"/>
  <c r="PCM1590" i="1"/>
  <c r="PCL1590" i="1"/>
  <c r="PCK1590" i="1"/>
  <c r="PCJ1590" i="1"/>
  <c r="PCI1590" i="1"/>
  <c r="PCH1590" i="1"/>
  <c r="PCG1590" i="1"/>
  <c r="PCF1590" i="1"/>
  <c r="PCE1590" i="1"/>
  <c r="PCD1590" i="1"/>
  <c r="PCC1590" i="1"/>
  <c r="PCB1590" i="1"/>
  <c r="PCA1590" i="1"/>
  <c r="PBZ1590" i="1"/>
  <c r="PBY1590" i="1"/>
  <c r="PBX1590" i="1"/>
  <c r="PBW1590" i="1"/>
  <c r="PBV1590" i="1"/>
  <c r="PBU1590" i="1"/>
  <c r="PBT1590" i="1"/>
  <c r="PBS1590" i="1"/>
  <c r="PBR1590" i="1"/>
  <c r="PBQ1590" i="1"/>
  <c r="PBP1590" i="1"/>
  <c r="PBO1590" i="1"/>
  <c r="PBN1590" i="1"/>
  <c r="PBM1590" i="1"/>
  <c r="PBL1590" i="1"/>
  <c r="PBK1590" i="1"/>
  <c r="PBJ1590" i="1"/>
  <c r="PBI1590" i="1"/>
  <c r="PBH1590" i="1"/>
  <c r="PBG1590" i="1"/>
  <c r="PBF1590" i="1"/>
  <c r="PBE1590" i="1"/>
  <c r="PBD1590" i="1"/>
  <c r="PBC1590" i="1"/>
  <c r="PBB1590" i="1"/>
  <c r="PBA1590" i="1"/>
  <c r="PAZ1590" i="1"/>
  <c r="PAY1590" i="1"/>
  <c r="PAX1590" i="1"/>
  <c r="PAW1590" i="1"/>
  <c r="PAV1590" i="1"/>
  <c r="PAU1590" i="1"/>
  <c r="PAT1590" i="1"/>
  <c r="PAS1590" i="1"/>
  <c r="PAR1590" i="1"/>
  <c r="PAQ1590" i="1"/>
  <c r="PAP1590" i="1"/>
  <c r="PAO1590" i="1"/>
  <c r="PAN1590" i="1"/>
  <c r="PAM1590" i="1"/>
  <c r="PAL1590" i="1"/>
  <c r="PAK1590" i="1"/>
  <c r="PAJ1590" i="1"/>
  <c r="PAI1590" i="1"/>
  <c r="PAH1590" i="1"/>
  <c r="PAG1590" i="1"/>
  <c r="PAF1590" i="1"/>
  <c r="PAE1590" i="1"/>
  <c r="PAD1590" i="1"/>
  <c r="PAC1590" i="1"/>
  <c r="PAB1590" i="1"/>
  <c r="PAA1590" i="1"/>
  <c r="OZZ1590" i="1"/>
  <c r="OZY1590" i="1"/>
  <c r="OZX1590" i="1"/>
  <c r="OZW1590" i="1"/>
  <c r="OZV1590" i="1"/>
  <c r="OZU1590" i="1"/>
  <c r="OZT1590" i="1"/>
  <c r="OZS1590" i="1"/>
  <c r="OZR1590" i="1"/>
  <c r="OZQ1590" i="1"/>
  <c r="OZP1590" i="1"/>
  <c r="OZO1590" i="1"/>
  <c r="OZN1590" i="1"/>
  <c r="OZM1590" i="1"/>
  <c r="OZL1590" i="1"/>
  <c r="OZK1590" i="1"/>
  <c r="OZJ1590" i="1"/>
  <c r="OZI1590" i="1"/>
  <c r="OZH1590" i="1"/>
  <c r="OZG1590" i="1"/>
  <c r="OZF1590" i="1"/>
  <c r="OZE1590" i="1"/>
  <c r="OZD1590" i="1"/>
  <c r="OZC1590" i="1"/>
  <c r="OZB1590" i="1"/>
  <c r="OZA1590" i="1"/>
  <c r="OYZ1590" i="1"/>
  <c r="OYY1590" i="1"/>
  <c r="OYX1590" i="1"/>
  <c r="OYW1590" i="1"/>
  <c r="OYV1590" i="1"/>
  <c r="OYU1590" i="1"/>
  <c r="OYT1590" i="1"/>
  <c r="OYS1590" i="1"/>
  <c r="OYR1590" i="1"/>
  <c r="OYQ1590" i="1"/>
  <c r="OYP1590" i="1"/>
  <c r="OYO1590" i="1"/>
  <c r="OYN1590" i="1"/>
  <c r="OYM1590" i="1"/>
  <c r="OYL1590" i="1"/>
  <c r="OYK1590" i="1"/>
  <c r="OYJ1590" i="1"/>
  <c r="OYI1590" i="1"/>
  <c r="OYH1590" i="1"/>
  <c r="OYG1590" i="1"/>
  <c r="OYF1590" i="1"/>
  <c r="OYE1590" i="1"/>
  <c r="OYD1590" i="1"/>
  <c r="OYC1590" i="1"/>
  <c r="OYB1590" i="1"/>
  <c r="OYA1590" i="1"/>
  <c r="OXZ1590" i="1"/>
  <c r="OXY1590" i="1"/>
  <c r="OXX1590" i="1"/>
  <c r="OXW1590" i="1"/>
  <c r="OXV1590" i="1"/>
  <c r="OXU1590" i="1"/>
  <c r="OXT1590" i="1"/>
  <c r="OXS1590" i="1"/>
  <c r="OXR1590" i="1"/>
  <c r="OXQ1590" i="1"/>
  <c r="OXP1590" i="1"/>
  <c r="OXO1590" i="1"/>
  <c r="OXN1590" i="1"/>
  <c r="OXM1590" i="1"/>
  <c r="OXL1590" i="1"/>
  <c r="OXK1590" i="1"/>
  <c r="OXJ1590" i="1"/>
  <c r="OXI1590" i="1"/>
  <c r="OXH1590" i="1"/>
  <c r="OXG1590" i="1"/>
  <c r="OXF1590" i="1"/>
  <c r="OXE1590" i="1"/>
  <c r="OXD1590" i="1"/>
  <c r="OXC1590" i="1"/>
  <c r="OXB1590" i="1"/>
  <c r="OXA1590" i="1"/>
  <c r="OWZ1590" i="1"/>
  <c r="OWY1590" i="1"/>
  <c r="OWX1590" i="1"/>
  <c r="OWW1590" i="1"/>
  <c r="OWV1590" i="1"/>
  <c r="OWU1590" i="1"/>
  <c r="OWT1590" i="1"/>
  <c r="OWS1590" i="1"/>
  <c r="OWR1590" i="1"/>
  <c r="OWQ1590" i="1"/>
  <c r="OWP1590" i="1"/>
  <c r="OWO1590" i="1"/>
  <c r="OWN1590" i="1"/>
  <c r="OWM1590" i="1"/>
  <c r="OWL1590" i="1"/>
  <c r="OWK1590" i="1"/>
  <c r="OWJ1590" i="1"/>
  <c r="OWI1590" i="1"/>
  <c r="OWH1590" i="1"/>
  <c r="OWG1590" i="1"/>
  <c r="OWF1590" i="1"/>
  <c r="OWE1590" i="1"/>
  <c r="OWD1590" i="1"/>
  <c r="OWC1590" i="1"/>
  <c r="OWB1590" i="1"/>
  <c r="OWA1590" i="1"/>
  <c r="OVZ1590" i="1"/>
  <c r="OVY1590" i="1"/>
  <c r="OVX1590" i="1"/>
  <c r="OVW1590" i="1"/>
  <c r="OVV1590" i="1"/>
  <c r="OVU1590" i="1"/>
  <c r="OVT1590" i="1"/>
  <c r="OVS1590" i="1"/>
  <c r="OVR1590" i="1"/>
  <c r="OVQ1590" i="1"/>
  <c r="OVP1590" i="1"/>
  <c r="OVO1590" i="1"/>
  <c r="OVN1590" i="1"/>
  <c r="OVM1590" i="1"/>
  <c r="OVL1590" i="1"/>
  <c r="OVK1590" i="1"/>
  <c r="OVJ1590" i="1"/>
  <c r="OVI1590" i="1"/>
  <c r="OVH1590" i="1"/>
  <c r="OVG1590" i="1"/>
  <c r="OVF1590" i="1"/>
  <c r="OVE1590" i="1"/>
  <c r="OVD1590" i="1"/>
  <c r="OVC1590" i="1"/>
  <c r="OVB1590" i="1"/>
  <c r="OVA1590" i="1"/>
  <c r="OUZ1590" i="1"/>
  <c r="OUY1590" i="1"/>
  <c r="OUX1590" i="1"/>
  <c r="OUW1590" i="1"/>
  <c r="OUV1590" i="1"/>
  <c r="OUU1590" i="1"/>
  <c r="OUT1590" i="1"/>
  <c r="OUS1590" i="1"/>
  <c r="OUR1590" i="1"/>
  <c r="OUQ1590" i="1"/>
  <c r="OUP1590" i="1"/>
  <c r="OUO1590" i="1"/>
  <c r="OUN1590" i="1"/>
  <c r="OUM1590" i="1"/>
  <c r="OUL1590" i="1"/>
  <c r="OUK1590" i="1"/>
  <c r="OUJ1590" i="1"/>
  <c r="OUI1590" i="1"/>
  <c r="OUH1590" i="1"/>
  <c r="OUG1590" i="1"/>
  <c r="OUF1590" i="1"/>
  <c r="OUE1590" i="1"/>
  <c r="OUD1590" i="1"/>
  <c r="OUC1590" i="1"/>
  <c r="OUB1590" i="1"/>
  <c r="OUA1590" i="1"/>
  <c r="OTZ1590" i="1"/>
  <c r="OTY1590" i="1"/>
  <c r="OTX1590" i="1"/>
  <c r="OTW1590" i="1"/>
  <c r="OTV1590" i="1"/>
  <c r="OTU1590" i="1"/>
  <c r="OTT1590" i="1"/>
  <c r="OTS1590" i="1"/>
  <c r="OTR1590" i="1"/>
  <c r="OTQ1590" i="1"/>
  <c r="OTP1590" i="1"/>
  <c r="OTO1590" i="1"/>
  <c r="OTN1590" i="1"/>
  <c r="OTM1590" i="1"/>
  <c r="OTL1590" i="1"/>
  <c r="OTK1590" i="1"/>
  <c r="OTJ1590" i="1"/>
  <c r="OTI1590" i="1"/>
  <c r="OTH1590" i="1"/>
  <c r="OTG1590" i="1"/>
  <c r="OTF1590" i="1"/>
  <c r="OTE1590" i="1"/>
  <c r="OTD1590" i="1"/>
  <c r="OTC1590" i="1"/>
  <c r="OTB1590" i="1"/>
  <c r="OTA1590" i="1"/>
  <c r="OSZ1590" i="1"/>
  <c r="OSY1590" i="1"/>
  <c r="OSX1590" i="1"/>
  <c r="OSW1590" i="1"/>
  <c r="OSV1590" i="1"/>
  <c r="OSU1590" i="1"/>
  <c r="OST1590" i="1"/>
  <c r="OSS1590" i="1"/>
  <c r="OSR1590" i="1"/>
  <c r="OSQ1590" i="1"/>
  <c r="OSP1590" i="1"/>
  <c r="OSO1590" i="1"/>
  <c r="OSN1590" i="1"/>
  <c r="OSM1590" i="1"/>
  <c r="OSL1590" i="1"/>
  <c r="OSK1590" i="1"/>
  <c r="OSJ1590" i="1"/>
  <c r="OSI1590" i="1"/>
  <c r="OSH1590" i="1"/>
  <c r="OSG1590" i="1"/>
  <c r="OSF1590" i="1"/>
  <c r="OSE1590" i="1"/>
  <c r="OSD1590" i="1"/>
  <c r="OSC1590" i="1"/>
  <c r="OSB1590" i="1"/>
  <c r="OSA1590" i="1"/>
  <c r="ORZ1590" i="1"/>
  <c r="ORY1590" i="1"/>
  <c r="ORX1590" i="1"/>
  <c r="ORW1590" i="1"/>
  <c r="ORV1590" i="1"/>
  <c r="ORU1590" i="1"/>
  <c r="ORT1590" i="1"/>
  <c r="ORS1590" i="1"/>
  <c r="ORR1590" i="1"/>
  <c r="ORQ1590" i="1"/>
  <c r="ORP1590" i="1"/>
  <c r="ORO1590" i="1"/>
  <c r="ORN1590" i="1"/>
  <c r="ORM1590" i="1"/>
  <c r="ORL1590" i="1"/>
  <c r="ORK1590" i="1"/>
  <c r="ORJ1590" i="1"/>
  <c r="ORI1590" i="1"/>
  <c r="ORH1590" i="1"/>
  <c r="ORG1590" i="1"/>
  <c r="ORF1590" i="1"/>
  <c r="ORE1590" i="1"/>
  <c r="ORD1590" i="1"/>
  <c r="ORC1590" i="1"/>
  <c r="ORB1590" i="1"/>
  <c r="ORA1590" i="1"/>
  <c r="OQZ1590" i="1"/>
  <c r="OQY1590" i="1"/>
  <c r="OQX1590" i="1"/>
  <c r="OQW1590" i="1"/>
  <c r="OQV1590" i="1"/>
  <c r="OQU1590" i="1"/>
  <c r="OQT1590" i="1"/>
  <c r="OQS1590" i="1"/>
  <c r="OQR1590" i="1"/>
  <c r="OQQ1590" i="1"/>
  <c r="OQP1590" i="1"/>
  <c r="OQO1590" i="1"/>
  <c r="OQN1590" i="1"/>
  <c r="OQM1590" i="1"/>
  <c r="OQL1590" i="1"/>
  <c r="OQK1590" i="1"/>
  <c r="OQJ1590" i="1"/>
  <c r="OQI1590" i="1"/>
  <c r="OQH1590" i="1"/>
  <c r="OQG1590" i="1"/>
  <c r="OQF1590" i="1"/>
  <c r="OQE1590" i="1"/>
  <c r="OQD1590" i="1"/>
  <c r="OQC1590" i="1"/>
  <c r="OQB1590" i="1"/>
  <c r="OQA1590" i="1"/>
  <c r="OPZ1590" i="1"/>
  <c r="OPY1590" i="1"/>
  <c r="OPX1590" i="1"/>
  <c r="OPW1590" i="1"/>
  <c r="OPV1590" i="1"/>
  <c r="OPU1590" i="1"/>
  <c r="OPT1590" i="1"/>
  <c r="OPS1590" i="1"/>
  <c r="OPR1590" i="1"/>
  <c r="OPQ1590" i="1"/>
  <c r="OPP1590" i="1"/>
  <c r="OPO1590" i="1"/>
  <c r="OPN1590" i="1"/>
  <c r="OPM1590" i="1"/>
  <c r="OPL1590" i="1"/>
  <c r="OPK1590" i="1"/>
  <c r="OPJ1590" i="1"/>
  <c r="OPI1590" i="1"/>
  <c r="OPH1590" i="1"/>
  <c r="OPG1590" i="1"/>
  <c r="OPF1590" i="1"/>
  <c r="OPE1590" i="1"/>
  <c r="OPD1590" i="1"/>
  <c r="OPC1590" i="1"/>
  <c r="OPB1590" i="1"/>
  <c r="OPA1590" i="1"/>
  <c r="OOZ1590" i="1"/>
  <c r="OOY1590" i="1"/>
  <c r="OOX1590" i="1"/>
  <c r="OOW1590" i="1"/>
  <c r="OOV1590" i="1"/>
  <c r="OOU1590" i="1"/>
  <c r="OOT1590" i="1"/>
  <c r="OOS1590" i="1"/>
  <c r="OOR1590" i="1"/>
  <c r="OOQ1590" i="1"/>
  <c r="OOP1590" i="1"/>
  <c r="OOO1590" i="1"/>
  <c r="OON1590" i="1"/>
  <c r="OOM1590" i="1"/>
  <c r="OOL1590" i="1"/>
  <c r="OOK1590" i="1"/>
  <c r="OOJ1590" i="1"/>
  <c r="OOI1590" i="1"/>
  <c r="OOH1590" i="1"/>
  <c r="OOG1590" i="1"/>
  <c r="OOF1590" i="1"/>
  <c r="OOE1590" i="1"/>
  <c r="OOD1590" i="1"/>
  <c r="OOC1590" i="1"/>
  <c r="OOB1590" i="1"/>
  <c r="OOA1590" i="1"/>
  <c r="ONZ1590" i="1"/>
  <c r="ONY1590" i="1"/>
  <c r="ONX1590" i="1"/>
  <c r="ONW1590" i="1"/>
  <c r="ONV1590" i="1"/>
  <c r="ONU1590" i="1"/>
  <c r="ONT1590" i="1"/>
  <c r="ONS1590" i="1"/>
  <c r="ONR1590" i="1"/>
  <c r="ONQ1590" i="1"/>
  <c r="ONP1590" i="1"/>
  <c r="ONO1590" i="1"/>
  <c r="ONN1590" i="1"/>
  <c r="ONM1590" i="1"/>
  <c r="ONL1590" i="1"/>
  <c r="ONK1590" i="1"/>
  <c r="ONJ1590" i="1"/>
  <c r="ONI1590" i="1"/>
  <c r="ONH1590" i="1"/>
  <c r="ONG1590" i="1"/>
  <c r="ONF1590" i="1"/>
  <c r="ONE1590" i="1"/>
  <c r="OND1590" i="1"/>
  <c r="ONC1590" i="1"/>
  <c r="ONB1590" i="1"/>
  <c r="ONA1590" i="1"/>
  <c r="OMZ1590" i="1"/>
  <c r="OMY1590" i="1"/>
  <c r="OMX1590" i="1"/>
  <c r="OMW1590" i="1"/>
  <c r="OMV1590" i="1"/>
  <c r="OMU1590" i="1"/>
  <c r="OMT1590" i="1"/>
  <c r="OMS1590" i="1"/>
  <c r="OMR1590" i="1"/>
  <c r="OMQ1590" i="1"/>
  <c r="OMP1590" i="1"/>
  <c r="OMO1590" i="1"/>
  <c r="OMN1590" i="1"/>
  <c r="OMM1590" i="1"/>
  <c r="OML1590" i="1"/>
  <c r="OMK1590" i="1"/>
  <c r="OMJ1590" i="1"/>
  <c r="OMI1590" i="1"/>
  <c r="OMH1590" i="1"/>
  <c r="OMG1590" i="1"/>
  <c r="OMF1590" i="1"/>
  <c r="OME1590" i="1"/>
  <c r="OMD1590" i="1"/>
  <c r="OMC1590" i="1"/>
  <c r="OMB1590" i="1"/>
  <c r="OMA1590" i="1"/>
  <c r="OLZ1590" i="1"/>
  <c r="OLY1590" i="1"/>
  <c r="OLX1590" i="1"/>
  <c r="OLW1590" i="1"/>
  <c r="OLV1590" i="1"/>
  <c r="OLU1590" i="1"/>
  <c r="OLT1590" i="1"/>
  <c r="OLS1590" i="1"/>
  <c r="OLR1590" i="1"/>
  <c r="OLQ1590" i="1"/>
  <c r="OLP1590" i="1"/>
  <c r="OLO1590" i="1"/>
  <c r="OLN1590" i="1"/>
  <c r="OLM1590" i="1"/>
  <c r="OLL1590" i="1"/>
  <c r="OLK1590" i="1"/>
  <c r="OLJ1590" i="1"/>
  <c r="OLI1590" i="1"/>
  <c r="OLH1590" i="1"/>
  <c r="OLG1590" i="1"/>
  <c r="OLF1590" i="1"/>
  <c r="OLE1590" i="1"/>
  <c r="OLD1590" i="1"/>
  <c r="OLC1590" i="1"/>
  <c r="OLB1590" i="1"/>
  <c r="OLA1590" i="1"/>
  <c r="OKZ1590" i="1"/>
  <c r="OKY1590" i="1"/>
  <c r="OKX1590" i="1"/>
  <c r="OKW1590" i="1"/>
  <c r="OKV1590" i="1"/>
  <c r="OKU1590" i="1"/>
  <c r="OKT1590" i="1"/>
  <c r="OKS1590" i="1"/>
  <c r="OKR1590" i="1"/>
  <c r="OKQ1590" i="1"/>
  <c r="OKP1590" i="1"/>
  <c r="OKO1590" i="1"/>
  <c r="OKN1590" i="1"/>
  <c r="OKM1590" i="1"/>
  <c r="OKL1590" i="1"/>
  <c r="OKK1590" i="1"/>
  <c r="OKJ1590" i="1"/>
  <c r="OKI1590" i="1"/>
  <c r="OKH1590" i="1"/>
  <c r="OKG1590" i="1"/>
  <c r="OKF1590" i="1"/>
  <c r="OKE1590" i="1"/>
  <c r="OKD1590" i="1"/>
  <c r="OKC1590" i="1"/>
  <c r="OKB1590" i="1"/>
  <c r="OKA1590" i="1"/>
  <c r="OJZ1590" i="1"/>
  <c r="OJY1590" i="1"/>
  <c r="OJX1590" i="1"/>
  <c r="OJW1590" i="1"/>
  <c r="OJV1590" i="1"/>
  <c r="OJU1590" i="1"/>
  <c r="OJT1590" i="1"/>
  <c r="OJS1590" i="1"/>
  <c r="OJR1590" i="1"/>
  <c r="OJQ1590" i="1"/>
  <c r="OJP1590" i="1"/>
  <c r="OJO1590" i="1"/>
  <c r="OJN1590" i="1"/>
  <c r="OJM1590" i="1"/>
  <c r="OJL1590" i="1"/>
  <c r="OJK1590" i="1"/>
  <c r="OJJ1590" i="1"/>
  <c r="OJI1590" i="1"/>
  <c r="OJH1590" i="1"/>
  <c r="OJG1590" i="1"/>
  <c r="OJF1590" i="1"/>
  <c r="OJE1590" i="1"/>
  <c r="OJD1590" i="1"/>
  <c r="OJC1590" i="1"/>
  <c r="OJB1590" i="1"/>
  <c r="OJA1590" i="1"/>
  <c r="OIZ1590" i="1"/>
  <c r="OIY1590" i="1"/>
  <c r="OIX1590" i="1"/>
  <c r="OIW1590" i="1"/>
  <c r="OIV1590" i="1"/>
  <c r="OIU1590" i="1"/>
  <c r="OIT1590" i="1"/>
  <c r="OIS1590" i="1"/>
  <c r="OIR1590" i="1"/>
  <c r="OIQ1590" i="1"/>
  <c r="OIP1590" i="1"/>
  <c r="OIO1590" i="1"/>
  <c r="OIN1590" i="1"/>
  <c r="OIM1590" i="1"/>
  <c r="OIL1590" i="1"/>
  <c r="OIK1590" i="1"/>
  <c r="OIJ1590" i="1"/>
  <c r="OII1590" i="1"/>
  <c r="OIH1590" i="1"/>
  <c r="OIG1590" i="1"/>
  <c r="OIF1590" i="1"/>
  <c r="OIE1590" i="1"/>
  <c r="OID1590" i="1"/>
  <c r="OIC1590" i="1"/>
  <c r="OIB1590" i="1"/>
  <c r="OIA1590" i="1"/>
  <c r="OHZ1590" i="1"/>
  <c r="OHY1590" i="1"/>
  <c r="OHX1590" i="1"/>
  <c r="OHW1590" i="1"/>
  <c r="OHV1590" i="1"/>
  <c r="OHU1590" i="1"/>
  <c r="OHT1590" i="1"/>
  <c r="OHS1590" i="1"/>
  <c r="OHR1590" i="1"/>
  <c r="OHQ1590" i="1"/>
  <c r="OHP1590" i="1"/>
  <c r="OHO1590" i="1"/>
  <c r="OHN1590" i="1"/>
  <c r="OHM1590" i="1"/>
  <c r="OHL1590" i="1"/>
  <c r="OHK1590" i="1"/>
  <c r="OHJ1590" i="1"/>
  <c r="OHI1590" i="1"/>
  <c r="OHH1590" i="1"/>
  <c r="OHG1590" i="1"/>
  <c r="OHF1590" i="1"/>
  <c r="OHE1590" i="1"/>
  <c r="OHD1590" i="1"/>
  <c r="OHC1590" i="1"/>
  <c r="OHB1590" i="1"/>
  <c r="OHA1590" i="1"/>
  <c r="OGZ1590" i="1"/>
  <c r="OGY1590" i="1"/>
  <c r="OGX1590" i="1"/>
  <c r="OGW1590" i="1"/>
  <c r="OGV1590" i="1"/>
  <c r="OGU1590" i="1"/>
  <c r="OGT1590" i="1"/>
  <c r="OGS1590" i="1"/>
  <c r="OGR1590" i="1"/>
  <c r="OGQ1590" i="1"/>
  <c r="OGP1590" i="1"/>
  <c r="OGO1590" i="1"/>
  <c r="OGN1590" i="1"/>
  <c r="OGM1590" i="1"/>
  <c r="OGL1590" i="1"/>
  <c r="OGK1590" i="1"/>
  <c r="OGJ1590" i="1"/>
  <c r="OGI1590" i="1"/>
  <c r="OGH1590" i="1"/>
  <c r="OGG1590" i="1"/>
  <c r="OGF1590" i="1"/>
  <c r="OGE1590" i="1"/>
  <c r="OGD1590" i="1"/>
  <c r="OGC1590" i="1"/>
  <c r="OGB1590" i="1"/>
  <c r="OGA1590" i="1"/>
  <c r="OFZ1590" i="1"/>
  <c r="OFY1590" i="1"/>
  <c r="OFX1590" i="1"/>
  <c r="OFW1590" i="1"/>
  <c r="OFV1590" i="1"/>
  <c r="OFU1590" i="1"/>
  <c r="OFT1590" i="1"/>
  <c r="OFS1590" i="1"/>
  <c r="OFR1590" i="1"/>
  <c r="OFQ1590" i="1"/>
  <c r="OFP1590" i="1"/>
  <c r="OFO1590" i="1"/>
  <c r="OFN1590" i="1"/>
  <c r="OFM1590" i="1"/>
  <c r="OFL1590" i="1"/>
  <c r="OFK1590" i="1"/>
  <c r="OFJ1590" i="1"/>
  <c r="OFI1590" i="1"/>
  <c r="OFH1590" i="1"/>
  <c r="OFG1590" i="1"/>
  <c r="OFF1590" i="1"/>
  <c r="OFE1590" i="1"/>
  <c r="OFD1590" i="1"/>
  <c r="OFC1590" i="1"/>
  <c r="OFB1590" i="1"/>
  <c r="OFA1590" i="1"/>
  <c r="OEZ1590" i="1"/>
  <c r="OEY1590" i="1"/>
  <c r="OEX1590" i="1"/>
  <c r="OEW1590" i="1"/>
  <c r="OEV1590" i="1"/>
  <c r="OEU1590" i="1"/>
  <c r="OET1590" i="1"/>
  <c r="OES1590" i="1"/>
  <c r="OER1590" i="1"/>
  <c r="OEQ1590" i="1"/>
  <c r="OEP1590" i="1"/>
  <c r="OEO1590" i="1"/>
  <c r="OEN1590" i="1"/>
  <c r="OEM1590" i="1"/>
  <c r="OEL1590" i="1"/>
  <c r="OEK1590" i="1"/>
  <c r="OEJ1590" i="1"/>
  <c r="OEI1590" i="1"/>
  <c r="OEH1590" i="1"/>
  <c r="OEG1590" i="1"/>
  <c r="OEF1590" i="1"/>
  <c r="OEE1590" i="1"/>
  <c r="OED1590" i="1"/>
  <c r="OEC1590" i="1"/>
  <c r="OEB1590" i="1"/>
  <c r="OEA1590" i="1"/>
  <c r="ODZ1590" i="1"/>
  <c r="ODY1590" i="1"/>
  <c r="ODX1590" i="1"/>
  <c r="ODW1590" i="1"/>
  <c r="ODV1590" i="1"/>
  <c r="ODU1590" i="1"/>
  <c r="ODT1590" i="1"/>
  <c r="ODS1590" i="1"/>
  <c r="ODR1590" i="1"/>
  <c r="ODQ1590" i="1"/>
  <c r="ODP1590" i="1"/>
  <c r="ODO1590" i="1"/>
  <c r="ODN1590" i="1"/>
  <c r="ODM1590" i="1"/>
  <c r="ODL1590" i="1"/>
  <c r="ODK1590" i="1"/>
  <c r="ODJ1590" i="1"/>
  <c r="ODI1590" i="1"/>
  <c r="ODH1590" i="1"/>
  <c r="ODG1590" i="1"/>
  <c r="ODF1590" i="1"/>
  <c r="ODE1590" i="1"/>
  <c r="ODD1590" i="1"/>
  <c r="ODC1590" i="1"/>
  <c r="ODB1590" i="1"/>
  <c r="ODA1590" i="1"/>
  <c r="OCZ1590" i="1"/>
  <c r="OCY1590" i="1"/>
  <c r="OCX1590" i="1"/>
  <c r="OCW1590" i="1"/>
  <c r="OCV1590" i="1"/>
  <c r="OCU1590" i="1"/>
  <c r="OCT1590" i="1"/>
  <c r="OCS1590" i="1"/>
  <c r="OCR1590" i="1"/>
  <c r="OCQ1590" i="1"/>
  <c r="OCP1590" i="1"/>
  <c r="OCO1590" i="1"/>
  <c r="OCN1590" i="1"/>
  <c r="OCM1590" i="1"/>
  <c r="OCL1590" i="1"/>
  <c r="OCK1590" i="1"/>
  <c r="OCJ1590" i="1"/>
  <c r="OCI1590" i="1"/>
  <c r="OCH1590" i="1"/>
  <c r="OCG1590" i="1"/>
  <c r="OCF1590" i="1"/>
  <c r="OCE1590" i="1"/>
  <c r="OCD1590" i="1"/>
  <c r="OCC1590" i="1"/>
  <c r="OCB1590" i="1"/>
  <c r="OCA1590" i="1"/>
  <c r="OBZ1590" i="1"/>
  <c r="OBY1590" i="1"/>
  <c r="OBX1590" i="1"/>
  <c r="OBW1590" i="1"/>
  <c r="OBV1590" i="1"/>
  <c r="OBU1590" i="1"/>
  <c r="OBT1590" i="1"/>
  <c r="OBS1590" i="1"/>
  <c r="OBR1590" i="1"/>
  <c r="OBQ1590" i="1"/>
  <c r="OBP1590" i="1"/>
  <c r="OBO1590" i="1"/>
  <c r="OBN1590" i="1"/>
  <c r="OBM1590" i="1"/>
  <c r="OBL1590" i="1"/>
  <c r="OBK1590" i="1"/>
  <c r="OBJ1590" i="1"/>
  <c r="OBI1590" i="1"/>
  <c r="OBH1590" i="1"/>
  <c r="OBG1590" i="1"/>
  <c r="OBF1590" i="1"/>
  <c r="OBE1590" i="1"/>
  <c r="OBD1590" i="1"/>
  <c r="OBC1590" i="1"/>
  <c r="OBB1590" i="1"/>
  <c r="OBA1590" i="1"/>
  <c r="OAZ1590" i="1"/>
  <c r="OAY1590" i="1"/>
  <c r="OAX1590" i="1"/>
  <c r="OAW1590" i="1"/>
  <c r="OAV1590" i="1"/>
  <c r="OAU1590" i="1"/>
  <c r="OAT1590" i="1"/>
  <c r="OAS1590" i="1"/>
  <c r="OAR1590" i="1"/>
  <c r="OAQ1590" i="1"/>
  <c r="OAP1590" i="1"/>
  <c r="OAO1590" i="1"/>
  <c r="OAN1590" i="1"/>
  <c r="OAM1590" i="1"/>
  <c r="OAL1590" i="1"/>
  <c r="OAK1590" i="1"/>
  <c r="OAJ1590" i="1"/>
  <c r="OAI1590" i="1"/>
  <c r="OAH1590" i="1"/>
  <c r="OAG1590" i="1"/>
  <c r="OAF1590" i="1"/>
  <c r="OAE1590" i="1"/>
  <c r="OAD1590" i="1"/>
  <c r="OAC1590" i="1"/>
  <c r="OAB1590" i="1"/>
  <c r="OAA1590" i="1"/>
  <c r="NZZ1590" i="1"/>
  <c r="NZY1590" i="1"/>
  <c r="NZX1590" i="1"/>
  <c r="NZW1590" i="1"/>
  <c r="NZV1590" i="1"/>
  <c r="NZU1590" i="1"/>
  <c r="NZT1590" i="1"/>
  <c r="NZS1590" i="1"/>
  <c r="NZR1590" i="1"/>
  <c r="NZQ1590" i="1"/>
  <c r="NZP1590" i="1"/>
  <c r="NZO1590" i="1"/>
  <c r="NZN1590" i="1"/>
  <c r="NZM1590" i="1"/>
  <c r="NZL1590" i="1"/>
  <c r="NZK1590" i="1"/>
  <c r="NZJ1590" i="1"/>
  <c r="NZI1590" i="1"/>
  <c r="NZH1590" i="1"/>
  <c r="NZG1590" i="1"/>
  <c r="NZF1590" i="1"/>
  <c r="NZE1590" i="1"/>
  <c r="NZD1590" i="1"/>
  <c r="NZC1590" i="1"/>
  <c r="NZB1590" i="1"/>
  <c r="NZA1590" i="1"/>
  <c r="NYZ1590" i="1"/>
  <c r="NYY1590" i="1"/>
  <c r="NYX1590" i="1"/>
  <c r="NYW1590" i="1"/>
  <c r="NYV1590" i="1"/>
  <c r="NYU1590" i="1"/>
  <c r="NYT1590" i="1"/>
  <c r="NYS1590" i="1"/>
  <c r="NYR1590" i="1"/>
  <c r="NYQ1590" i="1"/>
  <c r="NYP1590" i="1"/>
  <c r="NYO1590" i="1"/>
  <c r="NYN1590" i="1"/>
  <c r="NYM1590" i="1"/>
  <c r="NYL1590" i="1"/>
  <c r="NYK1590" i="1"/>
  <c r="NYJ1590" i="1"/>
  <c r="NYI1590" i="1"/>
  <c r="NYH1590" i="1"/>
  <c r="NYG1590" i="1"/>
  <c r="NYF1590" i="1"/>
  <c r="NYE1590" i="1"/>
  <c r="NYD1590" i="1"/>
  <c r="NYC1590" i="1"/>
  <c r="NYB1590" i="1"/>
  <c r="NYA1590" i="1"/>
  <c r="NXZ1590" i="1"/>
  <c r="NXY1590" i="1"/>
  <c r="NXX1590" i="1"/>
  <c r="NXW1590" i="1"/>
  <c r="NXV1590" i="1"/>
  <c r="NXU1590" i="1"/>
  <c r="NXT1590" i="1"/>
  <c r="NXS1590" i="1"/>
  <c r="NXR1590" i="1"/>
  <c r="NXQ1590" i="1"/>
  <c r="NXP1590" i="1"/>
  <c r="NXO1590" i="1"/>
  <c r="NXN1590" i="1"/>
  <c r="NXM1590" i="1"/>
  <c r="NXL1590" i="1"/>
  <c r="NXK1590" i="1"/>
  <c r="NXJ1590" i="1"/>
  <c r="NXI1590" i="1"/>
  <c r="NXH1590" i="1"/>
  <c r="NXG1590" i="1"/>
  <c r="NXF1590" i="1"/>
  <c r="NXE1590" i="1"/>
  <c r="NXD1590" i="1"/>
  <c r="NXC1590" i="1"/>
  <c r="NXB1590" i="1"/>
  <c r="NXA1590" i="1"/>
  <c r="NWZ1590" i="1"/>
  <c r="NWY1590" i="1"/>
  <c r="NWX1590" i="1"/>
  <c r="NWW1590" i="1"/>
  <c r="NWV1590" i="1"/>
  <c r="NWU1590" i="1"/>
  <c r="NWT1590" i="1"/>
  <c r="NWS1590" i="1"/>
  <c r="NWR1590" i="1"/>
  <c r="NWQ1590" i="1"/>
  <c r="NWP1590" i="1"/>
  <c r="NWO1590" i="1"/>
  <c r="NWN1590" i="1"/>
  <c r="NWM1590" i="1"/>
  <c r="NWL1590" i="1"/>
  <c r="NWK1590" i="1"/>
  <c r="NWJ1590" i="1"/>
  <c r="NWI1590" i="1"/>
  <c r="NWH1590" i="1"/>
  <c r="NWG1590" i="1"/>
  <c r="NWF1590" i="1"/>
  <c r="NWE1590" i="1"/>
  <c r="NWD1590" i="1"/>
  <c r="NWC1590" i="1"/>
  <c r="NWB1590" i="1"/>
  <c r="NWA1590" i="1"/>
  <c r="NVZ1590" i="1"/>
  <c r="NVY1590" i="1"/>
  <c r="NVX1590" i="1"/>
  <c r="NVW1590" i="1"/>
  <c r="NVV1590" i="1"/>
  <c r="NVU1590" i="1"/>
  <c r="NVT1590" i="1"/>
  <c r="NVS1590" i="1"/>
  <c r="NVR1590" i="1"/>
  <c r="NVQ1590" i="1"/>
  <c r="NVP1590" i="1"/>
  <c r="NVO1590" i="1"/>
  <c r="NVN1590" i="1"/>
  <c r="NVM1590" i="1"/>
  <c r="NVL1590" i="1"/>
  <c r="NVK1590" i="1"/>
  <c r="NVJ1590" i="1"/>
  <c r="NVI1590" i="1"/>
  <c r="NVH1590" i="1"/>
  <c r="NVG1590" i="1"/>
  <c r="NVF1590" i="1"/>
  <c r="NVE1590" i="1"/>
  <c r="NVD1590" i="1"/>
  <c r="NVC1590" i="1"/>
  <c r="NVB1590" i="1"/>
  <c r="NVA1590" i="1"/>
  <c r="NUZ1590" i="1"/>
  <c r="NUY1590" i="1"/>
  <c r="NUX1590" i="1"/>
  <c r="NUW1590" i="1"/>
  <c r="NUV1590" i="1"/>
  <c r="NUU1590" i="1"/>
  <c r="NUT1590" i="1"/>
  <c r="NUS1590" i="1"/>
  <c r="NUR1590" i="1"/>
  <c r="NUQ1590" i="1"/>
  <c r="NUP1590" i="1"/>
  <c r="NUO1590" i="1"/>
  <c r="NUN1590" i="1"/>
  <c r="NUM1590" i="1"/>
  <c r="NUL1590" i="1"/>
  <c r="NUK1590" i="1"/>
  <c r="NUJ1590" i="1"/>
  <c r="NUI1590" i="1"/>
  <c r="NUH1590" i="1"/>
  <c r="NUG1590" i="1"/>
  <c r="NUF1590" i="1"/>
  <c r="NUE1590" i="1"/>
  <c r="NUD1590" i="1"/>
  <c r="NUC1590" i="1"/>
  <c r="NUB1590" i="1"/>
  <c r="NUA1590" i="1"/>
  <c r="NTZ1590" i="1"/>
  <c r="NTY1590" i="1"/>
  <c r="NTX1590" i="1"/>
  <c r="NTW1590" i="1"/>
  <c r="NTV1590" i="1"/>
  <c r="NTU1590" i="1"/>
  <c r="NTT1590" i="1"/>
  <c r="NTS1590" i="1"/>
  <c r="NTR1590" i="1"/>
  <c r="NTQ1590" i="1"/>
  <c r="NTP1590" i="1"/>
  <c r="NTO1590" i="1"/>
  <c r="NTN1590" i="1"/>
  <c r="NTM1590" i="1"/>
  <c r="NTL1590" i="1"/>
  <c r="NTK1590" i="1"/>
  <c r="NTJ1590" i="1"/>
  <c r="NTI1590" i="1"/>
  <c r="NTH1590" i="1"/>
  <c r="NTG1590" i="1"/>
  <c r="NTF1590" i="1"/>
  <c r="NTE1590" i="1"/>
  <c r="NTD1590" i="1"/>
  <c r="NTC1590" i="1"/>
  <c r="NTB1590" i="1"/>
  <c r="NTA1590" i="1"/>
  <c r="NSZ1590" i="1"/>
  <c r="NSY1590" i="1"/>
  <c r="NSX1590" i="1"/>
  <c r="NSW1590" i="1"/>
  <c r="NSV1590" i="1"/>
  <c r="NSU1590" i="1"/>
  <c r="NST1590" i="1"/>
  <c r="NSS1590" i="1"/>
  <c r="NSR1590" i="1"/>
  <c r="NSQ1590" i="1"/>
  <c r="NSP1590" i="1"/>
  <c r="NSO1590" i="1"/>
  <c r="NSN1590" i="1"/>
  <c r="NSM1590" i="1"/>
  <c r="NSL1590" i="1"/>
  <c r="NSK1590" i="1"/>
  <c r="NSJ1590" i="1"/>
  <c r="NSI1590" i="1"/>
  <c r="NSH1590" i="1"/>
  <c r="NSG1590" i="1"/>
  <c r="NSF1590" i="1"/>
  <c r="NSE1590" i="1"/>
  <c r="NSD1590" i="1"/>
  <c r="NSC1590" i="1"/>
  <c r="NSB1590" i="1"/>
  <c r="NSA1590" i="1"/>
  <c r="NRZ1590" i="1"/>
  <c r="NRY1590" i="1"/>
  <c r="NRX1590" i="1"/>
  <c r="NRW1590" i="1"/>
  <c r="NRV1590" i="1"/>
  <c r="NRU1590" i="1"/>
  <c r="NRT1590" i="1"/>
  <c r="NRS1590" i="1"/>
  <c r="NRR1590" i="1"/>
  <c r="NRQ1590" i="1"/>
  <c r="NRP1590" i="1"/>
  <c r="NRO1590" i="1"/>
  <c r="NRN1590" i="1"/>
  <c r="NRM1590" i="1"/>
  <c r="NRL1590" i="1"/>
  <c r="NRK1590" i="1"/>
  <c r="NRJ1590" i="1"/>
  <c r="NRI1590" i="1"/>
  <c r="NRH1590" i="1"/>
  <c r="NRG1590" i="1"/>
  <c r="NRF1590" i="1"/>
  <c r="NRE1590" i="1"/>
  <c r="NRD1590" i="1"/>
  <c r="NRC1590" i="1"/>
  <c r="NRB1590" i="1"/>
  <c r="NRA1590" i="1"/>
  <c r="NQZ1590" i="1"/>
  <c r="NQY1590" i="1"/>
  <c r="NQX1590" i="1"/>
  <c r="NQW1590" i="1"/>
  <c r="NQV1590" i="1"/>
  <c r="NQU1590" i="1"/>
  <c r="NQT1590" i="1"/>
  <c r="NQS1590" i="1"/>
  <c r="NQR1590" i="1"/>
  <c r="NQQ1590" i="1"/>
  <c r="NQP1590" i="1"/>
  <c r="NQO1590" i="1"/>
  <c r="NQN1590" i="1"/>
  <c r="NQM1590" i="1"/>
  <c r="NQL1590" i="1"/>
  <c r="NQK1590" i="1"/>
  <c r="NQJ1590" i="1"/>
  <c r="NQI1590" i="1"/>
  <c r="NQH1590" i="1"/>
  <c r="NQG1590" i="1"/>
  <c r="NQF1590" i="1"/>
  <c r="NQE1590" i="1"/>
  <c r="NQD1590" i="1"/>
  <c r="NQC1590" i="1"/>
  <c r="NQB1590" i="1"/>
  <c r="NQA1590" i="1"/>
  <c r="NPZ1590" i="1"/>
  <c r="NPY1590" i="1"/>
  <c r="NPX1590" i="1"/>
  <c r="NPW1590" i="1"/>
  <c r="NPV1590" i="1"/>
  <c r="NPU1590" i="1"/>
  <c r="NPT1590" i="1"/>
  <c r="NPS1590" i="1"/>
  <c r="NPR1590" i="1"/>
  <c r="NPQ1590" i="1"/>
  <c r="NPP1590" i="1"/>
  <c r="NPO1590" i="1"/>
  <c r="NPN1590" i="1"/>
  <c r="NPM1590" i="1"/>
  <c r="NPL1590" i="1"/>
  <c r="NPK1590" i="1"/>
  <c r="NPJ1590" i="1"/>
  <c r="NPI1590" i="1"/>
  <c r="NPH1590" i="1"/>
  <c r="NPG1590" i="1"/>
  <c r="NPF1590" i="1"/>
  <c r="NPE1590" i="1"/>
  <c r="NPD1590" i="1"/>
  <c r="NPC1590" i="1"/>
  <c r="NPB1590" i="1"/>
  <c r="NPA1590" i="1"/>
  <c r="NOZ1590" i="1"/>
  <c r="NOY1590" i="1"/>
  <c r="NOX1590" i="1"/>
  <c r="NOW1590" i="1"/>
  <c r="NOV1590" i="1"/>
  <c r="NOU1590" i="1"/>
  <c r="NOT1590" i="1"/>
  <c r="NOS1590" i="1"/>
  <c r="NOR1590" i="1"/>
  <c r="NOQ1590" i="1"/>
  <c r="NOP1590" i="1"/>
  <c r="NOO1590" i="1"/>
  <c r="NON1590" i="1"/>
  <c r="NOM1590" i="1"/>
  <c r="NOL1590" i="1"/>
  <c r="NOK1590" i="1"/>
  <c r="NOJ1590" i="1"/>
  <c r="NOI1590" i="1"/>
  <c r="NOH1590" i="1"/>
  <c r="NOG1590" i="1"/>
  <c r="NOF1590" i="1"/>
  <c r="NOE1590" i="1"/>
  <c r="NOD1590" i="1"/>
  <c r="NOC1590" i="1"/>
  <c r="NOB1590" i="1"/>
  <c r="NOA1590" i="1"/>
  <c r="NNZ1590" i="1"/>
  <c r="NNY1590" i="1"/>
  <c r="NNX1590" i="1"/>
  <c r="NNW1590" i="1"/>
  <c r="NNV1590" i="1"/>
  <c r="NNU1590" i="1"/>
  <c r="NNT1590" i="1"/>
  <c r="NNS1590" i="1"/>
  <c r="NNR1590" i="1"/>
  <c r="NNQ1590" i="1"/>
  <c r="NNP1590" i="1"/>
  <c r="NNO1590" i="1"/>
  <c r="NNN1590" i="1"/>
  <c r="NNM1590" i="1"/>
  <c r="NNL1590" i="1"/>
  <c r="NNK1590" i="1"/>
  <c r="NNJ1590" i="1"/>
  <c r="NNI1590" i="1"/>
  <c r="NNH1590" i="1"/>
  <c r="NNG1590" i="1"/>
  <c r="NNF1590" i="1"/>
  <c r="NNE1590" i="1"/>
  <c r="NND1590" i="1"/>
  <c r="NNC1590" i="1"/>
  <c r="NNB1590" i="1"/>
  <c r="NNA1590" i="1"/>
  <c r="NMZ1590" i="1"/>
  <c r="NMY1590" i="1"/>
  <c r="NMX1590" i="1"/>
  <c r="NMW1590" i="1"/>
  <c r="NMV1590" i="1"/>
  <c r="NMU1590" i="1"/>
  <c r="NMT1590" i="1"/>
  <c r="NMS1590" i="1"/>
  <c r="NMR1590" i="1"/>
  <c r="NMQ1590" i="1"/>
  <c r="NMP1590" i="1"/>
  <c r="NMO1590" i="1"/>
  <c r="NMN1590" i="1"/>
  <c r="NMM1590" i="1"/>
  <c r="NML1590" i="1"/>
  <c r="NMK1590" i="1"/>
  <c r="NMJ1590" i="1"/>
  <c r="NMI1590" i="1"/>
  <c r="NMH1590" i="1"/>
  <c r="NMG1590" i="1"/>
  <c r="NMF1590" i="1"/>
  <c r="NME1590" i="1"/>
  <c r="NMD1590" i="1"/>
  <c r="NMC1590" i="1"/>
  <c r="NMB1590" i="1"/>
  <c r="NMA1590" i="1"/>
  <c r="NLZ1590" i="1"/>
  <c r="NLY1590" i="1"/>
  <c r="NLX1590" i="1"/>
  <c r="NLW1590" i="1"/>
  <c r="NLV1590" i="1"/>
  <c r="NLU1590" i="1"/>
  <c r="NLT1590" i="1"/>
  <c r="NLS1590" i="1"/>
  <c r="NLR1590" i="1"/>
  <c r="NLQ1590" i="1"/>
  <c r="NLP1590" i="1"/>
  <c r="NLO1590" i="1"/>
  <c r="NLN1590" i="1"/>
  <c r="NLM1590" i="1"/>
  <c r="NLL1590" i="1"/>
  <c r="NLK1590" i="1"/>
  <c r="NLJ1590" i="1"/>
  <c r="NLI1590" i="1"/>
  <c r="NLH1590" i="1"/>
  <c r="NLG1590" i="1"/>
  <c r="NLF1590" i="1"/>
  <c r="NLE1590" i="1"/>
  <c r="NLD1590" i="1"/>
  <c r="NLC1590" i="1"/>
  <c r="NLB1590" i="1"/>
  <c r="NLA1590" i="1"/>
  <c r="NKZ1590" i="1"/>
  <c r="NKY1590" i="1"/>
  <c r="NKX1590" i="1"/>
  <c r="NKW1590" i="1"/>
  <c r="NKV1590" i="1"/>
  <c r="NKU1590" i="1"/>
  <c r="NKT1590" i="1"/>
  <c r="NKS1590" i="1"/>
  <c r="NKR1590" i="1"/>
  <c r="NKQ1590" i="1"/>
  <c r="NKP1590" i="1"/>
  <c r="NKO1590" i="1"/>
  <c r="NKN1590" i="1"/>
  <c r="NKM1590" i="1"/>
  <c r="NKL1590" i="1"/>
  <c r="NKK1590" i="1"/>
  <c r="NKJ1590" i="1"/>
  <c r="NKI1590" i="1"/>
  <c r="NKH1590" i="1"/>
  <c r="NKG1590" i="1"/>
  <c r="NKF1590" i="1"/>
  <c r="NKE1590" i="1"/>
  <c r="NKD1590" i="1"/>
  <c r="NKC1590" i="1"/>
  <c r="NKB1590" i="1"/>
  <c r="NKA1590" i="1"/>
  <c r="NJZ1590" i="1"/>
  <c r="NJY1590" i="1"/>
  <c r="NJX1590" i="1"/>
  <c r="NJW1590" i="1"/>
  <c r="NJV1590" i="1"/>
  <c r="NJU1590" i="1"/>
  <c r="NJT1590" i="1"/>
  <c r="NJS1590" i="1"/>
  <c r="NJR1590" i="1"/>
  <c r="NJQ1590" i="1"/>
  <c r="NJP1590" i="1"/>
  <c r="NJO1590" i="1"/>
  <c r="NJN1590" i="1"/>
  <c r="NJM1590" i="1"/>
  <c r="NJL1590" i="1"/>
  <c r="NJK1590" i="1"/>
  <c r="NJJ1590" i="1"/>
  <c r="NJI1590" i="1"/>
  <c r="NJH1590" i="1"/>
  <c r="NJG1590" i="1"/>
  <c r="NJF1590" i="1"/>
  <c r="NJE1590" i="1"/>
  <c r="NJD1590" i="1"/>
  <c r="NJC1590" i="1"/>
  <c r="NJB1590" i="1"/>
  <c r="NJA1590" i="1"/>
  <c r="NIZ1590" i="1"/>
  <c r="NIY1590" i="1"/>
  <c r="NIX1590" i="1"/>
  <c r="NIW1590" i="1"/>
  <c r="NIV1590" i="1"/>
  <c r="NIU1590" i="1"/>
  <c r="NIT1590" i="1"/>
  <c r="NIS1590" i="1"/>
  <c r="NIR1590" i="1"/>
  <c r="NIQ1590" i="1"/>
  <c r="NIP1590" i="1"/>
  <c r="NIO1590" i="1"/>
  <c r="NIN1590" i="1"/>
  <c r="NIM1590" i="1"/>
  <c r="NIL1590" i="1"/>
  <c r="NIK1590" i="1"/>
  <c r="NIJ1590" i="1"/>
  <c r="NII1590" i="1"/>
  <c r="NIH1590" i="1"/>
  <c r="NIG1590" i="1"/>
  <c r="NIF1590" i="1"/>
  <c r="NIE1590" i="1"/>
  <c r="NID1590" i="1"/>
  <c r="NIC1590" i="1"/>
  <c r="NIB1590" i="1"/>
  <c r="NIA1590" i="1"/>
  <c r="NHZ1590" i="1"/>
  <c r="NHY1590" i="1"/>
  <c r="NHX1590" i="1"/>
  <c r="NHW1590" i="1"/>
  <c r="NHV1590" i="1"/>
  <c r="NHU1590" i="1"/>
  <c r="NHT1590" i="1"/>
  <c r="NHS1590" i="1"/>
  <c r="NHR1590" i="1"/>
  <c r="NHQ1590" i="1"/>
  <c r="NHP1590" i="1"/>
  <c r="NHO1590" i="1"/>
  <c r="NHN1590" i="1"/>
  <c r="NHM1590" i="1"/>
  <c r="NHL1590" i="1"/>
  <c r="NHK1590" i="1"/>
  <c r="NHJ1590" i="1"/>
  <c r="NHI1590" i="1"/>
  <c r="NHH1590" i="1"/>
  <c r="NHG1590" i="1"/>
  <c r="NHF1590" i="1"/>
  <c r="NHE1590" i="1"/>
  <c r="NHD1590" i="1"/>
  <c r="NHC1590" i="1"/>
  <c r="NHB1590" i="1"/>
  <c r="NHA1590" i="1"/>
  <c r="NGZ1590" i="1"/>
  <c r="NGY1590" i="1"/>
  <c r="NGX1590" i="1"/>
  <c r="NGW1590" i="1"/>
  <c r="NGV1590" i="1"/>
  <c r="NGU1590" i="1"/>
  <c r="NGT1590" i="1"/>
  <c r="NGS1590" i="1"/>
  <c r="NGR1590" i="1"/>
  <c r="NGQ1590" i="1"/>
  <c r="NGP1590" i="1"/>
  <c r="NGO1590" i="1"/>
  <c r="NGN1590" i="1"/>
  <c r="NGM1590" i="1"/>
  <c r="NGL1590" i="1"/>
  <c r="NGK1590" i="1"/>
  <c r="NGJ1590" i="1"/>
  <c r="NGI1590" i="1"/>
  <c r="NGH1590" i="1"/>
  <c r="NGG1590" i="1"/>
  <c r="NGF1590" i="1"/>
  <c r="NGE1590" i="1"/>
  <c r="NGD1590" i="1"/>
  <c r="NGC1590" i="1"/>
  <c r="NGB1590" i="1"/>
  <c r="NGA1590" i="1"/>
  <c r="NFZ1590" i="1"/>
  <c r="NFY1590" i="1"/>
  <c r="NFX1590" i="1"/>
  <c r="NFW1590" i="1"/>
  <c r="NFV1590" i="1"/>
  <c r="NFU1590" i="1"/>
  <c r="NFT1590" i="1"/>
  <c r="NFS1590" i="1"/>
  <c r="NFR1590" i="1"/>
  <c r="NFQ1590" i="1"/>
  <c r="NFP1590" i="1"/>
  <c r="NFO1590" i="1"/>
  <c r="NFN1590" i="1"/>
  <c r="NFM1590" i="1"/>
  <c r="NFL1590" i="1"/>
  <c r="NFK1590" i="1"/>
  <c r="NFJ1590" i="1"/>
  <c r="NFI1590" i="1"/>
  <c r="NFH1590" i="1"/>
  <c r="NFG1590" i="1"/>
  <c r="NFF1590" i="1"/>
  <c r="NFE1590" i="1"/>
  <c r="NFD1590" i="1"/>
  <c r="NFC1590" i="1"/>
  <c r="NFB1590" i="1"/>
  <c r="NFA1590" i="1"/>
  <c r="NEZ1590" i="1"/>
  <c r="NEY1590" i="1"/>
  <c r="NEX1590" i="1"/>
  <c r="NEW1590" i="1"/>
  <c r="NEV1590" i="1"/>
  <c r="NEU1590" i="1"/>
  <c r="NET1590" i="1"/>
  <c r="NES1590" i="1"/>
  <c r="NER1590" i="1"/>
  <c r="NEQ1590" i="1"/>
  <c r="NEP1590" i="1"/>
  <c r="NEO1590" i="1"/>
  <c r="NEN1590" i="1"/>
  <c r="NEM1590" i="1"/>
  <c r="NEL1590" i="1"/>
  <c r="NEK1590" i="1"/>
  <c r="NEJ1590" i="1"/>
  <c r="NEI1590" i="1"/>
  <c r="NEH1590" i="1"/>
  <c r="NEG1590" i="1"/>
  <c r="NEF1590" i="1"/>
  <c r="NEE1590" i="1"/>
  <c r="NED1590" i="1"/>
  <c r="NEC1590" i="1"/>
  <c r="NEB1590" i="1"/>
  <c r="NEA1590" i="1"/>
  <c r="NDZ1590" i="1"/>
  <c r="NDY1590" i="1"/>
  <c r="NDX1590" i="1"/>
  <c r="NDW1590" i="1"/>
  <c r="NDV1590" i="1"/>
  <c r="NDU1590" i="1"/>
  <c r="NDT1590" i="1"/>
  <c r="NDS1590" i="1"/>
  <c r="NDR1590" i="1"/>
  <c r="NDQ1590" i="1"/>
  <c r="NDP1590" i="1"/>
  <c r="NDO1590" i="1"/>
  <c r="NDN1590" i="1"/>
  <c r="NDM1590" i="1"/>
  <c r="NDL1590" i="1"/>
  <c r="NDK1590" i="1"/>
  <c r="NDJ1590" i="1"/>
  <c r="NDI1590" i="1"/>
  <c r="NDH1590" i="1"/>
  <c r="NDG1590" i="1"/>
  <c r="NDF1590" i="1"/>
  <c r="NDE1590" i="1"/>
  <c r="NDD1590" i="1"/>
  <c r="NDC1590" i="1"/>
  <c r="NDB1590" i="1"/>
  <c r="NDA1590" i="1"/>
  <c r="NCZ1590" i="1"/>
  <c r="NCY1590" i="1"/>
  <c r="NCX1590" i="1"/>
  <c r="NCW1590" i="1"/>
  <c r="NCV1590" i="1"/>
  <c r="NCU1590" i="1"/>
  <c r="NCT1590" i="1"/>
  <c r="NCS1590" i="1"/>
  <c r="NCR1590" i="1"/>
  <c r="NCQ1590" i="1"/>
  <c r="NCP1590" i="1"/>
  <c r="NCO1590" i="1"/>
  <c r="NCN1590" i="1"/>
  <c r="NCM1590" i="1"/>
  <c r="NCL1590" i="1"/>
  <c r="NCK1590" i="1"/>
  <c r="NCJ1590" i="1"/>
  <c r="NCI1590" i="1"/>
  <c r="NCH1590" i="1"/>
  <c r="NCG1590" i="1"/>
  <c r="NCF1590" i="1"/>
  <c r="NCE1590" i="1"/>
  <c r="NCD1590" i="1"/>
  <c r="NCC1590" i="1"/>
  <c r="NCB1590" i="1"/>
  <c r="NCA1590" i="1"/>
  <c r="NBZ1590" i="1"/>
  <c r="NBY1590" i="1"/>
  <c r="NBX1590" i="1"/>
  <c r="NBW1590" i="1"/>
  <c r="NBV1590" i="1"/>
  <c r="NBU1590" i="1"/>
  <c r="NBT1590" i="1"/>
  <c r="NBS1590" i="1"/>
  <c r="NBR1590" i="1"/>
  <c r="NBQ1590" i="1"/>
  <c r="NBP1590" i="1"/>
  <c r="NBO1590" i="1"/>
  <c r="NBN1590" i="1"/>
  <c r="NBM1590" i="1"/>
  <c r="NBL1590" i="1"/>
  <c r="NBK1590" i="1"/>
  <c r="NBJ1590" i="1"/>
  <c r="NBI1590" i="1"/>
  <c r="NBH1590" i="1"/>
  <c r="NBG1590" i="1"/>
  <c r="NBF1590" i="1"/>
  <c r="NBE1590" i="1"/>
  <c r="NBD1590" i="1"/>
  <c r="NBC1590" i="1"/>
  <c r="NBB1590" i="1"/>
  <c r="NBA1590" i="1"/>
  <c r="NAZ1590" i="1"/>
  <c r="NAY1590" i="1"/>
  <c r="NAX1590" i="1"/>
  <c r="NAW1590" i="1"/>
  <c r="NAV1590" i="1"/>
  <c r="NAU1590" i="1"/>
  <c r="NAT1590" i="1"/>
  <c r="NAS1590" i="1"/>
  <c r="NAR1590" i="1"/>
  <c r="NAQ1590" i="1"/>
  <c r="NAP1590" i="1"/>
  <c r="NAO1590" i="1"/>
  <c r="NAN1590" i="1"/>
  <c r="NAM1590" i="1"/>
  <c r="NAL1590" i="1"/>
  <c r="NAK1590" i="1"/>
  <c r="NAJ1590" i="1"/>
  <c r="NAI1590" i="1"/>
  <c r="NAH1590" i="1"/>
  <c r="NAG1590" i="1"/>
  <c r="NAF1590" i="1"/>
  <c r="NAE1590" i="1"/>
  <c r="NAD1590" i="1"/>
  <c r="NAC1590" i="1"/>
  <c r="NAB1590" i="1"/>
  <c r="NAA1590" i="1"/>
  <c r="MZZ1590" i="1"/>
  <c r="MZY1590" i="1"/>
  <c r="MZX1590" i="1"/>
  <c r="MZW1590" i="1"/>
  <c r="MZV1590" i="1"/>
  <c r="MZU1590" i="1"/>
  <c r="MZT1590" i="1"/>
  <c r="MZS1590" i="1"/>
  <c r="MZR1590" i="1"/>
  <c r="MZQ1590" i="1"/>
  <c r="MZP1590" i="1"/>
  <c r="MZO1590" i="1"/>
  <c r="MZN1590" i="1"/>
  <c r="MZM1590" i="1"/>
  <c r="MZL1590" i="1"/>
  <c r="MZK1590" i="1"/>
  <c r="MZJ1590" i="1"/>
  <c r="MZI1590" i="1"/>
  <c r="MZH1590" i="1"/>
  <c r="MZG1590" i="1"/>
  <c r="MZF1590" i="1"/>
  <c r="MZE1590" i="1"/>
  <c r="MZD1590" i="1"/>
  <c r="MZC1590" i="1"/>
  <c r="MZB1590" i="1"/>
  <c r="MZA1590" i="1"/>
  <c r="MYZ1590" i="1"/>
  <c r="MYY1590" i="1"/>
  <c r="MYX1590" i="1"/>
  <c r="MYW1590" i="1"/>
  <c r="MYV1590" i="1"/>
  <c r="MYU1590" i="1"/>
  <c r="MYT1590" i="1"/>
  <c r="MYS1590" i="1"/>
  <c r="MYR1590" i="1"/>
  <c r="MYQ1590" i="1"/>
  <c r="MYP1590" i="1"/>
  <c r="MYO1590" i="1"/>
  <c r="MYN1590" i="1"/>
  <c r="MYM1590" i="1"/>
  <c r="MYL1590" i="1"/>
  <c r="MYK1590" i="1"/>
  <c r="MYJ1590" i="1"/>
  <c r="MYI1590" i="1"/>
  <c r="MYH1590" i="1"/>
  <c r="MYG1590" i="1"/>
  <c r="MYF1590" i="1"/>
  <c r="MYE1590" i="1"/>
  <c r="MYD1590" i="1"/>
  <c r="MYC1590" i="1"/>
  <c r="MYB1590" i="1"/>
  <c r="MYA1590" i="1"/>
  <c r="MXZ1590" i="1"/>
  <c r="MXY1590" i="1"/>
  <c r="MXX1590" i="1"/>
  <c r="MXW1590" i="1"/>
  <c r="MXV1590" i="1"/>
  <c r="MXU1590" i="1"/>
  <c r="MXT1590" i="1"/>
  <c r="MXS1590" i="1"/>
  <c r="MXR1590" i="1"/>
  <c r="MXQ1590" i="1"/>
  <c r="MXP1590" i="1"/>
  <c r="MXO1590" i="1"/>
  <c r="MXN1590" i="1"/>
  <c r="MXM1590" i="1"/>
  <c r="MXL1590" i="1"/>
  <c r="MXK1590" i="1"/>
  <c r="MXJ1590" i="1"/>
  <c r="MXI1590" i="1"/>
  <c r="MXH1590" i="1"/>
  <c r="MXG1590" i="1"/>
  <c r="MXF1590" i="1"/>
  <c r="MXE1590" i="1"/>
  <c r="MXD1590" i="1"/>
  <c r="MXC1590" i="1"/>
  <c r="MXB1590" i="1"/>
  <c r="MXA1590" i="1"/>
  <c r="MWZ1590" i="1"/>
  <c r="MWY1590" i="1"/>
  <c r="MWX1590" i="1"/>
  <c r="MWW1590" i="1"/>
  <c r="MWV1590" i="1"/>
  <c r="MWU1590" i="1"/>
  <c r="MWT1590" i="1"/>
  <c r="MWS1590" i="1"/>
  <c r="MWR1590" i="1"/>
  <c r="MWQ1590" i="1"/>
  <c r="MWP1590" i="1"/>
  <c r="MWO1590" i="1"/>
  <c r="MWN1590" i="1"/>
  <c r="MWM1590" i="1"/>
  <c r="MWL1590" i="1"/>
  <c r="MWK1590" i="1"/>
  <c r="MWJ1590" i="1"/>
  <c r="MWI1590" i="1"/>
  <c r="MWH1590" i="1"/>
  <c r="MWG1590" i="1"/>
  <c r="MWF1590" i="1"/>
  <c r="MWE1590" i="1"/>
  <c r="MWD1590" i="1"/>
  <c r="MWC1590" i="1"/>
  <c r="MWB1590" i="1"/>
  <c r="MWA1590" i="1"/>
  <c r="MVZ1590" i="1"/>
  <c r="MVY1590" i="1"/>
  <c r="MVX1590" i="1"/>
  <c r="MVW1590" i="1"/>
  <c r="MVV1590" i="1"/>
  <c r="MVU1590" i="1"/>
  <c r="MVT1590" i="1"/>
  <c r="MVS1590" i="1"/>
  <c r="MVR1590" i="1"/>
  <c r="MVQ1590" i="1"/>
  <c r="MVP1590" i="1"/>
  <c r="MVO1590" i="1"/>
  <c r="MVN1590" i="1"/>
  <c r="MVM1590" i="1"/>
  <c r="MVL1590" i="1"/>
  <c r="MVK1590" i="1"/>
  <c r="MVJ1590" i="1"/>
  <c r="MVI1590" i="1"/>
  <c r="MVH1590" i="1"/>
  <c r="MVG1590" i="1"/>
  <c r="MVF1590" i="1"/>
  <c r="MVE1590" i="1"/>
  <c r="MVD1590" i="1"/>
  <c r="MVC1590" i="1"/>
  <c r="MVB1590" i="1"/>
  <c r="MVA1590" i="1"/>
  <c r="MUZ1590" i="1"/>
  <c r="MUY1590" i="1"/>
  <c r="MUX1590" i="1"/>
  <c r="MUW1590" i="1"/>
  <c r="MUV1590" i="1"/>
  <c r="MUU1590" i="1"/>
  <c r="MUT1590" i="1"/>
  <c r="MUS1590" i="1"/>
  <c r="MUR1590" i="1"/>
  <c r="MUQ1590" i="1"/>
  <c r="MUP1590" i="1"/>
  <c r="MUO1590" i="1"/>
  <c r="MUN1590" i="1"/>
  <c r="MUM1590" i="1"/>
  <c r="MUL1590" i="1"/>
  <c r="MUK1590" i="1"/>
  <c r="MUJ1590" i="1"/>
  <c r="MUI1590" i="1"/>
  <c r="MUH1590" i="1"/>
  <c r="MUG1590" i="1"/>
  <c r="MUF1590" i="1"/>
  <c r="MUE1590" i="1"/>
  <c r="MUD1590" i="1"/>
  <c r="MUC1590" i="1"/>
  <c r="MUB1590" i="1"/>
  <c r="MUA1590" i="1"/>
  <c r="MTZ1590" i="1"/>
  <c r="MTY1590" i="1"/>
  <c r="MTX1590" i="1"/>
  <c r="MTW1590" i="1"/>
  <c r="MTV1590" i="1"/>
  <c r="MTU1590" i="1"/>
  <c r="MTT1590" i="1"/>
  <c r="MTS1590" i="1"/>
  <c r="MTR1590" i="1"/>
  <c r="MTQ1590" i="1"/>
  <c r="MTP1590" i="1"/>
  <c r="MTO1590" i="1"/>
  <c r="MTN1590" i="1"/>
  <c r="MTM1590" i="1"/>
  <c r="MTL1590" i="1"/>
  <c r="MTK1590" i="1"/>
  <c r="MTJ1590" i="1"/>
  <c r="MTI1590" i="1"/>
  <c r="MTH1590" i="1"/>
  <c r="MTG1590" i="1"/>
  <c r="MTF1590" i="1"/>
  <c r="MTE1590" i="1"/>
  <c r="MTD1590" i="1"/>
  <c r="MTC1590" i="1"/>
  <c r="MTB1590" i="1"/>
  <c r="MTA1590" i="1"/>
  <c r="MSZ1590" i="1"/>
  <c r="MSY1590" i="1"/>
  <c r="MSX1590" i="1"/>
  <c r="MSW1590" i="1"/>
  <c r="MSV1590" i="1"/>
  <c r="MSU1590" i="1"/>
  <c r="MST1590" i="1"/>
  <c r="MSS1590" i="1"/>
  <c r="MSR1590" i="1"/>
  <c r="MSQ1590" i="1"/>
  <c r="MSP1590" i="1"/>
  <c r="MSO1590" i="1"/>
  <c r="MSN1590" i="1"/>
  <c r="MSM1590" i="1"/>
  <c r="MSL1590" i="1"/>
  <c r="MSK1590" i="1"/>
  <c r="MSJ1590" i="1"/>
  <c r="MSI1590" i="1"/>
  <c r="MSH1590" i="1"/>
  <c r="MSG1590" i="1"/>
  <c r="MSF1590" i="1"/>
  <c r="MSE1590" i="1"/>
  <c r="MSD1590" i="1"/>
  <c r="MSC1590" i="1"/>
  <c r="MSB1590" i="1"/>
  <c r="MSA1590" i="1"/>
  <c r="MRZ1590" i="1"/>
  <c r="MRY1590" i="1"/>
  <c r="MRX1590" i="1"/>
  <c r="MRW1590" i="1"/>
  <c r="MRV1590" i="1"/>
  <c r="MRU1590" i="1"/>
  <c r="MRT1590" i="1"/>
  <c r="MRS1590" i="1"/>
  <c r="MRR1590" i="1"/>
  <c r="MRQ1590" i="1"/>
  <c r="MRP1590" i="1"/>
  <c r="MRO1590" i="1"/>
  <c r="MRN1590" i="1"/>
  <c r="MRM1590" i="1"/>
  <c r="MRL1590" i="1"/>
  <c r="MRK1590" i="1"/>
  <c r="MRJ1590" i="1"/>
  <c r="MRI1590" i="1"/>
  <c r="MRH1590" i="1"/>
  <c r="MRG1590" i="1"/>
  <c r="MRF1590" i="1"/>
  <c r="MRE1590" i="1"/>
  <c r="MRD1590" i="1"/>
  <c r="MRC1590" i="1"/>
  <c r="MRB1590" i="1"/>
  <c r="MRA1590" i="1"/>
  <c r="MQZ1590" i="1"/>
  <c r="MQY1590" i="1"/>
  <c r="MQX1590" i="1"/>
  <c r="MQW1590" i="1"/>
  <c r="MQV1590" i="1"/>
  <c r="MQU1590" i="1"/>
  <c r="MQT1590" i="1"/>
  <c r="MQS1590" i="1"/>
  <c r="MQR1590" i="1"/>
  <c r="MQQ1590" i="1"/>
  <c r="MQP1590" i="1"/>
  <c r="MQO1590" i="1"/>
  <c r="MQN1590" i="1"/>
  <c r="MQM1590" i="1"/>
  <c r="MQL1590" i="1"/>
  <c r="MQK1590" i="1"/>
  <c r="MQJ1590" i="1"/>
  <c r="MQI1590" i="1"/>
  <c r="MQH1590" i="1"/>
  <c r="MQG1590" i="1"/>
  <c r="MQF1590" i="1"/>
  <c r="MQE1590" i="1"/>
  <c r="MQD1590" i="1"/>
  <c r="MQC1590" i="1"/>
  <c r="MQB1590" i="1"/>
  <c r="MQA1590" i="1"/>
  <c r="MPZ1590" i="1"/>
  <c r="MPY1590" i="1"/>
  <c r="MPX1590" i="1"/>
  <c r="MPW1590" i="1"/>
  <c r="MPV1590" i="1"/>
  <c r="MPU1590" i="1"/>
  <c r="MPT1590" i="1"/>
  <c r="MPS1590" i="1"/>
  <c r="MPR1590" i="1"/>
  <c r="MPQ1590" i="1"/>
  <c r="MPP1590" i="1"/>
  <c r="MPO1590" i="1"/>
  <c r="MPN1590" i="1"/>
  <c r="MPM1590" i="1"/>
  <c r="MPL1590" i="1"/>
  <c r="MPK1590" i="1"/>
  <c r="MPJ1590" i="1"/>
  <c r="MPI1590" i="1"/>
  <c r="MPH1590" i="1"/>
  <c r="MPG1590" i="1"/>
  <c r="MPF1590" i="1"/>
  <c r="MPE1590" i="1"/>
  <c r="MPD1590" i="1"/>
  <c r="MPC1590" i="1"/>
  <c r="MPB1590" i="1"/>
  <c r="MPA1590" i="1"/>
  <c r="MOZ1590" i="1"/>
  <c r="MOY1590" i="1"/>
  <c r="MOX1590" i="1"/>
  <c r="MOW1590" i="1"/>
  <c r="MOV1590" i="1"/>
  <c r="MOU1590" i="1"/>
  <c r="MOT1590" i="1"/>
  <c r="MOS1590" i="1"/>
  <c r="MOR1590" i="1"/>
  <c r="MOQ1590" i="1"/>
  <c r="MOP1590" i="1"/>
  <c r="MOO1590" i="1"/>
  <c r="MON1590" i="1"/>
  <c r="MOM1590" i="1"/>
  <c r="MOL1590" i="1"/>
  <c r="MOK1590" i="1"/>
  <c r="MOJ1590" i="1"/>
  <c r="MOI1590" i="1"/>
  <c r="MOH1590" i="1"/>
  <c r="MOG1590" i="1"/>
  <c r="MOF1590" i="1"/>
  <c r="MOE1590" i="1"/>
  <c r="MOD1590" i="1"/>
  <c r="MOC1590" i="1"/>
  <c r="MOB1590" i="1"/>
  <c r="MOA1590" i="1"/>
  <c r="MNZ1590" i="1"/>
  <c r="MNY1590" i="1"/>
  <c r="MNX1590" i="1"/>
  <c r="MNW1590" i="1"/>
  <c r="MNV1590" i="1"/>
  <c r="MNU1590" i="1"/>
  <c r="MNT1590" i="1"/>
  <c r="MNS1590" i="1"/>
  <c r="MNR1590" i="1"/>
  <c r="MNQ1590" i="1"/>
  <c r="MNP1590" i="1"/>
  <c r="MNO1590" i="1"/>
  <c r="MNN1590" i="1"/>
  <c r="MNM1590" i="1"/>
  <c r="MNL1590" i="1"/>
  <c r="MNK1590" i="1"/>
  <c r="MNJ1590" i="1"/>
  <c r="MNI1590" i="1"/>
  <c r="MNH1590" i="1"/>
  <c r="MNG1590" i="1"/>
  <c r="MNF1590" i="1"/>
  <c r="MNE1590" i="1"/>
  <c r="MND1590" i="1"/>
  <c r="MNC1590" i="1"/>
  <c r="MNB1590" i="1"/>
  <c r="MNA1590" i="1"/>
  <c r="MMZ1590" i="1"/>
  <c r="MMY1590" i="1"/>
  <c r="MMX1590" i="1"/>
  <c r="MMW1590" i="1"/>
  <c r="MMV1590" i="1"/>
  <c r="MMU1590" i="1"/>
  <c r="MMT1590" i="1"/>
  <c r="MMS1590" i="1"/>
  <c r="MMR1590" i="1"/>
  <c r="MMQ1590" i="1"/>
  <c r="MMP1590" i="1"/>
  <c r="MMO1590" i="1"/>
  <c r="MMN1590" i="1"/>
  <c r="MMM1590" i="1"/>
  <c r="MML1590" i="1"/>
  <c r="MMK1590" i="1"/>
  <c r="MMJ1590" i="1"/>
  <c r="MMI1590" i="1"/>
  <c r="MMH1590" i="1"/>
  <c r="MMG1590" i="1"/>
  <c r="MMF1590" i="1"/>
  <c r="MME1590" i="1"/>
  <c r="MMD1590" i="1"/>
  <c r="MMC1590" i="1"/>
  <c r="MMB1590" i="1"/>
  <c r="MMA1590" i="1"/>
  <c r="MLZ1590" i="1"/>
  <c r="MLY1590" i="1"/>
  <c r="MLX1590" i="1"/>
  <c r="MLW1590" i="1"/>
  <c r="MLV1590" i="1"/>
  <c r="MLU1590" i="1"/>
  <c r="MLT1590" i="1"/>
  <c r="MLS1590" i="1"/>
  <c r="MLR1590" i="1"/>
  <c r="MLQ1590" i="1"/>
  <c r="MLP1590" i="1"/>
  <c r="MLO1590" i="1"/>
  <c r="MLN1590" i="1"/>
  <c r="MLM1590" i="1"/>
  <c r="MLL1590" i="1"/>
  <c r="MLK1590" i="1"/>
  <c r="MLJ1590" i="1"/>
  <c r="MLI1590" i="1"/>
  <c r="MLH1590" i="1"/>
  <c r="MLG1590" i="1"/>
  <c r="MLF1590" i="1"/>
  <c r="MLE1590" i="1"/>
  <c r="MLD1590" i="1"/>
  <c r="MLC1590" i="1"/>
  <c r="MLB1590" i="1"/>
  <c r="MLA1590" i="1"/>
  <c r="MKZ1590" i="1"/>
  <c r="MKY1590" i="1"/>
  <c r="MKX1590" i="1"/>
  <c r="MKW1590" i="1"/>
  <c r="MKV1590" i="1"/>
  <c r="MKU1590" i="1"/>
  <c r="MKT1590" i="1"/>
  <c r="MKS1590" i="1"/>
  <c r="MKR1590" i="1"/>
  <c r="MKQ1590" i="1"/>
  <c r="MKP1590" i="1"/>
  <c r="MKO1590" i="1"/>
  <c r="MKN1590" i="1"/>
  <c r="MKM1590" i="1"/>
  <c r="MKL1590" i="1"/>
  <c r="MKK1590" i="1"/>
  <c r="MKJ1590" i="1"/>
  <c r="MKI1590" i="1"/>
  <c r="MKH1590" i="1"/>
  <c r="MKG1590" i="1"/>
  <c r="MKF1590" i="1"/>
  <c r="MKE1590" i="1"/>
  <c r="MKD1590" i="1"/>
  <c r="MKC1590" i="1"/>
  <c r="MKB1590" i="1"/>
  <c r="MKA1590" i="1"/>
  <c r="MJZ1590" i="1"/>
  <c r="MJY1590" i="1"/>
  <c r="MJX1590" i="1"/>
  <c r="MJW1590" i="1"/>
  <c r="MJV1590" i="1"/>
  <c r="MJU1590" i="1"/>
  <c r="MJT1590" i="1"/>
  <c r="MJS1590" i="1"/>
  <c r="MJR1590" i="1"/>
  <c r="MJQ1590" i="1"/>
  <c r="MJP1590" i="1"/>
  <c r="MJO1590" i="1"/>
  <c r="MJN1590" i="1"/>
  <c r="MJM1590" i="1"/>
  <c r="MJL1590" i="1"/>
  <c r="MJK1590" i="1"/>
  <c r="MJJ1590" i="1"/>
  <c r="MJI1590" i="1"/>
  <c r="MJH1590" i="1"/>
  <c r="MJG1590" i="1"/>
  <c r="MJF1590" i="1"/>
  <c r="MJE1590" i="1"/>
  <c r="MJD1590" i="1"/>
  <c r="MJC1590" i="1"/>
  <c r="MJB1590" i="1"/>
  <c r="MJA1590" i="1"/>
  <c r="MIZ1590" i="1"/>
  <c r="MIY1590" i="1"/>
  <c r="MIX1590" i="1"/>
  <c r="MIW1590" i="1"/>
  <c r="MIV1590" i="1"/>
  <c r="MIU1590" i="1"/>
  <c r="MIT1590" i="1"/>
  <c r="MIS1590" i="1"/>
  <c r="MIR1590" i="1"/>
  <c r="MIQ1590" i="1"/>
  <c r="MIP1590" i="1"/>
  <c r="MIO1590" i="1"/>
  <c r="MIN1590" i="1"/>
  <c r="MIM1590" i="1"/>
  <c r="MIL1590" i="1"/>
  <c r="MIK1590" i="1"/>
  <c r="MIJ1590" i="1"/>
  <c r="MII1590" i="1"/>
  <c r="MIH1590" i="1"/>
  <c r="MIG1590" i="1"/>
  <c r="MIF1590" i="1"/>
  <c r="MIE1590" i="1"/>
  <c r="MID1590" i="1"/>
  <c r="MIC1590" i="1"/>
  <c r="MIB1590" i="1"/>
  <c r="MIA1590" i="1"/>
  <c r="MHZ1590" i="1"/>
  <c r="MHY1590" i="1"/>
  <c r="MHX1590" i="1"/>
  <c r="MHW1590" i="1"/>
  <c r="MHV1590" i="1"/>
  <c r="MHU1590" i="1"/>
  <c r="MHT1590" i="1"/>
  <c r="MHS1590" i="1"/>
  <c r="MHR1590" i="1"/>
  <c r="MHQ1590" i="1"/>
  <c r="MHP1590" i="1"/>
  <c r="MHO1590" i="1"/>
  <c r="MHN1590" i="1"/>
  <c r="MHM1590" i="1"/>
  <c r="MHL1590" i="1"/>
  <c r="MHK1590" i="1"/>
  <c r="MHJ1590" i="1"/>
  <c r="MHI1590" i="1"/>
  <c r="MHH1590" i="1"/>
  <c r="MHG1590" i="1"/>
  <c r="MHF1590" i="1"/>
  <c r="MHE1590" i="1"/>
  <c r="MHD1590" i="1"/>
  <c r="MHC1590" i="1"/>
  <c r="MHB1590" i="1"/>
  <c r="MHA1590" i="1"/>
  <c r="MGZ1590" i="1"/>
  <c r="MGY1590" i="1"/>
  <c r="MGX1590" i="1"/>
  <c r="MGW1590" i="1"/>
  <c r="MGV1590" i="1"/>
  <c r="MGU1590" i="1"/>
  <c r="MGT1590" i="1"/>
  <c r="MGS1590" i="1"/>
  <c r="MGR1590" i="1"/>
  <c r="MGQ1590" i="1"/>
  <c r="MGP1590" i="1"/>
  <c r="MGO1590" i="1"/>
  <c r="MGN1590" i="1"/>
  <c r="MGM1590" i="1"/>
  <c r="MGL1590" i="1"/>
  <c r="MGK1590" i="1"/>
  <c r="MGJ1590" i="1"/>
  <c r="MGI1590" i="1"/>
  <c r="MGH1590" i="1"/>
  <c r="MGG1590" i="1"/>
  <c r="MGF1590" i="1"/>
  <c r="MGE1590" i="1"/>
  <c r="MGD1590" i="1"/>
  <c r="MGC1590" i="1"/>
  <c r="MGB1590" i="1"/>
  <c r="MGA1590" i="1"/>
  <c r="MFZ1590" i="1"/>
  <c r="MFY1590" i="1"/>
  <c r="MFX1590" i="1"/>
  <c r="MFW1590" i="1"/>
  <c r="MFV1590" i="1"/>
  <c r="MFU1590" i="1"/>
  <c r="MFT1590" i="1"/>
  <c r="MFS1590" i="1"/>
  <c r="MFR1590" i="1"/>
  <c r="MFQ1590" i="1"/>
  <c r="MFP1590" i="1"/>
  <c r="MFO1590" i="1"/>
  <c r="MFN1590" i="1"/>
  <c r="MFM1590" i="1"/>
  <c r="MFL1590" i="1"/>
  <c r="MFK1590" i="1"/>
  <c r="MFJ1590" i="1"/>
  <c r="MFI1590" i="1"/>
  <c r="MFH1590" i="1"/>
  <c r="MFG1590" i="1"/>
  <c r="MFF1590" i="1"/>
  <c r="MFE1590" i="1"/>
  <c r="MFD1590" i="1"/>
  <c r="MFC1590" i="1"/>
  <c r="MFB1590" i="1"/>
  <c r="MFA1590" i="1"/>
  <c r="MEZ1590" i="1"/>
  <c r="MEY1590" i="1"/>
  <c r="MEX1590" i="1"/>
  <c r="MEW1590" i="1"/>
  <c r="MEV1590" i="1"/>
  <c r="MEU1590" i="1"/>
  <c r="MET1590" i="1"/>
  <c r="MES1590" i="1"/>
  <c r="MER1590" i="1"/>
  <c r="MEQ1590" i="1"/>
  <c r="MEP1590" i="1"/>
  <c r="MEO1590" i="1"/>
  <c r="MEN1590" i="1"/>
  <c r="MEM1590" i="1"/>
  <c r="MEL1590" i="1"/>
  <c r="MEK1590" i="1"/>
  <c r="MEJ1590" i="1"/>
  <c r="MEI1590" i="1"/>
  <c r="MEH1590" i="1"/>
  <c r="MEG1590" i="1"/>
  <c r="MEF1590" i="1"/>
  <c r="MEE1590" i="1"/>
  <c r="MED1590" i="1"/>
  <c r="MEC1590" i="1"/>
  <c r="MEB1590" i="1"/>
  <c r="MEA1590" i="1"/>
  <c r="MDZ1590" i="1"/>
  <c r="MDY1590" i="1"/>
  <c r="MDX1590" i="1"/>
  <c r="MDW1590" i="1"/>
  <c r="MDV1590" i="1"/>
  <c r="MDU1590" i="1"/>
  <c r="MDT1590" i="1"/>
  <c r="MDS1590" i="1"/>
  <c r="MDR1590" i="1"/>
  <c r="MDQ1590" i="1"/>
  <c r="MDP1590" i="1"/>
  <c r="MDO1590" i="1"/>
  <c r="MDN1590" i="1"/>
  <c r="MDM1590" i="1"/>
  <c r="MDL1590" i="1"/>
  <c r="MDK1590" i="1"/>
  <c r="MDJ1590" i="1"/>
  <c r="MDI1590" i="1"/>
  <c r="MDH1590" i="1"/>
  <c r="MDG1590" i="1"/>
  <c r="MDF1590" i="1"/>
  <c r="MDE1590" i="1"/>
  <c r="MDD1590" i="1"/>
  <c r="MDC1590" i="1"/>
  <c r="MDB1590" i="1"/>
  <c r="MDA1590" i="1"/>
  <c r="MCZ1590" i="1"/>
  <c r="MCY1590" i="1"/>
  <c r="MCX1590" i="1"/>
  <c r="MCW1590" i="1"/>
  <c r="MCV1590" i="1"/>
  <c r="MCU1590" i="1"/>
  <c r="MCT1590" i="1"/>
  <c r="MCS1590" i="1"/>
  <c r="MCR1590" i="1"/>
  <c r="MCQ1590" i="1"/>
  <c r="MCP1590" i="1"/>
  <c r="MCO1590" i="1"/>
  <c r="MCN1590" i="1"/>
  <c r="MCM1590" i="1"/>
  <c r="MCL1590" i="1"/>
  <c r="MCK1590" i="1"/>
  <c r="MCJ1590" i="1"/>
  <c r="MCI1590" i="1"/>
  <c r="MCH1590" i="1"/>
  <c r="MCG1590" i="1"/>
  <c r="MCF1590" i="1"/>
  <c r="MCE1590" i="1"/>
  <c r="MCD1590" i="1"/>
  <c r="MCC1590" i="1"/>
  <c r="MCB1590" i="1"/>
  <c r="MCA1590" i="1"/>
  <c r="MBZ1590" i="1"/>
  <c r="MBY1590" i="1"/>
  <c r="MBX1590" i="1"/>
  <c r="MBW1590" i="1"/>
  <c r="MBV1590" i="1"/>
  <c r="MBU1590" i="1"/>
  <c r="MBT1590" i="1"/>
  <c r="MBS1590" i="1"/>
  <c r="MBR1590" i="1"/>
  <c r="MBQ1590" i="1"/>
  <c r="MBP1590" i="1"/>
  <c r="MBO1590" i="1"/>
  <c r="MBN1590" i="1"/>
  <c r="MBM1590" i="1"/>
  <c r="MBL1590" i="1"/>
  <c r="MBK1590" i="1"/>
  <c r="MBJ1590" i="1"/>
  <c r="MBI1590" i="1"/>
  <c r="MBH1590" i="1"/>
  <c r="MBG1590" i="1"/>
  <c r="MBF1590" i="1"/>
  <c r="MBE1590" i="1"/>
  <c r="MBD1590" i="1"/>
  <c r="MBC1590" i="1"/>
  <c r="MBB1590" i="1"/>
  <c r="MBA1590" i="1"/>
  <c r="MAZ1590" i="1"/>
  <c r="MAY1590" i="1"/>
  <c r="MAX1590" i="1"/>
  <c r="MAW1590" i="1"/>
  <c r="MAV1590" i="1"/>
  <c r="MAU1590" i="1"/>
  <c r="MAT1590" i="1"/>
  <c r="MAS1590" i="1"/>
  <c r="MAR1590" i="1"/>
  <c r="MAQ1590" i="1"/>
  <c r="MAP1590" i="1"/>
  <c r="MAO1590" i="1"/>
  <c r="MAN1590" i="1"/>
  <c r="MAM1590" i="1"/>
  <c r="MAL1590" i="1"/>
  <c r="MAK1590" i="1"/>
  <c r="MAJ1590" i="1"/>
  <c r="MAI1590" i="1"/>
  <c r="MAH1590" i="1"/>
  <c r="MAG1590" i="1"/>
  <c r="MAF1590" i="1"/>
  <c r="MAE1590" i="1"/>
  <c r="MAD1590" i="1"/>
  <c r="MAC1590" i="1"/>
  <c r="MAB1590" i="1"/>
  <c r="MAA1590" i="1"/>
  <c r="LZZ1590" i="1"/>
  <c r="LZY1590" i="1"/>
  <c r="LZX1590" i="1"/>
  <c r="LZW1590" i="1"/>
  <c r="LZV1590" i="1"/>
  <c r="LZU1590" i="1"/>
  <c r="LZT1590" i="1"/>
  <c r="LZS1590" i="1"/>
  <c r="LZR1590" i="1"/>
  <c r="LZQ1590" i="1"/>
  <c r="LZP1590" i="1"/>
  <c r="LZO1590" i="1"/>
  <c r="LZN1590" i="1"/>
  <c r="LZM1590" i="1"/>
  <c r="LZL1590" i="1"/>
  <c r="LZK1590" i="1"/>
  <c r="LZJ1590" i="1"/>
  <c r="LZI1590" i="1"/>
  <c r="LZH1590" i="1"/>
  <c r="LZG1590" i="1"/>
  <c r="LZF1590" i="1"/>
  <c r="LZE1590" i="1"/>
  <c r="LZD1590" i="1"/>
  <c r="LZC1590" i="1"/>
  <c r="LZB1590" i="1"/>
  <c r="LZA1590" i="1"/>
  <c r="LYZ1590" i="1"/>
  <c r="LYY1590" i="1"/>
  <c r="LYX1590" i="1"/>
  <c r="LYW1590" i="1"/>
  <c r="LYV1590" i="1"/>
  <c r="LYU1590" i="1"/>
  <c r="LYT1590" i="1"/>
  <c r="LYS1590" i="1"/>
  <c r="LYR1590" i="1"/>
  <c r="LYQ1590" i="1"/>
  <c r="LYP1590" i="1"/>
  <c r="LYO1590" i="1"/>
  <c r="LYN1590" i="1"/>
  <c r="LYM1590" i="1"/>
  <c r="LYL1590" i="1"/>
  <c r="LYK1590" i="1"/>
  <c r="LYJ1590" i="1"/>
  <c r="LYI1590" i="1"/>
  <c r="LYH1590" i="1"/>
  <c r="LYG1590" i="1"/>
  <c r="LYF1590" i="1"/>
  <c r="LYE1590" i="1"/>
  <c r="LYD1590" i="1"/>
  <c r="LYC1590" i="1"/>
  <c r="LYB1590" i="1"/>
  <c r="LYA1590" i="1"/>
  <c r="LXZ1590" i="1"/>
  <c r="LXY1590" i="1"/>
  <c r="LXX1590" i="1"/>
  <c r="LXW1590" i="1"/>
  <c r="LXV1590" i="1"/>
  <c r="LXU1590" i="1"/>
  <c r="LXT1590" i="1"/>
  <c r="LXS1590" i="1"/>
  <c r="LXR1590" i="1"/>
  <c r="LXQ1590" i="1"/>
  <c r="LXP1590" i="1"/>
  <c r="LXO1590" i="1"/>
  <c r="LXN1590" i="1"/>
  <c r="LXM1590" i="1"/>
  <c r="LXL1590" i="1"/>
  <c r="LXK1590" i="1"/>
  <c r="LXJ1590" i="1"/>
  <c r="LXI1590" i="1"/>
  <c r="LXH1590" i="1"/>
  <c r="LXG1590" i="1"/>
  <c r="LXF1590" i="1"/>
  <c r="LXE1590" i="1"/>
  <c r="LXD1590" i="1"/>
  <c r="LXC1590" i="1"/>
  <c r="LXB1590" i="1"/>
  <c r="LXA1590" i="1"/>
  <c r="LWZ1590" i="1"/>
  <c r="LWY1590" i="1"/>
  <c r="LWX1590" i="1"/>
  <c r="LWW1590" i="1"/>
  <c r="LWV1590" i="1"/>
  <c r="LWU1590" i="1"/>
  <c r="LWT1590" i="1"/>
  <c r="LWS1590" i="1"/>
  <c r="LWR1590" i="1"/>
  <c r="LWQ1590" i="1"/>
  <c r="LWP1590" i="1"/>
  <c r="LWO1590" i="1"/>
  <c r="LWN1590" i="1"/>
  <c r="LWM1590" i="1"/>
  <c r="LWL1590" i="1"/>
  <c r="LWK1590" i="1"/>
  <c r="LWJ1590" i="1"/>
  <c r="LWI1590" i="1"/>
  <c r="LWH1590" i="1"/>
  <c r="LWG1590" i="1"/>
  <c r="LWF1590" i="1"/>
  <c r="LWE1590" i="1"/>
  <c r="LWD1590" i="1"/>
  <c r="LWC1590" i="1"/>
  <c r="LWB1590" i="1"/>
  <c r="LWA1590" i="1"/>
  <c r="LVZ1590" i="1"/>
  <c r="LVY1590" i="1"/>
  <c r="LVX1590" i="1"/>
  <c r="LVW1590" i="1"/>
  <c r="LVV1590" i="1"/>
  <c r="LVU1590" i="1"/>
  <c r="LVT1590" i="1"/>
  <c r="LVS1590" i="1"/>
  <c r="LVR1590" i="1"/>
  <c r="LVQ1590" i="1"/>
  <c r="LVP1590" i="1"/>
  <c r="LVO1590" i="1"/>
  <c r="LVN1590" i="1"/>
  <c r="LVM1590" i="1"/>
  <c r="LVL1590" i="1"/>
  <c r="LVK1590" i="1"/>
  <c r="LVJ1590" i="1"/>
  <c r="LVI1590" i="1"/>
  <c r="LVH1590" i="1"/>
  <c r="LVG1590" i="1"/>
  <c r="LVF1590" i="1"/>
  <c r="LVE1590" i="1"/>
  <c r="LVD1590" i="1"/>
  <c r="LVC1590" i="1"/>
  <c r="LVB1590" i="1"/>
  <c r="LVA1590" i="1"/>
  <c r="LUZ1590" i="1"/>
  <c r="LUY1590" i="1"/>
  <c r="LUX1590" i="1"/>
  <c r="LUW1590" i="1"/>
  <c r="LUV1590" i="1"/>
  <c r="LUU1590" i="1"/>
  <c r="LUT1590" i="1"/>
  <c r="LUS1590" i="1"/>
  <c r="LUR1590" i="1"/>
  <c r="LUQ1590" i="1"/>
  <c r="LUP1590" i="1"/>
  <c r="LUO1590" i="1"/>
  <c r="LUN1590" i="1"/>
  <c r="LUM1590" i="1"/>
  <c r="LUL1590" i="1"/>
  <c r="LUK1590" i="1"/>
  <c r="LUJ1590" i="1"/>
  <c r="LUI1590" i="1"/>
  <c r="LUH1590" i="1"/>
  <c r="LUG1590" i="1"/>
  <c r="LUF1590" i="1"/>
  <c r="LUE1590" i="1"/>
  <c r="LUD1590" i="1"/>
  <c r="LUC1590" i="1"/>
  <c r="LUB1590" i="1"/>
  <c r="LUA1590" i="1"/>
  <c r="LTZ1590" i="1"/>
  <c r="LTY1590" i="1"/>
  <c r="LTX1590" i="1"/>
  <c r="LTW1590" i="1"/>
  <c r="LTV1590" i="1"/>
  <c r="LTU1590" i="1"/>
  <c r="LTT1590" i="1"/>
  <c r="LTS1590" i="1"/>
  <c r="LTR1590" i="1"/>
  <c r="LTQ1590" i="1"/>
  <c r="LTP1590" i="1"/>
  <c r="LTO1590" i="1"/>
  <c r="LTN1590" i="1"/>
  <c r="LTM1590" i="1"/>
  <c r="LTL1590" i="1"/>
  <c r="LTK1590" i="1"/>
  <c r="LTJ1590" i="1"/>
  <c r="LTI1590" i="1"/>
  <c r="LTH1590" i="1"/>
  <c r="LTG1590" i="1"/>
  <c r="LTF1590" i="1"/>
  <c r="LTE1590" i="1"/>
  <c r="LTD1590" i="1"/>
  <c r="LTC1590" i="1"/>
  <c r="LTB1590" i="1"/>
  <c r="LTA1590" i="1"/>
  <c r="LSZ1590" i="1"/>
  <c r="LSY1590" i="1"/>
  <c r="LSX1590" i="1"/>
  <c r="LSW1590" i="1"/>
  <c r="LSV1590" i="1"/>
  <c r="LSU1590" i="1"/>
  <c r="LST1590" i="1"/>
  <c r="LSS1590" i="1"/>
  <c r="LSR1590" i="1"/>
  <c r="LSQ1590" i="1"/>
  <c r="LSP1590" i="1"/>
  <c r="LSO1590" i="1"/>
  <c r="LSN1590" i="1"/>
  <c r="LSM1590" i="1"/>
  <c r="LSL1590" i="1"/>
  <c r="LSK1590" i="1"/>
  <c r="LSJ1590" i="1"/>
  <c r="LSI1590" i="1"/>
  <c r="LSH1590" i="1"/>
  <c r="LSG1590" i="1"/>
  <c r="LSF1590" i="1"/>
  <c r="LSE1590" i="1"/>
  <c r="LSD1590" i="1"/>
  <c r="LSC1590" i="1"/>
  <c r="LSB1590" i="1"/>
  <c r="LSA1590" i="1"/>
  <c r="LRZ1590" i="1"/>
  <c r="LRY1590" i="1"/>
  <c r="LRX1590" i="1"/>
  <c r="LRW1590" i="1"/>
  <c r="LRV1590" i="1"/>
  <c r="LRU1590" i="1"/>
  <c r="LRT1590" i="1"/>
  <c r="LRS1590" i="1"/>
  <c r="LRR1590" i="1"/>
  <c r="LRQ1590" i="1"/>
  <c r="LRP1590" i="1"/>
  <c r="LRO1590" i="1"/>
  <c r="LRN1590" i="1"/>
  <c r="LRM1590" i="1"/>
  <c r="LRL1590" i="1"/>
  <c r="LRK1590" i="1"/>
  <c r="LRJ1590" i="1"/>
  <c r="LRI1590" i="1"/>
  <c r="LRH1590" i="1"/>
  <c r="LRG1590" i="1"/>
  <c r="LRF1590" i="1"/>
  <c r="LRE1590" i="1"/>
  <c r="LRD1590" i="1"/>
  <c r="LRC1590" i="1"/>
  <c r="LRB1590" i="1"/>
  <c r="LRA1590" i="1"/>
  <c r="LQZ1590" i="1"/>
  <c r="LQY1590" i="1"/>
  <c r="LQX1590" i="1"/>
  <c r="LQW1590" i="1"/>
  <c r="LQV1590" i="1"/>
  <c r="LQU1590" i="1"/>
  <c r="LQT1590" i="1"/>
  <c r="LQS1590" i="1"/>
  <c r="LQR1590" i="1"/>
  <c r="LQQ1590" i="1"/>
  <c r="LQP1590" i="1"/>
  <c r="LQO1590" i="1"/>
  <c r="LQN1590" i="1"/>
  <c r="LQM1590" i="1"/>
  <c r="LQL1590" i="1"/>
  <c r="LQK1590" i="1"/>
  <c r="LQJ1590" i="1"/>
  <c r="LQI1590" i="1"/>
  <c r="LQH1590" i="1"/>
  <c r="LQG1590" i="1"/>
  <c r="LQF1590" i="1"/>
  <c r="LQE1590" i="1"/>
  <c r="LQD1590" i="1"/>
  <c r="LQC1590" i="1"/>
  <c r="LQB1590" i="1"/>
  <c r="LQA1590" i="1"/>
  <c r="LPZ1590" i="1"/>
  <c r="LPY1590" i="1"/>
  <c r="LPX1590" i="1"/>
  <c r="LPW1590" i="1"/>
  <c r="LPV1590" i="1"/>
  <c r="LPU1590" i="1"/>
  <c r="LPT1590" i="1"/>
  <c r="LPS1590" i="1"/>
  <c r="LPR1590" i="1"/>
  <c r="LPQ1590" i="1"/>
  <c r="LPP1590" i="1"/>
  <c r="LPO1590" i="1"/>
  <c r="LPN1590" i="1"/>
  <c r="LPM1590" i="1"/>
  <c r="LPL1590" i="1"/>
  <c r="LPK1590" i="1"/>
  <c r="LPJ1590" i="1"/>
  <c r="LPI1590" i="1"/>
  <c r="LPH1590" i="1"/>
  <c r="LPG1590" i="1"/>
  <c r="LPF1590" i="1"/>
  <c r="LPE1590" i="1"/>
  <c r="LPD1590" i="1"/>
  <c r="LPC1590" i="1"/>
  <c r="LPB1590" i="1"/>
  <c r="LPA1590" i="1"/>
  <c r="LOZ1590" i="1"/>
  <c r="LOY1590" i="1"/>
  <c r="LOX1590" i="1"/>
  <c r="LOW1590" i="1"/>
  <c r="LOV1590" i="1"/>
  <c r="LOU1590" i="1"/>
  <c r="LOT1590" i="1"/>
  <c r="LOS1590" i="1"/>
  <c r="LOR1590" i="1"/>
  <c r="LOQ1590" i="1"/>
  <c r="LOP1590" i="1"/>
  <c r="LOO1590" i="1"/>
  <c r="LON1590" i="1"/>
  <c r="LOM1590" i="1"/>
  <c r="LOL1590" i="1"/>
  <c r="LOK1590" i="1"/>
  <c r="LOJ1590" i="1"/>
  <c r="LOI1590" i="1"/>
  <c r="LOH1590" i="1"/>
  <c r="LOG1590" i="1"/>
  <c r="LOF1590" i="1"/>
  <c r="LOE1590" i="1"/>
  <c r="LOD1590" i="1"/>
  <c r="LOC1590" i="1"/>
  <c r="LOB1590" i="1"/>
  <c r="LOA1590" i="1"/>
  <c r="LNZ1590" i="1"/>
  <c r="LNY1590" i="1"/>
  <c r="LNX1590" i="1"/>
  <c r="LNW1590" i="1"/>
  <c r="LNV1590" i="1"/>
  <c r="LNU1590" i="1"/>
  <c r="LNT1590" i="1"/>
  <c r="LNS1590" i="1"/>
  <c r="LNR1590" i="1"/>
  <c r="LNQ1590" i="1"/>
  <c r="LNP1590" i="1"/>
  <c r="LNO1590" i="1"/>
  <c r="LNN1590" i="1"/>
  <c r="LNM1590" i="1"/>
  <c r="LNL1590" i="1"/>
  <c r="LNK1590" i="1"/>
  <c r="LNJ1590" i="1"/>
  <c r="LNI1590" i="1"/>
  <c r="LNH1590" i="1"/>
  <c r="LNG1590" i="1"/>
  <c r="LNF1590" i="1"/>
  <c r="LNE1590" i="1"/>
  <c r="LND1590" i="1"/>
  <c r="LNC1590" i="1"/>
  <c r="LNB1590" i="1"/>
  <c r="LNA1590" i="1"/>
  <c r="LMZ1590" i="1"/>
  <c r="LMY1590" i="1"/>
  <c r="LMX1590" i="1"/>
  <c r="LMW1590" i="1"/>
  <c r="LMV1590" i="1"/>
  <c r="LMU1590" i="1"/>
  <c r="LMT1590" i="1"/>
  <c r="LMS1590" i="1"/>
  <c r="LMR1590" i="1"/>
  <c r="LMQ1590" i="1"/>
  <c r="LMP1590" i="1"/>
  <c r="LMO1590" i="1"/>
  <c r="LMN1590" i="1"/>
  <c r="LMM1590" i="1"/>
  <c r="LML1590" i="1"/>
  <c r="LMK1590" i="1"/>
  <c r="LMJ1590" i="1"/>
  <c r="LMI1590" i="1"/>
  <c r="LMH1590" i="1"/>
  <c r="LMG1590" i="1"/>
  <c r="LMF1590" i="1"/>
  <c r="LME1590" i="1"/>
  <c r="LMD1590" i="1"/>
  <c r="LMC1590" i="1"/>
  <c r="LMB1590" i="1"/>
  <c r="LMA1590" i="1"/>
  <c r="LLZ1590" i="1"/>
  <c r="LLY1590" i="1"/>
  <c r="LLX1590" i="1"/>
  <c r="LLW1590" i="1"/>
  <c r="LLV1590" i="1"/>
  <c r="LLU1590" i="1"/>
  <c r="LLT1590" i="1"/>
  <c r="LLS1590" i="1"/>
  <c r="LLR1590" i="1"/>
  <c r="LLQ1590" i="1"/>
  <c r="LLP1590" i="1"/>
  <c r="LLO1590" i="1"/>
  <c r="LLN1590" i="1"/>
  <c r="LLM1590" i="1"/>
  <c r="LLL1590" i="1"/>
  <c r="LLK1590" i="1"/>
  <c r="LLJ1590" i="1"/>
  <c r="LLI1590" i="1"/>
  <c r="LLH1590" i="1"/>
  <c r="LLG1590" i="1"/>
  <c r="LLF1590" i="1"/>
  <c r="LLE1590" i="1"/>
  <c r="LLD1590" i="1"/>
  <c r="LLC1590" i="1"/>
  <c r="LLB1590" i="1"/>
  <c r="LLA1590" i="1"/>
  <c r="LKZ1590" i="1"/>
  <c r="LKY1590" i="1"/>
  <c r="LKX1590" i="1"/>
  <c r="LKW1590" i="1"/>
  <c r="LKV1590" i="1"/>
  <c r="LKU1590" i="1"/>
  <c r="LKT1590" i="1"/>
  <c r="LKS1590" i="1"/>
  <c r="LKR1590" i="1"/>
  <c r="LKQ1590" i="1"/>
  <c r="LKP1590" i="1"/>
  <c r="LKO1590" i="1"/>
  <c r="LKN1590" i="1"/>
  <c r="LKM1590" i="1"/>
  <c r="LKL1590" i="1"/>
  <c r="LKK1590" i="1"/>
  <c r="LKJ1590" i="1"/>
  <c r="LKI1590" i="1"/>
  <c r="LKH1590" i="1"/>
  <c r="LKG1590" i="1"/>
  <c r="LKF1590" i="1"/>
  <c r="LKE1590" i="1"/>
  <c r="LKD1590" i="1"/>
  <c r="LKC1590" i="1"/>
  <c r="LKB1590" i="1"/>
  <c r="LKA1590" i="1"/>
  <c r="LJZ1590" i="1"/>
  <c r="LJY1590" i="1"/>
  <c r="LJX1590" i="1"/>
  <c r="LJW1590" i="1"/>
  <c r="LJV1590" i="1"/>
  <c r="LJU1590" i="1"/>
  <c r="LJT1590" i="1"/>
  <c r="LJS1590" i="1"/>
  <c r="LJR1590" i="1"/>
  <c r="LJQ1590" i="1"/>
  <c r="LJP1590" i="1"/>
  <c r="LJO1590" i="1"/>
  <c r="LJN1590" i="1"/>
  <c r="LJM1590" i="1"/>
  <c r="LJL1590" i="1"/>
  <c r="LJK1590" i="1"/>
  <c r="LJJ1590" i="1"/>
  <c r="LJI1590" i="1"/>
  <c r="LJH1590" i="1"/>
  <c r="LJG1590" i="1"/>
  <c r="LJF1590" i="1"/>
  <c r="LJE1590" i="1"/>
  <c r="LJD1590" i="1"/>
  <c r="LJC1590" i="1"/>
  <c r="LJB1590" i="1"/>
  <c r="LJA1590" i="1"/>
  <c r="LIZ1590" i="1"/>
  <c r="LIY1590" i="1"/>
  <c r="LIX1590" i="1"/>
  <c r="LIW1590" i="1"/>
  <c r="LIV1590" i="1"/>
  <c r="LIU1590" i="1"/>
  <c r="LIT1590" i="1"/>
  <c r="LIS1590" i="1"/>
  <c r="LIR1590" i="1"/>
  <c r="LIQ1590" i="1"/>
  <c r="LIP1590" i="1"/>
  <c r="LIO1590" i="1"/>
  <c r="LIN1590" i="1"/>
  <c r="LIM1590" i="1"/>
  <c r="LIL1590" i="1"/>
  <c r="LIK1590" i="1"/>
  <c r="LIJ1590" i="1"/>
  <c r="LII1590" i="1"/>
  <c r="LIH1590" i="1"/>
  <c r="LIG1590" i="1"/>
  <c r="LIF1590" i="1"/>
  <c r="LIE1590" i="1"/>
  <c r="LID1590" i="1"/>
  <c r="LIC1590" i="1"/>
  <c r="LIB1590" i="1"/>
  <c r="LIA1590" i="1"/>
  <c r="LHZ1590" i="1"/>
  <c r="LHY1590" i="1"/>
  <c r="LHX1590" i="1"/>
  <c r="LHW1590" i="1"/>
  <c r="LHV1590" i="1"/>
  <c r="LHU1590" i="1"/>
  <c r="LHT1590" i="1"/>
  <c r="LHS1590" i="1"/>
  <c r="LHR1590" i="1"/>
  <c r="LHQ1590" i="1"/>
  <c r="LHP1590" i="1"/>
  <c r="LHO1590" i="1"/>
  <c r="LHN1590" i="1"/>
  <c r="LHM1590" i="1"/>
  <c r="LHL1590" i="1"/>
  <c r="LHK1590" i="1"/>
  <c r="LHJ1590" i="1"/>
  <c r="LHI1590" i="1"/>
  <c r="LHH1590" i="1"/>
  <c r="LHG1590" i="1"/>
  <c r="LHF1590" i="1"/>
  <c r="LHE1590" i="1"/>
  <c r="LHD1590" i="1"/>
  <c r="LHC1590" i="1"/>
  <c r="LHB1590" i="1"/>
  <c r="LHA1590" i="1"/>
  <c r="LGZ1590" i="1"/>
  <c r="LGY1590" i="1"/>
  <c r="LGX1590" i="1"/>
  <c r="LGW1590" i="1"/>
  <c r="LGV1590" i="1"/>
  <c r="LGU1590" i="1"/>
  <c r="LGT1590" i="1"/>
  <c r="LGS1590" i="1"/>
  <c r="LGR1590" i="1"/>
  <c r="LGQ1590" i="1"/>
  <c r="LGP1590" i="1"/>
  <c r="LGO1590" i="1"/>
  <c r="LGN1590" i="1"/>
  <c r="LGM1590" i="1"/>
  <c r="LGL1590" i="1"/>
  <c r="LGK1590" i="1"/>
  <c r="LGJ1590" i="1"/>
  <c r="LGI1590" i="1"/>
  <c r="LGH1590" i="1"/>
  <c r="LGG1590" i="1"/>
  <c r="LGF1590" i="1"/>
  <c r="LGE1590" i="1"/>
  <c r="LGD1590" i="1"/>
  <c r="LGC1590" i="1"/>
  <c r="LGB1590" i="1"/>
  <c r="LGA1590" i="1"/>
  <c r="LFZ1590" i="1"/>
  <c r="LFY1590" i="1"/>
  <c r="LFX1590" i="1"/>
  <c r="LFW1590" i="1"/>
  <c r="LFV1590" i="1"/>
  <c r="LFU1590" i="1"/>
  <c r="LFT1590" i="1"/>
  <c r="LFS1590" i="1"/>
  <c r="LFR1590" i="1"/>
  <c r="LFQ1590" i="1"/>
  <c r="LFP1590" i="1"/>
  <c r="LFO1590" i="1"/>
  <c r="LFN1590" i="1"/>
  <c r="LFM1590" i="1"/>
  <c r="LFL1590" i="1"/>
  <c r="LFK1590" i="1"/>
  <c r="LFJ1590" i="1"/>
  <c r="LFI1590" i="1"/>
  <c r="LFH1590" i="1"/>
  <c r="LFG1590" i="1"/>
  <c r="LFF1590" i="1"/>
  <c r="LFE1590" i="1"/>
  <c r="LFD1590" i="1"/>
  <c r="LFC1590" i="1"/>
  <c r="LFB1590" i="1"/>
  <c r="LFA1590" i="1"/>
  <c r="LEZ1590" i="1"/>
  <c r="LEY1590" i="1"/>
  <c r="LEX1590" i="1"/>
  <c r="LEW1590" i="1"/>
  <c r="LEV1590" i="1"/>
  <c r="LEU1590" i="1"/>
  <c r="LET1590" i="1"/>
  <c r="LES1590" i="1"/>
  <c r="LER1590" i="1"/>
  <c r="LEQ1590" i="1"/>
  <c r="LEP1590" i="1"/>
  <c r="LEO1590" i="1"/>
  <c r="LEN1590" i="1"/>
  <c r="LEM1590" i="1"/>
  <c r="LEL1590" i="1"/>
  <c r="LEK1590" i="1"/>
  <c r="LEJ1590" i="1"/>
  <c r="LEI1590" i="1"/>
  <c r="LEH1590" i="1"/>
  <c r="LEG1590" i="1"/>
  <c r="LEF1590" i="1"/>
  <c r="LEE1590" i="1"/>
  <c r="LED1590" i="1"/>
  <c r="LEC1590" i="1"/>
  <c r="LEB1590" i="1"/>
  <c r="LEA1590" i="1"/>
  <c r="LDZ1590" i="1"/>
  <c r="LDY1590" i="1"/>
  <c r="LDX1590" i="1"/>
  <c r="LDW1590" i="1"/>
  <c r="LDV1590" i="1"/>
  <c r="LDU1590" i="1"/>
  <c r="LDT1590" i="1"/>
  <c r="LDS1590" i="1"/>
  <c r="LDR1590" i="1"/>
  <c r="LDQ1590" i="1"/>
  <c r="LDP1590" i="1"/>
  <c r="LDO1590" i="1"/>
  <c r="LDN1590" i="1"/>
  <c r="LDM1590" i="1"/>
  <c r="LDL1590" i="1"/>
  <c r="LDK1590" i="1"/>
  <c r="LDJ1590" i="1"/>
  <c r="LDI1590" i="1"/>
  <c r="LDH1590" i="1"/>
  <c r="LDG1590" i="1"/>
  <c r="LDF1590" i="1"/>
  <c r="LDE1590" i="1"/>
  <c r="LDD1590" i="1"/>
  <c r="LDC1590" i="1"/>
  <c r="LDB1590" i="1"/>
  <c r="LDA1590" i="1"/>
  <c r="LCZ1590" i="1"/>
  <c r="LCY1590" i="1"/>
  <c r="LCX1590" i="1"/>
  <c r="LCW1590" i="1"/>
  <c r="LCV1590" i="1"/>
  <c r="LCU1590" i="1"/>
  <c r="LCT1590" i="1"/>
  <c r="LCS1590" i="1"/>
  <c r="LCR1590" i="1"/>
  <c r="LCQ1590" i="1"/>
  <c r="LCP1590" i="1"/>
  <c r="LCO1590" i="1"/>
  <c r="LCN1590" i="1"/>
  <c r="LCM1590" i="1"/>
  <c r="LCL1590" i="1"/>
  <c r="LCK1590" i="1"/>
  <c r="LCJ1590" i="1"/>
  <c r="LCI1590" i="1"/>
  <c r="LCH1590" i="1"/>
  <c r="LCG1590" i="1"/>
  <c r="LCF1590" i="1"/>
  <c r="LCE1590" i="1"/>
  <c r="LCD1590" i="1"/>
  <c r="LCC1590" i="1"/>
  <c r="LCB1590" i="1"/>
  <c r="LCA1590" i="1"/>
  <c r="LBZ1590" i="1"/>
  <c r="LBY1590" i="1"/>
  <c r="LBX1590" i="1"/>
  <c r="LBW1590" i="1"/>
  <c r="LBV1590" i="1"/>
  <c r="LBU1590" i="1"/>
  <c r="LBT1590" i="1"/>
  <c r="LBS1590" i="1"/>
  <c r="LBR1590" i="1"/>
  <c r="LBQ1590" i="1"/>
  <c r="LBP1590" i="1"/>
  <c r="LBO1590" i="1"/>
  <c r="LBN1590" i="1"/>
  <c r="LBM1590" i="1"/>
  <c r="LBL1590" i="1"/>
  <c r="LBK1590" i="1"/>
  <c r="LBJ1590" i="1"/>
  <c r="LBI1590" i="1"/>
  <c r="LBH1590" i="1"/>
  <c r="LBG1590" i="1"/>
  <c r="LBF1590" i="1"/>
  <c r="LBE1590" i="1"/>
  <c r="LBD1590" i="1"/>
  <c r="LBC1590" i="1"/>
  <c r="LBB1590" i="1"/>
  <c r="LBA1590" i="1"/>
  <c r="LAZ1590" i="1"/>
  <c r="LAY1590" i="1"/>
  <c r="LAX1590" i="1"/>
  <c r="LAW1590" i="1"/>
  <c r="LAV1590" i="1"/>
  <c r="LAU1590" i="1"/>
  <c r="LAT1590" i="1"/>
  <c r="LAS1590" i="1"/>
  <c r="LAR1590" i="1"/>
  <c r="LAQ1590" i="1"/>
  <c r="LAP1590" i="1"/>
  <c r="LAO1590" i="1"/>
  <c r="LAN1590" i="1"/>
  <c r="LAM1590" i="1"/>
  <c r="LAL1590" i="1"/>
  <c r="LAK1590" i="1"/>
  <c r="LAJ1590" i="1"/>
  <c r="LAI1590" i="1"/>
  <c r="LAH1590" i="1"/>
  <c r="LAG1590" i="1"/>
  <c r="LAF1590" i="1"/>
  <c r="LAE1590" i="1"/>
  <c r="LAD1590" i="1"/>
  <c r="LAC1590" i="1"/>
  <c r="LAB1590" i="1"/>
  <c r="LAA1590" i="1"/>
  <c r="KZZ1590" i="1"/>
  <c r="KZY1590" i="1"/>
  <c r="KZX1590" i="1"/>
  <c r="KZW1590" i="1"/>
  <c r="KZV1590" i="1"/>
  <c r="KZU1590" i="1"/>
  <c r="KZT1590" i="1"/>
  <c r="KZS1590" i="1"/>
  <c r="KZR1590" i="1"/>
  <c r="KZQ1590" i="1"/>
  <c r="KZP1590" i="1"/>
  <c r="KZO1590" i="1"/>
  <c r="KZN1590" i="1"/>
  <c r="KZM1590" i="1"/>
  <c r="KZL1590" i="1"/>
  <c r="KZK1590" i="1"/>
  <c r="KZJ1590" i="1"/>
  <c r="KZI1590" i="1"/>
  <c r="KZH1590" i="1"/>
  <c r="KZG1590" i="1"/>
  <c r="KZF1590" i="1"/>
  <c r="KZE1590" i="1"/>
  <c r="KZD1590" i="1"/>
  <c r="KZC1590" i="1"/>
  <c r="KZB1590" i="1"/>
  <c r="KZA1590" i="1"/>
  <c r="KYZ1590" i="1"/>
  <c r="KYY1590" i="1"/>
  <c r="KYX1590" i="1"/>
  <c r="KYW1590" i="1"/>
  <c r="KYV1590" i="1"/>
  <c r="KYU1590" i="1"/>
  <c r="KYT1590" i="1"/>
  <c r="KYS1590" i="1"/>
  <c r="KYR1590" i="1"/>
  <c r="KYQ1590" i="1"/>
  <c r="KYP1590" i="1"/>
  <c r="KYO1590" i="1"/>
  <c r="KYN1590" i="1"/>
  <c r="KYM1590" i="1"/>
  <c r="KYL1590" i="1"/>
  <c r="KYK1590" i="1"/>
  <c r="KYJ1590" i="1"/>
  <c r="KYI1590" i="1"/>
  <c r="KYH1590" i="1"/>
  <c r="KYG1590" i="1"/>
  <c r="KYF1590" i="1"/>
  <c r="KYE1590" i="1"/>
  <c r="KYD1590" i="1"/>
  <c r="KYC1590" i="1"/>
  <c r="KYB1590" i="1"/>
  <c r="KYA1590" i="1"/>
  <c r="KXZ1590" i="1"/>
  <c r="KXY1590" i="1"/>
  <c r="KXX1590" i="1"/>
  <c r="KXW1590" i="1"/>
  <c r="KXV1590" i="1"/>
  <c r="KXU1590" i="1"/>
  <c r="KXT1590" i="1"/>
  <c r="KXS1590" i="1"/>
  <c r="KXR1590" i="1"/>
  <c r="KXQ1590" i="1"/>
  <c r="KXP1590" i="1"/>
  <c r="KXO1590" i="1"/>
  <c r="KXN1590" i="1"/>
  <c r="KXM1590" i="1"/>
  <c r="KXL1590" i="1"/>
  <c r="KXK1590" i="1"/>
  <c r="KXJ1590" i="1"/>
  <c r="KXI1590" i="1"/>
  <c r="KXH1590" i="1"/>
  <c r="KXG1590" i="1"/>
  <c r="KXF1590" i="1"/>
  <c r="KXE1590" i="1"/>
  <c r="KXD1590" i="1"/>
  <c r="KXC1590" i="1"/>
  <c r="KXB1590" i="1"/>
  <c r="KXA1590" i="1"/>
  <c r="KWZ1590" i="1"/>
  <c r="KWY1590" i="1"/>
  <c r="KWX1590" i="1"/>
  <c r="KWW1590" i="1"/>
  <c r="KWV1590" i="1"/>
  <c r="KWU1590" i="1"/>
  <c r="KWT1590" i="1"/>
  <c r="KWS1590" i="1"/>
  <c r="KWR1590" i="1"/>
  <c r="KWQ1590" i="1"/>
  <c r="KWP1590" i="1"/>
  <c r="KWO1590" i="1"/>
  <c r="KWN1590" i="1"/>
  <c r="KWM1590" i="1"/>
  <c r="KWL1590" i="1"/>
  <c r="KWK1590" i="1"/>
  <c r="KWJ1590" i="1"/>
  <c r="KWI1590" i="1"/>
  <c r="KWH1590" i="1"/>
  <c r="KWG1590" i="1"/>
  <c r="KWF1590" i="1"/>
  <c r="KWE1590" i="1"/>
  <c r="KWD1590" i="1"/>
  <c r="KWC1590" i="1"/>
  <c r="KWB1590" i="1"/>
  <c r="KWA1590" i="1"/>
  <c r="KVZ1590" i="1"/>
  <c r="KVY1590" i="1"/>
  <c r="KVX1590" i="1"/>
  <c r="KVW1590" i="1"/>
  <c r="KVV1590" i="1"/>
  <c r="KVU1590" i="1"/>
  <c r="KVT1590" i="1"/>
  <c r="KVS1590" i="1"/>
  <c r="KVR1590" i="1"/>
  <c r="KVQ1590" i="1"/>
  <c r="KVP1590" i="1"/>
  <c r="KVO1590" i="1"/>
  <c r="KVN1590" i="1"/>
  <c r="KVM1590" i="1"/>
  <c r="KVL1590" i="1"/>
  <c r="KVK1590" i="1"/>
  <c r="KVJ1590" i="1"/>
  <c r="KVI1590" i="1"/>
  <c r="KVH1590" i="1"/>
  <c r="KVG1590" i="1"/>
  <c r="KVF1590" i="1"/>
  <c r="KVE1590" i="1"/>
  <c r="KVD1590" i="1"/>
  <c r="KVC1590" i="1"/>
  <c r="KVB1590" i="1"/>
  <c r="KVA1590" i="1"/>
  <c r="KUZ1590" i="1"/>
  <c r="KUY1590" i="1"/>
  <c r="KUX1590" i="1"/>
  <c r="KUW1590" i="1"/>
  <c r="KUV1590" i="1"/>
  <c r="KUU1590" i="1"/>
  <c r="KUT1590" i="1"/>
  <c r="KUS1590" i="1"/>
  <c r="KUR1590" i="1"/>
  <c r="KUQ1590" i="1"/>
  <c r="KUP1590" i="1"/>
  <c r="KUO1590" i="1"/>
  <c r="KUN1590" i="1"/>
  <c r="KUM1590" i="1"/>
  <c r="KUL1590" i="1"/>
  <c r="KUK1590" i="1"/>
  <c r="KUJ1590" i="1"/>
  <c r="KUI1590" i="1"/>
  <c r="KUH1590" i="1"/>
  <c r="KUG1590" i="1"/>
  <c r="KUF1590" i="1"/>
  <c r="KUE1590" i="1"/>
  <c r="KUD1590" i="1"/>
  <c r="KUC1590" i="1"/>
  <c r="KUB1590" i="1"/>
  <c r="KUA1590" i="1"/>
  <c r="KTZ1590" i="1"/>
  <c r="KTY1590" i="1"/>
  <c r="KTX1590" i="1"/>
  <c r="KTW1590" i="1"/>
  <c r="KTV1590" i="1"/>
  <c r="KTU1590" i="1"/>
  <c r="KTT1590" i="1"/>
  <c r="KTS1590" i="1"/>
  <c r="KTR1590" i="1"/>
  <c r="KTQ1590" i="1"/>
  <c r="KTP1590" i="1"/>
  <c r="KTO1590" i="1"/>
  <c r="KTN1590" i="1"/>
  <c r="KTM1590" i="1"/>
  <c r="KTL1590" i="1"/>
  <c r="KTK1590" i="1"/>
  <c r="KTJ1590" i="1"/>
  <c r="KTI1590" i="1"/>
  <c r="KTH1590" i="1"/>
  <c r="KTG1590" i="1"/>
  <c r="KTF1590" i="1"/>
  <c r="KTE1590" i="1"/>
  <c r="KTD1590" i="1"/>
  <c r="KTC1590" i="1"/>
  <c r="KTB1590" i="1"/>
  <c r="KTA1590" i="1"/>
  <c r="KSZ1590" i="1"/>
  <c r="KSY1590" i="1"/>
  <c r="KSX1590" i="1"/>
  <c r="KSW1590" i="1"/>
  <c r="KSV1590" i="1"/>
  <c r="KSU1590" i="1"/>
  <c r="KST1590" i="1"/>
  <c r="KSS1590" i="1"/>
  <c r="KSR1590" i="1"/>
  <c r="KSQ1590" i="1"/>
  <c r="KSP1590" i="1"/>
  <c r="KSO1590" i="1"/>
  <c r="KSN1590" i="1"/>
  <c r="KSM1590" i="1"/>
  <c r="KSL1590" i="1"/>
  <c r="KSK1590" i="1"/>
  <c r="KSJ1590" i="1"/>
  <c r="KSI1590" i="1"/>
  <c r="KSH1590" i="1"/>
  <c r="KSG1590" i="1"/>
  <c r="KSF1590" i="1"/>
  <c r="KSE1590" i="1"/>
  <c r="KSD1590" i="1"/>
  <c r="KSC1590" i="1"/>
  <c r="KSB1590" i="1"/>
  <c r="KSA1590" i="1"/>
  <c r="KRZ1590" i="1"/>
  <c r="KRY1590" i="1"/>
  <c r="KRX1590" i="1"/>
  <c r="KRW1590" i="1"/>
  <c r="KRV1590" i="1"/>
  <c r="KRU1590" i="1"/>
  <c r="KRT1590" i="1"/>
  <c r="KRS1590" i="1"/>
  <c r="KRR1590" i="1"/>
  <c r="KRQ1590" i="1"/>
  <c r="KRP1590" i="1"/>
  <c r="KRO1590" i="1"/>
  <c r="KRN1590" i="1"/>
  <c r="KRM1590" i="1"/>
  <c r="KRL1590" i="1"/>
  <c r="KRK1590" i="1"/>
  <c r="KRJ1590" i="1"/>
  <c r="KRI1590" i="1"/>
  <c r="KRH1590" i="1"/>
  <c r="KRG1590" i="1"/>
  <c r="KRF1590" i="1"/>
  <c r="KRE1590" i="1"/>
  <c r="KRD1590" i="1"/>
  <c r="KRC1590" i="1"/>
  <c r="KRB1590" i="1"/>
  <c r="KRA1590" i="1"/>
  <c r="KQZ1590" i="1"/>
  <c r="KQY1590" i="1"/>
  <c r="KQX1590" i="1"/>
  <c r="KQW1590" i="1"/>
  <c r="KQV1590" i="1"/>
  <c r="KQU1590" i="1"/>
  <c r="KQT1590" i="1"/>
  <c r="KQS1590" i="1"/>
  <c r="KQR1590" i="1"/>
  <c r="KQQ1590" i="1"/>
  <c r="KQP1590" i="1"/>
  <c r="KQO1590" i="1"/>
  <c r="KQN1590" i="1"/>
  <c r="KQM1590" i="1"/>
  <c r="KQL1590" i="1"/>
  <c r="KQK1590" i="1"/>
  <c r="KQJ1590" i="1"/>
  <c r="KQI1590" i="1"/>
  <c r="KQH1590" i="1"/>
  <c r="KQG1590" i="1"/>
  <c r="KQF1590" i="1"/>
  <c r="KQE1590" i="1"/>
  <c r="KQD1590" i="1"/>
  <c r="KQC1590" i="1"/>
  <c r="KQB1590" i="1"/>
  <c r="KQA1590" i="1"/>
  <c r="KPZ1590" i="1"/>
  <c r="KPY1590" i="1"/>
  <c r="KPX1590" i="1"/>
  <c r="KPW1590" i="1"/>
  <c r="KPV1590" i="1"/>
  <c r="KPU1590" i="1"/>
  <c r="KPT1590" i="1"/>
  <c r="KPS1590" i="1"/>
  <c r="KPR1590" i="1"/>
  <c r="KPQ1590" i="1"/>
  <c r="KPP1590" i="1"/>
  <c r="KPO1590" i="1"/>
  <c r="KPN1590" i="1"/>
  <c r="KPM1590" i="1"/>
  <c r="KPL1590" i="1"/>
  <c r="KPK1590" i="1"/>
  <c r="KPJ1590" i="1"/>
  <c r="KPI1590" i="1"/>
  <c r="KPH1590" i="1"/>
  <c r="KPG1590" i="1"/>
  <c r="KPF1590" i="1"/>
  <c r="KPE1590" i="1"/>
  <c r="KPD1590" i="1"/>
  <c r="KPC1590" i="1"/>
  <c r="KPB1590" i="1"/>
  <c r="KPA1590" i="1"/>
  <c r="KOZ1590" i="1"/>
  <c r="KOY1590" i="1"/>
  <c r="KOX1590" i="1"/>
  <c r="KOW1590" i="1"/>
  <c r="KOV1590" i="1"/>
  <c r="KOU1590" i="1"/>
  <c r="KOT1590" i="1"/>
  <c r="KOS1590" i="1"/>
  <c r="KOR1590" i="1"/>
  <c r="KOQ1590" i="1"/>
  <c r="KOP1590" i="1"/>
  <c r="KOO1590" i="1"/>
  <c r="KON1590" i="1"/>
  <c r="KOM1590" i="1"/>
  <c r="KOL1590" i="1"/>
  <c r="KOK1590" i="1"/>
  <c r="KOJ1590" i="1"/>
  <c r="KOI1590" i="1"/>
  <c r="KOH1590" i="1"/>
  <c r="KOG1590" i="1"/>
  <c r="KOF1590" i="1"/>
  <c r="KOE1590" i="1"/>
  <c r="KOD1590" i="1"/>
  <c r="KOC1590" i="1"/>
  <c r="KOB1590" i="1"/>
  <c r="KOA1590" i="1"/>
  <c r="KNZ1590" i="1"/>
  <c r="KNY1590" i="1"/>
  <c r="KNX1590" i="1"/>
  <c r="KNW1590" i="1"/>
  <c r="KNV1590" i="1"/>
  <c r="KNU1590" i="1"/>
  <c r="KNT1590" i="1"/>
  <c r="KNS1590" i="1"/>
  <c r="KNR1590" i="1"/>
  <c r="KNQ1590" i="1"/>
  <c r="KNP1590" i="1"/>
  <c r="KNO1590" i="1"/>
  <c r="KNN1590" i="1"/>
  <c r="KNM1590" i="1"/>
  <c r="KNL1590" i="1"/>
  <c r="KNK1590" i="1"/>
  <c r="KNJ1590" i="1"/>
  <c r="KNI1590" i="1"/>
  <c r="KNH1590" i="1"/>
  <c r="KNG1590" i="1"/>
  <c r="KNF1590" i="1"/>
  <c r="KNE1590" i="1"/>
  <c r="KND1590" i="1"/>
  <c r="KNC1590" i="1"/>
  <c r="KNB1590" i="1"/>
  <c r="KNA1590" i="1"/>
  <c r="KMZ1590" i="1"/>
  <c r="KMY1590" i="1"/>
  <c r="KMX1590" i="1"/>
  <c r="KMW1590" i="1"/>
  <c r="KMV1590" i="1"/>
  <c r="KMU1590" i="1"/>
  <c r="KMT1590" i="1"/>
  <c r="KMS1590" i="1"/>
  <c r="KMR1590" i="1"/>
  <c r="KMQ1590" i="1"/>
  <c r="KMP1590" i="1"/>
  <c r="KMO1590" i="1"/>
  <c r="KMN1590" i="1"/>
  <c r="KMM1590" i="1"/>
  <c r="KML1590" i="1"/>
  <c r="KMK1590" i="1"/>
  <c r="KMJ1590" i="1"/>
  <c r="KMI1590" i="1"/>
  <c r="KMH1590" i="1"/>
  <c r="KMG1590" i="1"/>
  <c r="KMF1590" i="1"/>
  <c r="KME1590" i="1"/>
  <c r="KMD1590" i="1"/>
  <c r="KMC1590" i="1"/>
  <c r="KMB1590" i="1"/>
  <c r="KMA1590" i="1"/>
  <c r="KLZ1590" i="1"/>
  <c r="KLY1590" i="1"/>
  <c r="KLX1590" i="1"/>
  <c r="KLW1590" i="1"/>
  <c r="KLV1590" i="1"/>
  <c r="KLU1590" i="1"/>
  <c r="KLT1590" i="1"/>
  <c r="KLS1590" i="1"/>
  <c r="KLR1590" i="1"/>
  <c r="KLQ1590" i="1"/>
  <c r="KLP1590" i="1"/>
  <c r="KLO1590" i="1"/>
  <c r="KLN1590" i="1"/>
  <c r="KLM1590" i="1"/>
  <c r="KLL1590" i="1"/>
  <c r="KLK1590" i="1"/>
  <c r="KLJ1590" i="1"/>
  <c r="KLI1590" i="1"/>
  <c r="KLH1590" i="1"/>
  <c r="KLG1590" i="1"/>
  <c r="KLF1590" i="1"/>
  <c r="KLE1590" i="1"/>
  <c r="KLD1590" i="1"/>
  <c r="KLC1590" i="1"/>
  <c r="KLB1590" i="1"/>
  <c r="KLA1590" i="1"/>
  <c r="KKZ1590" i="1"/>
  <c r="KKY1590" i="1"/>
  <c r="KKX1590" i="1"/>
  <c r="KKW1590" i="1"/>
  <c r="KKV1590" i="1"/>
  <c r="KKU1590" i="1"/>
  <c r="KKT1590" i="1"/>
  <c r="KKS1590" i="1"/>
  <c r="KKR1590" i="1"/>
  <c r="KKQ1590" i="1"/>
  <c r="KKP1590" i="1"/>
  <c r="KKO1590" i="1"/>
  <c r="KKN1590" i="1"/>
  <c r="KKM1590" i="1"/>
  <c r="KKL1590" i="1"/>
  <c r="KKK1590" i="1"/>
  <c r="KKJ1590" i="1"/>
  <c r="KKI1590" i="1"/>
  <c r="KKH1590" i="1"/>
  <c r="KKG1590" i="1"/>
  <c r="KKF1590" i="1"/>
  <c r="KKE1590" i="1"/>
  <c r="KKD1590" i="1"/>
  <c r="KKC1590" i="1"/>
  <c r="KKB1590" i="1"/>
  <c r="KKA1590" i="1"/>
  <c r="KJZ1590" i="1"/>
  <c r="KJY1590" i="1"/>
  <c r="KJX1590" i="1"/>
  <c r="KJW1590" i="1"/>
  <c r="KJV1590" i="1"/>
  <c r="KJU1590" i="1"/>
  <c r="KJT1590" i="1"/>
  <c r="KJS1590" i="1"/>
  <c r="KJR1590" i="1"/>
  <c r="KJQ1590" i="1"/>
  <c r="KJP1590" i="1"/>
  <c r="KJO1590" i="1"/>
  <c r="KJN1590" i="1"/>
  <c r="KJM1590" i="1"/>
  <c r="KJL1590" i="1"/>
  <c r="KJK1590" i="1"/>
  <c r="KJJ1590" i="1"/>
  <c r="KJI1590" i="1"/>
  <c r="KJH1590" i="1"/>
  <c r="KJG1590" i="1"/>
  <c r="KJF1590" i="1"/>
  <c r="KJE1590" i="1"/>
  <c r="KJD1590" i="1"/>
  <c r="KJC1590" i="1"/>
  <c r="KJB1590" i="1"/>
  <c r="KJA1590" i="1"/>
  <c r="KIZ1590" i="1"/>
  <c r="KIY1590" i="1"/>
  <c r="KIX1590" i="1"/>
  <c r="KIW1590" i="1"/>
  <c r="KIV1590" i="1"/>
  <c r="KIU1590" i="1"/>
  <c r="KIT1590" i="1"/>
  <c r="KIS1590" i="1"/>
  <c r="KIR1590" i="1"/>
  <c r="KIQ1590" i="1"/>
  <c r="KIP1590" i="1"/>
  <c r="KIO1590" i="1"/>
  <c r="KIN1590" i="1"/>
  <c r="KIM1590" i="1"/>
  <c r="KIL1590" i="1"/>
  <c r="KIK1590" i="1"/>
  <c r="KIJ1590" i="1"/>
  <c r="KII1590" i="1"/>
  <c r="KIH1590" i="1"/>
  <c r="KIG1590" i="1"/>
  <c r="KIF1590" i="1"/>
  <c r="KIE1590" i="1"/>
  <c r="KID1590" i="1"/>
  <c r="KIC1590" i="1"/>
  <c r="KIB1590" i="1"/>
  <c r="KIA1590" i="1"/>
  <c r="KHZ1590" i="1"/>
  <c r="KHY1590" i="1"/>
  <c r="KHX1590" i="1"/>
  <c r="KHW1590" i="1"/>
  <c r="KHV1590" i="1"/>
  <c r="KHU1590" i="1"/>
  <c r="KHT1590" i="1"/>
  <c r="KHS1590" i="1"/>
  <c r="KHR1590" i="1"/>
  <c r="KHQ1590" i="1"/>
  <c r="KHP1590" i="1"/>
  <c r="KHO1590" i="1"/>
  <c r="KHN1590" i="1"/>
  <c r="KHM1590" i="1"/>
  <c r="KHL1590" i="1"/>
  <c r="KHK1590" i="1"/>
  <c r="KHJ1590" i="1"/>
  <c r="KHI1590" i="1"/>
  <c r="KHH1590" i="1"/>
  <c r="KHG1590" i="1"/>
  <c r="KHF1590" i="1"/>
  <c r="KHE1590" i="1"/>
  <c r="KHD1590" i="1"/>
  <c r="KHC1590" i="1"/>
  <c r="KHB1590" i="1"/>
  <c r="KHA1590" i="1"/>
  <c r="KGZ1590" i="1"/>
  <c r="KGY1590" i="1"/>
  <c r="KGX1590" i="1"/>
  <c r="KGW1590" i="1"/>
  <c r="KGV1590" i="1"/>
  <c r="KGU1590" i="1"/>
  <c r="KGT1590" i="1"/>
  <c r="KGS1590" i="1"/>
  <c r="KGR1590" i="1"/>
  <c r="KGQ1590" i="1"/>
  <c r="KGP1590" i="1"/>
  <c r="KGO1590" i="1"/>
  <c r="KGN1590" i="1"/>
  <c r="KGM1590" i="1"/>
  <c r="KGL1590" i="1"/>
  <c r="KGK1590" i="1"/>
  <c r="KGJ1590" i="1"/>
  <c r="KGI1590" i="1"/>
  <c r="KGH1590" i="1"/>
  <c r="KGG1590" i="1"/>
  <c r="KGF1590" i="1"/>
  <c r="KGE1590" i="1"/>
  <c r="KGD1590" i="1"/>
  <c r="KGC1590" i="1"/>
  <c r="KGB1590" i="1"/>
  <c r="KGA1590" i="1"/>
  <c r="KFZ1590" i="1"/>
  <c r="KFY1590" i="1"/>
  <c r="KFX1590" i="1"/>
  <c r="KFW1590" i="1"/>
  <c r="KFV1590" i="1"/>
  <c r="KFU1590" i="1"/>
  <c r="KFT1590" i="1"/>
  <c r="KFS1590" i="1"/>
  <c r="KFR1590" i="1"/>
  <c r="KFQ1590" i="1"/>
  <c r="KFP1590" i="1"/>
  <c r="KFO1590" i="1"/>
  <c r="KFN1590" i="1"/>
  <c r="KFM1590" i="1"/>
  <c r="KFL1590" i="1"/>
  <c r="KFK1590" i="1"/>
  <c r="KFJ1590" i="1"/>
  <c r="KFI1590" i="1"/>
  <c r="KFH1590" i="1"/>
  <c r="KFG1590" i="1"/>
  <c r="KFF1590" i="1"/>
  <c r="KFE1590" i="1"/>
  <c r="KFD1590" i="1"/>
  <c r="KFC1590" i="1"/>
  <c r="KFB1590" i="1"/>
  <c r="KFA1590" i="1"/>
  <c r="KEZ1590" i="1"/>
  <c r="KEY1590" i="1"/>
  <c r="KEX1590" i="1"/>
  <c r="KEW1590" i="1"/>
  <c r="KEV1590" i="1"/>
  <c r="KEU1590" i="1"/>
  <c r="KET1590" i="1"/>
  <c r="KES1590" i="1"/>
  <c r="KER1590" i="1"/>
  <c r="KEQ1590" i="1"/>
  <c r="KEP1590" i="1"/>
  <c r="KEO1590" i="1"/>
  <c r="KEN1590" i="1"/>
  <c r="KEM1590" i="1"/>
  <c r="KEL1590" i="1"/>
  <c r="KEK1590" i="1"/>
  <c r="KEJ1590" i="1"/>
  <c r="KEI1590" i="1"/>
  <c r="KEH1590" i="1"/>
  <c r="KEG1590" i="1"/>
  <c r="KEF1590" i="1"/>
  <c r="KEE1590" i="1"/>
  <c r="KED1590" i="1"/>
  <c r="KEC1590" i="1"/>
  <c r="KEB1590" i="1"/>
  <c r="KEA1590" i="1"/>
  <c r="KDZ1590" i="1"/>
  <c r="KDY1590" i="1"/>
  <c r="KDX1590" i="1"/>
  <c r="KDW1590" i="1"/>
  <c r="KDV1590" i="1"/>
  <c r="KDU1590" i="1"/>
  <c r="KDT1590" i="1"/>
  <c r="KDS1590" i="1"/>
  <c r="KDR1590" i="1"/>
  <c r="KDQ1590" i="1"/>
  <c r="KDP1590" i="1"/>
  <c r="KDO1590" i="1"/>
  <c r="KDN1590" i="1"/>
  <c r="KDM1590" i="1"/>
  <c r="KDL1590" i="1"/>
  <c r="KDK1590" i="1"/>
  <c r="KDJ1590" i="1"/>
  <c r="KDI1590" i="1"/>
  <c r="KDH1590" i="1"/>
  <c r="KDG1590" i="1"/>
  <c r="KDF1590" i="1"/>
  <c r="KDE1590" i="1"/>
  <c r="KDD1590" i="1"/>
  <c r="KDC1590" i="1"/>
  <c r="KDB1590" i="1"/>
  <c r="KDA1590" i="1"/>
  <c r="KCZ1590" i="1"/>
  <c r="KCY1590" i="1"/>
  <c r="KCX1590" i="1"/>
  <c r="KCW1590" i="1"/>
  <c r="KCV1590" i="1"/>
  <c r="KCU1590" i="1"/>
  <c r="KCT1590" i="1"/>
  <c r="KCS1590" i="1"/>
  <c r="KCR1590" i="1"/>
  <c r="KCQ1590" i="1"/>
  <c r="KCP1590" i="1"/>
  <c r="KCO1590" i="1"/>
  <c r="KCN1590" i="1"/>
  <c r="KCM1590" i="1"/>
  <c r="KCL1590" i="1"/>
  <c r="KCK1590" i="1"/>
  <c r="KCJ1590" i="1"/>
  <c r="KCI1590" i="1"/>
  <c r="KCH1590" i="1"/>
  <c r="KCG1590" i="1"/>
  <c r="KCF1590" i="1"/>
  <c r="KCE1590" i="1"/>
  <c r="KCD1590" i="1"/>
  <c r="KCC1590" i="1"/>
  <c r="KCB1590" i="1"/>
  <c r="KCA1590" i="1"/>
  <c r="KBZ1590" i="1"/>
  <c r="KBY1590" i="1"/>
  <c r="KBX1590" i="1"/>
  <c r="KBW1590" i="1"/>
  <c r="KBV1590" i="1"/>
  <c r="KBU1590" i="1"/>
  <c r="KBT1590" i="1"/>
  <c r="KBS1590" i="1"/>
  <c r="KBR1590" i="1"/>
  <c r="KBQ1590" i="1"/>
  <c r="KBP1590" i="1"/>
  <c r="KBO1590" i="1"/>
  <c r="KBN1590" i="1"/>
  <c r="KBM1590" i="1"/>
  <c r="KBL1590" i="1"/>
  <c r="KBK1590" i="1"/>
  <c r="KBJ1590" i="1"/>
  <c r="KBI1590" i="1"/>
  <c r="KBH1590" i="1"/>
  <c r="KBG1590" i="1"/>
  <c r="KBF1590" i="1"/>
  <c r="KBE1590" i="1"/>
  <c r="KBD1590" i="1"/>
  <c r="KBC1590" i="1"/>
  <c r="KBB1590" i="1"/>
  <c r="KBA1590" i="1"/>
  <c r="KAZ1590" i="1"/>
  <c r="KAY1590" i="1"/>
  <c r="KAX1590" i="1"/>
  <c r="KAW1590" i="1"/>
  <c r="KAV1590" i="1"/>
  <c r="KAU1590" i="1"/>
  <c r="KAT1590" i="1"/>
  <c r="KAS1590" i="1"/>
  <c r="KAR1590" i="1"/>
  <c r="KAQ1590" i="1"/>
  <c r="KAP1590" i="1"/>
  <c r="KAO1590" i="1"/>
  <c r="KAN1590" i="1"/>
  <c r="KAM1590" i="1"/>
  <c r="KAL1590" i="1"/>
  <c r="KAK1590" i="1"/>
  <c r="KAJ1590" i="1"/>
  <c r="KAI1590" i="1"/>
  <c r="KAH1590" i="1"/>
  <c r="KAG1590" i="1"/>
  <c r="KAF1590" i="1"/>
  <c r="KAE1590" i="1"/>
  <c r="KAD1590" i="1"/>
  <c r="KAC1590" i="1"/>
  <c r="KAB1590" i="1"/>
  <c r="KAA1590" i="1"/>
  <c r="JZZ1590" i="1"/>
  <c r="JZY1590" i="1"/>
  <c r="JZX1590" i="1"/>
  <c r="JZW1590" i="1"/>
  <c r="JZV1590" i="1"/>
  <c r="JZU1590" i="1"/>
  <c r="JZT1590" i="1"/>
  <c r="JZS1590" i="1"/>
  <c r="JZR1590" i="1"/>
  <c r="JZQ1590" i="1"/>
  <c r="JZP1590" i="1"/>
  <c r="JZO1590" i="1"/>
  <c r="JZN1590" i="1"/>
  <c r="JZM1590" i="1"/>
  <c r="JZL1590" i="1"/>
  <c r="JZK1590" i="1"/>
  <c r="JZJ1590" i="1"/>
  <c r="JZI1590" i="1"/>
  <c r="JZH1590" i="1"/>
  <c r="JZG1590" i="1"/>
  <c r="JZF1590" i="1"/>
  <c r="JZE1590" i="1"/>
  <c r="JZD1590" i="1"/>
  <c r="JZC1590" i="1"/>
  <c r="JZB1590" i="1"/>
  <c r="JZA1590" i="1"/>
  <c r="JYZ1590" i="1"/>
  <c r="JYY1590" i="1"/>
  <c r="JYX1590" i="1"/>
  <c r="JYW1590" i="1"/>
  <c r="JYV1590" i="1"/>
  <c r="JYU1590" i="1"/>
  <c r="JYT1590" i="1"/>
  <c r="JYS1590" i="1"/>
  <c r="JYR1590" i="1"/>
  <c r="JYQ1590" i="1"/>
  <c r="JYP1590" i="1"/>
  <c r="JYO1590" i="1"/>
  <c r="JYN1590" i="1"/>
  <c r="JYM1590" i="1"/>
  <c r="JYL1590" i="1"/>
  <c r="JYK1590" i="1"/>
  <c r="JYJ1590" i="1"/>
  <c r="JYI1590" i="1"/>
  <c r="JYH1590" i="1"/>
  <c r="JYG1590" i="1"/>
  <c r="JYF1590" i="1"/>
  <c r="JYE1590" i="1"/>
  <c r="JYD1590" i="1"/>
  <c r="JYC1590" i="1"/>
  <c r="JYB1590" i="1"/>
  <c r="JYA1590" i="1"/>
  <c r="JXZ1590" i="1"/>
  <c r="JXY1590" i="1"/>
  <c r="JXX1590" i="1"/>
  <c r="JXW1590" i="1"/>
  <c r="JXV1590" i="1"/>
  <c r="JXU1590" i="1"/>
  <c r="JXT1590" i="1"/>
  <c r="JXS1590" i="1"/>
  <c r="JXR1590" i="1"/>
  <c r="JXQ1590" i="1"/>
  <c r="JXP1590" i="1"/>
  <c r="JXO1590" i="1"/>
  <c r="JXN1590" i="1"/>
  <c r="JXM1590" i="1"/>
  <c r="JXL1590" i="1"/>
  <c r="JXK1590" i="1"/>
  <c r="JXJ1590" i="1"/>
  <c r="JXI1590" i="1"/>
  <c r="JXH1590" i="1"/>
  <c r="JXG1590" i="1"/>
  <c r="JXF1590" i="1"/>
  <c r="JXE1590" i="1"/>
  <c r="JXD1590" i="1"/>
  <c r="JXC1590" i="1"/>
  <c r="JXB1590" i="1"/>
  <c r="JXA1590" i="1"/>
  <c r="JWZ1590" i="1"/>
  <c r="JWY1590" i="1"/>
  <c r="JWX1590" i="1"/>
  <c r="JWW1590" i="1"/>
  <c r="JWV1590" i="1"/>
  <c r="JWU1590" i="1"/>
  <c r="JWT1590" i="1"/>
  <c r="JWS1590" i="1"/>
  <c r="JWR1590" i="1"/>
  <c r="JWQ1590" i="1"/>
  <c r="JWP1590" i="1"/>
  <c r="JWO1590" i="1"/>
  <c r="JWN1590" i="1"/>
  <c r="JWM1590" i="1"/>
  <c r="JWL1590" i="1"/>
  <c r="JWK1590" i="1"/>
  <c r="JWJ1590" i="1"/>
  <c r="JWI1590" i="1"/>
  <c r="JWH1590" i="1"/>
  <c r="JWG1590" i="1"/>
  <c r="JWF1590" i="1"/>
  <c r="JWE1590" i="1"/>
  <c r="JWD1590" i="1"/>
  <c r="JWC1590" i="1"/>
  <c r="JWB1590" i="1"/>
  <c r="JWA1590" i="1"/>
  <c r="JVZ1590" i="1"/>
  <c r="JVY1590" i="1"/>
  <c r="JVX1590" i="1"/>
  <c r="JVW1590" i="1"/>
  <c r="JVV1590" i="1"/>
  <c r="JVU1590" i="1"/>
  <c r="JVT1590" i="1"/>
  <c r="JVS1590" i="1"/>
  <c r="JVR1590" i="1"/>
  <c r="JVQ1590" i="1"/>
  <c r="JVP1590" i="1"/>
  <c r="JVO1590" i="1"/>
  <c r="JVN1590" i="1"/>
  <c r="JVM1590" i="1"/>
  <c r="JVL1590" i="1"/>
  <c r="JVK1590" i="1"/>
  <c r="JVJ1590" i="1"/>
  <c r="JVI1590" i="1"/>
  <c r="JVH1590" i="1"/>
  <c r="JVG1590" i="1"/>
  <c r="JVF1590" i="1"/>
  <c r="JVE1590" i="1"/>
  <c r="JVD1590" i="1"/>
  <c r="JVC1590" i="1"/>
  <c r="JVB1590" i="1"/>
  <c r="JVA1590" i="1"/>
  <c r="JUZ1590" i="1"/>
  <c r="JUY1590" i="1"/>
  <c r="JUX1590" i="1"/>
  <c r="JUW1590" i="1"/>
  <c r="JUV1590" i="1"/>
  <c r="JUU1590" i="1"/>
  <c r="JUT1590" i="1"/>
  <c r="JUS1590" i="1"/>
  <c r="JUR1590" i="1"/>
  <c r="JUQ1590" i="1"/>
  <c r="JUP1590" i="1"/>
  <c r="JUO1590" i="1"/>
  <c r="JUN1590" i="1"/>
  <c r="JUM1590" i="1"/>
  <c r="JUL1590" i="1"/>
  <c r="JUK1590" i="1"/>
  <c r="JUJ1590" i="1"/>
  <c r="JUI1590" i="1"/>
  <c r="JUH1590" i="1"/>
  <c r="JUG1590" i="1"/>
  <c r="JUF1590" i="1"/>
  <c r="JUE1590" i="1"/>
  <c r="JUD1590" i="1"/>
  <c r="JUC1590" i="1"/>
  <c r="JUB1590" i="1"/>
  <c r="JUA1590" i="1"/>
  <c r="JTZ1590" i="1"/>
  <c r="JTY1590" i="1"/>
  <c r="JTX1590" i="1"/>
  <c r="JTW1590" i="1"/>
  <c r="JTV1590" i="1"/>
  <c r="JTU1590" i="1"/>
  <c r="JTT1590" i="1"/>
  <c r="JTS1590" i="1"/>
  <c r="JTR1590" i="1"/>
  <c r="JTQ1590" i="1"/>
  <c r="JTP1590" i="1"/>
  <c r="JTO1590" i="1"/>
  <c r="JTN1590" i="1"/>
  <c r="JTM1590" i="1"/>
  <c r="JTL1590" i="1"/>
  <c r="JTK1590" i="1"/>
  <c r="JTJ1590" i="1"/>
  <c r="JTI1590" i="1"/>
  <c r="JTH1590" i="1"/>
  <c r="JTG1590" i="1"/>
  <c r="JTF1590" i="1"/>
  <c r="JTE1590" i="1"/>
  <c r="JTD1590" i="1"/>
  <c r="JTC1590" i="1"/>
  <c r="JTB1590" i="1"/>
  <c r="JTA1590" i="1"/>
  <c r="JSZ1590" i="1"/>
  <c r="JSY1590" i="1"/>
  <c r="JSX1590" i="1"/>
  <c r="JSW1590" i="1"/>
  <c r="JSV1590" i="1"/>
  <c r="JSU1590" i="1"/>
  <c r="JST1590" i="1"/>
  <c r="JSS1590" i="1"/>
  <c r="JSR1590" i="1"/>
  <c r="JSQ1590" i="1"/>
  <c r="JSP1590" i="1"/>
  <c r="JSO1590" i="1"/>
  <c r="JSN1590" i="1"/>
  <c r="JSM1590" i="1"/>
  <c r="JSL1590" i="1"/>
  <c r="JSK1590" i="1"/>
  <c r="JSJ1590" i="1"/>
  <c r="JSI1590" i="1"/>
  <c r="JSH1590" i="1"/>
  <c r="JSG1590" i="1"/>
  <c r="JSF1590" i="1"/>
  <c r="JSE1590" i="1"/>
  <c r="JSD1590" i="1"/>
  <c r="JSC1590" i="1"/>
  <c r="JSB1590" i="1"/>
  <c r="JSA1590" i="1"/>
  <c r="JRZ1590" i="1"/>
  <c r="JRY1590" i="1"/>
  <c r="JRX1590" i="1"/>
  <c r="JRW1590" i="1"/>
  <c r="JRV1590" i="1"/>
  <c r="JRU1590" i="1"/>
  <c r="JRT1590" i="1"/>
  <c r="JRS1590" i="1"/>
  <c r="JRR1590" i="1"/>
  <c r="JRQ1590" i="1"/>
  <c r="JRP1590" i="1"/>
  <c r="JRO1590" i="1"/>
  <c r="JRN1590" i="1"/>
  <c r="JRM1590" i="1"/>
  <c r="JRL1590" i="1"/>
  <c r="JRK1590" i="1"/>
  <c r="JRJ1590" i="1"/>
  <c r="JRI1590" i="1"/>
  <c r="JRH1590" i="1"/>
  <c r="JRG1590" i="1"/>
  <c r="JRF1590" i="1"/>
  <c r="JRE1590" i="1"/>
  <c r="JRD1590" i="1"/>
  <c r="JRC1590" i="1"/>
  <c r="JRB1590" i="1"/>
  <c r="JRA1590" i="1"/>
  <c r="JQZ1590" i="1"/>
  <c r="JQY1590" i="1"/>
  <c r="JQX1590" i="1"/>
  <c r="JQW1590" i="1"/>
  <c r="JQV1590" i="1"/>
  <c r="JQU1590" i="1"/>
  <c r="JQT1590" i="1"/>
  <c r="JQS1590" i="1"/>
  <c r="JQR1590" i="1"/>
  <c r="JQQ1590" i="1"/>
  <c r="JQP1590" i="1"/>
  <c r="JQO1590" i="1"/>
  <c r="JQN1590" i="1"/>
  <c r="JQM1590" i="1"/>
  <c r="JQL1590" i="1"/>
  <c r="JQK1590" i="1"/>
  <c r="JQJ1590" i="1"/>
  <c r="JQI1590" i="1"/>
  <c r="JQH1590" i="1"/>
  <c r="JQG1590" i="1"/>
  <c r="JQF1590" i="1"/>
  <c r="JQE1590" i="1"/>
  <c r="JQD1590" i="1"/>
  <c r="JQC1590" i="1"/>
  <c r="JQB1590" i="1"/>
  <c r="JQA1590" i="1"/>
  <c r="JPZ1590" i="1"/>
  <c r="JPY1590" i="1"/>
  <c r="JPX1590" i="1"/>
  <c r="JPW1590" i="1"/>
  <c r="JPV1590" i="1"/>
  <c r="JPU1590" i="1"/>
  <c r="JPT1590" i="1"/>
  <c r="JPS1590" i="1"/>
  <c r="JPR1590" i="1"/>
  <c r="JPQ1590" i="1"/>
  <c r="JPP1590" i="1"/>
  <c r="JPO1590" i="1"/>
  <c r="JPN1590" i="1"/>
  <c r="JPM1590" i="1"/>
  <c r="JPL1590" i="1"/>
  <c r="JPK1590" i="1"/>
  <c r="JPJ1590" i="1"/>
  <c r="JPI1590" i="1"/>
  <c r="JPH1590" i="1"/>
  <c r="JPG1590" i="1"/>
  <c r="JPF1590" i="1"/>
  <c r="JPE1590" i="1"/>
  <c r="JPD1590" i="1"/>
  <c r="JPC1590" i="1"/>
  <c r="JPB1590" i="1"/>
  <c r="JPA1590" i="1"/>
  <c r="JOZ1590" i="1"/>
  <c r="JOY1590" i="1"/>
  <c r="JOX1590" i="1"/>
  <c r="JOW1590" i="1"/>
  <c r="JOV1590" i="1"/>
  <c r="JOU1590" i="1"/>
  <c r="JOT1590" i="1"/>
  <c r="JOS1590" i="1"/>
  <c r="JOR1590" i="1"/>
  <c r="JOQ1590" i="1"/>
  <c r="JOP1590" i="1"/>
  <c r="JOO1590" i="1"/>
  <c r="JON1590" i="1"/>
  <c r="JOM1590" i="1"/>
  <c r="JOL1590" i="1"/>
  <c r="JOK1590" i="1"/>
  <c r="JOJ1590" i="1"/>
  <c r="JOI1590" i="1"/>
  <c r="JOH1590" i="1"/>
  <c r="JOG1590" i="1"/>
  <c r="JOF1590" i="1"/>
  <c r="JOE1590" i="1"/>
  <c r="JOD1590" i="1"/>
  <c r="JOC1590" i="1"/>
  <c r="JOB1590" i="1"/>
  <c r="JOA1590" i="1"/>
  <c r="JNZ1590" i="1"/>
  <c r="JNY1590" i="1"/>
  <c r="JNX1590" i="1"/>
  <c r="JNW1590" i="1"/>
  <c r="JNV1590" i="1"/>
  <c r="JNU1590" i="1"/>
  <c r="JNT1590" i="1"/>
  <c r="JNS1590" i="1"/>
  <c r="JNR1590" i="1"/>
  <c r="JNQ1590" i="1"/>
  <c r="JNP1590" i="1"/>
  <c r="JNO1590" i="1"/>
  <c r="JNN1590" i="1"/>
  <c r="JNM1590" i="1"/>
  <c r="JNL1590" i="1"/>
  <c r="JNK1590" i="1"/>
  <c r="JNJ1590" i="1"/>
  <c r="JNI1590" i="1"/>
  <c r="JNH1590" i="1"/>
  <c r="JNG1590" i="1"/>
  <c r="JNF1590" i="1"/>
  <c r="JNE1590" i="1"/>
  <c r="JND1590" i="1"/>
  <c r="JNC1590" i="1"/>
  <c r="JNB1590" i="1"/>
  <c r="JNA1590" i="1"/>
  <c r="JMZ1590" i="1"/>
  <c r="JMY1590" i="1"/>
  <c r="JMX1590" i="1"/>
  <c r="JMW1590" i="1"/>
  <c r="JMV1590" i="1"/>
  <c r="JMU1590" i="1"/>
  <c r="JMT1590" i="1"/>
  <c r="JMS1590" i="1"/>
  <c r="JMR1590" i="1"/>
  <c r="JMQ1590" i="1"/>
  <c r="JMP1590" i="1"/>
  <c r="JMO1590" i="1"/>
  <c r="JMN1590" i="1"/>
  <c r="JMM1590" i="1"/>
  <c r="JML1590" i="1"/>
  <c r="JMK1590" i="1"/>
  <c r="JMJ1590" i="1"/>
  <c r="JMI1590" i="1"/>
  <c r="JMH1590" i="1"/>
  <c r="JMG1590" i="1"/>
  <c r="JMF1590" i="1"/>
  <c r="JME1590" i="1"/>
  <c r="JMD1590" i="1"/>
  <c r="JMC1590" i="1"/>
  <c r="JMB1590" i="1"/>
  <c r="JMA1590" i="1"/>
  <c r="JLZ1590" i="1"/>
  <c r="JLY1590" i="1"/>
  <c r="JLX1590" i="1"/>
  <c r="JLW1590" i="1"/>
  <c r="JLV1590" i="1"/>
  <c r="JLU1590" i="1"/>
  <c r="JLT1590" i="1"/>
  <c r="JLS1590" i="1"/>
  <c r="JLR1590" i="1"/>
  <c r="JLQ1590" i="1"/>
  <c r="JLP1590" i="1"/>
  <c r="JLO1590" i="1"/>
  <c r="JLN1590" i="1"/>
  <c r="JLM1590" i="1"/>
  <c r="JLL1590" i="1"/>
  <c r="JLK1590" i="1"/>
  <c r="JLJ1590" i="1"/>
  <c r="JLI1590" i="1"/>
  <c r="JLH1590" i="1"/>
  <c r="JLG1590" i="1"/>
  <c r="JLF1590" i="1"/>
  <c r="JLE1590" i="1"/>
  <c r="JLD1590" i="1"/>
  <c r="JLC1590" i="1"/>
  <c r="JLB1590" i="1"/>
  <c r="JLA1590" i="1"/>
  <c r="JKZ1590" i="1"/>
  <c r="JKY1590" i="1"/>
  <c r="JKX1590" i="1"/>
  <c r="JKW1590" i="1"/>
  <c r="JKV1590" i="1"/>
  <c r="JKU1590" i="1"/>
  <c r="JKT1590" i="1"/>
  <c r="JKS1590" i="1"/>
  <c r="JKR1590" i="1"/>
  <c r="JKQ1590" i="1"/>
  <c r="JKP1590" i="1"/>
  <c r="JKO1590" i="1"/>
  <c r="JKN1590" i="1"/>
  <c r="JKM1590" i="1"/>
  <c r="JKL1590" i="1"/>
  <c r="JKK1590" i="1"/>
  <c r="JKJ1590" i="1"/>
  <c r="JKI1590" i="1"/>
  <c r="JKH1590" i="1"/>
  <c r="JKG1590" i="1"/>
  <c r="JKF1590" i="1"/>
  <c r="JKE1590" i="1"/>
  <c r="JKD1590" i="1"/>
  <c r="JKC1590" i="1"/>
  <c r="JKB1590" i="1"/>
  <c r="JKA1590" i="1"/>
  <c r="JJZ1590" i="1"/>
  <c r="JJY1590" i="1"/>
  <c r="JJX1590" i="1"/>
  <c r="JJW1590" i="1"/>
  <c r="JJV1590" i="1"/>
  <c r="JJU1590" i="1"/>
  <c r="JJT1590" i="1"/>
  <c r="JJS1590" i="1"/>
  <c r="JJR1590" i="1"/>
  <c r="JJQ1590" i="1"/>
  <c r="JJP1590" i="1"/>
  <c r="JJO1590" i="1"/>
  <c r="JJN1590" i="1"/>
  <c r="JJM1590" i="1"/>
  <c r="JJL1590" i="1"/>
  <c r="JJK1590" i="1"/>
  <c r="JJJ1590" i="1"/>
  <c r="JJI1590" i="1"/>
  <c r="JJH1590" i="1"/>
  <c r="JJG1590" i="1"/>
  <c r="JJF1590" i="1"/>
  <c r="JJE1590" i="1"/>
  <c r="JJD1590" i="1"/>
  <c r="JJC1590" i="1"/>
  <c r="JJB1590" i="1"/>
  <c r="JJA1590" i="1"/>
  <c r="JIZ1590" i="1"/>
  <c r="JIY1590" i="1"/>
  <c r="JIX1590" i="1"/>
  <c r="JIW1590" i="1"/>
  <c r="JIV1590" i="1"/>
  <c r="JIU1590" i="1"/>
  <c r="JIT1590" i="1"/>
  <c r="JIS1590" i="1"/>
  <c r="JIR1590" i="1"/>
  <c r="JIQ1590" i="1"/>
  <c r="JIP1590" i="1"/>
  <c r="JIO1590" i="1"/>
  <c r="JIN1590" i="1"/>
  <c r="JIM1590" i="1"/>
  <c r="JIL1590" i="1"/>
  <c r="JIK1590" i="1"/>
  <c r="JIJ1590" i="1"/>
  <c r="JII1590" i="1"/>
  <c r="JIH1590" i="1"/>
  <c r="JIG1590" i="1"/>
  <c r="JIF1590" i="1"/>
  <c r="JIE1590" i="1"/>
  <c r="JID1590" i="1"/>
  <c r="JIC1590" i="1"/>
  <c r="JIB1590" i="1"/>
  <c r="JIA1590" i="1"/>
  <c r="JHZ1590" i="1"/>
  <c r="JHY1590" i="1"/>
  <c r="JHX1590" i="1"/>
  <c r="JHW1590" i="1"/>
  <c r="JHV1590" i="1"/>
  <c r="JHU1590" i="1"/>
  <c r="JHT1590" i="1"/>
  <c r="JHS1590" i="1"/>
  <c r="JHR1590" i="1"/>
  <c r="JHQ1590" i="1"/>
  <c r="JHP1590" i="1"/>
  <c r="JHO1590" i="1"/>
  <c r="JHN1590" i="1"/>
  <c r="JHM1590" i="1"/>
  <c r="JHL1590" i="1"/>
  <c r="JHK1590" i="1"/>
  <c r="JHJ1590" i="1"/>
  <c r="JHI1590" i="1"/>
  <c r="JHH1590" i="1"/>
  <c r="JHG1590" i="1"/>
  <c r="JHF1590" i="1"/>
  <c r="JHE1590" i="1"/>
  <c r="JHD1590" i="1"/>
  <c r="JHC1590" i="1"/>
  <c r="JHB1590" i="1"/>
  <c r="JHA1590" i="1"/>
  <c r="JGZ1590" i="1"/>
  <c r="JGY1590" i="1"/>
  <c r="JGX1590" i="1"/>
  <c r="JGW1590" i="1"/>
  <c r="JGV1590" i="1"/>
  <c r="JGU1590" i="1"/>
  <c r="JGT1590" i="1"/>
  <c r="JGS1590" i="1"/>
  <c r="JGR1590" i="1"/>
  <c r="JGQ1590" i="1"/>
  <c r="JGP1590" i="1"/>
  <c r="JGO1590" i="1"/>
  <c r="JGN1590" i="1"/>
  <c r="JGM1590" i="1"/>
  <c r="JGL1590" i="1"/>
  <c r="JGK1590" i="1"/>
  <c r="JGJ1590" i="1"/>
  <c r="JGI1590" i="1"/>
  <c r="JGH1590" i="1"/>
  <c r="JGG1590" i="1"/>
  <c r="JGF1590" i="1"/>
  <c r="JGE1590" i="1"/>
  <c r="JGD1590" i="1"/>
  <c r="JGC1590" i="1"/>
  <c r="JGB1590" i="1"/>
  <c r="JGA1590" i="1"/>
  <c r="JFZ1590" i="1"/>
  <c r="JFY1590" i="1"/>
  <c r="JFX1590" i="1"/>
  <c r="JFW1590" i="1"/>
  <c r="JFV1590" i="1"/>
  <c r="JFU1590" i="1"/>
  <c r="JFT1590" i="1"/>
  <c r="JFS1590" i="1"/>
  <c r="JFR1590" i="1"/>
  <c r="JFQ1590" i="1"/>
  <c r="JFP1590" i="1"/>
  <c r="JFO1590" i="1"/>
  <c r="JFN1590" i="1"/>
  <c r="JFM1590" i="1"/>
  <c r="JFL1590" i="1"/>
  <c r="JFK1590" i="1"/>
  <c r="JFJ1590" i="1"/>
  <c r="JFI1590" i="1"/>
  <c r="JFH1590" i="1"/>
  <c r="JFG1590" i="1"/>
  <c r="JFF1590" i="1"/>
  <c r="JFE1590" i="1"/>
  <c r="JFD1590" i="1"/>
  <c r="JFC1590" i="1"/>
  <c r="JFB1590" i="1"/>
  <c r="JFA1590" i="1"/>
  <c r="JEZ1590" i="1"/>
  <c r="JEY1590" i="1"/>
  <c r="JEX1590" i="1"/>
  <c r="JEW1590" i="1"/>
  <c r="JEV1590" i="1"/>
  <c r="JEU1590" i="1"/>
  <c r="JET1590" i="1"/>
  <c r="JES1590" i="1"/>
  <c r="JER1590" i="1"/>
  <c r="JEQ1590" i="1"/>
  <c r="JEP1590" i="1"/>
  <c r="JEO1590" i="1"/>
  <c r="JEN1590" i="1"/>
  <c r="JEM1590" i="1"/>
  <c r="JEL1590" i="1"/>
  <c r="JEK1590" i="1"/>
  <c r="JEJ1590" i="1"/>
  <c r="JEI1590" i="1"/>
  <c r="JEH1590" i="1"/>
  <c r="JEG1590" i="1"/>
  <c r="JEF1590" i="1"/>
  <c r="JEE1590" i="1"/>
  <c r="JED1590" i="1"/>
  <c r="JEC1590" i="1"/>
  <c r="JEB1590" i="1"/>
  <c r="JEA1590" i="1"/>
  <c r="JDZ1590" i="1"/>
  <c r="JDY1590" i="1"/>
  <c r="JDX1590" i="1"/>
  <c r="JDW1590" i="1"/>
  <c r="JDV1590" i="1"/>
  <c r="JDU1590" i="1"/>
  <c r="JDT1590" i="1"/>
  <c r="JDS1590" i="1"/>
  <c r="JDR1590" i="1"/>
  <c r="JDQ1590" i="1"/>
  <c r="JDP1590" i="1"/>
  <c r="JDO1590" i="1"/>
  <c r="JDN1590" i="1"/>
  <c r="JDM1590" i="1"/>
  <c r="JDL1590" i="1"/>
  <c r="JDK1590" i="1"/>
  <c r="JDJ1590" i="1"/>
  <c r="JDI1590" i="1"/>
  <c r="JDH1590" i="1"/>
  <c r="JDG1590" i="1"/>
  <c r="JDF1590" i="1"/>
  <c r="JDE1590" i="1"/>
  <c r="JDD1590" i="1"/>
  <c r="JDC1590" i="1"/>
  <c r="JDB1590" i="1"/>
  <c r="JDA1590" i="1"/>
  <c r="JCZ1590" i="1"/>
  <c r="JCY1590" i="1"/>
  <c r="JCX1590" i="1"/>
  <c r="JCW1590" i="1"/>
  <c r="JCV1590" i="1"/>
  <c r="JCU1590" i="1"/>
  <c r="JCT1590" i="1"/>
  <c r="JCS1590" i="1"/>
  <c r="JCR1590" i="1"/>
  <c r="JCQ1590" i="1"/>
  <c r="JCP1590" i="1"/>
  <c r="JCO1590" i="1"/>
  <c r="JCN1590" i="1"/>
  <c r="JCM1590" i="1"/>
  <c r="JCL1590" i="1"/>
  <c r="JCK1590" i="1"/>
  <c r="JCJ1590" i="1"/>
  <c r="JCI1590" i="1"/>
  <c r="JCH1590" i="1"/>
  <c r="JCG1590" i="1"/>
  <c r="JCF1590" i="1"/>
  <c r="JCE1590" i="1"/>
  <c r="JCD1590" i="1"/>
  <c r="JCC1590" i="1"/>
  <c r="JCB1590" i="1"/>
  <c r="JCA1590" i="1"/>
  <c r="JBZ1590" i="1"/>
  <c r="JBY1590" i="1"/>
  <c r="JBX1590" i="1"/>
  <c r="JBW1590" i="1"/>
  <c r="JBV1590" i="1"/>
  <c r="JBU1590" i="1"/>
  <c r="JBT1590" i="1"/>
  <c r="JBS1590" i="1"/>
  <c r="JBR1590" i="1"/>
  <c r="JBQ1590" i="1"/>
  <c r="JBP1590" i="1"/>
  <c r="JBO1590" i="1"/>
  <c r="JBN1590" i="1"/>
  <c r="JBM1590" i="1"/>
  <c r="JBL1590" i="1"/>
  <c r="JBK1590" i="1"/>
  <c r="JBJ1590" i="1"/>
  <c r="JBI1590" i="1"/>
  <c r="JBH1590" i="1"/>
  <c r="JBG1590" i="1"/>
  <c r="JBF1590" i="1"/>
  <c r="JBE1590" i="1"/>
  <c r="JBD1590" i="1"/>
  <c r="JBC1590" i="1"/>
  <c r="JBB1590" i="1"/>
  <c r="JBA1590" i="1"/>
  <c r="JAZ1590" i="1"/>
  <c r="JAY1590" i="1"/>
  <c r="JAX1590" i="1"/>
  <c r="JAW1590" i="1"/>
  <c r="JAV1590" i="1"/>
  <c r="JAU1590" i="1"/>
  <c r="JAT1590" i="1"/>
  <c r="JAS1590" i="1"/>
  <c r="JAR1590" i="1"/>
  <c r="JAQ1590" i="1"/>
  <c r="JAP1590" i="1"/>
  <c r="JAO1590" i="1"/>
  <c r="JAN1590" i="1"/>
  <c r="JAM1590" i="1"/>
  <c r="JAL1590" i="1"/>
  <c r="JAK1590" i="1"/>
  <c r="JAJ1590" i="1"/>
  <c r="JAI1590" i="1"/>
  <c r="JAH1590" i="1"/>
  <c r="JAG1590" i="1"/>
  <c r="JAF1590" i="1"/>
  <c r="JAE1590" i="1"/>
  <c r="JAD1590" i="1"/>
  <c r="JAC1590" i="1"/>
  <c r="JAB1590" i="1"/>
  <c r="JAA1590" i="1"/>
  <c r="IZZ1590" i="1"/>
  <c r="IZY1590" i="1"/>
  <c r="IZX1590" i="1"/>
  <c r="IZW1590" i="1"/>
  <c r="IZV1590" i="1"/>
  <c r="IZU1590" i="1"/>
  <c r="IZT1590" i="1"/>
  <c r="IZS1590" i="1"/>
  <c r="IZR1590" i="1"/>
  <c r="IZQ1590" i="1"/>
  <c r="IZP1590" i="1"/>
  <c r="IZO1590" i="1"/>
  <c r="IZN1590" i="1"/>
  <c r="IZM1590" i="1"/>
  <c r="IZL1590" i="1"/>
  <c r="IZK1590" i="1"/>
  <c r="IZJ1590" i="1"/>
  <c r="IZI1590" i="1"/>
  <c r="IZH1590" i="1"/>
  <c r="IZG1590" i="1"/>
  <c r="IZF1590" i="1"/>
  <c r="IZE1590" i="1"/>
  <c r="IZD1590" i="1"/>
  <c r="IZC1590" i="1"/>
  <c r="IZB1590" i="1"/>
  <c r="IZA1590" i="1"/>
  <c r="IYZ1590" i="1"/>
  <c r="IYY1590" i="1"/>
  <c r="IYX1590" i="1"/>
  <c r="IYW1590" i="1"/>
  <c r="IYV1590" i="1"/>
  <c r="IYU1590" i="1"/>
  <c r="IYT1590" i="1"/>
  <c r="IYS1590" i="1"/>
  <c r="IYR1590" i="1"/>
  <c r="IYQ1590" i="1"/>
  <c r="IYP1590" i="1"/>
  <c r="IYO1590" i="1"/>
  <c r="IYN1590" i="1"/>
  <c r="IYM1590" i="1"/>
  <c r="IYL1590" i="1"/>
  <c r="IYK1590" i="1"/>
  <c r="IYJ1590" i="1"/>
  <c r="IYI1590" i="1"/>
  <c r="IYH1590" i="1"/>
  <c r="IYG1590" i="1"/>
  <c r="IYF1590" i="1"/>
  <c r="IYE1590" i="1"/>
  <c r="IYD1590" i="1"/>
  <c r="IYC1590" i="1"/>
  <c r="IYB1590" i="1"/>
  <c r="IYA1590" i="1"/>
  <c r="IXZ1590" i="1"/>
  <c r="IXY1590" i="1"/>
  <c r="IXX1590" i="1"/>
  <c r="IXW1590" i="1"/>
  <c r="IXV1590" i="1"/>
  <c r="IXU1590" i="1"/>
  <c r="IXT1590" i="1"/>
  <c r="IXS1590" i="1"/>
  <c r="IXR1590" i="1"/>
  <c r="IXQ1590" i="1"/>
  <c r="IXP1590" i="1"/>
  <c r="IXO1590" i="1"/>
  <c r="IXN1590" i="1"/>
  <c r="IXM1590" i="1"/>
  <c r="IXL1590" i="1"/>
  <c r="IXK1590" i="1"/>
  <c r="IXJ1590" i="1"/>
  <c r="IXI1590" i="1"/>
  <c r="IXH1590" i="1"/>
  <c r="IXG1590" i="1"/>
  <c r="IXF1590" i="1"/>
  <c r="IXE1590" i="1"/>
  <c r="IXD1590" i="1"/>
  <c r="IXC1590" i="1"/>
  <c r="IXB1590" i="1"/>
  <c r="IXA1590" i="1"/>
  <c r="IWZ1590" i="1"/>
  <c r="IWY1590" i="1"/>
  <c r="IWX1590" i="1"/>
  <c r="IWW1590" i="1"/>
  <c r="IWV1590" i="1"/>
  <c r="IWU1590" i="1"/>
  <c r="IWT1590" i="1"/>
  <c r="IWS1590" i="1"/>
  <c r="IWR1590" i="1"/>
  <c r="IWQ1590" i="1"/>
  <c r="IWP1590" i="1"/>
  <c r="IWO1590" i="1"/>
  <c r="IWN1590" i="1"/>
  <c r="IWM1590" i="1"/>
  <c r="IWL1590" i="1"/>
  <c r="IWK1590" i="1"/>
  <c r="IWJ1590" i="1"/>
  <c r="IWI1590" i="1"/>
  <c r="IWH1590" i="1"/>
  <c r="IWG1590" i="1"/>
  <c r="IWF1590" i="1"/>
  <c r="IWE1590" i="1"/>
  <c r="IWD1590" i="1"/>
  <c r="IWC1590" i="1"/>
  <c r="IWB1590" i="1"/>
  <c r="IWA1590" i="1"/>
  <c r="IVZ1590" i="1"/>
  <c r="IVY1590" i="1"/>
  <c r="IVX1590" i="1"/>
  <c r="IVW1590" i="1"/>
  <c r="IVV1590" i="1"/>
  <c r="IVU1590" i="1"/>
  <c r="IVT1590" i="1"/>
  <c r="IVS1590" i="1"/>
  <c r="IVR1590" i="1"/>
  <c r="IVQ1590" i="1"/>
  <c r="IVP1590" i="1"/>
  <c r="IVO1590" i="1"/>
  <c r="IVN1590" i="1"/>
  <c r="IVM1590" i="1"/>
  <c r="IVL1590" i="1"/>
  <c r="IVK1590" i="1"/>
  <c r="IVJ1590" i="1"/>
  <c r="IVI1590" i="1"/>
  <c r="IVH1590" i="1"/>
  <c r="IVG1590" i="1"/>
  <c r="IVF1590" i="1"/>
  <c r="IVE1590" i="1"/>
  <c r="IVD1590" i="1"/>
  <c r="IVC1590" i="1"/>
  <c r="IVB1590" i="1"/>
  <c r="IVA1590" i="1"/>
  <c r="IUZ1590" i="1"/>
  <c r="IUY1590" i="1"/>
  <c r="IUX1590" i="1"/>
  <c r="IUW1590" i="1"/>
  <c r="IUV1590" i="1"/>
  <c r="IUU1590" i="1"/>
  <c r="IUT1590" i="1"/>
  <c r="IUS1590" i="1"/>
  <c r="IUR1590" i="1"/>
  <c r="IUQ1590" i="1"/>
  <c r="IUP1590" i="1"/>
  <c r="IUO1590" i="1"/>
  <c r="IUN1590" i="1"/>
  <c r="IUM1590" i="1"/>
  <c r="IUL1590" i="1"/>
  <c r="IUK1590" i="1"/>
  <c r="IUJ1590" i="1"/>
  <c r="IUI1590" i="1"/>
  <c r="IUH1590" i="1"/>
  <c r="IUG1590" i="1"/>
  <c r="IUF1590" i="1"/>
  <c r="IUE1590" i="1"/>
  <c r="IUD1590" i="1"/>
  <c r="IUC1590" i="1"/>
  <c r="IUB1590" i="1"/>
  <c r="IUA1590" i="1"/>
  <c r="ITZ1590" i="1"/>
  <c r="ITY1590" i="1"/>
  <c r="ITX1590" i="1"/>
  <c r="ITW1590" i="1"/>
  <c r="ITV1590" i="1"/>
  <c r="ITU1590" i="1"/>
  <c r="ITT1590" i="1"/>
  <c r="ITS1590" i="1"/>
  <c r="ITR1590" i="1"/>
  <c r="ITQ1590" i="1"/>
  <c r="ITP1590" i="1"/>
  <c r="ITO1590" i="1"/>
  <c r="ITN1590" i="1"/>
  <c r="ITM1590" i="1"/>
  <c r="ITL1590" i="1"/>
  <c r="ITK1590" i="1"/>
  <c r="ITJ1590" i="1"/>
  <c r="ITI1590" i="1"/>
  <c r="ITH1590" i="1"/>
  <c r="ITG1590" i="1"/>
  <c r="ITF1590" i="1"/>
  <c r="ITE1590" i="1"/>
  <c r="ITD1590" i="1"/>
  <c r="ITC1590" i="1"/>
  <c r="ITB1590" i="1"/>
  <c r="ITA1590" i="1"/>
  <c r="ISZ1590" i="1"/>
  <c r="ISY1590" i="1"/>
  <c r="ISX1590" i="1"/>
  <c r="ISW1590" i="1"/>
  <c r="ISV1590" i="1"/>
  <c r="ISU1590" i="1"/>
  <c r="IST1590" i="1"/>
  <c r="ISS1590" i="1"/>
  <c r="ISR1590" i="1"/>
  <c r="ISQ1590" i="1"/>
  <c r="ISP1590" i="1"/>
  <c r="ISO1590" i="1"/>
  <c r="ISN1590" i="1"/>
  <c r="ISM1590" i="1"/>
  <c r="ISL1590" i="1"/>
  <c r="ISK1590" i="1"/>
  <c r="ISJ1590" i="1"/>
  <c r="ISI1590" i="1"/>
  <c r="ISH1590" i="1"/>
  <c r="ISG1590" i="1"/>
  <c r="ISF1590" i="1"/>
  <c r="ISE1590" i="1"/>
  <c r="ISD1590" i="1"/>
  <c r="ISC1590" i="1"/>
  <c r="ISB1590" i="1"/>
  <c r="ISA1590" i="1"/>
  <c r="IRZ1590" i="1"/>
  <c r="IRY1590" i="1"/>
  <c r="IRX1590" i="1"/>
  <c r="IRW1590" i="1"/>
  <c r="IRV1590" i="1"/>
  <c r="IRU1590" i="1"/>
  <c r="IRT1590" i="1"/>
  <c r="IRS1590" i="1"/>
  <c r="IRR1590" i="1"/>
  <c r="IRQ1590" i="1"/>
  <c r="IRP1590" i="1"/>
  <c r="IRO1590" i="1"/>
  <c r="IRN1590" i="1"/>
  <c r="IRM1590" i="1"/>
  <c r="IRL1590" i="1"/>
  <c r="IRK1590" i="1"/>
  <c r="IRJ1590" i="1"/>
  <c r="IRI1590" i="1"/>
  <c r="IRH1590" i="1"/>
  <c r="IRG1590" i="1"/>
  <c r="IRF1590" i="1"/>
  <c r="IRE1590" i="1"/>
  <c r="IRD1590" i="1"/>
  <c r="IRC1590" i="1"/>
  <c r="IRB1590" i="1"/>
  <c r="IRA1590" i="1"/>
  <c r="IQZ1590" i="1"/>
  <c r="IQY1590" i="1"/>
  <c r="IQX1590" i="1"/>
  <c r="IQW1590" i="1"/>
  <c r="IQV1590" i="1"/>
  <c r="IQU1590" i="1"/>
  <c r="IQT1590" i="1"/>
  <c r="IQS1590" i="1"/>
  <c r="IQR1590" i="1"/>
  <c r="IQQ1590" i="1"/>
  <c r="IQP1590" i="1"/>
  <c r="IQO1590" i="1"/>
  <c r="IQN1590" i="1"/>
  <c r="IQM1590" i="1"/>
  <c r="IQL1590" i="1"/>
  <c r="IQK1590" i="1"/>
  <c r="IQJ1590" i="1"/>
  <c r="IQI1590" i="1"/>
  <c r="IQH1590" i="1"/>
  <c r="IQG1590" i="1"/>
  <c r="IQF1590" i="1"/>
  <c r="IQE1590" i="1"/>
  <c r="IQD1590" i="1"/>
  <c r="IQC1590" i="1"/>
  <c r="IQB1590" i="1"/>
  <c r="IQA1590" i="1"/>
  <c r="IPZ1590" i="1"/>
  <c r="IPY1590" i="1"/>
  <c r="IPX1590" i="1"/>
  <c r="IPW1590" i="1"/>
  <c r="IPV1590" i="1"/>
  <c r="IPU1590" i="1"/>
  <c r="IPT1590" i="1"/>
  <c r="IPS1590" i="1"/>
  <c r="IPR1590" i="1"/>
  <c r="IPQ1590" i="1"/>
  <c r="IPP1590" i="1"/>
  <c r="IPO1590" i="1"/>
  <c r="IPN1590" i="1"/>
  <c r="IPM1590" i="1"/>
  <c r="IPL1590" i="1"/>
  <c r="IPK1590" i="1"/>
  <c r="IPJ1590" i="1"/>
  <c r="IPI1590" i="1"/>
  <c r="IPH1590" i="1"/>
  <c r="IPG1590" i="1"/>
  <c r="IPF1590" i="1"/>
  <c r="IPE1590" i="1"/>
  <c r="IPD1590" i="1"/>
  <c r="IPC1590" i="1"/>
  <c r="IPB1590" i="1"/>
  <c r="IPA1590" i="1"/>
  <c r="IOZ1590" i="1"/>
  <c r="IOY1590" i="1"/>
  <c r="IOX1590" i="1"/>
  <c r="IOW1590" i="1"/>
  <c r="IOV1590" i="1"/>
  <c r="IOU1590" i="1"/>
  <c r="IOT1590" i="1"/>
  <c r="IOS1590" i="1"/>
  <c r="IOR1590" i="1"/>
  <c r="IOQ1590" i="1"/>
  <c r="IOP1590" i="1"/>
  <c r="IOO1590" i="1"/>
  <c r="ION1590" i="1"/>
  <c r="IOM1590" i="1"/>
  <c r="IOL1590" i="1"/>
  <c r="IOK1590" i="1"/>
  <c r="IOJ1590" i="1"/>
  <c r="IOI1590" i="1"/>
  <c r="IOH1590" i="1"/>
  <c r="IOG1590" i="1"/>
  <c r="IOF1590" i="1"/>
  <c r="IOE1590" i="1"/>
  <c r="IOD1590" i="1"/>
  <c r="IOC1590" i="1"/>
  <c r="IOB1590" i="1"/>
  <c r="IOA1590" i="1"/>
  <c r="INZ1590" i="1"/>
  <c r="INY1590" i="1"/>
  <c r="INX1590" i="1"/>
  <c r="INW1590" i="1"/>
  <c r="INV1590" i="1"/>
  <c r="INU1590" i="1"/>
  <c r="INT1590" i="1"/>
  <c r="INS1590" i="1"/>
  <c r="INR1590" i="1"/>
  <c r="INQ1590" i="1"/>
  <c r="INP1590" i="1"/>
  <c r="INO1590" i="1"/>
  <c r="INN1590" i="1"/>
  <c r="INM1590" i="1"/>
  <c r="INL1590" i="1"/>
  <c r="INK1590" i="1"/>
  <c r="INJ1590" i="1"/>
  <c r="INI1590" i="1"/>
  <c r="INH1590" i="1"/>
  <c r="ING1590" i="1"/>
  <c r="INF1590" i="1"/>
  <c r="INE1590" i="1"/>
  <c r="IND1590" i="1"/>
  <c r="INC1590" i="1"/>
  <c r="INB1590" i="1"/>
  <c r="INA1590" i="1"/>
  <c r="IMZ1590" i="1"/>
  <c r="IMY1590" i="1"/>
  <c r="IMX1590" i="1"/>
  <c r="IMW1590" i="1"/>
  <c r="IMV1590" i="1"/>
  <c r="IMU1590" i="1"/>
  <c r="IMT1590" i="1"/>
  <c r="IMS1590" i="1"/>
  <c r="IMR1590" i="1"/>
  <c r="IMQ1590" i="1"/>
  <c r="IMP1590" i="1"/>
  <c r="IMO1590" i="1"/>
  <c r="IMN1590" i="1"/>
  <c r="IMM1590" i="1"/>
  <c r="IML1590" i="1"/>
  <c r="IMK1590" i="1"/>
  <c r="IMJ1590" i="1"/>
  <c r="IMI1590" i="1"/>
  <c r="IMH1590" i="1"/>
  <c r="IMG1590" i="1"/>
  <c r="IMF1590" i="1"/>
  <c r="IME1590" i="1"/>
  <c r="IMD1590" i="1"/>
  <c r="IMC1590" i="1"/>
  <c r="IMB1590" i="1"/>
  <c r="IMA1590" i="1"/>
  <c r="ILZ1590" i="1"/>
  <c r="ILY1590" i="1"/>
  <c r="ILX1590" i="1"/>
  <c r="ILW1590" i="1"/>
  <c r="ILV1590" i="1"/>
  <c r="ILU1590" i="1"/>
  <c r="ILT1590" i="1"/>
  <c r="ILS1590" i="1"/>
  <c r="ILR1590" i="1"/>
  <c r="ILQ1590" i="1"/>
  <c r="ILP1590" i="1"/>
  <c r="ILO1590" i="1"/>
  <c r="ILN1590" i="1"/>
  <c r="ILM1590" i="1"/>
  <c r="ILL1590" i="1"/>
  <c r="ILK1590" i="1"/>
  <c r="ILJ1590" i="1"/>
  <c r="ILI1590" i="1"/>
  <c r="ILH1590" i="1"/>
  <c r="ILG1590" i="1"/>
  <c r="ILF1590" i="1"/>
  <c r="ILE1590" i="1"/>
  <c r="ILD1590" i="1"/>
  <c r="ILC1590" i="1"/>
  <c r="ILB1590" i="1"/>
  <c r="ILA1590" i="1"/>
  <c r="IKZ1590" i="1"/>
  <c r="IKY1590" i="1"/>
  <c r="IKX1590" i="1"/>
  <c r="IKW1590" i="1"/>
  <c r="IKV1590" i="1"/>
  <c r="IKU1590" i="1"/>
  <c r="IKT1590" i="1"/>
  <c r="IKS1590" i="1"/>
  <c r="IKR1590" i="1"/>
  <c r="IKQ1590" i="1"/>
  <c r="IKP1590" i="1"/>
  <c r="IKO1590" i="1"/>
  <c r="IKN1590" i="1"/>
  <c r="IKM1590" i="1"/>
  <c r="IKL1590" i="1"/>
  <c r="IKK1590" i="1"/>
  <c r="IKJ1590" i="1"/>
  <c r="IKI1590" i="1"/>
  <c r="IKH1590" i="1"/>
  <c r="IKG1590" i="1"/>
  <c r="IKF1590" i="1"/>
  <c r="IKE1590" i="1"/>
  <c r="IKD1590" i="1"/>
  <c r="IKC1590" i="1"/>
  <c r="IKB1590" i="1"/>
  <c r="IKA1590" i="1"/>
  <c r="IJZ1590" i="1"/>
  <c r="IJY1590" i="1"/>
  <c r="IJX1590" i="1"/>
  <c r="IJW1590" i="1"/>
  <c r="IJV1590" i="1"/>
  <c r="IJU1590" i="1"/>
  <c r="IJT1590" i="1"/>
  <c r="IJS1590" i="1"/>
  <c r="IJR1590" i="1"/>
  <c r="IJQ1590" i="1"/>
  <c r="IJP1590" i="1"/>
  <c r="IJO1590" i="1"/>
  <c r="IJN1590" i="1"/>
  <c r="IJM1590" i="1"/>
  <c r="IJL1590" i="1"/>
  <c r="IJK1590" i="1"/>
  <c r="IJJ1590" i="1"/>
  <c r="IJI1590" i="1"/>
  <c r="IJH1590" i="1"/>
  <c r="IJG1590" i="1"/>
  <c r="IJF1590" i="1"/>
  <c r="IJE1590" i="1"/>
  <c r="IJD1590" i="1"/>
  <c r="IJC1590" i="1"/>
  <c r="IJB1590" i="1"/>
  <c r="IJA1590" i="1"/>
  <c r="IIZ1590" i="1"/>
  <c r="IIY1590" i="1"/>
  <c r="IIX1590" i="1"/>
  <c r="IIW1590" i="1"/>
  <c r="IIV1590" i="1"/>
  <c r="IIU1590" i="1"/>
  <c r="IIT1590" i="1"/>
  <c r="IIS1590" i="1"/>
  <c r="IIR1590" i="1"/>
  <c r="IIQ1590" i="1"/>
  <c r="IIP1590" i="1"/>
  <c r="IIO1590" i="1"/>
  <c r="IIN1590" i="1"/>
  <c r="IIM1590" i="1"/>
  <c r="IIL1590" i="1"/>
  <c r="IIK1590" i="1"/>
  <c r="IIJ1590" i="1"/>
  <c r="III1590" i="1"/>
  <c r="IIH1590" i="1"/>
  <c r="IIG1590" i="1"/>
  <c r="IIF1590" i="1"/>
  <c r="IIE1590" i="1"/>
  <c r="IID1590" i="1"/>
  <c r="IIC1590" i="1"/>
  <c r="IIB1590" i="1"/>
  <c r="IIA1590" i="1"/>
  <c r="IHZ1590" i="1"/>
  <c r="IHY1590" i="1"/>
  <c r="IHX1590" i="1"/>
  <c r="IHW1590" i="1"/>
  <c r="IHV1590" i="1"/>
  <c r="IHU1590" i="1"/>
  <c r="IHT1590" i="1"/>
  <c r="IHS1590" i="1"/>
  <c r="IHR1590" i="1"/>
  <c r="IHQ1590" i="1"/>
  <c r="IHP1590" i="1"/>
  <c r="IHO1590" i="1"/>
  <c r="IHN1590" i="1"/>
  <c r="IHM1590" i="1"/>
  <c r="IHL1590" i="1"/>
  <c r="IHK1590" i="1"/>
  <c r="IHJ1590" i="1"/>
  <c r="IHI1590" i="1"/>
  <c r="IHH1590" i="1"/>
  <c r="IHG1590" i="1"/>
  <c r="IHF1590" i="1"/>
  <c r="IHE1590" i="1"/>
  <c r="IHD1590" i="1"/>
  <c r="IHC1590" i="1"/>
  <c r="IHB1590" i="1"/>
  <c r="IHA1590" i="1"/>
  <c r="IGZ1590" i="1"/>
  <c r="IGY1590" i="1"/>
  <c r="IGX1590" i="1"/>
  <c r="IGW1590" i="1"/>
  <c r="IGV1590" i="1"/>
  <c r="IGU1590" i="1"/>
  <c r="IGT1590" i="1"/>
  <c r="IGS1590" i="1"/>
  <c r="IGR1590" i="1"/>
  <c r="IGQ1590" i="1"/>
  <c r="IGP1590" i="1"/>
  <c r="IGO1590" i="1"/>
  <c r="IGN1590" i="1"/>
  <c r="IGM1590" i="1"/>
  <c r="IGL1590" i="1"/>
  <c r="IGK1590" i="1"/>
  <c r="IGJ1590" i="1"/>
  <c r="IGI1590" i="1"/>
  <c r="IGH1590" i="1"/>
  <c r="IGG1590" i="1"/>
  <c r="IGF1590" i="1"/>
  <c r="IGE1590" i="1"/>
  <c r="IGD1590" i="1"/>
  <c r="IGC1590" i="1"/>
  <c r="IGB1590" i="1"/>
  <c r="IGA1590" i="1"/>
  <c r="IFZ1590" i="1"/>
  <c r="IFY1590" i="1"/>
  <c r="IFX1590" i="1"/>
  <c r="IFW1590" i="1"/>
  <c r="IFV1590" i="1"/>
  <c r="IFU1590" i="1"/>
  <c r="IFT1590" i="1"/>
  <c r="IFS1590" i="1"/>
  <c r="IFR1590" i="1"/>
  <c r="IFQ1590" i="1"/>
  <c r="IFP1590" i="1"/>
  <c r="IFO1590" i="1"/>
  <c r="IFN1590" i="1"/>
  <c r="IFM1590" i="1"/>
  <c r="IFL1590" i="1"/>
  <c r="IFK1590" i="1"/>
  <c r="IFJ1590" i="1"/>
  <c r="IFI1590" i="1"/>
  <c r="IFH1590" i="1"/>
  <c r="IFG1590" i="1"/>
  <c r="IFF1590" i="1"/>
  <c r="IFE1590" i="1"/>
  <c r="IFD1590" i="1"/>
  <c r="IFC1590" i="1"/>
  <c r="IFB1590" i="1"/>
  <c r="IFA1590" i="1"/>
  <c r="IEZ1590" i="1"/>
  <c r="IEY1590" i="1"/>
  <c r="IEX1590" i="1"/>
  <c r="IEW1590" i="1"/>
  <c r="IEV1590" i="1"/>
  <c r="IEU1590" i="1"/>
  <c r="IET1590" i="1"/>
  <c r="IES1590" i="1"/>
  <c r="IER1590" i="1"/>
  <c r="IEQ1590" i="1"/>
  <c r="IEP1590" i="1"/>
  <c r="IEO1590" i="1"/>
  <c r="IEN1590" i="1"/>
  <c r="IEM1590" i="1"/>
  <c r="IEL1590" i="1"/>
  <c r="IEK1590" i="1"/>
  <c r="IEJ1590" i="1"/>
  <c r="IEI1590" i="1"/>
  <c r="IEH1590" i="1"/>
  <c r="IEG1590" i="1"/>
  <c r="IEF1590" i="1"/>
  <c r="IEE1590" i="1"/>
  <c r="IED1590" i="1"/>
  <c r="IEC1590" i="1"/>
  <c r="IEB1590" i="1"/>
  <c r="IEA1590" i="1"/>
  <c r="IDZ1590" i="1"/>
  <c r="IDY1590" i="1"/>
  <c r="IDX1590" i="1"/>
  <c r="IDW1590" i="1"/>
  <c r="IDV1590" i="1"/>
  <c r="IDU1590" i="1"/>
  <c r="IDT1590" i="1"/>
  <c r="IDS1590" i="1"/>
  <c r="IDR1590" i="1"/>
  <c r="IDQ1590" i="1"/>
  <c r="IDP1590" i="1"/>
  <c r="IDO1590" i="1"/>
  <c r="IDN1590" i="1"/>
  <c r="IDM1590" i="1"/>
  <c r="IDL1590" i="1"/>
  <c r="IDK1590" i="1"/>
  <c r="IDJ1590" i="1"/>
  <c r="IDI1590" i="1"/>
  <c r="IDH1590" i="1"/>
  <c r="IDG1590" i="1"/>
  <c r="IDF1590" i="1"/>
  <c r="IDE1590" i="1"/>
  <c r="IDD1590" i="1"/>
  <c r="IDC1590" i="1"/>
  <c r="IDB1590" i="1"/>
  <c r="IDA1590" i="1"/>
  <c r="ICZ1590" i="1"/>
  <c r="ICY1590" i="1"/>
  <c r="ICX1590" i="1"/>
  <c r="ICW1590" i="1"/>
  <c r="ICV1590" i="1"/>
  <c r="ICU1590" i="1"/>
  <c r="ICT1590" i="1"/>
  <c r="ICS1590" i="1"/>
  <c r="ICR1590" i="1"/>
  <c r="ICQ1590" i="1"/>
  <c r="ICP1590" i="1"/>
  <c r="ICO1590" i="1"/>
  <c r="ICN1590" i="1"/>
  <c r="ICM1590" i="1"/>
  <c r="ICL1590" i="1"/>
  <c r="ICK1590" i="1"/>
  <c r="ICJ1590" i="1"/>
  <c r="ICI1590" i="1"/>
  <c r="ICH1590" i="1"/>
  <c r="ICG1590" i="1"/>
  <c r="ICF1590" i="1"/>
  <c r="ICE1590" i="1"/>
  <c r="ICD1590" i="1"/>
  <c r="ICC1590" i="1"/>
  <c r="ICB1590" i="1"/>
  <c r="ICA1590" i="1"/>
  <c r="IBZ1590" i="1"/>
  <c r="IBY1590" i="1"/>
  <c r="IBX1590" i="1"/>
  <c r="IBW1590" i="1"/>
  <c r="IBV1590" i="1"/>
  <c r="IBU1590" i="1"/>
  <c r="IBT1590" i="1"/>
  <c r="IBS1590" i="1"/>
  <c r="IBR1590" i="1"/>
  <c r="IBQ1590" i="1"/>
  <c r="IBP1590" i="1"/>
  <c r="IBO1590" i="1"/>
  <c r="IBN1590" i="1"/>
  <c r="IBM1590" i="1"/>
  <c r="IBL1590" i="1"/>
  <c r="IBK1590" i="1"/>
  <c r="IBJ1590" i="1"/>
  <c r="IBI1590" i="1"/>
  <c r="IBH1590" i="1"/>
  <c r="IBG1590" i="1"/>
  <c r="IBF1590" i="1"/>
  <c r="IBE1590" i="1"/>
  <c r="IBD1590" i="1"/>
  <c r="IBC1590" i="1"/>
  <c r="IBB1590" i="1"/>
  <c r="IBA1590" i="1"/>
  <c r="IAZ1590" i="1"/>
  <c r="IAY1590" i="1"/>
  <c r="IAX1590" i="1"/>
  <c r="IAW1590" i="1"/>
  <c r="IAV1590" i="1"/>
  <c r="IAU1590" i="1"/>
  <c r="IAT1590" i="1"/>
  <c r="IAS1590" i="1"/>
  <c r="IAR1590" i="1"/>
  <c r="IAQ1590" i="1"/>
  <c r="IAP1590" i="1"/>
  <c r="IAO1590" i="1"/>
  <c r="IAN1590" i="1"/>
  <c r="IAM1590" i="1"/>
  <c r="IAL1590" i="1"/>
  <c r="IAK1590" i="1"/>
  <c r="IAJ1590" i="1"/>
  <c r="IAI1590" i="1"/>
  <c r="IAH1590" i="1"/>
  <c r="IAG1590" i="1"/>
  <c r="IAF1590" i="1"/>
  <c r="IAE1590" i="1"/>
  <c r="IAD1590" i="1"/>
  <c r="IAC1590" i="1"/>
  <c r="IAB1590" i="1"/>
  <c r="IAA1590" i="1"/>
  <c r="HZZ1590" i="1"/>
  <c r="HZY1590" i="1"/>
  <c r="HZX1590" i="1"/>
  <c r="HZW1590" i="1"/>
  <c r="HZV1590" i="1"/>
  <c r="HZU1590" i="1"/>
  <c r="HZT1590" i="1"/>
  <c r="HZS1590" i="1"/>
  <c r="HZR1590" i="1"/>
  <c r="HZQ1590" i="1"/>
  <c r="HZP1590" i="1"/>
  <c r="HZO1590" i="1"/>
  <c r="HZN1590" i="1"/>
  <c r="HZM1590" i="1"/>
  <c r="HZL1590" i="1"/>
  <c r="HZK1590" i="1"/>
  <c r="HZJ1590" i="1"/>
  <c r="HZI1590" i="1"/>
  <c r="HZH1590" i="1"/>
  <c r="HZG1590" i="1"/>
  <c r="HZF1590" i="1"/>
  <c r="HZE1590" i="1"/>
  <c r="HZD1590" i="1"/>
  <c r="HZC1590" i="1"/>
  <c r="HZB1590" i="1"/>
  <c r="HZA1590" i="1"/>
  <c r="HYZ1590" i="1"/>
  <c r="HYY1590" i="1"/>
  <c r="HYX1590" i="1"/>
  <c r="HYW1590" i="1"/>
  <c r="HYV1590" i="1"/>
  <c r="HYU1590" i="1"/>
  <c r="HYT1590" i="1"/>
  <c r="HYS1590" i="1"/>
  <c r="HYR1590" i="1"/>
  <c r="HYQ1590" i="1"/>
  <c r="HYP1590" i="1"/>
  <c r="HYO1590" i="1"/>
  <c r="HYN1590" i="1"/>
  <c r="HYM1590" i="1"/>
  <c r="HYL1590" i="1"/>
  <c r="HYK1590" i="1"/>
  <c r="HYJ1590" i="1"/>
  <c r="HYI1590" i="1"/>
  <c r="HYH1590" i="1"/>
  <c r="HYG1590" i="1"/>
  <c r="HYF1590" i="1"/>
  <c r="HYE1590" i="1"/>
  <c r="HYD1590" i="1"/>
  <c r="HYC1590" i="1"/>
  <c r="HYB1590" i="1"/>
  <c r="HYA1590" i="1"/>
  <c r="HXZ1590" i="1"/>
  <c r="HXY1590" i="1"/>
  <c r="HXX1590" i="1"/>
  <c r="HXW1590" i="1"/>
  <c r="HXV1590" i="1"/>
  <c r="HXU1590" i="1"/>
  <c r="HXT1590" i="1"/>
  <c r="HXS1590" i="1"/>
  <c r="HXR1590" i="1"/>
  <c r="HXQ1590" i="1"/>
  <c r="HXP1590" i="1"/>
  <c r="HXO1590" i="1"/>
  <c r="HXN1590" i="1"/>
  <c r="HXM1590" i="1"/>
  <c r="HXL1590" i="1"/>
  <c r="HXK1590" i="1"/>
  <c r="HXJ1590" i="1"/>
  <c r="HXI1590" i="1"/>
  <c r="HXH1590" i="1"/>
  <c r="HXG1590" i="1"/>
  <c r="HXF1590" i="1"/>
  <c r="HXE1590" i="1"/>
  <c r="HXD1590" i="1"/>
  <c r="HXC1590" i="1"/>
  <c r="HXB1590" i="1"/>
  <c r="HXA1590" i="1"/>
  <c r="HWZ1590" i="1"/>
  <c r="HWY1590" i="1"/>
  <c r="HWX1590" i="1"/>
  <c r="HWW1590" i="1"/>
  <c r="HWV1590" i="1"/>
  <c r="HWU1590" i="1"/>
  <c r="HWT1590" i="1"/>
  <c r="HWS1590" i="1"/>
  <c r="HWR1590" i="1"/>
  <c r="HWQ1590" i="1"/>
  <c r="HWP1590" i="1"/>
  <c r="HWO1590" i="1"/>
  <c r="HWN1590" i="1"/>
  <c r="HWM1590" i="1"/>
  <c r="HWL1590" i="1"/>
  <c r="HWK1590" i="1"/>
  <c r="HWJ1590" i="1"/>
  <c r="HWI1590" i="1"/>
  <c r="HWH1590" i="1"/>
  <c r="HWG1590" i="1"/>
  <c r="HWF1590" i="1"/>
  <c r="HWE1590" i="1"/>
  <c r="HWD1590" i="1"/>
  <c r="HWC1590" i="1"/>
  <c r="HWB1590" i="1"/>
  <c r="HWA1590" i="1"/>
  <c r="HVZ1590" i="1"/>
  <c r="HVY1590" i="1"/>
  <c r="HVX1590" i="1"/>
  <c r="HVW1590" i="1"/>
  <c r="HVV1590" i="1"/>
  <c r="HVU1590" i="1"/>
  <c r="HVT1590" i="1"/>
  <c r="HVS1590" i="1"/>
  <c r="HVR1590" i="1"/>
  <c r="HVQ1590" i="1"/>
  <c r="HVP1590" i="1"/>
  <c r="HVO1590" i="1"/>
  <c r="HVN1590" i="1"/>
  <c r="HVM1590" i="1"/>
  <c r="HVL1590" i="1"/>
  <c r="HVK1590" i="1"/>
  <c r="HVJ1590" i="1"/>
  <c r="HVI1590" i="1"/>
  <c r="HVH1590" i="1"/>
  <c r="HVG1590" i="1"/>
  <c r="HVF1590" i="1"/>
  <c r="HVE1590" i="1"/>
  <c r="HVD1590" i="1"/>
  <c r="HVC1590" i="1"/>
  <c r="HVB1590" i="1"/>
  <c r="HVA1590" i="1"/>
  <c r="HUZ1590" i="1"/>
  <c r="HUY1590" i="1"/>
  <c r="HUX1590" i="1"/>
  <c r="HUW1590" i="1"/>
  <c r="HUV1590" i="1"/>
  <c r="HUU1590" i="1"/>
  <c r="HUT1590" i="1"/>
  <c r="HUS1590" i="1"/>
  <c r="HUR1590" i="1"/>
  <c r="HUQ1590" i="1"/>
  <c r="HUP1590" i="1"/>
  <c r="HUO1590" i="1"/>
  <c r="HUN1590" i="1"/>
  <c r="HUM1590" i="1"/>
  <c r="HUL1590" i="1"/>
  <c r="HUK1590" i="1"/>
  <c r="HUJ1590" i="1"/>
  <c r="HUI1590" i="1"/>
  <c r="HUH1590" i="1"/>
  <c r="HUG1590" i="1"/>
  <c r="HUF1590" i="1"/>
  <c r="HUE1590" i="1"/>
  <c r="HUD1590" i="1"/>
  <c r="HUC1590" i="1"/>
  <c r="HUB1590" i="1"/>
  <c r="HUA1590" i="1"/>
  <c r="HTZ1590" i="1"/>
  <c r="HTY1590" i="1"/>
  <c r="HTX1590" i="1"/>
  <c r="HTW1590" i="1"/>
  <c r="HTV1590" i="1"/>
  <c r="HTU1590" i="1"/>
  <c r="HTT1590" i="1"/>
  <c r="HTS1590" i="1"/>
  <c r="HTR1590" i="1"/>
  <c r="HTQ1590" i="1"/>
  <c r="HTP1590" i="1"/>
  <c r="HTO1590" i="1"/>
  <c r="HTN1590" i="1"/>
  <c r="HTM1590" i="1"/>
  <c r="HTL1590" i="1"/>
  <c r="HTK1590" i="1"/>
  <c r="HTJ1590" i="1"/>
  <c r="HTI1590" i="1"/>
  <c r="HTH1590" i="1"/>
  <c r="HTG1590" i="1"/>
  <c r="HTF1590" i="1"/>
  <c r="HTE1590" i="1"/>
  <c r="HTD1590" i="1"/>
  <c r="HTC1590" i="1"/>
  <c r="HTB1590" i="1"/>
  <c r="HTA1590" i="1"/>
  <c r="HSZ1590" i="1"/>
  <c r="HSY1590" i="1"/>
  <c r="HSX1590" i="1"/>
  <c r="HSW1590" i="1"/>
  <c r="HSV1590" i="1"/>
  <c r="HSU1590" i="1"/>
  <c r="HST1590" i="1"/>
  <c r="HSS1590" i="1"/>
  <c r="HSR1590" i="1"/>
  <c r="HSQ1590" i="1"/>
  <c r="HSP1590" i="1"/>
  <c r="HSO1590" i="1"/>
  <c r="HSN1590" i="1"/>
  <c r="HSM1590" i="1"/>
  <c r="HSL1590" i="1"/>
  <c r="HSK1590" i="1"/>
  <c r="HSJ1590" i="1"/>
  <c r="HSI1590" i="1"/>
  <c r="HSH1590" i="1"/>
  <c r="HSG1590" i="1"/>
  <c r="HSF1590" i="1"/>
  <c r="HSE1590" i="1"/>
  <c r="HSD1590" i="1"/>
  <c r="HSC1590" i="1"/>
  <c r="HSB1590" i="1"/>
  <c r="HSA1590" i="1"/>
  <c r="HRZ1590" i="1"/>
  <c r="HRY1590" i="1"/>
  <c r="HRX1590" i="1"/>
  <c r="HRW1590" i="1"/>
  <c r="HRV1590" i="1"/>
  <c r="HRU1590" i="1"/>
  <c r="HRT1590" i="1"/>
  <c r="HRS1590" i="1"/>
  <c r="HRR1590" i="1"/>
  <c r="HRQ1590" i="1"/>
  <c r="HRP1590" i="1"/>
  <c r="HRO1590" i="1"/>
  <c r="HRN1590" i="1"/>
  <c r="HRM1590" i="1"/>
  <c r="HRL1590" i="1"/>
  <c r="HRK1590" i="1"/>
  <c r="HRJ1590" i="1"/>
  <c r="HRI1590" i="1"/>
  <c r="HRH1590" i="1"/>
  <c r="HRG1590" i="1"/>
  <c r="HRF1590" i="1"/>
  <c r="HRE1590" i="1"/>
  <c r="HRD1590" i="1"/>
  <c r="HRC1590" i="1"/>
  <c r="HRB1590" i="1"/>
  <c r="HRA1590" i="1"/>
  <c r="HQZ1590" i="1"/>
  <c r="HQY1590" i="1"/>
  <c r="HQX1590" i="1"/>
  <c r="HQW1590" i="1"/>
  <c r="HQV1590" i="1"/>
  <c r="HQU1590" i="1"/>
  <c r="HQT1590" i="1"/>
  <c r="HQS1590" i="1"/>
  <c r="HQR1590" i="1"/>
  <c r="HQQ1590" i="1"/>
  <c r="HQP1590" i="1"/>
  <c r="HQO1590" i="1"/>
  <c r="HQN1590" i="1"/>
  <c r="HQM1590" i="1"/>
  <c r="HQL1590" i="1"/>
  <c r="HQK1590" i="1"/>
  <c r="HQJ1590" i="1"/>
  <c r="HQI1590" i="1"/>
  <c r="HQH1590" i="1"/>
  <c r="HQG1590" i="1"/>
  <c r="HQF1590" i="1"/>
  <c r="HQE1590" i="1"/>
  <c r="HQD1590" i="1"/>
  <c r="HQC1590" i="1"/>
  <c r="HQB1590" i="1"/>
  <c r="HQA1590" i="1"/>
  <c r="HPZ1590" i="1"/>
  <c r="HPY1590" i="1"/>
  <c r="HPX1590" i="1"/>
  <c r="HPW1590" i="1"/>
  <c r="HPV1590" i="1"/>
  <c r="HPU1590" i="1"/>
  <c r="HPT1590" i="1"/>
  <c r="HPS1590" i="1"/>
  <c r="HPR1590" i="1"/>
  <c r="HPQ1590" i="1"/>
  <c r="HPP1590" i="1"/>
  <c r="HPO1590" i="1"/>
  <c r="HPN1590" i="1"/>
  <c r="HPM1590" i="1"/>
  <c r="HPL1590" i="1"/>
  <c r="HPK1590" i="1"/>
  <c r="HPJ1590" i="1"/>
  <c r="HPI1590" i="1"/>
  <c r="HPH1590" i="1"/>
  <c r="HPG1590" i="1"/>
  <c r="HPF1590" i="1"/>
  <c r="HPE1590" i="1"/>
  <c r="HPD1590" i="1"/>
  <c r="HPC1590" i="1"/>
  <c r="HPB1590" i="1"/>
  <c r="HPA1590" i="1"/>
  <c r="HOZ1590" i="1"/>
  <c r="HOY1590" i="1"/>
  <c r="HOX1590" i="1"/>
  <c r="HOW1590" i="1"/>
  <c r="HOV1590" i="1"/>
  <c r="HOU1590" i="1"/>
  <c r="HOT1590" i="1"/>
  <c r="HOS1590" i="1"/>
  <c r="HOR1590" i="1"/>
  <c r="HOQ1590" i="1"/>
  <c r="HOP1590" i="1"/>
  <c r="HOO1590" i="1"/>
  <c r="HON1590" i="1"/>
  <c r="HOM1590" i="1"/>
  <c r="HOL1590" i="1"/>
  <c r="HOK1590" i="1"/>
  <c r="HOJ1590" i="1"/>
  <c r="HOI1590" i="1"/>
  <c r="HOH1590" i="1"/>
  <c r="HOG1590" i="1"/>
  <c r="HOF1590" i="1"/>
  <c r="HOE1590" i="1"/>
  <c r="HOD1590" i="1"/>
  <c r="HOC1590" i="1"/>
  <c r="HOB1590" i="1"/>
  <c r="HOA1590" i="1"/>
  <c r="HNZ1590" i="1"/>
  <c r="HNY1590" i="1"/>
  <c r="HNX1590" i="1"/>
  <c r="HNW1590" i="1"/>
  <c r="HNV1590" i="1"/>
  <c r="HNU1590" i="1"/>
  <c r="HNT1590" i="1"/>
  <c r="HNS1590" i="1"/>
  <c r="HNR1590" i="1"/>
  <c r="HNQ1590" i="1"/>
  <c r="HNP1590" i="1"/>
  <c r="HNO1590" i="1"/>
  <c r="HNN1590" i="1"/>
  <c r="HNM1590" i="1"/>
  <c r="HNL1590" i="1"/>
  <c r="HNK1590" i="1"/>
  <c r="HNJ1590" i="1"/>
  <c r="HNI1590" i="1"/>
  <c r="HNH1590" i="1"/>
  <c r="HNG1590" i="1"/>
  <c r="HNF1590" i="1"/>
  <c r="HNE1590" i="1"/>
  <c r="HND1590" i="1"/>
  <c r="HNC1590" i="1"/>
  <c r="HNB1590" i="1"/>
  <c r="HNA1590" i="1"/>
  <c r="HMZ1590" i="1"/>
  <c r="HMY1590" i="1"/>
  <c r="HMX1590" i="1"/>
  <c r="HMW1590" i="1"/>
  <c r="HMV1590" i="1"/>
  <c r="HMU1590" i="1"/>
  <c r="HMT1590" i="1"/>
  <c r="HMS1590" i="1"/>
  <c r="HMR1590" i="1"/>
  <c r="HMQ1590" i="1"/>
  <c r="HMP1590" i="1"/>
  <c r="HMO1590" i="1"/>
  <c r="HMN1590" i="1"/>
  <c r="HMM1590" i="1"/>
  <c r="HML1590" i="1"/>
  <c r="HMK1590" i="1"/>
  <c r="HMJ1590" i="1"/>
  <c r="HMI1590" i="1"/>
  <c r="HMH1590" i="1"/>
  <c r="HMG1590" i="1"/>
  <c r="HMF1590" i="1"/>
  <c r="HME1590" i="1"/>
  <c r="HMD1590" i="1"/>
  <c r="HMC1590" i="1"/>
  <c r="HMB1590" i="1"/>
  <c r="HMA1590" i="1"/>
  <c r="HLZ1590" i="1"/>
  <c r="HLY1590" i="1"/>
  <c r="HLX1590" i="1"/>
  <c r="HLW1590" i="1"/>
  <c r="HLV1590" i="1"/>
  <c r="HLU1590" i="1"/>
  <c r="HLT1590" i="1"/>
  <c r="HLS1590" i="1"/>
  <c r="HLR1590" i="1"/>
  <c r="HLQ1590" i="1"/>
  <c r="HLP1590" i="1"/>
  <c r="HLO1590" i="1"/>
  <c r="HLN1590" i="1"/>
  <c r="HLM1590" i="1"/>
  <c r="HLL1590" i="1"/>
  <c r="HLK1590" i="1"/>
  <c r="HLJ1590" i="1"/>
  <c r="HLI1590" i="1"/>
  <c r="HLH1590" i="1"/>
  <c r="HLG1590" i="1"/>
  <c r="HLF1590" i="1"/>
  <c r="HLE1590" i="1"/>
  <c r="HLD1590" i="1"/>
  <c r="HLC1590" i="1"/>
  <c r="HLB1590" i="1"/>
  <c r="HLA1590" i="1"/>
  <c r="HKZ1590" i="1"/>
  <c r="HKY1590" i="1"/>
  <c r="HKX1590" i="1"/>
  <c r="HKW1590" i="1"/>
  <c r="HKV1590" i="1"/>
  <c r="HKU1590" i="1"/>
  <c r="HKT1590" i="1"/>
  <c r="HKS1590" i="1"/>
  <c r="HKR1590" i="1"/>
  <c r="HKQ1590" i="1"/>
  <c r="HKP1590" i="1"/>
  <c r="HKO1590" i="1"/>
  <c r="HKN1590" i="1"/>
  <c r="HKM1590" i="1"/>
  <c r="HKL1590" i="1"/>
  <c r="HKK1590" i="1"/>
  <c r="HKJ1590" i="1"/>
  <c r="HKI1590" i="1"/>
  <c r="HKH1590" i="1"/>
  <c r="HKG1590" i="1"/>
  <c r="HKF1590" i="1"/>
  <c r="HKE1590" i="1"/>
  <c r="HKD1590" i="1"/>
  <c r="HKC1590" i="1"/>
  <c r="HKB1590" i="1"/>
  <c r="HKA1590" i="1"/>
  <c r="HJZ1590" i="1"/>
  <c r="HJY1590" i="1"/>
  <c r="HJX1590" i="1"/>
  <c r="HJW1590" i="1"/>
  <c r="HJV1590" i="1"/>
  <c r="HJU1590" i="1"/>
  <c r="HJT1590" i="1"/>
  <c r="HJS1590" i="1"/>
  <c r="HJR1590" i="1"/>
  <c r="HJQ1590" i="1"/>
  <c r="HJP1590" i="1"/>
  <c r="HJO1590" i="1"/>
  <c r="HJN1590" i="1"/>
  <c r="HJM1590" i="1"/>
  <c r="HJL1590" i="1"/>
  <c r="HJK1590" i="1"/>
  <c r="HJJ1590" i="1"/>
  <c r="HJI1590" i="1"/>
  <c r="HJH1590" i="1"/>
  <c r="HJG1590" i="1"/>
  <c r="HJF1590" i="1"/>
  <c r="HJE1590" i="1"/>
  <c r="HJD1590" i="1"/>
  <c r="HJC1590" i="1"/>
  <c r="HJB1590" i="1"/>
  <c r="HJA1590" i="1"/>
  <c r="HIZ1590" i="1"/>
  <c r="HIY1590" i="1"/>
  <c r="HIX1590" i="1"/>
  <c r="HIW1590" i="1"/>
  <c r="HIV1590" i="1"/>
  <c r="HIU1590" i="1"/>
  <c r="HIT1590" i="1"/>
  <c r="HIS1590" i="1"/>
  <c r="HIR1590" i="1"/>
  <c r="HIQ1590" i="1"/>
  <c r="HIP1590" i="1"/>
  <c r="HIO1590" i="1"/>
  <c r="HIN1590" i="1"/>
  <c r="HIM1590" i="1"/>
  <c r="HIL1590" i="1"/>
  <c r="HIK1590" i="1"/>
  <c r="HIJ1590" i="1"/>
  <c r="HII1590" i="1"/>
  <c r="HIH1590" i="1"/>
  <c r="HIG1590" i="1"/>
  <c r="HIF1590" i="1"/>
  <c r="HIE1590" i="1"/>
  <c r="HID1590" i="1"/>
  <c r="HIC1590" i="1"/>
  <c r="HIB1590" i="1"/>
  <c r="HIA1590" i="1"/>
  <c r="HHZ1590" i="1"/>
  <c r="HHY1590" i="1"/>
  <c r="HHX1590" i="1"/>
  <c r="HHW1590" i="1"/>
  <c r="HHV1590" i="1"/>
  <c r="HHU1590" i="1"/>
  <c r="HHT1590" i="1"/>
  <c r="HHS1590" i="1"/>
  <c r="HHR1590" i="1"/>
  <c r="HHQ1590" i="1"/>
  <c r="HHP1590" i="1"/>
  <c r="HHO1590" i="1"/>
  <c r="HHN1590" i="1"/>
  <c r="HHM1590" i="1"/>
  <c r="HHL1590" i="1"/>
  <c r="HHK1590" i="1"/>
  <c r="HHJ1590" i="1"/>
  <c r="HHI1590" i="1"/>
  <c r="HHH1590" i="1"/>
  <c r="HHG1590" i="1"/>
  <c r="HHF1590" i="1"/>
  <c r="HHE1590" i="1"/>
  <c r="HHD1590" i="1"/>
  <c r="HHC1590" i="1"/>
  <c r="HHB1590" i="1"/>
  <c r="HHA1590" i="1"/>
  <c r="HGZ1590" i="1"/>
  <c r="HGY1590" i="1"/>
  <c r="HGX1590" i="1"/>
  <c r="HGW1590" i="1"/>
  <c r="HGV1590" i="1"/>
  <c r="HGU1590" i="1"/>
  <c r="HGT1590" i="1"/>
  <c r="HGS1590" i="1"/>
  <c r="HGR1590" i="1"/>
  <c r="HGQ1590" i="1"/>
  <c r="HGP1590" i="1"/>
  <c r="HGO1590" i="1"/>
  <c r="HGN1590" i="1"/>
  <c r="HGM1590" i="1"/>
  <c r="HGL1590" i="1"/>
  <c r="HGK1590" i="1"/>
  <c r="HGJ1590" i="1"/>
  <c r="HGI1590" i="1"/>
  <c r="HGH1590" i="1"/>
  <c r="HGG1590" i="1"/>
  <c r="HGF1590" i="1"/>
  <c r="HGE1590" i="1"/>
  <c r="HGD1590" i="1"/>
  <c r="HGC1590" i="1"/>
  <c r="HGB1590" i="1"/>
  <c r="HGA1590" i="1"/>
  <c r="HFZ1590" i="1"/>
  <c r="HFY1590" i="1"/>
  <c r="HFX1590" i="1"/>
  <c r="HFW1590" i="1"/>
  <c r="HFV1590" i="1"/>
  <c r="HFU1590" i="1"/>
  <c r="HFT1590" i="1"/>
  <c r="HFS1590" i="1"/>
  <c r="HFR1590" i="1"/>
  <c r="HFQ1590" i="1"/>
  <c r="HFP1590" i="1"/>
  <c r="HFO1590" i="1"/>
  <c r="HFN1590" i="1"/>
  <c r="HFM1590" i="1"/>
  <c r="HFL1590" i="1"/>
  <c r="HFK1590" i="1"/>
  <c r="HFJ1590" i="1"/>
  <c r="HFI1590" i="1"/>
  <c r="HFH1590" i="1"/>
  <c r="HFG1590" i="1"/>
  <c r="HFF1590" i="1"/>
  <c r="HFE1590" i="1"/>
  <c r="HFD1590" i="1"/>
  <c r="HFC1590" i="1"/>
  <c r="HFB1590" i="1"/>
  <c r="HFA1590" i="1"/>
  <c r="HEZ1590" i="1"/>
  <c r="HEY1590" i="1"/>
  <c r="HEX1590" i="1"/>
  <c r="HEW1590" i="1"/>
  <c r="HEV1590" i="1"/>
  <c r="HEU1590" i="1"/>
  <c r="HET1590" i="1"/>
  <c r="HES1590" i="1"/>
  <c r="HER1590" i="1"/>
  <c r="HEQ1590" i="1"/>
  <c r="HEP1590" i="1"/>
  <c r="HEO1590" i="1"/>
  <c r="HEN1590" i="1"/>
  <c r="HEM1590" i="1"/>
  <c r="HEL1590" i="1"/>
  <c r="HEK1590" i="1"/>
  <c r="HEJ1590" i="1"/>
  <c r="HEI1590" i="1"/>
  <c r="HEH1590" i="1"/>
  <c r="HEG1590" i="1"/>
  <c r="HEF1590" i="1"/>
  <c r="HEE1590" i="1"/>
  <c r="HED1590" i="1"/>
  <c r="HEC1590" i="1"/>
  <c r="HEB1590" i="1"/>
  <c r="HEA1590" i="1"/>
  <c r="HDZ1590" i="1"/>
  <c r="HDY1590" i="1"/>
  <c r="HDX1590" i="1"/>
  <c r="HDW1590" i="1"/>
  <c r="HDV1590" i="1"/>
  <c r="HDU1590" i="1"/>
  <c r="HDT1590" i="1"/>
  <c r="HDS1590" i="1"/>
  <c r="HDR1590" i="1"/>
  <c r="HDQ1590" i="1"/>
  <c r="HDP1590" i="1"/>
  <c r="HDO1590" i="1"/>
  <c r="HDN1590" i="1"/>
  <c r="HDM1590" i="1"/>
  <c r="HDL1590" i="1"/>
  <c r="HDK1590" i="1"/>
  <c r="HDJ1590" i="1"/>
  <c r="HDI1590" i="1"/>
  <c r="HDH1590" i="1"/>
  <c r="HDG1590" i="1"/>
  <c r="HDF1590" i="1"/>
  <c r="HDE1590" i="1"/>
  <c r="HDD1590" i="1"/>
  <c r="HDC1590" i="1"/>
  <c r="HDB1590" i="1"/>
  <c r="HDA1590" i="1"/>
  <c r="HCZ1590" i="1"/>
  <c r="HCY1590" i="1"/>
  <c r="HCX1590" i="1"/>
  <c r="HCW1590" i="1"/>
  <c r="HCV1590" i="1"/>
  <c r="HCU1590" i="1"/>
  <c r="HCT1590" i="1"/>
  <c r="HCS1590" i="1"/>
  <c r="HCR1590" i="1"/>
  <c r="HCQ1590" i="1"/>
  <c r="HCP1590" i="1"/>
  <c r="HCO1590" i="1"/>
  <c r="HCN1590" i="1"/>
  <c r="HCM1590" i="1"/>
  <c r="HCL1590" i="1"/>
  <c r="HCK1590" i="1"/>
  <c r="HCJ1590" i="1"/>
  <c r="HCI1590" i="1"/>
  <c r="HCH1590" i="1"/>
  <c r="HCG1590" i="1"/>
  <c r="HCF1590" i="1"/>
  <c r="HCE1590" i="1"/>
  <c r="HCD1590" i="1"/>
  <c r="HCC1590" i="1"/>
  <c r="HCB1590" i="1"/>
  <c r="HCA1590" i="1"/>
  <c r="HBZ1590" i="1"/>
  <c r="HBY1590" i="1"/>
  <c r="HBX1590" i="1"/>
  <c r="HBW1590" i="1"/>
  <c r="HBV1590" i="1"/>
  <c r="HBU1590" i="1"/>
  <c r="HBT1590" i="1"/>
  <c r="HBS1590" i="1"/>
  <c r="HBR1590" i="1"/>
  <c r="HBQ1590" i="1"/>
  <c r="HBP1590" i="1"/>
  <c r="HBO1590" i="1"/>
  <c r="HBN1590" i="1"/>
  <c r="HBM1590" i="1"/>
  <c r="HBL1590" i="1"/>
  <c r="HBK1590" i="1"/>
  <c r="HBJ1590" i="1"/>
  <c r="HBI1590" i="1"/>
  <c r="HBH1590" i="1"/>
  <c r="HBG1590" i="1"/>
  <c r="HBF1590" i="1"/>
  <c r="HBE1590" i="1"/>
  <c r="HBD1590" i="1"/>
  <c r="HBC1590" i="1"/>
  <c r="HBB1590" i="1"/>
  <c r="HBA1590" i="1"/>
  <c r="HAZ1590" i="1"/>
  <c r="HAY1590" i="1"/>
  <c r="HAX1590" i="1"/>
  <c r="HAW1590" i="1"/>
  <c r="HAV1590" i="1"/>
  <c r="HAU1590" i="1"/>
  <c r="HAT1590" i="1"/>
  <c r="HAS1590" i="1"/>
  <c r="HAR1590" i="1"/>
  <c r="HAQ1590" i="1"/>
  <c r="HAP1590" i="1"/>
  <c r="HAO1590" i="1"/>
  <c r="HAN1590" i="1"/>
  <c r="HAM1590" i="1"/>
  <c r="HAL1590" i="1"/>
  <c r="HAK1590" i="1"/>
  <c r="HAJ1590" i="1"/>
  <c r="HAI1590" i="1"/>
  <c r="HAH1590" i="1"/>
  <c r="HAG1590" i="1"/>
  <c r="HAF1590" i="1"/>
  <c r="HAE1590" i="1"/>
  <c r="HAD1590" i="1"/>
  <c r="HAC1590" i="1"/>
  <c r="HAB1590" i="1"/>
  <c r="HAA1590" i="1"/>
  <c r="GZZ1590" i="1"/>
  <c r="GZY1590" i="1"/>
  <c r="GZX1590" i="1"/>
  <c r="GZW1590" i="1"/>
  <c r="GZV1590" i="1"/>
  <c r="GZU1590" i="1"/>
  <c r="GZT1590" i="1"/>
  <c r="GZS1590" i="1"/>
  <c r="GZR1590" i="1"/>
  <c r="GZQ1590" i="1"/>
  <c r="GZP1590" i="1"/>
  <c r="GZO1590" i="1"/>
  <c r="GZN1590" i="1"/>
  <c r="GZM1590" i="1"/>
  <c r="GZL1590" i="1"/>
  <c r="GZK1590" i="1"/>
  <c r="GZJ1590" i="1"/>
  <c r="GZI1590" i="1"/>
  <c r="GZH1590" i="1"/>
  <c r="GZG1590" i="1"/>
  <c r="GZF1590" i="1"/>
  <c r="GZE1590" i="1"/>
  <c r="GZD1590" i="1"/>
  <c r="GZC1590" i="1"/>
  <c r="GZB1590" i="1"/>
  <c r="GZA1590" i="1"/>
  <c r="GYZ1590" i="1"/>
  <c r="GYY1590" i="1"/>
  <c r="GYX1590" i="1"/>
  <c r="GYW1590" i="1"/>
  <c r="GYV1590" i="1"/>
  <c r="GYU1590" i="1"/>
  <c r="GYT1590" i="1"/>
  <c r="GYS1590" i="1"/>
  <c r="GYR1590" i="1"/>
  <c r="GYQ1590" i="1"/>
  <c r="GYP1590" i="1"/>
  <c r="GYO1590" i="1"/>
  <c r="GYN1590" i="1"/>
  <c r="GYM1590" i="1"/>
  <c r="GYL1590" i="1"/>
  <c r="GYK1590" i="1"/>
  <c r="GYJ1590" i="1"/>
  <c r="GYI1590" i="1"/>
  <c r="GYH1590" i="1"/>
  <c r="GYG1590" i="1"/>
  <c r="GYF1590" i="1"/>
  <c r="GYE1590" i="1"/>
  <c r="GYD1590" i="1"/>
  <c r="GYC1590" i="1"/>
  <c r="GYB1590" i="1"/>
  <c r="GYA1590" i="1"/>
  <c r="GXZ1590" i="1"/>
  <c r="GXY1590" i="1"/>
  <c r="GXX1590" i="1"/>
  <c r="GXW1590" i="1"/>
  <c r="GXV1590" i="1"/>
  <c r="GXU1590" i="1"/>
  <c r="GXT1590" i="1"/>
  <c r="GXS1590" i="1"/>
  <c r="GXR1590" i="1"/>
  <c r="GXQ1590" i="1"/>
  <c r="GXP1590" i="1"/>
  <c r="GXO1590" i="1"/>
  <c r="GXN1590" i="1"/>
  <c r="GXM1590" i="1"/>
  <c r="GXL1590" i="1"/>
  <c r="GXK1590" i="1"/>
  <c r="GXJ1590" i="1"/>
  <c r="GXI1590" i="1"/>
  <c r="GXH1590" i="1"/>
  <c r="GXG1590" i="1"/>
  <c r="GXF1590" i="1"/>
  <c r="GXE1590" i="1"/>
  <c r="GXD1590" i="1"/>
  <c r="GXC1590" i="1"/>
  <c r="GXB1590" i="1"/>
  <c r="GXA1590" i="1"/>
  <c r="GWZ1590" i="1"/>
  <c r="GWY1590" i="1"/>
  <c r="GWX1590" i="1"/>
  <c r="GWW1590" i="1"/>
  <c r="GWV1590" i="1"/>
  <c r="GWU1590" i="1"/>
  <c r="GWT1590" i="1"/>
  <c r="GWS1590" i="1"/>
  <c r="GWR1590" i="1"/>
  <c r="GWQ1590" i="1"/>
  <c r="GWP1590" i="1"/>
  <c r="GWO1590" i="1"/>
  <c r="GWN1590" i="1"/>
  <c r="GWM1590" i="1"/>
  <c r="GWL1590" i="1"/>
  <c r="GWK1590" i="1"/>
  <c r="GWJ1590" i="1"/>
  <c r="GWI1590" i="1"/>
  <c r="GWH1590" i="1"/>
  <c r="GWG1590" i="1"/>
  <c r="GWF1590" i="1"/>
  <c r="GWE1590" i="1"/>
  <c r="GWD1590" i="1"/>
  <c r="GWC1590" i="1"/>
  <c r="GWB1590" i="1"/>
  <c r="GWA1590" i="1"/>
  <c r="GVZ1590" i="1"/>
  <c r="GVY1590" i="1"/>
  <c r="GVX1590" i="1"/>
  <c r="GVW1590" i="1"/>
  <c r="GVV1590" i="1"/>
  <c r="GVU1590" i="1"/>
  <c r="GVT1590" i="1"/>
  <c r="GVS1590" i="1"/>
  <c r="GVR1590" i="1"/>
  <c r="GVQ1590" i="1"/>
  <c r="GVP1590" i="1"/>
  <c r="GVO1590" i="1"/>
  <c r="GVN1590" i="1"/>
  <c r="GVM1590" i="1"/>
  <c r="GVL1590" i="1"/>
  <c r="GVK1590" i="1"/>
  <c r="GVJ1590" i="1"/>
  <c r="GVI1590" i="1"/>
  <c r="GVH1590" i="1"/>
  <c r="GVG1590" i="1"/>
  <c r="GVF1590" i="1"/>
  <c r="GVE1590" i="1"/>
  <c r="GVD1590" i="1"/>
  <c r="GVC1590" i="1"/>
  <c r="GVB1590" i="1"/>
  <c r="GVA1590" i="1"/>
  <c r="GUZ1590" i="1"/>
  <c r="GUY1590" i="1"/>
  <c r="GUX1590" i="1"/>
  <c r="GUW1590" i="1"/>
  <c r="GUV1590" i="1"/>
  <c r="GUU1590" i="1"/>
  <c r="GUT1590" i="1"/>
  <c r="GUS1590" i="1"/>
  <c r="GUR1590" i="1"/>
  <c r="GUQ1590" i="1"/>
  <c r="GUP1590" i="1"/>
  <c r="GUO1590" i="1"/>
  <c r="GUN1590" i="1"/>
  <c r="GUM1590" i="1"/>
  <c r="GUL1590" i="1"/>
  <c r="GUK1590" i="1"/>
  <c r="GUJ1590" i="1"/>
  <c r="GUI1590" i="1"/>
  <c r="GUH1590" i="1"/>
  <c r="GUG1590" i="1"/>
  <c r="GUF1590" i="1"/>
  <c r="GUE1590" i="1"/>
  <c r="GUD1590" i="1"/>
  <c r="GUC1590" i="1"/>
  <c r="GUB1590" i="1"/>
  <c r="GUA1590" i="1"/>
  <c r="GTZ1590" i="1"/>
  <c r="GTY1590" i="1"/>
  <c r="GTX1590" i="1"/>
  <c r="GTW1590" i="1"/>
  <c r="GTV1590" i="1"/>
  <c r="GTU1590" i="1"/>
  <c r="GTT1590" i="1"/>
  <c r="GTS1590" i="1"/>
  <c r="GTR1590" i="1"/>
  <c r="GTQ1590" i="1"/>
  <c r="GTP1590" i="1"/>
  <c r="GTO1590" i="1"/>
  <c r="GTN1590" i="1"/>
  <c r="GTM1590" i="1"/>
  <c r="GTL1590" i="1"/>
  <c r="GTK1590" i="1"/>
  <c r="GTJ1590" i="1"/>
  <c r="GTI1590" i="1"/>
  <c r="GTH1590" i="1"/>
  <c r="GTG1590" i="1"/>
  <c r="GTF1590" i="1"/>
  <c r="GTE1590" i="1"/>
  <c r="GTD1590" i="1"/>
  <c r="GTC1590" i="1"/>
  <c r="GTB1590" i="1"/>
  <c r="GTA1590" i="1"/>
  <c r="GSZ1590" i="1"/>
  <c r="GSY1590" i="1"/>
  <c r="GSX1590" i="1"/>
  <c r="GSW1590" i="1"/>
  <c r="GSV1590" i="1"/>
  <c r="GSU1590" i="1"/>
  <c r="GST1590" i="1"/>
  <c r="GSS1590" i="1"/>
  <c r="GSR1590" i="1"/>
  <c r="GSQ1590" i="1"/>
  <c r="GSP1590" i="1"/>
  <c r="GSO1590" i="1"/>
  <c r="GSN1590" i="1"/>
  <c r="GSM1590" i="1"/>
  <c r="GSL1590" i="1"/>
  <c r="GSK1590" i="1"/>
  <c r="GSJ1590" i="1"/>
  <c r="GSI1590" i="1"/>
  <c r="GSH1590" i="1"/>
  <c r="GSG1590" i="1"/>
  <c r="GSF1590" i="1"/>
  <c r="GSE1590" i="1"/>
  <c r="GSD1590" i="1"/>
  <c r="GSC1590" i="1"/>
  <c r="GSB1590" i="1"/>
  <c r="GSA1590" i="1"/>
  <c r="GRZ1590" i="1"/>
  <c r="GRY1590" i="1"/>
  <c r="GRX1590" i="1"/>
  <c r="GRW1590" i="1"/>
  <c r="GRV1590" i="1"/>
  <c r="GRU1590" i="1"/>
  <c r="GRT1590" i="1"/>
  <c r="GRS1590" i="1"/>
  <c r="GRR1590" i="1"/>
  <c r="GRQ1590" i="1"/>
  <c r="GRP1590" i="1"/>
  <c r="GRO1590" i="1"/>
  <c r="GRN1590" i="1"/>
  <c r="GRM1590" i="1"/>
  <c r="GRL1590" i="1"/>
  <c r="GRK1590" i="1"/>
  <c r="GRJ1590" i="1"/>
  <c r="GRI1590" i="1"/>
  <c r="GRH1590" i="1"/>
  <c r="GRG1590" i="1"/>
  <c r="GRF1590" i="1"/>
  <c r="GRE1590" i="1"/>
  <c r="GRD1590" i="1"/>
  <c r="GRC1590" i="1"/>
  <c r="GRB1590" i="1"/>
  <c r="GRA1590" i="1"/>
  <c r="GQZ1590" i="1"/>
  <c r="GQY1590" i="1"/>
  <c r="GQX1590" i="1"/>
  <c r="GQW1590" i="1"/>
  <c r="GQV1590" i="1"/>
  <c r="GQU1590" i="1"/>
  <c r="GQT1590" i="1"/>
  <c r="GQS1590" i="1"/>
  <c r="GQR1590" i="1"/>
  <c r="GQQ1590" i="1"/>
  <c r="GQP1590" i="1"/>
  <c r="GQO1590" i="1"/>
  <c r="GQN1590" i="1"/>
  <c r="GQM1590" i="1"/>
  <c r="GQL1590" i="1"/>
  <c r="GQK1590" i="1"/>
  <c r="GQJ1590" i="1"/>
  <c r="GQI1590" i="1"/>
  <c r="GQH1590" i="1"/>
  <c r="GQG1590" i="1"/>
  <c r="GQF1590" i="1"/>
  <c r="GQE1590" i="1"/>
  <c r="GQD1590" i="1"/>
  <c r="GQC1590" i="1"/>
  <c r="GQB1590" i="1"/>
  <c r="GQA1590" i="1"/>
  <c r="GPZ1590" i="1"/>
  <c r="GPY1590" i="1"/>
  <c r="GPX1590" i="1"/>
  <c r="GPW1590" i="1"/>
  <c r="GPV1590" i="1"/>
  <c r="GPU1590" i="1"/>
  <c r="GPT1590" i="1"/>
  <c r="GPS1590" i="1"/>
  <c r="GPR1590" i="1"/>
  <c r="GPQ1590" i="1"/>
  <c r="GPP1590" i="1"/>
  <c r="GPO1590" i="1"/>
  <c r="GPN1590" i="1"/>
  <c r="GPM1590" i="1"/>
  <c r="GPL1590" i="1"/>
  <c r="GPK1590" i="1"/>
  <c r="GPJ1590" i="1"/>
  <c r="GPI1590" i="1"/>
  <c r="GPH1590" i="1"/>
  <c r="GPG1590" i="1"/>
  <c r="GPF1590" i="1"/>
  <c r="GPE1590" i="1"/>
  <c r="GPD1590" i="1"/>
  <c r="GPC1590" i="1"/>
  <c r="GPB1590" i="1"/>
  <c r="GPA1590" i="1"/>
  <c r="GOZ1590" i="1"/>
  <c r="GOY1590" i="1"/>
  <c r="GOX1590" i="1"/>
  <c r="GOW1590" i="1"/>
  <c r="GOV1590" i="1"/>
  <c r="GOU1590" i="1"/>
  <c r="GOT1590" i="1"/>
  <c r="GOS1590" i="1"/>
  <c r="GOR1590" i="1"/>
  <c r="GOQ1590" i="1"/>
  <c r="GOP1590" i="1"/>
  <c r="GOO1590" i="1"/>
  <c r="GON1590" i="1"/>
  <c r="GOM1590" i="1"/>
  <c r="GOL1590" i="1"/>
  <c r="GOK1590" i="1"/>
  <c r="GOJ1590" i="1"/>
  <c r="GOI1590" i="1"/>
  <c r="GOH1590" i="1"/>
  <c r="GOG1590" i="1"/>
  <c r="GOF1590" i="1"/>
  <c r="GOE1590" i="1"/>
  <c r="GOD1590" i="1"/>
  <c r="GOC1590" i="1"/>
  <c r="GOB1590" i="1"/>
  <c r="GOA1590" i="1"/>
  <c r="GNZ1590" i="1"/>
  <c r="GNY1590" i="1"/>
  <c r="GNX1590" i="1"/>
  <c r="GNW1590" i="1"/>
  <c r="GNV1590" i="1"/>
  <c r="GNU1590" i="1"/>
  <c r="GNT1590" i="1"/>
  <c r="GNS1590" i="1"/>
  <c r="GNR1590" i="1"/>
  <c r="GNQ1590" i="1"/>
  <c r="GNP1590" i="1"/>
  <c r="GNO1590" i="1"/>
  <c r="GNN1590" i="1"/>
  <c r="GNM1590" i="1"/>
  <c r="GNL1590" i="1"/>
  <c r="GNK1590" i="1"/>
  <c r="GNJ1590" i="1"/>
  <c r="GNI1590" i="1"/>
  <c r="GNH1590" i="1"/>
  <c r="GNG1590" i="1"/>
  <c r="GNF1590" i="1"/>
  <c r="GNE1590" i="1"/>
  <c r="GND1590" i="1"/>
  <c r="GNC1590" i="1"/>
  <c r="GNB1590" i="1"/>
  <c r="GNA1590" i="1"/>
  <c r="GMZ1590" i="1"/>
  <c r="GMY1590" i="1"/>
  <c r="GMX1590" i="1"/>
  <c r="GMW1590" i="1"/>
  <c r="GMV1590" i="1"/>
  <c r="GMU1590" i="1"/>
  <c r="GMT1590" i="1"/>
  <c r="GMS1590" i="1"/>
  <c r="GMR1590" i="1"/>
  <c r="GMQ1590" i="1"/>
  <c r="GMP1590" i="1"/>
  <c r="GMO1590" i="1"/>
  <c r="GMN1590" i="1"/>
  <c r="GMM1590" i="1"/>
  <c r="GML1590" i="1"/>
  <c r="GMK1590" i="1"/>
  <c r="GMJ1590" i="1"/>
  <c r="GMI1590" i="1"/>
  <c r="GMH1590" i="1"/>
  <c r="GMG1590" i="1"/>
  <c r="GMF1590" i="1"/>
  <c r="GME1590" i="1"/>
  <c r="GMD1590" i="1"/>
  <c r="GMC1590" i="1"/>
  <c r="GMB1590" i="1"/>
  <c r="GMA1590" i="1"/>
  <c r="GLZ1590" i="1"/>
  <c r="GLY1590" i="1"/>
  <c r="GLX1590" i="1"/>
  <c r="GLW1590" i="1"/>
  <c r="GLV1590" i="1"/>
  <c r="GLU1590" i="1"/>
  <c r="GLT1590" i="1"/>
  <c r="GLS1590" i="1"/>
  <c r="GLR1590" i="1"/>
  <c r="GLQ1590" i="1"/>
  <c r="GLP1590" i="1"/>
  <c r="GLO1590" i="1"/>
  <c r="GLN1590" i="1"/>
  <c r="GLM1590" i="1"/>
  <c r="GLL1590" i="1"/>
  <c r="GLK1590" i="1"/>
  <c r="GLJ1590" i="1"/>
  <c r="GLI1590" i="1"/>
  <c r="GLH1590" i="1"/>
  <c r="GLG1590" i="1"/>
  <c r="GLF1590" i="1"/>
  <c r="GLE1590" i="1"/>
  <c r="GLD1590" i="1"/>
  <c r="GLC1590" i="1"/>
  <c r="GLB1590" i="1"/>
  <c r="GLA1590" i="1"/>
  <c r="GKZ1590" i="1"/>
  <c r="GKY1590" i="1"/>
  <c r="GKX1590" i="1"/>
  <c r="GKW1590" i="1"/>
  <c r="GKV1590" i="1"/>
  <c r="GKU1590" i="1"/>
  <c r="GKT1590" i="1"/>
  <c r="GKS1590" i="1"/>
  <c r="GKR1590" i="1"/>
  <c r="GKQ1590" i="1"/>
  <c r="GKP1590" i="1"/>
  <c r="GKO1590" i="1"/>
  <c r="GKN1590" i="1"/>
  <c r="GKM1590" i="1"/>
  <c r="GKL1590" i="1"/>
  <c r="GKK1590" i="1"/>
  <c r="GKJ1590" i="1"/>
  <c r="GKI1590" i="1"/>
  <c r="GKH1590" i="1"/>
  <c r="GKG1590" i="1"/>
  <c r="GKF1590" i="1"/>
  <c r="GKE1590" i="1"/>
  <c r="GKD1590" i="1"/>
  <c r="GKC1590" i="1"/>
  <c r="GKB1590" i="1"/>
  <c r="GKA1590" i="1"/>
  <c r="GJZ1590" i="1"/>
  <c r="GJY1590" i="1"/>
  <c r="GJX1590" i="1"/>
  <c r="GJW1590" i="1"/>
  <c r="GJV1590" i="1"/>
  <c r="GJU1590" i="1"/>
  <c r="GJT1590" i="1"/>
  <c r="GJS1590" i="1"/>
  <c r="GJR1590" i="1"/>
  <c r="GJQ1590" i="1"/>
  <c r="GJP1590" i="1"/>
  <c r="GJO1590" i="1"/>
  <c r="GJN1590" i="1"/>
  <c r="GJM1590" i="1"/>
  <c r="GJL1590" i="1"/>
  <c r="GJK1590" i="1"/>
  <c r="GJJ1590" i="1"/>
  <c r="GJI1590" i="1"/>
  <c r="GJH1590" i="1"/>
  <c r="GJG1590" i="1"/>
  <c r="GJF1590" i="1"/>
  <c r="GJE1590" i="1"/>
  <c r="GJD1590" i="1"/>
  <c r="GJC1590" i="1"/>
  <c r="GJB1590" i="1"/>
  <c r="GJA1590" i="1"/>
  <c r="GIZ1590" i="1"/>
  <c r="GIY1590" i="1"/>
  <c r="GIX1590" i="1"/>
  <c r="GIW1590" i="1"/>
  <c r="GIV1590" i="1"/>
  <c r="GIU1590" i="1"/>
  <c r="GIT1590" i="1"/>
  <c r="GIS1590" i="1"/>
  <c r="GIR1590" i="1"/>
  <c r="GIQ1590" i="1"/>
  <c r="GIP1590" i="1"/>
  <c r="GIO1590" i="1"/>
  <c r="GIN1590" i="1"/>
  <c r="GIM1590" i="1"/>
  <c r="GIL1590" i="1"/>
  <c r="GIK1590" i="1"/>
  <c r="GIJ1590" i="1"/>
  <c r="GII1590" i="1"/>
  <c r="GIH1590" i="1"/>
  <c r="GIG1590" i="1"/>
  <c r="GIF1590" i="1"/>
  <c r="GIE1590" i="1"/>
  <c r="GID1590" i="1"/>
  <c r="GIC1590" i="1"/>
  <c r="GIB1590" i="1"/>
  <c r="GIA1590" i="1"/>
  <c r="GHZ1590" i="1"/>
  <c r="GHY1590" i="1"/>
  <c r="GHX1590" i="1"/>
  <c r="GHW1590" i="1"/>
  <c r="GHV1590" i="1"/>
  <c r="GHU1590" i="1"/>
  <c r="GHT1590" i="1"/>
  <c r="GHS1590" i="1"/>
  <c r="GHR1590" i="1"/>
  <c r="GHQ1590" i="1"/>
  <c r="GHP1590" i="1"/>
  <c r="GHO1590" i="1"/>
  <c r="GHN1590" i="1"/>
  <c r="GHM1590" i="1"/>
  <c r="GHL1590" i="1"/>
  <c r="GHK1590" i="1"/>
  <c r="GHJ1590" i="1"/>
  <c r="GHI1590" i="1"/>
  <c r="GHH1590" i="1"/>
  <c r="GHG1590" i="1"/>
  <c r="GHF1590" i="1"/>
  <c r="GHE1590" i="1"/>
  <c r="GHD1590" i="1"/>
  <c r="GHC1590" i="1"/>
  <c r="GHB1590" i="1"/>
  <c r="GHA1590" i="1"/>
  <c r="GGZ1590" i="1"/>
  <c r="GGY1590" i="1"/>
  <c r="GGX1590" i="1"/>
  <c r="GGW1590" i="1"/>
  <c r="GGV1590" i="1"/>
  <c r="GGU1590" i="1"/>
  <c r="GGT1590" i="1"/>
  <c r="GGS1590" i="1"/>
  <c r="GGR1590" i="1"/>
  <c r="GGQ1590" i="1"/>
  <c r="GGP1590" i="1"/>
  <c r="GGO1590" i="1"/>
  <c r="GGN1590" i="1"/>
  <c r="GGM1590" i="1"/>
  <c r="GGL1590" i="1"/>
  <c r="GGK1590" i="1"/>
  <c r="GGJ1590" i="1"/>
  <c r="GGI1590" i="1"/>
  <c r="GGH1590" i="1"/>
  <c r="GGG1590" i="1"/>
  <c r="GGF1590" i="1"/>
  <c r="GGE1590" i="1"/>
  <c r="GGD1590" i="1"/>
  <c r="GGC1590" i="1"/>
  <c r="GGB1590" i="1"/>
  <c r="GGA1590" i="1"/>
  <c r="GFZ1590" i="1"/>
  <c r="GFY1590" i="1"/>
  <c r="GFX1590" i="1"/>
  <c r="GFW1590" i="1"/>
  <c r="GFV1590" i="1"/>
  <c r="GFU1590" i="1"/>
  <c r="GFT1590" i="1"/>
  <c r="GFS1590" i="1"/>
  <c r="GFR1590" i="1"/>
  <c r="GFQ1590" i="1"/>
  <c r="GFP1590" i="1"/>
  <c r="GFO1590" i="1"/>
  <c r="GFN1590" i="1"/>
  <c r="GFM1590" i="1"/>
  <c r="GFL1590" i="1"/>
  <c r="GFK1590" i="1"/>
  <c r="GFJ1590" i="1"/>
  <c r="GFI1590" i="1"/>
  <c r="GFH1590" i="1"/>
  <c r="GFG1590" i="1"/>
  <c r="GFF1590" i="1"/>
  <c r="GFE1590" i="1"/>
  <c r="GFD1590" i="1"/>
  <c r="GFC1590" i="1"/>
  <c r="GFB1590" i="1"/>
  <c r="GFA1590" i="1"/>
  <c r="GEZ1590" i="1"/>
  <c r="GEY1590" i="1"/>
  <c r="GEX1590" i="1"/>
  <c r="GEW1590" i="1"/>
  <c r="GEV1590" i="1"/>
  <c r="GEU1590" i="1"/>
  <c r="GET1590" i="1"/>
  <c r="GES1590" i="1"/>
  <c r="GER1590" i="1"/>
  <c r="GEQ1590" i="1"/>
  <c r="GEP1590" i="1"/>
  <c r="GEO1590" i="1"/>
  <c r="GEN1590" i="1"/>
  <c r="GEM1590" i="1"/>
  <c r="GEL1590" i="1"/>
  <c r="GEK1590" i="1"/>
  <c r="GEJ1590" i="1"/>
  <c r="GEI1590" i="1"/>
  <c r="GEH1590" i="1"/>
  <c r="GEG1590" i="1"/>
  <c r="GEF1590" i="1"/>
  <c r="GEE1590" i="1"/>
  <c r="GED1590" i="1"/>
  <c r="GEC1590" i="1"/>
  <c r="GEB1590" i="1"/>
  <c r="GEA1590" i="1"/>
  <c r="GDZ1590" i="1"/>
  <c r="GDY1590" i="1"/>
  <c r="GDX1590" i="1"/>
  <c r="GDW1590" i="1"/>
  <c r="GDV1590" i="1"/>
  <c r="GDU1590" i="1"/>
  <c r="GDT1590" i="1"/>
  <c r="GDS1590" i="1"/>
  <c r="GDR1590" i="1"/>
  <c r="GDQ1590" i="1"/>
  <c r="GDP1590" i="1"/>
  <c r="GDO1590" i="1"/>
  <c r="GDN1590" i="1"/>
  <c r="GDM1590" i="1"/>
  <c r="GDL1590" i="1"/>
  <c r="GDK1590" i="1"/>
  <c r="GDJ1590" i="1"/>
  <c r="GDI1590" i="1"/>
  <c r="GDH1590" i="1"/>
  <c r="GDG1590" i="1"/>
  <c r="GDF1590" i="1"/>
  <c r="GDE1590" i="1"/>
  <c r="GDD1590" i="1"/>
  <c r="GDC1590" i="1"/>
  <c r="GDB1590" i="1"/>
  <c r="GDA1590" i="1"/>
  <c r="GCZ1590" i="1"/>
  <c r="GCY1590" i="1"/>
  <c r="GCX1590" i="1"/>
  <c r="GCW1590" i="1"/>
  <c r="GCV1590" i="1"/>
  <c r="GCU1590" i="1"/>
  <c r="GCT1590" i="1"/>
  <c r="GCS1590" i="1"/>
  <c r="GCR1590" i="1"/>
  <c r="GCQ1590" i="1"/>
  <c r="GCP1590" i="1"/>
  <c r="GCO1590" i="1"/>
  <c r="GCN1590" i="1"/>
  <c r="GCM1590" i="1"/>
  <c r="GCL1590" i="1"/>
  <c r="GCK1590" i="1"/>
  <c r="GCJ1590" i="1"/>
  <c r="GCI1590" i="1"/>
  <c r="GCH1590" i="1"/>
  <c r="GCG1590" i="1"/>
  <c r="GCF1590" i="1"/>
  <c r="GCE1590" i="1"/>
  <c r="GCD1590" i="1"/>
  <c r="GCC1590" i="1"/>
  <c r="GCB1590" i="1"/>
  <c r="GCA1590" i="1"/>
  <c r="GBZ1590" i="1"/>
  <c r="GBY1590" i="1"/>
  <c r="GBX1590" i="1"/>
  <c r="GBW1590" i="1"/>
  <c r="GBV1590" i="1"/>
  <c r="GBU1590" i="1"/>
  <c r="GBT1590" i="1"/>
  <c r="GBS1590" i="1"/>
  <c r="GBR1590" i="1"/>
  <c r="GBQ1590" i="1"/>
  <c r="GBP1590" i="1"/>
  <c r="GBO1590" i="1"/>
  <c r="GBN1590" i="1"/>
  <c r="GBM1590" i="1"/>
  <c r="GBL1590" i="1"/>
  <c r="GBK1590" i="1"/>
  <c r="GBJ1590" i="1"/>
  <c r="GBI1590" i="1"/>
  <c r="GBH1590" i="1"/>
  <c r="GBG1590" i="1"/>
  <c r="GBF1590" i="1"/>
  <c r="GBE1590" i="1"/>
  <c r="GBD1590" i="1"/>
  <c r="GBC1590" i="1"/>
  <c r="GBB1590" i="1"/>
  <c r="GBA1590" i="1"/>
  <c r="GAZ1590" i="1"/>
  <c r="GAY1590" i="1"/>
  <c r="GAX1590" i="1"/>
  <c r="GAW1590" i="1"/>
  <c r="GAV1590" i="1"/>
  <c r="GAU1590" i="1"/>
  <c r="GAT1590" i="1"/>
  <c r="GAS1590" i="1"/>
  <c r="GAR1590" i="1"/>
  <c r="GAQ1590" i="1"/>
  <c r="GAP1590" i="1"/>
  <c r="GAO1590" i="1"/>
  <c r="GAN1590" i="1"/>
  <c r="GAM1590" i="1"/>
  <c r="GAL1590" i="1"/>
  <c r="GAK1590" i="1"/>
  <c r="GAJ1590" i="1"/>
  <c r="GAI1590" i="1"/>
  <c r="GAH1590" i="1"/>
  <c r="GAG1590" i="1"/>
  <c r="GAF1590" i="1"/>
  <c r="GAE1590" i="1"/>
  <c r="GAD1590" i="1"/>
  <c r="GAC1590" i="1"/>
  <c r="GAB1590" i="1"/>
  <c r="GAA1590" i="1"/>
  <c r="FZZ1590" i="1"/>
  <c r="FZY1590" i="1"/>
  <c r="FZX1590" i="1"/>
  <c r="FZW1590" i="1"/>
  <c r="FZV1590" i="1"/>
  <c r="FZU1590" i="1"/>
  <c r="FZT1590" i="1"/>
  <c r="FZS1590" i="1"/>
  <c r="FZR1590" i="1"/>
  <c r="FZQ1590" i="1"/>
  <c r="FZP1590" i="1"/>
  <c r="FZO1590" i="1"/>
  <c r="FZN1590" i="1"/>
  <c r="FZM1590" i="1"/>
  <c r="FZL1590" i="1"/>
  <c r="FZK1590" i="1"/>
  <c r="FZJ1590" i="1"/>
  <c r="FZI1590" i="1"/>
  <c r="FZH1590" i="1"/>
  <c r="FZG1590" i="1"/>
  <c r="FZF1590" i="1"/>
  <c r="FZE1590" i="1"/>
  <c r="FZD1590" i="1"/>
  <c r="FZC1590" i="1"/>
  <c r="FZB1590" i="1"/>
  <c r="FZA1590" i="1"/>
  <c r="FYZ1590" i="1"/>
  <c r="FYY1590" i="1"/>
  <c r="FYX1590" i="1"/>
  <c r="FYW1590" i="1"/>
  <c r="FYV1590" i="1"/>
  <c r="FYU1590" i="1"/>
  <c r="FYT1590" i="1"/>
  <c r="FYS1590" i="1"/>
  <c r="FYR1590" i="1"/>
  <c r="FYQ1590" i="1"/>
  <c r="FYP1590" i="1"/>
  <c r="FYO1590" i="1"/>
  <c r="FYN1590" i="1"/>
  <c r="FYM1590" i="1"/>
  <c r="FYL1590" i="1"/>
  <c r="FYK1590" i="1"/>
  <c r="FYJ1590" i="1"/>
  <c r="FYI1590" i="1"/>
  <c r="FYH1590" i="1"/>
  <c r="FYG1590" i="1"/>
  <c r="FYF1590" i="1"/>
  <c r="FYE1590" i="1"/>
  <c r="FYD1590" i="1"/>
  <c r="FYC1590" i="1"/>
  <c r="FYB1590" i="1"/>
  <c r="FYA1590" i="1"/>
  <c r="FXZ1590" i="1"/>
  <c r="FXY1590" i="1"/>
  <c r="FXX1590" i="1"/>
  <c r="FXW1590" i="1"/>
  <c r="FXV1590" i="1"/>
  <c r="FXU1590" i="1"/>
  <c r="FXT1590" i="1"/>
  <c r="FXS1590" i="1"/>
  <c r="FXR1590" i="1"/>
  <c r="FXQ1590" i="1"/>
  <c r="FXP1590" i="1"/>
  <c r="FXO1590" i="1"/>
  <c r="FXN1590" i="1"/>
  <c r="FXM1590" i="1"/>
  <c r="FXL1590" i="1"/>
  <c r="FXK1590" i="1"/>
  <c r="FXJ1590" i="1"/>
  <c r="FXI1590" i="1"/>
  <c r="FXH1590" i="1"/>
  <c r="FXG1590" i="1"/>
  <c r="FXF1590" i="1"/>
  <c r="FXE1590" i="1"/>
  <c r="FXD1590" i="1"/>
  <c r="FXC1590" i="1"/>
  <c r="FXB1590" i="1"/>
  <c r="FXA1590" i="1"/>
  <c r="FWZ1590" i="1"/>
  <c r="FWY1590" i="1"/>
  <c r="FWX1590" i="1"/>
  <c r="FWW1590" i="1"/>
  <c r="FWV1590" i="1"/>
  <c r="FWU1590" i="1"/>
  <c r="FWT1590" i="1"/>
  <c r="FWS1590" i="1"/>
  <c r="FWR1590" i="1"/>
  <c r="FWQ1590" i="1"/>
  <c r="FWP1590" i="1"/>
  <c r="FWO1590" i="1"/>
  <c r="FWN1590" i="1"/>
  <c r="FWM1590" i="1"/>
  <c r="FWL1590" i="1"/>
  <c r="FWK1590" i="1"/>
  <c r="FWJ1590" i="1"/>
  <c r="FWI1590" i="1"/>
  <c r="FWH1590" i="1"/>
  <c r="FWG1590" i="1"/>
  <c r="FWF1590" i="1"/>
  <c r="FWE1590" i="1"/>
  <c r="FWD1590" i="1"/>
  <c r="FWC1590" i="1"/>
  <c r="FWB1590" i="1"/>
  <c r="FWA1590" i="1"/>
  <c r="FVZ1590" i="1"/>
  <c r="FVY1590" i="1"/>
  <c r="FVX1590" i="1"/>
  <c r="FVW1590" i="1"/>
  <c r="FVV1590" i="1"/>
  <c r="FVU1590" i="1"/>
  <c r="FVT1590" i="1"/>
  <c r="FVS1590" i="1"/>
  <c r="FVR1590" i="1"/>
  <c r="FVQ1590" i="1"/>
  <c r="FVP1590" i="1"/>
  <c r="FVO1590" i="1"/>
  <c r="FVN1590" i="1"/>
  <c r="FVM1590" i="1"/>
  <c r="FVL1590" i="1"/>
  <c r="FVK1590" i="1"/>
  <c r="FVJ1590" i="1"/>
  <c r="FVI1590" i="1"/>
  <c r="FVH1590" i="1"/>
  <c r="FVG1590" i="1"/>
  <c r="FVF1590" i="1"/>
  <c r="FVE1590" i="1"/>
  <c r="FVD1590" i="1"/>
  <c r="FVC1590" i="1"/>
  <c r="FVB1590" i="1"/>
  <c r="FVA1590" i="1"/>
  <c r="FUZ1590" i="1"/>
  <c r="FUY1590" i="1"/>
  <c r="FUX1590" i="1"/>
  <c r="FUW1590" i="1"/>
  <c r="FUV1590" i="1"/>
  <c r="FUU1590" i="1"/>
  <c r="FUT1590" i="1"/>
  <c r="FUS1590" i="1"/>
  <c r="FUR1590" i="1"/>
  <c r="FUQ1590" i="1"/>
  <c r="FUP1590" i="1"/>
  <c r="FUO1590" i="1"/>
  <c r="FUN1590" i="1"/>
  <c r="FUM1590" i="1"/>
  <c r="FUL1590" i="1"/>
  <c r="FUK1590" i="1"/>
  <c r="FUJ1590" i="1"/>
  <c r="FUI1590" i="1"/>
  <c r="FUH1590" i="1"/>
  <c r="FUG1590" i="1"/>
  <c r="FUF1590" i="1"/>
  <c r="FUE1590" i="1"/>
  <c r="FUD1590" i="1"/>
  <c r="FUC1590" i="1"/>
  <c r="FUB1590" i="1"/>
  <c r="FUA1590" i="1"/>
  <c r="FTZ1590" i="1"/>
  <c r="FTY1590" i="1"/>
  <c r="FTX1590" i="1"/>
  <c r="FTW1590" i="1"/>
  <c r="FTV1590" i="1"/>
  <c r="FTU1590" i="1"/>
  <c r="FTT1590" i="1"/>
  <c r="FTS1590" i="1"/>
  <c r="FTR1590" i="1"/>
  <c r="FTQ1590" i="1"/>
  <c r="FTP1590" i="1"/>
  <c r="FTO1590" i="1"/>
  <c r="FTN1590" i="1"/>
  <c r="FTM1590" i="1"/>
  <c r="FTL1590" i="1"/>
  <c r="FTK1590" i="1"/>
  <c r="FTJ1590" i="1"/>
  <c r="FTI1590" i="1"/>
  <c r="FTH1590" i="1"/>
  <c r="FTG1590" i="1"/>
  <c r="FTF1590" i="1"/>
  <c r="FTE1590" i="1"/>
  <c r="FTD1590" i="1"/>
  <c r="FTC1590" i="1"/>
  <c r="FTB1590" i="1"/>
  <c r="FTA1590" i="1"/>
  <c r="FSZ1590" i="1"/>
  <c r="FSY1590" i="1"/>
  <c r="FSX1590" i="1"/>
  <c r="FSW1590" i="1"/>
  <c r="FSV1590" i="1"/>
  <c r="FSU1590" i="1"/>
  <c r="FST1590" i="1"/>
  <c r="FSS1590" i="1"/>
  <c r="FSR1590" i="1"/>
  <c r="FSQ1590" i="1"/>
  <c r="FSP1590" i="1"/>
  <c r="FSO1590" i="1"/>
  <c r="FSN1590" i="1"/>
  <c r="FSM1590" i="1"/>
  <c r="FSL1590" i="1"/>
  <c r="FSK1590" i="1"/>
  <c r="FSJ1590" i="1"/>
  <c r="FSI1590" i="1"/>
  <c r="FSH1590" i="1"/>
  <c r="FSG1590" i="1"/>
  <c r="FSF1590" i="1"/>
  <c r="FSE1590" i="1"/>
  <c r="FSD1590" i="1"/>
  <c r="FSC1590" i="1"/>
  <c r="FSB1590" i="1"/>
  <c r="FSA1590" i="1"/>
  <c r="FRZ1590" i="1"/>
  <c r="FRY1590" i="1"/>
  <c r="FRX1590" i="1"/>
  <c r="FRW1590" i="1"/>
  <c r="FRV1590" i="1"/>
  <c r="FRU1590" i="1"/>
  <c r="FRT1590" i="1"/>
  <c r="FRS1590" i="1"/>
  <c r="FRR1590" i="1"/>
  <c r="FRQ1590" i="1"/>
  <c r="FRP1590" i="1"/>
  <c r="FRO1590" i="1"/>
  <c r="FRN1590" i="1"/>
  <c r="FRM1590" i="1"/>
  <c r="FRL1590" i="1"/>
  <c r="FRK1590" i="1"/>
  <c r="FRJ1590" i="1"/>
  <c r="FRI1590" i="1"/>
  <c r="FRH1590" i="1"/>
  <c r="FRG1590" i="1"/>
  <c r="FRF1590" i="1"/>
  <c r="FRE1590" i="1"/>
  <c r="FRD1590" i="1"/>
  <c r="FRC1590" i="1"/>
  <c r="FRB1590" i="1"/>
  <c r="FRA1590" i="1"/>
  <c r="FQZ1590" i="1"/>
  <c r="FQY1590" i="1"/>
  <c r="FQX1590" i="1"/>
  <c r="FQW1590" i="1"/>
  <c r="FQV1590" i="1"/>
  <c r="FQU1590" i="1"/>
  <c r="FQT1590" i="1"/>
  <c r="FQS1590" i="1"/>
  <c r="FQR1590" i="1"/>
  <c r="FQQ1590" i="1"/>
  <c r="FQP1590" i="1"/>
  <c r="FQO1590" i="1"/>
  <c r="FQN1590" i="1"/>
  <c r="FQM1590" i="1"/>
  <c r="FQL1590" i="1"/>
  <c r="FQK1590" i="1"/>
  <c r="FQJ1590" i="1"/>
  <c r="FQI1590" i="1"/>
  <c r="FQH1590" i="1"/>
  <c r="FQG1590" i="1"/>
  <c r="FQF1590" i="1"/>
  <c r="FQE1590" i="1"/>
  <c r="FQD1590" i="1"/>
  <c r="FQC1590" i="1"/>
  <c r="FQB1590" i="1"/>
  <c r="FQA1590" i="1"/>
  <c r="FPZ1590" i="1"/>
  <c r="FPY1590" i="1"/>
  <c r="FPX1590" i="1"/>
  <c r="FPW1590" i="1"/>
  <c r="FPV1590" i="1"/>
  <c r="FPU1590" i="1"/>
  <c r="FPT1590" i="1"/>
  <c r="FPS1590" i="1"/>
  <c r="FPR1590" i="1"/>
  <c r="FPQ1590" i="1"/>
  <c r="FPP1590" i="1"/>
  <c r="FPO1590" i="1"/>
  <c r="FPN1590" i="1"/>
  <c r="FPM1590" i="1"/>
  <c r="FPL1590" i="1"/>
  <c r="FPK1590" i="1"/>
  <c r="FPJ1590" i="1"/>
  <c r="FPI1590" i="1"/>
  <c r="FPH1590" i="1"/>
  <c r="FPG1590" i="1"/>
  <c r="FPF1590" i="1"/>
  <c r="FPE1590" i="1"/>
  <c r="FPD1590" i="1"/>
  <c r="FPC1590" i="1"/>
  <c r="FPB1590" i="1"/>
  <c r="FPA1590" i="1"/>
  <c r="FOZ1590" i="1"/>
  <c r="FOY1590" i="1"/>
  <c r="FOX1590" i="1"/>
  <c r="FOW1590" i="1"/>
  <c r="FOV1590" i="1"/>
  <c r="FOU1590" i="1"/>
  <c r="FOT1590" i="1"/>
  <c r="FOS1590" i="1"/>
  <c r="FOR1590" i="1"/>
  <c r="FOQ1590" i="1"/>
  <c r="FOP1590" i="1"/>
  <c r="FOO1590" i="1"/>
  <c r="FON1590" i="1"/>
  <c r="FOM1590" i="1"/>
  <c r="FOL1590" i="1"/>
  <c r="FOK1590" i="1"/>
  <c r="FOJ1590" i="1"/>
  <c r="FOI1590" i="1"/>
  <c r="FOH1590" i="1"/>
  <c r="FOG1590" i="1"/>
  <c r="FOF1590" i="1"/>
  <c r="FOE1590" i="1"/>
  <c r="FOD1590" i="1"/>
  <c r="FOC1590" i="1"/>
  <c r="FOB1590" i="1"/>
  <c r="FOA1590" i="1"/>
  <c r="FNZ1590" i="1"/>
  <c r="FNY1590" i="1"/>
  <c r="FNX1590" i="1"/>
  <c r="FNW1590" i="1"/>
  <c r="FNV1590" i="1"/>
  <c r="FNU1590" i="1"/>
  <c r="FNT1590" i="1"/>
  <c r="FNS1590" i="1"/>
  <c r="FNR1590" i="1"/>
  <c r="FNQ1590" i="1"/>
  <c r="FNP1590" i="1"/>
  <c r="FNO1590" i="1"/>
  <c r="FNN1590" i="1"/>
  <c r="FNM1590" i="1"/>
  <c r="FNL1590" i="1"/>
  <c r="FNK1590" i="1"/>
  <c r="FNJ1590" i="1"/>
  <c r="FNI1590" i="1"/>
  <c r="FNH1590" i="1"/>
  <c r="FNG1590" i="1"/>
  <c r="FNF1590" i="1"/>
  <c r="FNE1590" i="1"/>
  <c r="FND1590" i="1"/>
  <c r="FNC1590" i="1"/>
  <c r="FNB1590" i="1"/>
  <c r="FNA1590" i="1"/>
  <c r="FMZ1590" i="1"/>
  <c r="FMY1590" i="1"/>
  <c r="FMX1590" i="1"/>
  <c r="FMW1590" i="1"/>
  <c r="FMV1590" i="1"/>
  <c r="FMU1590" i="1"/>
  <c r="FMT1590" i="1"/>
  <c r="FMS1590" i="1"/>
  <c r="FMR1590" i="1"/>
  <c r="FMQ1590" i="1"/>
  <c r="FMP1590" i="1"/>
  <c r="FMO1590" i="1"/>
  <c r="FMN1590" i="1"/>
  <c r="FMM1590" i="1"/>
  <c r="FML1590" i="1"/>
  <c r="FMK1590" i="1"/>
  <c r="FMJ1590" i="1"/>
  <c r="FMI1590" i="1"/>
  <c r="FMH1590" i="1"/>
  <c r="FMG1590" i="1"/>
  <c r="FMF1590" i="1"/>
  <c r="FME1590" i="1"/>
  <c r="FMD1590" i="1"/>
  <c r="FMC1590" i="1"/>
  <c r="FMB1590" i="1"/>
  <c r="FMA1590" i="1"/>
  <c r="FLZ1590" i="1"/>
  <c r="FLY1590" i="1"/>
  <c r="FLX1590" i="1"/>
  <c r="FLW1590" i="1"/>
  <c r="FLV1590" i="1"/>
  <c r="FLU1590" i="1"/>
  <c r="FLT1590" i="1"/>
  <c r="FLS1590" i="1"/>
  <c r="FLR1590" i="1"/>
  <c r="FLQ1590" i="1"/>
  <c r="FLP1590" i="1"/>
  <c r="FLO1590" i="1"/>
  <c r="FLN1590" i="1"/>
  <c r="FLM1590" i="1"/>
  <c r="FLL1590" i="1"/>
  <c r="FLK1590" i="1"/>
  <c r="FLJ1590" i="1"/>
  <c r="FLI1590" i="1"/>
  <c r="FLH1590" i="1"/>
  <c r="FLG1590" i="1"/>
  <c r="FLF1590" i="1"/>
  <c r="FLE1590" i="1"/>
  <c r="FLD1590" i="1"/>
  <c r="FLC1590" i="1"/>
  <c r="FLB1590" i="1"/>
  <c r="FLA1590" i="1"/>
  <c r="FKZ1590" i="1"/>
  <c r="FKY1590" i="1"/>
  <c r="FKX1590" i="1"/>
  <c r="FKW1590" i="1"/>
  <c r="FKV1590" i="1"/>
  <c r="FKU1590" i="1"/>
  <c r="FKT1590" i="1"/>
  <c r="FKS1590" i="1"/>
  <c r="FKR1590" i="1"/>
  <c r="FKQ1590" i="1"/>
  <c r="FKP1590" i="1"/>
  <c r="FKO1590" i="1"/>
  <c r="FKN1590" i="1"/>
  <c r="FKM1590" i="1"/>
  <c r="FKL1590" i="1"/>
  <c r="FKK1590" i="1"/>
  <c r="FKJ1590" i="1"/>
  <c r="FKI1590" i="1"/>
  <c r="FKH1590" i="1"/>
  <c r="FKG1590" i="1"/>
  <c r="FKF1590" i="1"/>
  <c r="FKE1590" i="1"/>
  <c r="FKD1590" i="1"/>
  <c r="FKC1590" i="1"/>
  <c r="FKB1590" i="1"/>
  <c r="FKA1590" i="1"/>
  <c r="FJZ1590" i="1"/>
  <c r="FJY1590" i="1"/>
  <c r="FJX1590" i="1"/>
  <c r="FJW1590" i="1"/>
  <c r="FJV1590" i="1"/>
  <c r="FJU1590" i="1"/>
  <c r="FJT1590" i="1"/>
  <c r="FJS1590" i="1"/>
  <c r="FJR1590" i="1"/>
  <c r="FJQ1590" i="1"/>
  <c r="FJP1590" i="1"/>
  <c r="FJO1590" i="1"/>
  <c r="FJN1590" i="1"/>
  <c r="FJM1590" i="1"/>
  <c r="FJL1590" i="1"/>
  <c r="FJK1590" i="1"/>
  <c r="FJJ1590" i="1"/>
  <c r="FJI1590" i="1"/>
  <c r="FJH1590" i="1"/>
  <c r="FJG1590" i="1"/>
  <c r="FJF1590" i="1"/>
  <c r="FJE1590" i="1"/>
  <c r="FJD1590" i="1"/>
  <c r="FJC1590" i="1"/>
  <c r="FJB1590" i="1"/>
  <c r="FJA1590" i="1"/>
  <c r="FIZ1590" i="1"/>
  <c r="FIY1590" i="1"/>
  <c r="FIX1590" i="1"/>
  <c r="FIW1590" i="1"/>
  <c r="FIV1590" i="1"/>
  <c r="FIU1590" i="1"/>
  <c r="FIT1590" i="1"/>
  <c r="FIS1590" i="1"/>
  <c r="FIR1590" i="1"/>
  <c r="FIQ1590" i="1"/>
  <c r="FIP1590" i="1"/>
  <c r="FIO1590" i="1"/>
  <c r="FIN1590" i="1"/>
  <c r="FIM1590" i="1"/>
  <c r="FIL1590" i="1"/>
  <c r="FIK1590" i="1"/>
  <c r="FIJ1590" i="1"/>
  <c r="FII1590" i="1"/>
  <c r="FIH1590" i="1"/>
  <c r="FIG1590" i="1"/>
  <c r="FIF1590" i="1"/>
  <c r="FIE1590" i="1"/>
  <c r="FID1590" i="1"/>
  <c r="FIC1590" i="1"/>
  <c r="FIB1590" i="1"/>
  <c r="FIA1590" i="1"/>
  <c r="FHZ1590" i="1"/>
  <c r="FHY1590" i="1"/>
  <c r="FHX1590" i="1"/>
  <c r="FHW1590" i="1"/>
  <c r="FHV1590" i="1"/>
  <c r="FHU1590" i="1"/>
  <c r="FHT1590" i="1"/>
  <c r="FHS1590" i="1"/>
  <c r="FHR1590" i="1"/>
  <c r="FHQ1590" i="1"/>
  <c r="FHP1590" i="1"/>
  <c r="FHO1590" i="1"/>
  <c r="FHN1590" i="1"/>
  <c r="FHM1590" i="1"/>
  <c r="FHL1590" i="1"/>
  <c r="FHK1590" i="1"/>
  <c r="FHJ1590" i="1"/>
  <c r="FHI1590" i="1"/>
  <c r="FHH1590" i="1"/>
  <c r="FHG1590" i="1"/>
  <c r="FHF1590" i="1"/>
  <c r="FHE1590" i="1"/>
  <c r="FHD1590" i="1"/>
  <c r="FHC1590" i="1"/>
  <c r="FHB1590" i="1"/>
  <c r="FHA1590" i="1"/>
  <c r="FGZ1590" i="1"/>
  <c r="FGY1590" i="1"/>
  <c r="FGX1590" i="1"/>
  <c r="FGW1590" i="1"/>
  <c r="FGV1590" i="1"/>
  <c r="FGU1590" i="1"/>
  <c r="FGT1590" i="1"/>
  <c r="FGS1590" i="1"/>
  <c r="FGR1590" i="1"/>
  <c r="FGQ1590" i="1"/>
  <c r="FGP1590" i="1"/>
  <c r="FGO1590" i="1"/>
  <c r="FGN1590" i="1"/>
  <c r="FGM1590" i="1"/>
  <c r="FGL1590" i="1"/>
  <c r="FGK1590" i="1"/>
  <c r="FGJ1590" i="1"/>
  <c r="FGI1590" i="1"/>
  <c r="FGH1590" i="1"/>
  <c r="FGG1590" i="1"/>
  <c r="FGF1590" i="1"/>
  <c r="FGE1590" i="1"/>
  <c r="FGD1590" i="1"/>
  <c r="FGC1590" i="1"/>
  <c r="FGB1590" i="1"/>
  <c r="FGA1590" i="1"/>
  <c r="FFZ1590" i="1"/>
  <c r="FFY1590" i="1"/>
  <c r="FFX1590" i="1"/>
  <c r="FFW1590" i="1"/>
  <c r="FFV1590" i="1"/>
  <c r="FFU1590" i="1"/>
  <c r="FFT1590" i="1"/>
  <c r="FFS1590" i="1"/>
  <c r="FFR1590" i="1"/>
  <c r="FFQ1590" i="1"/>
  <c r="FFP1590" i="1"/>
  <c r="FFO1590" i="1"/>
  <c r="FFN1590" i="1"/>
  <c r="FFM1590" i="1"/>
  <c r="FFL1590" i="1"/>
  <c r="FFK1590" i="1"/>
  <c r="FFJ1590" i="1"/>
  <c r="FFI1590" i="1"/>
  <c r="FFH1590" i="1"/>
  <c r="FFG1590" i="1"/>
  <c r="FFF1590" i="1"/>
  <c r="FFE1590" i="1"/>
  <c r="FFD1590" i="1"/>
  <c r="FFC1590" i="1"/>
  <c r="FFB1590" i="1"/>
  <c r="FFA1590" i="1"/>
  <c r="FEZ1590" i="1"/>
  <c r="FEY1590" i="1"/>
  <c r="FEX1590" i="1"/>
  <c r="FEW1590" i="1"/>
  <c r="FEV1590" i="1"/>
  <c r="FEU1590" i="1"/>
  <c r="FET1590" i="1"/>
  <c r="FES1590" i="1"/>
  <c r="FER1590" i="1"/>
  <c r="FEQ1590" i="1"/>
  <c r="FEP1590" i="1"/>
  <c r="FEO1590" i="1"/>
  <c r="FEN1590" i="1"/>
  <c r="FEM1590" i="1"/>
  <c r="FEL1590" i="1"/>
  <c r="FEK1590" i="1"/>
  <c r="FEJ1590" i="1"/>
  <c r="FEI1590" i="1"/>
  <c r="FEH1590" i="1"/>
  <c r="FEG1590" i="1"/>
  <c r="FEF1590" i="1"/>
  <c r="FEE1590" i="1"/>
  <c r="FED1590" i="1"/>
  <c r="FEC1590" i="1"/>
  <c r="FEB1590" i="1"/>
  <c r="FEA1590" i="1"/>
  <c r="FDZ1590" i="1"/>
  <c r="FDY1590" i="1"/>
  <c r="FDX1590" i="1"/>
  <c r="FDW1590" i="1"/>
  <c r="FDV1590" i="1"/>
  <c r="FDU1590" i="1"/>
  <c r="FDT1590" i="1"/>
  <c r="FDS1590" i="1"/>
  <c r="FDR1590" i="1"/>
  <c r="FDQ1590" i="1"/>
  <c r="FDP1590" i="1"/>
  <c r="FDO1590" i="1"/>
  <c r="FDN1590" i="1"/>
  <c r="FDM1590" i="1"/>
  <c r="FDL1590" i="1"/>
  <c r="FDK1590" i="1"/>
  <c r="FDJ1590" i="1"/>
  <c r="FDI1590" i="1"/>
  <c r="FDH1590" i="1"/>
  <c r="FDG1590" i="1"/>
  <c r="FDF1590" i="1"/>
  <c r="FDE1590" i="1"/>
  <c r="FDD1590" i="1"/>
  <c r="FDC1590" i="1"/>
  <c r="FDB1590" i="1"/>
  <c r="FDA1590" i="1"/>
  <c r="FCZ1590" i="1"/>
  <c r="FCY1590" i="1"/>
  <c r="FCX1590" i="1"/>
  <c r="FCW1590" i="1"/>
  <c r="FCV1590" i="1"/>
  <c r="FCU1590" i="1"/>
  <c r="FCT1590" i="1"/>
  <c r="FCS1590" i="1"/>
  <c r="FCR1590" i="1"/>
  <c r="FCQ1590" i="1"/>
  <c r="FCP1590" i="1"/>
  <c r="FCO1590" i="1"/>
  <c r="FCN1590" i="1"/>
  <c r="FCM1590" i="1"/>
  <c r="FCL1590" i="1"/>
  <c r="FCK1590" i="1"/>
  <c r="FCJ1590" i="1"/>
  <c r="FCI1590" i="1"/>
  <c r="FCH1590" i="1"/>
  <c r="FCG1590" i="1"/>
  <c r="FCF1590" i="1"/>
  <c r="FCE1590" i="1"/>
  <c r="FCD1590" i="1"/>
  <c r="FCC1590" i="1"/>
  <c r="FCB1590" i="1"/>
  <c r="FCA1590" i="1"/>
  <c r="FBZ1590" i="1"/>
  <c r="FBY1590" i="1"/>
  <c r="FBX1590" i="1"/>
  <c r="FBW1590" i="1"/>
  <c r="FBV1590" i="1"/>
  <c r="FBU1590" i="1"/>
  <c r="FBT1590" i="1"/>
  <c r="FBS1590" i="1"/>
  <c r="FBR1590" i="1"/>
  <c r="FBQ1590" i="1"/>
  <c r="FBP1590" i="1"/>
  <c r="FBO1590" i="1"/>
  <c r="FBN1590" i="1"/>
  <c r="FBM1590" i="1"/>
  <c r="FBL1590" i="1"/>
  <c r="FBK1590" i="1"/>
  <c r="FBJ1590" i="1"/>
  <c r="FBI1590" i="1"/>
  <c r="FBH1590" i="1"/>
  <c r="FBG1590" i="1"/>
  <c r="FBF1590" i="1"/>
  <c r="FBE1590" i="1"/>
  <c r="FBD1590" i="1"/>
  <c r="FBC1590" i="1"/>
  <c r="FBB1590" i="1"/>
  <c r="FBA1590" i="1"/>
  <c r="FAZ1590" i="1"/>
  <c r="FAY1590" i="1"/>
  <c r="FAX1590" i="1"/>
  <c r="FAW1590" i="1"/>
  <c r="FAV1590" i="1"/>
  <c r="FAU1590" i="1"/>
  <c r="FAT1590" i="1"/>
  <c r="FAS1590" i="1"/>
  <c r="FAR1590" i="1"/>
  <c r="FAQ1590" i="1"/>
  <c r="FAP1590" i="1"/>
  <c r="FAO1590" i="1"/>
  <c r="FAN1590" i="1"/>
  <c r="FAM1590" i="1"/>
  <c r="FAL1590" i="1"/>
  <c r="FAK1590" i="1"/>
  <c r="FAJ1590" i="1"/>
  <c r="FAI1590" i="1"/>
  <c r="FAH1590" i="1"/>
  <c r="FAG1590" i="1"/>
  <c r="FAF1590" i="1"/>
  <c r="FAE1590" i="1"/>
  <c r="FAD1590" i="1"/>
  <c r="FAC1590" i="1"/>
  <c r="FAB1590" i="1"/>
  <c r="FAA1590" i="1"/>
  <c r="EZZ1590" i="1"/>
  <c r="EZY1590" i="1"/>
  <c r="EZX1590" i="1"/>
  <c r="EZW1590" i="1"/>
  <c r="EZV1590" i="1"/>
  <c r="EZU1590" i="1"/>
  <c r="EZT1590" i="1"/>
  <c r="EZS1590" i="1"/>
  <c r="EZR1590" i="1"/>
  <c r="EZQ1590" i="1"/>
  <c r="EZP1590" i="1"/>
  <c r="EZO1590" i="1"/>
  <c r="EZN1590" i="1"/>
  <c r="EZM1590" i="1"/>
  <c r="EZL1590" i="1"/>
  <c r="EZK1590" i="1"/>
  <c r="EZJ1590" i="1"/>
  <c r="EZI1590" i="1"/>
  <c r="EZH1590" i="1"/>
  <c r="EZG1590" i="1"/>
  <c r="EZF1590" i="1"/>
  <c r="EZE1590" i="1"/>
  <c r="EZD1590" i="1"/>
  <c r="EZC1590" i="1"/>
  <c r="EZB1590" i="1"/>
  <c r="EZA1590" i="1"/>
  <c r="EYZ1590" i="1"/>
  <c r="EYY1590" i="1"/>
  <c r="EYX1590" i="1"/>
  <c r="EYW1590" i="1"/>
  <c r="EYV1590" i="1"/>
  <c r="EYU1590" i="1"/>
  <c r="EYT1590" i="1"/>
  <c r="EYS1590" i="1"/>
  <c r="EYR1590" i="1"/>
  <c r="EYQ1590" i="1"/>
  <c r="EYP1590" i="1"/>
  <c r="EYO1590" i="1"/>
  <c r="EYN1590" i="1"/>
  <c r="EYM1590" i="1"/>
  <c r="EYL1590" i="1"/>
  <c r="EYK1590" i="1"/>
  <c r="EYJ1590" i="1"/>
  <c r="EYI1590" i="1"/>
  <c r="EYH1590" i="1"/>
  <c r="EYG1590" i="1"/>
  <c r="EYF1590" i="1"/>
  <c r="EYE1590" i="1"/>
  <c r="EYD1590" i="1"/>
  <c r="EYC1590" i="1"/>
  <c r="EYB1590" i="1"/>
  <c r="EYA1590" i="1"/>
  <c r="EXZ1590" i="1"/>
  <c r="EXY1590" i="1"/>
  <c r="EXX1590" i="1"/>
  <c r="EXW1590" i="1"/>
  <c r="EXV1590" i="1"/>
  <c r="EXU1590" i="1"/>
  <c r="EXT1590" i="1"/>
  <c r="EXS1590" i="1"/>
  <c r="EXR1590" i="1"/>
  <c r="EXQ1590" i="1"/>
  <c r="EXP1590" i="1"/>
  <c r="EXO1590" i="1"/>
  <c r="EXN1590" i="1"/>
  <c r="EXM1590" i="1"/>
  <c r="EXL1590" i="1"/>
  <c r="EXK1590" i="1"/>
  <c r="EXJ1590" i="1"/>
  <c r="EXI1590" i="1"/>
  <c r="EXH1590" i="1"/>
  <c r="EXG1590" i="1"/>
  <c r="EXF1590" i="1"/>
  <c r="EXE1590" i="1"/>
  <c r="EXD1590" i="1"/>
  <c r="EXC1590" i="1"/>
  <c r="EXB1590" i="1"/>
  <c r="EXA1590" i="1"/>
  <c r="EWZ1590" i="1"/>
  <c r="EWY1590" i="1"/>
  <c r="EWX1590" i="1"/>
  <c r="EWW1590" i="1"/>
  <c r="EWV1590" i="1"/>
  <c r="EWU1590" i="1"/>
  <c r="EWT1590" i="1"/>
  <c r="EWS1590" i="1"/>
  <c r="EWR1590" i="1"/>
  <c r="EWQ1590" i="1"/>
  <c r="EWP1590" i="1"/>
  <c r="EWO1590" i="1"/>
  <c r="EWN1590" i="1"/>
  <c r="EWM1590" i="1"/>
  <c r="EWL1590" i="1"/>
  <c r="EWK1590" i="1"/>
  <c r="EWJ1590" i="1"/>
  <c r="EWI1590" i="1"/>
  <c r="EWH1590" i="1"/>
  <c r="EWG1590" i="1"/>
  <c r="EWF1590" i="1"/>
  <c r="EWE1590" i="1"/>
  <c r="EWD1590" i="1"/>
  <c r="EWC1590" i="1"/>
  <c r="EWB1590" i="1"/>
  <c r="EWA1590" i="1"/>
  <c r="EVZ1590" i="1"/>
  <c r="EVY1590" i="1"/>
  <c r="EVX1590" i="1"/>
  <c r="EVW1590" i="1"/>
  <c r="EVV1590" i="1"/>
  <c r="EVU1590" i="1"/>
  <c r="EVT1590" i="1"/>
  <c r="EVS1590" i="1"/>
  <c r="EVR1590" i="1"/>
  <c r="EVQ1590" i="1"/>
  <c r="EVP1590" i="1"/>
  <c r="EVO1590" i="1"/>
  <c r="EVN1590" i="1"/>
  <c r="EVM1590" i="1"/>
  <c r="EVL1590" i="1"/>
  <c r="EVK1590" i="1"/>
  <c r="EVJ1590" i="1"/>
  <c r="EVI1590" i="1"/>
  <c r="EVH1590" i="1"/>
  <c r="EVG1590" i="1"/>
  <c r="EVF1590" i="1"/>
  <c r="EVE1590" i="1"/>
  <c r="EVD1590" i="1"/>
  <c r="EVC1590" i="1"/>
  <c r="EVB1590" i="1"/>
  <c r="EVA1590" i="1"/>
  <c r="EUZ1590" i="1"/>
  <c r="EUY1590" i="1"/>
  <c r="EUX1590" i="1"/>
  <c r="EUW1590" i="1"/>
  <c r="EUV1590" i="1"/>
  <c r="EUU1590" i="1"/>
  <c r="EUT1590" i="1"/>
  <c r="EUS1590" i="1"/>
  <c r="EUR1590" i="1"/>
  <c r="EUQ1590" i="1"/>
  <c r="EUP1590" i="1"/>
  <c r="EUO1590" i="1"/>
  <c r="EUN1590" i="1"/>
  <c r="EUM1590" i="1"/>
  <c r="EUL1590" i="1"/>
  <c r="EUK1590" i="1"/>
  <c r="EUJ1590" i="1"/>
  <c r="EUI1590" i="1"/>
  <c r="EUH1590" i="1"/>
  <c r="EUG1590" i="1"/>
  <c r="EUF1590" i="1"/>
  <c r="EUE1590" i="1"/>
  <c r="EUD1590" i="1"/>
  <c r="EUC1590" i="1"/>
  <c r="EUB1590" i="1"/>
  <c r="EUA1590" i="1"/>
  <c r="ETZ1590" i="1"/>
  <c r="ETY1590" i="1"/>
  <c r="ETX1590" i="1"/>
  <c r="ETW1590" i="1"/>
  <c r="ETV1590" i="1"/>
  <c r="ETU1590" i="1"/>
  <c r="ETT1590" i="1"/>
  <c r="ETS1590" i="1"/>
  <c r="ETR1590" i="1"/>
  <c r="ETQ1590" i="1"/>
  <c r="ETP1590" i="1"/>
  <c r="ETO1590" i="1"/>
  <c r="ETN1590" i="1"/>
  <c r="ETM1590" i="1"/>
  <c r="ETL1590" i="1"/>
  <c r="ETK1590" i="1"/>
  <c r="ETJ1590" i="1"/>
  <c r="ETI1590" i="1"/>
  <c r="ETH1590" i="1"/>
  <c r="ETG1590" i="1"/>
  <c r="ETF1590" i="1"/>
  <c r="ETE1590" i="1"/>
  <c r="ETD1590" i="1"/>
  <c r="ETC1590" i="1"/>
  <c r="ETB1590" i="1"/>
  <c r="ETA1590" i="1"/>
  <c r="ESZ1590" i="1"/>
  <c r="ESY1590" i="1"/>
  <c r="ESX1590" i="1"/>
  <c r="ESW1590" i="1"/>
  <c r="ESV1590" i="1"/>
  <c r="ESU1590" i="1"/>
  <c r="EST1590" i="1"/>
  <c r="ESS1590" i="1"/>
  <c r="ESR1590" i="1"/>
  <c r="ESQ1590" i="1"/>
  <c r="ESP1590" i="1"/>
  <c r="ESO1590" i="1"/>
  <c r="ESN1590" i="1"/>
  <c r="ESM1590" i="1"/>
  <c r="ESL1590" i="1"/>
  <c r="ESK1590" i="1"/>
  <c r="ESJ1590" i="1"/>
  <c r="ESI1590" i="1"/>
  <c r="ESH1590" i="1"/>
  <c r="ESG1590" i="1"/>
  <c r="ESF1590" i="1"/>
  <c r="ESE1590" i="1"/>
  <c r="ESD1590" i="1"/>
  <c r="ESC1590" i="1"/>
  <c r="ESB1590" i="1"/>
  <c r="ESA1590" i="1"/>
  <c r="ERZ1590" i="1"/>
  <c r="ERY1590" i="1"/>
  <c r="ERX1590" i="1"/>
  <c r="ERW1590" i="1"/>
  <c r="ERV1590" i="1"/>
  <c r="ERU1590" i="1"/>
  <c r="ERT1590" i="1"/>
  <c r="ERS1590" i="1"/>
  <c r="ERR1590" i="1"/>
  <c r="ERQ1590" i="1"/>
  <c r="ERP1590" i="1"/>
  <c r="ERO1590" i="1"/>
  <c r="ERN1590" i="1"/>
  <c r="ERM1590" i="1"/>
  <c r="ERL1590" i="1"/>
  <c r="ERK1590" i="1"/>
  <c r="ERJ1590" i="1"/>
  <c r="ERI1590" i="1"/>
  <c r="ERH1590" i="1"/>
  <c r="ERG1590" i="1"/>
  <c r="ERF1590" i="1"/>
  <c r="ERE1590" i="1"/>
  <c r="ERD1590" i="1"/>
  <c r="ERC1590" i="1"/>
  <c r="ERB1590" i="1"/>
  <c r="ERA1590" i="1"/>
  <c r="EQZ1590" i="1"/>
  <c r="EQY1590" i="1"/>
  <c r="EQX1590" i="1"/>
  <c r="EQW1590" i="1"/>
  <c r="EQV1590" i="1"/>
  <c r="EQU1590" i="1"/>
  <c r="EQT1590" i="1"/>
  <c r="EQS1590" i="1"/>
  <c r="EQR1590" i="1"/>
  <c r="EQQ1590" i="1"/>
  <c r="EQP1590" i="1"/>
  <c r="EQO1590" i="1"/>
  <c r="EQN1590" i="1"/>
  <c r="EQM1590" i="1"/>
  <c r="EQL1590" i="1"/>
  <c r="EQK1590" i="1"/>
  <c r="EQJ1590" i="1"/>
  <c r="EQI1590" i="1"/>
  <c r="EQH1590" i="1"/>
  <c r="EQG1590" i="1"/>
  <c r="EQF1590" i="1"/>
  <c r="EQE1590" i="1"/>
  <c r="EQD1590" i="1"/>
  <c r="EQC1590" i="1"/>
  <c r="EQB1590" i="1"/>
  <c r="EQA1590" i="1"/>
  <c r="EPZ1590" i="1"/>
  <c r="EPY1590" i="1"/>
  <c r="EPX1590" i="1"/>
  <c r="EPW1590" i="1"/>
  <c r="EPV1590" i="1"/>
  <c r="EPU1590" i="1"/>
  <c r="EPT1590" i="1"/>
  <c r="EPS1590" i="1"/>
  <c r="EPR1590" i="1"/>
  <c r="EPQ1590" i="1"/>
  <c r="EPP1590" i="1"/>
  <c r="EPO1590" i="1"/>
  <c r="EPN1590" i="1"/>
  <c r="EPM1590" i="1"/>
  <c r="EPL1590" i="1"/>
  <c r="EPK1590" i="1"/>
  <c r="EPJ1590" i="1"/>
  <c r="EPI1590" i="1"/>
  <c r="EPH1590" i="1"/>
  <c r="EPG1590" i="1"/>
  <c r="EPF1590" i="1"/>
  <c r="EPE1590" i="1"/>
  <c r="EPD1590" i="1"/>
  <c r="EPC1590" i="1"/>
  <c r="EPB1590" i="1"/>
  <c r="EPA1590" i="1"/>
  <c r="EOZ1590" i="1"/>
  <c r="EOY1590" i="1"/>
  <c r="EOX1590" i="1"/>
  <c r="EOW1590" i="1"/>
  <c r="EOV1590" i="1"/>
  <c r="EOU1590" i="1"/>
  <c r="EOT1590" i="1"/>
  <c r="EOS1590" i="1"/>
  <c r="EOR1590" i="1"/>
  <c r="EOQ1590" i="1"/>
  <c r="EOP1590" i="1"/>
  <c r="EOO1590" i="1"/>
  <c r="EON1590" i="1"/>
  <c r="EOM1590" i="1"/>
  <c r="EOL1590" i="1"/>
  <c r="EOK1590" i="1"/>
  <c r="EOJ1590" i="1"/>
  <c r="EOI1590" i="1"/>
  <c r="EOH1590" i="1"/>
  <c r="EOG1590" i="1"/>
  <c r="EOF1590" i="1"/>
  <c r="EOE1590" i="1"/>
  <c r="EOD1590" i="1"/>
  <c r="EOC1590" i="1"/>
  <c r="EOB1590" i="1"/>
  <c r="EOA1590" i="1"/>
  <c r="ENZ1590" i="1"/>
  <c r="ENY1590" i="1"/>
  <c r="ENX1590" i="1"/>
  <c r="ENW1590" i="1"/>
  <c r="ENV1590" i="1"/>
  <c r="ENU1590" i="1"/>
  <c r="ENT1590" i="1"/>
  <c r="ENS1590" i="1"/>
  <c r="ENR1590" i="1"/>
  <c r="ENQ1590" i="1"/>
  <c r="ENP1590" i="1"/>
  <c r="ENO1590" i="1"/>
  <c r="ENN1590" i="1"/>
  <c r="ENM1590" i="1"/>
  <c r="ENL1590" i="1"/>
  <c r="ENK1590" i="1"/>
  <c r="ENJ1590" i="1"/>
  <c r="ENI1590" i="1"/>
  <c r="ENH1590" i="1"/>
  <c r="ENG1590" i="1"/>
  <c r="ENF1590" i="1"/>
  <c r="ENE1590" i="1"/>
  <c r="END1590" i="1"/>
  <c r="ENC1590" i="1"/>
  <c r="ENB1590" i="1"/>
  <c r="ENA1590" i="1"/>
  <c r="EMZ1590" i="1"/>
  <c r="EMY1590" i="1"/>
  <c r="EMX1590" i="1"/>
  <c r="EMW1590" i="1"/>
  <c r="EMV1590" i="1"/>
  <c r="EMU1590" i="1"/>
  <c r="EMT1590" i="1"/>
  <c r="EMS1590" i="1"/>
  <c r="EMR1590" i="1"/>
  <c r="EMQ1590" i="1"/>
  <c r="EMP1590" i="1"/>
  <c r="EMO1590" i="1"/>
  <c r="EMN1590" i="1"/>
  <c r="EMM1590" i="1"/>
  <c r="EML1590" i="1"/>
  <c r="EMK1590" i="1"/>
  <c r="EMJ1590" i="1"/>
  <c r="EMI1590" i="1"/>
  <c r="EMH1590" i="1"/>
  <c r="EMG1590" i="1"/>
  <c r="EMF1590" i="1"/>
  <c r="EME1590" i="1"/>
  <c r="EMD1590" i="1"/>
  <c r="EMC1590" i="1"/>
  <c r="EMB1590" i="1"/>
  <c r="EMA1590" i="1"/>
  <c r="ELZ1590" i="1"/>
  <c r="ELY1590" i="1"/>
  <c r="ELX1590" i="1"/>
  <c r="ELW1590" i="1"/>
  <c r="ELV1590" i="1"/>
  <c r="ELU1590" i="1"/>
  <c r="ELT1590" i="1"/>
  <c r="ELS1590" i="1"/>
  <c r="ELR1590" i="1"/>
  <c r="ELQ1590" i="1"/>
  <c r="ELP1590" i="1"/>
  <c r="ELO1590" i="1"/>
  <c r="ELN1590" i="1"/>
  <c r="ELM1590" i="1"/>
  <c r="ELL1590" i="1"/>
  <c r="ELK1590" i="1"/>
  <c r="ELJ1590" i="1"/>
  <c r="ELI1590" i="1"/>
  <c r="ELH1590" i="1"/>
  <c r="ELG1590" i="1"/>
  <c r="ELF1590" i="1"/>
  <c r="ELE1590" i="1"/>
  <c r="ELD1590" i="1"/>
  <c r="ELC1590" i="1"/>
  <c r="ELB1590" i="1"/>
  <c r="ELA1590" i="1"/>
  <c r="EKZ1590" i="1"/>
  <c r="EKY1590" i="1"/>
  <c r="EKX1590" i="1"/>
  <c r="EKW1590" i="1"/>
  <c r="EKV1590" i="1"/>
  <c r="EKU1590" i="1"/>
  <c r="EKT1590" i="1"/>
  <c r="EKS1590" i="1"/>
  <c r="EKR1590" i="1"/>
  <c r="EKQ1590" i="1"/>
  <c r="EKP1590" i="1"/>
  <c r="EKO1590" i="1"/>
  <c r="EKN1590" i="1"/>
  <c r="EKM1590" i="1"/>
  <c r="EKL1590" i="1"/>
  <c r="EKK1590" i="1"/>
  <c r="EKJ1590" i="1"/>
  <c r="EKI1590" i="1"/>
  <c r="EKH1590" i="1"/>
  <c r="EKG1590" i="1"/>
  <c r="EKF1590" i="1"/>
  <c r="EKE1590" i="1"/>
  <c r="EKD1590" i="1"/>
  <c r="EKC1590" i="1"/>
  <c r="EKB1590" i="1"/>
  <c r="EKA1590" i="1"/>
  <c r="EJZ1590" i="1"/>
  <c r="EJY1590" i="1"/>
  <c r="EJX1590" i="1"/>
  <c r="EJW1590" i="1"/>
  <c r="EJV1590" i="1"/>
  <c r="EJU1590" i="1"/>
  <c r="EJT1590" i="1"/>
  <c r="EJS1590" i="1"/>
  <c r="EJR1590" i="1"/>
  <c r="EJQ1590" i="1"/>
  <c r="EJP1590" i="1"/>
  <c r="EJO1590" i="1"/>
  <c r="EJN1590" i="1"/>
  <c r="EJM1590" i="1"/>
  <c r="EJL1590" i="1"/>
  <c r="EJK1590" i="1"/>
  <c r="EJJ1590" i="1"/>
  <c r="EJI1590" i="1"/>
  <c r="EJH1590" i="1"/>
  <c r="EJG1590" i="1"/>
  <c r="EJF1590" i="1"/>
  <c r="EJE1590" i="1"/>
  <c r="EJD1590" i="1"/>
  <c r="EJC1590" i="1"/>
  <c r="EJB1590" i="1"/>
  <c r="EJA1590" i="1"/>
  <c r="EIZ1590" i="1"/>
  <c r="EIY1590" i="1"/>
  <c r="EIX1590" i="1"/>
  <c r="EIW1590" i="1"/>
  <c r="EIV1590" i="1"/>
  <c r="EIU1590" i="1"/>
  <c r="EIT1590" i="1"/>
  <c r="EIS1590" i="1"/>
  <c r="EIR1590" i="1"/>
  <c r="EIQ1590" i="1"/>
  <c r="EIP1590" i="1"/>
  <c r="EIO1590" i="1"/>
  <c r="EIN1590" i="1"/>
  <c r="EIM1590" i="1"/>
  <c r="EIL1590" i="1"/>
  <c r="EIK1590" i="1"/>
  <c r="EIJ1590" i="1"/>
  <c r="EII1590" i="1"/>
  <c r="EIH1590" i="1"/>
  <c r="EIG1590" i="1"/>
  <c r="EIF1590" i="1"/>
  <c r="EIE1590" i="1"/>
  <c r="EID1590" i="1"/>
  <c r="EIC1590" i="1"/>
  <c r="EIB1590" i="1"/>
  <c r="EIA1590" i="1"/>
  <c r="EHZ1590" i="1"/>
  <c r="EHY1590" i="1"/>
  <c r="EHX1590" i="1"/>
  <c r="EHW1590" i="1"/>
  <c r="EHV1590" i="1"/>
  <c r="EHU1590" i="1"/>
  <c r="EHT1590" i="1"/>
  <c r="EHS1590" i="1"/>
  <c r="EHR1590" i="1"/>
  <c r="EHQ1590" i="1"/>
  <c r="EHP1590" i="1"/>
  <c r="EHO1590" i="1"/>
  <c r="EHN1590" i="1"/>
  <c r="EHM1590" i="1"/>
  <c r="EHL1590" i="1"/>
  <c r="EHK1590" i="1"/>
  <c r="EHJ1590" i="1"/>
  <c r="EHI1590" i="1"/>
  <c r="EHH1590" i="1"/>
  <c r="EHG1590" i="1"/>
  <c r="EHF1590" i="1"/>
  <c r="EHE1590" i="1"/>
  <c r="EHD1590" i="1"/>
  <c r="EHC1590" i="1"/>
  <c r="EHB1590" i="1"/>
  <c r="EHA1590" i="1"/>
  <c r="EGZ1590" i="1"/>
  <c r="EGY1590" i="1"/>
  <c r="EGX1590" i="1"/>
  <c r="EGW1590" i="1"/>
  <c r="EGV1590" i="1"/>
  <c r="EGU1590" i="1"/>
  <c r="EGT1590" i="1"/>
  <c r="EGS1590" i="1"/>
  <c r="EGR1590" i="1"/>
  <c r="EGQ1590" i="1"/>
  <c r="EGP1590" i="1"/>
  <c r="EGO1590" i="1"/>
  <c r="EGN1590" i="1"/>
  <c r="EGM1590" i="1"/>
  <c r="EGL1590" i="1"/>
  <c r="EGK1590" i="1"/>
  <c r="EGJ1590" i="1"/>
  <c r="EGI1590" i="1"/>
  <c r="EGH1590" i="1"/>
  <c r="EGG1590" i="1"/>
  <c r="EGF1590" i="1"/>
  <c r="EGE1590" i="1"/>
  <c r="EGD1590" i="1"/>
  <c r="EGC1590" i="1"/>
  <c r="EGB1590" i="1"/>
  <c r="EGA1590" i="1"/>
  <c r="EFZ1590" i="1"/>
  <c r="EFY1590" i="1"/>
  <c r="EFX1590" i="1"/>
  <c r="EFW1590" i="1"/>
  <c r="EFV1590" i="1"/>
  <c r="EFU1590" i="1"/>
  <c r="EFT1590" i="1"/>
  <c r="EFS1590" i="1"/>
  <c r="EFR1590" i="1"/>
  <c r="EFQ1590" i="1"/>
  <c r="EFP1590" i="1"/>
  <c r="EFO1590" i="1"/>
  <c r="EFN1590" i="1"/>
  <c r="EFM1590" i="1"/>
  <c r="EFL1590" i="1"/>
  <c r="EFK1590" i="1"/>
  <c r="EFJ1590" i="1"/>
  <c r="EFI1590" i="1"/>
  <c r="EFH1590" i="1"/>
  <c r="EFG1590" i="1"/>
  <c r="EFF1590" i="1"/>
  <c r="EFE1590" i="1"/>
  <c r="EFD1590" i="1"/>
  <c r="EFC1590" i="1"/>
  <c r="EFB1590" i="1"/>
  <c r="EFA1590" i="1"/>
  <c r="EEZ1590" i="1"/>
  <c r="EEY1590" i="1"/>
  <c r="EEX1590" i="1"/>
  <c r="EEW1590" i="1"/>
  <c r="EEV1590" i="1"/>
  <c r="EEU1590" i="1"/>
  <c r="EET1590" i="1"/>
  <c r="EES1590" i="1"/>
  <c r="EER1590" i="1"/>
  <c r="EEQ1590" i="1"/>
  <c r="EEP1590" i="1"/>
  <c r="EEO1590" i="1"/>
  <c r="EEN1590" i="1"/>
  <c r="EEM1590" i="1"/>
  <c r="EEL1590" i="1"/>
  <c r="EEK1590" i="1"/>
  <c r="EEJ1590" i="1"/>
  <c r="EEI1590" i="1"/>
  <c r="EEH1590" i="1"/>
  <c r="EEG1590" i="1"/>
  <c r="EEF1590" i="1"/>
  <c r="EEE1590" i="1"/>
  <c r="EED1590" i="1"/>
  <c r="EEC1590" i="1"/>
  <c r="EEB1590" i="1"/>
  <c r="EEA1590" i="1"/>
  <c r="EDZ1590" i="1"/>
  <c r="EDY1590" i="1"/>
  <c r="EDX1590" i="1"/>
  <c r="EDW1590" i="1"/>
  <c r="EDV1590" i="1"/>
  <c r="EDU1590" i="1"/>
  <c r="EDT1590" i="1"/>
  <c r="EDS1590" i="1"/>
  <c r="EDR1590" i="1"/>
  <c r="EDQ1590" i="1"/>
  <c r="EDP1590" i="1"/>
  <c r="EDO1590" i="1"/>
  <c r="EDN1590" i="1"/>
  <c r="EDM1590" i="1"/>
  <c r="EDL1590" i="1"/>
  <c r="EDK1590" i="1"/>
  <c r="EDJ1590" i="1"/>
  <c r="EDI1590" i="1"/>
  <c r="EDH1590" i="1"/>
  <c r="EDG1590" i="1"/>
  <c r="EDF1590" i="1"/>
  <c r="EDE1590" i="1"/>
  <c r="EDD1590" i="1"/>
  <c r="EDC1590" i="1"/>
  <c r="EDB1590" i="1"/>
  <c r="EDA1590" i="1"/>
  <c r="ECZ1590" i="1"/>
  <c r="ECY1590" i="1"/>
  <c r="ECX1590" i="1"/>
  <c r="ECW1590" i="1"/>
  <c r="ECV1590" i="1"/>
  <c r="ECU1590" i="1"/>
  <c r="ECT1590" i="1"/>
  <c r="ECS1590" i="1"/>
  <c r="ECR1590" i="1"/>
  <c r="ECQ1590" i="1"/>
  <c r="ECP1590" i="1"/>
  <c r="ECO1590" i="1"/>
  <c r="ECN1590" i="1"/>
  <c r="ECM1590" i="1"/>
  <c r="ECL1590" i="1"/>
  <c r="ECK1590" i="1"/>
  <c r="ECJ1590" i="1"/>
  <c r="ECI1590" i="1"/>
  <c r="ECH1590" i="1"/>
  <c r="ECG1590" i="1"/>
  <c r="ECF1590" i="1"/>
  <c r="ECE1590" i="1"/>
  <c r="ECD1590" i="1"/>
  <c r="ECC1590" i="1"/>
  <c r="ECB1590" i="1"/>
  <c r="ECA1590" i="1"/>
  <c r="EBZ1590" i="1"/>
  <c r="EBY1590" i="1"/>
  <c r="EBX1590" i="1"/>
  <c r="EBW1590" i="1"/>
  <c r="EBV1590" i="1"/>
  <c r="EBU1590" i="1"/>
  <c r="EBT1590" i="1"/>
  <c r="EBS1590" i="1"/>
  <c r="EBR1590" i="1"/>
  <c r="EBQ1590" i="1"/>
  <c r="EBP1590" i="1"/>
  <c r="EBO1590" i="1"/>
  <c r="EBN1590" i="1"/>
  <c r="EBM1590" i="1"/>
  <c r="EBL1590" i="1"/>
  <c r="EBK1590" i="1"/>
  <c r="EBJ1590" i="1"/>
  <c r="EBI1590" i="1"/>
  <c r="EBH1590" i="1"/>
  <c r="EBG1590" i="1"/>
  <c r="EBF1590" i="1"/>
  <c r="EBE1590" i="1"/>
  <c r="EBD1590" i="1"/>
  <c r="EBC1590" i="1"/>
  <c r="EBB1590" i="1"/>
  <c r="EBA1590" i="1"/>
  <c r="EAZ1590" i="1"/>
  <c r="EAY1590" i="1"/>
  <c r="EAX1590" i="1"/>
  <c r="EAW1590" i="1"/>
  <c r="EAV1590" i="1"/>
  <c r="EAU1590" i="1"/>
  <c r="EAT1590" i="1"/>
  <c r="EAS1590" i="1"/>
  <c r="EAR1590" i="1"/>
  <c r="EAQ1590" i="1"/>
  <c r="EAP1590" i="1"/>
  <c r="EAO1590" i="1"/>
  <c r="EAN1590" i="1"/>
  <c r="EAM1590" i="1"/>
  <c r="EAL1590" i="1"/>
  <c r="EAK1590" i="1"/>
  <c r="EAJ1590" i="1"/>
  <c r="EAI1590" i="1"/>
  <c r="EAH1590" i="1"/>
  <c r="EAG1590" i="1"/>
  <c r="EAF1590" i="1"/>
  <c r="EAE1590" i="1"/>
  <c r="EAD1590" i="1"/>
  <c r="EAC1590" i="1"/>
  <c r="EAB1590" i="1"/>
  <c r="EAA1590" i="1"/>
  <c r="DZZ1590" i="1"/>
  <c r="DZY1590" i="1"/>
  <c r="DZX1590" i="1"/>
  <c r="DZW1590" i="1"/>
  <c r="DZV1590" i="1"/>
  <c r="DZU1590" i="1"/>
  <c r="DZT1590" i="1"/>
  <c r="DZS1590" i="1"/>
  <c r="DZR1590" i="1"/>
  <c r="DZQ1590" i="1"/>
  <c r="DZP1590" i="1"/>
  <c r="DZO1590" i="1"/>
  <c r="DZN1590" i="1"/>
  <c r="DZM1590" i="1"/>
  <c r="DZL1590" i="1"/>
  <c r="DZK1590" i="1"/>
  <c r="DZJ1590" i="1"/>
  <c r="DZI1590" i="1"/>
  <c r="DZH1590" i="1"/>
  <c r="DZG1590" i="1"/>
  <c r="DZF1590" i="1"/>
  <c r="DZE1590" i="1"/>
  <c r="DZD1590" i="1"/>
  <c r="DZC1590" i="1"/>
  <c r="DZB1590" i="1"/>
  <c r="DZA1590" i="1"/>
  <c r="DYZ1590" i="1"/>
  <c r="DYY1590" i="1"/>
  <c r="DYX1590" i="1"/>
  <c r="DYW1590" i="1"/>
  <c r="DYV1590" i="1"/>
  <c r="DYU1590" i="1"/>
  <c r="DYT1590" i="1"/>
  <c r="DYS1590" i="1"/>
  <c r="DYR1590" i="1"/>
  <c r="DYQ1590" i="1"/>
  <c r="DYP1590" i="1"/>
  <c r="DYO1590" i="1"/>
  <c r="DYN1590" i="1"/>
  <c r="DYM1590" i="1"/>
  <c r="DYL1590" i="1"/>
  <c r="DYK1590" i="1"/>
  <c r="DYJ1590" i="1"/>
  <c r="DYI1590" i="1"/>
  <c r="DYH1590" i="1"/>
  <c r="DYG1590" i="1"/>
  <c r="DYF1590" i="1"/>
  <c r="DYE1590" i="1"/>
  <c r="DYD1590" i="1"/>
  <c r="DYC1590" i="1"/>
  <c r="DYB1590" i="1"/>
  <c r="DYA1590" i="1"/>
  <c r="DXZ1590" i="1"/>
  <c r="DXY1590" i="1"/>
  <c r="DXX1590" i="1"/>
  <c r="DXW1590" i="1"/>
  <c r="DXV1590" i="1"/>
  <c r="DXU1590" i="1"/>
  <c r="DXT1590" i="1"/>
  <c r="DXS1590" i="1"/>
  <c r="DXR1590" i="1"/>
  <c r="DXQ1590" i="1"/>
  <c r="DXP1590" i="1"/>
  <c r="DXO1590" i="1"/>
  <c r="DXN1590" i="1"/>
  <c r="DXM1590" i="1"/>
  <c r="DXL1590" i="1"/>
  <c r="DXK1590" i="1"/>
  <c r="DXJ1590" i="1"/>
  <c r="DXI1590" i="1"/>
  <c r="DXH1590" i="1"/>
  <c r="DXG1590" i="1"/>
  <c r="DXF1590" i="1"/>
  <c r="DXE1590" i="1"/>
  <c r="DXD1590" i="1"/>
  <c r="DXC1590" i="1"/>
  <c r="DXB1590" i="1"/>
  <c r="DXA1590" i="1"/>
  <c r="DWZ1590" i="1"/>
  <c r="DWY1590" i="1"/>
  <c r="DWX1590" i="1"/>
  <c r="DWW1590" i="1"/>
  <c r="DWV1590" i="1"/>
  <c r="DWU1590" i="1"/>
  <c r="DWT1590" i="1"/>
  <c r="DWS1590" i="1"/>
  <c r="DWR1590" i="1"/>
  <c r="DWQ1590" i="1"/>
  <c r="DWP1590" i="1"/>
  <c r="DWO1590" i="1"/>
  <c r="DWN1590" i="1"/>
  <c r="DWM1590" i="1"/>
  <c r="DWL1590" i="1"/>
  <c r="DWK1590" i="1"/>
  <c r="DWJ1590" i="1"/>
  <c r="DWI1590" i="1"/>
  <c r="DWH1590" i="1"/>
  <c r="DWG1590" i="1"/>
  <c r="DWF1590" i="1"/>
  <c r="DWE1590" i="1"/>
  <c r="DWD1590" i="1"/>
  <c r="DWC1590" i="1"/>
  <c r="DWB1590" i="1"/>
  <c r="DWA1590" i="1"/>
  <c r="DVZ1590" i="1"/>
  <c r="DVY1590" i="1"/>
  <c r="DVX1590" i="1"/>
  <c r="DVW1590" i="1"/>
  <c r="DVV1590" i="1"/>
  <c r="DVU1590" i="1"/>
  <c r="DVT1590" i="1"/>
  <c r="DVS1590" i="1"/>
  <c r="DVR1590" i="1"/>
  <c r="DVQ1590" i="1"/>
  <c r="DVP1590" i="1"/>
  <c r="DVO1590" i="1"/>
  <c r="DVN1590" i="1"/>
  <c r="DVM1590" i="1"/>
  <c r="DVL1590" i="1"/>
  <c r="DVK1590" i="1"/>
  <c r="DVJ1590" i="1"/>
  <c r="DVI1590" i="1"/>
  <c r="DVH1590" i="1"/>
  <c r="DVG1590" i="1"/>
  <c r="DVF1590" i="1"/>
  <c r="DVE1590" i="1"/>
  <c r="DVD1590" i="1"/>
  <c r="DVC1590" i="1"/>
  <c r="DVB1590" i="1"/>
  <c r="DVA1590" i="1"/>
  <c r="DUZ1590" i="1"/>
  <c r="DUY1590" i="1"/>
  <c r="DUX1590" i="1"/>
  <c r="DUW1590" i="1"/>
  <c r="DUV1590" i="1"/>
  <c r="DUU1590" i="1"/>
  <c r="DUT1590" i="1"/>
  <c r="DUS1590" i="1"/>
  <c r="DUR1590" i="1"/>
  <c r="DUQ1590" i="1"/>
  <c r="DUP1590" i="1"/>
  <c r="DUO1590" i="1"/>
  <c r="DUN1590" i="1"/>
  <c r="DUM1590" i="1"/>
  <c r="DUL1590" i="1"/>
  <c r="DUK1590" i="1"/>
  <c r="DUJ1590" i="1"/>
  <c r="DUI1590" i="1"/>
  <c r="DUH1590" i="1"/>
  <c r="DUG1590" i="1"/>
  <c r="DUF1590" i="1"/>
  <c r="DUE1590" i="1"/>
  <c r="DUD1590" i="1"/>
  <c r="DUC1590" i="1"/>
  <c r="DUB1590" i="1"/>
  <c r="DUA1590" i="1"/>
  <c r="DTZ1590" i="1"/>
  <c r="DTY1590" i="1"/>
  <c r="DTX1590" i="1"/>
  <c r="DTW1590" i="1"/>
  <c r="DTV1590" i="1"/>
  <c r="DTU1590" i="1"/>
  <c r="DTT1590" i="1"/>
  <c r="DTS1590" i="1"/>
  <c r="DTR1590" i="1"/>
  <c r="DTQ1590" i="1"/>
  <c r="DTP1590" i="1"/>
  <c r="DTO1590" i="1"/>
  <c r="DTN1590" i="1"/>
  <c r="DTM1590" i="1"/>
  <c r="DTL1590" i="1"/>
  <c r="DTK1590" i="1"/>
  <c r="DTJ1590" i="1"/>
  <c r="DTI1590" i="1"/>
  <c r="DTH1590" i="1"/>
  <c r="DTG1590" i="1"/>
  <c r="DTF1590" i="1"/>
  <c r="DTE1590" i="1"/>
  <c r="DTD1590" i="1"/>
  <c r="DTC1590" i="1"/>
  <c r="DTB1590" i="1"/>
  <c r="DTA1590" i="1"/>
  <c r="DSZ1590" i="1"/>
  <c r="DSY1590" i="1"/>
  <c r="DSX1590" i="1"/>
  <c r="DSW1590" i="1"/>
  <c r="DSV1590" i="1"/>
  <c r="DSU1590" i="1"/>
  <c r="DST1590" i="1"/>
  <c r="DSS1590" i="1"/>
  <c r="DSR1590" i="1"/>
  <c r="DSQ1590" i="1"/>
  <c r="DSP1590" i="1"/>
  <c r="DSO1590" i="1"/>
  <c r="DSN1590" i="1"/>
  <c r="DSM1590" i="1"/>
  <c r="DSL1590" i="1"/>
  <c r="DSK1590" i="1"/>
  <c r="DSJ1590" i="1"/>
  <c r="DSI1590" i="1"/>
  <c r="DSH1590" i="1"/>
  <c r="DSG1590" i="1"/>
  <c r="DSF1590" i="1"/>
  <c r="DSE1590" i="1"/>
  <c r="DSD1590" i="1"/>
  <c r="DSC1590" i="1"/>
  <c r="DSB1590" i="1"/>
  <c r="DSA1590" i="1"/>
  <c r="DRZ1590" i="1"/>
  <c r="DRY1590" i="1"/>
  <c r="DRX1590" i="1"/>
  <c r="DRW1590" i="1"/>
  <c r="DRV1590" i="1"/>
  <c r="DRU1590" i="1"/>
  <c r="DRT1590" i="1"/>
  <c r="DRS1590" i="1"/>
  <c r="DRR1590" i="1"/>
  <c r="DRQ1590" i="1"/>
  <c r="DRP1590" i="1"/>
  <c r="DRO1590" i="1"/>
  <c r="DRN1590" i="1"/>
  <c r="DRM1590" i="1"/>
  <c r="DRL1590" i="1"/>
  <c r="DRK1590" i="1"/>
  <c r="DRJ1590" i="1"/>
  <c r="DRI1590" i="1"/>
  <c r="DRH1590" i="1"/>
  <c r="DRG1590" i="1"/>
  <c r="DRF1590" i="1"/>
  <c r="DRE1590" i="1"/>
  <c r="DRD1590" i="1"/>
  <c r="DRC1590" i="1"/>
  <c r="DRB1590" i="1"/>
  <c r="DRA1590" i="1"/>
  <c r="DQZ1590" i="1"/>
  <c r="DQY1590" i="1"/>
  <c r="DQX1590" i="1"/>
  <c r="DQW1590" i="1"/>
  <c r="DQV1590" i="1"/>
  <c r="DQU1590" i="1"/>
  <c r="DQT1590" i="1"/>
  <c r="DQS1590" i="1"/>
  <c r="DQR1590" i="1"/>
  <c r="DQQ1590" i="1"/>
  <c r="DQP1590" i="1"/>
  <c r="DQO1590" i="1"/>
  <c r="DQN1590" i="1"/>
  <c r="DQM1590" i="1"/>
  <c r="DQL1590" i="1"/>
  <c r="DQK1590" i="1"/>
  <c r="DQJ1590" i="1"/>
  <c r="DQI1590" i="1"/>
  <c r="DQH1590" i="1"/>
  <c r="DQG1590" i="1"/>
  <c r="DQF1590" i="1"/>
  <c r="DQE1590" i="1"/>
  <c r="DQD1590" i="1"/>
  <c r="DQC1590" i="1"/>
  <c r="DQB1590" i="1"/>
  <c r="DQA1590" i="1"/>
  <c r="DPZ1590" i="1"/>
  <c r="DPY1590" i="1"/>
  <c r="DPX1590" i="1"/>
  <c r="DPW1590" i="1"/>
  <c r="DPV1590" i="1"/>
  <c r="DPU1590" i="1"/>
  <c r="DPT1590" i="1"/>
  <c r="DPS1590" i="1"/>
  <c r="DPR1590" i="1"/>
  <c r="DPQ1590" i="1"/>
  <c r="DPP1590" i="1"/>
  <c r="DPO1590" i="1"/>
  <c r="DPN1590" i="1"/>
  <c r="DPM1590" i="1"/>
  <c r="DPL1590" i="1"/>
  <c r="DPK1590" i="1"/>
  <c r="DPJ1590" i="1"/>
  <c r="DPI1590" i="1"/>
  <c r="DPH1590" i="1"/>
  <c r="DPG1590" i="1"/>
  <c r="DPF1590" i="1"/>
  <c r="DPE1590" i="1"/>
  <c r="DPD1590" i="1"/>
  <c r="DPC1590" i="1"/>
  <c r="DPB1590" i="1"/>
  <c r="DPA1590" i="1"/>
  <c r="DOZ1590" i="1"/>
  <c r="DOY1590" i="1"/>
  <c r="DOX1590" i="1"/>
  <c r="DOW1590" i="1"/>
  <c r="DOV1590" i="1"/>
  <c r="DOU1590" i="1"/>
  <c r="DOT1590" i="1"/>
  <c r="DOS1590" i="1"/>
  <c r="DOR1590" i="1"/>
  <c r="DOQ1590" i="1"/>
  <c r="DOP1590" i="1"/>
  <c r="DOO1590" i="1"/>
  <c r="DON1590" i="1"/>
  <c r="DOM1590" i="1"/>
  <c r="DOL1590" i="1"/>
  <c r="DOK1590" i="1"/>
  <c r="DOJ1590" i="1"/>
  <c r="DOI1590" i="1"/>
  <c r="DOH1590" i="1"/>
  <c r="DOG1590" i="1"/>
  <c r="DOF1590" i="1"/>
  <c r="DOE1590" i="1"/>
  <c r="DOD1590" i="1"/>
  <c r="DOC1590" i="1"/>
  <c r="DOB1590" i="1"/>
  <c r="DOA1590" i="1"/>
  <c r="DNZ1590" i="1"/>
  <c r="DNY1590" i="1"/>
  <c r="DNX1590" i="1"/>
  <c r="DNW1590" i="1"/>
  <c r="DNV1590" i="1"/>
  <c r="DNU1590" i="1"/>
  <c r="DNT1590" i="1"/>
  <c r="DNS1590" i="1"/>
  <c r="DNR1590" i="1"/>
  <c r="DNQ1590" i="1"/>
  <c r="DNP1590" i="1"/>
  <c r="DNO1590" i="1"/>
  <c r="DNN1590" i="1"/>
  <c r="DNM1590" i="1"/>
  <c r="DNL1590" i="1"/>
  <c r="DNK1590" i="1"/>
  <c r="DNJ1590" i="1"/>
  <c r="DNI1590" i="1"/>
  <c r="DNH1590" i="1"/>
  <c r="DNG1590" i="1"/>
  <c r="DNF1590" i="1"/>
  <c r="DNE1590" i="1"/>
  <c r="DND1590" i="1"/>
  <c r="DNC1590" i="1"/>
  <c r="DNB1590" i="1"/>
  <c r="DNA1590" i="1"/>
  <c r="DMZ1590" i="1"/>
  <c r="DMY1590" i="1"/>
  <c r="DMX1590" i="1"/>
  <c r="DMW1590" i="1"/>
  <c r="DMV1590" i="1"/>
  <c r="DMU1590" i="1"/>
  <c r="DMT1590" i="1"/>
  <c r="DMS1590" i="1"/>
  <c r="DMR1590" i="1"/>
  <c r="DMQ1590" i="1"/>
  <c r="DMP1590" i="1"/>
  <c r="DMO1590" i="1"/>
  <c r="DMN1590" i="1"/>
  <c r="DMM1590" i="1"/>
  <c r="DML1590" i="1"/>
  <c r="DMK1590" i="1"/>
  <c r="DMJ1590" i="1"/>
  <c r="DMI1590" i="1"/>
  <c r="DMH1590" i="1"/>
  <c r="DMG1590" i="1"/>
  <c r="DMF1590" i="1"/>
  <c r="DME1590" i="1"/>
  <c r="DMD1590" i="1"/>
  <c r="DMC1590" i="1"/>
  <c r="DMB1590" i="1"/>
  <c r="DMA1590" i="1"/>
  <c r="DLZ1590" i="1"/>
  <c r="DLY1590" i="1"/>
  <c r="DLX1590" i="1"/>
  <c r="DLW1590" i="1"/>
  <c r="DLV1590" i="1"/>
  <c r="DLU1590" i="1"/>
  <c r="DLT1590" i="1"/>
  <c r="DLS1590" i="1"/>
  <c r="DLR1590" i="1"/>
  <c r="DLQ1590" i="1"/>
  <c r="DLP1590" i="1"/>
  <c r="DLO1590" i="1"/>
  <c r="DLN1590" i="1"/>
  <c r="DLM1590" i="1"/>
  <c r="DLL1590" i="1"/>
  <c r="DLK1590" i="1"/>
  <c r="DLJ1590" i="1"/>
  <c r="DLI1590" i="1"/>
  <c r="DLH1590" i="1"/>
  <c r="DLG1590" i="1"/>
  <c r="DLF1590" i="1"/>
  <c r="DLE1590" i="1"/>
  <c r="DLD1590" i="1"/>
  <c r="DLC1590" i="1"/>
  <c r="DLB1590" i="1"/>
  <c r="DLA1590" i="1"/>
  <c r="DKZ1590" i="1"/>
  <c r="DKY1590" i="1"/>
  <c r="DKX1590" i="1"/>
  <c r="DKW1590" i="1"/>
  <c r="DKV1590" i="1"/>
  <c r="DKU1590" i="1"/>
  <c r="DKT1590" i="1"/>
  <c r="DKS1590" i="1"/>
  <c r="DKR1590" i="1"/>
  <c r="DKQ1590" i="1"/>
  <c r="DKP1590" i="1"/>
  <c r="DKO1590" i="1"/>
  <c r="DKN1590" i="1"/>
  <c r="DKM1590" i="1"/>
  <c r="DKL1590" i="1"/>
  <c r="DKK1590" i="1"/>
  <c r="DKJ1590" i="1"/>
  <c r="DKI1590" i="1"/>
  <c r="DKH1590" i="1"/>
  <c r="DKG1590" i="1"/>
  <c r="DKF1590" i="1"/>
  <c r="DKE1590" i="1"/>
  <c r="DKD1590" i="1"/>
  <c r="DKC1590" i="1"/>
  <c r="DKB1590" i="1"/>
  <c r="DKA1590" i="1"/>
  <c r="DJZ1590" i="1"/>
  <c r="DJY1590" i="1"/>
  <c r="DJX1590" i="1"/>
  <c r="DJW1590" i="1"/>
  <c r="DJV1590" i="1"/>
  <c r="DJU1590" i="1"/>
  <c r="DJT1590" i="1"/>
  <c r="DJS1590" i="1"/>
  <c r="DJR1590" i="1"/>
  <c r="DJQ1590" i="1"/>
  <c r="DJP1590" i="1"/>
  <c r="DJO1590" i="1"/>
  <c r="DJN1590" i="1"/>
  <c r="DJM1590" i="1"/>
  <c r="DJL1590" i="1"/>
  <c r="DJK1590" i="1"/>
  <c r="DJJ1590" i="1"/>
  <c r="DJI1590" i="1"/>
  <c r="DJH1590" i="1"/>
  <c r="DJG1590" i="1"/>
  <c r="DJF1590" i="1"/>
  <c r="DJE1590" i="1"/>
  <c r="DJD1590" i="1"/>
  <c r="DJC1590" i="1"/>
  <c r="DJB1590" i="1"/>
  <c r="DJA1590" i="1"/>
  <c r="DIZ1590" i="1"/>
  <c r="DIY1590" i="1"/>
  <c r="DIX1590" i="1"/>
  <c r="DIW1590" i="1"/>
  <c r="DIV1590" i="1"/>
  <c r="DIU1590" i="1"/>
  <c r="DIT1590" i="1"/>
  <c r="DIS1590" i="1"/>
  <c r="DIR1590" i="1"/>
  <c r="DIQ1590" i="1"/>
  <c r="DIP1590" i="1"/>
  <c r="DIO1590" i="1"/>
  <c r="DIN1590" i="1"/>
  <c r="DIM1590" i="1"/>
  <c r="DIL1590" i="1"/>
  <c r="DIK1590" i="1"/>
  <c r="DIJ1590" i="1"/>
  <c r="DII1590" i="1"/>
  <c r="DIH1590" i="1"/>
  <c r="DIG1590" i="1"/>
  <c r="DIF1590" i="1"/>
  <c r="DIE1590" i="1"/>
  <c r="DID1590" i="1"/>
  <c r="DIC1590" i="1"/>
  <c r="DIB1590" i="1"/>
  <c r="DIA1590" i="1"/>
  <c r="DHZ1590" i="1"/>
  <c r="DHY1590" i="1"/>
  <c r="DHX1590" i="1"/>
  <c r="DHW1590" i="1"/>
  <c r="DHV1590" i="1"/>
  <c r="DHU1590" i="1"/>
  <c r="DHT1590" i="1"/>
  <c r="DHS1590" i="1"/>
  <c r="DHR1590" i="1"/>
  <c r="DHQ1590" i="1"/>
  <c r="DHP1590" i="1"/>
  <c r="DHO1590" i="1"/>
  <c r="DHN1590" i="1"/>
  <c r="DHM1590" i="1"/>
  <c r="DHL1590" i="1"/>
  <c r="DHK1590" i="1"/>
  <c r="DHJ1590" i="1"/>
  <c r="DHI1590" i="1"/>
  <c r="DHH1590" i="1"/>
  <c r="DHG1590" i="1"/>
  <c r="DHF1590" i="1"/>
  <c r="DHE1590" i="1"/>
  <c r="DHD1590" i="1"/>
  <c r="DHC1590" i="1"/>
  <c r="DHB1590" i="1"/>
  <c r="DHA1590" i="1"/>
  <c r="DGZ1590" i="1"/>
  <c r="DGY1590" i="1"/>
  <c r="DGX1590" i="1"/>
  <c r="DGW1590" i="1"/>
  <c r="DGV1590" i="1"/>
  <c r="DGU1590" i="1"/>
  <c r="DGT1590" i="1"/>
  <c r="DGS1590" i="1"/>
  <c r="DGR1590" i="1"/>
  <c r="DGQ1590" i="1"/>
  <c r="DGP1590" i="1"/>
  <c r="DGO1590" i="1"/>
  <c r="DGN1590" i="1"/>
  <c r="DGM1590" i="1"/>
  <c r="DGL1590" i="1"/>
  <c r="DGK1590" i="1"/>
  <c r="DGJ1590" i="1"/>
  <c r="DGI1590" i="1"/>
  <c r="DGH1590" i="1"/>
  <c r="DGG1590" i="1"/>
  <c r="DGF1590" i="1"/>
  <c r="DGE1590" i="1"/>
  <c r="DGD1590" i="1"/>
  <c r="DGC1590" i="1"/>
  <c r="DGB1590" i="1"/>
  <c r="DGA1590" i="1"/>
  <c r="DFZ1590" i="1"/>
  <c r="DFY1590" i="1"/>
  <c r="DFX1590" i="1"/>
  <c r="DFW1590" i="1"/>
  <c r="DFV1590" i="1"/>
  <c r="DFU1590" i="1"/>
  <c r="DFT1590" i="1"/>
  <c r="DFS1590" i="1"/>
  <c r="DFR1590" i="1"/>
  <c r="DFQ1590" i="1"/>
  <c r="DFP1590" i="1"/>
  <c r="DFO1590" i="1"/>
  <c r="DFN1590" i="1"/>
  <c r="DFM1590" i="1"/>
  <c r="DFL1590" i="1"/>
  <c r="DFK1590" i="1"/>
  <c r="DFJ1590" i="1"/>
  <c r="DFI1590" i="1"/>
  <c r="DFH1590" i="1"/>
  <c r="DFG1590" i="1"/>
  <c r="DFF1590" i="1"/>
  <c r="DFE1590" i="1"/>
  <c r="DFD1590" i="1"/>
  <c r="DFC1590" i="1"/>
  <c r="DFB1590" i="1"/>
  <c r="DFA1590" i="1"/>
  <c r="DEZ1590" i="1"/>
  <c r="DEY1590" i="1"/>
  <c r="DEX1590" i="1"/>
  <c r="DEW1590" i="1"/>
  <c r="DEV1590" i="1"/>
  <c r="DEU1590" i="1"/>
  <c r="DET1590" i="1"/>
  <c r="DES1590" i="1"/>
  <c r="DER1590" i="1"/>
  <c r="DEQ1590" i="1"/>
  <c r="DEP1590" i="1"/>
  <c r="DEO1590" i="1"/>
  <c r="DEN1590" i="1"/>
  <c r="DEM1590" i="1"/>
  <c r="DEL1590" i="1"/>
  <c r="DEK1590" i="1"/>
  <c r="DEJ1590" i="1"/>
  <c r="DEI1590" i="1"/>
  <c r="DEH1590" i="1"/>
  <c r="DEG1590" i="1"/>
  <c r="DEF1590" i="1"/>
  <c r="DEE1590" i="1"/>
  <c r="DED1590" i="1"/>
  <c r="DEC1590" i="1"/>
  <c r="DEB1590" i="1"/>
  <c r="DEA1590" i="1"/>
  <c r="DDZ1590" i="1"/>
  <c r="DDY1590" i="1"/>
  <c r="DDX1590" i="1"/>
  <c r="DDW1590" i="1"/>
  <c r="DDV1590" i="1"/>
  <c r="DDU1590" i="1"/>
  <c r="DDT1590" i="1"/>
  <c r="DDS1590" i="1"/>
  <c r="DDR1590" i="1"/>
  <c r="DDQ1590" i="1"/>
  <c r="DDP1590" i="1"/>
  <c r="DDO1590" i="1"/>
  <c r="DDN1590" i="1"/>
  <c r="DDM1590" i="1"/>
  <c r="DDL1590" i="1"/>
  <c r="DDK1590" i="1"/>
  <c r="DDJ1590" i="1"/>
  <c r="DDI1590" i="1"/>
  <c r="DDH1590" i="1"/>
  <c r="DDG1590" i="1"/>
  <c r="DDF1590" i="1"/>
  <c r="DDE1590" i="1"/>
  <c r="DDD1590" i="1"/>
  <c r="DDC1590" i="1"/>
  <c r="DDB1590" i="1"/>
  <c r="DDA1590" i="1"/>
  <c r="DCZ1590" i="1"/>
  <c r="DCY1590" i="1"/>
  <c r="DCX1590" i="1"/>
  <c r="DCW1590" i="1"/>
  <c r="DCV1590" i="1"/>
  <c r="DCU1590" i="1"/>
  <c r="DCT1590" i="1"/>
  <c r="DCS1590" i="1"/>
  <c r="DCR1590" i="1"/>
  <c r="DCQ1590" i="1"/>
  <c r="DCP1590" i="1"/>
  <c r="DCO1590" i="1"/>
  <c r="DCN1590" i="1"/>
  <c r="DCM1590" i="1"/>
  <c r="DCL1590" i="1"/>
  <c r="DCK1590" i="1"/>
  <c r="DCJ1590" i="1"/>
  <c r="DCI1590" i="1"/>
  <c r="DCH1590" i="1"/>
  <c r="DCG1590" i="1"/>
  <c r="DCF1590" i="1"/>
  <c r="DCE1590" i="1"/>
  <c r="DCD1590" i="1"/>
  <c r="DCC1590" i="1"/>
  <c r="DCB1590" i="1"/>
  <c r="DCA1590" i="1"/>
  <c r="DBZ1590" i="1"/>
  <c r="DBY1590" i="1"/>
  <c r="DBX1590" i="1"/>
  <c r="DBW1590" i="1"/>
  <c r="DBV1590" i="1"/>
  <c r="DBU1590" i="1"/>
  <c r="DBT1590" i="1"/>
  <c r="DBS1590" i="1"/>
  <c r="DBR1590" i="1"/>
  <c r="DBQ1590" i="1"/>
  <c r="DBP1590" i="1"/>
  <c r="DBO1590" i="1"/>
  <c r="DBN1590" i="1"/>
  <c r="DBM1590" i="1"/>
  <c r="DBL1590" i="1"/>
  <c r="DBK1590" i="1"/>
  <c r="DBJ1590" i="1"/>
  <c r="DBI1590" i="1"/>
  <c r="DBH1590" i="1"/>
  <c r="DBG1590" i="1"/>
  <c r="DBF1590" i="1"/>
  <c r="DBE1590" i="1"/>
  <c r="DBD1590" i="1"/>
  <c r="DBC1590" i="1"/>
  <c r="DBB1590" i="1"/>
  <c r="DBA1590" i="1"/>
  <c r="DAZ1590" i="1"/>
  <c r="DAY1590" i="1"/>
  <c r="DAX1590" i="1"/>
  <c r="DAW1590" i="1"/>
  <c r="DAV1590" i="1"/>
  <c r="DAU1590" i="1"/>
  <c r="DAT1590" i="1"/>
  <c r="DAS1590" i="1"/>
  <c r="DAR1590" i="1"/>
  <c r="DAQ1590" i="1"/>
  <c r="DAP1590" i="1"/>
  <c r="DAO1590" i="1"/>
  <c r="DAN1590" i="1"/>
  <c r="DAM1590" i="1"/>
  <c r="DAL1590" i="1"/>
  <c r="DAK1590" i="1"/>
  <c r="DAJ1590" i="1"/>
  <c r="DAI1590" i="1"/>
  <c r="DAH1590" i="1"/>
  <c r="DAG1590" i="1"/>
  <c r="DAF1590" i="1"/>
  <c r="DAE1590" i="1"/>
  <c r="DAD1590" i="1"/>
  <c r="DAC1590" i="1"/>
  <c r="DAB1590" i="1"/>
  <c r="DAA1590" i="1"/>
  <c r="CZZ1590" i="1"/>
  <c r="CZY1590" i="1"/>
  <c r="CZX1590" i="1"/>
  <c r="CZW1590" i="1"/>
  <c r="CZV1590" i="1"/>
  <c r="CZU1590" i="1"/>
  <c r="CZT1590" i="1"/>
  <c r="CZS1590" i="1"/>
  <c r="CZR1590" i="1"/>
  <c r="CZQ1590" i="1"/>
  <c r="CZP1590" i="1"/>
  <c r="CZO1590" i="1"/>
  <c r="CZN1590" i="1"/>
  <c r="CZM1590" i="1"/>
  <c r="CZL1590" i="1"/>
  <c r="CZK1590" i="1"/>
  <c r="CZJ1590" i="1"/>
  <c r="CZI1590" i="1"/>
  <c r="CZH1590" i="1"/>
  <c r="CZG1590" i="1"/>
  <c r="CZF1590" i="1"/>
  <c r="CZE1590" i="1"/>
  <c r="CZD1590" i="1"/>
  <c r="CZC1590" i="1"/>
  <c r="CZB1590" i="1"/>
  <c r="CZA1590" i="1"/>
  <c r="CYZ1590" i="1"/>
  <c r="CYY1590" i="1"/>
  <c r="CYX1590" i="1"/>
  <c r="CYW1590" i="1"/>
  <c r="CYV1590" i="1"/>
  <c r="CYU1590" i="1"/>
  <c r="CYT1590" i="1"/>
  <c r="CYS1590" i="1"/>
  <c r="CYR1590" i="1"/>
  <c r="CYQ1590" i="1"/>
  <c r="CYP1590" i="1"/>
  <c r="CYO1590" i="1"/>
  <c r="CYN1590" i="1"/>
  <c r="CYM1590" i="1"/>
  <c r="CYL1590" i="1"/>
  <c r="CYK1590" i="1"/>
  <c r="CYJ1590" i="1"/>
  <c r="CYI1590" i="1"/>
  <c r="CYH1590" i="1"/>
  <c r="CYG1590" i="1"/>
  <c r="CYF1590" i="1"/>
  <c r="CYE1590" i="1"/>
  <c r="CYD1590" i="1"/>
  <c r="CYC1590" i="1"/>
  <c r="CYB1590" i="1"/>
  <c r="CYA1590" i="1"/>
  <c r="CXZ1590" i="1"/>
  <c r="CXY1590" i="1"/>
  <c r="CXX1590" i="1"/>
  <c r="CXW1590" i="1"/>
  <c r="CXV1590" i="1"/>
  <c r="CXU1590" i="1"/>
  <c r="CXT1590" i="1"/>
  <c r="CXS1590" i="1"/>
  <c r="CXR1590" i="1"/>
  <c r="CXQ1590" i="1"/>
  <c r="CXP1590" i="1"/>
  <c r="CXO1590" i="1"/>
  <c r="CXN1590" i="1"/>
  <c r="CXM1590" i="1"/>
  <c r="CXL1590" i="1"/>
  <c r="CXK1590" i="1"/>
  <c r="CXJ1590" i="1"/>
  <c r="CXI1590" i="1"/>
  <c r="CXH1590" i="1"/>
  <c r="CXG1590" i="1"/>
  <c r="CXF1590" i="1"/>
  <c r="CXE1590" i="1"/>
  <c r="CXD1590" i="1"/>
  <c r="CXC1590" i="1"/>
  <c r="CXB1590" i="1"/>
  <c r="CXA1590" i="1"/>
  <c r="CWZ1590" i="1"/>
  <c r="CWY1590" i="1"/>
  <c r="CWX1590" i="1"/>
  <c r="CWW1590" i="1"/>
  <c r="CWV1590" i="1"/>
  <c r="CWU1590" i="1"/>
  <c r="CWT1590" i="1"/>
  <c r="CWS1590" i="1"/>
  <c r="CWR1590" i="1"/>
  <c r="CWQ1590" i="1"/>
  <c r="CWP1590" i="1"/>
  <c r="CWO1590" i="1"/>
  <c r="CWN1590" i="1"/>
  <c r="CWM1590" i="1"/>
  <c r="CWL1590" i="1"/>
  <c r="CWK1590" i="1"/>
  <c r="CWJ1590" i="1"/>
  <c r="CWI1590" i="1"/>
  <c r="CWH1590" i="1"/>
  <c r="CWG1590" i="1"/>
  <c r="CWF1590" i="1"/>
  <c r="CWE1590" i="1"/>
  <c r="CWD1590" i="1"/>
  <c r="CWC1590" i="1"/>
  <c r="CWB1590" i="1"/>
  <c r="CWA1590" i="1"/>
  <c r="CVZ1590" i="1"/>
  <c r="CVY1590" i="1"/>
  <c r="CVX1590" i="1"/>
  <c r="CVW1590" i="1"/>
  <c r="CVV1590" i="1"/>
  <c r="CVU1590" i="1"/>
  <c r="CVT1590" i="1"/>
  <c r="CVS1590" i="1"/>
  <c r="CVR1590" i="1"/>
  <c r="CVQ1590" i="1"/>
  <c r="CVP1590" i="1"/>
  <c r="CVO1590" i="1"/>
  <c r="CVN1590" i="1"/>
  <c r="CVM1590" i="1"/>
  <c r="CVL1590" i="1"/>
  <c r="CVK1590" i="1"/>
  <c r="CVJ1590" i="1"/>
  <c r="CVI1590" i="1"/>
  <c r="CVH1590" i="1"/>
  <c r="CVG1590" i="1"/>
  <c r="CVF1590" i="1"/>
  <c r="CVE1590" i="1"/>
  <c r="CVD1590" i="1"/>
  <c r="CVC1590" i="1"/>
  <c r="CVB1590" i="1"/>
  <c r="CVA1590" i="1"/>
  <c r="CUZ1590" i="1"/>
  <c r="CUY1590" i="1"/>
  <c r="CUX1590" i="1"/>
  <c r="CUW1590" i="1"/>
  <c r="CUV1590" i="1"/>
  <c r="CUU1590" i="1"/>
  <c r="CUT1590" i="1"/>
  <c r="CUS1590" i="1"/>
  <c r="CUR1590" i="1"/>
  <c r="CUQ1590" i="1"/>
  <c r="CUP1590" i="1"/>
  <c r="CUO1590" i="1"/>
  <c r="CUN1590" i="1"/>
  <c r="CUM1590" i="1"/>
  <c r="CUL1590" i="1"/>
  <c r="CUK1590" i="1"/>
  <c r="CUJ1590" i="1"/>
  <c r="CUI1590" i="1"/>
  <c r="CUH1590" i="1"/>
  <c r="CUG1590" i="1"/>
  <c r="CUF1590" i="1"/>
  <c r="CUE1590" i="1"/>
  <c r="CUD1590" i="1"/>
  <c r="CUC1590" i="1"/>
  <c r="CUB1590" i="1"/>
  <c r="CUA1590" i="1"/>
  <c r="CTZ1590" i="1"/>
  <c r="CTY1590" i="1"/>
  <c r="CTX1590" i="1"/>
  <c r="CTW1590" i="1"/>
  <c r="CTV1590" i="1"/>
  <c r="CTU1590" i="1"/>
  <c r="CTT1590" i="1"/>
  <c r="CTS1590" i="1"/>
  <c r="CTR1590" i="1"/>
  <c r="CTQ1590" i="1"/>
  <c r="CTP1590" i="1"/>
  <c r="CTO1590" i="1"/>
  <c r="CTN1590" i="1"/>
  <c r="CTM1590" i="1"/>
  <c r="CTL1590" i="1"/>
  <c r="CTK1590" i="1"/>
  <c r="CTJ1590" i="1"/>
  <c r="CTI1590" i="1"/>
  <c r="CTH1590" i="1"/>
  <c r="CTG1590" i="1"/>
  <c r="CTF1590" i="1"/>
  <c r="CTE1590" i="1"/>
  <c r="CTD1590" i="1"/>
  <c r="CTC1590" i="1"/>
  <c r="CTB1590" i="1"/>
  <c r="CTA1590" i="1"/>
  <c r="CSZ1590" i="1"/>
  <c r="CSY1590" i="1"/>
  <c r="CSX1590" i="1"/>
  <c r="CSW1590" i="1"/>
  <c r="CSV1590" i="1"/>
  <c r="CSU1590" i="1"/>
  <c r="CST1590" i="1"/>
  <c r="CSS1590" i="1"/>
  <c r="CSR1590" i="1"/>
  <c r="CSQ1590" i="1"/>
  <c r="CSP1590" i="1"/>
  <c r="CSO1590" i="1"/>
  <c r="CSN1590" i="1"/>
  <c r="CSM1590" i="1"/>
  <c r="CSL1590" i="1"/>
  <c r="CSK1590" i="1"/>
  <c r="CSJ1590" i="1"/>
  <c r="CSI1590" i="1"/>
  <c r="CSH1590" i="1"/>
  <c r="CSG1590" i="1"/>
  <c r="CSF1590" i="1"/>
  <c r="CSE1590" i="1"/>
  <c r="CSD1590" i="1"/>
  <c r="CSC1590" i="1"/>
  <c r="CSB1590" i="1"/>
  <c r="CSA1590" i="1"/>
  <c r="CRZ1590" i="1"/>
  <c r="CRY1590" i="1"/>
  <c r="CRX1590" i="1"/>
  <c r="CRW1590" i="1"/>
  <c r="CRV1590" i="1"/>
  <c r="CRU1590" i="1"/>
  <c r="CRT1590" i="1"/>
  <c r="CRS1590" i="1"/>
  <c r="CRR1590" i="1"/>
  <c r="CRQ1590" i="1"/>
  <c r="CRP1590" i="1"/>
  <c r="CRO1590" i="1"/>
  <c r="CRN1590" i="1"/>
  <c r="CRM1590" i="1"/>
  <c r="CRL1590" i="1"/>
  <c r="CRK1590" i="1"/>
  <c r="CRJ1590" i="1"/>
  <c r="CRI1590" i="1"/>
  <c r="CRH1590" i="1"/>
  <c r="CRG1590" i="1"/>
  <c r="CRF1590" i="1"/>
  <c r="CRE1590" i="1"/>
  <c r="CRD1590" i="1"/>
  <c r="CRC1590" i="1"/>
  <c r="CRB1590" i="1"/>
  <c r="CRA1590" i="1"/>
  <c r="CQZ1590" i="1"/>
  <c r="CQY1590" i="1"/>
  <c r="CQX1590" i="1"/>
  <c r="CQW1590" i="1"/>
  <c r="CQV1590" i="1"/>
  <c r="CQU1590" i="1"/>
  <c r="CQT1590" i="1"/>
  <c r="CQS1590" i="1"/>
  <c r="CQR1590" i="1"/>
  <c r="CQQ1590" i="1"/>
  <c r="CQP1590" i="1"/>
  <c r="CQO1590" i="1"/>
  <c r="CQN1590" i="1"/>
  <c r="CQM1590" i="1"/>
  <c r="CQL1590" i="1"/>
  <c r="CQK1590" i="1"/>
  <c r="CQJ1590" i="1"/>
  <c r="CQI1590" i="1"/>
  <c r="CQH1590" i="1"/>
  <c r="CQG1590" i="1"/>
  <c r="CQF1590" i="1"/>
  <c r="CQE1590" i="1"/>
  <c r="CQD1590" i="1"/>
  <c r="CQC1590" i="1"/>
  <c r="CQB1590" i="1"/>
  <c r="CQA1590" i="1"/>
  <c r="CPZ1590" i="1"/>
  <c r="CPY1590" i="1"/>
  <c r="CPX1590" i="1"/>
  <c r="CPW1590" i="1"/>
  <c r="CPV1590" i="1"/>
  <c r="CPU1590" i="1"/>
  <c r="CPT1590" i="1"/>
  <c r="CPS1590" i="1"/>
  <c r="CPR1590" i="1"/>
  <c r="CPQ1590" i="1"/>
  <c r="CPP1590" i="1"/>
  <c r="CPO1590" i="1"/>
  <c r="CPN1590" i="1"/>
  <c r="CPM1590" i="1"/>
  <c r="CPL1590" i="1"/>
  <c r="CPK1590" i="1"/>
  <c r="CPJ1590" i="1"/>
  <c r="CPI1590" i="1"/>
  <c r="CPH1590" i="1"/>
  <c r="CPG1590" i="1"/>
  <c r="CPF1590" i="1"/>
  <c r="CPE1590" i="1"/>
  <c r="CPD1590" i="1"/>
  <c r="CPC1590" i="1"/>
  <c r="CPB1590" i="1"/>
  <c r="CPA1590" i="1"/>
  <c r="COZ1590" i="1"/>
  <c r="COY1590" i="1"/>
  <c r="COX1590" i="1"/>
  <c r="COW1590" i="1"/>
  <c r="COV1590" i="1"/>
  <c r="COU1590" i="1"/>
  <c r="COT1590" i="1"/>
  <c r="COS1590" i="1"/>
  <c r="COR1590" i="1"/>
  <c r="COQ1590" i="1"/>
  <c r="COP1590" i="1"/>
  <c r="COO1590" i="1"/>
  <c r="CON1590" i="1"/>
  <c r="COM1590" i="1"/>
  <c r="COL1590" i="1"/>
  <c r="COK1590" i="1"/>
  <c r="COJ1590" i="1"/>
  <c r="COI1590" i="1"/>
  <c r="COH1590" i="1"/>
  <c r="COG1590" i="1"/>
  <c r="COF1590" i="1"/>
  <c r="COE1590" i="1"/>
  <c r="COD1590" i="1"/>
  <c r="COC1590" i="1"/>
  <c r="COB1590" i="1"/>
  <c r="COA1590" i="1"/>
  <c r="CNZ1590" i="1"/>
  <c r="CNY1590" i="1"/>
  <c r="CNX1590" i="1"/>
  <c r="CNW1590" i="1"/>
  <c r="CNV1590" i="1"/>
  <c r="CNU1590" i="1"/>
  <c r="CNT1590" i="1"/>
  <c r="CNS1590" i="1"/>
  <c r="CNR1590" i="1"/>
  <c r="CNQ1590" i="1"/>
  <c r="CNP1590" i="1"/>
  <c r="CNO1590" i="1"/>
  <c r="CNN1590" i="1"/>
  <c r="CNM1590" i="1"/>
  <c r="CNL1590" i="1"/>
  <c r="CNK1590" i="1"/>
  <c r="CNJ1590" i="1"/>
  <c r="CNI1590" i="1"/>
  <c r="CNH1590" i="1"/>
  <c r="CNG1590" i="1"/>
  <c r="CNF1590" i="1"/>
  <c r="CNE1590" i="1"/>
  <c r="CND1590" i="1"/>
  <c r="CNC1590" i="1"/>
  <c r="CNB1590" i="1"/>
  <c r="CNA1590" i="1"/>
  <c r="CMZ1590" i="1"/>
  <c r="CMY1590" i="1"/>
  <c r="CMX1590" i="1"/>
  <c r="CMW1590" i="1"/>
  <c r="CMV1590" i="1"/>
  <c r="CMU1590" i="1"/>
  <c r="CMT1590" i="1"/>
  <c r="CMS1590" i="1"/>
  <c r="CMR1590" i="1"/>
  <c r="CMQ1590" i="1"/>
  <c r="CMP1590" i="1"/>
  <c r="CMO1590" i="1"/>
  <c r="CMN1590" i="1"/>
  <c r="CMM1590" i="1"/>
  <c r="CML1590" i="1"/>
  <c r="CMK1590" i="1"/>
  <c r="CMJ1590" i="1"/>
  <c r="CMI1590" i="1"/>
  <c r="CMH1590" i="1"/>
  <c r="CMG1590" i="1"/>
  <c r="CMF1590" i="1"/>
  <c r="CME1590" i="1"/>
  <c r="CMD1590" i="1"/>
  <c r="CMC1590" i="1"/>
  <c r="CMB1590" i="1"/>
  <c r="CMA1590" i="1"/>
  <c r="CLZ1590" i="1"/>
  <c r="CLY1590" i="1"/>
  <c r="CLX1590" i="1"/>
  <c r="CLW1590" i="1"/>
  <c r="CLV1590" i="1"/>
  <c r="CLU1590" i="1"/>
  <c r="CLT1590" i="1"/>
  <c r="CLS1590" i="1"/>
  <c r="CLR1590" i="1"/>
  <c r="CLQ1590" i="1"/>
  <c r="CLP1590" i="1"/>
  <c r="CLO1590" i="1"/>
  <c r="CLN1590" i="1"/>
  <c r="CLM1590" i="1"/>
  <c r="CLL1590" i="1"/>
  <c r="CLK1590" i="1"/>
  <c r="CLJ1590" i="1"/>
  <c r="CLI1590" i="1"/>
  <c r="CLH1590" i="1"/>
  <c r="CLG1590" i="1"/>
  <c r="CLF1590" i="1"/>
  <c r="CLE1590" i="1"/>
  <c r="CLD1590" i="1"/>
  <c r="CLC1590" i="1"/>
  <c r="CLB1590" i="1"/>
  <c r="CLA1590" i="1"/>
  <c r="CKZ1590" i="1"/>
  <c r="CKY1590" i="1"/>
  <c r="CKX1590" i="1"/>
  <c r="CKW1590" i="1"/>
  <c r="CKV1590" i="1"/>
  <c r="CKU1590" i="1"/>
  <c r="CKT1590" i="1"/>
  <c r="CKS1590" i="1"/>
  <c r="CKR1590" i="1"/>
  <c r="CKQ1590" i="1"/>
  <c r="CKP1590" i="1"/>
  <c r="CKO1590" i="1"/>
  <c r="CKN1590" i="1"/>
  <c r="CKM1590" i="1"/>
  <c r="CKL1590" i="1"/>
  <c r="CKK1590" i="1"/>
  <c r="CKJ1590" i="1"/>
  <c r="CKI1590" i="1"/>
  <c r="CKH1590" i="1"/>
  <c r="CKG1590" i="1"/>
  <c r="CKF1590" i="1"/>
  <c r="CKE1590" i="1"/>
  <c r="CKD1590" i="1"/>
  <c r="CKC1590" i="1"/>
  <c r="CKB1590" i="1"/>
  <c r="CKA1590" i="1"/>
  <c r="CJZ1590" i="1"/>
  <c r="CJY1590" i="1"/>
  <c r="CJX1590" i="1"/>
  <c r="CJW1590" i="1"/>
  <c r="CJV1590" i="1"/>
  <c r="CJU1590" i="1"/>
  <c r="CJT1590" i="1"/>
  <c r="CJS1590" i="1"/>
  <c r="CJR1590" i="1"/>
  <c r="CJQ1590" i="1"/>
  <c r="CJP1590" i="1"/>
  <c r="CJO1590" i="1"/>
  <c r="CJN1590" i="1"/>
  <c r="CJM1590" i="1"/>
  <c r="CJL1590" i="1"/>
  <c r="CJK1590" i="1"/>
  <c r="CJJ1590" i="1"/>
  <c r="CJI1590" i="1"/>
  <c r="CJH1590" i="1"/>
  <c r="CJG1590" i="1"/>
  <c r="CJF1590" i="1"/>
  <c r="CJE1590" i="1"/>
  <c r="CJD1590" i="1"/>
  <c r="CJC1590" i="1"/>
  <c r="CJB1590" i="1"/>
  <c r="CJA1590" i="1"/>
  <c r="CIZ1590" i="1"/>
  <c r="CIY1590" i="1"/>
  <c r="CIX1590" i="1"/>
  <c r="CIW1590" i="1"/>
  <c r="CIV1590" i="1"/>
  <c r="CIU1590" i="1"/>
  <c r="CIT1590" i="1"/>
  <c r="CIS1590" i="1"/>
  <c r="CIR1590" i="1"/>
  <c r="CIQ1590" i="1"/>
  <c r="CIP1590" i="1"/>
  <c r="CIO1590" i="1"/>
  <c r="CIN1590" i="1"/>
  <c r="CIM1590" i="1"/>
  <c r="CIL1590" i="1"/>
  <c r="CIK1590" i="1"/>
  <c r="CIJ1590" i="1"/>
  <c r="CII1590" i="1"/>
  <c r="CIH1590" i="1"/>
  <c r="CIG1590" i="1"/>
  <c r="CIF1590" i="1"/>
  <c r="CIE1590" i="1"/>
  <c r="CID1590" i="1"/>
  <c r="CIC1590" i="1"/>
  <c r="CIB1590" i="1"/>
  <c r="CIA1590" i="1"/>
  <c r="CHZ1590" i="1"/>
  <c r="CHY1590" i="1"/>
  <c r="CHX1590" i="1"/>
  <c r="CHW1590" i="1"/>
  <c r="CHV1590" i="1"/>
  <c r="CHU1590" i="1"/>
  <c r="CHT1590" i="1"/>
  <c r="CHS1590" i="1"/>
  <c r="CHR1590" i="1"/>
  <c r="CHQ1590" i="1"/>
  <c r="CHP1590" i="1"/>
  <c r="CHO1590" i="1"/>
  <c r="CHN1590" i="1"/>
  <c r="CHM1590" i="1"/>
  <c r="CHL1590" i="1"/>
  <c r="CHK1590" i="1"/>
  <c r="CHJ1590" i="1"/>
  <c r="CHI1590" i="1"/>
  <c r="CHH1590" i="1"/>
  <c r="CHG1590" i="1"/>
  <c r="CHF1590" i="1"/>
  <c r="CHE1590" i="1"/>
  <c r="CHD1590" i="1"/>
  <c r="CHC1590" i="1"/>
  <c r="CHB1590" i="1"/>
  <c r="CHA1590" i="1"/>
  <c r="CGZ1590" i="1"/>
  <c r="CGY1590" i="1"/>
  <c r="CGX1590" i="1"/>
  <c r="CGW1590" i="1"/>
  <c r="CGV1590" i="1"/>
  <c r="CGU1590" i="1"/>
  <c r="CGT1590" i="1"/>
  <c r="CGS1590" i="1"/>
  <c r="CGR1590" i="1"/>
  <c r="CGQ1590" i="1"/>
  <c r="CGP1590" i="1"/>
  <c r="CGO1590" i="1"/>
  <c r="CGN1590" i="1"/>
  <c r="CGM1590" i="1"/>
  <c r="CGL1590" i="1"/>
  <c r="CGK1590" i="1"/>
  <c r="CGJ1590" i="1"/>
  <c r="CGI1590" i="1"/>
  <c r="CGH1590" i="1"/>
  <c r="CGG1590" i="1"/>
  <c r="CGF1590" i="1"/>
  <c r="CGE1590" i="1"/>
  <c r="CGD1590" i="1"/>
  <c r="CGC1590" i="1"/>
  <c r="CGB1590" i="1"/>
  <c r="CGA1590" i="1"/>
  <c r="CFZ1590" i="1"/>
  <c r="CFY1590" i="1"/>
  <c r="CFX1590" i="1"/>
  <c r="CFW1590" i="1"/>
  <c r="CFV1590" i="1"/>
  <c r="CFU1590" i="1"/>
  <c r="CFT1590" i="1"/>
  <c r="CFS1590" i="1"/>
  <c r="CFR1590" i="1"/>
  <c r="CFQ1590" i="1"/>
  <c r="CFP1590" i="1"/>
  <c r="CFO1590" i="1"/>
  <c r="CFN1590" i="1"/>
  <c r="CFM1590" i="1"/>
  <c r="CFL1590" i="1"/>
  <c r="CFK1590" i="1"/>
  <c r="CFJ1590" i="1"/>
  <c r="CFI1590" i="1"/>
  <c r="CFH1590" i="1"/>
  <c r="CFG1590" i="1"/>
  <c r="CFF1590" i="1"/>
  <c r="CFE1590" i="1"/>
  <c r="CFD1590" i="1"/>
  <c r="CFC1590" i="1"/>
  <c r="CFB1590" i="1"/>
  <c r="CFA1590" i="1"/>
  <c r="CEZ1590" i="1"/>
  <c r="CEY1590" i="1"/>
  <c r="CEX1590" i="1"/>
  <c r="CEW1590" i="1"/>
  <c r="CEV1590" i="1"/>
  <c r="CEU1590" i="1"/>
  <c r="CET1590" i="1"/>
  <c r="CES1590" i="1"/>
  <c r="CER1590" i="1"/>
  <c r="CEQ1590" i="1"/>
  <c r="CEP1590" i="1"/>
  <c r="CEO1590" i="1"/>
  <c r="CEN1590" i="1"/>
  <c r="CEM1590" i="1"/>
  <c r="CEL1590" i="1"/>
  <c r="CEK1590" i="1"/>
  <c r="CEJ1590" i="1"/>
  <c r="CEI1590" i="1"/>
  <c r="CEH1590" i="1"/>
  <c r="CEG1590" i="1"/>
  <c r="CEF1590" i="1"/>
  <c r="CEE1590" i="1"/>
  <c r="CED1590" i="1"/>
  <c r="CEC1590" i="1"/>
  <c r="CEB1590" i="1"/>
  <c r="CEA1590" i="1"/>
  <c r="CDZ1590" i="1"/>
  <c r="CDY1590" i="1"/>
  <c r="CDX1590" i="1"/>
  <c r="CDW1590" i="1"/>
  <c r="CDV1590" i="1"/>
  <c r="CDU1590" i="1"/>
  <c r="CDT1590" i="1"/>
  <c r="CDS1590" i="1"/>
  <c r="CDR1590" i="1"/>
  <c r="CDQ1590" i="1"/>
  <c r="CDP1590" i="1"/>
  <c r="CDO1590" i="1"/>
  <c r="CDN1590" i="1"/>
  <c r="CDM1590" i="1"/>
  <c r="CDL1590" i="1"/>
  <c r="CDK1590" i="1"/>
  <c r="CDJ1590" i="1"/>
  <c r="CDI1590" i="1"/>
  <c r="CDH1590" i="1"/>
  <c r="CDG1590" i="1"/>
  <c r="CDF1590" i="1"/>
  <c r="CDE1590" i="1"/>
  <c r="CDD1590" i="1"/>
  <c r="CDC1590" i="1"/>
  <c r="CDB1590" i="1"/>
  <c r="CDA1590" i="1"/>
  <c r="CCZ1590" i="1"/>
  <c r="CCY1590" i="1"/>
  <c r="CCX1590" i="1"/>
  <c r="CCW1590" i="1"/>
  <c r="CCV1590" i="1"/>
  <c r="CCU1590" i="1"/>
  <c r="CCT1590" i="1"/>
  <c r="CCS1590" i="1"/>
  <c r="CCR1590" i="1"/>
  <c r="CCQ1590" i="1"/>
  <c r="CCP1590" i="1"/>
  <c r="CCO1590" i="1"/>
  <c r="CCN1590" i="1"/>
  <c r="CCM1590" i="1"/>
  <c r="CCL1590" i="1"/>
  <c r="CCK1590" i="1"/>
  <c r="CCJ1590" i="1"/>
  <c r="CCI1590" i="1"/>
  <c r="CCH1590" i="1"/>
  <c r="CCG1590" i="1"/>
  <c r="CCF1590" i="1"/>
  <c r="CCE1590" i="1"/>
  <c r="CCD1590" i="1"/>
  <c r="CCC1590" i="1"/>
  <c r="CCB1590" i="1"/>
  <c r="CCA1590" i="1"/>
  <c r="CBZ1590" i="1"/>
  <c r="CBY1590" i="1"/>
  <c r="CBX1590" i="1"/>
  <c r="CBW1590" i="1"/>
  <c r="CBV1590" i="1"/>
  <c r="CBU1590" i="1"/>
  <c r="CBT1590" i="1"/>
  <c r="CBS1590" i="1"/>
  <c r="CBR1590" i="1"/>
  <c r="CBQ1590" i="1"/>
  <c r="CBP1590" i="1"/>
  <c r="CBO1590" i="1"/>
  <c r="CBN1590" i="1"/>
  <c r="CBM1590" i="1"/>
  <c r="CBL1590" i="1"/>
  <c r="CBK1590" i="1"/>
  <c r="CBJ1590" i="1"/>
  <c r="CBI1590" i="1"/>
  <c r="CBH1590" i="1"/>
  <c r="CBG1590" i="1"/>
  <c r="CBF1590" i="1"/>
  <c r="CBE1590" i="1"/>
  <c r="CBD1590" i="1"/>
  <c r="CBC1590" i="1"/>
  <c r="CBB1590" i="1"/>
  <c r="CBA1590" i="1"/>
  <c r="CAZ1590" i="1"/>
  <c r="CAY1590" i="1"/>
  <c r="CAX1590" i="1"/>
  <c r="CAW1590" i="1"/>
  <c r="CAV1590" i="1"/>
  <c r="CAU1590" i="1"/>
  <c r="CAT1590" i="1"/>
  <c r="CAS1590" i="1"/>
  <c r="CAR1590" i="1"/>
  <c r="CAQ1590" i="1"/>
  <c r="CAP1590" i="1"/>
  <c r="CAO1590" i="1"/>
  <c r="CAN1590" i="1"/>
  <c r="CAM1590" i="1"/>
  <c r="CAL1590" i="1"/>
  <c r="CAK1590" i="1"/>
  <c r="CAJ1590" i="1"/>
  <c r="CAI1590" i="1"/>
  <c r="CAH1590" i="1"/>
  <c r="CAG1590" i="1"/>
  <c r="CAF1590" i="1"/>
  <c r="CAE1590" i="1"/>
  <c r="CAD1590" i="1"/>
  <c r="CAC1590" i="1"/>
  <c r="CAB1590" i="1"/>
  <c r="CAA1590" i="1"/>
  <c r="BZZ1590" i="1"/>
  <c r="BZY1590" i="1"/>
  <c r="BZX1590" i="1"/>
  <c r="BZW1590" i="1"/>
  <c r="BZV1590" i="1"/>
  <c r="BZU1590" i="1"/>
  <c r="BZT1590" i="1"/>
  <c r="BZS1590" i="1"/>
  <c r="BZR1590" i="1"/>
  <c r="BZQ1590" i="1"/>
  <c r="BZP1590" i="1"/>
  <c r="BZO1590" i="1"/>
  <c r="BZN1590" i="1"/>
  <c r="BZM1590" i="1"/>
  <c r="BZL1590" i="1"/>
  <c r="BZK1590" i="1"/>
  <c r="BZJ1590" i="1"/>
  <c r="BZI1590" i="1"/>
  <c r="BZH1590" i="1"/>
  <c r="BZG1590" i="1"/>
  <c r="BZF1590" i="1"/>
  <c r="BZE1590" i="1"/>
  <c r="BZD1590" i="1"/>
  <c r="BZC1590" i="1"/>
  <c r="BZB1590" i="1"/>
  <c r="BZA1590" i="1"/>
  <c r="BYZ1590" i="1"/>
  <c r="BYY1590" i="1"/>
  <c r="BYX1590" i="1"/>
  <c r="BYW1590" i="1"/>
  <c r="BYV1590" i="1"/>
  <c r="BYU1590" i="1"/>
  <c r="BYT1590" i="1"/>
  <c r="BYS1590" i="1"/>
  <c r="BYR1590" i="1"/>
  <c r="BYQ1590" i="1"/>
  <c r="BYP1590" i="1"/>
  <c r="BYO1590" i="1"/>
  <c r="BYN1590" i="1"/>
  <c r="BYM1590" i="1"/>
  <c r="BYL1590" i="1"/>
  <c r="BYK1590" i="1"/>
  <c r="BYJ1590" i="1"/>
  <c r="BYI1590" i="1"/>
  <c r="BYH1590" i="1"/>
  <c r="BYG1590" i="1"/>
  <c r="BYF1590" i="1"/>
  <c r="BYE1590" i="1"/>
  <c r="BYD1590" i="1"/>
  <c r="BYC1590" i="1"/>
  <c r="BYB1590" i="1"/>
  <c r="BYA1590" i="1"/>
  <c r="BXZ1590" i="1"/>
  <c r="BXY1590" i="1"/>
  <c r="BXX1590" i="1"/>
  <c r="BXW1590" i="1"/>
  <c r="BXV1590" i="1"/>
  <c r="BXU1590" i="1"/>
  <c r="BXT1590" i="1"/>
  <c r="BXS1590" i="1"/>
  <c r="BXR1590" i="1"/>
  <c r="BXQ1590" i="1"/>
  <c r="BXP1590" i="1"/>
  <c r="BXO1590" i="1"/>
  <c r="BXN1590" i="1"/>
  <c r="BXM1590" i="1"/>
  <c r="BXL1590" i="1"/>
  <c r="BXK1590" i="1"/>
  <c r="BXJ1590" i="1"/>
  <c r="BXI1590" i="1"/>
  <c r="BXH1590" i="1"/>
  <c r="BXG1590" i="1"/>
  <c r="BXF1590" i="1"/>
  <c r="BXE1590" i="1"/>
  <c r="BXD1590" i="1"/>
  <c r="BXC1590" i="1"/>
  <c r="BXB1590" i="1"/>
  <c r="BXA1590" i="1"/>
  <c r="BWZ1590" i="1"/>
  <c r="BWY1590" i="1"/>
  <c r="BWX1590" i="1"/>
  <c r="BWW1590" i="1"/>
  <c r="BWV1590" i="1"/>
  <c r="BWU1590" i="1"/>
  <c r="BWT1590" i="1"/>
  <c r="BWS1590" i="1"/>
  <c r="BWR1590" i="1"/>
  <c r="BWQ1590" i="1"/>
  <c r="BWP1590" i="1"/>
  <c r="BWO1590" i="1"/>
  <c r="BWN1590" i="1"/>
  <c r="BWM1590" i="1"/>
  <c r="BWL1590" i="1"/>
  <c r="BWK1590" i="1"/>
  <c r="BWJ1590" i="1"/>
  <c r="BWI1590" i="1"/>
  <c r="BWH1590" i="1"/>
  <c r="BWG1590" i="1"/>
  <c r="BWF1590" i="1"/>
  <c r="BWE1590" i="1"/>
  <c r="BWD1590" i="1"/>
  <c r="BWC1590" i="1"/>
  <c r="BWB1590" i="1"/>
  <c r="BWA1590" i="1"/>
  <c r="BVZ1590" i="1"/>
  <c r="BVY1590" i="1"/>
  <c r="BVX1590" i="1"/>
  <c r="BVW1590" i="1"/>
  <c r="BVV1590" i="1"/>
  <c r="BVU1590" i="1"/>
  <c r="BVT1590" i="1"/>
  <c r="BVS1590" i="1"/>
  <c r="BVR1590" i="1"/>
  <c r="BVQ1590" i="1"/>
  <c r="BVP1590" i="1"/>
  <c r="BVO1590" i="1"/>
  <c r="BVN1590" i="1"/>
  <c r="BVM1590" i="1"/>
  <c r="BVL1590" i="1"/>
  <c r="BVK1590" i="1"/>
  <c r="BVJ1590" i="1"/>
  <c r="BVI1590" i="1"/>
  <c r="BVH1590" i="1"/>
  <c r="BVG1590" i="1"/>
  <c r="BVF1590" i="1"/>
  <c r="BVE1590" i="1"/>
  <c r="BVD1590" i="1"/>
  <c r="BVC1590" i="1"/>
  <c r="BVB1590" i="1"/>
  <c r="BVA1590" i="1"/>
  <c r="BUZ1590" i="1"/>
  <c r="BUY1590" i="1"/>
  <c r="BUX1590" i="1"/>
  <c r="BUW1590" i="1"/>
  <c r="BUV1590" i="1"/>
  <c r="BUU1590" i="1"/>
  <c r="BUT1590" i="1"/>
  <c r="BUS1590" i="1"/>
  <c r="BUR1590" i="1"/>
  <c r="BUQ1590" i="1"/>
  <c r="BUP1590" i="1"/>
  <c r="BUO1590" i="1"/>
  <c r="BUN1590" i="1"/>
  <c r="BUM1590" i="1"/>
  <c r="BUL1590" i="1"/>
  <c r="BUK1590" i="1"/>
  <c r="BUJ1590" i="1"/>
  <c r="BUI1590" i="1"/>
  <c r="BUH1590" i="1"/>
  <c r="BUG1590" i="1"/>
  <c r="BUF1590" i="1"/>
  <c r="BUE1590" i="1"/>
  <c r="BUD1590" i="1"/>
  <c r="BUC1590" i="1"/>
  <c r="BUB1590" i="1"/>
  <c r="BUA1590" i="1"/>
  <c r="BTZ1590" i="1"/>
  <c r="BTY1590" i="1"/>
  <c r="BTX1590" i="1"/>
  <c r="BTW1590" i="1"/>
  <c r="BTV1590" i="1"/>
  <c r="BTU1590" i="1"/>
  <c r="BTT1590" i="1"/>
  <c r="BTS1590" i="1"/>
  <c r="BTR1590" i="1"/>
  <c r="BTQ1590" i="1"/>
  <c r="BTP1590" i="1"/>
  <c r="BTO1590" i="1"/>
  <c r="BTN1590" i="1"/>
  <c r="BTM1590" i="1"/>
  <c r="BTL1590" i="1"/>
  <c r="BTK1590" i="1"/>
  <c r="BTJ1590" i="1"/>
  <c r="BTI1590" i="1"/>
  <c r="BTH1590" i="1"/>
  <c r="BTG1590" i="1"/>
  <c r="BTF1590" i="1"/>
  <c r="BTE1590" i="1"/>
  <c r="BTD1590" i="1"/>
  <c r="BTC1590" i="1"/>
  <c r="BTB1590" i="1"/>
  <c r="BTA1590" i="1"/>
  <c r="BSZ1590" i="1"/>
  <c r="BSY1590" i="1"/>
  <c r="BSX1590" i="1"/>
  <c r="BSW1590" i="1"/>
  <c r="BSV1590" i="1"/>
  <c r="BSU1590" i="1"/>
  <c r="BST1590" i="1"/>
  <c r="BSS1590" i="1"/>
  <c r="BSR1590" i="1"/>
  <c r="BSQ1590" i="1"/>
  <c r="BSP1590" i="1"/>
  <c r="BSO1590" i="1"/>
  <c r="BSN1590" i="1"/>
  <c r="BSM1590" i="1"/>
  <c r="BSL1590" i="1"/>
  <c r="BSK1590" i="1"/>
  <c r="BSJ1590" i="1"/>
  <c r="BSI1590" i="1"/>
  <c r="BSH1590" i="1"/>
  <c r="BSG1590" i="1"/>
  <c r="BSF1590" i="1"/>
  <c r="BSE1590" i="1"/>
  <c r="BSD1590" i="1"/>
  <c r="BSC1590" i="1"/>
  <c r="BSB1590" i="1"/>
  <c r="BSA1590" i="1"/>
  <c r="BRZ1590" i="1"/>
  <c r="BRY1590" i="1"/>
  <c r="BRX1590" i="1"/>
  <c r="BRW1590" i="1"/>
  <c r="BRV1590" i="1"/>
  <c r="BRU1590" i="1"/>
  <c r="BRT1590" i="1"/>
  <c r="BRS1590" i="1"/>
  <c r="BRR1590" i="1"/>
  <c r="BRQ1590" i="1"/>
  <c r="BRP1590" i="1"/>
  <c r="BRO1590" i="1"/>
  <c r="BRN1590" i="1"/>
  <c r="BRM1590" i="1"/>
  <c r="BRL1590" i="1"/>
  <c r="BRK1590" i="1"/>
  <c r="BRJ1590" i="1"/>
  <c r="BRI1590" i="1"/>
  <c r="BRH1590" i="1"/>
  <c r="BRG1590" i="1"/>
  <c r="BRF1590" i="1"/>
  <c r="BRE1590" i="1"/>
  <c r="BRD1590" i="1"/>
  <c r="BRC1590" i="1"/>
  <c r="BRB1590" i="1"/>
  <c r="BRA1590" i="1"/>
  <c r="BQZ1590" i="1"/>
  <c r="BQY1590" i="1"/>
  <c r="BQX1590" i="1"/>
  <c r="BQW1590" i="1"/>
  <c r="BQV1590" i="1"/>
  <c r="BQU1590" i="1"/>
  <c r="BQT1590" i="1"/>
  <c r="BQS1590" i="1"/>
  <c r="BQR1590" i="1"/>
  <c r="BQQ1590" i="1"/>
  <c r="BQP1590" i="1"/>
  <c r="BQO1590" i="1"/>
  <c r="BQN1590" i="1"/>
  <c r="BQM1590" i="1"/>
  <c r="BQL1590" i="1"/>
  <c r="BQK1590" i="1"/>
  <c r="BQJ1590" i="1"/>
  <c r="BQI1590" i="1"/>
  <c r="BQH1590" i="1"/>
  <c r="BQG1590" i="1"/>
  <c r="BQF1590" i="1"/>
  <c r="BQE1590" i="1"/>
  <c r="BQD1590" i="1"/>
  <c r="BQC1590" i="1"/>
  <c r="BQB1590" i="1"/>
  <c r="BQA1590" i="1"/>
  <c r="BPZ1590" i="1"/>
  <c r="BPY1590" i="1"/>
  <c r="BPX1590" i="1"/>
  <c r="BPW1590" i="1"/>
  <c r="BPV1590" i="1"/>
  <c r="BPU1590" i="1"/>
  <c r="BPT1590" i="1"/>
  <c r="BPS1590" i="1"/>
  <c r="BPR1590" i="1"/>
  <c r="BPQ1590" i="1"/>
  <c r="BPP1590" i="1"/>
  <c r="BPO1590" i="1"/>
  <c r="BPN1590" i="1"/>
  <c r="BPM1590" i="1"/>
  <c r="BPL1590" i="1"/>
  <c r="BPK1590" i="1"/>
  <c r="BPJ1590" i="1"/>
  <c r="BPI1590" i="1"/>
  <c r="BPH1590" i="1"/>
  <c r="BPG1590" i="1"/>
  <c r="BPF1590" i="1"/>
  <c r="BPE1590" i="1"/>
  <c r="BPD1590" i="1"/>
  <c r="BPC1590" i="1"/>
  <c r="BPB1590" i="1"/>
  <c r="BPA1590" i="1"/>
  <c r="BOZ1590" i="1"/>
  <c r="BOY1590" i="1"/>
  <c r="BOX1590" i="1"/>
  <c r="BOW1590" i="1"/>
  <c r="BOV1590" i="1"/>
  <c r="BOU1590" i="1"/>
  <c r="BOT1590" i="1"/>
  <c r="BOS1590" i="1"/>
  <c r="BOR1590" i="1"/>
  <c r="BOQ1590" i="1"/>
  <c r="BOP1590" i="1"/>
  <c r="BOO1590" i="1"/>
  <c r="BON1590" i="1"/>
  <c r="BOM1590" i="1"/>
  <c r="BOL1590" i="1"/>
  <c r="BOK1590" i="1"/>
  <c r="BOJ1590" i="1"/>
  <c r="BOI1590" i="1"/>
  <c r="BOH1590" i="1"/>
  <c r="BOG1590" i="1"/>
  <c r="BOF1590" i="1"/>
  <c r="BOE1590" i="1"/>
  <c r="BOD1590" i="1"/>
  <c r="BOC1590" i="1"/>
  <c r="BOB1590" i="1"/>
  <c r="BOA1590" i="1"/>
  <c r="BNZ1590" i="1"/>
  <c r="BNY1590" i="1"/>
  <c r="BNX1590" i="1"/>
  <c r="BNW1590" i="1"/>
  <c r="BNV1590" i="1"/>
  <c r="BNU1590" i="1"/>
  <c r="BNT1590" i="1"/>
  <c r="BNS1590" i="1"/>
  <c r="BNR1590" i="1"/>
  <c r="BNQ1590" i="1"/>
  <c r="BNP1590" i="1"/>
  <c r="BNO1590" i="1"/>
  <c r="BNN1590" i="1"/>
  <c r="BNM1590" i="1"/>
  <c r="BNL1590" i="1"/>
  <c r="BNK1590" i="1"/>
  <c r="BNJ1590" i="1"/>
  <c r="BNI1590" i="1"/>
  <c r="BNH1590" i="1"/>
  <c r="BNG1590" i="1"/>
  <c r="BNF1590" i="1"/>
  <c r="BNE1590" i="1"/>
  <c r="BND1590" i="1"/>
  <c r="BNC1590" i="1"/>
  <c r="BNB1590" i="1"/>
  <c r="BNA1590" i="1"/>
  <c r="BMZ1590" i="1"/>
  <c r="BMY1590" i="1"/>
  <c r="BMX1590" i="1"/>
  <c r="BMW1590" i="1"/>
  <c r="BMV1590" i="1"/>
  <c r="BMU1590" i="1"/>
  <c r="BMT1590" i="1"/>
  <c r="BMS1590" i="1"/>
  <c r="BMR1590" i="1"/>
  <c r="BMQ1590" i="1"/>
  <c r="BMP1590" i="1"/>
  <c r="BMO1590" i="1"/>
  <c r="BMN1590" i="1"/>
  <c r="BMM1590" i="1"/>
  <c r="BML1590" i="1"/>
  <c r="BMK1590" i="1"/>
  <c r="BMJ1590" i="1"/>
  <c r="BMI1590" i="1"/>
  <c r="BMH1590" i="1"/>
  <c r="BMG1590" i="1"/>
  <c r="BMF1590" i="1"/>
  <c r="BME1590" i="1"/>
  <c r="BMD1590" i="1"/>
  <c r="BMC1590" i="1"/>
  <c r="BMB1590" i="1"/>
  <c r="BMA1590" i="1"/>
  <c r="BLZ1590" i="1"/>
  <c r="BLY1590" i="1"/>
  <c r="BLX1590" i="1"/>
  <c r="BLW1590" i="1"/>
  <c r="BLV1590" i="1"/>
  <c r="BLU1590" i="1"/>
  <c r="BLT1590" i="1"/>
  <c r="BLS1590" i="1"/>
  <c r="BLR1590" i="1"/>
  <c r="BLQ1590" i="1"/>
  <c r="BLP1590" i="1"/>
  <c r="BLO1590" i="1"/>
  <c r="BLN1590" i="1"/>
  <c r="BLM1590" i="1"/>
  <c r="BLL1590" i="1"/>
  <c r="BLK1590" i="1"/>
  <c r="BLJ1590" i="1"/>
  <c r="BLI1590" i="1"/>
  <c r="BLH1590" i="1"/>
  <c r="BLG1590" i="1"/>
  <c r="BLF1590" i="1"/>
  <c r="BLE1590" i="1"/>
  <c r="BLD1590" i="1"/>
  <c r="BLC1590" i="1"/>
  <c r="BLB1590" i="1"/>
  <c r="BLA1590" i="1"/>
  <c r="BKZ1590" i="1"/>
  <c r="BKY1590" i="1"/>
  <c r="BKX1590" i="1"/>
  <c r="BKW1590" i="1"/>
  <c r="BKV1590" i="1"/>
  <c r="BKU1590" i="1"/>
  <c r="BKT1590" i="1"/>
  <c r="BKS1590" i="1"/>
  <c r="BKR1590" i="1"/>
  <c r="BKQ1590" i="1"/>
  <c r="BKP1590" i="1"/>
  <c r="BKO1590" i="1"/>
  <c r="BKN1590" i="1"/>
  <c r="BKM1590" i="1"/>
  <c r="BKL1590" i="1"/>
  <c r="BKK1590" i="1"/>
  <c r="BKJ1590" i="1"/>
  <c r="BKI1590" i="1"/>
  <c r="BKH1590" i="1"/>
  <c r="BKG1590" i="1"/>
  <c r="BKF1590" i="1"/>
  <c r="BKE1590" i="1"/>
  <c r="BKD1590" i="1"/>
  <c r="BKC1590" i="1"/>
  <c r="BKB1590" i="1"/>
  <c r="BKA1590" i="1"/>
  <c r="BJZ1590" i="1"/>
  <c r="BJY1590" i="1"/>
  <c r="BJX1590" i="1"/>
  <c r="BJW1590" i="1"/>
  <c r="BJV1590" i="1"/>
  <c r="BJU1590" i="1"/>
  <c r="BJT1590" i="1"/>
  <c r="BJS1590" i="1"/>
  <c r="BJR1590" i="1"/>
  <c r="BJQ1590" i="1"/>
  <c r="BJP1590" i="1"/>
  <c r="BJO1590" i="1"/>
  <c r="BJN1590" i="1"/>
  <c r="BJM1590" i="1"/>
  <c r="BJL1590" i="1"/>
  <c r="BJK1590" i="1"/>
  <c r="BJJ1590" i="1"/>
  <c r="BJI1590" i="1"/>
  <c r="BJH1590" i="1"/>
  <c r="BJG1590" i="1"/>
  <c r="BJF1590" i="1"/>
  <c r="BJE1590" i="1"/>
  <c r="BJD1590" i="1"/>
  <c r="BJC1590" i="1"/>
  <c r="BJB1590" i="1"/>
  <c r="BJA1590" i="1"/>
  <c r="BIZ1590" i="1"/>
  <c r="BIY1590" i="1"/>
  <c r="BIX1590" i="1"/>
  <c r="BIW1590" i="1"/>
  <c r="BIV1590" i="1"/>
  <c r="BIU1590" i="1"/>
  <c r="BIT1590" i="1"/>
  <c r="BIS1590" i="1"/>
  <c r="BIR1590" i="1"/>
  <c r="BIQ1590" i="1"/>
  <c r="BIP1590" i="1"/>
  <c r="BIO1590" i="1"/>
  <c r="BIN1590" i="1"/>
  <c r="BIM1590" i="1"/>
  <c r="BIL1590" i="1"/>
  <c r="BIK1590" i="1"/>
  <c r="BIJ1590" i="1"/>
  <c r="BII1590" i="1"/>
  <c r="BIH1590" i="1"/>
  <c r="BIG1590" i="1"/>
  <c r="BIF1590" i="1"/>
  <c r="BIE1590" i="1"/>
  <c r="BID1590" i="1"/>
  <c r="BIC1590" i="1"/>
  <c r="BIB1590" i="1"/>
  <c r="BIA1590" i="1"/>
  <c r="BHZ1590" i="1"/>
  <c r="BHY1590" i="1"/>
  <c r="BHX1590" i="1"/>
  <c r="BHW1590" i="1"/>
  <c r="BHV1590" i="1"/>
  <c r="BHU1590" i="1"/>
  <c r="BHT1590" i="1"/>
  <c r="BHS1590" i="1"/>
  <c r="BHR1590" i="1"/>
  <c r="BHQ1590" i="1"/>
  <c r="BHP1590" i="1"/>
  <c r="BHO1590" i="1"/>
  <c r="BHN1590" i="1"/>
  <c r="BHM1590" i="1"/>
  <c r="BHL1590" i="1"/>
  <c r="BHK1590" i="1"/>
  <c r="BHJ1590" i="1"/>
  <c r="BHI1590" i="1"/>
  <c r="BHH1590" i="1"/>
  <c r="BHG1590" i="1"/>
  <c r="BHF1590" i="1"/>
  <c r="BHE1590" i="1"/>
  <c r="BHD1590" i="1"/>
  <c r="BHC1590" i="1"/>
  <c r="BHB1590" i="1"/>
  <c r="BHA1590" i="1"/>
  <c r="BGZ1590" i="1"/>
  <c r="BGY1590" i="1"/>
  <c r="BGX1590" i="1"/>
  <c r="BGW1590" i="1"/>
  <c r="BGV1590" i="1"/>
  <c r="BGU1590" i="1"/>
  <c r="BGT1590" i="1"/>
  <c r="BGS1590" i="1"/>
  <c r="BGR1590" i="1"/>
  <c r="BGQ1590" i="1"/>
  <c r="BGP1590" i="1"/>
  <c r="BGO1590" i="1"/>
  <c r="BGN1590" i="1"/>
  <c r="BGM1590" i="1"/>
  <c r="BGL1590" i="1"/>
  <c r="BGK1590" i="1"/>
  <c r="BGJ1590" i="1"/>
  <c r="BGI1590" i="1"/>
  <c r="BGH1590" i="1"/>
  <c r="BGG1590" i="1"/>
  <c r="BGF1590" i="1"/>
  <c r="BGE1590" i="1"/>
  <c r="BGD1590" i="1"/>
  <c r="BGC1590" i="1"/>
  <c r="BGB1590" i="1"/>
  <c r="BGA1590" i="1"/>
  <c r="BFZ1590" i="1"/>
  <c r="BFY1590" i="1"/>
  <c r="BFX1590" i="1"/>
  <c r="BFW1590" i="1"/>
  <c r="BFV1590" i="1"/>
  <c r="BFU1590" i="1"/>
  <c r="BFT1590" i="1"/>
  <c r="BFS1590" i="1"/>
  <c r="BFR1590" i="1"/>
  <c r="BFQ1590" i="1"/>
  <c r="BFP1590" i="1"/>
  <c r="BFO1590" i="1"/>
  <c r="BFN1590" i="1"/>
  <c r="BFM1590" i="1"/>
  <c r="BFL1590" i="1"/>
  <c r="BFK1590" i="1"/>
  <c r="BFJ1590" i="1"/>
  <c r="BFI1590" i="1"/>
  <c r="BFH1590" i="1"/>
  <c r="BFG1590" i="1"/>
  <c r="BFF1590" i="1"/>
  <c r="BFE1590" i="1"/>
  <c r="BFD1590" i="1"/>
  <c r="BFC1590" i="1"/>
  <c r="BFB1590" i="1"/>
  <c r="BFA1590" i="1"/>
  <c r="BEZ1590" i="1"/>
  <c r="BEY1590" i="1"/>
  <c r="BEX1590" i="1"/>
  <c r="BEW1590" i="1"/>
  <c r="BEV1590" i="1"/>
  <c r="BEU1590" i="1"/>
  <c r="BET1590" i="1"/>
  <c r="BES1590" i="1"/>
  <c r="BER1590" i="1"/>
  <c r="BEQ1590" i="1"/>
  <c r="BEP1590" i="1"/>
  <c r="BEO1590" i="1"/>
  <c r="BEN1590" i="1"/>
  <c r="BEM1590" i="1"/>
  <c r="BEL1590" i="1"/>
  <c r="BEK1590" i="1"/>
  <c r="BEJ1590" i="1"/>
  <c r="BEI1590" i="1"/>
  <c r="BEH1590" i="1"/>
  <c r="BEG1590" i="1"/>
  <c r="BEF1590" i="1"/>
  <c r="BEE1590" i="1"/>
  <c r="BED1590" i="1"/>
  <c r="BEC1590" i="1"/>
  <c r="BEB1590" i="1"/>
  <c r="BEA1590" i="1"/>
  <c r="BDZ1590" i="1"/>
  <c r="BDY1590" i="1"/>
  <c r="BDX1590" i="1"/>
  <c r="BDW1590" i="1"/>
  <c r="BDV1590" i="1"/>
  <c r="BDU1590" i="1"/>
  <c r="BDT1590" i="1"/>
  <c r="BDS1590" i="1"/>
  <c r="BDR1590" i="1"/>
  <c r="BDQ1590" i="1"/>
  <c r="BDP1590" i="1"/>
  <c r="BDO1590" i="1"/>
  <c r="BDN1590" i="1"/>
  <c r="BDM1590" i="1"/>
  <c r="BDL1590" i="1"/>
  <c r="BDK1590" i="1"/>
  <c r="BDJ1590" i="1"/>
  <c r="BDI1590" i="1"/>
  <c r="BDH1590" i="1"/>
  <c r="BDG1590" i="1"/>
  <c r="BDF1590" i="1"/>
  <c r="BDE1590" i="1"/>
  <c r="BDD1590" i="1"/>
  <c r="BDC1590" i="1"/>
  <c r="BDB1590" i="1"/>
  <c r="BDA1590" i="1"/>
  <c r="BCZ1590" i="1"/>
  <c r="BCY1590" i="1"/>
  <c r="BCX1590" i="1"/>
  <c r="BCW1590" i="1"/>
  <c r="BCV1590" i="1"/>
  <c r="BCU1590" i="1"/>
  <c r="BCT1590" i="1"/>
  <c r="BCS1590" i="1"/>
  <c r="BCR1590" i="1"/>
  <c r="BCQ1590" i="1"/>
  <c r="BCP1590" i="1"/>
  <c r="BCO1590" i="1"/>
  <c r="BCN1590" i="1"/>
  <c r="BCM1590" i="1"/>
  <c r="BCL1590" i="1"/>
  <c r="BCK1590" i="1"/>
  <c r="BCJ1590" i="1"/>
  <c r="BCI1590" i="1"/>
  <c r="BCH1590" i="1"/>
  <c r="BCG1590" i="1"/>
  <c r="BCF1590" i="1"/>
  <c r="BCE1590" i="1"/>
  <c r="BCD1590" i="1"/>
  <c r="BCC1590" i="1"/>
  <c r="BCB1590" i="1"/>
  <c r="BCA1590" i="1"/>
  <c r="BBZ1590" i="1"/>
  <c r="BBY1590" i="1"/>
  <c r="BBX1590" i="1"/>
  <c r="BBW1590" i="1"/>
  <c r="BBV1590" i="1"/>
  <c r="BBU1590" i="1"/>
  <c r="BBT1590" i="1"/>
  <c r="BBS1590" i="1"/>
  <c r="BBR1590" i="1"/>
  <c r="BBQ1590" i="1"/>
  <c r="BBP1590" i="1"/>
  <c r="BBO1590" i="1"/>
  <c r="BBN1590" i="1"/>
  <c r="BBM1590" i="1"/>
  <c r="BBL1590" i="1"/>
  <c r="BBK1590" i="1"/>
  <c r="BBJ1590" i="1"/>
  <c r="BBI1590" i="1"/>
  <c r="BBH1590" i="1"/>
  <c r="BBG1590" i="1"/>
  <c r="BBF1590" i="1"/>
  <c r="BBE1590" i="1"/>
  <c r="BBD1590" i="1"/>
  <c r="BBC1590" i="1"/>
  <c r="BBB1590" i="1"/>
  <c r="BBA1590" i="1"/>
  <c r="BAZ1590" i="1"/>
  <c r="BAY1590" i="1"/>
  <c r="BAX1590" i="1"/>
  <c r="BAW1590" i="1"/>
  <c r="BAV1590" i="1"/>
  <c r="BAU1590" i="1"/>
  <c r="BAT1590" i="1"/>
  <c r="BAS1590" i="1"/>
  <c r="BAR1590" i="1"/>
  <c r="BAQ1590" i="1"/>
  <c r="BAP1590" i="1"/>
  <c r="BAO1590" i="1"/>
  <c r="BAN1590" i="1"/>
  <c r="BAM1590" i="1"/>
  <c r="BAL1590" i="1"/>
  <c r="BAK1590" i="1"/>
  <c r="BAJ1590" i="1"/>
  <c r="BAI1590" i="1"/>
  <c r="BAH1590" i="1"/>
  <c r="BAG1590" i="1"/>
  <c r="BAF1590" i="1"/>
  <c r="BAE1590" i="1"/>
  <c r="BAD1590" i="1"/>
  <c r="BAC1590" i="1"/>
  <c r="BAB1590" i="1"/>
  <c r="BAA1590" i="1"/>
  <c r="AZZ1590" i="1"/>
  <c r="AZY1590" i="1"/>
  <c r="AZX1590" i="1"/>
  <c r="AZW1590" i="1"/>
  <c r="AZV1590" i="1"/>
  <c r="AZU1590" i="1"/>
  <c r="AZT1590" i="1"/>
  <c r="AZS1590" i="1"/>
  <c r="AZR1590" i="1"/>
  <c r="AZQ1590" i="1"/>
  <c r="AZP1590" i="1"/>
  <c r="AZO1590" i="1"/>
  <c r="AZN1590" i="1"/>
  <c r="AZM1590" i="1"/>
  <c r="AZL1590" i="1"/>
  <c r="AZK1590" i="1"/>
  <c r="AZJ1590" i="1"/>
  <c r="AZI1590" i="1"/>
  <c r="AZH1590" i="1"/>
  <c r="AZG1590" i="1"/>
  <c r="AZF1590" i="1"/>
  <c r="AZE1590" i="1"/>
  <c r="AZD1590" i="1"/>
  <c r="AZC1590" i="1"/>
  <c r="AZB1590" i="1"/>
  <c r="AZA1590" i="1"/>
  <c r="AYZ1590" i="1"/>
  <c r="AYY1590" i="1"/>
  <c r="AYX1590" i="1"/>
  <c r="AYW1590" i="1"/>
  <c r="AYV1590" i="1"/>
  <c r="AYU1590" i="1"/>
  <c r="AYT1590" i="1"/>
  <c r="AYS1590" i="1"/>
  <c r="AYR1590" i="1"/>
  <c r="AYQ1590" i="1"/>
  <c r="AYP1590" i="1"/>
  <c r="AYO1590" i="1"/>
  <c r="AYN1590" i="1"/>
  <c r="AYM1590" i="1"/>
  <c r="AYL1590" i="1"/>
  <c r="AYK1590" i="1"/>
  <c r="AYJ1590" i="1"/>
  <c r="AYI1590" i="1"/>
  <c r="AYH1590" i="1"/>
  <c r="AYG1590" i="1"/>
  <c r="AYF1590" i="1"/>
  <c r="AYE1590" i="1"/>
  <c r="AYD1590" i="1"/>
  <c r="AYC1590" i="1"/>
  <c r="AYB1590" i="1"/>
  <c r="AYA1590" i="1"/>
  <c r="AXZ1590" i="1"/>
  <c r="AXY1590" i="1"/>
  <c r="AXX1590" i="1"/>
  <c r="AXW1590" i="1"/>
  <c r="AXV1590" i="1"/>
  <c r="AXU1590" i="1"/>
  <c r="AXT1590" i="1"/>
  <c r="AXS1590" i="1"/>
  <c r="AXR1590" i="1"/>
  <c r="AXQ1590" i="1"/>
  <c r="AXP1590" i="1"/>
  <c r="AXO1590" i="1"/>
  <c r="AXN1590" i="1"/>
  <c r="AXM1590" i="1"/>
  <c r="AXL1590" i="1"/>
  <c r="AXK1590" i="1"/>
  <c r="AXJ1590" i="1"/>
  <c r="AXI1590" i="1"/>
  <c r="AXH1590" i="1"/>
  <c r="AXG1590" i="1"/>
  <c r="AXF1590" i="1"/>
  <c r="AXE1590" i="1"/>
  <c r="AXD1590" i="1"/>
  <c r="AXC1590" i="1"/>
  <c r="AXB1590" i="1"/>
  <c r="AXA1590" i="1"/>
  <c r="AWZ1590" i="1"/>
  <c r="AWY1590" i="1"/>
  <c r="AWX1590" i="1"/>
  <c r="AWW1590" i="1"/>
  <c r="AWV1590" i="1"/>
  <c r="AWU1590" i="1"/>
  <c r="AWT1590" i="1"/>
  <c r="AWS1590" i="1"/>
  <c r="AWR1590" i="1"/>
  <c r="AWQ1590" i="1"/>
  <c r="AWP1590" i="1"/>
  <c r="AWO1590" i="1"/>
  <c r="AWN1590" i="1"/>
  <c r="AWM1590" i="1"/>
  <c r="AWL1590" i="1"/>
  <c r="AWK1590" i="1"/>
  <c r="AWJ1590" i="1"/>
  <c r="AWI1590" i="1"/>
  <c r="AWH1590" i="1"/>
  <c r="AWG1590" i="1"/>
  <c r="AWF1590" i="1"/>
  <c r="AWE1590" i="1"/>
  <c r="AWD1590" i="1"/>
  <c r="AWC1590" i="1"/>
  <c r="AWB1590" i="1"/>
  <c r="AWA1590" i="1"/>
  <c r="AVZ1590" i="1"/>
  <c r="AVY1590" i="1"/>
  <c r="AVX1590" i="1"/>
  <c r="AVW1590" i="1"/>
  <c r="AVV1590" i="1"/>
  <c r="AVU1590" i="1"/>
  <c r="AVT1590" i="1"/>
  <c r="AVS1590" i="1"/>
  <c r="AVR1590" i="1"/>
  <c r="AVQ1590" i="1"/>
  <c r="AVP1590" i="1"/>
  <c r="AVO1590" i="1"/>
  <c r="AVN1590" i="1"/>
  <c r="AVM1590" i="1"/>
  <c r="AVL1590" i="1"/>
  <c r="AVK1590" i="1"/>
  <c r="AVJ1590" i="1"/>
  <c r="AVI1590" i="1"/>
  <c r="AVH1590" i="1"/>
  <c r="AVG1590" i="1"/>
  <c r="AVF1590" i="1"/>
  <c r="AVE1590" i="1"/>
  <c r="AVD1590" i="1"/>
  <c r="AVC1590" i="1"/>
  <c r="AVB1590" i="1"/>
  <c r="AVA1590" i="1"/>
  <c r="AUZ1590" i="1"/>
  <c r="AUY1590" i="1"/>
  <c r="AUX1590" i="1"/>
  <c r="AUW1590" i="1"/>
  <c r="AUV1590" i="1"/>
  <c r="AUU1590" i="1"/>
  <c r="AUT1590" i="1"/>
  <c r="AUS1590" i="1"/>
  <c r="AUR1590" i="1"/>
  <c r="AUQ1590" i="1"/>
  <c r="AUP1590" i="1"/>
  <c r="AUO1590" i="1"/>
  <c r="AUN1590" i="1"/>
  <c r="AUM1590" i="1"/>
  <c r="AUL1590" i="1"/>
  <c r="AUK1590" i="1"/>
  <c r="AUJ1590" i="1"/>
  <c r="AUI1590" i="1"/>
  <c r="AUH1590" i="1"/>
  <c r="AUG1590" i="1"/>
  <c r="AUF1590" i="1"/>
  <c r="AUE1590" i="1"/>
  <c r="AUD1590" i="1"/>
  <c r="AUC1590" i="1"/>
  <c r="AUB1590" i="1"/>
  <c r="AUA1590" i="1"/>
  <c r="ATZ1590" i="1"/>
  <c r="ATY1590" i="1"/>
  <c r="ATX1590" i="1"/>
  <c r="ATW1590" i="1"/>
  <c r="ATV1590" i="1"/>
  <c r="ATU1590" i="1"/>
  <c r="ATT1590" i="1"/>
  <c r="ATS1590" i="1"/>
  <c r="ATR1590" i="1"/>
  <c r="ATQ1590" i="1"/>
  <c r="ATP1590" i="1"/>
  <c r="ATO1590" i="1"/>
  <c r="ATN1590" i="1"/>
  <c r="ATM1590" i="1"/>
  <c r="ATL1590" i="1"/>
  <c r="ATK1590" i="1"/>
  <c r="ATJ1590" i="1"/>
  <c r="ATI1590" i="1"/>
  <c r="ATH1590" i="1"/>
  <c r="ATG1590" i="1"/>
  <c r="ATF1590" i="1"/>
  <c r="ATE1590" i="1"/>
  <c r="ATD1590" i="1"/>
  <c r="ATC1590" i="1"/>
  <c r="ATB1590" i="1"/>
  <c r="ATA1590" i="1"/>
  <c r="ASZ1590" i="1"/>
  <c r="ASY1590" i="1"/>
  <c r="ASX1590" i="1"/>
  <c r="ASW1590" i="1"/>
  <c r="ASV1590" i="1"/>
  <c r="ASU1590" i="1"/>
  <c r="AST1590" i="1"/>
  <c r="ASS1590" i="1"/>
  <c r="ASR1590" i="1"/>
  <c r="ASQ1590" i="1"/>
  <c r="ASP1590" i="1"/>
  <c r="ASO1590" i="1"/>
  <c r="ASN1590" i="1"/>
  <c r="ASM1590" i="1"/>
  <c r="ASL1590" i="1"/>
  <c r="ASK1590" i="1"/>
  <c r="ASJ1590" i="1"/>
  <c r="ASI1590" i="1"/>
  <c r="ASH1590" i="1"/>
  <c r="ASG1590" i="1"/>
  <c r="ASF1590" i="1"/>
  <c r="ASE1590" i="1"/>
  <c r="ASD1590" i="1"/>
  <c r="ASC1590" i="1"/>
  <c r="ASB1590" i="1"/>
  <c r="ASA1590" i="1"/>
  <c r="ARZ1590" i="1"/>
  <c r="ARY1590" i="1"/>
  <c r="ARX1590" i="1"/>
  <c r="ARW1590" i="1"/>
  <c r="ARV1590" i="1"/>
  <c r="ARU1590" i="1"/>
  <c r="ART1590" i="1"/>
  <c r="ARS1590" i="1"/>
  <c r="ARR1590" i="1"/>
  <c r="ARQ1590" i="1"/>
  <c r="ARP1590" i="1"/>
  <c r="ARO1590" i="1"/>
  <c r="ARN1590" i="1"/>
  <c r="ARM1590" i="1"/>
  <c r="ARL1590" i="1"/>
  <c r="ARK1590" i="1"/>
  <c r="ARJ1590" i="1"/>
  <c r="ARI1590" i="1"/>
  <c r="ARH1590" i="1"/>
  <c r="ARG1590" i="1"/>
  <c r="ARF1590" i="1"/>
  <c r="ARE1590" i="1"/>
  <c r="ARD1590" i="1"/>
  <c r="ARC1590" i="1"/>
  <c r="ARB1590" i="1"/>
  <c r="ARA1590" i="1"/>
  <c r="AQZ1590" i="1"/>
  <c r="AQY1590" i="1"/>
  <c r="AQX1590" i="1"/>
  <c r="AQW1590" i="1"/>
  <c r="AQV1590" i="1"/>
  <c r="AQU1590" i="1"/>
  <c r="AQT1590" i="1"/>
  <c r="AQS1590" i="1"/>
  <c r="AQR1590" i="1"/>
  <c r="AQQ1590" i="1"/>
  <c r="AQP1590" i="1"/>
  <c r="AQO1590" i="1"/>
  <c r="AQN1590" i="1"/>
  <c r="AQM1590" i="1"/>
  <c r="AQL1590" i="1"/>
  <c r="AQK1590" i="1"/>
  <c r="AQJ1590" i="1"/>
  <c r="AQI1590" i="1"/>
  <c r="AQH1590" i="1"/>
  <c r="AQG1590" i="1"/>
  <c r="AQF1590" i="1"/>
  <c r="AQE1590" i="1"/>
  <c r="AQD1590" i="1"/>
  <c r="AQC1590" i="1"/>
  <c r="AQB1590" i="1"/>
  <c r="AQA1590" i="1"/>
  <c r="APZ1590" i="1"/>
  <c r="APY1590" i="1"/>
  <c r="APX1590" i="1"/>
  <c r="APW1590" i="1"/>
  <c r="APV1590" i="1"/>
  <c r="APU1590" i="1"/>
  <c r="APT1590" i="1"/>
  <c r="APS1590" i="1"/>
  <c r="APR1590" i="1"/>
  <c r="APQ1590" i="1"/>
  <c r="APP1590" i="1"/>
  <c r="APO1590" i="1"/>
  <c r="APN1590" i="1"/>
  <c r="APM1590" i="1"/>
  <c r="APL1590" i="1"/>
  <c r="APK1590" i="1"/>
  <c r="APJ1590" i="1"/>
  <c r="API1590" i="1"/>
  <c r="APH1590" i="1"/>
  <c r="APG1590" i="1"/>
  <c r="APF1590" i="1"/>
  <c r="APE1590" i="1"/>
  <c r="APD1590" i="1"/>
  <c r="APC1590" i="1"/>
  <c r="APB1590" i="1"/>
  <c r="APA1590" i="1"/>
  <c r="AOZ1590" i="1"/>
  <c r="AOY1590" i="1"/>
  <c r="AOX1590" i="1"/>
  <c r="AOW1590" i="1"/>
  <c r="AOV1590" i="1"/>
  <c r="AOU1590" i="1"/>
  <c r="AOT1590" i="1"/>
  <c r="AOS1590" i="1"/>
  <c r="AOR1590" i="1"/>
  <c r="AOQ1590" i="1"/>
  <c r="AOP1590" i="1"/>
  <c r="AOO1590" i="1"/>
  <c r="AON1590" i="1"/>
  <c r="AOM1590" i="1"/>
  <c r="AOL1590" i="1"/>
  <c r="AOK1590" i="1"/>
  <c r="AOJ1590" i="1"/>
  <c r="AOI1590" i="1"/>
  <c r="AOH1590" i="1"/>
  <c r="AOG1590" i="1"/>
  <c r="AOF1590" i="1"/>
  <c r="AOE1590" i="1"/>
  <c r="AOD1590" i="1"/>
  <c r="AOC1590" i="1"/>
  <c r="AOB1590" i="1"/>
  <c r="AOA1590" i="1"/>
  <c r="ANZ1590" i="1"/>
  <c r="ANY1590" i="1"/>
  <c r="ANX1590" i="1"/>
  <c r="ANW1590" i="1"/>
  <c r="ANV1590" i="1"/>
  <c r="ANU1590" i="1"/>
  <c r="ANT1590" i="1"/>
  <c r="ANS1590" i="1"/>
  <c r="ANR1590" i="1"/>
  <c r="ANQ1590" i="1"/>
  <c r="ANP1590" i="1"/>
  <c r="ANO1590" i="1"/>
  <c r="ANN1590" i="1"/>
  <c r="ANM1590" i="1"/>
  <c r="ANL1590" i="1"/>
  <c r="ANK1590" i="1"/>
  <c r="ANJ1590" i="1"/>
  <c r="ANI1590" i="1"/>
  <c r="ANH1590" i="1"/>
  <c r="ANG1590" i="1"/>
  <c r="ANF1590" i="1"/>
  <c r="ANE1590" i="1"/>
  <c r="AND1590" i="1"/>
  <c r="ANC1590" i="1"/>
  <c r="ANB1590" i="1"/>
  <c r="ANA1590" i="1"/>
  <c r="AMZ1590" i="1"/>
  <c r="AMY1590" i="1"/>
  <c r="AMX1590" i="1"/>
  <c r="AMW1590" i="1"/>
  <c r="AMV1590" i="1"/>
  <c r="AMU1590" i="1"/>
  <c r="AMT1590" i="1"/>
  <c r="AMS1590" i="1"/>
  <c r="AMR1590" i="1"/>
  <c r="AMQ1590" i="1"/>
  <c r="AMP1590" i="1"/>
  <c r="AMO1590" i="1"/>
  <c r="AMN1590" i="1"/>
  <c r="AMM1590" i="1"/>
  <c r="AML1590" i="1"/>
  <c r="AMK1590" i="1"/>
  <c r="AMJ1590" i="1"/>
  <c r="AMI1590" i="1"/>
  <c r="AMH1590" i="1"/>
  <c r="AMG1590" i="1"/>
  <c r="AMF1590" i="1"/>
  <c r="AME1590" i="1"/>
  <c r="AMD1590" i="1"/>
  <c r="AMC1590" i="1"/>
  <c r="AMB1590" i="1"/>
  <c r="AMA1590" i="1"/>
  <c r="ALZ1590" i="1"/>
  <c r="ALY1590" i="1"/>
  <c r="ALX1590" i="1"/>
  <c r="ALW1590" i="1"/>
  <c r="ALV1590" i="1"/>
  <c r="ALU1590" i="1"/>
  <c r="ALT1590" i="1"/>
  <c r="ALS1590" i="1"/>
  <c r="ALR1590" i="1"/>
  <c r="ALQ1590" i="1"/>
  <c r="ALP1590" i="1"/>
  <c r="ALO1590" i="1"/>
  <c r="ALN1590" i="1"/>
  <c r="ALM1590" i="1"/>
  <c r="ALL1590" i="1"/>
  <c r="ALK1590" i="1"/>
  <c r="ALJ1590" i="1"/>
  <c r="ALI1590" i="1"/>
  <c r="ALH1590" i="1"/>
  <c r="ALG1590" i="1"/>
  <c r="ALF1590" i="1"/>
  <c r="ALE1590" i="1"/>
  <c r="ALD1590" i="1"/>
  <c r="ALC1590" i="1"/>
  <c r="ALB1590" i="1"/>
  <c r="ALA1590" i="1"/>
  <c r="AKZ1590" i="1"/>
  <c r="AKY1590" i="1"/>
  <c r="AKX1590" i="1"/>
  <c r="AKW1590" i="1"/>
  <c r="AKV1590" i="1"/>
  <c r="AKU1590" i="1"/>
  <c r="AKT1590" i="1"/>
  <c r="AKS1590" i="1"/>
  <c r="AKR1590" i="1"/>
  <c r="AKQ1590" i="1"/>
  <c r="AKP1590" i="1"/>
  <c r="AKO1590" i="1"/>
  <c r="AKN1590" i="1"/>
  <c r="AKM1590" i="1"/>
  <c r="AKL1590" i="1"/>
  <c r="AKK1590" i="1"/>
  <c r="AKJ1590" i="1"/>
  <c r="AKI1590" i="1"/>
  <c r="AKH1590" i="1"/>
  <c r="AKG1590" i="1"/>
  <c r="AKF1590" i="1"/>
  <c r="AKE1590" i="1"/>
  <c r="AKD1590" i="1"/>
  <c r="AKC1590" i="1"/>
  <c r="AKB1590" i="1"/>
  <c r="AKA1590" i="1"/>
  <c r="AJZ1590" i="1"/>
  <c r="AJY1590" i="1"/>
  <c r="AJX1590" i="1"/>
  <c r="AJW1590" i="1"/>
  <c r="AJV1590" i="1"/>
  <c r="AJU1590" i="1"/>
  <c r="AJT1590" i="1"/>
  <c r="AJS1590" i="1"/>
  <c r="AJR1590" i="1"/>
  <c r="AJQ1590" i="1"/>
  <c r="AJP1590" i="1"/>
  <c r="AJO1590" i="1"/>
  <c r="AJN1590" i="1"/>
  <c r="AJM1590" i="1"/>
  <c r="AJL1590" i="1"/>
  <c r="AJK1590" i="1"/>
  <c r="AJJ1590" i="1"/>
  <c r="AJI1590" i="1"/>
  <c r="AJH1590" i="1"/>
  <c r="AJG1590" i="1"/>
  <c r="AJF1590" i="1"/>
  <c r="AJE1590" i="1"/>
  <c r="AJD1590" i="1"/>
  <c r="AJC1590" i="1"/>
  <c r="AJB1590" i="1"/>
  <c r="AJA1590" i="1"/>
  <c r="AIZ1590" i="1"/>
  <c r="AIY1590" i="1"/>
  <c r="AIX1590" i="1"/>
  <c r="AIW1590" i="1"/>
  <c r="AIV1590" i="1"/>
  <c r="AIU1590" i="1"/>
  <c r="AIT1590" i="1"/>
  <c r="AIS1590" i="1"/>
  <c r="AIR1590" i="1"/>
  <c r="AIQ1590" i="1"/>
  <c r="AIP1590" i="1"/>
  <c r="AIO1590" i="1"/>
  <c r="AIN1590" i="1"/>
  <c r="AIM1590" i="1"/>
  <c r="AIL1590" i="1"/>
  <c r="AIK1590" i="1"/>
  <c r="AIJ1590" i="1"/>
  <c r="AII1590" i="1"/>
  <c r="AIH1590" i="1"/>
  <c r="AIG1590" i="1"/>
  <c r="AIF1590" i="1"/>
  <c r="AIE1590" i="1"/>
  <c r="AID1590" i="1"/>
  <c r="AIC1590" i="1"/>
  <c r="AIB1590" i="1"/>
  <c r="AIA1590" i="1"/>
  <c r="AHZ1590" i="1"/>
  <c r="AHY1590" i="1"/>
  <c r="AHX1590" i="1"/>
  <c r="AHW1590" i="1"/>
  <c r="AHV1590" i="1"/>
  <c r="AHU1590" i="1"/>
  <c r="AHT1590" i="1"/>
  <c r="AHS1590" i="1"/>
  <c r="AHR1590" i="1"/>
  <c r="AHQ1590" i="1"/>
  <c r="AHP1590" i="1"/>
  <c r="AHO1590" i="1"/>
  <c r="AHN1590" i="1"/>
  <c r="AHM1590" i="1"/>
  <c r="AHL1590" i="1"/>
  <c r="AHK1590" i="1"/>
  <c r="AHJ1590" i="1"/>
  <c r="AHI1590" i="1"/>
  <c r="AHH1590" i="1"/>
  <c r="AHG1590" i="1"/>
  <c r="AHF1590" i="1"/>
  <c r="AHE1590" i="1"/>
  <c r="AHD1590" i="1"/>
  <c r="AHC1590" i="1"/>
  <c r="AHB1590" i="1"/>
  <c r="AHA1590" i="1"/>
  <c r="AGZ1590" i="1"/>
  <c r="AGY1590" i="1"/>
  <c r="AGX1590" i="1"/>
  <c r="AGW1590" i="1"/>
  <c r="AGV1590" i="1"/>
  <c r="AGU1590" i="1"/>
  <c r="AGT1590" i="1"/>
  <c r="AGS1590" i="1"/>
  <c r="AGR1590" i="1"/>
  <c r="AGQ1590" i="1"/>
  <c r="AGP1590" i="1"/>
  <c r="AGO1590" i="1"/>
  <c r="AGN1590" i="1"/>
  <c r="AGM1590" i="1"/>
  <c r="AGL1590" i="1"/>
  <c r="AGK1590" i="1"/>
  <c r="AGJ1590" i="1"/>
  <c r="AGI1590" i="1"/>
  <c r="AGH1590" i="1"/>
  <c r="AGG1590" i="1"/>
  <c r="AGF1590" i="1"/>
  <c r="AGE1590" i="1"/>
  <c r="AGD1590" i="1"/>
  <c r="AGC1590" i="1"/>
  <c r="AGB1590" i="1"/>
  <c r="AGA1590" i="1"/>
  <c r="AFZ1590" i="1"/>
  <c r="AFY1590" i="1"/>
  <c r="AFX1590" i="1"/>
  <c r="AFW1590" i="1"/>
  <c r="AFV1590" i="1"/>
  <c r="AFU1590" i="1"/>
  <c r="AFT1590" i="1"/>
  <c r="AFS1590" i="1"/>
  <c r="AFR1590" i="1"/>
  <c r="AFQ1590" i="1"/>
  <c r="AFP1590" i="1"/>
  <c r="AFO1590" i="1"/>
  <c r="AFN1590" i="1"/>
  <c r="AFM1590" i="1"/>
  <c r="AFL1590" i="1"/>
  <c r="AFK1590" i="1"/>
  <c r="AFJ1590" i="1"/>
  <c r="AFI1590" i="1"/>
  <c r="AFH1590" i="1"/>
  <c r="AFG1590" i="1"/>
  <c r="AFF1590" i="1"/>
  <c r="AFE1590" i="1"/>
  <c r="AFD1590" i="1"/>
  <c r="AFC1590" i="1"/>
  <c r="AFB1590" i="1"/>
  <c r="AFA1590" i="1"/>
  <c r="AEZ1590" i="1"/>
  <c r="AEY1590" i="1"/>
  <c r="AEX1590" i="1"/>
  <c r="AEW1590" i="1"/>
  <c r="AEV1590" i="1"/>
  <c r="AEU1590" i="1"/>
  <c r="AET1590" i="1"/>
  <c r="AES1590" i="1"/>
  <c r="AER1590" i="1"/>
  <c r="AEQ1590" i="1"/>
  <c r="AEP1590" i="1"/>
  <c r="AEO1590" i="1"/>
  <c r="AEN1590" i="1"/>
  <c r="AEM1590" i="1"/>
  <c r="AEL1590" i="1"/>
  <c r="AEK1590" i="1"/>
  <c r="AEJ1590" i="1"/>
  <c r="AEI1590" i="1"/>
  <c r="AEH1590" i="1"/>
  <c r="AEG1590" i="1"/>
  <c r="AEF1590" i="1"/>
  <c r="AEE1590" i="1"/>
  <c r="AED1590" i="1"/>
  <c r="AEC1590" i="1"/>
  <c r="AEB1590" i="1"/>
  <c r="AEA1590" i="1"/>
  <c r="ADZ1590" i="1"/>
  <c r="ADY1590" i="1"/>
  <c r="ADX1590" i="1"/>
  <c r="ADW1590" i="1"/>
  <c r="ADV1590" i="1"/>
  <c r="ADU1590" i="1"/>
  <c r="ADT1590" i="1"/>
  <c r="ADS1590" i="1"/>
  <c r="ADR1590" i="1"/>
  <c r="ADQ1590" i="1"/>
  <c r="ADP1590" i="1"/>
  <c r="ADO1590" i="1"/>
  <c r="ADN1590" i="1"/>
  <c r="ADM1590" i="1"/>
  <c r="ADL1590" i="1"/>
  <c r="ADK1590" i="1"/>
  <c r="ADJ1590" i="1"/>
  <c r="ADI1590" i="1"/>
  <c r="ADH1590" i="1"/>
  <c r="ADG1590" i="1"/>
  <c r="ADF1590" i="1"/>
  <c r="ADE1590" i="1"/>
  <c r="ADD1590" i="1"/>
  <c r="ADC1590" i="1"/>
  <c r="ADB1590" i="1"/>
  <c r="ADA1590" i="1"/>
  <c r="ACZ1590" i="1"/>
  <c r="ACY1590" i="1"/>
  <c r="ACX1590" i="1"/>
  <c r="ACW1590" i="1"/>
  <c r="ACV1590" i="1"/>
  <c r="ACU1590" i="1"/>
  <c r="ACT1590" i="1"/>
  <c r="ACS1590" i="1"/>
  <c r="ACR1590" i="1"/>
  <c r="ACQ1590" i="1"/>
  <c r="ACP1590" i="1"/>
  <c r="ACO1590" i="1"/>
  <c r="ACN1590" i="1"/>
  <c r="ACM1590" i="1"/>
  <c r="ACL1590" i="1"/>
  <c r="ACK1590" i="1"/>
  <c r="ACJ1590" i="1"/>
  <c r="ACI1590" i="1"/>
  <c r="ACH1590" i="1"/>
  <c r="ACG1590" i="1"/>
  <c r="ACF1590" i="1"/>
  <c r="ACE1590" i="1"/>
  <c r="ACD1590" i="1"/>
  <c r="ACC1590" i="1"/>
  <c r="ACB1590" i="1"/>
  <c r="ACA1590" i="1"/>
  <c r="ABZ1590" i="1"/>
  <c r="ABY1590" i="1"/>
  <c r="ABX1590" i="1"/>
  <c r="ABW1590" i="1"/>
  <c r="ABV1590" i="1"/>
  <c r="ABU1590" i="1"/>
  <c r="ABT1590" i="1"/>
  <c r="ABS1590" i="1"/>
  <c r="ABR1590" i="1"/>
  <c r="ABQ1590" i="1"/>
  <c r="ABP1590" i="1"/>
  <c r="ABO1590" i="1"/>
  <c r="ABN1590" i="1"/>
  <c r="ABM1590" i="1"/>
  <c r="ABL1590" i="1"/>
  <c r="ABK1590" i="1"/>
  <c r="ABJ1590" i="1"/>
  <c r="ABI1590" i="1"/>
  <c r="ABH1590" i="1"/>
  <c r="ABG1590" i="1"/>
  <c r="ABF1590" i="1"/>
  <c r="ABE1590" i="1"/>
  <c r="ABD1590" i="1"/>
  <c r="ABC1590" i="1"/>
  <c r="ABB1590" i="1"/>
  <c r="ABA1590" i="1"/>
  <c r="AAZ1590" i="1"/>
  <c r="AAY1590" i="1"/>
  <c r="AAX1590" i="1"/>
  <c r="AAW1590" i="1"/>
  <c r="AAV1590" i="1"/>
  <c r="AAU1590" i="1"/>
  <c r="AAT1590" i="1"/>
  <c r="AAS1590" i="1"/>
  <c r="AAR1590" i="1"/>
  <c r="AAQ1590" i="1"/>
  <c r="AAP1590" i="1"/>
  <c r="AAO1590" i="1"/>
  <c r="AAN1590" i="1"/>
  <c r="AAM1590" i="1"/>
  <c r="AAL1590" i="1"/>
  <c r="AAK1590" i="1"/>
  <c r="AAJ1590" i="1"/>
  <c r="AAI1590" i="1"/>
  <c r="AAH1590" i="1"/>
  <c r="AAG1590" i="1"/>
  <c r="AAF1590" i="1"/>
  <c r="AAE1590" i="1"/>
  <c r="AAD1590" i="1"/>
  <c r="AAC1590" i="1"/>
  <c r="AAB1590" i="1"/>
  <c r="AAA1590" i="1"/>
  <c r="ZZ1590" i="1"/>
  <c r="ZY1590" i="1"/>
  <c r="ZX1590" i="1"/>
  <c r="ZW1590" i="1"/>
  <c r="ZV1590" i="1"/>
  <c r="ZU1590" i="1"/>
  <c r="ZT1590" i="1"/>
  <c r="ZS1590" i="1"/>
  <c r="ZR1590" i="1"/>
  <c r="ZQ1590" i="1"/>
  <c r="ZP1590" i="1"/>
  <c r="ZO1590" i="1"/>
  <c r="ZN1590" i="1"/>
  <c r="ZM1590" i="1"/>
  <c r="ZL1590" i="1"/>
  <c r="ZK1590" i="1"/>
  <c r="ZJ1590" i="1"/>
  <c r="ZI1590" i="1"/>
  <c r="ZH1590" i="1"/>
  <c r="ZG1590" i="1"/>
  <c r="ZF1590" i="1"/>
  <c r="ZE1590" i="1"/>
  <c r="ZD1590" i="1"/>
  <c r="ZC1590" i="1"/>
  <c r="ZB1590" i="1"/>
  <c r="ZA1590" i="1"/>
  <c r="YZ1590" i="1"/>
  <c r="YY1590" i="1"/>
  <c r="YX1590" i="1"/>
  <c r="YW1590" i="1"/>
  <c r="YV1590" i="1"/>
  <c r="YU1590" i="1"/>
  <c r="YT1590" i="1"/>
  <c r="YS1590" i="1"/>
  <c r="YR1590" i="1"/>
  <c r="YQ1590" i="1"/>
  <c r="YP1590" i="1"/>
  <c r="YO1590" i="1"/>
  <c r="YN1590" i="1"/>
  <c r="YM1590" i="1"/>
  <c r="YL1590" i="1"/>
  <c r="YK1590" i="1"/>
  <c r="YJ1590" i="1"/>
  <c r="YI1590" i="1"/>
  <c r="YH1590" i="1"/>
  <c r="YG1590" i="1"/>
  <c r="YF1590" i="1"/>
  <c r="YE1590" i="1"/>
  <c r="YD1590" i="1"/>
  <c r="YC1590" i="1"/>
  <c r="YB1590" i="1"/>
  <c r="YA1590" i="1"/>
  <c r="XZ1590" i="1"/>
  <c r="XY1590" i="1"/>
  <c r="XX1590" i="1"/>
  <c r="XW1590" i="1"/>
  <c r="XV1590" i="1"/>
  <c r="XU1590" i="1"/>
  <c r="XT1590" i="1"/>
  <c r="XS1590" i="1"/>
  <c r="XR1590" i="1"/>
  <c r="XQ1590" i="1"/>
  <c r="XP1590" i="1"/>
  <c r="XO1590" i="1"/>
  <c r="XN1590" i="1"/>
  <c r="XM1590" i="1"/>
  <c r="XL1590" i="1"/>
  <c r="XK1590" i="1"/>
  <c r="XJ1590" i="1"/>
  <c r="XI1590" i="1"/>
  <c r="XH1590" i="1"/>
  <c r="XG1590" i="1"/>
  <c r="XF1590" i="1"/>
  <c r="XE1590" i="1"/>
  <c r="XD1590" i="1"/>
  <c r="XC1590" i="1"/>
  <c r="XB1590" i="1"/>
  <c r="XA1590" i="1"/>
  <c r="WZ1590" i="1"/>
  <c r="WY1590" i="1"/>
  <c r="WX1590" i="1"/>
  <c r="WW1590" i="1"/>
  <c r="WV1590" i="1"/>
  <c r="WU1590" i="1"/>
  <c r="WT1590" i="1"/>
  <c r="WS1590" i="1"/>
  <c r="WR1590" i="1"/>
  <c r="WQ1590" i="1"/>
  <c r="WP1590" i="1"/>
  <c r="WO1590" i="1"/>
  <c r="WN1590" i="1"/>
  <c r="WM1590" i="1"/>
  <c r="WL1590" i="1"/>
  <c r="WK1590" i="1"/>
  <c r="WJ1590" i="1"/>
  <c r="WI1590" i="1"/>
  <c r="WH1590" i="1"/>
  <c r="WG1590" i="1"/>
  <c r="WF1590" i="1"/>
  <c r="WE1590" i="1"/>
  <c r="WD1590" i="1"/>
  <c r="WC1590" i="1"/>
  <c r="WB1590" i="1"/>
  <c r="WA1590" i="1"/>
  <c r="VZ1590" i="1"/>
  <c r="VY1590" i="1"/>
  <c r="VX1590" i="1"/>
  <c r="VW1590" i="1"/>
  <c r="VV1590" i="1"/>
  <c r="VU1590" i="1"/>
  <c r="VT1590" i="1"/>
  <c r="VS1590" i="1"/>
  <c r="VR1590" i="1"/>
  <c r="VQ1590" i="1"/>
  <c r="VP1590" i="1"/>
  <c r="VO1590" i="1"/>
  <c r="VN1590" i="1"/>
  <c r="VM1590" i="1"/>
  <c r="VL1590" i="1"/>
  <c r="VK1590" i="1"/>
  <c r="VJ1590" i="1"/>
  <c r="VI1590" i="1"/>
  <c r="VH1590" i="1"/>
  <c r="VG1590" i="1"/>
  <c r="VF1590" i="1"/>
  <c r="VE1590" i="1"/>
  <c r="VD1590" i="1"/>
  <c r="VC1590" i="1"/>
  <c r="VB1590" i="1"/>
  <c r="VA1590" i="1"/>
  <c r="UZ1590" i="1"/>
  <c r="UY1590" i="1"/>
  <c r="UX1590" i="1"/>
  <c r="UW1590" i="1"/>
  <c r="UV1590" i="1"/>
  <c r="UU1590" i="1"/>
  <c r="UT1590" i="1"/>
  <c r="US1590" i="1"/>
  <c r="UR1590" i="1"/>
  <c r="UQ1590" i="1"/>
  <c r="UP1590" i="1"/>
  <c r="UO1590" i="1"/>
  <c r="UN1590" i="1"/>
  <c r="UM1590" i="1"/>
  <c r="UL1590" i="1"/>
  <c r="UK1590" i="1"/>
  <c r="UJ1590" i="1"/>
  <c r="UI1590" i="1"/>
  <c r="UH1590" i="1"/>
  <c r="UG1590" i="1"/>
  <c r="UF1590" i="1"/>
  <c r="UE1590" i="1"/>
  <c r="UD1590" i="1"/>
  <c r="UC1590" i="1"/>
  <c r="UB1590" i="1"/>
  <c r="UA1590" i="1"/>
  <c r="TZ1590" i="1"/>
  <c r="TY1590" i="1"/>
  <c r="TX1590" i="1"/>
  <c r="TW1590" i="1"/>
  <c r="TV1590" i="1"/>
  <c r="TU1590" i="1"/>
  <c r="TT1590" i="1"/>
  <c r="TS1590" i="1"/>
  <c r="TR1590" i="1"/>
  <c r="TQ1590" i="1"/>
  <c r="TP1590" i="1"/>
  <c r="TO1590" i="1"/>
  <c r="TN1590" i="1"/>
  <c r="TM1590" i="1"/>
  <c r="TL1590" i="1"/>
  <c r="TK1590" i="1"/>
  <c r="TJ1590" i="1"/>
  <c r="TI1590" i="1"/>
  <c r="TH1590" i="1"/>
  <c r="TG1590" i="1"/>
  <c r="TF1590" i="1"/>
  <c r="TE1590" i="1"/>
  <c r="TD1590" i="1"/>
  <c r="TC1590" i="1"/>
  <c r="TB1590" i="1"/>
  <c r="TA1590" i="1"/>
  <c r="SZ1590" i="1"/>
  <c r="SY1590" i="1"/>
  <c r="SX1590" i="1"/>
  <c r="SW1590" i="1"/>
  <c r="SV1590" i="1"/>
  <c r="SU1590" i="1"/>
  <c r="ST1590" i="1"/>
  <c r="SS1590" i="1"/>
  <c r="SR1590" i="1"/>
  <c r="SQ1590" i="1"/>
  <c r="SP1590" i="1"/>
  <c r="SO1590" i="1"/>
  <c r="SN1590" i="1"/>
  <c r="SM1590" i="1"/>
  <c r="SL1590" i="1"/>
  <c r="SK1590" i="1"/>
  <c r="SJ1590" i="1"/>
  <c r="SI1590" i="1"/>
  <c r="SH1590" i="1"/>
  <c r="SG1590" i="1"/>
  <c r="SF1590" i="1"/>
  <c r="SE1590" i="1"/>
  <c r="SD1590" i="1"/>
  <c r="SC1590" i="1"/>
  <c r="SB1590" i="1"/>
  <c r="SA1590" i="1"/>
  <c r="RZ1590" i="1"/>
  <c r="RY1590" i="1"/>
  <c r="RX1590" i="1"/>
  <c r="RW1590" i="1"/>
  <c r="RV1590" i="1"/>
  <c r="RU1590" i="1"/>
  <c r="RT1590" i="1"/>
  <c r="RS1590" i="1"/>
  <c r="RR1590" i="1"/>
  <c r="RQ1590" i="1"/>
  <c r="RP1590" i="1"/>
  <c r="RO1590" i="1"/>
  <c r="RN1590" i="1"/>
  <c r="RM1590" i="1"/>
  <c r="RL1590" i="1"/>
  <c r="RK1590" i="1"/>
  <c r="RJ1590" i="1"/>
  <c r="RI1590" i="1"/>
  <c r="RH1590" i="1"/>
  <c r="RG1590" i="1"/>
  <c r="RF1590" i="1"/>
  <c r="RE1590" i="1"/>
  <c r="RD1590" i="1"/>
  <c r="RC1590" i="1"/>
  <c r="RB1590" i="1"/>
  <c r="RA1590" i="1"/>
  <c r="QZ1590" i="1"/>
  <c r="QY1590" i="1"/>
  <c r="QX1590" i="1"/>
  <c r="QW1590" i="1"/>
  <c r="QV1590" i="1"/>
  <c r="QU1590" i="1"/>
  <c r="QT1590" i="1"/>
  <c r="QS1590" i="1"/>
  <c r="QR1590" i="1"/>
  <c r="QQ1590" i="1"/>
  <c r="QP1590" i="1"/>
  <c r="QO1590" i="1"/>
  <c r="QN1590" i="1"/>
  <c r="QM1590" i="1"/>
  <c r="QL1590" i="1"/>
  <c r="QK1590" i="1"/>
  <c r="QJ1590" i="1"/>
  <c r="QI1590" i="1"/>
  <c r="QH1590" i="1"/>
  <c r="QG1590" i="1"/>
  <c r="QF1590" i="1"/>
  <c r="QE1590" i="1"/>
  <c r="QD1590" i="1"/>
  <c r="QC1590" i="1"/>
  <c r="QB1590" i="1"/>
  <c r="QA1590" i="1"/>
  <c r="PZ1590" i="1"/>
  <c r="PY1590" i="1"/>
  <c r="PX1590" i="1"/>
  <c r="PW1590" i="1"/>
  <c r="PV1590" i="1"/>
  <c r="PU1590" i="1"/>
  <c r="PT1590" i="1"/>
  <c r="PS1590" i="1"/>
  <c r="PR1590" i="1"/>
  <c r="PQ1590" i="1"/>
  <c r="PP1590" i="1"/>
  <c r="PO1590" i="1"/>
  <c r="PN1590" i="1"/>
  <c r="PM1590" i="1"/>
  <c r="PL1590" i="1"/>
  <c r="PK1590" i="1"/>
  <c r="PJ1590" i="1"/>
  <c r="PI1590" i="1"/>
  <c r="PH1590" i="1"/>
  <c r="PG1590" i="1"/>
  <c r="PF1590" i="1"/>
  <c r="PE1590" i="1"/>
  <c r="PD1590" i="1"/>
  <c r="PC1590" i="1"/>
  <c r="PB1590" i="1"/>
  <c r="PA1590" i="1"/>
  <c r="OZ1590" i="1"/>
  <c r="OY1590" i="1"/>
  <c r="OX1590" i="1"/>
  <c r="OW1590" i="1"/>
  <c r="OV1590" i="1"/>
  <c r="OU1590" i="1"/>
  <c r="OT1590" i="1"/>
  <c r="OS1590" i="1"/>
  <c r="OR1590" i="1"/>
  <c r="OQ1590" i="1"/>
  <c r="OP1590" i="1"/>
  <c r="OO1590" i="1"/>
  <c r="ON1590" i="1"/>
  <c r="OM1590" i="1"/>
  <c r="OL1590" i="1"/>
  <c r="OK1590" i="1"/>
  <c r="OJ1590" i="1"/>
  <c r="OI1590" i="1"/>
  <c r="OH1590" i="1"/>
  <c r="OG1590" i="1"/>
  <c r="OF1590" i="1"/>
  <c r="OE1590" i="1"/>
  <c r="OD1590" i="1"/>
  <c r="OC1590" i="1"/>
  <c r="OB1590" i="1"/>
  <c r="OA1590" i="1"/>
  <c r="NZ1590" i="1"/>
  <c r="NY1590" i="1"/>
  <c r="NX1590" i="1"/>
  <c r="NW1590" i="1"/>
  <c r="NV1590" i="1"/>
  <c r="NU1590" i="1"/>
  <c r="NT1590" i="1"/>
  <c r="NS1590" i="1"/>
  <c r="NR1590" i="1"/>
  <c r="NQ1590" i="1"/>
  <c r="NP1590" i="1"/>
  <c r="NO1590" i="1"/>
  <c r="NN1590" i="1"/>
  <c r="NM1590" i="1"/>
  <c r="NL1590" i="1"/>
  <c r="NK1590" i="1"/>
  <c r="NJ1590" i="1"/>
  <c r="NI1590" i="1"/>
  <c r="NH1590" i="1"/>
  <c r="NG1590" i="1"/>
  <c r="NF1590" i="1"/>
  <c r="NE1590" i="1"/>
  <c r="ND1590" i="1"/>
  <c r="NC1590" i="1"/>
  <c r="NB1590" i="1"/>
  <c r="NA1590" i="1"/>
  <c r="MZ1590" i="1"/>
  <c r="MY1590" i="1"/>
  <c r="MX1590" i="1"/>
  <c r="MW1590" i="1"/>
  <c r="MV1590" i="1"/>
  <c r="MU1590" i="1"/>
  <c r="MT1590" i="1"/>
  <c r="MS1590" i="1"/>
  <c r="MR1590" i="1"/>
  <c r="MQ1590" i="1"/>
  <c r="MP1590" i="1"/>
  <c r="MO1590" i="1"/>
  <c r="MN1590" i="1"/>
  <c r="MM1590" i="1"/>
  <c r="ML1590" i="1"/>
  <c r="MK1590" i="1"/>
  <c r="MJ1590" i="1"/>
  <c r="MI1590" i="1"/>
  <c r="MH1590" i="1"/>
  <c r="MG1590" i="1"/>
  <c r="MF1590" i="1"/>
  <c r="ME1590" i="1"/>
  <c r="MD1590" i="1"/>
  <c r="MC1590" i="1"/>
  <c r="MB1590" i="1"/>
  <c r="MA1590" i="1"/>
  <c r="LZ1590" i="1"/>
  <c r="LY1590" i="1"/>
  <c r="LX1590" i="1"/>
  <c r="LW1590" i="1"/>
  <c r="LV1590" i="1"/>
  <c r="LU1590" i="1"/>
  <c r="LT1590" i="1"/>
  <c r="LS1590" i="1"/>
  <c r="LR1590" i="1"/>
  <c r="LQ1590" i="1"/>
  <c r="LP1590" i="1"/>
  <c r="LO1590" i="1"/>
  <c r="LN1590" i="1"/>
  <c r="LM1590" i="1"/>
  <c r="LL1590" i="1"/>
  <c r="LK1590" i="1"/>
  <c r="LJ1590" i="1"/>
  <c r="LI1590" i="1"/>
  <c r="LH1590" i="1"/>
  <c r="LG1590" i="1"/>
  <c r="LF1590" i="1"/>
  <c r="LE1590" i="1"/>
  <c r="LD1590" i="1"/>
  <c r="LC1590" i="1"/>
  <c r="LB1590" i="1"/>
  <c r="LA1590" i="1"/>
  <c r="KZ1590" i="1"/>
  <c r="KY1590" i="1"/>
  <c r="KX1590" i="1"/>
  <c r="KW1590" i="1"/>
  <c r="KV1590" i="1"/>
  <c r="KU1590" i="1"/>
  <c r="KT1590" i="1"/>
  <c r="KS1590" i="1"/>
  <c r="KR1590" i="1"/>
  <c r="KQ1590" i="1"/>
  <c r="KP1590" i="1"/>
  <c r="KO1590" i="1"/>
  <c r="KN1590" i="1"/>
  <c r="KM1590" i="1"/>
  <c r="KL1590" i="1"/>
  <c r="KK1590" i="1"/>
  <c r="KJ1590" i="1"/>
  <c r="KI1590" i="1"/>
  <c r="KH1590" i="1"/>
  <c r="KG1590" i="1"/>
  <c r="KF1590" i="1"/>
  <c r="KE1590" i="1"/>
  <c r="KD1590" i="1"/>
  <c r="KC1590" i="1"/>
  <c r="KB1590" i="1"/>
  <c r="KA1590" i="1"/>
  <c r="JZ1590" i="1"/>
  <c r="JY1590" i="1"/>
  <c r="JX1590" i="1"/>
  <c r="JW1590" i="1"/>
  <c r="JV1590" i="1"/>
  <c r="JU1590" i="1"/>
  <c r="JT1590" i="1"/>
  <c r="JS1590" i="1"/>
  <c r="JR1590" i="1"/>
  <c r="JQ1590" i="1"/>
  <c r="JP1590" i="1"/>
  <c r="JO1590" i="1"/>
  <c r="JN1590" i="1"/>
  <c r="JM1590" i="1"/>
  <c r="JL1590" i="1"/>
  <c r="JK1590" i="1"/>
  <c r="JJ1590" i="1"/>
  <c r="JI1590" i="1"/>
  <c r="JH1590" i="1"/>
  <c r="JG1590" i="1"/>
  <c r="JF1590" i="1"/>
  <c r="JE1590" i="1"/>
  <c r="JD1590" i="1"/>
  <c r="JC1590" i="1"/>
  <c r="JB1590" i="1"/>
  <c r="JA1590" i="1"/>
  <c r="IZ1590" i="1"/>
  <c r="IY1590" i="1"/>
  <c r="IX1590" i="1"/>
  <c r="IW1590" i="1"/>
  <c r="IV1590" i="1"/>
  <c r="IU1590" i="1"/>
  <c r="IT1590" i="1"/>
  <c r="IS1590" i="1"/>
  <c r="IR1590" i="1"/>
  <c r="IQ1590" i="1"/>
  <c r="IP1590" i="1"/>
  <c r="IO1590" i="1"/>
  <c r="IN1590" i="1"/>
  <c r="IM1590" i="1"/>
  <c r="IL1590" i="1"/>
  <c r="IK1590" i="1"/>
  <c r="IJ1590" i="1"/>
  <c r="II1590" i="1"/>
  <c r="IH1590" i="1"/>
  <c r="IG1590" i="1"/>
  <c r="IF1590" i="1"/>
  <c r="IE1590" i="1"/>
  <c r="ID1590" i="1"/>
  <c r="IC1590" i="1"/>
  <c r="IB1590" i="1"/>
  <c r="IA1590" i="1"/>
  <c r="HZ1590" i="1"/>
  <c r="HY1590" i="1"/>
  <c r="HX1590" i="1"/>
  <c r="HW1590" i="1"/>
  <c r="HV1590" i="1"/>
  <c r="HU1590" i="1"/>
  <c r="HT1590" i="1"/>
  <c r="HS1590" i="1"/>
  <c r="HR1590" i="1"/>
  <c r="HQ1590" i="1"/>
  <c r="HP1590" i="1"/>
  <c r="HO1590" i="1"/>
  <c r="HN1590" i="1"/>
  <c r="HM1590" i="1"/>
  <c r="HL1590" i="1"/>
  <c r="HK1590" i="1"/>
  <c r="HJ1590" i="1"/>
  <c r="HI1590" i="1"/>
  <c r="HH1590" i="1"/>
  <c r="HG1590" i="1"/>
  <c r="HF1590" i="1"/>
  <c r="HE1590" i="1"/>
  <c r="HD1590" i="1"/>
  <c r="HC1590" i="1"/>
  <c r="HB1590" i="1"/>
  <c r="HA1590" i="1"/>
  <c r="GZ1590" i="1"/>
  <c r="GY1590" i="1"/>
  <c r="GX1590" i="1"/>
  <c r="GW1590" i="1"/>
  <c r="GV1590" i="1"/>
  <c r="GU1590" i="1"/>
  <c r="GT1590" i="1"/>
  <c r="GS1590" i="1"/>
  <c r="GR1590" i="1"/>
  <c r="GQ1590" i="1"/>
  <c r="GP1590" i="1"/>
  <c r="GO1590" i="1"/>
  <c r="GN1590" i="1"/>
  <c r="GM1590" i="1"/>
  <c r="GL1590" i="1"/>
  <c r="GK1590" i="1"/>
  <c r="GJ1590" i="1"/>
  <c r="GI1590" i="1"/>
  <c r="GH1590" i="1"/>
  <c r="GG1590" i="1"/>
  <c r="GF1590" i="1"/>
  <c r="GE1590" i="1"/>
  <c r="GD1590" i="1"/>
  <c r="GC1590" i="1"/>
  <c r="GB1590" i="1"/>
  <c r="GA1590" i="1"/>
  <c r="FZ1590" i="1"/>
  <c r="FY1590" i="1"/>
  <c r="FX1590" i="1"/>
  <c r="FW1590" i="1"/>
  <c r="FV1590" i="1"/>
  <c r="FU1590" i="1"/>
  <c r="FT1590" i="1"/>
  <c r="FS1590" i="1"/>
  <c r="FR1590" i="1"/>
  <c r="FQ1590" i="1"/>
  <c r="FP1590" i="1"/>
  <c r="FO1590" i="1"/>
  <c r="FN1590" i="1"/>
  <c r="FM1590" i="1"/>
  <c r="FL1590" i="1"/>
  <c r="FK1590" i="1"/>
  <c r="FJ1590" i="1"/>
  <c r="FI1590" i="1"/>
  <c r="FH1590" i="1"/>
  <c r="FG1590" i="1"/>
  <c r="FF1590" i="1"/>
  <c r="FE1590" i="1"/>
  <c r="FD1590" i="1"/>
  <c r="FC1590" i="1"/>
  <c r="FB1590" i="1"/>
  <c r="FA1590" i="1"/>
  <c r="EZ1590" i="1"/>
  <c r="EY1590" i="1"/>
  <c r="EX1590" i="1"/>
  <c r="EW1590" i="1"/>
  <c r="EV1590" i="1"/>
  <c r="EU1590" i="1"/>
  <c r="ET1590" i="1"/>
  <c r="ES1590" i="1"/>
  <c r="ER1590" i="1"/>
  <c r="EQ1590" i="1"/>
  <c r="EP1590" i="1"/>
  <c r="EO1590" i="1"/>
  <c r="EN1590" i="1"/>
  <c r="EM1590" i="1"/>
  <c r="EL1590" i="1"/>
  <c r="EK1590" i="1"/>
  <c r="EJ1590" i="1"/>
  <c r="EI1590" i="1"/>
  <c r="EH1590" i="1"/>
  <c r="EG1590" i="1"/>
  <c r="EF1590" i="1"/>
  <c r="EE1590" i="1"/>
  <c r="ED1590" i="1"/>
  <c r="EC1590" i="1"/>
  <c r="EB1590" i="1"/>
  <c r="EA1590" i="1"/>
  <c r="DZ1590" i="1"/>
  <c r="DY1590" i="1"/>
  <c r="DX1590" i="1"/>
  <c r="DW1590" i="1"/>
  <c r="DV1590" i="1"/>
  <c r="DU1590" i="1"/>
  <c r="DT1590" i="1"/>
  <c r="DS1590" i="1"/>
  <c r="DR1590" i="1"/>
  <c r="DQ1590" i="1"/>
  <c r="DP1590" i="1"/>
  <c r="DO1590" i="1"/>
  <c r="DN1590" i="1"/>
  <c r="DM1590" i="1"/>
  <c r="DL1590" i="1"/>
  <c r="DK1590" i="1"/>
  <c r="DJ1590" i="1"/>
  <c r="DI1590" i="1"/>
  <c r="DH1590" i="1"/>
  <c r="DG1590" i="1"/>
  <c r="DF1590" i="1"/>
  <c r="DE1590" i="1"/>
  <c r="DD1590" i="1"/>
  <c r="DC1590" i="1"/>
  <c r="DB1590" i="1"/>
  <c r="DA1590" i="1"/>
  <c r="CZ1590" i="1"/>
  <c r="CY1590" i="1"/>
  <c r="CX1590" i="1"/>
  <c r="CW1590" i="1"/>
  <c r="CV1590" i="1"/>
  <c r="CU1590" i="1"/>
  <c r="CT1590" i="1"/>
  <c r="CS1590" i="1"/>
  <c r="CR1590" i="1"/>
  <c r="CQ1590" i="1"/>
  <c r="CP1590" i="1"/>
  <c r="CO1590" i="1"/>
  <c r="CN1590" i="1"/>
  <c r="CM1590" i="1"/>
  <c r="CL1590" i="1"/>
  <c r="CK1590" i="1"/>
  <c r="CJ1590" i="1"/>
  <c r="CI1590" i="1"/>
  <c r="CH1590" i="1"/>
  <c r="CG1590" i="1"/>
  <c r="CF1590" i="1"/>
  <c r="CE1590" i="1"/>
  <c r="CD1590" i="1"/>
  <c r="CC1590" i="1"/>
  <c r="CB1590" i="1"/>
  <c r="CA1590" i="1"/>
  <c r="BZ1590" i="1"/>
  <c r="BY1590" i="1"/>
  <c r="BX1590" i="1"/>
  <c r="BW1590" i="1"/>
  <c r="BV1590" i="1"/>
  <c r="BU1590" i="1"/>
  <c r="BT1590" i="1"/>
  <c r="BS1590" i="1"/>
  <c r="BR1590" i="1"/>
  <c r="BQ1590" i="1"/>
  <c r="BP1590" i="1"/>
  <c r="BO1590" i="1"/>
  <c r="BN1590" i="1"/>
  <c r="BM1590" i="1"/>
  <c r="BL1590" i="1"/>
  <c r="BK1590" i="1"/>
  <c r="BJ1590" i="1"/>
  <c r="BI1590" i="1"/>
  <c r="BH1590" i="1"/>
  <c r="BG1590" i="1"/>
  <c r="BF1590" i="1"/>
  <c r="BE1590" i="1"/>
  <c r="BD1590" i="1"/>
  <c r="BC1590" i="1"/>
  <c r="BB1590" i="1"/>
  <c r="BA1590" i="1"/>
  <c r="AZ1590" i="1"/>
  <c r="AY1590" i="1"/>
  <c r="AX1590" i="1"/>
  <c r="AW1590" i="1"/>
  <c r="AV1590" i="1"/>
  <c r="AU1590" i="1"/>
  <c r="AT1590" i="1"/>
  <c r="AS1590" i="1"/>
  <c r="AR1590" i="1"/>
  <c r="AQ1590" i="1"/>
  <c r="AP1590" i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E1590" i="1"/>
  <c r="F1590" i="1" s="1"/>
  <c r="F1589" i="1"/>
  <c r="E1589" i="1"/>
  <c r="F1588" i="1"/>
  <c r="E1588" i="1"/>
  <c r="E1586" i="1"/>
  <c r="C1586" i="1"/>
  <c r="F1585" i="1"/>
  <c r="E1585" i="1"/>
  <c r="C1585" i="1"/>
  <c r="E1584" i="1"/>
  <c r="F1584" i="1" s="1"/>
  <c r="C1584" i="1"/>
  <c r="C1583" i="1"/>
  <c r="E1578" i="1"/>
  <c r="C1578" i="1"/>
  <c r="F1576" i="1"/>
  <c r="C1574" i="1"/>
  <c r="C1573" i="1"/>
  <c r="C1572" i="1"/>
  <c r="E1570" i="1"/>
  <c r="F1570" i="1" s="1"/>
  <c r="F1566" i="1"/>
  <c r="E1566" i="1"/>
  <c r="E1565" i="1"/>
  <c r="F1564" i="1"/>
  <c r="E1564" i="1"/>
  <c r="E1576" i="1" s="1"/>
  <c r="C1562" i="1"/>
  <c r="E1561" i="1"/>
  <c r="C1561" i="1"/>
  <c r="F1560" i="1"/>
  <c r="E1560" i="1"/>
  <c r="E1572" i="1" s="1"/>
  <c r="F1572" i="1" s="1"/>
  <c r="C1560" i="1"/>
  <c r="C1559" i="1"/>
  <c r="E1558" i="1"/>
  <c r="F1558" i="1" s="1"/>
  <c r="E1553" i="1"/>
  <c r="F1553" i="1" s="1"/>
  <c r="C1550" i="1"/>
  <c r="C1549" i="1"/>
  <c r="C1548" i="1"/>
  <c r="C1547" i="1"/>
  <c r="F1546" i="1"/>
  <c r="F1541" i="1"/>
  <c r="E1541" i="1"/>
  <c r="C1538" i="1"/>
  <c r="C1537" i="1"/>
  <c r="C1536" i="1"/>
  <c r="C1535" i="1"/>
  <c r="F1534" i="1"/>
  <c r="F1530" i="1"/>
  <c r="E1530" i="1"/>
  <c r="E1542" i="1" s="1"/>
  <c r="F1529" i="1"/>
  <c r="E1528" i="1"/>
  <c r="F1528" i="1" s="1"/>
  <c r="C1526" i="1"/>
  <c r="E1525" i="1"/>
  <c r="C1525" i="1"/>
  <c r="C1524" i="1"/>
  <c r="F1522" i="1"/>
  <c r="E1518" i="1"/>
  <c r="F1518" i="1" s="1"/>
  <c r="E1517" i="1"/>
  <c r="E1529" i="1" s="1"/>
  <c r="F1516" i="1"/>
  <c r="E1516" i="1"/>
  <c r="C1514" i="1"/>
  <c r="E1513" i="1"/>
  <c r="C1513" i="1"/>
  <c r="F1513" i="1" s="1"/>
  <c r="E1512" i="1"/>
  <c r="C1512" i="1"/>
  <c r="E1510" i="1"/>
  <c r="F1510" i="1" s="1"/>
  <c r="E1505" i="1"/>
  <c r="F1505" i="1" s="1"/>
  <c r="F1504" i="1"/>
  <c r="E1504" i="1"/>
  <c r="C1502" i="1"/>
  <c r="F1501" i="1"/>
  <c r="C1501" i="1"/>
  <c r="C1500" i="1"/>
  <c r="F1498" i="1"/>
  <c r="E1495" i="1"/>
  <c r="F1495" i="1" s="1"/>
  <c r="F1494" i="1"/>
  <c r="E1494" i="1"/>
  <c r="F1492" i="1"/>
  <c r="E1492" i="1"/>
  <c r="E1501" i="1" s="1"/>
  <c r="C1491" i="1"/>
  <c r="F1490" i="1"/>
  <c r="E1490" i="1"/>
  <c r="E1500" i="1" s="1"/>
  <c r="F1500" i="1" s="1"/>
  <c r="C1490" i="1"/>
  <c r="F1489" i="1"/>
  <c r="E1489" i="1"/>
  <c r="E1484" i="1"/>
  <c r="F1483" i="1"/>
  <c r="E1483" i="1"/>
  <c r="F1482" i="1"/>
  <c r="E1482" i="1"/>
  <c r="C1480" i="1"/>
  <c r="E1479" i="1"/>
  <c r="C1479" i="1"/>
  <c r="F1479" i="1" s="1"/>
  <c r="F1478" i="1"/>
  <c r="E1478" i="1"/>
  <c r="C1478" i="1"/>
  <c r="C1477" i="1"/>
  <c r="F1476" i="1"/>
  <c r="E1476" i="1"/>
  <c r="E1472" i="1"/>
  <c r="E1460" i="1" s="1"/>
  <c r="F1460" i="1" s="1"/>
  <c r="C1472" i="1"/>
  <c r="E1471" i="1"/>
  <c r="E1470" i="1"/>
  <c r="F1470" i="1" s="1"/>
  <c r="C1468" i="1"/>
  <c r="E1467" i="1"/>
  <c r="F1467" i="1" s="1"/>
  <c r="C1467" i="1"/>
  <c r="E1466" i="1"/>
  <c r="C1466" i="1"/>
  <c r="C1465" i="1"/>
  <c r="E1464" i="1"/>
  <c r="F1464" i="1" s="1"/>
  <c r="E1458" i="1"/>
  <c r="F1458" i="1" s="1"/>
  <c r="C1456" i="1"/>
  <c r="C1455" i="1"/>
  <c r="E1454" i="1"/>
  <c r="F1454" i="1" s="1"/>
  <c r="C1454" i="1"/>
  <c r="C1453" i="1"/>
  <c r="F1452" i="1"/>
  <c r="F1448" i="1"/>
  <c r="F1447" i="1"/>
  <c r="F1446" i="1"/>
  <c r="E1445" i="1" s="1"/>
  <c r="F1445" i="1" s="1"/>
  <c r="F1443" i="1"/>
  <c r="E1443" i="1"/>
  <c r="E1442" i="1"/>
  <c r="F1442" i="1" s="1"/>
  <c r="C1442" i="1"/>
  <c r="F1441" i="1"/>
  <c r="C1441" i="1"/>
  <c r="F1440" i="1"/>
  <c r="F1436" i="1"/>
  <c r="F1435" i="1"/>
  <c r="E1434" i="1" s="1"/>
  <c r="F1434" i="1"/>
  <c r="E1432" i="1"/>
  <c r="F1432" i="1" s="1"/>
  <c r="E1431" i="1"/>
  <c r="C1431" i="1"/>
  <c r="F1431" i="1" s="1"/>
  <c r="C1430" i="1"/>
  <c r="E1429" i="1"/>
  <c r="C1429" i="1"/>
  <c r="F1429" i="1" s="1"/>
  <c r="F1424" i="1"/>
  <c r="F1423" i="1"/>
  <c r="E1422" i="1"/>
  <c r="F1422" i="1" s="1"/>
  <c r="E1420" i="1"/>
  <c r="E1419" i="1"/>
  <c r="F1419" i="1" s="1"/>
  <c r="F1418" i="1"/>
  <c r="E1418" i="1"/>
  <c r="E1441" i="1" s="1"/>
  <c r="E1414" i="1"/>
  <c r="F1414" i="1" s="1"/>
  <c r="E1413" i="1"/>
  <c r="F1413" i="1" s="1"/>
  <c r="F1412" i="1"/>
  <c r="E1411" i="1" s="1"/>
  <c r="F1411" i="1"/>
  <c r="E1409" i="1"/>
  <c r="F1409" i="1" s="1"/>
  <c r="F1408" i="1"/>
  <c r="E1408" i="1"/>
  <c r="F1403" i="1"/>
  <c r="E1403" i="1"/>
  <c r="E1402" i="1"/>
  <c r="F1402" i="1" s="1"/>
  <c r="E1401" i="1"/>
  <c r="F1401" i="1" s="1"/>
  <c r="F1400" i="1"/>
  <c r="E1400" i="1"/>
  <c r="E1398" i="1"/>
  <c r="F1398" i="1" s="1"/>
  <c r="F1396" i="1"/>
  <c r="E1396" i="1"/>
  <c r="E1721" i="1" s="1"/>
  <c r="F1721" i="1" s="1"/>
  <c r="F1392" i="1"/>
  <c r="E1392" i="1"/>
  <c r="F1391" i="1"/>
  <c r="E1390" i="1"/>
  <c r="F1390" i="1" s="1"/>
  <c r="E1389" i="1"/>
  <c r="F1389" i="1" s="1"/>
  <c r="F1387" i="1"/>
  <c r="E1387" i="1"/>
  <c r="F1386" i="1"/>
  <c r="E1386" i="1"/>
  <c r="C1386" i="1"/>
  <c r="E1385" i="1"/>
  <c r="F1385" i="1" s="1"/>
  <c r="F1383" i="1"/>
  <c r="A1383" i="1"/>
  <c r="F1380" i="1"/>
  <c r="E1380" i="1"/>
  <c r="F1379" i="1"/>
  <c r="E1379" i="1"/>
  <c r="E1378" i="1"/>
  <c r="F1378" i="1" s="1"/>
  <c r="E1377" i="1"/>
  <c r="F1377" i="1" s="1"/>
  <c r="E1375" i="1"/>
  <c r="F1375" i="1" s="1"/>
  <c r="E1374" i="1"/>
  <c r="F1374" i="1" s="1"/>
  <c r="C1374" i="1"/>
  <c r="F1373" i="1"/>
  <c r="E1373" i="1"/>
  <c r="F1371" i="1"/>
  <c r="E1371" i="1"/>
  <c r="E1368" i="1"/>
  <c r="F1368" i="1" s="1"/>
  <c r="F1365" i="1"/>
  <c r="F1364" i="1"/>
  <c r="F1359" i="1"/>
  <c r="E1367" i="1" s="1"/>
  <c r="F1367" i="1" s="1"/>
  <c r="E1359" i="1"/>
  <c r="E1357" i="1"/>
  <c r="F1356" i="1"/>
  <c r="E1355" i="1"/>
  <c r="F1355" i="1" s="1"/>
  <c r="F1350" i="1"/>
  <c r="E1349" i="1"/>
  <c r="F1349" i="1" s="1"/>
  <c r="E1348" i="1"/>
  <c r="F1348" i="1" s="1"/>
  <c r="F1347" i="1"/>
  <c r="E1346" i="1"/>
  <c r="F1346" i="1" s="1"/>
  <c r="C1336" i="1"/>
  <c r="F1333" i="1"/>
  <c r="E1329" i="1"/>
  <c r="E1328" i="1"/>
  <c r="E1327" i="1"/>
  <c r="E1324" i="1"/>
  <c r="E1336" i="1" s="1"/>
  <c r="F1336" i="1" s="1"/>
  <c r="C1324" i="1"/>
  <c r="E1323" i="1"/>
  <c r="F1321" i="1"/>
  <c r="E1321" i="1"/>
  <c r="F1317" i="1"/>
  <c r="F1316" i="1"/>
  <c r="F1315" i="1"/>
  <c r="E1315" i="1"/>
  <c r="C1312" i="1"/>
  <c r="E1311" i="1"/>
  <c r="F1311" i="1" s="1"/>
  <c r="F1309" i="1"/>
  <c r="E1305" i="1"/>
  <c r="F1305" i="1" s="1"/>
  <c r="E1304" i="1"/>
  <c r="F1304" i="1" s="1"/>
  <c r="F1303" i="1"/>
  <c r="E1303" i="1"/>
  <c r="E1301" i="1"/>
  <c r="F1301" i="1" s="1"/>
  <c r="E1300" i="1"/>
  <c r="E1312" i="1" s="1"/>
  <c r="F1312" i="1" s="1"/>
  <c r="C1300" i="1"/>
  <c r="F1299" i="1"/>
  <c r="E1299" i="1"/>
  <c r="F1297" i="1"/>
  <c r="E1297" i="1"/>
  <c r="E1294" i="1"/>
  <c r="F1294" i="1" s="1"/>
  <c r="F1293" i="1"/>
  <c r="F1292" i="1"/>
  <c r="C1289" i="1"/>
  <c r="F1287" i="1"/>
  <c r="E1287" i="1"/>
  <c r="F1285" i="1"/>
  <c r="E1281" i="1"/>
  <c r="F1281" i="1" s="1"/>
  <c r="F1280" i="1"/>
  <c r="C1280" i="1"/>
  <c r="F1279" i="1"/>
  <c r="F1278" i="1"/>
  <c r="F1275" i="1"/>
  <c r="E1275" i="1"/>
  <c r="D1275" i="1"/>
  <c r="C1275" i="1"/>
  <c r="E1273" i="1"/>
  <c r="F1273" i="1" s="1"/>
  <c r="F1271" i="1"/>
  <c r="F1267" i="1"/>
  <c r="F1266" i="1"/>
  <c r="F1259" i="1"/>
  <c r="F1255" i="1"/>
  <c r="F1247" i="1"/>
  <c r="F1243" i="1"/>
  <c r="E1242" i="1"/>
  <c r="F1242" i="1" s="1"/>
  <c r="E1234" i="1"/>
  <c r="F1234" i="1" s="1"/>
  <c r="E1229" i="1"/>
  <c r="F1229" i="1" s="1"/>
  <c r="E1228" i="1"/>
  <c r="F1222" i="1"/>
  <c r="E1218" i="1"/>
  <c r="F1218" i="1" s="1"/>
  <c r="F1217" i="1"/>
  <c r="E1217" i="1"/>
  <c r="F1216" i="1"/>
  <c r="F1215" i="1"/>
  <c r="E1215" i="1"/>
  <c r="E1214" i="1"/>
  <c r="F1214" i="1" s="1"/>
  <c r="I1213" i="1"/>
  <c r="E1212" i="1"/>
  <c r="E1210" i="1"/>
  <c r="E1208" i="1"/>
  <c r="E1204" i="1"/>
  <c r="F1204" i="1" s="1"/>
  <c r="F1203" i="1"/>
  <c r="E1203" i="1"/>
  <c r="E1202" i="1"/>
  <c r="F1202" i="1" s="1"/>
  <c r="F1201" i="1"/>
  <c r="E1201" i="1"/>
  <c r="E1199" i="1"/>
  <c r="F1199" i="1" s="1"/>
  <c r="E1197" i="1"/>
  <c r="F1197" i="1" s="1"/>
  <c r="F1195" i="1"/>
  <c r="F1191" i="1"/>
  <c r="E1191" i="1"/>
  <c r="E1190" i="1"/>
  <c r="F1190" i="1" s="1"/>
  <c r="F1189" i="1"/>
  <c r="E1189" i="1"/>
  <c r="E1182" i="1"/>
  <c r="E1177" i="1"/>
  <c r="F1177" i="1" s="1"/>
  <c r="F1170" i="1"/>
  <c r="F1165" i="1"/>
  <c r="E1165" i="1"/>
  <c r="F1158" i="1"/>
  <c r="F1153" i="1"/>
  <c r="E1153" i="1"/>
  <c r="E1152" i="1"/>
  <c r="F1152" i="1" s="1"/>
  <c r="E1150" i="1"/>
  <c r="F1150" i="1" s="1"/>
  <c r="F1146" i="1"/>
  <c r="E1142" i="1"/>
  <c r="E1154" i="1" s="1"/>
  <c r="F1141" i="1"/>
  <c r="E1141" i="1"/>
  <c r="F1140" i="1"/>
  <c r="E1140" i="1"/>
  <c r="F1139" i="1"/>
  <c r="E1139" i="1"/>
  <c r="F1137" i="1"/>
  <c r="E1137" i="1"/>
  <c r="F1135" i="1"/>
  <c r="E1135" i="1"/>
  <c r="E1148" i="1" s="1"/>
  <c r="F1133" i="1"/>
  <c r="F1127" i="1"/>
  <c r="E1127" i="1"/>
  <c r="F1125" i="1"/>
  <c r="E1123" i="1"/>
  <c r="F1123" i="1" s="1"/>
  <c r="E1122" i="1"/>
  <c r="F1122" i="1" s="1"/>
  <c r="E1126" i="1" s="1"/>
  <c r="F1126" i="1" s="1"/>
  <c r="E1121" i="1"/>
  <c r="F1121" i="1" s="1"/>
  <c r="C1121" i="1"/>
  <c r="F1120" i="1"/>
  <c r="E1120" i="1"/>
  <c r="F1119" i="1"/>
  <c r="E1119" i="1"/>
  <c r="E1115" i="1"/>
  <c r="F1115" i="1" s="1"/>
  <c r="F1113" i="1"/>
  <c r="C1113" i="1"/>
  <c r="E1110" i="1"/>
  <c r="F1110" i="1" s="1"/>
  <c r="E1109" i="1"/>
  <c r="F1109" i="1" s="1"/>
  <c r="F1108" i="1"/>
  <c r="E1108" i="1"/>
  <c r="F1107" i="1"/>
  <c r="E1107" i="1"/>
  <c r="F1103" i="1"/>
  <c r="E1102" i="1"/>
  <c r="F1102" i="1" s="1"/>
  <c r="F1101" i="1"/>
  <c r="E1101" i="1"/>
  <c r="E1100" i="1"/>
  <c r="F1100" i="1" s="1"/>
  <c r="F1096" i="1"/>
  <c r="E1096" i="1"/>
  <c r="F1095" i="1"/>
  <c r="E1095" i="1"/>
  <c r="E1094" i="1"/>
  <c r="F1094" i="1" s="1"/>
  <c r="E1093" i="1"/>
  <c r="C1093" i="1"/>
  <c r="F1089" i="1"/>
  <c r="F1088" i="1"/>
  <c r="E1088" i="1"/>
  <c r="F1087" i="1"/>
  <c r="E1087" i="1"/>
  <c r="F1086" i="1"/>
  <c r="E1086" i="1"/>
  <c r="F1082" i="1"/>
  <c r="E1082" i="1"/>
  <c r="F1080" i="1"/>
  <c r="E1080" i="1"/>
  <c r="I1077" i="1"/>
  <c r="I1078" i="1" s="1"/>
  <c r="F1077" i="1"/>
  <c r="F1076" i="1"/>
  <c r="F1075" i="1"/>
  <c r="E1075" i="1"/>
  <c r="J1072" i="1"/>
  <c r="I1072" i="1"/>
  <c r="F1072" i="1"/>
  <c r="J1071" i="1"/>
  <c r="F1068" i="1"/>
  <c r="E1068" i="1"/>
  <c r="F1067" i="1"/>
  <c r="E1067" i="1"/>
  <c r="F1066" i="1"/>
  <c r="E1064" i="1"/>
  <c r="F1064" i="1" s="1"/>
  <c r="E1065" i="1" s="1"/>
  <c r="F1065" i="1" s="1"/>
  <c r="F1063" i="1"/>
  <c r="F1053" i="1"/>
  <c r="E1052" i="1" s="1"/>
  <c r="F1052" i="1" s="1"/>
  <c r="E1050" i="1"/>
  <c r="C1050" i="1"/>
  <c r="F1050" i="1" s="1"/>
  <c r="E1049" i="1"/>
  <c r="F1049" i="1" s="1"/>
  <c r="F1048" i="1"/>
  <c r="E1048" i="1"/>
  <c r="C1048" i="1"/>
  <c r="E1043" i="1"/>
  <c r="F1043" i="1" s="1"/>
  <c r="E1044" i="1" s="1"/>
  <c r="F1044" i="1" s="1"/>
  <c r="C1043" i="1"/>
  <c r="E1041" i="1"/>
  <c r="C1041" i="1"/>
  <c r="F1041" i="1" s="1"/>
  <c r="C1040" i="1"/>
  <c r="E1036" i="1"/>
  <c r="F1036" i="1" s="1"/>
  <c r="E1035" i="1" s="1"/>
  <c r="F1035" i="1" s="1"/>
  <c r="F1033" i="1"/>
  <c r="E1033" i="1"/>
  <c r="F1032" i="1"/>
  <c r="E1032" i="1"/>
  <c r="F1031" i="1"/>
  <c r="E1031" i="1"/>
  <c r="F1027" i="1"/>
  <c r="E1026" i="1" s="1"/>
  <c r="F1026" i="1" s="1"/>
  <c r="E1027" i="1"/>
  <c r="E1025" i="1"/>
  <c r="F1025" i="1" s="1"/>
  <c r="F1024" i="1"/>
  <c r="E1024" i="1"/>
  <c r="F1023" i="1"/>
  <c r="E1023" i="1"/>
  <c r="E1022" i="1"/>
  <c r="F1022" i="1" s="1"/>
  <c r="C1016" i="1"/>
  <c r="C1015" i="1"/>
  <c r="A1013" i="1"/>
  <c r="E1011" i="1"/>
  <c r="F1011" i="1" s="1"/>
  <c r="E1009" i="1"/>
  <c r="F1009" i="1" s="1"/>
  <c r="C1008" i="1"/>
  <c r="F1004" i="1"/>
  <c r="E1004" i="1"/>
  <c r="E1003" i="1"/>
  <c r="F1003" i="1" s="1"/>
  <c r="F1001" i="1"/>
  <c r="E1001" i="1"/>
  <c r="C1000" i="1"/>
  <c r="E996" i="1"/>
  <c r="F996" i="1" s="1"/>
  <c r="E995" i="1"/>
  <c r="F995" i="1" s="1"/>
  <c r="E993" i="1"/>
  <c r="F993" i="1" s="1"/>
  <c r="E988" i="1"/>
  <c r="F988" i="1" s="1"/>
  <c r="F987" i="1"/>
  <c r="E987" i="1"/>
  <c r="E985" i="1"/>
  <c r="F985" i="1" s="1"/>
  <c r="E981" i="1"/>
  <c r="F981" i="1" s="1"/>
  <c r="E980" i="1"/>
  <c r="C980" i="1"/>
  <c r="E978" i="1"/>
  <c r="F978" i="1" s="1"/>
  <c r="A976" i="1"/>
  <c r="F974" i="1"/>
  <c r="E974" i="1"/>
  <c r="F973" i="1"/>
  <c r="E973" i="1"/>
  <c r="C973" i="1"/>
  <c r="F971" i="1"/>
  <c r="E971" i="1"/>
  <c r="C970" i="1"/>
  <c r="F966" i="1"/>
  <c r="E966" i="1"/>
  <c r="E965" i="1"/>
  <c r="C965" i="1"/>
  <c r="F965" i="1" s="1"/>
  <c r="F963" i="1"/>
  <c r="E963" i="1"/>
  <c r="C962" i="1"/>
  <c r="F958" i="1"/>
  <c r="E958" i="1"/>
  <c r="F957" i="1"/>
  <c r="E957" i="1"/>
  <c r="C957" i="1"/>
  <c r="E955" i="1"/>
  <c r="F955" i="1" s="1"/>
  <c r="C954" i="1"/>
  <c r="E950" i="1"/>
  <c r="F950" i="1" s="1"/>
  <c r="E948" i="1"/>
  <c r="F948" i="1" s="1"/>
  <c r="E949" i="1" s="1"/>
  <c r="F949" i="1" s="1"/>
  <c r="E946" i="1"/>
  <c r="F946" i="1" s="1"/>
  <c r="E944" i="1"/>
  <c r="C944" i="1"/>
  <c r="F944" i="1" s="1"/>
  <c r="E943" i="1"/>
  <c r="F943" i="1" s="1"/>
  <c r="C943" i="1"/>
  <c r="F939" i="1"/>
  <c r="E939" i="1"/>
  <c r="F937" i="1"/>
  <c r="E938" i="1" s="1"/>
  <c r="F938" i="1" s="1"/>
  <c r="E937" i="1"/>
  <c r="E935" i="1"/>
  <c r="F935" i="1" s="1"/>
  <c r="F930" i="1"/>
  <c r="E930" i="1"/>
  <c r="E928" i="1"/>
  <c r="F928" i="1" s="1"/>
  <c r="E929" i="1" s="1"/>
  <c r="F929" i="1" s="1"/>
  <c r="E926" i="1"/>
  <c r="F926" i="1" s="1"/>
  <c r="E921" i="1"/>
  <c r="F921" i="1" s="1"/>
  <c r="F920" i="1"/>
  <c r="E919" i="1"/>
  <c r="F919" i="1" s="1"/>
  <c r="E920" i="1" s="1"/>
  <c r="F917" i="1"/>
  <c r="E917" i="1"/>
  <c r="E912" i="1"/>
  <c r="F912" i="1" s="1"/>
  <c r="E911" i="1"/>
  <c r="F911" i="1" s="1"/>
  <c r="E910" i="1"/>
  <c r="F910" i="1" s="1"/>
  <c r="F908" i="1"/>
  <c r="E908" i="1"/>
  <c r="E903" i="1"/>
  <c r="F903" i="1" s="1"/>
  <c r="F902" i="1"/>
  <c r="F901" i="1"/>
  <c r="E902" i="1" s="1"/>
  <c r="E901" i="1"/>
  <c r="E899" i="1"/>
  <c r="F899" i="1" s="1"/>
  <c r="C899" i="1"/>
  <c r="F894" i="1"/>
  <c r="E894" i="1"/>
  <c r="E892" i="1"/>
  <c r="F892" i="1" s="1"/>
  <c r="E893" i="1" s="1"/>
  <c r="F893" i="1" s="1"/>
  <c r="E890" i="1"/>
  <c r="F890" i="1" s="1"/>
  <c r="F886" i="1"/>
  <c r="E886" i="1"/>
  <c r="E884" i="1"/>
  <c r="F884" i="1" s="1"/>
  <c r="E879" i="1"/>
  <c r="F879" i="1" s="1"/>
  <c r="F877" i="1"/>
  <c r="E877" i="1"/>
  <c r="F863" i="1"/>
  <c r="F862" i="1"/>
  <c r="C862" i="1"/>
  <c r="F861" i="1"/>
  <c r="C860" i="1"/>
  <c r="C859" i="1"/>
  <c r="C858" i="1"/>
  <c r="C857" i="1"/>
  <c r="E856" i="1"/>
  <c r="F856" i="1" s="1"/>
  <c r="E855" i="1"/>
  <c r="C855" i="1"/>
  <c r="C856" i="1" s="1"/>
  <c r="F851" i="1"/>
  <c r="F850" i="1"/>
  <c r="F849" i="1"/>
  <c r="F848" i="1"/>
  <c r="F847" i="1"/>
  <c r="C846" i="1"/>
  <c r="C845" i="1"/>
  <c r="C843" i="1"/>
  <c r="C844" i="1" s="1"/>
  <c r="E842" i="1"/>
  <c r="C842" i="1"/>
  <c r="F842" i="1" s="1"/>
  <c r="F841" i="1"/>
  <c r="E841" i="1"/>
  <c r="C841" i="1"/>
  <c r="F837" i="1"/>
  <c r="C836" i="1"/>
  <c r="F836" i="1" s="1"/>
  <c r="F835" i="1"/>
  <c r="C834" i="1"/>
  <c r="C833" i="1"/>
  <c r="C831" i="1"/>
  <c r="C832" i="1" s="1"/>
  <c r="F830" i="1"/>
  <c r="E830" i="1"/>
  <c r="C830" i="1"/>
  <c r="F829" i="1"/>
  <c r="E829" i="1"/>
  <c r="C829" i="1"/>
  <c r="F823" i="1"/>
  <c r="C822" i="1"/>
  <c r="F822" i="1" s="1"/>
  <c r="C820" i="1"/>
  <c r="C819" i="1"/>
  <c r="C818" i="1"/>
  <c r="E817" i="1"/>
  <c r="F816" i="1"/>
  <c r="E816" i="1"/>
  <c r="C816" i="1"/>
  <c r="C817" i="1" s="1"/>
  <c r="F817" i="1" s="1"/>
  <c r="F812" i="1"/>
  <c r="F811" i="1"/>
  <c r="C811" i="1"/>
  <c r="C810" i="1"/>
  <c r="C809" i="1"/>
  <c r="C808" i="1"/>
  <c r="C807" i="1"/>
  <c r="E806" i="1"/>
  <c r="C806" i="1"/>
  <c r="F806" i="1" s="1"/>
  <c r="F805" i="1"/>
  <c r="E805" i="1"/>
  <c r="C805" i="1"/>
  <c r="E801" i="1"/>
  <c r="F801" i="1" s="1"/>
  <c r="E800" i="1"/>
  <c r="F800" i="1" s="1"/>
  <c r="F799" i="1"/>
  <c r="F798" i="1"/>
  <c r="E796" i="1"/>
  <c r="E795" i="1"/>
  <c r="E792" i="1"/>
  <c r="F792" i="1" s="1"/>
  <c r="F788" i="1"/>
  <c r="E787" i="1"/>
  <c r="F787" i="1" s="1"/>
  <c r="F786" i="1"/>
  <c r="F785" i="1"/>
  <c r="E783" i="1"/>
  <c r="F783" i="1" s="1"/>
  <c r="E782" i="1"/>
  <c r="C782" i="1"/>
  <c r="F781" i="1"/>
  <c r="E781" i="1"/>
  <c r="C781" i="1"/>
  <c r="C780" i="1"/>
  <c r="J779" i="1"/>
  <c r="C779" i="1"/>
  <c r="F778" i="1"/>
  <c r="E778" i="1"/>
  <c r="C778" i="1"/>
  <c r="E775" i="1"/>
  <c r="F775" i="1" s="1"/>
  <c r="F773" i="1"/>
  <c r="E772" i="1"/>
  <c r="F772" i="1" s="1"/>
  <c r="E770" i="1"/>
  <c r="E769" i="1"/>
  <c r="C769" i="1"/>
  <c r="C770" i="1" s="1"/>
  <c r="C768" i="1"/>
  <c r="F766" i="1"/>
  <c r="E766" i="1"/>
  <c r="E763" i="1"/>
  <c r="F763" i="1" s="1"/>
  <c r="E762" i="1"/>
  <c r="E774" i="1" s="1"/>
  <c r="F774" i="1" s="1"/>
  <c r="F761" i="1"/>
  <c r="E760" i="1"/>
  <c r="F760" i="1" s="1"/>
  <c r="F758" i="1"/>
  <c r="E758" i="1"/>
  <c r="C758" i="1"/>
  <c r="E757" i="1"/>
  <c r="F757" i="1" s="1"/>
  <c r="C756" i="1"/>
  <c r="F754" i="1"/>
  <c r="E754" i="1"/>
  <c r="E751" i="1"/>
  <c r="F751" i="1" s="1"/>
  <c r="F750" i="1"/>
  <c r="F749" i="1"/>
  <c r="F747" i="1"/>
  <c r="E747" i="1"/>
  <c r="C747" i="1"/>
  <c r="E746" i="1"/>
  <c r="F746" i="1" s="1"/>
  <c r="C745" i="1"/>
  <c r="F743" i="1"/>
  <c r="E743" i="1"/>
  <c r="E739" i="1"/>
  <c r="F739" i="1" s="1"/>
  <c r="E738" i="1"/>
  <c r="F738" i="1" s="1"/>
  <c r="F737" i="1"/>
  <c r="F736" i="1"/>
  <c r="E734" i="1"/>
  <c r="E733" i="1"/>
  <c r="C733" i="1"/>
  <c r="C731" i="1"/>
  <c r="E730" i="1"/>
  <c r="F730" i="1" s="1"/>
  <c r="F726" i="1"/>
  <c r="E726" i="1"/>
  <c r="E725" i="1"/>
  <c r="F725" i="1" s="1"/>
  <c r="F724" i="1"/>
  <c r="F723" i="1"/>
  <c r="E721" i="1"/>
  <c r="C721" i="1"/>
  <c r="F721" i="1" s="1"/>
  <c r="F720" i="1"/>
  <c r="E720" i="1"/>
  <c r="C719" i="1"/>
  <c r="C732" i="1" s="1"/>
  <c r="C718" i="1"/>
  <c r="E717" i="1"/>
  <c r="F717" i="1" s="1"/>
  <c r="F714" i="1"/>
  <c r="E714" i="1"/>
  <c r="F713" i="1"/>
  <c r="F712" i="1"/>
  <c r="F710" i="1"/>
  <c r="E710" i="1"/>
  <c r="C710" i="1"/>
  <c r="E709" i="1"/>
  <c r="F709" i="1" s="1"/>
  <c r="C708" i="1"/>
  <c r="E706" i="1"/>
  <c r="F706" i="1" s="1"/>
  <c r="E703" i="1"/>
  <c r="F703" i="1" s="1"/>
  <c r="F702" i="1"/>
  <c r="F701" i="1"/>
  <c r="E699" i="1"/>
  <c r="F699" i="1" s="1"/>
  <c r="C699" i="1"/>
  <c r="F698" i="1"/>
  <c r="E698" i="1"/>
  <c r="C698" i="1"/>
  <c r="F695" i="1"/>
  <c r="E695" i="1"/>
  <c r="F692" i="1"/>
  <c r="E692" i="1"/>
  <c r="F691" i="1"/>
  <c r="F690" i="1"/>
  <c r="E688" i="1"/>
  <c r="F688" i="1" s="1"/>
  <c r="C688" i="1"/>
  <c r="E687" i="1"/>
  <c r="F687" i="1" s="1"/>
  <c r="C687" i="1"/>
  <c r="E684" i="1"/>
  <c r="F684" i="1" s="1"/>
  <c r="F681" i="1"/>
  <c r="E681" i="1"/>
  <c r="F680" i="1"/>
  <c r="F679" i="1"/>
  <c r="E677" i="1"/>
  <c r="E676" i="1"/>
  <c r="C676" i="1"/>
  <c r="C677" i="1" s="1"/>
  <c r="E673" i="1"/>
  <c r="F673" i="1" s="1"/>
  <c r="E664" i="1"/>
  <c r="C664" i="1"/>
  <c r="C663" i="1"/>
  <c r="C662" i="1"/>
  <c r="C661" i="1"/>
  <c r="C659" i="1"/>
  <c r="F659" i="1" s="1"/>
  <c r="F658" i="1"/>
  <c r="C658" i="1"/>
  <c r="F657" i="1"/>
  <c r="E657" i="1"/>
  <c r="F653" i="1"/>
  <c r="E652" i="1"/>
  <c r="F652" i="1" s="1"/>
  <c r="E651" i="1"/>
  <c r="F651" i="1" s="1"/>
  <c r="F650" i="1"/>
  <c r="E650" i="1"/>
  <c r="F648" i="1"/>
  <c r="E648" i="1"/>
  <c r="C647" i="1"/>
  <c r="F647" i="1" s="1"/>
  <c r="E646" i="1"/>
  <c r="F646" i="1" s="1"/>
  <c r="F642" i="1"/>
  <c r="D642" i="1"/>
  <c r="C642" i="1"/>
  <c r="F641" i="1"/>
  <c r="C641" i="1"/>
  <c r="E640" i="1"/>
  <c r="C640" i="1"/>
  <c r="F639" i="1"/>
  <c r="E639" i="1"/>
  <c r="C638" i="1"/>
  <c r="F637" i="1"/>
  <c r="E637" i="1"/>
  <c r="F636" i="1"/>
  <c r="E634" i="1"/>
  <c r="E633" i="1"/>
  <c r="F633" i="1" s="1"/>
  <c r="E632" i="1"/>
  <c r="F632" i="1" s="1"/>
  <c r="F631" i="1"/>
  <c r="E631" i="1"/>
  <c r="C631" i="1"/>
  <c r="C634" i="1" s="1"/>
  <c r="E630" i="1"/>
  <c r="F630" i="1" s="1"/>
  <c r="C630" i="1"/>
  <c r="E625" i="1"/>
  <c r="F625" i="1" s="1"/>
  <c r="E624" i="1"/>
  <c r="C624" i="1"/>
  <c r="F624" i="1" s="1"/>
  <c r="F623" i="1"/>
  <c r="E623" i="1"/>
  <c r="E621" i="1"/>
  <c r="F621" i="1" s="1"/>
  <c r="C621" i="1"/>
  <c r="F620" i="1"/>
  <c r="E620" i="1"/>
  <c r="E636" i="1" s="1"/>
  <c r="F618" i="1"/>
  <c r="E618" i="1"/>
  <c r="E617" i="1"/>
  <c r="F617" i="1" s="1"/>
  <c r="F616" i="1"/>
  <c r="E616" i="1"/>
  <c r="C616" i="1"/>
  <c r="E615" i="1"/>
  <c r="F615" i="1" s="1"/>
  <c r="C615" i="1"/>
  <c r="C618" i="1" s="1"/>
  <c r="E614" i="1"/>
  <c r="C614" i="1"/>
  <c r="E610" i="1"/>
  <c r="F610" i="1" s="1"/>
  <c r="F609" i="1"/>
  <c r="E609" i="1"/>
  <c r="F607" i="1"/>
  <c r="E607" i="1"/>
  <c r="F605" i="1"/>
  <c r="E605" i="1"/>
  <c r="C605" i="1"/>
  <c r="F604" i="1"/>
  <c r="E604" i="1"/>
  <c r="C604" i="1"/>
  <c r="F603" i="1"/>
  <c r="E603" i="1"/>
  <c r="E602" i="1"/>
  <c r="F602" i="1" s="1"/>
  <c r="E606" i="1" s="1"/>
  <c r="F606" i="1" s="1"/>
  <c r="C602" i="1"/>
  <c r="G611" i="1" s="1"/>
  <c r="F599" i="1"/>
  <c r="F598" i="1"/>
  <c r="E598" i="1"/>
  <c r="C598" i="1"/>
  <c r="E597" i="1"/>
  <c r="E595" i="1"/>
  <c r="C595" i="1"/>
  <c r="E594" i="1"/>
  <c r="F594" i="1" s="1"/>
  <c r="C593" i="1"/>
  <c r="F592" i="1"/>
  <c r="E592" i="1"/>
  <c r="F589" i="1"/>
  <c r="E589" i="1"/>
  <c r="E599" i="1" s="1"/>
  <c r="E588" i="1"/>
  <c r="F587" i="1"/>
  <c r="E587" i="1"/>
  <c r="C587" i="1"/>
  <c r="F585" i="1"/>
  <c r="E586" i="1" s="1"/>
  <c r="F586" i="1" s="1"/>
  <c r="E585" i="1"/>
  <c r="F584" i="1"/>
  <c r="E584" i="1"/>
  <c r="C584" i="1"/>
  <c r="C585" i="1" s="1"/>
  <c r="F583" i="1"/>
  <c r="E583" i="1"/>
  <c r="E593" i="1" s="1"/>
  <c r="F593" i="1" s="1"/>
  <c r="E582" i="1"/>
  <c r="F582" i="1" s="1"/>
  <c r="F579" i="1"/>
  <c r="E579" i="1"/>
  <c r="C578" i="1"/>
  <c r="F578" i="1" s="1"/>
  <c r="F577" i="1"/>
  <c r="E577" i="1"/>
  <c r="C577" i="1"/>
  <c r="E575" i="1"/>
  <c r="C575" i="1"/>
  <c r="F575" i="1" s="1"/>
  <c r="F574" i="1"/>
  <c r="E574" i="1"/>
  <c r="E573" i="1"/>
  <c r="C573" i="1"/>
  <c r="E572" i="1"/>
  <c r="F572" i="1" s="1"/>
  <c r="E568" i="1"/>
  <c r="C568" i="1"/>
  <c r="F568" i="1" s="1"/>
  <c r="E566" i="1"/>
  <c r="E564" i="1"/>
  <c r="E563" i="1"/>
  <c r="C563" i="1"/>
  <c r="C564" i="1" s="1"/>
  <c r="F564" i="1" s="1"/>
  <c r="E562" i="1"/>
  <c r="C562" i="1"/>
  <c r="J559" i="1"/>
  <c r="E557" i="1"/>
  <c r="E556" i="1"/>
  <c r="E555" i="1"/>
  <c r="E554" i="1"/>
  <c r="E553" i="1"/>
  <c r="E552" i="1"/>
  <c r="C552" i="1"/>
  <c r="F552" i="1" s="1"/>
  <c r="C550" i="1"/>
  <c r="C554" i="1" s="1"/>
  <c r="F554" i="1" s="1"/>
  <c r="C549" i="1"/>
  <c r="C557" i="1" s="1"/>
  <c r="I552" i="1" s="1"/>
  <c r="E548" i="1"/>
  <c r="F547" i="1"/>
  <c r="E547" i="1"/>
  <c r="C547" i="1"/>
  <c r="F546" i="1"/>
  <c r="E546" i="1"/>
  <c r="F545" i="1"/>
  <c r="E545" i="1"/>
  <c r="C545" i="1"/>
  <c r="E544" i="1"/>
  <c r="C544" i="1"/>
  <c r="C548" i="1" s="1"/>
  <c r="F548" i="1" s="1"/>
  <c r="F543" i="1"/>
  <c r="E543" i="1"/>
  <c r="C543" i="1"/>
  <c r="C555" i="1" s="1"/>
  <c r="F555" i="1" s="1"/>
  <c r="E538" i="1"/>
  <c r="C538" i="1"/>
  <c r="F538" i="1" s="1"/>
  <c r="E537" i="1"/>
  <c r="C537" i="1"/>
  <c r="F537" i="1" s="1"/>
  <c r="E536" i="1"/>
  <c r="E535" i="1"/>
  <c r="F535" i="1" s="1"/>
  <c r="C535" i="1"/>
  <c r="E534" i="1"/>
  <c r="C534" i="1"/>
  <c r="F534" i="1" s="1"/>
  <c r="E533" i="1"/>
  <c r="F533" i="1" s="1"/>
  <c r="C533" i="1"/>
  <c r="E531" i="1"/>
  <c r="E550" i="1" s="1"/>
  <c r="C531" i="1"/>
  <c r="F531" i="1" s="1"/>
  <c r="E530" i="1"/>
  <c r="E549" i="1" s="1"/>
  <c r="F549" i="1" s="1"/>
  <c r="C530" i="1"/>
  <c r="E529" i="1"/>
  <c r="F528" i="1"/>
  <c r="E528" i="1"/>
  <c r="C528" i="1"/>
  <c r="F527" i="1"/>
  <c r="E527" i="1"/>
  <c r="E526" i="1"/>
  <c r="F526" i="1" s="1"/>
  <c r="C526" i="1"/>
  <c r="E525" i="1"/>
  <c r="F525" i="1" s="1"/>
  <c r="C525" i="1"/>
  <c r="C529" i="1" s="1"/>
  <c r="F529" i="1" s="1"/>
  <c r="F524" i="1"/>
  <c r="E524" i="1"/>
  <c r="C524" i="1"/>
  <c r="E519" i="1"/>
  <c r="F519" i="1" s="1"/>
  <c r="F518" i="1"/>
  <c r="E518" i="1"/>
  <c r="E517" i="1"/>
  <c r="F517" i="1" s="1"/>
  <c r="F516" i="1"/>
  <c r="E516" i="1"/>
  <c r="F515" i="1"/>
  <c r="E515" i="1"/>
  <c r="F514" i="1"/>
  <c r="E514" i="1"/>
  <c r="F512" i="1"/>
  <c r="E512" i="1"/>
  <c r="E511" i="1"/>
  <c r="F511" i="1" s="1"/>
  <c r="F510" i="1"/>
  <c r="E510" i="1"/>
  <c r="F509" i="1"/>
  <c r="E509" i="1"/>
  <c r="F508" i="1"/>
  <c r="E508" i="1"/>
  <c r="E507" i="1"/>
  <c r="F507" i="1" s="1"/>
  <c r="F506" i="1"/>
  <c r="E506" i="1"/>
  <c r="E505" i="1"/>
  <c r="F505" i="1" s="1"/>
  <c r="E501" i="1"/>
  <c r="E500" i="1"/>
  <c r="E499" i="1"/>
  <c r="F498" i="1"/>
  <c r="E498" i="1"/>
  <c r="E497" i="1"/>
  <c r="E496" i="1"/>
  <c r="F496" i="1" s="1"/>
  <c r="C496" i="1"/>
  <c r="E494" i="1"/>
  <c r="C494" i="1"/>
  <c r="C498" i="1" s="1"/>
  <c r="F493" i="1"/>
  <c r="E493" i="1"/>
  <c r="C493" i="1"/>
  <c r="C501" i="1" s="1"/>
  <c r="C500" i="1" s="1"/>
  <c r="F500" i="1" s="1"/>
  <c r="E492" i="1"/>
  <c r="F491" i="1"/>
  <c r="E491" i="1"/>
  <c r="C491" i="1"/>
  <c r="I490" i="1"/>
  <c r="F490" i="1"/>
  <c r="E490" i="1"/>
  <c r="E489" i="1"/>
  <c r="C489" i="1"/>
  <c r="F489" i="1" s="1"/>
  <c r="E488" i="1"/>
  <c r="C488" i="1"/>
  <c r="C492" i="1" s="1"/>
  <c r="E487" i="1"/>
  <c r="C487" i="1"/>
  <c r="F483" i="1"/>
  <c r="E483" i="1"/>
  <c r="F482" i="1"/>
  <c r="E481" i="1"/>
  <c r="F481" i="1" s="1"/>
  <c r="C481" i="1"/>
  <c r="C483" i="1" s="1"/>
  <c r="F479" i="1"/>
  <c r="E479" i="1"/>
  <c r="C479" i="1"/>
  <c r="E478" i="1"/>
  <c r="F478" i="1" s="1"/>
  <c r="E477" i="1"/>
  <c r="C477" i="1"/>
  <c r="F476" i="1"/>
  <c r="E476" i="1"/>
  <c r="E473" i="1"/>
  <c r="F473" i="1" s="1"/>
  <c r="F472" i="1"/>
  <c r="C471" i="1"/>
  <c r="C473" i="1" s="1"/>
  <c r="F469" i="1"/>
  <c r="E469" i="1"/>
  <c r="F468" i="1"/>
  <c r="E468" i="1"/>
  <c r="E467" i="1"/>
  <c r="C467" i="1"/>
  <c r="C469" i="1" s="1"/>
  <c r="E466" i="1"/>
  <c r="F466" i="1" s="1"/>
  <c r="E463" i="1"/>
  <c r="F463" i="1" s="1"/>
  <c r="F462" i="1"/>
  <c r="F461" i="1"/>
  <c r="E461" i="1"/>
  <c r="E471" i="1" s="1"/>
  <c r="F471" i="1" s="1"/>
  <c r="C461" i="1"/>
  <c r="C463" i="1" s="1"/>
  <c r="E459" i="1"/>
  <c r="F458" i="1"/>
  <c r="E458" i="1"/>
  <c r="E457" i="1"/>
  <c r="C457" i="1"/>
  <c r="F457" i="1" s="1"/>
  <c r="F456" i="1"/>
  <c r="E456" i="1"/>
  <c r="I453" i="1"/>
  <c r="I455" i="1" s="1"/>
  <c r="E452" i="1"/>
  <c r="F452" i="1" s="1"/>
  <c r="C452" i="1"/>
  <c r="F451" i="1"/>
  <c r="E450" i="1"/>
  <c r="F450" i="1" s="1"/>
  <c r="C450" i="1"/>
  <c r="E448" i="1"/>
  <c r="E447" i="1"/>
  <c r="C447" i="1"/>
  <c r="F447" i="1" s="1"/>
  <c r="E446" i="1"/>
  <c r="C446" i="1"/>
  <c r="C448" i="1" s="1"/>
  <c r="E445" i="1"/>
  <c r="F445" i="1" s="1"/>
  <c r="I443" i="1"/>
  <c r="E442" i="1"/>
  <c r="F442" i="1" s="1"/>
  <c r="C442" i="1"/>
  <c r="F441" i="1"/>
  <c r="F440" i="1"/>
  <c r="E440" i="1"/>
  <c r="C440" i="1"/>
  <c r="E438" i="1"/>
  <c r="E437" i="1"/>
  <c r="C437" i="1"/>
  <c r="F437" i="1" s="1"/>
  <c r="E436" i="1"/>
  <c r="C436" i="1"/>
  <c r="C438" i="1" s="1"/>
  <c r="F438" i="1" s="1"/>
  <c r="E435" i="1"/>
  <c r="F435" i="1" s="1"/>
  <c r="I433" i="1"/>
  <c r="J432" i="1"/>
  <c r="E432" i="1"/>
  <c r="C432" i="1"/>
  <c r="F432" i="1" s="1"/>
  <c r="F431" i="1"/>
  <c r="F430" i="1"/>
  <c r="E430" i="1"/>
  <c r="C430" i="1"/>
  <c r="F428" i="1"/>
  <c r="E429" i="1" s="1"/>
  <c r="F429" i="1" s="1"/>
  <c r="E428" i="1"/>
  <c r="F427" i="1"/>
  <c r="E427" i="1"/>
  <c r="C427" i="1"/>
  <c r="C428" i="1" s="1"/>
  <c r="F426" i="1"/>
  <c r="E426" i="1"/>
  <c r="C426" i="1"/>
  <c r="F425" i="1"/>
  <c r="E425" i="1"/>
  <c r="I422" i="1"/>
  <c r="E421" i="1"/>
  <c r="E420" i="1"/>
  <c r="F420" i="1" s="1"/>
  <c r="E419" i="1"/>
  <c r="C419" i="1"/>
  <c r="C421" i="1" s="1"/>
  <c r="F421" i="1" s="1"/>
  <c r="E417" i="1"/>
  <c r="C417" i="1"/>
  <c r="F417" i="1" s="1"/>
  <c r="F416" i="1"/>
  <c r="E418" i="1" s="1"/>
  <c r="F418" i="1" s="1"/>
  <c r="E416" i="1"/>
  <c r="C416" i="1"/>
  <c r="F415" i="1"/>
  <c r="E415" i="1"/>
  <c r="E408" i="1"/>
  <c r="C408" i="1"/>
  <c r="F408" i="1" s="1"/>
  <c r="F407" i="1"/>
  <c r="F406" i="1"/>
  <c r="E406" i="1"/>
  <c r="F404" i="1"/>
  <c r="E404" i="1"/>
  <c r="C404" i="1"/>
  <c r="F403" i="1"/>
  <c r="E403" i="1"/>
  <c r="E402" i="1"/>
  <c r="F402" i="1" s="1"/>
  <c r="E401" i="1"/>
  <c r="F401" i="1" s="1"/>
  <c r="E397" i="1"/>
  <c r="C397" i="1"/>
  <c r="F397" i="1" s="1"/>
  <c r="F396" i="1"/>
  <c r="F395" i="1"/>
  <c r="E395" i="1"/>
  <c r="E393" i="1"/>
  <c r="F393" i="1" s="1"/>
  <c r="C393" i="1"/>
  <c r="E392" i="1"/>
  <c r="F392" i="1" s="1"/>
  <c r="F391" i="1"/>
  <c r="E391" i="1"/>
  <c r="F390" i="1"/>
  <c r="E390" i="1"/>
  <c r="E386" i="1"/>
  <c r="C386" i="1"/>
  <c r="F386" i="1" s="1"/>
  <c r="F385" i="1"/>
  <c r="F384" i="1"/>
  <c r="E384" i="1"/>
  <c r="E382" i="1"/>
  <c r="C382" i="1"/>
  <c r="F382" i="1" s="1"/>
  <c r="F381" i="1"/>
  <c r="E381" i="1"/>
  <c r="E380" i="1"/>
  <c r="F380" i="1" s="1"/>
  <c r="E379" i="1"/>
  <c r="F379" i="1" s="1"/>
  <c r="E375" i="1"/>
  <c r="C375" i="1"/>
  <c r="F375" i="1" s="1"/>
  <c r="F374" i="1"/>
  <c r="F373" i="1"/>
  <c r="E373" i="1"/>
  <c r="E371" i="1"/>
  <c r="F371" i="1" s="1"/>
  <c r="C371" i="1"/>
  <c r="F370" i="1"/>
  <c r="E370" i="1"/>
  <c r="E369" i="1"/>
  <c r="F369" i="1" s="1"/>
  <c r="F368" i="1"/>
  <c r="E368" i="1"/>
  <c r="E365" i="1"/>
  <c r="C365" i="1"/>
  <c r="F364" i="1"/>
  <c r="F363" i="1"/>
  <c r="E363" i="1"/>
  <c r="C363" i="1"/>
  <c r="E361" i="1"/>
  <c r="C361" i="1"/>
  <c r="F361" i="1" s="1"/>
  <c r="E360" i="1"/>
  <c r="C360" i="1"/>
  <c r="E359" i="1"/>
  <c r="F359" i="1" s="1"/>
  <c r="F358" i="1"/>
  <c r="E358" i="1"/>
  <c r="E354" i="1"/>
  <c r="C354" i="1"/>
  <c r="F354" i="1" s="1"/>
  <c r="F353" i="1"/>
  <c r="F352" i="1"/>
  <c r="E352" i="1"/>
  <c r="F350" i="1"/>
  <c r="E351" i="1" s="1"/>
  <c r="F351" i="1" s="1"/>
  <c r="E350" i="1"/>
  <c r="C350" i="1"/>
  <c r="F349" i="1"/>
  <c r="E349" i="1"/>
  <c r="F348" i="1"/>
  <c r="E348" i="1"/>
  <c r="E347" i="1"/>
  <c r="F347" i="1" s="1"/>
  <c r="F342" i="1"/>
  <c r="E342" i="1"/>
  <c r="C342" i="1"/>
  <c r="F341" i="1"/>
  <c r="E341" i="1"/>
  <c r="F340" i="1"/>
  <c r="E339" i="1"/>
  <c r="C339" i="1"/>
  <c r="F339" i="1" s="1"/>
  <c r="F338" i="1"/>
  <c r="E338" i="1"/>
  <c r="C338" i="1"/>
  <c r="E336" i="1"/>
  <c r="F335" i="1"/>
  <c r="E335" i="1"/>
  <c r="C335" i="1"/>
  <c r="E334" i="1"/>
  <c r="C334" i="1"/>
  <c r="C336" i="1" s="1"/>
  <c r="F336" i="1" s="1"/>
  <c r="F333" i="1"/>
  <c r="E333" i="1"/>
  <c r="E332" i="1"/>
  <c r="F332" i="1" s="1"/>
  <c r="F327" i="1"/>
  <c r="F326" i="1"/>
  <c r="C325" i="1"/>
  <c r="C328" i="1" s="1"/>
  <c r="F328" i="1" s="1"/>
  <c r="F324" i="1"/>
  <c r="E324" i="1"/>
  <c r="C324" i="1"/>
  <c r="C323" i="1"/>
  <c r="F322" i="1"/>
  <c r="E322" i="1"/>
  <c r="C322" i="1"/>
  <c r="F321" i="1"/>
  <c r="E321" i="1"/>
  <c r="E320" i="1"/>
  <c r="F320" i="1" s="1"/>
  <c r="E319" i="1"/>
  <c r="F319" i="1" s="1"/>
  <c r="E318" i="1"/>
  <c r="F318" i="1" s="1"/>
  <c r="F313" i="1"/>
  <c r="F312" i="1"/>
  <c r="C310" i="1"/>
  <c r="C311" i="1" s="1"/>
  <c r="C314" i="1" s="1"/>
  <c r="F314" i="1" s="1"/>
  <c r="E308" i="1"/>
  <c r="F308" i="1" s="1"/>
  <c r="C308" i="1"/>
  <c r="F307" i="1"/>
  <c r="E307" i="1"/>
  <c r="E306" i="1"/>
  <c r="F306" i="1" s="1"/>
  <c r="E305" i="1"/>
  <c r="F305" i="1" s="1"/>
  <c r="F304" i="1"/>
  <c r="E304" i="1"/>
  <c r="F298" i="1"/>
  <c r="C298" i="1"/>
  <c r="F297" i="1"/>
  <c r="F296" i="1"/>
  <c r="F295" i="1"/>
  <c r="E293" i="1"/>
  <c r="C293" i="1"/>
  <c r="F293" i="1" s="1"/>
  <c r="F292" i="1"/>
  <c r="E292" i="1"/>
  <c r="F291" i="1"/>
  <c r="E291" i="1"/>
  <c r="E290" i="1"/>
  <c r="F290" i="1" s="1"/>
  <c r="E289" i="1"/>
  <c r="F289" i="1" s="1"/>
  <c r="F288" i="1"/>
  <c r="E288" i="1"/>
  <c r="F284" i="1"/>
  <c r="C284" i="1"/>
  <c r="F283" i="1"/>
  <c r="F282" i="1"/>
  <c r="F281" i="1"/>
  <c r="F279" i="1"/>
  <c r="E279" i="1"/>
  <c r="C279" i="1"/>
  <c r="E278" i="1"/>
  <c r="F278" i="1" s="1"/>
  <c r="F277" i="1"/>
  <c r="E277" i="1"/>
  <c r="F276" i="1"/>
  <c r="E276" i="1"/>
  <c r="F275" i="1"/>
  <c r="E275" i="1"/>
  <c r="E274" i="1"/>
  <c r="F274" i="1" s="1"/>
  <c r="F270" i="1"/>
  <c r="C270" i="1"/>
  <c r="F269" i="1"/>
  <c r="F268" i="1"/>
  <c r="F267" i="1"/>
  <c r="E265" i="1"/>
  <c r="F265" i="1" s="1"/>
  <c r="C265" i="1"/>
  <c r="E264" i="1"/>
  <c r="F264" i="1" s="1"/>
  <c r="F263" i="1"/>
  <c r="E263" i="1"/>
  <c r="F262" i="1"/>
  <c r="E262" i="1"/>
  <c r="F261" i="1"/>
  <c r="E261" i="1"/>
  <c r="I260" i="1"/>
  <c r="I261" i="1" s="1"/>
  <c r="F260" i="1"/>
  <c r="E260" i="1"/>
  <c r="C254" i="1"/>
  <c r="C253" i="1"/>
  <c r="E252" i="1"/>
  <c r="F252" i="1" s="1"/>
  <c r="C252" i="1"/>
  <c r="E250" i="1"/>
  <c r="E249" i="1"/>
  <c r="C249" i="1"/>
  <c r="C250" i="1" s="1"/>
  <c r="F250" i="1" s="1"/>
  <c r="E248" i="1"/>
  <c r="F248" i="1" s="1"/>
  <c r="F244" i="1"/>
  <c r="C243" i="1"/>
  <c r="F243" i="1" s="1"/>
  <c r="F242" i="1"/>
  <c r="E240" i="1"/>
  <c r="C240" i="1"/>
  <c r="F240" i="1" s="1"/>
  <c r="E239" i="1"/>
  <c r="F239" i="1" s="1"/>
  <c r="F238" i="1"/>
  <c r="E241" i="1" s="1"/>
  <c r="F241" i="1" s="1"/>
  <c r="E238" i="1"/>
  <c r="F234" i="1"/>
  <c r="C234" i="1"/>
  <c r="F233" i="1"/>
  <c r="C232" i="1"/>
  <c r="F232" i="1" s="1"/>
  <c r="F230" i="1"/>
  <c r="E230" i="1"/>
  <c r="C230" i="1"/>
  <c r="E229" i="1"/>
  <c r="F229" i="1" s="1"/>
  <c r="F228" i="1"/>
  <c r="E231" i="1" s="1"/>
  <c r="F231" i="1" s="1"/>
  <c r="E228" i="1"/>
  <c r="E224" i="1"/>
  <c r="C224" i="1"/>
  <c r="F224" i="1" s="1"/>
  <c r="E222" i="1"/>
  <c r="F222" i="1" s="1"/>
  <c r="C222" i="1"/>
  <c r="E220" i="1"/>
  <c r="E219" i="1"/>
  <c r="F219" i="1" s="1"/>
  <c r="C219" i="1"/>
  <c r="C594" i="1" s="1"/>
  <c r="C597" i="1" s="1"/>
  <c r="F597" i="1" s="1"/>
  <c r="F218" i="1"/>
  <c r="E218" i="1"/>
  <c r="F215" i="1"/>
  <c r="E215" i="1"/>
  <c r="E254" i="1" s="1"/>
  <c r="F254" i="1" s="1"/>
  <c r="C215" i="1"/>
  <c r="E213" i="1"/>
  <c r="F213" i="1" s="1"/>
  <c r="C213" i="1"/>
  <c r="E211" i="1"/>
  <c r="F211" i="1" s="1"/>
  <c r="C211" i="1"/>
  <c r="F210" i="1"/>
  <c r="E210" i="1"/>
  <c r="C210" i="1"/>
  <c r="F209" i="1"/>
  <c r="E209" i="1"/>
  <c r="E205" i="1"/>
  <c r="C205" i="1"/>
  <c r="F205" i="1" s="1"/>
  <c r="F204" i="1"/>
  <c r="E204" i="1"/>
  <c r="E214" i="1" s="1"/>
  <c r="F203" i="1"/>
  <c r="E203" i="1"/>
  <c r="C203" i="1"/>
  <c r="E201" i="1"/>
  <c r="E200" i="1"/>
  <c r="F200" i="1" s="1"/>
  <c r="C200" i="1"/>
  <c r="C201" i="1" s="1"/>
  <c r="F199" i="1"/>
  <c r="E199" i="1"/>
  <c r="F195" i="1"/>
  <c r="C195" i="1"/>
  <c r="F194" i="1"/>
  <c r="F193" i="1"/>
  <c r="C193" i="1"/>
  <c r="F191" i="1"/>
  <c r="E192" i="1" s="1"/>
  <c r="F192" i="1" s="1"/>
  <c r="E191" i="1"/>
  <c r="C191" i="1"/>
  <c r="F190" i="1"/>
  <c r="E190" i="1"/>
  <c r="F189" i="1"/>
  <c r="E189" i="1"/>
  <c r="F185" i="1"/>
  <c r="F183" i="1"/>
  <c r="E183" i="1"/>
  <c r="J182" i="1"/>
  <c r="F179" i="1"/>
  <c r="C179" i="1"/>
  <c r="G180" i="1" s="1"/>
  <c r="E654" i="1" s="1"/>
  <c r="F654" i="1" s="1"/>
  <c r="E178" i="1"/>
  <c r="F178" i="1" s="1"/>
  <c r="F177" i="1"/>
  <c r="E177" i="1"/>
  <c r="E167" i="1"/>
  <c r="F167" i="1" s="1"/>
  <c r="E166" i="1"/>
  <c r="F166" i="1" s="1"/>
  <c r="E165" i="1"/>
  <c r="C165" i="1"/>
  <c r="C166" i="1" s="1"/>
  <c r="C160" i="1"/>
  <c r="F160" i="1" s="1"/>
  <c r="F159" i="1"/>
  <c r="F158" i="1"/>
  <c r="E158" i="1"/>
  <c r="E157" i="1"/>
  <c r="F157" i="1" s="1"/>
  <c r="F156" i="1"/>
  <c r="E156" i="1"/>
  <c r="F150" i="1"/>
  <c r="E149" i="1"/>
  <c r="C148" i="1"/>
  <c r="F148" i="1" s="1"/>
  <c r="F147" i="1"/>
  <c r="C147" i="1"/>
  <c r="C146" i="1"/>
  <c r="C149" i="1" s="1"/>
  <c r="F149" i="1" s="1"/>
  <c r="E144" i="1"/>
  <c r="F144" i="1" s="1"/>
  <c r="G145" i="1" s="1"/>
  <c r="E140" i="1"/>
  <c r="F140" i="1" s="1"/>
  <c r="F139" i="1"/>
  <c r="G141" i="1" s="1"/>
  <c r="E139" i="1"/>
  <c r="E135" i="1"/>
  <c r="F135" i="1" s="1"/>
  <c r="G136" i="1" s="1"/>
  <c r="F132" i="1"/>
  <c r="E132" i="1"/>
  <c r="E131" i="1"/>
  <c r="F131" i="1" s="1"/>
  <c r="G133" i="1" s="1"/>
  <c r="F128" i="1"/>
  <c r="E128" i="1"/>
  <c r="J127" i="1"/>
  <c r="E126" i="1"/>
  <c r="F126" i="1" s="1"/>
  <c r="E125" i="1"/>
  <c r="C125" i="1"/>
  <c r="F125" i="1" s="1"/>
  <c r="F124" i="1"/>
  <c r="E124" i="1"/>
  <c r="C124" i="1"/>
  <c r="F120" i="1"/>
  <c r="E120" i="1"/>
  <c r="J118" i="1"/>
  <c r="E118" i="1"/>
  <c r="F118" i="1" s="1"/>
  <c r="C118" i="1"/>
  <c r="J116" i="1"/>
  <c r="I116" i="1"/>
  <c r="I115" i="1"/>
  <c r="E114" i="1"/>
  <c r="F114" i="1" s="1"/>
  <c r="F113" i="1"/>
  <c r="E113" i="1"/>
  <c r="E112" i="1"/>
  <c r="F112" i="1" s="1"/>
  <c r="C112" i="1"/>
  <c r="C111" i="1"/>
  <c r="A111" i="1"/>
  <c r="I110" i="1"/>
  <c r="E109" i="1"/>
  <c r="C109" i="1"/>
  <c r="F109" i="1" s="1"/>
  <c r="F108" i="1"/>
  <c r="C108" i="1"/>
  <c r="F107" i="1"/>
  <c r="G110" i="1" s="1"/>
  <c r="F103" i="1"/>
  <c r="E103" i="1"/>
  <c r="E101" i="1"/>
  <c r="F101" i="1" s="1"/>
  <c r="F100" i="1"/>
  <c r="E100" i="1"/>
  <c r="E99" i="1"/>
  <c r="F99" i="1" s="1"/>
  <c r="C98" i="1"/>
  <c r="E97" i="1"/>
  <c r="C97" i="1"/>
  <c r="F97" i="1" s="1"/>
  <c r="F94" i="1"/>
  <c r="E94" i="1"/>
  <c r="E93" i="1"/>
  <c r="F93" i="1" s="1"/>
  <c r="G95" i="1" s="1"/>
  <c r="F90" i="1"/>
  <c r="E90" i="1"/>
  <c r="E89" i="1"/>
  <c r="F89" i="1" s="1"/>
  <c r="E88" i="1"/>
  <c r="F88" i="1" s="1"/>
  <c r="F87" i="1"/>
  <c r="E87" i="1"/>
  <c r="F83" i="1"/>
  <c r="E83" i="1"/>
  <c r="F82" i="1"/>
  <c r="E82" i="1"/>
  <c r="E81" i="1"/>
  <c r="F81" i="1" s="1"/>
  <c r="F79" i="1"/>
  <c r="E79" i="1"/>
  <c r="E78" i="1"/>
  <c r="F78" i="1" s="1"/>
  <c r="F77" i="1"/>
  <c r="E77" i="1"/>
  <c r="F76" i="1"/>
  <c r="E76" i="1"/>
  <c r="E72" i="1"/>
  <c r="F72" i="1" s="1"/>
  <c r="F71" i="1"/>
  <c r="E71" i="1"/>
  <c r="F69" i="1"/>
  <c r="E69" i="1"/>
  <c r="F68" i="1"/>
  <c r="E68" i="1"/>
  <c r="E67" i="1"/>
  <c r="F67" i="1" s="1"/>
  <c r="E66" i="1"/>
  <c r="F66" i="1" s="1"/>
  <c r="E62" i="1"/>
  <c r="F62" i="1" s="1"/>
  <c r="F61" i="1"/>
  <c r="E61" i="1"/>
  <c r="F60" i="1"/>
  <c r="E60" i="1"/>
  <c r="E59" i="1"/>
  <c r="F59" i="1" s="1"/>
  <c r="E58" i="1"/>
  <c r="F58" i="1" s="1"/>
  <c r="G63" i="1" s="1"/>
  <c r="E1073" i="1" s="1"/>
  <c r="F1073" i="1" s="1"/>
  <c r="E1074" i="1" s="1"/>
  <c r="F1074" i="1" s="1"/>
  <c r="E54" i="1"/>
  <c r="F54" i="1" s="1"/>
  <c r="F53" i="1"/>
  <c r="E53" i="1"/>
  <c r="F52" i="1"/>
  <c r="E52" i="1"/>
  <c r="E51" i="1"/>
  <c r="F51" i="1" s="1"/>
  <c r="G55" i="1" s="1"/>
  <c r="F47" i="1"/>
  <c r="E47" i="1"/>
  <c r="E46" i="1"/>
  <c r="F46" i="1" s="1"/>
  <c r="F45" i="1"/>
  <c r="E45" i="1"/>
  <c r="F44" i="1"/>
  <c r="E44" i="1"/>
  <c r="E43" i="1"/>
  <c r="F43" i="1" s="1"/>
  <c r="G48" i="1" s="1"/>
  <c r="A40" i="1"/>
  <c r="A153" i="1" s="1"/>
  <c r="F37" i="1"/>
  <c r="E36" i="1"/>
  <c r="F36" i="1" s="1"/>
  <c r="F35" i="1"/>
  <c r="E35" i="1"/>
  <c r="F34" i="1"/>
  <c r="E34" i="1"/>
  <c r="E33" i="1"/>
  <c r="F33" i="1" s="1"/>
  <c r="E32" i="1"/>
  <c r="F32" i="1" s="1"/>
  <c r="F31" i="1"/>
  <c r="E31" i="1"/>
  <c r="E30" i="1"/>
  <c r="F30" i="1" s="1"/>
  <c r="F29" i="1"/>
  <c r="E29" i="1"/>
  <c r="F28" i="1"/>
  <c r="E28" i="1"/>
  <c r="E26" i="1"/>
  <c r="F26" i="1" s="1"/>
  <c r="F25" i="1"/>
  <c r="E25" i="1"/>
  <c r="E24" i="1"/>
  <c r="F24" i="1" s="1"/>
  <c r="F23" i="1"/>
  <c r="E23" i="1"/>
  <c r="F22" i="1"/>
  <c r="E22" i="1"/>
  <c r="E21" i="1"/>
  <c r="F21" i="1" s="1"/>
  <c r="E20" i="1"/>
  <c r="F20" i="1" s="1"/>
  <c r="F19" i="1"/>
  <c r="E19" i="1"/>
  <c r="A18" i="1"/>
  <c r="G16" i="1"/>
  <c r="F14" i="1"/>
  <c r="E14" i="1"/>
  <c r="E13" i="1"/>
  <c r="E12" i="1"/>
  <c r="F12" i="1" s="1"/>
  <c r="C12" i="1"/>
  <c r="C13" i="1" s="1"/>
  <c r="F13" i="1" s="1"/>
  <c r="E11" i="1"/>
  <c r="C11" i="1"/>
  <c r="F11" i="1" s="1"/>
  <c r="G15" i="1" s="1"/>
  <c r="D4" i="1"/>
  <c r="A57" i="3" l="1"/>
  <c r="A58" i="3" s="1"/>
  <c r="A59" i="3" s="1"/>
  <c r="A60" i="3" s="1"/>
  <c r="A61" i="3" s="1"/>
  <c r="A55" i="3"/>
  <c r="A207" i="3"/>
  <c r="A206" i="3"/>
  <c r="A208" i="3" s="1"/>
  <c r="A209" i="3" s="1"/>
  <c r="A210" i="3" s="1"/>
  <c r="A211" i="3" s="1"/>
  <c r="A216" i="3"/>
  <c r="A218" i="3" s="1"/>
  <c r="A219" i="3" s="1"/>
  <c r="A220" i="3" s="1"/>
  <c r="A221" i="3" s="1"/>
  <c r="A222" i="3" s="1"/>
  <c r="A223" i="3" s="1"/>
  <c r="A287" i="3"/>
  <c r="A288" i="3" s="1"/>
  <c r="A441" i="2"/>
  <c r="A434" i="2"/>
  <c r="A433" i="2"/>
  <c r="A425" i="2"/>
  <c r="A423" i="2"/>
  <c r="A349" i="2"/>
  <c r="A346" i="2"/>
  <c r="A224" i="2"/>
  <c r="A225" i="2" s="1"/>
  <c r="A226" i="2" s="1"/>
  <c r="A227" i="2" s="1"/>
  <c r="A231" i="2"/>
  <c r="A452" i="2"/>
  <c r="A455" i="2" s="1"/>
  <c r="A457" i="2" s="1"/>
  <c r="A450" i="2"/>
  <c r="A451" i="2" s="1"/>
  <c r="A454" i="2" s="1"/>
  <c r="A453" i="2"/>
  <c r="A456" i="2" s="1"/>
  <c r="A216" i="2"/>
  <c r="A217" i="2" s="1"/>
  <c r="A218" i="2" s="1"/>
  <c r="A219" i="2" s="1"/>
  <c r="A220" i="2" s="1"/>
  <c r="A386" i="2"/>
  <c r="A387" i="2" s="1"/>
  <c r="A388" i="2" s="1"/>
  <c r="A320" i="2"/>
  <c r="A321" i="2" s="1"/>
  <c r="A322" i="2" s="1"/>
  <c r="G91" i="1"/>
  <c r="G115" i="1"/>
  <c r="I105" i="1" s="1"/>
  <c r="F201" i="1"/>
  <c r="E280" i="1"/>
  <c r="F280" i="1" s="1"/>
  <c r="G285" i="1" s="1"/>
  <c r="G286" i="1"/>
  <c r="G503" i="1"/>
  <c r="E1618" i="1"/>
  <c r="F1618" i="1" s="1"/>
  <c r="E1607" i="1"/>
  <c r="F1607" i="1" s="1"/>
  <c r="E2261" i="1"/>
  <c r="F2261" i="1" s="1"/>
  <c r="E2053" i="1"/>
  <c r="F2053" i="1" s="1"/>
  <c r="E1630" i="1"/>
  <c r="F1630" i="1" s="1"/>
  <c r="E2127" i="1"/>
  <c r="F2127" i="1" s="1"/>
  <c r="E1583" i="1"/>
  <c r="F1583" i="1" s="1"/>
  <c r="E1571" i="1"/>
  <c r="F1571" i="1" s="1"/>
  <c r="E1397" i="1"/>
  <c r="F1397" i="1" s="1"/>
  <c r="E1595" i="1"/>
  <c r="F1595" i="1" s="1"/>
  <c r="E1511" i="1"/>
  <c r="F1511" i="1" s="1"/>
  <c r="E1499" i="1"/>
  <c r="F1499" i="1" s="1"/>
  <c r="E1465" i="1"/>
  <c r="F1465" i="1" s="1"/>
  <c r="E1248" i="1"/>
  <c r="F1248" i="1" s="1"/>
  <c r="E1298" i="1"/>
  <c r="F1298" i="1" s="1"/>
  <c r="E1559" i="1"/>
  <c r="F1559" i="1" s="1"/>
  <c r="E1209" i="1"/>
  <c r="F1209" i="1" s="1"/>
  <c r="E1372" i="1"/>
  <c r="F1372" i="1" s="1"/>
  <c r="E1272" i="1"/>
  <c r="F1272" i="1" s="1"/>
  <c r="E1523" i="1"/>
  <c r="F1523" i="1" s="1"/>
  <c r="E1453" i="1"/>
  <c r="F1453" i="1" s="1"/>
  <c r="E1334" i="1"/>
  <c r="F1334" i="1" s="1"/>
  <c r="E696" i="1"/>
  <c r="F696" i="1" s="1"/>
  <c r="E700" i="1" s="1"/>
  <c r="F700" i="1" s="1"/>
  <c r="G704" i="1" s="1"/>
  <c r="G705" i="1" s="1"/>
  <c r="E674" i="1"/>
  <c r="F674" i="1" s="1"/>
  <c r="E1547" i="1"/>
  <c r="F1547" i="1" s="1"/>
  <c r="E1223" i="1"/>
  <c r="F1223" i="1" s="1"/>
  <c r="E707" i="1"/>
  <c r="F707" i="1" s="1"/>
  <c r="E1384" i="1"/>
  <c r="F1384" i="1" s="1"/>
  <c r="E1322" i="1"/>
  <c r="F1322" i="1" s="1"/>
  <c r="E1310" i="1"/>
  <c r="F1310" i="1" s="1"/>
  <c r="E779" i="1"/>
  <c r="F779" i="1" s="1"/>
  <c r="E784" i="1" s="1"/>
  <c r="F784" i="1" s="1"/>
  <c r="G789" i="1" s="1"/>
  <c r="E1477" i="1"/>
  <c r="F1477" i="1" s="1"/>
  <c r="E1236" i="1"/>
  <c r="F1236" i="1" s="1"/>
  <c r="E1286" i="1"/>
  <c r="F1286" i="1" s="1"/>
  <c r="E1535" i="1"/>
  <c r="F1535" i="1" s="1"/>
  <c r="E1183" i="1"/>
  <c r="F1183" i="1" s="1"/>
  <c r="E685" i="1"/>
  <c r="F685" i="1" s="1"/>
  <c r="E689" i="1" s="1"/>
  <c r="F689" i="1" s="1"/>
  <c r="G693" i="1" s="1"/>
  <c r="G694" i="1" s="1"/>
  <c r="E1196" i="1"/>
  <c r="F1196" i="1" s="1"/>
  <c r="G1205" i="1" s="1"/>
  <c r="E1934" i="1" s="1"/>
  <c r="F1934" i="1" s="1"/>
  <c r="E1939" i="1" s="1"/>
  <c r="F1939" i="1" s="1"/>
  <c r="E767" i="1"/>
  <c r="F767" i="1" s="1"/>
  <c r="E718" i="1"/>
  <c r="F718" i="1" s="1"/>
  <c r="E793" i="1"/>
  <c r="F793" i="1" s="1"/>
  <c r="E1171" i="1"/>
  <c r="F1171" i="1" s="1"/>
  <c r="E1147" i="1"/>
  <c r="E755" i="1"/>
  <c r="F755" i="1" s="1"/>
  <c r="E759" i="1" s="1"/>
  <c r="F759" i="1" s="1"/>
  <c r="G764" i="1" s="1"/>
  <c r="G765" i="1" s="1"/>
  <c r="E744" i="1"/>
  <c r="F744" i="1" s="1"/>
  <c r="E731" i="1"/>
  <c r="F731" i="1" s="1"/>
  <c r="E1260" i="1"/>
  <c r="F1260" i="1" s="1"/>
  <c r="E70" i="1"/>
  <c r="F70" i="1" s="1"/>
  <c r="G73" i="1" s="1"/>
  <c r="E80" i="1"/>
  <c r="F80" i="1" s="1"/>
  <c r="E649" i="1"/>
  <c r="F649" i="1" s="1"/>
  <c r="G655" i="1" s="1"/>
  <c r="G464" i="1"/>
  <c r="E513" i="1"/>
  <c r="F513" i="1" s="1"/>
  <c r="G521" i="1" s="1"/>
  <c r="F556" i="1"/>
  <c r="A155" i="1"/>
  <c r="A164" i="1" s="1"/>
  <c r="A171" i="1"/>
  <c r="G399" i="1"/>
  <c r="G129" i="1"/>
  <c r="E794" i="1"/>
  <c r="F794" i="1" s="1"/>
  <c r="E780" i="1"/>
  <c r="F780" i="1" s="1"/>
  <c r="E745" i="1"/>
  <c r="F745" i="1" s="1"/>
  <c r="E719" i="1"/>
  <c r="E768" i="1"/>
  <c r="F768" i="1" s="1"/>
  <c r="E771" i="1" s="1"/>
  <c r="F771" i="1" s="1"/>
  <c r="E98" i="1"/>
  <c r="F98" i="1" s="1"/>
  <c r="E697" i="1"/>
  <c r="F697" i="1" s="1"/>
  <c r="E675" i="1"/>
  <c r="F675" i="1" s="1"/>
  <c r="E732" i="1"/>
  <c r="F732" i="1" s="1"/>
  <c r="E756" i="1"/>
  <c r="F756" i="1" s="1"/>
  <c r="E708" i="1"/>
  <c r="F708" i="1" s="1"/>
  <c r="E686" i="1"/>
  <c r="F686" i="1" s="1"/>
  <c r="F214" i="1"/>
  <c r="E253" i="1"/>
  <c r="F253" i="1" s="1"/>
  <c r="G299" i="1"/>
  <c r="G355" i="1"/>
  <c r="E596" i="1"/>
  <c r="F596" i="1" s="1"/>
  <c r="E323" i="1"/>
  <c r="F323" i="1" s="1"/>
  <c r="G329" i="1" s="1"/>
  <c r="E405" i="1"/>
  <c r="F405" i="1" s="1"/>
  <c r="G409" i="1" s="1"/>
  <c r="F448" i="1"/>
  <c r="G186" i="1"/>
  <c r="G235" i="1"/>
  <c r="E394" i="1"/>
  <c r="F394" i="1" s="1"/>
  <c r="G433" i="1"/>
  <c r="J433" i="1" s="1"/>
  <c r="G600" i="1"/>
  <c r="G151" i="1"/>
  <c r="H149" i="1" s="1"/>
  <c r="E266" i="1"/>
  <c r="F266" i="1" s="1"/>
  <c r="G271" i="1" s="1"/>
  <c r="E309" i="1"/>
  <c r="F309" i="1" s="1"/>
  <c r="E127" i="1"/>
  <c r="F127" i="1" s="1"/>
  <c r="E119" i="1"/>
  <c r="F119" i="1" s="1"/>
  <c r="G121" i="1" s="1"/>
  <c r="G377" i="1"/>
  <c r="E1806" i="1"/>
  <c r="F1806" i="1" s="1"/>
  <c r="E1808" i="1" s="1"/>
  <c r="F1808" i="1" s="1"/>
  <c r="G1812" i="1" s="1"/>
  <c r="E1874" i="1" s="1"/>
  <c r="F1874" i="1" s="1"/>
  <c r="E1735" i="1"/>
  <c r="F1735" i="1" s="1"/>
  <c r="E2130" i="1"/>
  <c r="F2130" i="1" s="1"/>
  <c r="E1976" i="1"/>
  <c r="F1976" i="1" s="1"/>
  <c r="G1980" i="1" s="1"/>
  <c r="E1828" i="1"/>
  <c r="F1828" i="1" s="1"/>
  <c r="E1747" i="1"/>
  <c r="F1747" i="1" s="1"/>
  <c r="E1610" i="1"/>
  <c r="E1966" i="1"/>
  <c r="F1966" i="1" s="1"/>
  <c r="E1685" i="1"/>
  <c r="F1685" i="1" s="1"/>
  <c r="E1664" i="1"/>
  <c r="F1664" i="1" s="1"/>
  <c r="E2264" i="1"/>
  <c r="F2264" i="1" s="1"/>
  <c r="E1759" i="1"/>
  <c r="F1759" i="1" s="1"/>
  <c r="E1952" i="1"/>
  <c r="F1952" i="1" s="1"/>
  <c r="E1880" i="1"/>
  <c r="F1880" i="1" s="1"/>
  <c r="E1839" i="1"/>
  <c r="F1839" i="1" s="1"/>
  <c r="E1893" i="1"/>
  <c r="F1893" i="1" s="1"/>
  <c r="E1861" i="1"/>
  <c r="F1861" i="1" s="1"/>
  <c r="E1937" i="1"/>
  <c r="F1937" i="1" s="1"/>
  <c r="E1675" i="1"/>
  <c r="F1675" i="1" s="1"/>
  <c r="E1785" i="1"/>
  <c r="F1785" i="1" s="1"/>
  <c r="E1654" i="1"/>
  <c r="F1654" i="1" s="1"/>
  <c r="E1817" i="1"/>
  <c r="F1817" i="1" s="1"/>
  <c r="E1538" i="1"/>
  <c r="F1538" i="1" s="1"/>
  <c r="E1480" i="1"/>
  <c r="F1480" i="1" s="1"/>
  <c r="E1185" i="1"/>
  <c r="F1185" i="1" s="1"/>
  <c r="E1796" i="1"/>
  <c r="F1796" i="1" s="1"/>
  <c r="E1644" i="1"/>
  <c r="F1644" i="1" s="1"/>
  <c r="E1491" i="1"/>
  <c r="F1491" i="1" s="1"/>
  <c r="E1456" i="1"/>
  <c r="F1456" i="1" s="1"/>
  <c r="E1238" i="1"/>
  <c r="F1238" i="1" s="1"/>
  <c r="E1468" i="1"/>
  <c r="F1468" i="1" s="1"/>
  <c r="E1289" i="1"/>
  <c r="F1289" i="1" s="1"/>
  <c r="E1263" i="1"/>
  <c r="F1263" i="1" s="1"/>
  <c r="E1550" i="1"/>
  <c r="F1550" i="1" s="1"/>
  <c r="E1225" i="1"/>
  <c r="F1225" i="1" s="1"/>
  <c r="E1514" i="1"/>
  <c r="F1514" i="1" s="1"/>
  <c r="E1149" i="1"/>
  <c r="F1149" i="1" s="1"/>
  <c r="E1526" i="1"/>
  <c r="F1526" i="1" s="1"/>
  <c r="E1250" i="1"/>
  <c r="F1250" i="1" s="1"/>
  <c r="E1562" i="1"/>
  <c r="F1562" i="1" s="1"/>
  <c r="E1502" i="1"/>
  <c r="F1502" i="1" s="1"/>
  <c r="E1198" i="1"/>
  <c r="F1198" i="1" s="1"/>
  <c r="E1574" i="1"/>
  <c r="F1574" i="1" s="1"/>
  <c r="E1173" i="1"/>
  <c r="F1173" i="1" s="1"/>
  <c r="E1136" i="1"/>
  <c r="F1136" i="1" s="1"/>
  <c r="E1161" i="1"/>
  <c r="F1161" i="1" s="1"/>
  <c r="E1211" i="1"/>
  <c r="F1211" i="1" s="1"/>
  <c r="G196" i="1"/>
  <c r="E212" i="1"/>
  <c r="F212" i="1" s="1"/>
  <c r="G216" i="1" s="1"/>
  <c r="G272" i="1"/>
  <c r="G569" i="1"/>
  <c r="E2200" i="1"/>
  <c r="F2200" i="1" s="1"/>
  <c r="G2204" i="1" s="1"/>
  <c r="E2071" i="1" s="1"/>
  <c r="F2071" i="1" s="1"/>
  <c r="F530" i="1"/>
  <c r="C608" i="1"/>
  <c r="F769" i="1"/>
  <c r="F365" i="1"/>
  <c r="F595" i="1"/>
  <c r="F676" i="1"/>
  <c r="E678" i="1" s="1"/>
  <c r="F678" i="1" s="1"/>
  <c r="G682" i="1" s="1"/>
  <c r="F770" i="1"/>
  <c r="E1081" i="1"/>
  <c r="F1081" i="1" s="1"/>
  <c r="G1083" i="1"/>
  <c r="F1093" i="1"/>
  <c r="G1097" i="1" s="1"/>
  <c r="F1154" i="1"/>
  <c r="E1166" i="1"/>
  <c r="E1230" i="1"/>
  <c r="F1230" i="1" s="1"/>
  <c r="F1512" i="1"/>
  <c r="E1524" i="1"/>
  <c r="E1537" i="1"/>
  <c r="F1525" i="1"/>
  <c r="E1051" i="1"/>
  <c r="F1051" i="1" s="1"/>
  <c r="G1054" i="1" s="1"/>
  <c r="G84" i="1"/>
  <c r="E184" i="1"/>
  <c r="F184" i="1" s="1"/>
  <c r="F544" i="1"/>
  <c r="G560" i="1" s="1"/>
  <c r="F165" i="1"/>
  <c r="E223" i="1"/>
  <c r="F223" i="1" s="1"/>
  <c r="G245" i="1"/>
  <c r="F360" i="1"/>
  <c r="E362" i="1" s="1"/>
  <c r="F362" i="1" s="1"/>
  <c r="F446" i="1"/>
  <c r="F487" i="1"/>
  <c r="F492" i="1"/>
  <c r="F550" i="1"/>
  <c r="C556" i="1"/>
  <c r="F562" i="1"/>
  <c r="E565" i="1" s="1"/>
  <c r="F565" i="1" s="1"/>
  <c r="E576" i="1"/>
  <c r="F576" i="1" s="1"/>
  <c r="F634" i="1"/>
  <c r="F1142" i="1"/>
  <c r="F310" i="1"/>
  <c r="G315" i="1" s="1"/>
  <c r="C459" i="1"/>
  <c r="F459" i="1" s="1"/>
  <c r="F488" i="1"/>
  <c r="C499" i="1"/>
  <c r="F563" i="1"/>
  <c r="F573" i="1"/>
  <c r="G590" i="1"/>
  <c r="F588" i="1"/>
  <c r="E608" i="1"/>
  <c r="C734" i="1"/>
  <c r="F734" i="1" s="1"/>
  <c r="F733" i="1"/>
  <c r="F762" i="1"/>
  <c r="F1327" i="1"/>
  <c r="E1339" i="1"/>
  <c r="F1339" i="1" s="1"/>
  <c r="A42" i="1"/>
  <c r="A50" i="1" s="1"/>
  <c r="A57" i="1" s="1"/>
  <c r="A65" i="1" s="1"/>
  <c r="A75" i="1" s="1"/>
  <c r="A86" i="1" s="1"/>
  <c r="A92" i="1" s="1"/>
  <c r="A96" i="1" s="1"/>
  <c r="A106" i="1" s="1"/>
  <c r="A117" i="1" s="1"/>
  <c r="A123" i="1" s="1"/>
  <c r="F311" i="1"/>
  <c r="F325" i="1"/>
  <c r="G330" i="1" s="1"/>
  <c r="F334" i="1"/>
  <c r="E337" i="1" s="1"/>
  <c r="F337" i="1" s="1"/>
  <c r="F419" i="1"/>
  <c r="G422" i="1" s="1"/>
  <c r="J422" i="1" s="1"/>
  <c r="F436" i="1"/>
  <c r="E439" i="1" s="1"/>
  <c r="F439" i="1" s="1"/>
  <c r="F499" i="1"/>
  <c r="C622" i="1"/>
  <c r="F664" i="1"/>
  <c r="C795" i="1"/>
  <c r="E1340" i="1"/>
  <c r="F1340" i="1" s="1"/>
  <c r="F1328" i="1"/>
  <c r="E1376" i="1"/>
  <c r="F1376" i="1" s="1"/>
  <c r="G1381" i="1" s="1"/>
  <c r="F677" i="1"/>
  <c r="C220" i="1"/>
  <c r="F220" i="1" s="1"/>
  <c r="E221" i="1" s="1"/>
  <c r="F221" i="1" s="1"/>
  <c r="G225" i="1" s="1"/>
  <c r="G398" i="1"/>
  <c r="F467" i="1"/>
  <c r="E470" i="1" s="1"/>
  <c r="F470" i="1" s="1"/>
  <c r="F557" i="1"/>
  <c r="F1329" i="1"/>
  <c r="E1341" i="1"/>
  <c r="F1341" i="1" s="1"/>
  <c r="G474" i="1"/>
  <c r="E161" i="1"/>
  <c r="F161" i="1" s="1"/>
  <c r="G162" i="1" s="1"/>
  <c r="I162" i="1" s="1"/>
  <c r="E372" i="1"/>
  <c r="F372" i="1" s="1"/>
  <c r="E383" i="1"/>
  <c r="F383" i="1" s="1"/>
  <c r="G388" i="1" s="1"/>
  <c r="F614" i="1"/>
  <c r="E619" i="1" s="1"/>
  <c r="F619" i="1" s="1"/>
  <c r="G1069" i="1"/>
  <c r="E1200" i="1"/>
  <c r="F1200" i="1" s="1"/>
  <c r="G1206" i="1" s="1"/>
  <c r="E1399" i="1"/>
  <c r="F1399" i="1" s="1"/>
  <c r="E27" i="1"/>
  <c r="F27" i="1" s="1"/>
  <c r="G38" i="1" s="1"/>
  <c r="F249" i="1"/>
  <c r="E251" i="1" s="1"/>
  <c r="F251" i="1" s="1"/>
  <c r="G376" i="1"/>
  <c r="F494" i="1"/>
  <c r="C566" i="1"/>
  <c r="F566" i="1" s="1"/>
  <c r="G1090" i="1"/>
  <c r="F1357" i="1"/>
  <c r="E1366" i="1"/>
  <c r="F1366" i="1" s="1"/>
  <c r="F1561" i="1"/>
  <c r="E1573" i="1"/>
  <c r="F1573" i="1" s="1"/>
  <c r="E294" i="1"/>
  <c r="F294" i="1" s="1"/>
  <c r="G300" i="1" s="1"/>
  <c r="G502" i="1"/>
  <c r="F477" i="1"/>
  <c r="G484" i="1" s="1"/>
  <c r="F501" i="1"/>
  <c r="F719" i="1"/>
  <c r="E722" i="1" s="1"/>
  <c r="F722" i="1" s="1"/>
  <c r="E1358" i="1"/>
  <c r="F1358" i="1" s="1"/>
  <c r="E1444" i="1"/>
  <c r="F1444" i="1" s="1"/>
  <c r="G1449" i="1" s="1"/>
  <c r="E460" i="1"/>
  <c r="F460" i="1" s="1"/>
  <c r="E551" i="1"/>
  <c r="F551" i="1" s="1"/>
  <c r="C567" i="1"/>
  <c r="F567" i="1" s="1"/>
  <c r="G1028" i="1"/>
  <c r="F1210" i="1"/>
  <c r="E1224" i="1"/>
  <c r="E1455" i="1"/>
  <c r="F1455" i="1" s="1"/>
  <c r="C553" i="1"/>
  <c r="F553" i="1" s="1"/>
  <c r="F782" i="1"/>
  <c r="G1078" i="1"/>
  <c r="E1642" i="1"/>
  <c r="F1642" i="1" s="1"/>
  <c r="H1208" i="1"/>
  <c r="F1208" i="1"/>
  <c r="E1302" i="1"/>
  <c r="F1302" i="1" s="1"/>
  <c r="E1430" i="1"/>
  <c r="F1430" i="1" s="1"/>
  <c r="E1433" i="1" s="1"/>
  <c r="F1433" i="1" s="1"/>
  <c r="G1437" i="1" s="1"/>
  <c r="F1420" i="1"/>
  <c r="E1162" i="1"/>
  <c r="C497" i="1"/>
  <c r="F497" i="1" s="1"/>
  <c r="F1212" i="1"/>
  <c r="E1226" i="1"/>
  <c r="E1577" i="1"/>
  <c r="F1577" i="1" s="1"/>
  <c r="F1565" i="1"/>
  <c r="C536" i="1"/>
  <c r="F536" i="1" s="1"/>
  <c r="F640" i="1"/>
  <c r="E1124" i="1"/>
  <c r="F1124" i="1" s="1"/>
  <c r="G1128" i="1"/>
  <c r="E2104" i="1" s="1"/>
  <c r="F2104" i="1" s="1"/>
  <c r="E1164" i="1"/>
  <c r="E1506" i="1"/>
  <c r="F1506" i="1" s="1"/>
  <c r="F1484" i="1"/>
  <c r="F980" i="1"/>
  <c r="E1254" i="1"/>
  <c r="F1254" i="1" s="1"/>
  <c r="F1300" i="1"/>
  <c r="F1323" i="1"/>
  <c r="E1335" i="1"/>
  <c r="F1335" i="1" s="1"/>
  <c r="F1517" i="1"/>
  <c r="E748" i="1"/>
  <c r="F748" i="1" s="1"/>
  <c r="G752" i="1"/>
  <c r="E845" i="1" s="1"/>
  <c r="E859" i="1" s="1"/>
  <c r="F859" i="1" s="1"/>
  <c r="F855" i="1"/>
  <c r="E1034" i="1"/>
  <c r="F1034" i="1" s="1"/>
  <c r="G1037" i="1" s="1"/>
  <c r="E1313" i="1"/>
  <c r="E1493" i="1"/>
  <c r="F1493" i="1" s="1"/>
  <c r="G1496" i="1" s="1"/>
  <c r="E1503" i="1"/>
  <c r="F1503" i="1" s="1"/>
  <c r="E1111" i="1"/>
  <c r="F1111" i="1" s="1"/>
  <c r="E1112" i="1" s="1"/>
  <c r="F1112" i="1" s="1"/>
  <c r="F1148" i="1"/>
  <c r="E1160" i="1"/>
  <c r="C821" i="1"/>
  <c r="E1652" i="1"/>
  <c r="F1652" i="1" s="1"/>
  <c r="F1182" i="1"/>
  <c r="H1183" i="1"/>
  <c r="F1228" i="1"/>
  <c r="E1241" i="1"/>
  <c r="G1307" i="1"/>
  <c r="F1324" i="1"/>
  <c r="E1629" i="1"/>
  <c r="F1629" i="1" s="1"/>
  <c r="E1712" i="1"/>
  <c r="F1712" i="1" s="1"/>
  <c r="E1617" i="1"/>
  <c r="F1617" i="1" s="1"/>
  <c r="G1371" i="1"/>
  <c r="F1471" i="1"/>
  <c r="E1459" i="1"/>
  <c r="F1459" i="1" s="1"/>
  <c r="E1554" i="1"/>
  <c r="F1554" i="1" s="1"/>
  <c r="F1542" i="1"/>
  <c r="F1466" i="1"/>
  <c r="F1472" i="1"/>
  <c r="E1563" i="1"/>
  <c r="F1563" i="1" s="1"/>
  <c r="G1567" i="1" s="1"/>
  <c r="F1578" i="1"/>
  <c r="E1598" i="1"/>
  <c r="F1598" i="1" s="1"/>
  <c r="F1586" i="1"/>
  <c r="E1702" i="1"/>
  <c r="F1702" i="1" s="1"/>
  <c r="E1594" i="1"/>
  <c r="F1594" i="1" s="1"/>
  <c r="E1725" i="1"/>
  <c r="F1725" i="1" s="1"/>
  <c r="G1728" i="1" s="1"/>
  <c r="G1104" i="1"/>
  <c r="E1540" i="1"/>
  <c r="G1999" i="1"/>
  <c r="E2300" i="1" s="1"/>
  <c r="F2300" i="1" s="1"/>
  <c r="G2302" i="1" s="1"/>
  <c r="E2045" i="1"/>
  <c r="F2045" i="1" s="1"/>
  <c r="G2047" i="1"/>
  <c r="E102" i="1" s="1"/>
  <c r="F102" i="1" s="1"/>
  <c r="G104" i="1" s="1"/>
  <c r="E2265" i="1"/>
  <c r="F2265" i="1" s="1"/>
  <c r="G2268" i="1" s="1"/>
  <c r="E2099" i="1" s="1"/>
  <c r="F2099" i="1" s="1"/>
  <c r="G2281" i="1"/>
  <c r="G2345" i="1"/>
  <c r="G2356" i="1"/>
  <c r="G2171" i="1"/>
  <c r="G2244" i="1"/>
  <c r="E1606" i="1"/>
  <c r="F1606" i="1" s="1"/>
  <c r="E1900" i="1"/>
  <c r="E1582" i="1"/>
  <c r="E1623" i="1"/>
  <c r="F1623" i="1" s="1"/>
  <c r="F1612" i="1"/>
  <c r="F1753" i="1"/>
  <c r="E1766" i="1"/>
  <c r="E1850" i="1"/>
  <c r="F1850" i="1" s="1"/>
  <c r="F1840" i="1"/>
  <c r="E1841" i="1" s="1"/>
  <c r="F1841" i="1" s="1"/>
  <c r="G2189" i="1"/>
  <c r="E1679" i="1"/>
  <c r="F1669" i="1"/>
  <c r="E1749" i="1"/>
  <c r="F1749" i="1" s="1"/>
  <c r="E1863" i="1"/>
  <c r="F1863" i="1" s="1"/>
  <c r="E1978" i="1"/>
  <c r="F1978" i="1" s="1"/>
  <c r="E2218" i="1"/>
  <c r="F2217" i="1"/>
  <c r="G2256" i="1"/>
  <c r="E1678" i="1"/>
  <c r="F1667" i="1"/>
  <c r="E1737" i="1"/>
  <c r="F1737" i="1" s="1"/>
  <c r="G1742" i="1"/>
  <c r="E1892" i="1"/>
  <c r="F1892" i="1" s="1"/>
  <c r="F1879" i="1"/>
  <c r="E1625" i="1"/>
  <c r="F1625" i="1" s="1"/>
  <c r="F1614" i="1"/>
  <c r="E1820" i="1"/>
  <c r="F1820" i="1" s="1"/>
  <c r="F1809" i="1"/>
  <c r="G1834" i="1"/>
  <c r="E2131" i="1"/>
  <c r="F2131" i="1" s="1"/>
  <c r="G2134" i="1" s="1"/>
  <c r="E1851" i="1"/>
  <c r="F1851" i="1" s="1"/>
  <c r="G1856" i="1" s="1"/>
  <c r="I1954" i="1"/>
  <c r="I1953" i="1"/>
  <c r="E2038" i="1"/>
  <c r="F2038" i="1" s="1"/>
  <c r="F2005" i="1"/>
  <c r="G2408" i="1"/>
  <c r="E1665" i="1"/>
  <c r="F1655" i="1"/>
  <c r="E1881" i="1"/>
  <c r="F2014" i="1"/>
  <c r="E2022" i="1"/>
  <c r="G2232" i="1"/>
  <c r="E2085" i="1" s="1"/>
  <c r="F2085" i="1" s="1"/>
  <c r="E2289" i="1"/>
  <c r="F2289" i="1" s="1"/>
  <c r="G2294" i="1" s="1"/>
  <c r="E2117" i="1"/>
  <c r="F2117" i="1" s="1"/>
  <c r="G2111" i="1"/>
  <c r="E2092" i="1" s="1"/>
  <c r="F2092" i="1" s="1"/>
  <c r="G2090" i="1" s="1"/>
  <c r="G2124" i="1" s="1"/>
  <c r="E1619" i="1"/>
  <c r="F1619" i="1" s="1"/>
  <c r="E1762" i="1"/>
  <c r="F1762" i="1" s="1"/>
  <c r="F1750" i="1"/>
  <c r="E1968" i="1"/>
  <c r="F1968" i="1" s="1"/>
  <c r="G1972" i="1" s="1"/>
  <c r="E2020" i="1"/>
  <c r="F2020" i="1" s="1"/>
  <c r="F2002" i="1"/>
  <c r="G2308" i="1"/>
  <c r="F1609" i="1"/>
  <c r="E1684" i="1"/>
  <c r="F1684" i="1" s="1"/>
  <c r="F1674" i="1"/>
  <c r="E2385" i="1"/>
  <c r="F2385" i="1" s="1"/>
  <c r="G2387" i="1"/>
  <c r="G2388" i="1" s="1"/>
  <c r="F1597" i="1"/>
  <c r="E1969" i="1"/>
  <c r="F1969" i="1" s="1"/>
  <c r="E2032" i="1"/>
  <c r="F2032" i="1" s="1"/>
  <c r="H2224" i="1"/>
  <c r="F2349" i="1"/>
  <c r="G2351" i="1" s="1"/>
  <c r="F1741" i="1"/>
  <c r="E1821" i="1"/>
  <c r="F1821" i="1" s="1"/>
  <c r="E1852" i="1"/>
  <c r="F1852" i="1" s="1"/>
  <c r="F1860" i="1"/>
  <c r="G1867" i="1" s="1"/>
  <c r="E1915" i="1"/>
  <c r="F1915" i="1" s="1"/>
  <c r="E2096" i="1"/>
  <c r="F2096" i="1" s="1"/>
  <c r="F2401" i="1"/>
  <c r="E1830" i="1"/>
  <c r="F1830" i="1" s="1"/>
  <c r="E2033" i="1"/>
  <c r="F1602" i="1"/>
  <c r="E1795" i="1"/>
  <c r="F1795" i="1" s="1"/>
  <c r="E1816" i="1"/>
  <c r="F1816" i="1" s="1"/>
  <c r="E1819" i="1" s="1"/>
  <c r="F1819" i="1" s="1"/>
  <c r="F1933" i="1"/>
  <c r="C2116" i="1"/>
  <c r="F2116" i="1" s="1"/>
  <c r="F2350" i="1"/>
  <c r="E2233" i="1"/>
  <c r="F2233" i="1" s="1"/>
  <c r="G2238" i="1" s="1"/>
  <c r="E1760" i="1"/>
  <c r="E1949" i="1"/>
  <c r="F1949" i="1" s="1"/>
  <c r="E2029" i="1"/>
  <c r="F2029" i="1" s="1"/>
  <c r="G1754" i="1"/>
  <c r="E1896" i="1"/>
  <c r="F1896" i="1" s="1"/>
  <c r="E1923" i="1"/>
  <c r="F1923" i="1" s="1"/>
  <c r="F2006" i="1"/>
  <c r="C1936" i="1"/>
  <c r="F1936" i="1" s="1"/>
  <c r="F2400" i="1"/>
  <c r="F1985" i="1"/>
  <c r="F1600" i="1"/>
  <c r="A285" i="2" l="1"/>
  <c r="A254" i="2"/>
  <c r="A232" i="2"/>
  <c r="A426" i="2"/>
  <c r="A427" i="2" s="1"/>
  <c r="A428" i="2" s="1"/>
  <c r="A429" i="2" s="1"/>
  <c r="A424" i="2"/>
  <c r="A350" i="2"/>
  <c r="A357" i="2"/>
  <c r="A358" i="2" s="1"/>
  <c r="A324" i="2"/>
  <c r="A325" i="2" s="1"/>
  <c r="A323" i="2"/>
  <c r="A326" i="2" s="1"/>
  <c r="A327" i="2" s="1"/>
  <c r="A328" i="2" s="1"/>
  <c r="A329" i="2" s="1"/>
  <c r="G715" i="1"/>
  <c r="E2193" i="1"/>
  <c r="F2193" i="1" s="1"/>
  <c r="E2139" i="1"/>
  <c r="F2139" i="1" s="1"/>
  <c r="E1354" i="1"/>
  <c r="F1354" i="1" s="1"/>
  <c r="G1360" i="1" s="1"/>
  <c r="E1363" i="1"/>
  <c r="F1363" i="1" s="1"/>
  <c r="G1369" i="1" s="1"/>
  <c r="G776" i="1"/>
  <c r="G777" i="1" s="1"/>
  <c r="E2061" i="1"/>
  <c r="F2061" i="1" s="1"/>
  <c r="E1870" i="1"/>
  <c r="F1870" i="1" s="1"/>
  <c r="E2192" i="1"/>
  <c r="F2192" i="1" s="1"/>
  <c r="G2195" i="1" s="1"/>
  <c r="E2138" i="1"/>
  <c r="F2138" i="1" s="1"/>
  <c r="E1345" i="1"/>
  <c r="F1345" i="1" s="1"/>
  <c r="G1351" i="1" s="1"/>
  <c r="E867" i="1"/>
  <c r="F867" i="1" s="1"/>
  <c r="E1016" i="1"/>
  <c r="F1016" i="1" s="1"/>
  <c r="E1235" i="1"/>
  <c r="F1235" i="1" s="1"/>
  <c r="E1227" i="1"/>
  <c r="F1227" i="1" s="1"/>
  <c r="F2080" i="1"/>
  <c r="E868" i="1"/>
  <c r="F868" i="1" s="1"/>
  <c r="E809" i="1"/>
  <c r="E1014" i="1"/>
  <c r="F1014" i="1" s="1"/>
  <c r="E820" i="1"/>
  <c r="F820" i="1" s="1"/>
  <c r="G790" i="1"/>
  <c r="E2174" i="1"/>
  <c r="F2174" i="1" s="1"/>
  <c r="G2176" i="1" s="1"/>
  <c r="E2180" i="1"/>
  <c r="F2180" i="1" s="1"/>
  <c r="G2183" i="1" s="1"/>
  <c r="E2145" i="1"/>
  <c r="F2145" i="1" s="1"/>
  <c r="G2147" i="1" s="1"/>
  <c r="E2164" i="1"/>
  <c r="F2164" i="1" s="1"/>
  <c r="G2167" i="1" s="1"/>
  <c r="E2158" i="1"/>
  <c r="F2158" i="1" s="1"/>
  <c r="G2160" i="1" s="1"/>
  <c r="E2151" i="1"/>
  <c r="F2151" i="1" s="1"/>
  <c r="E2316" i="1"/>
  <c r="F2316" i="1" s="1"/>
  <c r="G2317" i="1" s="1"/>
  <c r="E1015" i="1"/>
  <c r="F1015" i="1" s="1"/>
  <c r="E945" i="1"/>
  <c r="F945" i="1" s="1"/>
  <c r="E916" i="1"/>
  <c r="F916" i="1" s="1"/>
  <c r="E898" i="1"/>
  <c r="F898" i="1" s="1"/>
  <c r="E970" i="1"/>
  <c r="F970" i="1" s="1"/>
  <c r="E977" i="1"/>
  <c r="F977" i="1" s="1"/>
  <c r="E962" i="1"/>
  <c r="F962" i="1" s="1"/>
  <c r="E925" i="1"/>
  <c r="F925" i="1" s="1"/>
  <c r="E984" i="1"/>
  <c r="F984" i="1" s="1"/>
  <c r="E1407" i="1"/>
  <c r="F1407" i="1" s="1"/>
  <c r="E1008" i="1"/>
  <c r="F1008" i="1" s="1"/>
  <c r="E954" i="1"/>
  <c r="F954" i="1" s="1"/>
  <c r="E934" i="1"/>
  <c r="F934" i="1" s="1"/>
  <c r="E907" i="1"/>
  <c r="F907" i="1" s="1"/>
  <c r="E992" i="1"/>
  <c r="F992" i="1" s="1"/>
  <c r="E1040" i="1"/>
  <c r="F1040" i="1" s="1"/>
  <c r="E1000" i="1"/>
  <c r="F1000" i="1" s="1"/>
  <c r="E889" i="1"/>
  <c r="F889" i="1" s="1"/>
  <c r="E1954" i="1"/>
  <c r="F1954" i="1" s="1"/>
  <c r="G1961" i="1" s="1"/>
  <c r="E735" i="1"/>
  <c r="F735" i="1" s="1"/>
  <c r="G740" i="1"/>
  <c r="G741" i="1" s="1"/>
  <c r="G539" i="1"/>
  <c r="I539" i="1" s="1"/>
  <c r="E1213" i="1"/>
  <c r="F1213" i="1" s="1"/>
  <c r="G1219" i="1"/>
  <c r="F608" i="1"/>
  <c r="E622" i="1"/>
  <c r="E1549" i="1"/>
  <c r="F1549" i="1" s="1"/>
  <c r="F1537" i="1"/>
  <c r="E1134" i="1"/>
  <c r="F1134" i="1" s="1"/>
  <c r="E1159" i="1"/>
  <c r="F1159" i="1" s="1"/>
  <c r="F1147" i="1"/>
  <c r="E2015" i="1"/>
  <c r="F2015" i="1" s="1"/>
  <c r="G2017" i="1" s="1"/>
  <c r="E1706" i="1"/>
  <c r="F1706" i="1" s="1"/>
  <c r="G1710" i="1" s="1"/>
  <c r="E1176" i="1"/>
  <c r="F1164" i="1"/>
  <c r="E1646" i="1"/>
  <c r="F1646" i="1" s="1"/>
  <c r="G1649" i="1" s="1"/>
  <c r="G1650" i="1"/>
  <c r="E532" i="1"/>
  <c r="F532" i="1" s="1"/>
  <c r="G540" i="1" s="1"/>
  <c r="E635" i="1"/>
  <c r="F635" i="1" s="1"/>
  <c r="E1536" i="1"/>
  <c r="F1524" i="1"/>
  <c r="G1531" i="1" s="1"/>
  <c r="G410" i="1"/>
  <c r="G1318" i="1"/>
  <c r="E1314" i="1"/>
  <c r="F1314" i="1" s="1"/>
  <c r="E2041" i="1"/>
  <c r="F2041" i="1" s="1"/>
  <c r="F2033" i="1"/>
  <c r="E2007" i="1"/>
  <c r="F2007" i="1" s="1"/>
  <c r="G2010" i="1" s="1"/>
  <c r="G1220" i="1"/>
  <c r="A134" i="1"/>
  <c r="A138" i="1" s="1"/>
  <c r="A143" i="1" s="1"/>
  <c r="A146" i="1" s="1"/>
  <c r="A130" i="1"/>
  <c r="E843" i="1"/>
  <c r="E807" i="1"/>
  <c r="G559" i="1"/>
  <c r="E1621" i="1"/>
  <c r="F1621" i="1" s="1"/>
  <c r="F1610" i="1"/>
  <c r="E1611" i="1" s="1"/>
  <c r="F1611" i="1" s="1"/>
  <c r="G1615" i="1" s="1"/>
  <c r="G387" i="1"/>
  <c r="G316" i="1"/>
  <c r="A257" i="1"/>
  <c r="A176" i="1"/>
  <c r="A182" i="1" s="1"/>
  <c r="A188" i="1" s="1"/>
  <c r="A198" i="1" s="1"/>
  <c r="A208" i="1" s="1"/>
  <c r="E449" i="1"/>
  <c r="F449" i="1" s="1"/>
  <c r="G453" i="1" s="1"/>
  <c r="J453" i="1" s="1"/>
  <c r="J455" i="1" s="1"/>
  <c r="I456" i="1" s="1"/>
  <c r="F1881" i="1"/>
  <c r="E1894" i="1"/>
  <c r="F1894" i="1" s="1"/>
  <c r="E1895" i="1" s="1"/>
  <c r="F1895" i="1" s="1"/>
  <c r="F1162" i="1"/>
  <c r="E1174" i="1"/>
  <c r="E2023" i="1"/>
  <c r="F2023" i="1" s="1"/>
  <c r="G2026" i="1"/>
  <c r="E1921" i="1"/>
  <c r="F1921" i="1" s="1"/>
  <c r="G1929" i="1" s="1"/>
  <c r="E1552" i="1"/>
  <c r="F1552" i="1" s="1"/>
  <c r="F1540" i="1"/>
  <c r="E1325" i="1"/>
  <c r="F1313" i="1"/>
  <c r="E480" i="1"/>
  <c r="F480" i="1" s="1"/>
  <c r="G558" i="1"/>
  <c r="I558" i="1" s="1"/>
  <c r="G541" i="1"/>
  <c r="G727" i="1"/>
  <c r="G580" i="1"/>
  <c r="E168" i="1"/>
  <c r="F168" i="1" s="1"/>
  <c r="G169" i="1" s="1"/>
  <c r="E1469" i="1"/>
  <c r="F1469" i="1" s="1"/>
  <c r="G1473" i="1" s="1"/>
  <c r="G343" i="1"/>
  <c r="G366" i="1"/>
  <c r="G163" i="1"/>
  <c r="E2323" i="1" s="1"/>
  <c r="F2323" i="1" s="1"/>
  <c r="G2324" i="1" s="1"/>
  <c r="E1388" i="1"/>
  <c r="F1388" i="1" s="1"/>
  <c r="G1393" i="1" s="1"/>
  <c r="C796" i="1"/>
  <c r="F796" i="1" s="1"/>
  <c r="F795" i="1"/>
  <c r="E2219" i="1"/>
  <c r="F2218" i="1"/>
  <c r="G1845" i="1"/>
  <c r="E1114" i="1"/>
  <c r="F1114" i="1" s="1"/>
  <c r="G1116" i="1" s="1"/>
  <c r="E1575" i="1"/>
  <c r="F1575" i="1" s="1"/>
  <c r="G1579" i="1" s="1"/>
  <c r="F845" i="1"/>
  <c r="E711" i="1"/>
  <c r="F711" i="1" s="1"/>
  <c r="G1306" i="1"/>
  <c r="E1882" i="1"/>
  <c r="F1882" i="1" s="1"/>
  <c r="G1886" i="1" s="1"/>
  <c r="E2083" i="1" s="1"/>
  <c r="G255" i="1"/>
  <c r="F1679" i="1"/>
  <c r="E1689" i="1"/>
  <c r="F1678" i="1"/>
  <c r="E1688" i="1"/>
  <c r="F1688" i="1" s="1"/>
  <c r="E1599" i="1"/>
  <c r="F1599" i="1" s="1"/>
  <c r="G1603" i="1" s="1"/>
  <c r="E1656" i="1"/>
  <c r="F1656" i="1" s="1"/>
  <c r="G1659" i="1" s="1"/>
  <c r="E1527" i="1"/>
  <c r="F1527" i="1" s="1"/>
  <c r="G1568" i="1"/>
  <c r="G627" i="1"/>
  <c r="F1166" i="1"/>
  <c r="E1178" i="1"/>
  <c r="F1178" i="1" s="1"/>
  <c r="G520" i="1"/>
  <c r="E2039" i="1"/>
  <c r="F2039" i="1" s="1"/>
  <c r="F2022" i="1"/>
  <c r="E2030" i="1"/>
  <c r="F2030" i="1" s="1"/>
  <c r="E2031" i="1" s="1"/>
  <c r="F2031" i="1" s="1"/>
  <c r="E1253" i="1"/>
  <c r="F1241" i="1"/>
  <c r="F1665" i="1"/>
  <c r="E1666" i="1" s="1"/>
  <c r="F1666" i="1" s="1"/>
  <c r="E1676" i="1"/>
  <c r="E1481" i="1"/>
  <c r="F1481" i="1" s="1"/>
  <c r="G1485" i="1" s="1"/>
  <c r="G1991" i="1"/>
  <c r="E1989" i="1"/>
  <c r="F1989" i="1" s="1"/>
  <c r="F1760" i="1"/>
  <c r="E1761" i="1" s="1"/>
  <c r="F1761" i="1" s="1"/>
  <c r="E1773" i="1"/>
  <c r="G1823" i="1"/>
  <c r="E1779" i="1"/>
  <c r="F1779" i="1" s="1"/>
  <c r="F1766" i="1"/>
  <c r="G1425" i="1"/>
  <c r="E1421" i="1"/>
  <c r="F1421" i="1" s="1"/>
  <c r="F1224" i="1"/>
  <c r="E1237" i="1"/>
  <c r="E202" i="1"/>
  <c r="F202" i="1" s="1"/>
  <c r="G206" i="1" s="1"/>
  <c r="G1507" i="1"/>
  <c r="E1875" i="1" s="1"/>
  <c r="F1875" i="1" s="1"/>
  <c r="F1900" i="1"/>
  <c r="E1901" i="1"/>
  <c r="F1901" i="1" s="1"/>
  <c r="E1716" i="1"/>
  <c r="F1716" i="1" s="1"/>
  <c r="G1719" i="1" s="1"/>
  <c r="E2152" i="1"/>
  <c r="F2152" i="1" s="1"/>
  <c r="E1872" i="1"/>
  <c r="F1872" i="1" s="1"/>
  <c r="G1519" i="1"/>
  <c r="E1515" i="1"/>
  <c r="F1515" i="1" s="1"/>
  <c r="E2040" i="1"/>
  <c r="F2040" i="1" s="1"/>
  <c r="G2042" i="1" s="1"/>
  <c r="E1634" i="1"/>
  <c r="F1634" i="1" s="1"/>
  <c r="G1639" i="1" s="1"/>
  <c r="E1693" i="1"/>
  <c r="F1693" i="1" s="1"/>
  <c r="F1582" i="1"/>
  <c r="F1160" i="1"/>
  <c r="E1172" i="1"/>
  <c r="F1226" i="1"/>
  <c r="E1239" i="1"/>
  <c r="E495" i="1"/>
  <c r="F495" i="1" s="1"/>
  <c r="E1457" i="1"/>
  <c r="F1457" i="1" s="1"/>
  <c r="G1461" i="1" s="1"/>
  <c r="G1404" i="1"/>
  <c r="G443" i="1"/>
  <c r="J443" i="1" s="1"/>
  <c r="E876" i="1"/>
  <c r="F876" i="1" s="1"/>
  <c r="E883" i="1"/>
  <c r="F883" i="1" s="1"/>
  <c r="A352" i="2" l="1"/>
  <c r="A351" i="2"/>
  <c r="A255" i="2"/>
  <c r="A233" i="2"/>
  <c r="A241" i="2"/>
  <c r="A286" i="2"/>
  <c r="A287" i="2" s="1"/>
  <c r="A288" i="2" s="1"/>
  <c r="A289" i="2" s="1"/>
  <c r="A290" i="2" s="1"/>
  <c r="A291" i="2" s="1"/>
  <c r="A301" i="2"/>
  <c r="E2100" i="1"/>
  <c r="F2100" i="1" s="1"/>
  <c r="F2083" i="1"/>
  <c r="E1906" i="1"/>
  <c r="F1906" i="1" s="1"/>
  <c r="E797" i="1"/>
  <c r="F797" i="1" s="1"/>
  <c r="G802" i="1" s="1"/>
  <c r="G803" i="1" s="1"/>
  <c r="F1174" i="1"/>
  <c r="E1186" i="1"/>
  <c r="F1186" i="1" s="1"/>
  <c r="E986" i="1"/>
  <c r="F986" i="1" s="1"/>
  <c r="G989" i="1" s="1"/>
  <c r="G1604" i="1"/>
  <c r="J558" i="1"/>
  <c r="J560" i="1" s="1"/>
  <c r="E927" i="1"/>
  <c r="F927" i="1" s="1"/>
  <c r="G931" i="1" s="1"/>
  <c r="G1244" i="1"/>
  <c r="E1240" i="1"/>
  <c r="F1240" i="1" s="1"/>
  <c r="E819" i="1"/>
  <c r="F819" i="1" s="1"/>
  <c r="F807" i="1"/>
  <c r="E818" i="1"/>
  <c r="F818" i="1" s="1"/>
  <c r="E831" i="1"/>
  <c r="F831" i="1" s="1"/>
  <c r="E808" i="1"/>
  <c r="E964" i="1"/>
  <c r="F964" i="1" s="1"/>
  <c r="G967" i="1"/>
  <c r="F1237" i="1"/>
  <c r="E1249" i="1"/>
  <c r="F1773" i="1"/>
  <c r="E1786" i="1"/>
  <c r="E844" i="1"/>
  <c r="F844" i="1" s="1"/>
  <c r="E857" i="1"/>
  <c r="F843" i="1"/>
  <c r="F1536" i="1"/>
  <c r="E1548" i="1"/>
  <c r="F1548" i="1" s="1"/>
  <c r="G1670" i="1"/>
  <c r="E891" i="1"/>
  <c r="F891" i="1" s="1"/>
  <c r="G895" i="1" s="1"/>
  <c r="E979" i="1"/>
  <c r="F979" i="1" s="1"/>
  <c r="G982" i="1"/>
  <c r="E1251" i="1"/>
  <c r="F1239" i="1"/>
  <c r="G1231" i="1"/>
  <c r="G2034" i="1"/>
  <c r="E1002" i="1"/>
  <c r="F1002" i="1" s="1"/>
  <c r="G1005" i="1"/>
  <c r="E972" i="1"/>
  <c r="F972" i="1" s="1"/>
  <c r="G975" i="1" s="1"/>
  <c r="E1337" i="1"/>
  <c r="F1337" i="1" s="1"/>
  <c r="F1325" i="1"/>
  <c r="E1151" i="1"/>
  <c r="F1151" i="1" s="1"/>
  <c r="G1155" i="1"/>
  <c r="E1042" i="1"/>
  <c r="F1042" i="1" s="1"/>
  <c r="G1045" i="1" s="1"/>
  <c r="E900" i="1"/>
  <c r="F900" i="1" s="1"/>
  <c r="G904" i="1" s="1"/>
  <c r="F1172" i="1"/>
  <c r="E1184" i="1"/>
  <c r="F1184" i="1" s="1"/>
  <c r="E1699" i="1"/>
  <c r="F1699" i="1" s="1"/>
  <c r="F1689" i="1"/>
  <c r="G1167" i="1"/>
  <c r="E1163" i="1"/>
  <c r="F1163" i="1" s="1"/>
  <c r="E994" i="1"/>
  <c r="F994" i="1" s="1"/>
  <c r="G997" i="1"/>
  <c r="G922" i="1"/>
  <c r="E918" i="1"/>
  <c r="F918" i="1" s="1"/>
  <c r="G1767" i="1"/>
  <c r="A237" i="1"/>
  <c r="A247" i="1" s="1"/>
  <c r="A217" i="1"/>
  <c r="A227" i="1" s="1"/>
  <c r="E1138" i="1"/>
  <c r="F1138" i="1" s="1"/>
  <c r="G1143" i="1"/>
  <c r="G913" i="1"/>
  <c r="E909" i="1"/>
  <c r="F909" i="1" s="1"/>
  <c r="E947" i="1"/>
  <c r="F947" i="1" s="1"/>
  <c r="G951" i="1"/>
  <c r="F809" i="1"/>
  <c r="E833" i="1"/>
  <c r="F833" i="1" s="1"/>
  <c r="E885" i="1"/>
  <c r="F885" i="1" s="1"/>
  <c r="G887" i="1"/>
  <c r="G1591" i="1"/>
  <c r="E1587" i="1"/>
  <c r="F1587" i="1" s="1"/>
  <c r="G1592" i="1"/>
  <c r="E1686" i="1"/>
  <c r="F1686" i="1" s="1"/>
  <c r="F1676" i="1"/>
  <c r="A259" i="1"/>
  <c r="A273" i="1" s="1"/>
  <c r="A287" i="1" s="1"/>
  <c r="A301" i="1"/>
  <c r="G940" i="1"/>
  <c r="E936" i="1"/>
  <c r="F936" i="1" s="1"/>
  <c r="E878" i="1"/>
  <c r="F878" i="1" s="1"/>
  <c r="G880" i="1"/>
  <c r="E661" i="1" s="1"/>
  <c r="F661" i="1" s="1"/>
  <c r="E1697" i="1"/>
  <c r="F1697" i="1" s="1"/>
  <c r="G1700" i="1" s="1"/>
  <c r="E1907" i="1" s="1"/>
  <c r="F1907" i="1" s="1"/>
  <c r="G1911" i="1" s="1"/>
  <c r="E1622" i="1"/>
  <c r="F1622" i="1" s="1"/>
  <c r="G1626" i="1" s="1"/>
  <c r="E956" i="1"/>
  <c r="F956" i="1" s="1"/>
  <c r="G959" i="1" s="1"/>
  <c r="E870" i="1" s="1"/>
  <c r="F870" i="1" s="1"/>
  <c r="E1188" i="1"/>
  <c r="F1188" i="1" s="1"/>
  <c r="F1176" i="1"/>
  <c r="F622" i="1"/>
  <c r="E638" i="1"/>
  <c r="F638" i="1" s="1"/>
  <c r="G643" i="1" s="1"/>
  <c r="E1010" i="1"/>
  <c r="F1010" i="1" s="1"/>
  <c r="G1012" i="1" s="1"/>
  <c r="E1017" i="1" s="1"/>
  <c r="F1017" i="1" s="1"/>
  <c r="G1018" i="1" s="1"/>
  <c r="G2155" i="1"/>
  <c r="G1898" i="1"/>
  <c r="F1253" i="1"/>
  <c r="E1265" i="1"/>
  <c r="E2220" i="1"/>
  <c r="F2220" i="1" s="1"/>
  <c r="F2219" i="1"/>
  <c r="G2221" i="1" s="1"/>
  <c r="E2070" i="1"/>
  <c r="F2070" i="1" s="1"/>
  <c r="G728" i="1"/>
  <c r="G1709" i="1"/>
  <c r="G1415" i="1"/>
  <c r="E1410" i="1"/>
  <c r="F1410" i="1" s="1"/>
  <c r="E2136" i="1"/>
  <c r="F2136" i="1" s="1"/>
  <c r="G2140" i="1" s="1"/>
  <c r="E1871" i="1"/>
  <c r="F1871" i="1" s="1"/>
  <c r="E2052" i="1"/>
  <c r="A307" i="2" l="1"/>
  <c r="A308" i="2" s="1"/>
  <c r="A309" i="2" s="1"/>
  <c r="A310" i="2" s="1"/>
  <c r="A311" i="2" s="1"/>
  <c r="A312" i="2" s="1"/>
  <c r="A313" i="2" s="1"/>
  <c r="A314" i="2" s="1"/>
  <c r="A315" i="2" s="1"/>
  <c r="A316" i="2" s="1"/>
  <c r="A302" i="2"/>
  <c r="A303" i="2" s="1"/>
  <c r="A238" i="2"/>
  <c r="A243" i="2"/>
  <c r="A257" i="2"/>
  <c r="A256" i="2"/>
  <c r="A235" i="2"/>
  <c r="A270" i="2"/>
  <c r="A260" i="2"/>
  <c r="A259" i="2"/>
  <c r="E2062" i="1"/>
  <c r="F2062" i="1" s="1"/>
  <c r="E2054" i="1"/>
  <c r="F2054" i="1" s="1"/>
  <c r="G905" i="1"/>
  <c r="E662" i="1"/>
  <c r="F662" i="1" s="1"/>
  <c r="E663" i="1"/>
  <c r="F663" i="1" s="1"/>
  <c r="E869" i="1"/>
  <c r="F869" i="1" s="1"/>
  <c r="G871" i="1" s="1"/>
  <c r="G1887" i="1"/>
  <c r="E2097" i="1"/>
  <c r="F2097" i="1" s="1"/>
  <c r="E1059" i="1"/>
  <c r="F1059" i="1" s="1"/>
  <c r="E1687" i="1"/>
  <c r="F1687" i="1" s="1"/>
  <c r="G1690" i="1"/>
  <c r="F1265" i="1"/>
  <c r="E1277" i="1"/>
  <c r="G1701" i="1"/>
  <c r="E1940" i="1"/>
  <c r="F1940" i="1" s="1"/>
  <c r="G1946" i="1" s="1"/>
  <c r="E2086" i="1"/>
  <c r="F2086" i="1" s="1"/>
  <c r="E832" i="1"/>
  <c r="F832" i="1" s="1"/>
  <c r="F808" i="1"/>
  <c r="G1543" i="1"/>
  <c r="E1539" i="1"/>
  <c r="F1539" i="1" s="1"/>
  <c r="G1192" i="1"/>
  <c r="E1187" i="1"/>
  <c r="F1187" i="1" s="1"/>
  <c r="G668" i="1"/>
  <c r="G669" i="1" s="1"/>
  <c r="E2060" i="1"/>
  <c r="F2060" i="1" s="1"/>
  <c r="G2065" i="1" s="1"/>
  <c r="F2052" i="1"/>
  <c r="F857" i="1"/>
  <c r="E858" i="1"/>
  <c r="F858" i="1" s="1"/>
  <c r="E1551" i="1"/>
  <c r="F1551" i="1" s="1"/>
  <c r="G1556" i="1" s="1"/>
  <c r="E1175" i="1"/>
  <c r="F1175" i="1" s="1"/>
  <c r="G1179" i="1"/>
  <c r="E1774" i="1"/>
  <c r="F1774" i="1" s="1"/>
  <c r="G1780" i="1"/>
  <c r="E2080" i="1"/>
  <c r="E2079" i="1"/>
  <c r="F2079" i="1" s="1"/>
  <c r="G2073" i="1" s="1"/>
  <c r="E1873" i="1"/>
  <c r="F1873" i="1" s="1"/>
  <c r="E1797" i="1"/>
  <c r="F1797" i="1" s="1"/>
  <c r="F1786" i="1"/>
  <c r="G2068" i="1"/>
  <c r="F1249" i="1"/>
  <c r="E1261" i="1"/>
  <c r="F1261" i="1" s="1"/>
  <c r="E1338" i="1"/>
  <c r="F1338" i="1" s="1"/>
  <c r="G1342" i="1" s="1"/>
  <c r="E810" i="1"/>
  <c r="E1057" i="1"/>
  <c r="F1057" i="1" s="1"/>
  <c r="G1060" i="1" s="1"/>
  <c r="E1262" i="1"/>
  <c r="F1251" i="1"/>
  <c r="A344" i="1"/>
  <c r="A303" i="1"/>
  <c r="A317" i="1" s="1"/>
  <c r="A331" i="1" s="1"/>
  <c r="E2098" i="1"/>
  <c r="F2098" i="1" s="1"/>
  <c r="E1058" i="1"/>
  <c r="F1058" i="1" s="1"/>
  <c r="G2082" i="1"/>
  <c r="E1677" i="1"/>
  <c r="F1677" i="1" s="1"/>
  <c r="G1680" i="1" s="1"/>
  <c r="E1326" i="1"/>
  <c r="F1326" i="1" s="1"/>
  <c r="G1331" i="1"/>
  <c r="G1330" i="1"/>
  <c r="A239" i="2" l="1"/>
  <c r="A240" i="2" s="1"/>
  <c r="A242" i="2" s="1"/>
  <c r="A272" i="2"/>
  <c r="A258" i="2"/>
  <c r="A236" i="2"/>
  <c r="A237" i="2" s="1"/>
  <c r="E834" i="1"/>
  <c r="E821" i="1"/>
  <c r="F821" i="1" s="1"/>
  <c r="G824" i="1" s="1"/>
  <c r="F810" i="1"/>
  <c r="G813" i="1" s="1"/>
  <c r="E1264" i="1"/>
  <c r="F1264" i="1" s="1"/>
  <c r="G1268" i="1" s="1"/>
  <c r="E1274" i="1"/>
  <c r="F1262" i="1"/>
  <c r="E1252" i="1"/>
  <c r="F1252" i="1" s="1"/>
  <c r="G1256" i="1"/>
  <c r="G2088" i="1"/>
  <c r="A346" i="1"/>
  <c r="A357" i="1" s="1"/>
  <c r="A367" i="1" s="1"/>
  <c r="A378" i="1" s="1"/>
  <c r="A389" i="1" s="1"/>
  <c r="A400" i="1" s="1"/>
  <c r="A412" i="1"/>
  <c r="E1798" i="1"/>
  <c r="F1798" i="1" s="1"/>
  <c r="G1802" i="1" s="1"/>
  <c r="E1787" i="1"/>
  <c r="F1787" i="1" s="1"/>
  <c r="G1791" i="1" s="1"/>
  <c r="G2057" i="1"/>
  <c r="E1291" i="1"/>
  <c r="F1291" i="1" s="1"/>
  <c r="F1277" i="1"/>
  <c r="A670" i="1" l="1"/>
  <c r="A414" i="1"/>
  <c r="A424" i="1" s="1"/>
  <c r="A434" i="1" s="1"/>
  <c r="E846" i="1"/>
  <c r="F834" i="1"/>
  <c r="G838" i="1" s="1"/>
  <c r="E1288" i="1"/>
  <c r="F1288" i="1" s="1"/>
  <c r="F1274" i="1"/>
  <c r="E860" i="1" l="1"/>
  <c r="F860" i="1" s="1"/>
  <c r="G864" i="1" s="1"/>
  <c r="F846" i="1"/>
  <c r="G852" i="1" s="1"/>
  <c r="A672" i="1"/>
  <c r="A683" i="1" s="1"/>
  <c r="A694" i="1" s="1"/>
  <c r="A705" i="1" s="1"/>
  <c r="A716" i="1" s="1"/>
  <c r="A729" i="1" s="1"/>
  <c r="A742" i="1" s="1"/>
  <c r="A753" i="1" s="1"/>
  <c r="A765" i="1" s="1"/>
  <c r="A777" i="1" s="1"/>
  <c r="A791" i="1" s="1"/>
  <c r="A804" i="1" s="1"/>
  <c r="A815" i="1" s="1"/>
  <c r="A828" i="1" s="1"/>
  <c r="A840" i="1" s="1"/>
  <c r="A854" i="1" s="1"/>
  <c r="A866" i="1" s="1"/>
  <c r="A873" i="1"/>
  <c r="A444" i="1"/>
  <c r="A455" i="1"/>
  <c r="A486" i="1" s="1"/>
  <c r="A504" i="1" s="1"/>
  <c r="A523" i="1" s="1"/>
  <c r="A542" i="1" s="1"/>
  <c r="A561" i="1" s="1"/>
  <c r="A571" i="1" s="1"/>
  <c r="A581" i="1" s="1"/>
  <c r="A591" i="1" s="1"/>
  <c r="A601" i="1" s="1"/>
  <c r="A613" i="1" s="1"/>
  <c r="A629" i="1" s="1"/>
  <c r="A645" i="1" s="1"/>
  <c r="A656" i="1" s="1"/>
  <c r="E1276" i="1"/>
  <c r="F1276" i="1" s="1"/>
  <c r="G1282" i="1" s="1"/>
  <c r="G1295" i="1"/>
  <c r="E1290" i="1"/>
  <c r="F1290" i="1" s="1"/>
  <c r="A465" i="1" l="1"/>
  <c r="A475" i="1"/>
  <c r="A1019" i="1"/>
  <c r="A875" i="1"/>
  <c r="A882" i="1" s="1"/>
  <c r="A888" i="1" s="1"/>
  <c r="A897" i="1" s="1"/>
  <c r="A906" i="1" s="1"/>
  <c r="A915" i="1" s="1"/>
  <c r="A924" i="1" s="1"/>
  <c r="A933" i="1" s="1"/>
  <c r="A942" i="1" s="1"/>
  <c r="A953" i="1" s="1"/>
  <c r="A961" i="1" s="1"/>
  <c r="A969" i="1" s="1"/>
  <c r="A983" i="1" s="1"/>
  <c r="A991" i="1" s="1"/>
  <c r="A999" i="1" s="1"/>
  <c r="A1007" i="1" s="1"/>
  <c r="A1021" i="1" l="1"/>
  <c r="A1030" i="1" s="1"/>
  <c r="A1039" i="1" s="1"/>
  <c r="A1047" i="1" s="1"/>
  <c r="A1056" i="1" s="1"/>
  <c r="A1062" i="1" s="1"/>
  <c r="A1071" i="1" s="1"/>
  <c r="A1079" i="1" s="1"/>
  <c r="A1085" i="1" s="1"/>
  <c r="A1092" i="1" s="1"/>
  <c r="A1130" i="1"/>
  <c r="A1731" i="1" l="1"/>
  <c r="A1132" i="1"/>
  <c r="A1145" i="1" s="1"/>
  <c r="A1157" i="1" s="1"/>
  <c r="A1169" i="1" s="1"/>
  <c r="A1181" i="1" s="1"/>
  <c r="A1194" i="1" s="1"/>
  <c r="A1207" i="1" s="1"/>
  <c r="A1222" i="1" s="1"/>
  <c r="A1234" i="1" s="1"/>
  <c r="A1247" i="1" s="1"/>
  <c r="A1259" i="1" s="1"/>
  <c r="A1271" i="1" s="1"/>
  <c r="A1285" i="1" s="1"/>
  <c r="A1297" i="1" s="1"/>
  <c r="A1309" i="1" s="1"/>
  <c r="A1321" i="1" s="1"/>
  <c r="A1889" i="1" l="1"/>
  <c r="A1733" i="1"/>
  <c r="A1745" i="1" s="1"/>
  <c r="A1757" i="1" s="1"/>
  <c r="A1770" i="1" s="1"/>
  <c r="A1783" i="1" s="1"/>
  <c r="A1794" i="1" s="1"/>
  <c r="A1804" i="1" s="1"/>
  <c r="A1815" i="1" s="1"/>
  <c r="A1826" i="1" s="1"/>
  <c r="A1837" i="1" s="1"/>
  <c r="A1847" i="1" s="1"/>
  <c r="A1859" i="1" s="1"/>
  <c r="A1870" i="1" s="1"/>
  <c r="A1333" i="1"/>
  <c r="A1345" i="1"/>
  <c r="A1354" i="1" s="1"/>
  <c r="A1371" i="1" l="1"/>
  <c r="A1396" i="1" s="1"/>
  <c r="A1407" i="1" s="1"/>
  <c r="A1418" i="1" s="1"/>
  <c r="A1429" i="1" s="1"/>
  <c r="A1440" i="1" s="1"/>
  <c r="A1452" i="1" s="1"/>
  <c r="A1464" i="1" s="1"/>
  <c r="A1476" i="1" s="1"/>
  <c r="A1489" i="1" s="1"/>
  <c r="A1498" i="1" s="1"/>
  <c r="A1510" i="1" s="1"/>
  <c r="A1522" i="1" s="1"/>
  <c r="A1534" i="1" s="1"/>
  <c r="A1546" i="1" s="1"/>
  <c r="A1558" i="1" s="1"/>
  <c r="A1363" i="1"/>
  <c r="A1983" i="1"/>
  <c r="A1891" i="1"/>
  <c r="A1900" i="1" s="1"/>
  <c r="A1914" i="1" s="1"/>
  <c r="A1932" i="1" s="1"/>
  <c r="A1948" i="1" s="1"/>
  <c r="A1963" i="1" s="1"/>
  <c r="A1974" i="1" s="1"/>
  <c r="A1985" i="1" l="1"/>
  <c r="A2050" i="1"/>
  <c r="A2052" i="1" s="1"/>
  <c r="A2060" i="1" s="1"/>
  <c r="A2068" i="1" s="1"/>
  <c r="A2136" i="1" s="1"/>
  <c r="A1570" i="1"/>
  <c r="A1594" i="1" s="1"/>
  <c r="A1606" i="1" s="1"/>
  <c r="A1582" i="1"/>
  <c r="A1642" i="1" l="1"/>
  <c r="A1652" i="1" s="1"/>
  <c r="A1662" i="1" s="1"/>
  <c r="A1673" i="1" s="1"/>
  <c r="A1683" i="1" s="1"/>
  <c r="A1693" i="1" s="1"/>
  <c r="A1702" i="1" s="1"/>
  <c r="A1712" i="1" s="1"/>
  <c r="A1617" i="1"/>
  <c r="A1629" i="1" s="1"/>
  <c r="A1994" i="1"/>
  <c r="A2020" i="1"/>
  <c r="A2002" i="1" l="1"/>
  <c r="A2029" i="1"/>
  <c r="A2037" i="1" s="1"/>
  <c r="A2044" i="1" s="1"/>
  <c r="A20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Krismelly De la Rosa</author>
    <author>Elaine Moreno</author>
  </authors>
  <commentList>
    <comment ref="E12" authorId="0" shapeId="0" xr:uid="{E287ACD3-AB15-4F86-964C-29356DA2A526}">
      <text>
        <r>
          <rPr>
            <b/>
            <sz val="9"/>
            <color indexed="81"/>
            <rFont val="Tahoma"/>
            <family val="2"/>
          </rPr>
          <t>Krismelly De la Rosa:</t>
        </r>
        <r>
          <rPr>
            <sz val="9"/>
            <color indexed="81"/>
            <rFont val="Tahoma"/>
            <family val="2"/>
          </rPr>
          <t xml:space="preserve">
Costo regulado MOPC</t>
        </r>
      </text>
    </comment>
    <comment ref="E296" authorId="1" shapeId="0" xr:uid="{249DBA32-1C3B-49EE-89FF-86E84AD36F0F}">
      <text>
        <r>
          <rPr>
            <b/>
            <sz val="9"/>
            <color indexed="81"/>
            <rFont val="Tahoma"/>
            <family val="2"/>
          </rPr>
          <t>Elaine Moreno:</t>
        </r>
        <r>
          <rPr>
            <sz val="9"/>
            <color indexed="81"/>
            <rFont val="Tahoma"/>
            <family val="2"/>
          </rPr>
          <t xml:space="preserve">
PRECIO TOMADO DE LA VENTANA LISTA DE PRECIOS
</t>
        </r>
      </text>
    </comment>
    <comment ref="B847" authorId="1" shapeId="0" xr:uid="{6DBB0048-D99D-45A7-8822-30FCCA76721F}">
      <text>
        <r>
          <rPr>
            <b/>
            <sz val="9"/>
            <color indexed="81"/>
            <rFont val="Tahoma"/>
            <family val="2"/>
          </rPr>
          <t>Elaine Moreno: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47" authorId="1" shapeId="0" xr:uid="{2625DCA0-CB16-49F7-85FF-093F2043B472}">
      <text>
        <r>
          <rPr>
            <b/>
            <sz val="9"/>
            <color indexed="81"/>
            <rFont val="Tahoma"/>
            <family val="2"/>
          </rPr>
          <t>Elaine Moreno:</t>
        </r>
        <r>
          <rPr>
            <sz val="9"/>
            <color indexed="81"/>
            <rFont val="Tahoma"/>
            <family val="2"/>
          </rPr>
          <t xml:space="preserve">
analisis instalacion sanitaria
</t>
        </r>
      </text>
    </comment>
    <comment ref="E849" authorId="1" shapeId="0" xr:uid="{32F6D711-5A21-406F-A20C-F59E2EDB672F}">
      <text>
        <r>
          <rPr>
            <b/>
            <sz val="9"/>
            <color indexed="81"/>
            <rFont val="Tahoma"/>
            <family val="2"/>
          </rPr>
          <t>Elaine Moreno:</t>
        </r>
        <r>
          <rPr>
            <sz val="9"/>
            <color indexed="81"/>
            <rFont val="Tahoma"/>
            <family val="2"/>
          </rPr>
          <t xml:space="preserve">
NO ENCONTRADO</t>
        </r>
      </text>
    </comment>
    <comment ref="E850" authorId="1" shapeId="0" xr:uid="{7ED1EAA4-E87A-4F12-9209-2C0D05E63EA4}">
      <text>
        <r>
          <rPr>
            <b/>
            <sz val="9"/>
            <color indexed="81"/>
            <rFont val="Tahoma"/>
            <family val="2"/>
          </rPr>
          <t>Elaine Moreno:</t>
        </r>
        <r>
          <rPr>
            <sz val="9"/>
            <color indexed="81"/>
            <rFont val="Tahoma"/>
            <family val="2"/>
          </rPr>
          <t xml:space="preserve">
NO ENCONTRADO</t>
        </r>
      </text>
    </comment>
  </commentList>
</comments>
</file>

<file path=xl/sharedStrings.xml><?xml version="1.0" encoding="utf-8"?>
<sst xmlns="http://schemas.openxmlformats.org/spreadsheetml/2006/main" count="5950" uniqueCount="1786">
  <si>
    <t>FECHA:</t>
  </si>
  <si>
    <t>ANALISIS DE COSTO</t>
  </si>
  <si>
    <t>OBRA:</t>
  </si>
  <si>
    <t>LUGAR:</t>
  </si>
  <si>
    <t>PUNTA CANA REP DOM</t>
  </si>
  <si>
    <t>No.</t>
  </si>
  <si>
    <t xml:space="preserve">        PARTIDA</t>
  </si>
  <si>
    <t xml:space="preserve">   CANT.</t>
  </si>
  <si>
    <t>UD</t>
  </si>
  <si>
    <t xml:space="preserve"> P/UNIT.</t>
  </si>
  <si>
    <t>VALOR</t>
  </si>
  <si>
    <t>TOTAL PARTIDA</t>
  </si>
  <si>
    <t>REPLANTEO Y CHARRANCHA</t>
  </si>
  <si>
    <t>ml</t>
  </si>
  <si>
    <t xml:space="preserve">Replanteo    </t>
  </si>
  <si>
    <t>PA</t>
  </si>
  <si>
    <t>Maestro</t>
  </si>
  <si>
    <t>dias</t>
  </si>
  <si>
    <t>Ayudante</t>
  </si>
  <si>
    <t>/ML</t>
  </si>
  <si>
    <t>ALMACÉN DE MATERIALES ( 3X8MTS.)</t>
  </si>
  <si>
    <t>m2</t>
  </si>
  <si>
    <t>Madera P.B.A (4"x4")</t>
  </si>
  <si>
    <t>P2</t>
  </si>
  <si>
    <t>Madera P.B.A (2"x4")</t>
  </si>
  <si>
    <t>Madera P.B.A (1"x4")</t>
  </si>
  <si>
    <t>Plywood A. (4'x8'x3/4") 2 usos</t>
  </si>
  <si>
    <t>u</t>
  </si>
  <si>
    <t>Plywood A. (4'x8'x1/8")</t>
  </si>
  <si>
    <t>Aluzinc de 3´x16´ canalado (2 usos)</t>
  </si>
  <si>
    <t>Clavos corrientes</t>
  </si>
  <si>
    <t>lb</t>
  </si>
  <si>
    <t>Clavos de zinc</t>
  </si>
  <si>
    <t xml:space="preserve">Desperdicio </t>
  </si>
  <si>
    <t>%</t>
  </si>
  <si>
    <t>Bisagras 3½"x3½"</t>
  </si>
  <si>
    <t>par</t>
  </si>
  <si>
    <t>Pestillos</t>
  </si>
  <si>
    <t>Llavin Corriente</t>
  </si>
  <si>
    <t>Porta Candado 3"</t>
  </si>
  <si>
    <t>Candado</t>
  </si>
  <si>
    <t>Salida de Luces Lamp. Fluorescente</t>
  </si>
  <si>
    <t>Interrutor Sencillo</t>
  </si>
  <si>
    <t>Salida tomacorrientes 110 v.</t>
  </si>
  <si>
    <t>Confeccion de Almacen (incluye muros y techo)</t>
  </si>
  <si>
    <t>U</t>
  </si>
  <si>
    <t>Desmantelar Almacen</t>
  </si>
  <si>
    <t>ud.</t>
  </si>
  <si>
    <t>/UD</t>
  </si>
  <si>
    <t>HORMIGONES Y MORTEROS</t>
  </si>
  <si>
    <t>HORMIGON 140 KG/CM2 LIGADO EN OBRA</t>
  </si>
  <si>
    <t>Cemento gris</t>
  </si>
  <si>
    <t>FDA</t>
  </si>
  <si>
    <t>Arena gruesa</t>
  </si>
  <si>
    <t>M3</t>
  </si>
  <si>
    <t>Grava</t>
  </si>
  <si>
    <t>Agua</t>
  </si>
  <si>
    <t>Gls</t>
  </si>
  <si>
    <t>Ligado</t>
  </si>
  <si>
    <t>/M3</t>
  </si>
  <si>
    <t>MORTERO 1:3 (COLOC. DE BLOQUES, PISOS)</t>
  </si>
  <si>
    <t>MORTERO 1:3 (FINO DE TECHO)</t>
  </si>
  <si>
    <t>Aditivo hidrofugo Hydropel</t>
  </si>
  <si>
    <t>MORTERO 1:4: (MEZCLA PARA PAÑETE)</t>
  </si>
  <si>
    <t>Cal</t>
  </si>
  <si>
    <t xml:space="preserve">Arena fina </t>
  </si>
  <si>
    <t>Cernido arena</t>
  </si>
  <si>
    <t>Desperdicios</t>
  </si>
  <si>
    <t>MORTERO 1:4: (MEZCLA PARA PAÑETE) EXT</t>
  </si>
  <si>
    <t>Arena Gruesa Itabo</t>
  </si>
  <si>
    <t>MEZCLA CARETEO</t>
  </si>
  <si>
    <t>DERRETIDO DE CEMENTO BLANCO</t>
  </si>
  <si>
    <t>Cemento blanco ( 100 lbs)</t>
  </si>
  <si>
    <t>FDS</t>
  </si>
  <si>
    <t>/LB</t>
  </si>
  <si>
    <t>VERJA EN ALUZINC</t>
  </si>
  <si>
    <t>Excavacion para hoyos</t>
  </si>
  <si>
    <t>Hormigón para poste de madera</t>
  </si>
  <si>
    <t>Madera 2"x4"x16'</t>
  </si>
  <si>
    <t>UDS</t>
  </si>
  <si>
    <t>Aluzinc de 3´x14´ canalado</t>
  </si>
  <si>
    <t>M2</t>
  </si>
  <si>
    <t>LBS</t>
  </si>
  <si>
    <t>Pintura de aluzinc</t>
  </si>
  <si>
    <t>Mano de obra</t>
  </si>
  <si>
    <t>LIMPIEZA SOLAR</t>
  </si>
  <si>
    <t>Limpieza solar</t>
  </si>
  <si>
    <t>Transporte de equipos</t>
  </si>
  <si>
    <t>Suministro de caliche</t>
  </si>
  <si>
    <t xml:space="preserve">Desmonte y Destronque </t>
  </si>
  <si>
    <t>Equipos (retro pala)</t>
  </si>
  <si>
    <t>HR</t>
  </si>
  <si>
    <t>Viajes</t>
  </si>
  <si>
    <t>Ayudante (3 ayudante x dias)</t>
  </si>
  <si>
    <t xml:space="preserve">dias </t>
  </si>
  <si>
    <t>LIMPIEZA CONTINUA (estimado 12 meses)</t>
  </si>
  <si>
    <t>Ayudante (4 ayudante x mes)</t>
  </si>
  <si>
    <t>Bote</t>
  </si>
  <si>
    <t>viajes</t>
  </si>
  <si>
    <t>Materiales limpieza obra gris</t>
  </si>
  <si>
    <t>Mes</t>
  </si>
  <si>
    <t>PRIMER NIVEL</t>
  </si>
  <si>
    <t>LIMPIEZA FINAL (estimado 6 meses)</t>
  </si>
  <si>
    <t>Ayudante (2 ayudante x mes)</t>
  </si>
  <si>
    <t>Ayudante Limpieza (2 ayudante x mes)</t>
  </si>
  <si>
    <t>Supervisión</t>
  </si>
  <si>
    <t xml:space="preserve">Materiales limpieza final </t>
  </si>
  <si>
    <t>BOTE</t>
  </si>
  <si>
    <t xml:space="preserve">Camión </t>
  </si>
  <si>
    <t xml:space="preserve">Viajes </t>
  </si>
  <si>
    <t xml:space="preserve">Ayudante </t>
  </si>
  <si>
    <t xml:space="preserve">viajes </t>
  </si>
  <si>
    <t>GUARDA ALMACEN</t>
  </si>
  <si>
    <t>Guarda almacen</t>
  </si>
  <si>
    <t>Dias</t>
  </si>
  <si>
    <t>SERENO</t>
  </si>
  <si>
    <t>Sereno (noche) (incluye dieta)</t>
  </si>
  <si>
    <t>Sereno (dia)</t>
  </si>
  <si>
    <t xml:space="preserve">Topografia </t>
  </si>
  <si>
    <t>Visitas</t>
  </si>
  <si>
    <t>Toma muestra y ensayo hormigón</t>
  </si>
  <si>
    <t>Toma muestra y supervisión</t>
  </si>
  <si>
    <t>Transporte</t>
  </si>
  <si>
    <t>Probeta</t>
  </si>
  <si>
    <t>Estanque de probeta</t>
  </si>
  <si>
    <t xml:space="preserve"> MOV. TIERRA</t>
  </si>
  <si>
    <t xml:space="preserve"> </t>
  </si>
  <si>
    <t>RELLENO DE REPOCISION COMPACTADO  (C/SUMINISTRO)</t>
  </si>
  <si>
    <t>Suministro de material</t>
  </si>
  <si>
    <t>Entrada de material</t>
  </si>
  <si>
    <t>Regado y mojado</t>
  </si>
  <si>
    <t>Compactación</t>
  </si>
  <si>
    <t>Prueba de proctor</t>
  </si>
  <si>
    <t>Cmabio de suministro a contratacion</t>
  </si>
  <si>
    <t>GRAVA REGADA EN DRIVE WAY</t>
  </si>
  <si>
    <t>HORMIGONES FUNDACION</t>
  </si>
  <si>
    <t>BNP</t>
  </si>
  <si>
    <t xml:space="preserve">PLASTICO BAJO LOSA </t>
  </si>
  <si>
    <t>Barrera de vapor negra</t>
  </si>
  <si>
    <t>ROLLO</t>
  </si>
  <si>
    <t>Colocación de barrera</t>
  </si>
  <si>
    <t>/M2</t>
  </si>
  <si>
    <t>PLASTICO BAJO LOSA 2</t>
  </si>
  <si>
    <t>Barrera de vapor perminator de 10 mils</t>
  </si>
  <si>
    <t>ZAPATA DE MURO DE HORMIGON (1.50 x 0.35) M</t>
  </si>
  <si>
    <t>Hormigón 210  Kg/cm2</t>
  </si>
  <si>
    <t>Acero Ø3/8"</t>
  </si>
  <si>
    <t>QQ</t>
  </si>
  <si>
    <t>Alambre #18</t>
  </si>
  <si>
    <t xml:space="preserve">Envarillado </t>
  </si>
  <si>
    <t>ML</t>
  </si>
  <si>
    <t>Vibrado de hormigón</t>
  </si>
  <si>
    <t>Calzos de varillas</t>
  </si>
  <si>
    <t>ZAPATA DE MURO 8" (0.60 x 0.30) m</t>
  </si>
  <si>
    <t>ZAPATA DE MURO 6" (0.45 x 0.30) m</t>
  </si>
  <si>
    <t>DENTELLON (0.80 x 0.10) m</t>
  </si>
  <si>
    <t>ZAPATA DE MURO 8"  CURVO (0.60 x 0.25) m</t>
  </si>
  <si>
    <t>ZAPATA DE COLUMNA Z1 (1.20M X 1.00M)</t>
  </si>
  <si>
    <t>Acero Ø1/2" C.I</t>
  </si>
  <si>
    <t>ud</t>
  </si>
  <si>
    <t>ZAPATA DE ESCALERA</t>
  </si>
  <si>
    <t>COLUMNAS</t>
  </si>
  <si>
    <t>COLUMNAS C1 (0.30X0.20)</t>
  </si>
  <si>
    <t>Hormigón 240  Kg/cm2</t>
  </si>
  <si>
    <t>Acero de 1"</t>
  </si>
  <si>
    <t>Acero de 3/4"</t>
  </si>
  <si>
    <t>Acero de 1/2"</t>
  </si>
  <si>
    <t>Acero de 3/8"</t>
  </si>
  <si>
    <t>Envarillado</t>
  </si>
  <si>
    <t xml:space="preserve">Carpintería  </t>
  </si>
  <si>
    <t>Cepo</t>
  </si>
  <si>
    <t>BNP-1ER NIVEL</t>
  </si>
  <si>
    <t>SNP- 2DO NIVEL</t>
  </si>
  <si>
    <t>COLUMNAS C2 (0.40X0.20)</t>
  </si>
  <si>
    <t>COLUMNAS DE AMARRE  0.20x0.20</t>
  </si>
  <si>
    <t xml:space="preserve">Carpintería columna </t>
  </si>
  <si>
    <t>2DO NIVEL</t>
  </si>
  <si>
    <t>MUROS DE H.A</t>
  </si>
  <si>
    <t>MURO  MH</t>
  </si>
  <si>
    <t>Acero de  3/4"</t>
  </si>
  <si>
    <t>Acero de  1/2"</t>
  </si>
  <si>
    <t>Acero de  3/8"</t>
  </si>
  <si>
    <t>Carpintería Muro</t>
  </si>
  <si>
    <t xml:space="preserve">Junta </t>
  </si>
  <si>
    <t>Ml</t>
  </si>
  <si>
    <t>MURO MC CURVA</t>
  </si>
  <si>
    <t>MURO PISCINA</t>
  </si>
  <si>
    <t>Hormigón 210 kg/cm2</t>
  </si>
  <si>
    <t>VIGAS</t>
  </si>
  <si>
    <t>Viga de Amarre 30x40 BNP (5 Ø3/8" Est. Ø3/8" @ 0.20m)</t>
  </si>
  <si>
    <t>Acero 1/2" G60</t>
  </si>
  <si>
    <t>Acero 3/8" G60</t>
  </si>
  <si>
    <t xml:space="preserve">Carpintería viga </t>
  </si>
  <si>
    <t>Viga de Amarre 15x20 BNP (4 Ø3/8" Est. Ø3/8" @ 0.20m)</t>
  </si>
  <si>
    <t>DINTELES VD 20cmX20cm &lt;1.20m</t>
  </si>
  <si>
    <t>1ER NIVEL</t>
  </si>
  <si>
    <t>DINTELES VD 20cmX20cm &gt;1.20m</t>
  </si>
  <si>
    <t>Hormigón 240 kg/cm2</t>
  </si>
  <si>
    <t>Vigas De Enrase 8" 20x40cm</t>
  </si>
  <si>
    <t>Vigas De Enrase 6" 15x30cm</t>
  </si>
  <si>
    <t>LOSAS DE CONCRETO</t>
  </si>
  <si>
    <t xml:space="preserve">LOSAS PLANA  H=0.12m 3/8" </t>
  </si>
  <si>
    <t>Acero 3/8" y 1/2"</t>
  </si>
  <si>
    <t>Carpintería plana @ 4M</t>
  </si>
  <si>
    <t xml:space="preserve">LOSAS PLANA  H=0.15m 3/8"  </t>
  </si>
  <si>
    <t>Acero 3/8"</t>
  </si>
  <si>
    <t>Acero 1/2"</t>
  </si>
  <si>
    <t>LOSAS  DE TECHO INCLINADA  (H=0.12M)  primer nivel</t>
  </si>
  <si>
    <t>LOSAS  DE TECHO INCLINADA  (H=0.15M)  primer nivel</t>
  </si>
  <si>
    <t>LOSAS PLANAS DE TECHO  (H=0.15M) segundo nivel</t>
  </si>
  <si>
    <t>LOSAS PLANAS DE TECHO  (H=0.13M) segundo nivel</t>
  </si>
  <si>
    <t xml:space="preserve">LOSAS PLANAS DE SOTANO   (H=0.15M) </t>
  </si>
  <si>
    <t>LOSAS ALIGERADAS  PLANA  LA1 1ER NIVEL 20cm</t>
  </si>
  <si>
    <t>Acero 3/4"</t>
  </si>
  <si>
    <t>Acero adicional 3/8" y 1*2"</t>
  </si>
  <si>
    <t>Malla electrosoldadas 10 x 10</t>
  </si>
  <si>
    <t>Bloques de Fon</t>
  </si>
  <si>
    <t>UDS.</t>
  </si>
  <si>
    <t>Envarillado de nervio</t>
  </si>
  <si>
    <t>Colocacion de Malla electrosoldada</t>
  </si>
  <si>
    <t>Colocacion de fon</t>
  </si>
  <si>
    <t xml:space="preserve">Malla de conejera </t>
  </si>
  <si>
    <t>Carpintería</t>
  </si>
  <si>
    <t>LOSAS ALIGERADAS  PLANA  25cm (PRIMER NIVEL)</t>
  </si>
  <si>
    <t>Malla electrosoldadas 15 x 15</t>
  </si>
  <si>
    <t xml:space="preserve">LOSAS ALIGERADAS  INCLINAD  1ER NIVEL 20 CM </t>
  </si>
  <si>
    <t>LOSAS ALIGERADAS INCLINADA   1ER NIVEL 25CM</t>
  </si>
  <si>
    <t>LOSA FONDO PISCINA (H=0.30M) 3/8¨@0.20M AMBAS CARAS.</t>
  </si>
  <si>
    <t>Guarderas</t>
  </si>
  <si>
    <t>Losa de fondo 20 cm CMS DA en piscina</t>
  </si>
  <si>
    <t>Aditivo SX-Microsile</t>
  </si>
  <si>
    <t>Acero</t>
  </si>
  <si>
    <t xml:space="preserve">LOSA DE FONDO 15 CM CMS DA </t>
  </si>
  <si>
    <t xml:space="preserve">DENTELLON </t>
  </si>
  <si>
    <t>RAMPA DE ESCALERA (H=15CM) 3/8¨@00.15M  SOTANO</t>
  </si>
  <si>
    <t>TR</t>
  </si>
  <si>
    <t xml:space="preserve">Carpintería rampa </t>
  </si>
  <si>
    <t>Carpintería descanso</t>
  </si>
  <si>
    <t>RAMPA DE ESCALERA (H=15cm) 3/8¨@0.25M x 1/2¨@0.10M 1ER NIVEL</t>
  </si>
  <si>
    <t>Acero 3/8" (vigas)</t>
  </si>
  <si>
    <t>5% de incentivo</t>
  </si>
  <si>
    <t>Envarillado descanso</t>
  </si>
  <si>
    <t xml:space="preserve">Pantalla de </t>
  </si>
  <si>
    <r>
      <t>RAMPA DE ESCALERA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>CURVA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 xml:space="preserve">(H=15cm) 1/2¨@0.20M x 1/2¨@0.10M </t>
    </r>
  </si>
  <si>
    <t>Carpinterias de vigas curva</t>
  </si>
  <si>
    <t>Envarillado de vigas  curvas</t>
  </si>
  <si>
    <t>TORTA DE PISO H= 10CM</t>
  </si>
  <si>
    <t>Hormigón  210</t>
  </si>
  <si>
    <t>Fibra</t>
  </si>
  <si>
    <t>M</t>
  </si>
  <si>
    <t>Malla electrosoldada 1/4" (0.10*0.10) 2.3x2.3</t>
  </si>
  <si>
    <t>Rastreado de hormigon</t>
  </si>
  <si>
    <t>Barrera de vapor</t>
  </si>
  <si>
    <t>CANALETA</t>
  </si>
  <si>
    <t>Ranura y demolicion de torta</t>
  </si>
  <si>
    <t xml:space="preserve">Excavacion </t>
  </si>
  <si>
    <t>Vaciado</t>
  </si>
  <si>
    <t>Fraguache</t>
  </si>
  <si>
    <t>Pañete/fino</t>
  </si>
  <si>
    <t>Zabaleta</t>
  </si>
  <si>
    <t>Parrilla</t>
  </si>
  <si>
    <t>Nota: cotizar este material</t>
  </si>
  <si>
    <t>MUROS</t>
  </si>
  <si>
    <t xml:space="preserve">BLOQUES DE 12" 3/8 @ 0.40 BNP </t>
  </si>
  <si>
    <t>Bloques de 12"</t>
  </si>
  <si>
    <t>Mortero en juntas</t>
  </si>
  <si>
    <t>.</t>
  </si>
  <si>
    <t>Hormigón en cámaras</t>
  </si>
  <si>
    <t xml:space="preserve">Desperdicios </t>
  </si>
  <si>
    <t>Traslado de blocks</t>
  </si>
  <si>
    <t>Bastones y Serpentinas / bock</t>
  </si>
  <si>
    <t>Colocación</t>
  </si>
  <si>
    <t xml:space="preserve">BLOQUES DE 12" 3/8 @ 0.40 SNP </t>
  </si>
  <si>
    <t>BLOQUES DE 12" 3/8 @ 0.40 DOBLE ALTURA</t>
  </si>
  <si>
    <t>SEGUNDO NIVEL</t>
  </si>
  <si>
    <t xml:space="preserve">BLOQUES DE 8" 3/8 @ 0.40 BNP </t>
  </si>
  <si>
    <t>Bloques de 8"</t>
  </si>
  <si>
    <t xml:space="preserve">BLOQUES DE 8" 3/8 @ 0.40 SNP </t>
  </si>
  <si>
    <t>Andamios</t>
  </si>
  <si>
    <t>BLOQUES DE 8" 3/8 @ 0.40 SNP, DOBLE ALTURA</t>
  </si>
  <si>
    <t>BLOQUES DE 6"  3/8" @ 0.40 BNP</t>
  </si>
  <si>
    <t>Bloques de 6"</t>
  </si>
  <si>
    <t>BLOQUES DE 6"  3/8" @ 0.40 SNP</t>
  </si>
  <si>
    <t>Andamio</t>
  </si>
  <si>
    <t>BLOQUES DE 6"  3/8" @ 0.40 SNP, DOBLE ALTURA</t>
  </si>
  <si>
    <t>BLOQUES DE  8" doble  3/8" @ 0.80 SNP Y BNP</t>
  </si>
  <si>
    <t>`/M2</t>
  </si>
  <si>
    <t>Bobedilla 0.15mx0.50x0.50m</t>
  </si>
  <si>
    <t>BLOQUES DE 4"  3/8" @ 0.80 SNP DOBLE ALTURA</t>
  </si>
  <si>
    <t>CAMARA DE INSPECCION:0.50 x 0.50 x 1.00 MT.</t>
  </si>
  <si>
    <t>Excavacion(1.00 x 1.00 x 1.30 m.)</t>
  </si>
  <si>
    <t>Bote material excavado</t>
  </si>
  <si>
    <t>Losa de fondo h= 15cm</t>
  </si>
  <si>
    <t>Losa de tapa</t>
  </si>
  <si>
    <t>Muros de block 4´´</t>
  </si>
  <si>
    <t>Pañete pulido</t>
  </si>
  <si>
    <t>Tuberia de 4´´</t>
  </si>
  <si>
    <t>Ft</t>
  </si>
  <si>
    <t>Nota: presupuesto sanitario</t>
  </si>
  <si>
    <t>Tapa de 24´´ Hierro Fundido</t>
  </si>
  <si>
    <t>PARRILLA DE  DRENAJE PLUBIAL :0.50 x 0.50 x 1.00 MT.</t>
  </si>
  <si>
    <t>Parrilla de 24´´ Hierro Fundido</t>
  </si>
  <si>
    <t>TRAMPA DE GRASA: 1.00x1.00x1.00MT</t>
  </si>
  <si>
    <t>Excavacion  roca (1.40 x 1.40 x 1.30 m.)</t>
  </si>
  <si>
    <t>m3</t>
  </si>
  <si>
    <t>Losa de fundación</t>
  </si>
  <si>
    <t>Losa de Tapa</t>
  </si>
  <si>
    <t xml:space="preserve">T-Y de 3´´ PVC </t>
  </si>
  <si>
    <t>Tubería de pvc 3´´</t>
  </si>
  <si>
    <t>CAMARA DESARENADORA: 3.00x1.20x2.00MT</t>
  </si>
  <si>
    <t>Excavacion  roca (3.5 x 1.50 x 3.7 m.)</t>
  </si>
  <si>
    <t>Muros de block 6´´</t>
  </si>
  <si>
    <t xml:space="preserve">T-Y de 6´´ PVC </t>
  </si>
  <si>
    <t>Codos de 3x90 pvc</t>
  </si>
  <si>
    <t>Tubería de pvc 6´´</t>
  </si>
  <si>
    <t>BANCADA DE A/A</t>
  </si>
  <si>
    <t>Base de Hormigon Armado</t>
  </si>
  <si>
    <t>Fino frotado</t>
  </si>
  <si>
    <t>Cantos</t>
  </si>
  <si>
    <t>TERMINACION DE SUPERFICIE</t>
  </si>
  <si>
    <t>FRAGUACHE ML</t>
  </si>
  <si>
    <t>Mezcla para fraguache</t>
  </si>
  <si>
    <t>O.M. Fraguache</t>
  </si>
  <si>
    <t>FRAGUACHE</t>
  </si>
  <si>
    <t xml:space="preserve">PAÑETE MAESTREADO EN INTERIOR </t>
  </si>
  <si>
    <t>Mezcla depañete</t>
  </si>
  <si>
    <t>Maestras y reglas</t>
  </si>
  <si>
    <t>PT</t>
  </si>
  <si>
    <t>Mov  de materiales</t>
  </si>
  <si>
    <t>PAÑETE MAESTREADO EN EXTERIORES</t>
  </si>
  <si>
    <t xml:space="preserve">PAÑETE MAESTREADO EN TECHOS </t>
  </si>
  <si>
    <t>PAÑETE MAESTREADO EN VIGAS Y COLUMNAS Y MURO DE HORMIGON</t>
  </si>
  <si>
    <t>PAÑETE MAESTREADO EN COLUMNAS REDONDA</t>
  </si>
  <si>
    <t>PAÑETE SIN TERMINACION</t>
  </si>
  <si>
    <t>PAÑETE ACUSTICO CUARTO DE MAQUINA</t>
  </si>
  <si>
    <t>Foam de 4"</t>
  </si>
  <si>
    <t>uds.</t>
  </si>
  <si>
    <t>Malla para pañete</t>
  </si>
  <si>
    <t>Mezcla de pañete</t>
  </si>
  <si>
    <t>CANTOS RECTOS INTERIOR</t>
  </si>
  <si>
    <t>Reglas</t>
  </si>
  <si>
    <t>CANTOS RECTOS EXTERIOR</t>
  </si>
  <si>
    <t>Mezcla pañete</t>
  </si>
  <si>
    <t>CANTOS  CURVADOS EXTERIOR</t>
  </si>
  <si>
    <t>GOTERO</t>
  </si>
  <si>
    <t>MOCHETAS RECTAS</t>
  </si>
  <si>
    <t>MOCHETAS CURVAS</t>
  </si>
  <si>
    <t>MOCHETAS LATERAL ESCALERA</t>
  </si>
  <si>
    <t>PAÑETE ESCALONES</t>
  </si>
  <si>
    <t>Conformación de escalon</t>
  </si>
  <si>
    <t>Bloques de 4</t>
  </si>
  <si>
    <t>Mortero relleno</t>
  </si>
  <si>
    <t>Vaciado 5cm</t>
  </si>
  <si>
    <t>Pañete escalones</t>
  </si>
  <si>
    <t xml:space="preserve">Ml </t>
  </si>
  <si>
    <t>TERMINACION EN TECHOS</t>
  </si>
  <si>
    <t>FINO TECHO INCLINADO</t>
  </si>
  <si>
    <t>Mortero hidrófugo</t>
  </si>
  <si>
    <t>Lechada de Cemento</t>
  </si>
  <si>
    <t>FINO TECHO PLANOS</t>
  </si>
  <si>
    <t>ZABALETA</t>
  </si>
  <si>
    <t>TECHOS BERMUDA</t>
  </si>
  <si>
    <t>PAÑETE DE ANTEPECHO</t>
  </si>
  <si>
    <t xml:space="preserve">Pañete de vigas </t>
  </si>
  <si>
    <t>Mochetas</t>
  </si>
  <si>
    <t>TEJAS PLANAS COLOR MARRON CORBET</t>
  </si>
  <si>
    <t>Tejas corbet marron</t>
  </si>
  <si>
    <t>Cotizar este material</t>
  </si>
  <si>
    <t>Madera para correa (todo costo)</t>
  </si>
  <si>
    <t xml:space="preserve">Precio de Ramon actualizado el 14-11-24 </t>
  </si>
  <si>
    <t>Desperdicio</t>
  </si>
  <si>
    <t>Tornillos y tarugos</t>
  </si>
  <si>
    <t xml:space="preserve">Estimado hasta confirmar monto </t>
  </si>
  <si>
    <t>M/O colocar primera linea</t>
  </si>
  <si>
    <t>M/O colocar tejas</t>
  </si>
  <si>
    <t>TEJAS natural tipo planas</t>
  </si>
  <si>
    <t xml:space="preserve">Tejas planas </t>
  </si>
  <si>
    <t>Rooftec</t>
  </si>
  <si>
    <t>Mortero</t>
  </si>
  <si>
    <t>M/O colocar tejas primer linea</t>
  </si>
  <si>
    <t>Subir tejas</t>
  </si>
  <si>
    <t>CABALLETE TRIANGULAR TABASCO</t>
  </si>
  <si>
    <t xml:space="preserve">Caballete </t>
  </si>
  <si>
    <t>M/O Caballete</t>
  </si>
  <si>
    <t>MANTO IMPERMEABLE LONA ASFALTICA</t>
  </si>
  <si>
    <t>Lona asfaltica granulada 4mm</t>
  </si>
  <si>
    <t>Rollos</t>
  </si>
  <si>
    <t>Materiales gastables auxiliares</t>
  </si>
  <si>
    <t>Subida Material</t>
  </si>
  <si>
    <t>CAPA IMPERMEABILIZANTE CON AQUAFIN 1K</t>
  </si>
  <si>
    <t>Impermeabilizante Aquafinf 1K</t>
  </si>
  <si>
    <t>fd</t>
  </si>
  <si>
    <t>Nota: cotizacion</t>
  </si>
  <si>
    <t>impermeabilizacion Dry coat</t>
  </si>
  <si>
    <t>Lona asfaltica granular 4mm</t>
  </si>
  <si>
    <t>Impermeabilizante master seal</t>
  </si>
  <si>
    <t xml:space="preserve">Primer </t>
  </si>
  <si>
    <t>CUB</t>
  </si>
  <si>
    <t>Sealer (rojo)</t>
  </si>
  <si>
    <t>Sellante (blanco)</t>
  </si>
  <si>
    <t>Malla de refuerzo</t>
  </si>
  <si>
    <t>materiales gastables auxiliares</t>
  </si>
  <si>
    <t>subida de materiales</t>
  </si>
  <si>
    <t>Impermeabilizante master seal  en baños</t>
  </si>
  <si>
    <t>PISOS</t>
  </si>
  <si>
    <t xml:space="preserve">CORALINA NATURAL 30 X60 </t>
  </si>
  <si>
    <t>Coralina natural 30x60cm</t>
  </si>
  <si>
    <t>Mezcla para Colocación</t>
  </si>
  <si>
    <t>Pegatod Blanco</t>
  </si>
  <si>
    <t>Fd</t>
  </si>
  <si>
    <t>Derretido blanco</t>
  </si>
  <si>
    <t>Estopa</t>
  </si>
  <si>
    <t>Corte de Chazos</t>
  </si>
  <si>
    <t xml:space="preserve">Colocación coralina </t>
  </si>
  <si>
    <t>Pulido y sellado de coralina</t>
  </si>
  <si>
    <t>Limpieza y Proctetor de pisos T/C</t>
  </si>
  <si>
    <t>CORALINA NATURAL 30 X 30 PLUMILLA Y 20 X 40</t>
  </si>
  <si>
    <t>Coralina natural 30 x 30 cm</t>
  </si>
  <si>
    <t>CORALINA NATURAL 20 X 40</t>
  </si>
  <si>
    <t>Coralina natural 20 x 40 cm</t>
  </si>
  <si>
    <t xml:space="preserve">CORALINA NATURAL 20 X 20 </t>
  </si>
  <si>
    <t>Coralina natural 20 x 20 cm</t>
  </si>
  <si>
    <t>CORALINA NATURAL 60 X 60</t>
  </si>
  <si>
    <t>Coralina natural 60 x 60 cm</t>
  </si>
  <si>
    <t>CORALINA CLASICA 60x120</t>
  </si>
  <si>
    <t>segundo nivel</t>
  </si>
  <si>
    <t>CORALINA NATURAL30 X 60 CM EN TERRAZAS</t>
  </si>
  <si>
    <t>Coralina natural 30 x 60 cm</t>
  </si>
  <si>
    <t>Sellado y pulido</t>
  </si>
  <si>
    <t>CORALINA NATURAL LOCA</t>
  </si>
  <si>
    <t>Coralina loca</t>
  </si>
  <si>
    <t>PISO DE CORALINA Huellas en jardin irregular</t>
  </si>
  <si>
    <t>Losas de Coralina 40x80</t>
  </si>
  <si>
    <t>Torta</t>
  </si>
  <si>
    <t>Colocación coralina trabada</t>
  </si>
  <si>
    <t>Proctetor de pisos T/C</t>
  </si>
  <si>
    <t>PISO DE CORALINA APOMASADA 40X 60 TRABADA</t>
  </si>
  <si>
    <t>Losas de Coralina 40x60 apomasada</t>
  </si>
  <si>
    <t>PISO DE PIEZAS DE CORALINA ESPECIALES RADIALES</t>
  </si>
  <si>
    <t>Piezas especiales radiales biseladas</t>
  </si>
  <si>
    <t>Colocación de piezas especiales</t>
  </si>
  <si>
    <t>PISO DE TRAVERTINO  40X60</t>
  </si>
  <si>
    <t>Losa Galala 40x60</t>
  </si>
  <si>
    <t>Nota:cotizar material</t>
  </si>
  <si>
    <t>Pegatod North adhesive</t>
  </si>
  <si>
    <t>Derretido lanticrete</t>
  </si>
  <si>
    <t xml:space="preserve">Colocación travertino </t>
  </si>
  <si>
    <t>Proctetor de pisos T/C (sellador)</t>
  </si>
  <si>
    <t>Pulido y limpieza (pulido 300) (limpieza RD$120)</t>
  </si>
  <si>
    <t xml:space="preserve">Transporte </t>
  </si>
  <si>
    <t>Nota: revisar la cotizacion</t>
  </si>
  <si>
    <t>PISO DE TRAVERTINO  EN HUELLAS</t>
  </si>
  <si>
    <t xml:space="preserve">Piezas de travertino </t>
  </si>
  <si>
    <t>Pegatod Blanco North american</t>
  </si>
  <si>
    <t>PISO DE PORCELANATO AREA DE SERVICIO SUM US$25</t>
  </si>
  <si>
    <t xml:space="preserve">Porcelanato </t>
  </si>
  <si>
    <t>Nota:cotizar este material</t>
  </si>
  <si>
    <t>Base para Colocación</t>
  </si>
  <si>
    <t>Derretido Latricrete Antiq White</t>
  </si>
  <si>
    <t>Corte de chazos</t>
  </si>
  <si>
    <t xml:space="preserve">Limpieza </t>
  </si>
  <si>
    <t>PISO DE PORCELANATO IMITACION MADERA</t>
  </si>
  <si>
    <t>Porcelanato 60x60</t>
  </si>
  <si>
    <t>PISO DE PORCELANATO 60x60 sumUS35</t>
  </si>
  <si>
    <t>ESTIMADO</t>
  </si>
  <si>
    <t>PISO DE MOSAICOS TIPO AGUAYO</t>
  </si>
  <si>
    <t>GOMA GIMNASIO</t>
  </si>
  <si>
    <t xml:space="preserve">Nivelacion </t>
  </si>
  <si>
    <t>Suministro de piso</t>
  </si>
  <si>
    <t>Nota: cotizar material</t>
  </si>
  <si>
    <t>Arena</t>
  </si>
  <si>
    <t>Movimiento Material</t>
  </si>
  <si>
    <t>Confeccion e instalacion</t>
  </si>
  <si>
    <t>GRAMAQUIN</t>
  </si>
  <si>
    <t>compactado</t>
  </si>
  <si>
    <t>Suministro de gramaquin</t>
  </si>
  <si>
    <t>Confeccion e instalacion de gramaquin</t>
  </si>
  <si>
    <t>ADOQUIN</t>
  </si>
  <si>
    <t>Suministro de adoquin</t>
  </si>
  <si>
    <t>PISO VIBRAZO</t>
  </si>
  <si>
    <t>Piso vibrazo</t>
  </si>
  <si>
    <t>Derretido para vibrazo</t>
  </si>
  <si>
    <t>Transporte del Material</t>
  </si>
  <si>
    <t>Nota: precio en cotizacion</t>
  </si>
  <si>
    <t>PISO PETREO NATURAL</t>
  </si>
  <si>
    <t>petreo natural</t>
  </si>
  <si>
    <t>PISO DE GIRSTONE G45</t>
  </si>
  <si>
    <t>Girstone</t>
  </si>
  <si>
    <t>Limpieza y Aplicación de sellador</t>
  </si>
  <si>
    <t>Transporte desde sto dgo</t>
  </si>
  <si>
    <t>PISO DE CEMENTO PULIDO SOTANO</t>
  </si>
  <si>
    <t>Mortero de pañete</t>
  </si>
  <si>
    <t>FD</t>
  </si>
  <si>
    <t>Mano de obra piso pulido</t>
  </si>
  <si>
    <t>Frotado con elicoptero</t>
  </si>
  <si>
    <t>PISO DE HORMIGON RAYADO</t>
  </si>
  <si>
    <t>Hormigon Industrial 210kg/cm2</t>
  </si>
  <si>
    <t>Mano de obra piso rayado</t>
  </si>
  <si>
    <t>TABLETAS  DE HORMIGON 60*3.6CM</t>
  </si>
  <si>
    <t>PARA COLOCAR PISO DE CORALINA</t>
  </si>
  <si>
    <t>Hormigon Industrial 180kg/cm2</t>
  </si>
  <si>
    <t>Malla electrosoldada 1/4" (0.10*0.10)</t>
  </si>
  <si>
    <t>Confeccion e instalacion de tabletas</t>
  </si>
  <si>
    <t>TABLETAS DE TRAVERTINO GALALA</t>
  </si>
  <si>
    <t>Cam GALALA</t>
  </si>
  <si>
    <t>Nota:revisar cotizacion</t>
  </si>
  <si>
    <t>BORDILLO DE TRAVERTINO 30x60 de pisos</t>
  </si>
  <si>
    <t xml:space="preserve">Bordillo  de travertino </t>
  </si>
  <si>
    <t xml:space="preserve">Colocación </t>
  </si>
  <si>
    <t>BORDILLO DE CORALINA 30 X 60 x 2CM de pisos</t>
  </si>
  <si>
    <t>Bordillo de Coralina 30x60x5cms</t>
  </si>
  <si>
    <t>BORDILLO DE CORALINA 30X60X5CM (PISCINA)</t>
  </si>
  <si>
    <t>Bordillo de coralina 30X60X5CM</t>
  </si>
  <si>
    <t>Mezcla para colocación</t>
  </si>
  <si>
    <t>CENEFA DE CORALINA PISCINA 30CM</t>
  </si>
  <si>
    <t>Coralina</t>
  </si>
  <si>
    <t>Pegatod blanco</t>
  </si>
  <si>
    <t>Fda</t>
  </si>
  <si>
    <t>Derretido Cemento Blanco</t>
  </si>
  <si>
    <t>CENEFA DE CORALINA 4CM</t>
  </si>
  <si>
    <t>Cenefa de coralina</t>
  </si>
  <si>
    <t>CENEFA DE CORALINA 10X40X2CMS</t>
  </si>
  <si>
    <t>CENEFA  DE TRAVERTINO 30x60</t>
  </si>
  <si>
    <t>Cenefa de Travertino</t>
  </si>
  <si>
    <t xml:space="preserve">QUICIOS DE TRAVERTINO </t>
  </si>
  <si>
    <t>Cenefa de marmol 30cm</t>
  </si>
  <si>
    <t>QUICIOS DE TRAVERTINO RADIAL ESPECIAL 55CM</t>
  </si>
  <si>
    <t>Cenefa de marmol 55cm</t>
  </si>
  <si>
    <t>QUICIOS DE CORALINA CLASICA NATURAL</t>
  </si>
  <si>
    <t>Coralina 30cm</t>
  </si>
  <si>
    <t>QUICIO CORALINA APOMAZADA Y PÚLIDA (112 X 36 X 2) CM</t>
  </si>
  <si>
    <t>QUICIOS DE PORCELANATO 60CM X60CM</t>
  </si>
  <si>
    <t>QUICIOS DE PORCELANATO servicios</t>
  </si>
  <si>
    <t>QUICIOS DE PORCELANATO AREA DE SERVICIO</t>
  </si>
  <si>
    <t>QUICIOS PISO MENUCUCHI</t>
  </si>
  <si>
    <t xml:space="preserve">Derretido </t>
  </si>
  <si>
    <t>QUICIOS DE VIBRAZO</t>
  </si>
  <si>
    <t>Quicio de marmol travertino</t>
  </si>
  <si>
    <t>Limpieza</t>
  </si>
  <si>
    <t>ZÓCALO CORALINA APOMAZADA Y PÚLIDA 20X60</t>
  </si>
  <si>
    <t>Zoc. Coralina 23cm</t>
  </si>
  <si>
    <t>Corte de chazos de coralina</t>
  </si>
  <si>
    <t>ZÓCALO CORALINA APOMAZADA Y PÚLIDA (20X60) CM</t>
  </si>
  <si>
    <t>Zoc. Coralina 23CM</t>
  </si>
  <si>
    <t xml:space="preserve"> Nota: cotizar este material</t>
  </si>
  <si>
    <t xml:space="preserve">ZOCALOS  CORALINA RUSTICA </t>
  </si>
  <si>
    <t>Zoc. Coralina 15CM</t>
  </si>
  <si>
    <t>limpieza</t>
  </si>
  <si>
    <t>ZOCALOS  MARMOL TRAVERTINO CLARO</t>
  </si>
  <si>
    <t>zoc. marmol travertino 10cm</t>
  </si>
  <si>
    <t>ZOCALOS  MARMOL TRAVERTINO GALALA</t>
  </si>
  <si>
    <t>zoc. marmol travertino 1.2x10cm</t>
  </si>
  <si>
    <t xml:space="preserve">ZOCALOS DE PORCELANATO </t>
  </si>
  <si>
    <t>ZOCALOS DE PORCELANATO  60x60 AREA DE SERVICIO</t>
  </si>
  <si>
    <t>ZOCALOS DE VIBRAZO</t>
  </si>
  <si>
    <t xml:space="preserve">Derretido Latricrete </t>
  </si>
  <si>
    <t>ZOCALOS Girstone</t>
  </si>
  <si>
    <t>REVESTIMIENTOS</t>
  </si>
  <si>
    <t>REVESTIMIENTO DE MARMOL TRAVERTINO  CLASICO 60X120  EN BAÑOS</t>
  </si>
  <si>
    <t>Travertino clasico  60x120</t>
  </si>
  <si>
    <t>Limpieza y protector</t>
  </si>
  <si>
    <t>Limpieza de baños</t>
  </si>
  <si>
    <t>REVESTIMIENTO DE MOSAICO DE MARMOL 30*15 40X60CM EN PARED LAVAMANOS</t>
  </si>
  <si>
    <t>Mosaico 30*15 de marmol</t>
  </si>
  <si>
    <t>Protector</t>
  </si>
  <si>
    <t>REVESTIMIENTO DE TRAVERTINO WOODEN</t>
  </si>
  <si>
    <t xml:space="preserve">Cam travertino wooden
grey vein cut envejecido 1.8
</t>
  </si>
  <si>
    <t>Pegatod  NORTH AMERICAN</t>
  </si>
  <si>
    <t>Nota: revisar cotizacion</t>
  </si>
  <si>
    <t>REVESTIMIENTO DE TRAVERTINO</t>
  </si>
  <si>
    <t xml:space="preserve">Mosaico </t>
  </si>
  <si>
    <t>REVESTIMIENTO DE ESPEJO DE AGUA ML</t>
  </si>
  <si>
    <t>Suministro de galala</t>
  </si>
  <si>
    <t>Bisel</t>
  </si>
  <si>
    <t>REVESTIMIENTO AZULEJOS</t>
  </si>
  <si>
    <t>Mosaicos</t>
  </si>
  <si>
    <t>REVESTIMIENTO DE CORALINA CLASICA RUSTICA</t>
  </si>
  <si>
    <t xml:space="preserve"> coralina clasica rustica 20x40</t>
  </si>
  <si>
    <t>PRECIO PORQUE ES AREA BAÑERA</t>
  </si>
  <si>
    <t>REVESTIMIENTO DE MOSAICOS CORALINA CLASICA RUSTICO MINI BAMBOO 2X30 30X30</t>
  </si>
  <si>
    <t>coralina clasica rustico mini bamboo 2x30 30x30</t>
  </si>
  <si>
    <t>Nota: revisar precio</t>
  </si>
  <si>
    <t>REVESTIMIENTO DE MOSAICOS CORALINA CLASICA RUSTICO 60x120</t>
  </si>
  <si>
    <t xml:space="preserve">coralina clasica rustico </t>
  </si>
  <si>
    <t>REVESTIMIENTO DE MUROS EXTERIORES EN STACKSTONE AUTUMN 15X60</t>
  </si>
  <si>
    <t>stackstone autumn 15x60</t>
  </si>
  <si>
    <t>REVESTIMIENTO DE PORCELANATO SOHO ROMA MARFIL</t>
  </si>
  <si>
    <t>Mosaico white pearl bambu</t>
  </si>
  <si>
    <t>Derretido LATICRETE</t>
  </si>
  <si>
    <t>REVESTIMIENTO PORCELANATO DE BAÑO</t>
  </si>
  <si>
    <t>Suministro de porcelanato</t>
  </si>
  <si>
    <t>LB</t>
  </si>
  <si>
    <t>BASE BAÑERA EN BLOCK REVESTIDA EN CORALINA</t>
  </si>
  <si>
    <t>Vaciado de piso</t>
  </si>
  <si>
    <t>Bloques</t>
  </si>
  <si>
    <t>Impermeabilizante en muros laterales</t>
  </si>
  <si>
    <t>Pañete sin terminacion</t>
  </si>
  <si>
    <t>Revestimiento interior y exterior</t>
  </si>
  <si>
    <t>Bordillo</t>
  </si>
  <si>
    <t>REVESTIMIENTO EN CORALINA CLASICA</t>
  </si>
  <si>
    <t>Limpieza Y protector</t>
  </si>
  <si>
    <t>REVESTIMIENTOS DE ESCALONES/ESCALERAS</t>
  </si>
  <si>
    <t>ESCALONES DE MOSAICO (MSK-011-A) PISCINA</t>
  </si>
  <si>
    <t xml:space="preserve">Mosaico  </t>
  </si>
  <si>
    <t>ESCALERA SECUNDARIA EN PORCELANATO</t>
  </si>
  <si>
    <t>Huella en porcelanato</t>
  </si>
  <si>
    <t>Contrahuella en porcelanato</t>
  </si>
  <si>
    <t>(Hormigon 210 Kg/cm2) para formacion de escalera</t>
  </si>
  <si>
    <t>Mortero blanco</t>
  </si>
  <si>
    <t xml:space="preserve">Masilla </t>
  </si>
  <si>
    <t>Zócalos en porcelanato</t>
  </si>
  <si>
    <t>Sellador de piso T/C</t>
  </si>
  <si>
    <t>MO huellas y contra huella</t>
  </si>
  <si>
    <t>Tranporte de materiales de escalera</t>
  </si>
  <si>
    <t>Viaje</t>
  </si>
  <si>
    <t>/PA</t>
  </si>
  <si>
    <t>ESCALERA GALALA SOTANO</t>
  </si>
  <si>
    <t xml:space="preserve">Piezas de travertino Huellas y contrahuellas </t>
  </si>
  <si>
    <t>Piso en descanso</t>
  </si>
  <si>
    <t>Biselado</t>
  </si>
  <si>
    <t>Adhesivos north american</t>
  </si>
  <si>
    <t>Derretido Litokol</t>
  </si>
  <si>
    <t xml:space="preserve">Zócalos </t>
  </si>
  <si>
    <t>MO descanso</t>
  </si>
  <si>
    <t>MO huellas</t>
  </si>
  <si>
    <t>MO contra huellas</t>
  </si>
  <si>
    <t>Pulido y limpieza</t>
  </si>
  <si>
    <t>ESCALERA PRINCIPAL en coralina</t>
  </si>
  <si>
    <t>Huellas coralina natural  acabado pulido</t>
  </si>
  <si>
    <t>Borinquen</t>
  </si>
  <si>
    <t xml:space="preserve">Contra huella  coralina natural </t>
  </si>
  <si>
    <t>Piso de descanso</t>
  </si>
  <si>
    <t>MO huellas y contrahuellas</t>
  </si>
  <si>
    <t>Sellado-y pulido</t>
  </si>
  <si>
    <t>Ud</t>
  </si>
  <si>
    <t>ESCALERA DE CORALINA  SOTANO</t>
  </si>
  <si>
    <t>Huellasde coralina acabado pulido</t>
  </si>
  <si>
    <t>BORINQUEN</t>
  </si>
  <si>
    <t>contra huella de coralina</t>
  </si>
  <si>
    <t>Mortero durentto blanco</t>
  </si>
  <si>
    <t>HUELLAS DE CORALINA</t>
  </si>
  <si>
    <t xml:space="preserve">Huellas de coralina </t>
  </si>
  <si>
    <t>(Hormigon 210 Kg/cm2) para formacion de huella</t>
  </si>
  <si>
    <t>kg</t>
  </si>
  <si>
    <t>CONTRA HUELLA DE CORALINA</t>
  </si>
  <si>
    <t xml:space="preserve">Contra huella  de coralina </t>
  </si>
  <si>
    <t>Pegamento de ceramica  blanco</t>
  </si>
  <si>
    <t>MO contra huella</t>
  </si>
  <si>
    <t>PINTURA</t>
  </si>
  <si>
    <t>ACRILICA EN PAREDES (10.00m2)</t>
  </si>
  <si>
    <t>Pintura acrilica SW 7005 pure white</t>
  </si>
  <si>
    <t>GL</t>
  </si>
  <si>
    <t>Pintura base</t>
  </si>
  <si>
    <t>Masilla</t>
  </si>
  <si>
    <t>Piedra</t>
  </si>
  <si>
    <t>Mano de obra (Tres manos)</t>
  </si>
  <si>
    <t>ACRILICA EN PAREDES (10.00m2) SIN BASE</t>
  </si>
  <si>
    <t>Pintura acrilica</t>
  </si>
  <si>
    <t>ACRILICA EN PAREDES (10.00m2)  CON ARENA</t>
  </si>
  <si>
    <t>ACRILICA BASE EN PAREDES (10.00M2) BASE FRESH CEMENT PRIMER</t>
  </si>
  <si>
    <t>Mano de obra (Una mano)</t>
  </si>
  <si>
    <t>ACRILICA EN TECHO(10.00m)</t>
  </si>
  <si>
    <t>Mano de obra (dos manos)</t>
  </si>
  <si>
    <t>ACRILICA EN TECHO(10.00m) SIN BASE</t>
  </si>
  <si>
    <t>ACRILICA EN VIGAS Y COLUMNAS(10.00M)</t>
  </si>
  <si>
    <t>PINTURA VERDE FORESTA</t>
  </si>
  <si>
    <t>Pintura verde foresta</t>
  </si>
  <si>
    <t>MISCELANEOS</t>
  </si>
  <si>
    <t>BASES EN BLOCK PARA PASOS DENTRO DE ESPEJOS DE AGUA (1.30X0.90MTS.)</t>
  </si>
  <si>
    <t>Relleno de hormigon ciclopeo en interior</t>
  </si>
  <si>
    <t xml:space="preserve">Pañete </t>
  </si>
  <si>
    <t>Terminador</t>
  </si>
  <si>
    <t>DIA</t>
  </si>
  <si>
    <t>Nota: No incluye pieza de coralina</t>
  </si>
  <si>
    <t>BASES EN BLOCK PARA PASOS DENTRO DE ESPEJOS DE AGUA (1.25X0.30MTS.)</t>
  </si>
  <si>
    <t xml:space="preserve">Losa de base </t>
  </si>
  <si>
    <t>CONFECION BBQ</t>
  </si>
  <si>
    <t>Obra civil</t>
  </si>
  <si>
    <t>Muros</t>
  </si>
  <si>
    <t>BLOQUES DE 8"</t>
  </si>
  <si>
    <t>Torta de piso</t>
  </si>
  <si>
    <t>Losa</t>
  </si>
  <si>
    <t xml:space="preserve">Malla </t>
  </si>
  <si>
    <t xml:space="preserve">Alambre </t>
  </si>
  <si>
    <t>Encofrado</t>
  </si>
  <si>
    <t xml:space="preserve">Nota: cotizar precio por unidad </t>
  </si>
  <si>
    <t>Hormigón  (240kg/cm2)</t>
  </si>
  <si>
    <t>Repello</t>
  </si>
  <si>
    <t>Fino en piso</t>
  </si>
  <si>
    <t xml:space="preserve">Revestimiento  </t>
  </si>
  <si>
    <t>Revestimiento en coralina</t>
  </si>
  <si>
    <t>Nicho de Coralina</t>
  </si>
  <si>
    <t xml:space="preserve">Tope de coralina </t>
  </si>
  <si>
    <t xml:space="preserve">precio a cotizar </t>
  </si>
  <si>
    <t xml:space="preserve">Zocalo en coralina </t>
  </si>
  <si>
    <t>Huecos</t>
  </si>
  <si>
    <t>FUENTE EXTERIOR</t>
  </si>
  <si>
    <t>Replanteo</t>
  </si>
  <si>
    <t>Encofrado Molde con curvas</t>
  </si>
  <si>
    <t>Vaciado de Hormigón en muro</t>
  </si>
  <si>
    <t>Albañil y terminador</t>
  </si>
  <si>
    <t>Fraguche</t>
  </si>
  <si>
    <t>Fraguche  y pañete M.O</t>
  </si>
  <si>
    <t>pañete sin terminación</t>
  </si>
  <si>
    <t>canto de borde de tope.</t>
  </si>
  <si>
    <t>pasante 3500</t>
  </si>
  <si>
    <t xml:space="preserve">Mocheta </t>
  </si>
  <si>
    <t>grava</t>
  </si>
  <si>
    <t>Bordillo doble bornoux</t>
  </si>
  <si>
    <t>Revestimiento M.O</t>
  </si>
  <si>
    <t>palete de Pool Coalt  interior</t>
  </si>
  <si>
    <t xml:space="preserve">Registro </t>
  </si>
  <si>
    <t xml:space="preserve">Tapa de fibra para registro </t>
  </si>
  <si>
    <t xml:space="preserve">Pendiente de cotizacion </t>
  </si>
  <si>
    <t>Drenaje frances</t>
  </si>
  <si>
    <t xml:space="preserve">Pasante </t>
  </si>
  <si>
    <t xml:space="preserve">Grava </t>
  </si>
  <si>
    <t>MURO EN  FUENTE</t>
  </si>
  <si>
    <t>Fuente</t>
  </si>
  <si>
    <t>BORDILLO DE CORALINA  19"x39 1 1/2" acabado natural (color blanco) en fuente</t>
  </si>
  <si>
    <t>UND</t>
  </si>
  <si>
    <t>ASIENTO JACUZZI</t>
  </si>
  <si>
    <t>Muro de bloques de 8"</t>
  </si>
  <si>
    <t>Mano de obra confección</t>
  </si>
  <si>
    <t>Vaciado sobre muros</t>
  </si>
  <si>
    <t>Relleno</t>
  </si>
  <si>
    <t>/Ml</t>
  </si>
  <si>
    <t>REVESTIMIENTO EN PIEDRA</t>
  </si>
  <si>
    <t>MUROS DE PIEDRA EN PAREDES</t>
  </si>
  <si>
    <t>suministro y colocacion de piedra caliza</t>
  </si>
  <si>
    <t>MUROS DE PIEDRA EN PAREDES FORMATO CORTE RECTO</t>
  </si>
  <si>
    <t>Impermeabilizante</t>
  </si>
  <si>
    <t>MUROS DE PIEDRA CORTE RECTO FORMATO TIPO BLOQUES 30X60</t>
  </si>
  <si>
    <t>CONFECCION DE JAMBAS EN PIEDRA ESCALONADA DE 30 CM</t>
  </si>
  <si>
    <t xml:space="preserve">CANTOS EN MUROS DE PIEDRA </t>
  </si>
  <si>
    <t>suministro y colocacion  de piedra caliza</t>
  </si>
  <si>
    <t xml:space="preserve">TAPAS DE MUROS DE PIEDRA </t>
  </si>
  <si>
    <t>suministro coralina clasica rustico</t>
  </si>
  <si>
    <t>MURO DE PIEDRA CALIZA FORMATO LOCO</t>
  </si>
  <si>
    <t xml:space="preserve">Suministro y colocacion </t>
  </si>
  <si>
    <t>mortero</t>
  </si>
  <si>
    <t>CORTINEROS</t>
  </si>
  <si>
    <t xml:space="preserve">Facias &lt; 0.40 </t>
  </si>
  <si>
    <t>Refuerzo de madera</t>
  </si>
  <si>
    <t>ASIENTO  en baños</t>
  </si>
  <si>
    <t>revestimiento en coralina</t>
  </si>
  <si>
    <t>Losa de piso</t>
  </si>
  <si>
    <t>EXTRACCIONES</t>
  </si>
  <si>
    <t>Extractores de baño</t>
  </si>
  <si>
    <t>instalacion extractor baño</t>
  </si>
  <si>
    <t>BAÑOS 1ER</t>
  </si>
  <si>
    <t>BAÑOS 2DO</t>
  </si>
  <si>
    <t>LAVANDERIA</t>
  </si>
  <si>
    <t>COCINA FRIA</t>
  </si>
  <si>
    <t>COCINA CALIENTE</t>
  </si>
  <si>
    <t>TOPES DE CORALINA</t>
  </si>
  <si>
    <t>TOPE 3.6M X 0.80M  EN BBQ</t>
  </si>
  <si>
    <t>instalación</t>
  </si>
  <si>
    <t xml:space="preserve">Zocalo </t>
  </si>
  <si>
    <t>instalacion de lavamanos undermount</t>
  </si>
  <si>
    <t>TOPE 1.80M X 0.60M EN AREA DE SERVICIO</t>
  </si>
  <si>
    <t>2.3+2.5</t>
  </si>
  <si>
    <t>TOPE 1.00M X 0.60M  (dormitorio 5)</t>
  </si>
  <si>
    <t xml:space="preserve">TOPE DE 2.00M X 0.60M </t>
  </si>
  <si>
    <t xml:space="preserve">TOPE DE 1.35M X 0.60M </t>
  </si>
  <si>
    <t>ESTUCO EN PAREDES</t>
  </si>
  <si>
    <t>Suministro de estuco veneciano (Marca Palladio Monto, Tonos y colores)</t>
  </si>
  <si>
    <t>Cub</t>
  </si>
  <si>
    <t>Colorante adicional</t>
  </si>
  <si>
    <t>Materiales Varios</t>
  </si>
  <si>
    <t>Desperdico</t>
  </si>
  <si>
    <t>Mano de estuco</t>
  </si>
  <si>
    <t>Andamios metálicos</t>
  </si>
  <si>
    <t>Porcentaje de herramientas</t>
  </si>
  <si>
    <t>Suministro de estuco forte</t>
  </si>
  <si>
    <t>Mano de obra pintura</t>
  </si>
  <si>
    <t>MASILLA Y PINTURA</t>
  </si>
  <si>
    <t>Masilla (2 capas)</t>
  </si>
  <si>
    <t>M/o pintura base</t>
  </si>
  <si>
    <t>Pintura  interior</t>
  </si>
  <si>
    <t>Microcemento</t>
  </si>
  <si>
    <t>Sistema aplicación 1+2 (Base + 2 capa acabado)</t>
  </si>
  <si>
    <t>viaticos</t>
  </si>
  <si>
    <t>Revestimiento de piedra</t>
  </si>
  <si>
    <t>Colocación piedra caliza formato recto (a todo costo)</t>
  </si>
  <si>
    <t>Canto piedra caliza formato recto (a todo costo)</t>
  </si>
  <si>
    <t>Tapa  piedra caliza formato recto (a todo costo)</t>
  </si>
  <si>
    <t>Mortero 1:3 (coloc. de bloques, pisos)</t>
  </si>
  <si>
    <t>Suministro y regado de Gravilla en Drive way</t>
  </si>
  <si>
    <t>Gravilla Blanca</t>
  </si>
  <si>
    <t>Relleno compactado</t>
  </si>
  <si>
    <t>Topes de baño</t>
  </si>
  <si>
    <t>Baño master 2.25m x 0.65m</t>
  </si>
  <si>
    <t>Baño master 2 1.90m x 0.65m</t>
  </si>
  <si>
    <t>Baño 3 y 4 1.80m x 0.65m</t>
  </si>
  <si>
    <t>Baño Gym 1.80m x 0.65m</t>
  </si>
  <si>
    <t>Baño servicio 1.00m x 0.65m</t>
  </si>
  <si>
    <t>Estructura metalica (Soporte) &gt;1.80</t>
  </si>
  <si>
    <t>Estructura metalica (Soporte) &lt;1.80</t>
  </si>
  <si>
    <t>instalación ml</t>
  </si>
  <si>
    <t>Mamparas de cristal</t>
  </si>
  <si>
    <t>Puertas Master 1 0.70m</t>
  </si>
  <si>
    <t>Puertas master 2 0.80m</t>
  </si>
  <si>
    <t>Puertas  3 y 4  0.80m</t>
  </si>
  <si>
    <t>Puertas + fijo GYM</t>
  </si>
  <si>
    <t>Mamparas servicios 1 0.60m</t>
  </si>
  <si>
    <t>Mamparas servicios 2 0.92m</t>
  </si>
  <si>
    <t>Muebles de Cocina opcion 1</t>
  </si>
  <si>
    <t>Cocina Fria (KITCHENARTE)</t>
  </si>
  <si>
    <t>Cocina caliente (ROICA)</t>
  </si>
  <si>
    <t>Area de lavado (ROICA)</t>
  </si>
  <si>
    <t>Cocina caliente y area de lavado (KITCHENARTE MDF)</t>
  </si>
  <si>
    <t>APARATOS SANITARIOS (Del sistema)</t>
  </si>
  <si>
    <t xml:space="preserve">Inodoro servicio </t>
  </si>
  <si>
    <t xml:space="preserve">Kholer </t>
  </si>
  <si>
    <t xml:space="preserve">Lavamanos servicio </t>
  </si>
  <si>
    <t>lavamanos con mueble cerarte Aqualia</t>
  </si>
  <si>
    <t xml:space="preserve">Mezcladora Lavamanos servicio </t>
  </si>
  <si>
    <t xml:space="preserve">Mezcladora Duchas servicio </t>
  </si>
  <si>
    <t>Cerarte</t>
  </si>
  <si>
    <t xml:space="preserve">Juego de accesorios baño servicio </t>
  </si>
  <si>
    <t xml:space="preserve">Inodoros general </t>
  </si>
  <si>
    <t xml:space="preserve">Lavamanos general </t>
  </si>
  <si>
    <t xml:space="preserve">Mezcladora Lavamanos general </t>
  </si>
  <si>
    <t xml:space="preserve">Mezcladora Duchas general </t>
  </si>
  <si>
    <t xml:space="preserve">Juego de accesorios baño general </t>
  </si>
  <si>
    <t xml:space="preserve">Desague de piso general 15x15 </t>
  </si>
  <si>
    <t xml:space="preserve">Baccesory </t>
  </si>
  <si>
    <t xml:space="preserve">Desague de duchas Lineal </t>
  </si>
  <si>
    <t xml:space="preserve">Fregadero cocina fría </t>
  </si>
  <si>
    <t xml:space="preserve">Fregadero cocina caliente </t>
  </si>
  <si>
    <t xml:space="preserve">Fregadero cocina caliente sencillo </t>
  </si>
  <si>
    <t xml:space="preserve">Mezcladora Fregadero cocina fría </t>
  </si>
  <si>
    <t xml:space="preserve">Mezcladora Fregadero cocina caliente </t>
  </si>
  <si>
    <t xml:space="preserve">Mezcladora Fregadero cocina sencillo </t>
  </si>
  <si>
    <t xml:space="preserve">Mezcladora Fregadero BBQ </t>
  </si>
  <si>
    <t xml:space="preserve">Lavadero y llave de chorro </t>
  </si>
  <si>
    <t>US$</t>
  </si>
  <si>
    <t>Madera falsas</t>
  </si>
  <si>
    <t>Pintura en vigas</t>
  </si>
  <si>
    <t>Suministro de madera en pergoladp</t>
  </si>
  <si>
    <t>PL</t>
  </si>
  <si>
    <t>pl</t>
  </si>
  <si>
    <t>INCIDENCIA DE PL EN MT2 DE PLAFON</t>
  </si>
  <si>
    <t>Muro ventilado en coralina</t>
  </si>
  <si>
    <t>Herrajes de puertas de Madera</t>
  </si>
  <si>
    <t>Inst</t>
  </si>
  <si>
    <t>Llavin principal (BALWIN) Con tirador</t>
  </si>
  <si>
    <t>Llavin general</t>
  </si>
  <si>
    <t>Cerrojo</t>
  </si>
  <si>
    <t>Cerraduras Pocket/corredera</t>
  </si>
  <si>
    <t>Tiradores de Pocket</t>
  </si>
  <si>
    <t>Topes de puertas</t>
  </si>
  <si>
    <t>Bisagras pivotante</t>
  </si>
  <si>
    <t>Bisagras Vaiven</t>
  </si>
  <si>
    <t>Bisagras normales</t>
  </si>
  <si>
    <t>Rieles de Pocket @2.00</t>
  </si>
  <si>
    <t>Riel corrdera de 3.450</t>
  </si>
  <si>
    <t>Pa</t>
  </si>
  <si>
    <t>LISTA DE PRECIOS y M.O</t>
  </si>
  <si>
    <t>Nº</t>
  </si>
  <si>
    <t>MATERIAL O ACTIVIDAD</t>
  </si>
  <si>
    <t>UNIDAD</t>
  </si>
  <si>
    <t>PRECIO</t>
  </si>
  <si>
    <t>DUPLA</t>
  </si>
  <si>
    <t>LISTA DE PRECIOS</t>
  </si>
  <si>
    <t>ACEROS-MALLAS-ALAMBRES</t>
  </si>
  <si>
    <t>Acero Ø3/8",1/2¨,3/4¨ G60</t>
  </si>
  <si>
    <t>Malla electro soldada 1/4" (0.10  x  0.10) 2.3x2.3</t>
  </si>
  <si>
    <t>Malla electro soldada 1/4" (0.10  x  0.10) 2.7x2.7</t>
  </si>
  <si>
    <t>2.3x2.3</t>
  </si>
  <si>
    <t>Porto</t>
  </si>
  <si>
    <t>Malla electro soldada 1/4" (0.15  x  0.15)</t>
  </si>
  <si>
    <t>2.7x2.7</t>
  </si>
  <si>
    <t>Malla conejera galvanizada</t>
  </si>
  <si>
    <t>Alambre galvanizado No.18</t>
  </si>
  <si>
    <t>qq</t>
  </si>
  <si>
    <t>Alambre galvanizado No.14</t>
  </si>
  <si>
    <t>AGREGADOS</t>
  </si>
  <si>
    <t>Arena fina</t>
  </si>
  <si>
    <t xml:space="preserve">Arena gruesa </t>
  </si>
  <si>
    <t>Grava clasificada</t>
  </si>
  <si>
    <t>Caliche para relleno (suministro)</t>
  </si>
  <si>
    <t>EL SISTEMA TIENE EL ITBIS, COMPRA DICE QUE NO LO PAGA EN LA FACTURA CON ITBIS</t>
  </si>
  <si>
    <t>BLOQUES</t>
  </si>
  <si>
    <t>Bloques Manposteria de 4"</t>
  </si>
  <si>
    <t>Bloques Manposteria de 6"</t>
  </si>
  <si>
    <t>Bloques Manposteria de 8"</t>
  </si>
  <si>
    <t>Bloques Manposteria de 12"</t>
  </si>
  <si>
    <t>CEMENTOS - CAL</t>
  </si>
  <si>
    <t>Cemento blanco</t>
  </si>
  <si>
    <t>Cal 50 lbs</t>
  </si>
  <si>
    <t xml:space="preserve">Hydropel </t>
  </si>
  <si>
    <t>Mortero adhesivo durentto</t>
  </si>
  <si>
    <t>KG</t>
  </si>
  <si>
    <t>HORMIGONES (PARAMONTE CON BOMBEO)</t>
  </si>
  <si>
    <t>Mortero 140Kg/cm2 con hidrofugo</t>
  </si>
  <si>
    <t xml:space="preserve">Mortero 140Kg/cm2 </t>
  </si>
  <si>
    <t>Hormigón P.I. 140Kg/cm2</t>
  </si>
  <si>
    <t>Hormigón P.I. 180Kg/cm2 con hidrofugo</t>
  </si>
  <si>
    <t>Hormigón P.I. 210Kg/cm2</t>
  </si>
  <si>
    <t>Hormigón P.I. 240Kg/cm2</t>
  </si>
  <si>
    <t>Hormigón P.I. 280Kg/cm2</t>
  </si>
  <si>
    <t>Servicio de bombeo</t>
  </si>
  <si>
    <t>Superacelerante</t>
  </si>
  <si>
    <t xml:space="preserve">Acelerante </t>
  </si>
  <si>
    <t xml:space="preserve">Aditivo </t>
  </si>
  <si>
    <t>Clavos</t>
  </si>
  <si>
    <t>Clavos de acero</t>
  </si>
  <si>
    <t>Clavos galvanizados</t>
  </si>
  <si>
    <t>Pintura base Fresh Cement Sherwin Williams</t>
  </si>
  <si>
    <t>Pintura acrílica Sherwin Williams blanco 00</t>
  </si>
  <si>
    <t>Pintura  Semigloss</t>
  </si>
  <si>
    <t xml:space="preserve">Masilla acrilica </t>
  </si>
  <si>
    <t>UdS</t>
  </si>
  <si>
    <t>Primer P10</t>
  </si>
  <si>
    <t>Pintura preparada (foresta, etc.)</t>
  </si>
  <si>
    <t xml:space="preserve">PISOS - REVESTIMIENTOS </t>
  </si>
  <si>
    <t>Travertino Galala</t>
  </si>
  <si>
    <t>pieza travertino contra huella</t>
  </si>
  <si>
    <t>Porcelanato 60X60    45us$</t>
  </si>
  <si>
    <t>Porcelanico 0.60 x 1.20 45us$</t>
  </si>
  <si>
    <t>Porcelanato para pared baños de servicios</t>
  </si>
  <si>
    <t>Porcelanato 60X60 para areas de servicios</t>
  </si>
  <si>
    <t>Porcelanato 1.20x2.40</t>
  </si>
  <si>
    <t>Piso Aguayo 20 x 20 x 2cms</t>
  </si>
  <si>
    <t>Marmol travertino pulido para pared de baño 40*60</t>
  </si>
  <si>
    <t>marmol travertino pulido 30x60cm</t>
  </si>
  <si>
    <t>Piso de travertino estucado piscina 95us$</t>
  </si>
  <si>
    <t>Piso de travertino rustico 1.20x30 cm 85us$</t>
  </si>
  <si>
    <t xml:space="preserve">Piso de Girstone </t>
  </si>
  <si>
    <t>Piso de Adoquine</t>
  </si>
  <si>
    <t>Piso de Gramaquin</t>
  </si>
  <si>
    <t>Piso vibrazo blanco 0.30m x 0.30</t>
  </si>
  <si>
    <t>coralina natural 15x30</t>
  </si>
  <si>
    <t>Coralina Natural 60X60</t>
  </si>
  <si>
    <t>Coralina Natural 40X40</t>
  </si>
  <si>
    <t>Coralina Natural 30X30</t>
  </si>
  <si>
    <t>Coralina Natural 20X20</t>
  </si>
  <si>
    <t>Coralina Natural 20X40</t>
  </si>
  <si>
    <t>Coralina Natural 30X60</t>
  </si>
  <si>
    <t>Coral Dom</t>
  </si>
  <si>
    <t>coralina clasica rustico renzo 5x30 30x30</t>
  </si>
  <si>
    <t>Coralina Natural 80X80</t>
  </si>
  <si>
    <t>Coralina Natural 40X60</t>
  </si>
  <si>
    <t>Coralina Natural 100x50</t>
  </si>
  <si>
    <t>Coralina apomasada 80X80</t>
  </si>
  <si>
    <t>Coralina apomasada 40X60</t>
  </si>
  <si>
    <t>Piezas de coralina especiales radiales biseladas</t>
  </si>
  <si>
    <t>Galala 40x60</t>
  </si>
  <si>
    <t>Quicios de Coralina 30cm</t>
  </si>
  <si>
    <t>Quicio Coralina Apomazada y Púlida (112 x 36 x 2) cm</t>
  </si>
  <si>
    <t>Quicios de travertino  20cm</t>
  </si>
  <si>
    <t>Quicios de travertino radial 30cm</t>
  </si>
  <si>
    <t>Quicios de travertino radial 55cm</t>
  </si>
  <si>
    <t>Mosaico de coralina clasica luna 15*30</t>
  </si>
  <si>
    <t>Mosaico de marmol white pearl bambu</t>
  </si>
  <si>
    <t>Mosaico msk-011-a piscina</t>
  </si>
  <si>
    <t>Mosaico Mos. S. shine</t>
  </si>
  <si>
    <t>Piezas de stackstone Quarzite multicolor</t>
  </si>
  <si>
    <t>Bordillo de Coralina Natural 20*40*0.2</t>
  </si>
  <si>
    <t>Bordillo de Coralina Natural piez 60cm</t>
  </si>
  <si>
    <t>Bordillo de travertino  30x60</t>
  </si>
  <si>
    <t>Cenefa de  Coralina 10X40X3CMS</t>
  </si>
  <si>
    <t>Huella 1.05m x 0.50m  biselado</t>
  </si>
  <si>
    <t xml:space="preserve">UD  </t>
  </si>
  <si>
    <t>ESCALERA</t>
  </si>
  <si>
    <t>Contrahuella de Coralina para escalera 4cm FBN</t>
  </si>
  <si>
    <t>Huella de Coralina para escalera 4cm FBN</t>
  </si>
  <si>
    <t>ZOCALO</t>
  </si>
  <si>
    <t>Zoc. Marmol travertino 10CM</t>
  </si>
  <si>
    <t>Zócalos de coralina rustica 10cm</t>
  </si>
  <si>
    <t>Zócalos de coralina apomasada 10cm</t>
  </si>
  <si>
    <t>TRAMPORTE</t>
  </si>
  <si>
    <t>Transporte de materiales escalera 25-075 camion</t>
  </si>
  <si>
    <t>VIAJE</t>
  </si>
  <si>
    <t>Transporte de materiales escalera 25-281 patana</t>
  </si>
  <si>
    <t>PEGAMENTO Y DERRETIDO</t>
  </si>
  <si>
    <t>Pegatod North American</t>
  </si>
  <si>
    <t>Pegamento de cerámica Blanco (50 lbs.) Ge-col</t>
  </si>
  <si>
    <t>Pegamento de cerámica gris (50 lbs.) pega-forte</t>
  </si>
  <si>
    <t>Pulido de coralina (2 manos)</t>
  </si>
  <si>
    <t xml:space="preserve">Derretido permacolor Laticrete </t>
  </si>
  <si>
    <t>Derretido Mapey</t>
  </si>
  <si>
    <t>TOPES</t>
  </si>
  <si>
    <t>Topes de marmol travertino pulido para baños</t>
  </si>
  <si>
    <t xml:space="preserve">Topes de granito </t>
  </si>
  <si>
    <t>TECHOS</t>
  </si>
  <si>
    <t>Tejas plana Tabaco</t>
  </si>
  <si>
    <t>Caballete triangular tabasco</t>
  </si>
  <si>
    <t>Aluzinc de 3´x12´ canalado</t>
  </si>
  <si>
    <t>Madera para reglas</t>
  </si>
  <si>
    <t>VARIOS</t>
  </si>
  <si>
    <t>Agua para ligado de mezclas</t>
  </si>
  <si>
    <t>angular de acero</t>
  </si>
  <si>
    <t>Piedra para pulido de pared</t>
  </si>
  <si>
    <t>Barrera de vapor negra (plastico negro)</t>
  </si>
  <si>
    <t>Rollo</t>
  </si>
  <si>
    <t>Fumigación de zapatas</t>
  </si>
  <si>
    <t xml:space="preserve">Limpieza del solar </t>
  </si>
  <si>
    <t>Topografía (Niveles, ubicación)</t>
  </si>
  <si>
    <t>IMPERMIABILIZANTE</t>
  </si>
  <si>
    <t>Impermeabilizante de pintura</t>
  </si>
  <si>
    <t>Lona asfaltica</t>
  </si>
  <si>
    <t>rollo</t>
  </si>
  <si>
    <t>Manto vituminoso en techos madera</t>
  </si>
  <si>
    <t>Aplyca Dry</t>
  </si>
  <si>
    <t>TERMINACONES TECHOS Y PLAFONES</t>
  </si>
  <si>
    <t>Plafond Sheet Rock</t>
  </si>
  <si>
    <t>TERMINACONES PAREDES</t>
  </si>
  <si>
    <t>Muros en Durock/cara</t>
  </si>
  <si>
    <t>MADERA</t>
  </si>
  <si>
    <t>Aluzinc de 3´x14´ canalado (2 usos)</t>
  </si>
  <si>
    <t>Plywood A. (4'x8'x3/4") 2 usos (Pino)</t>
  </si>
  <si>
    <t>Plywood A. (4'x8'x1/8") Pino</t>
  </si>
  <si>
    <t>Plywood A. (4'x8'x1/2") Pino</t>
  </si>
  <si>
    <t xml:space="preserve">Formaleta </t>
  </si>
  <si>
    <t xml:space="preserve">Regla </t>
  </si>
  <si>
    <t>Pestillo</t>
  </si>
  <si>
    <t xml:space="preserve">Llavin corriente </t>
  </si>
  <si>
    <t>Porta candado 3"</t>
  </si>
  <si>
    <t>MANO DE OBRA</t>
  </si>
  <si>
    <t>SUSTITUIDO PARA MO SEP22</t>
  </si>
  <si>
    <t>ALBANILERIA</t>
  </si>
  <si>
    <t>Andamios para bloques</t>
  </si>
  <si>
    <t>Andamios para cantos</t>
  </si>
  <si>
    <t>Andamios para fraguache</t>
  </si>
  <si>
    <t>Andamios para pañete interior</t>
  </si>
  <si>
    <t>Andamios para pañete exterior</t>
  </si>
  <si>
    <t>Andamios para pañete techos</t>
  </si>
  <si>
    <t>Colocación de bloques 8" BNP</t>
  </si>
  <si>
    <t>Colocación de bloques 8" SNP</t>
  </si>
  <si>
    <t>Colocación de bloques 6"</t>
  </si>
  <si>
    <t>Colocación de bloques 4"</t>
  </si>
  <si>
    <t>Bastones y Serpentinas/ ud-block</t>
  </si>
  <si>
    <t>Traslado de bloques</t>
  </si>
  <si>
    <t>Pisos, Revestimientos, Tejas, Cortes</t>
  </si>
  <si>
    <t>Colocación de mosaico de marmol en pared</t>
  </si>
  <si>
    <t>Colocación de mosaico de coralina en pared</t>
  </si>
  <si>
    <t>Colocacion de porcelanato en pared</t>
  </si>
  <si>
    <t>Colocación de mosaico de piscina</t>
  </si>
  <si>
    <t>Colocación de cenefa de mosaico de piscina</t>
  </si>
  <si>
    <t>Colocación de cuarzitas en cascada</t>
  </si>
  <si>
    <t>Colocacion de marmol travertino en pared baño 40*60</t>
  </si>
  <si>
    <t>Colocacion de marmol travertino en piso 60*60</t>
  </si>
  <si>
    <t>Colocación de piezas de coralina especiales radiales</t>
  </si>
  <si>
    <t>Colocación de pisos de Coralina 60 x 80 trabado</t>
  </si>
  <si>
    <t>Colocacion de Girlstone</t>
  </si>
  <si>
    <t>Colocación de pisos de Coralina 30 x 60</t>
  </si>
  <si>
    <t>Colocación de pisos de Coralina 40 x 60 trabado</t>
  </si>
  <si>
    <t>Colocación de pisos de Coralina 60 x 60</t>
  </si>
  <si>
    <t>Colocación de pisos de Coralina 80 x 80 trabado</t>
  </si>
  <si>
    <t>Colocación de pisos de Porcelanato 1.20*1.20</t>
  </si>
  <si>
    <t>Colocación de pisos de Porcelanato 40*60</t>
  </si>
  <si>
    <t>Colocación de pisos aguayo 20 x 20</t>
  </si>
  <si>
    <t>Colocación de pisos coralina 20 x 20</t>
  </si>
  <si>
    <t>Confeccion de piso de cemento pulido</t>
  </si>
  <si>
    <t>Confeccion de piso de hormigon rayado</t>
  </si>
  <si>
    <t>Confeccion e instalacion de tabletas de hormigon</t>
  </si>
  <si>
    <t>Colocación de cenefa de Coralina 20 x 40</t>
  </si>
  <si>
    <t>Colocación de cenefa radial de Coralina 55cm</t>
  </si>
  <si>
    <t>Colocación de QUICIO</t>
  </si>
  <si>
    <t>Colocación de bordillo de Coralina 30 x 60</t>
  </si>
  <si>
    <t>Colocación de bordillo de Coralina 20 x 40</t>
  </si>
  <si>
    <t>Colocación de zócalos de porcelanato</t>
  </si>
  <si>
    <t>Colocación zócalos de coralina</t>
  </si>
  <si>
    <t>Colocacion de huellas de escalera</t>
  </si>
  <si>
    <t>Colocacion de contrahuella</t>
  </si>
  <si>
    <t>Colocacion de mosaico en escalones de piscina</t>
  </si>
  <si>
    <t>Colocación de Quicios de marmol</t>
  </si>
  <si>
    <t>Colocacion de piedra caliza labrada 1 cara</t>
  </si>
  <si>
    <t>Colocacion de piedra caliza labrada 2 cara</t>
  </si>
  <si>
    <t>Instalación de topes de baños</t>
  </si>
  <si>
    <t>Colocación de quicios</t>
  </si>
  <si>
    <t>Colocación de zócalos de ceramicas</t>
  </si>
  <si>
    <t>Colocación de tejas</t>
  </si>
  <si>
    <t>Colocación de caballetes</t>
  </si>
  <si>
    <t>Corte chazos de cerámica italiana y zócalos</t>
  </si>
  <si>
    <t>Corte chazos de porcelanatos</t>
  </si>
  <si>
    <t>Corte chazos de mármol y coralina</t>
  </si>
  <si>
    <t>Corte de bordillos</t>
  </si>
  <si>
    <t>Revestimiento de piedra caliza</t>
  </si>
  <si>
    <t>Confección de huecos pulidos para lavamanos</t>
  </si>
  <si>
    <t>Instalación de lavamanos y fregaderos undermount</t>
  </si>
  <si>
    <t xml:space="preserve">Terminacion paredes </t>
  </si>
  <si>
    <t>Mano de obra pañete en exteriores</t>
  </si>
  <si>
    <t xml:space="preserve">Mano de obra pañete en interiores </t>
  </si>
  <si>
    <t>Mano de obra pañete en techos</t>
  </si>
  <si>
    <t>Mano de obra pañete en Vigas y Col. Ext</t>
  </si>
  <si>
    <t>Mano de obra cantos rectos</t>
  </si>
  <si>
    <t>Mano de obra en mochetas rectas</t>
  </si>
  <si>
    <t>Mano de obra en mochetas laterales escaleras</t>
  </si>
  <si>
    <t>Mano de obra cantos rectos en Ext.</t>
  </si>
  <si>
    <t>Mano de obra cantos curvos</t>
  </si>
  <si>
    <t>Mano de obra en mochetas curvas</t>
  </si>
  <si>
    <t>Rateado de Hormigon</t>
  </si>
  <si>
    <t>Pañete de escalones</t>
  </si>
  <si>
    <t>Terminacion techos</t>
  </si>
  <si>
    <t>Fino de techo plano</t>
  </si>
  <si>
    <t>Fino de techo inclinados</t>
  </si>
  <si>
    <t>Mano de obra de zabaletas</t>
  </si>
  <si>
    <t>Varios</t>
  </si>
  <si>
    <t>Mano de obra pañete en piletas</t>
  </si>
  <si>
    <t>Hechura de base para bañera</t>
  </si>
  <si>
    <t>Hechura de pileta</t>
  </si>
  <si>
    <t>Mano de obra term. Cámara de inspección</t>
  </si>
  <si>
    <t>Mano de obra de vertedero</t>
  </si>
  <si>
    <t>Nivelación a mano para platea</t>
  </si>
  <si>
    <t xml:space="preserve">Terminacion Columna Red. De 50 cms </t>
  </si>
  <si>
    <t>Terminacion de Rampa de Escalera</t>
  </si>
  <si>
    <t>Huecos para vitrales entrada</t>
  </si>
  <si>
    <t>CARPINTERIA</t>
  </si>
  <si>
    <t>Columnas</t>
  </si>
  <si>
    <t>TAPA Y TAPA 15X20</t>
  </si>
  <si>
    <t xml:space="preserve">TAPA Y TAPA 20X20 </t>
  </si>
  <si>
    <t xml:space="preserve">TAPA Y TAPA 20X30 </t>
  </si>
  <si>
    <t xml:space="preserve">TAPA Y TAPA 20X40 </t>
  </si>
  <si>
    <t>TAPA Y TAPA 20X50</t>
  </si>
  <si>
    <t>TAPA Y TAPA 20X60</t>
  </si>
  <si>
    <t>TAPA Y TAPA 20X80</t>
  </si>
  <si>
    <t>COLUMNAS 20X20(3 CARAS)</t>
  </si>
  <si>
    <t>COLUMNAS 20X30 (3 CARAS)</t>
  </si>
  <si>
    <t xml:space="preserve">COLUMNAS 20X40 (3 CARAS) </t>
  </si>
  <si>
    <t xml:space="preserve">COLUMNAS 20X50 (3 CARAS) </t>
  </si>
  <si>
    <t xml:space="preserve">COLUMNAS 20X60 (3 CARAS) </t>
  </si>
  <si>
    <t xml:space="preserve">COLUMNAS 20X80 (3 CARAS) </t>
  </si>
  <si>
    <t>Carpinteria Columna 4 caras 20 x 20</t>
  </si>
  <si>
    <t>Carpinteria Columna 4 caras 25 x 25 o 20 x 30</t>
  </si>
  <si>
    <t>Carpinteria Columna 4 caras 30 x 30</t>
  </si>
  <si>
    <t>Carpinteria Columna 4 caras 40 x 40</t>
  </si>
  <si>
    <t>Carpinteria Columna 4 caras 50 x 50</t>
  </si>
  <si>
    <t>Carpinteria Columna 4 caras 60 x 60</t>
  </si>
  <si>
    <t>Carpinteria Columna 4 caras 20 x 40</t>
  </si>
  <si>
    <t>Carpinteria Columna 4 caras 20 x 70</t>
  </si>
  <si>
    <t>Carpinteria Columna redonda 30</t>
  </si>
  <si>
    <t>Carpinteria Columna redonda 40</t>
  </si>
  <si>
    <t>Carpinteria Columna redonda 50</t>
  </si>
  <si>
    <t>Carpinteria Columna redonda 60</t>
  </si>
  <si>
    <t>Carpinteria Base Columna de Madera redonda 53cm</t>
  </si>
  <si>
    <t>Carpintería de muros curvos, por caras</t>
  </si>
  <si>
    <t>Carpintería de muros rectos por caras</t>
  </si>
  <si>
    <t>Vigas Curvadas</t>
  </si>
  <si>
    <t>Carpintería viga de carga  30X60</t>
  </si>
  <si>
    <t>Carpinteria viga de carga 30x120</t>
  </si>
  <si>
    <t>Carpintería viga invertida hasta 40CM</t>
  </si>
  <si>
    <t>Carpintería viga invertida hasta 60CM</t>
  </si>
  <si>
    <t>Carpintería viga 40x40 CM</t>
  </si>
  <si>
    <t>Carpintería viga 40x50 CM</t>
  </si>
  <si>
    <t>Carpintería viga 40x60 CM</t>
  </si>
  <si>
    <t>Carpintería dinteles 20 x 20</t>
  </si>
  <si>
    <t>Carpintería dinteles 20 x 30</t>
  </si>
  <si>
    <t>Vigas Rectas</t>
  </si>
  <si>
    <t xml:space="preserve">V.A. 20X10 </t>
  </si>
  <si>
    <t>V.A. 20X20</t>
  </si>
  <si>
    <t xml:space="preserve">V.A. 20X25 </t>
  </si>
  <si>
    <t>V.A. 20X30</t>
  </si>
  <si>
    <t>V.A.  20X35</t>
  </si>
  <si>
    <t xml:space="preserve">V.A.  20X40 </t>
  </si>
  <si>
    <t>V.A.  20X50</t>
  </si>
  <si>
    <t xml:space="preserve">V.A.  20X60 </t>
  </si>
  <si>
    <t xml:space="preserve">VIGA Y DINTEL 20X20 </t>
  </si>
  <si>
    <t>VIGA Y DINTEL 20X30</t>
  </si>
  <si>
    <t>VIGA Y DINTEL 20X35</t>
  </si>
  <si>
    <t>VIGA Y DINTEL 20X40</t>
  </si>
  <si>
    <t>VIGA Y DINTEL 20X45</t>
  </si>
  <si>
    <t>VIGA Y DINTEL  MAYOR 20X50 AREA DE CONTACTO</t>
  </si>
  <si>
    <t>Losas en techos</t>
  </si>
  <si>
    <t>PLANAS 2,6M HASTA 3,0M</t>
  </si>
  <si>
    <t>PLANAS 3,05M HASTA 3,5M</t>
  </si>
  <si>
    <t>PLANAS 3,51M HASTA 4,0M</t>
  </si>
  <si>
    <t>PLANAS 4,0M EN ADELANTE</t>
  </si>
  <si>
    <t>INCLINADAS  ARRANQUE 2.8M @ 3,4M Y CAB &lt;3,50M</t>
  </si>
  <si>
    <t>INCLINADAS  ARRANQUE 3,41M @4,0M Y CAB &lt;8,50M</t>
  </si>
  <si>
    <t>Carpintería de losas nervadas 20cm hasta 4 mt</t>
  </si>
  <si>
    <t>Carpintería guarderas todo costo  10 cm</t>
  </si>
  <si>
    <t>Carpintería guarderas todo costo  20 cm</t>
  </si>
  <si>
    <t>Carpintería guarderas todo costo  40 cm</t>
  </si>
  <si>
    <t>Carpintería en escalera a todo costo SIN HUELLAS</t>
  </si>
  <si>
    <t>TRAMO</t>
  </si>
  <si>
    <t>Carpintería en escalera a todo costo CON HUELLAS</t>
  </si>
  <si>
    <t>Cepos normales</t>
  </si>
  <si>
    <t>Cepos Doble altura</t>
  </si>
  <si>
    <t>Confeccion de charrancha a todo costo</t>
  </si>
  <si>
    <t>MOVIMIENTO TIERRA</t>
  </si>
  <si>
    <t>Entrada de rrelleno a la obra</t>
  </si>
  <si>
    <t>Excavación a mano en arena</t>
  </si>
  <si>
    <t>Excavación con equipo</t>
  </si>
  <si>
    <t>Excavación con equipo en caliche</t>
  </si>
  <si>
    <t>Regado y mojado de material de relleno</t>
  </si>
  <si>
    <t>Bote de material</t>
  </si>
  <si>
    <t>Mano de obra de compactación</t>
  </si>
  <si>
    <t>Regado y Nivelado de piedras</t>
  </si>
  <si>
    <t>Mano de obra acrílica en paredes</t>
  </si>
  <si>
    <t>Sellador de Piso</t>
  </si>
  <si>
    <t>PLOMERIA</t>
  </si>
  <si>
    <t>Instalacion accesorios banos</t>
  </si>
  <si>
    <t>Instalacion  cabina</t>
  </si>
  <si>
    <t>Instalacion  Lavadero</t>
  </si>
  <si>
    <t>Instalacion Lavadora</t>
  </si>
  <si>
    <t>VARILLEROS</t>
  </si>
  <si>
    <t>ME</t>
  </si>
  <si>
    <t>MA</t>
  </si>
  <si>
    <t>Envarillado columna  Hasta 30 x 30</t>
  </si>
  <si>
    <t>Envarillado columna  Hasta 20 x 30 Y 25 x 25</t>
  </si>
  <si>
    <t>Envarillado de columnas mayores de 30 X 30</t>
  </si>
  <si>
    <t>Envarillado de columnas  20x20</t>
  </si>
  <si>
    <t>Envarillado de columnas  30x55</t>
  </si>
  <si>
    <t>Envarillado de columnas  D 30 cm</t>
  </si>
  <si>
    <t>Envarillado de columnas  D 40 cm</t>
  </si>
  <si>
    <t>Envarillado de columnas  D 50 cm</t>
  </si>
  <si>
    <t>Envarillado de columnas  D 60 cm</t>
  </si>
  <si>
    <t>Envarillado Base columnas Madera  D 53 cm</t>
  </si>
  <si>
    <t>Losas , Platea, Zapata</t>
  </si>
  <si>
    <t>M,</t>
  </si>
  <si>
    <t>Envarillado de muros</t>
  </si>
  <si>
    <t>Envarillado de losa</t>
  </si>
  <si>
    <t>Colocacion de malla electrosoldada</t>
  </si>
  <si>
    <t>Envarillado de zapata muro</t>
  </si>
  <si>
    <t>Envarillado zapata columna + 1.00x1.00</t>
  </si>
  <si>
    <t>Envarillado zapata columna + 1.50x1.50</t>
  </si>
  <si>
    <t>Envarillado zapata columna + 2.00x2.00</t>
  </si>
  <si>
    <t>Vigas</t>
  </si>
  <si>
    <t>Envarillado de dinteles</t>
  </si>
  <si>
    <t>Envarillado viga 20 x 20</t>
  </si>
  <si>
    <t>Envarillado de viga de amarre 20*30</t>
  </si>
  <si>
    <t>Envarillado viga 20 x 40</t>
  </si>
  <si>
    <t>Envarillado viga 20 x 50</t>
  </si>
  <si>
    <t>Envarillado viga 20 x 60</t>
  </si>
  <si>
    <t>Envarillado viga 20 x 70</t>
  </si>
  <si>
    <t>Envarillado viga 20 x 80</t>
  </si>
  <si>
    <t>Envarillado viga 20 x 100</t>
  </si>
  <si>
    <t>Envarillado viga 20 x 124</t>
  </si>
  <si>
    <t>Envarillado viga 25 x 60</t>
  </si>
  <si>
    <t>Envarillado viga 30 x 75</t>
  </si>
  <si>
    <t>Envarillado viga 30 x 70</t>
  </si>
  <si>
    <t>Envarillado viga 30 x 60</t>
  </si>
  <si>
    <t>Envarillado viga 30 x 50</t>
  </si>
  <si>
    <t>Envarillado viga 30 x 40</t>
  </si>
  <si>
    <t>Envarillado viga 40 x 60</t>
  </si>
  <si>
    <t>Envarillado de canaleta</t>
  </si>
  <si>
    <t>Envarillado de chapapote</t>
  </si>
  <si>
    <t>Envarillado de escalera</t>
  </si>
  <si>
    <t>Varillado de cortina de agua</t>
  </si>
  <si>
    <t>Varillado de rebose cascada</t>
  </si>
  <si>
    <t>Vibrado de Hormigón</t>
  </si>
  <si>
    <t>Limpieza de área de pañete</t>
  </si>
  <si>
    <t>Limpieza de área de bloques</t>
  </si>
  <si>
    <t>Limpieza de mezcla</t>
  </si>
  <si>
    <t>M2/ML</t>
  </si>
  <si>
    <t>Instalación y accesorios de baño</t>
  </si>
  <si>
    <t>Mano de obra en cercas de alambres de púas</t>
  </si>
  <si>
    <t>Calzado de varillas</t>
  </si>
  <si>
    <t>Perforacion Huecos Cargaderas (Techo Madera Blanca)</t>
  </si>
  <si>
    <t>PA/M3</t>
  </si>
  <si>
    <t>Huecos en plafond para luz y Extractor</t>
  </si>
  <si>
    <t>JORNALES</t>
  </si>
  <si>
    <t>Maestro de obra</t>
  </si>
  <si>
    <t>Obreros</t>
  </si>
  <si>
    <t>Ayudante de albañil de primera</t>
  </si>
  <si>
    <t>Albañil</t>
  </si>
  <si>
    <t>Colocacion de bobedillas</t>
  </si>
  <si>
    <t>Barrera de vapor A T/C</t>
  </si>
  <si>
    <t>Subida de materiales ( 70 % Equipo 30 % Obrero)</t>
  </si>
  <si>
    <t>HAB</t>
  </si>
  <si>
    <t xml:space="preserve">Limpieza final de obra </t>
  </si>
  <si>
    <t>Remiendos  Madera Blanca</t>
  </si>
  <si>
    <t>Remiendos  y picaderas</t>
  </si>
  <si>
    <t>Retoques habitaciones</t>
  </si>
  <si>
    <t>Acune tuberias A/C</t>
  </si>
  <si>
    <t>Traslado de materiales</t>
  </si>
  <si>
    <t>Repisa</t>
  </si>
  <si>
    <t>Hueco para vitrales en entrada</t>
  </si>
  <si>
    <t>Juntas metalicas</t>
  </si>
  <si>
    <t>PROCESO: GESTIÓN DE CONTROL Y SEGUIMIENTO</t>
  </si>
  <si>
    <t>LISTADO DE PRECIOS MANO DE OBRA</t>
  </si>
  <si>
    <t>MAYO</t>
  </si>
  <si>
    <t>PARTIDA:</t>
  </si>
  <si>
    <t>GENERAL</t>
  </si>
  <si>
    <t>DESCRIPCIÓN</t>
  </si>
  <si>
    <t>CANTIDAD</t>
  </si>
  <si>
    <t>PU ($)</t>
  </si>
  <si>
    <t>COSTO / PRESUPUESTO</t>
  </si>
  <si>
    <t>EXCAVACIONES</t>
  </si>
  <si>
    <t xml:space="preserve">2.0-EXCAVACION A MANO </t>
  </si>
  <si>
    <t>EXCAVACION EN TIERRA</t>
  </si>
  <si>
    <r>
      <t>M</t>
    </r>
    <r>
      <rPr>
        <sz val="12"/>
        <rFont val="Microsoft YaHei UI"/>
        <family val="2"/>
      </rPr>
      <t>³</t>
    </r>
  </si>
  <si>
    <t xml:space="preserve">EXCAVACION EN CALICHE </t>
  </si>
  <si>
    <t>EXCAVACION EN ROCA</t>
  </si>
  <si>
    <t xml:space="preserve">2.0-EXCAVACION CON EQUIPO </t>
  </si>
  <si>
    <t>EXCAVACION EN MATERIAL SUELTO</t>
  </si>
  <si>
    <t xml:space="preserve">EXCAVACION EN MATERIAL COMPACTADO </t>
  </si>
  <si>
    <t>1500 - 1600</t>
  </si>
  <si>
    <t>Control lo paga con ITBIS</t>
  </si>
  <si>
    <t xml:space="preserve">EXCAVACION EN ROCA </t>
  </si>
  <si>
    <t xml:space="preserve">EXCAVACION CON RETROEXCAVADORA                 --&gt; 80-100 M³ </t>
  </si>
  <si>
    <t>EXCAVACION CON RETROEXCAVADORA                 --&gt; 101-300 M³</t>
  </si>
  <si>
    <t>1350-1400</t>
  </si>
  <si>
    <t>EXCAVACION CON RETROEXCAVADORA                 --&gt; 301 M³ en adelante</t>
  </si>
  <si>
    <t xml:space="preserve">3.0-LIMPIEZA DE SOLAR / DESBROCE </t>
  </si>
  <si>
    <t>LIMPIEZA DE SOLAR - NEGOCIAR SEGUN M2</t>
  </si>
  <si>
    <t>M²</t>
  </si>
  <si>
    <t>60-85</t>
  </si>
  <si>
    <t>BOTE DE MATERIAL</t>
  </si>
  <si>
    <t>REGADO Y MOJADO DE MATERIAL DE RELLENO</t>
  </si>
  <si>
    <t>ENTRADA DE MATERIALES</t>
  </si>
  <si>
    <t>VARILLERO</t>
  </si>
  <si>
    <t xml:space="preserve">1.0-ZAPATAS - PARILLAS </t>
  </si>
  <si>
    <t>MUROS 6" con 3 varillas</t>
  </si>
  <si>
    <t>MUROS 6" con 4 varillas</t>
  </si>
  <si>
    <r>
      <t xml:space="preserve">MUROS 8" con 3 varillas - </t>
    </r>
    <r>
      <rPr>
        <b/>
        <sz val="11"/>
        <color rgb="FFFF0000"/>
        <rFont val="Century Gothic"/>
        <family val="2"/>
      </rPr>
      <t>No Estructural.</t>
    </r>
  </si>
  <si>
    <t>MUROS 8" con 4 varillas</t>
  </si>
  <si>
    <t xml:space="preserve">COLUMNAS 1.0M  hasta 1.2M - POR CAMADA </t>
  </si>
  <si>
    <t xml:space="preserve">COLUMNAS 1.25M  hasta 1.5M - POR CAMADA </t>
  </si>
  <si>
    <t xml:space="preserve">COLUMNAS 1.55M hasta 2.20 M - POR CAMADA </t>
  </si>
  <si>
    <t xml:space="preserve">COLUMNAS 2.20M en adelante - POR CAMADA </t>
  </si>
  <si>
    <t>ZAPATAS POR QQ</t>
  </si>
  <si>
    <t xml:space="preserve">2.0-COLUMNAS </t>
  </si>
  <si>
    <t xml:space="preserve">CUADRADAS Y RECTANGULARES + 10% POR NIVEL </t>
  </si>
  <si>
    <t>COLUMNAS 20 X 20 con var. 3/8 y 1/2¨</t>
  </si>
  <si>
    <t>COLUMNAS 25 X 25 con var. 3/8 y 1/2</t>
  </si>
  <si>
    <t>COLUMNAS 20 X 30 con var. 3/8 y 1/2</t>
  </si>
  <si>
    <t>COLUMNAS 20 X 30 con var. 3/4 y 1</t>
  </si>
  <si>
    <t>COLUMNAS 20 X 40 con var.3/8 y 1/2</t>
  </si>
  <si>
    <t>COLUMNAS 20 X 40 con var.3/4 y 1</t>
  </si>
  <si>
    <t>COLUMNAS 60 X 60 con var. 3/8 y 1/2</t>
  </si>
  <si>
    <t>COLUMNAS 60 X 60 con var. 3/4 y 1</t>
  </si>
  <si>
    <t>COLUMNAS POR QQ</t>
  </si>
  <si>
    <t xml:space="preserve"> REDONDAS + 10% POR NIVEL </t>
  </si>
  <si>
    <t>REDONDA DE 20CM HASTA 30CM con var. 3/8 Y 1/2</t>
  </si>
  <si>
    <t>REDONDA DE 20CM HASTA 30CM con var. 3/4 y 1</t>
  </si>
  <si>
    <t>REDONDA DE 40CM HASTA 60CM con var. 3/8 Y 1/2</t>
  </si>
  <si>
    <t>REDONDA DE 40CM HASTA 60CM con var. 3/4 y 1</t>
  </si>
  <si>
    <t>3.0-VIGAS</t>
  </si>
  <si>
    <t xml:space="preserve">VIGAS Y DINTELES + 10% POR NIVEL </t>
  </si>
  <si>
    <t>V.A  20X20 con var. 3/8 y1/2</t>
  </si>
  <si>
    <t>VIGAS Y DINTELES 25X25  con var. 3/8 y 1/2</t>
  </si>
  <si>
    <t>VIGAS Y DINTELES 25X25  con var. 3/4 y 1</t>
  </si>
  <si>
    <t>VIGAS Y DINTELES BASE 20X30  con var. 3/8 y 1/2</t>
  </si>
  <si>
    <t>VIGAS Y DINTELES BASE 20X30  con var. 3/4 y 1</t>
  </si>
  <si>
    <t>VIGAS Y DINTELES BASE 20X40  con var. 3/8 y 1/2</t>
  </si>
  <si>
    <t>VIGAS Y DINTELES BASE 20X40  con var. 3/4 y 1</t>
  </si>
  <si>
    <t>VIGAS Y DINTELES BASE 20X50  con var. 3/8 y 1/2</t>
  </si>
  <si>
    <t>VIGAS Y DINTELES BASE 20X50  con var. 3/4 y 1</t>
  </si>
  <si>
    <t>VIGAS Y DINTELES BASE 20X60  con var. 3/8 y 1/2</t>
  </si>
  <si>
    <t>VIGAS Y DINTELES BASE 20X60 con var. 3/4 y 1</t>
  </si>
  <si>
    <t>VIGAS Y DINTELES BASE 20X70  con var. 3/8 y 1/2</t>
  </si>
  <si>
    <t>VIGAS Y DINTELES BASE 20X70 con var. 3/4 y 1</t>
  </si>
  <si>
    <t>VIGAS Y DINTELES BASE 20X80  con var. 3/8 y 1/2</t>
  </si>
  <si>
    <t>VIGAS Y DINTELES BASE 20X80  con var. 3/4 y 1</t>
  </si>
  <si>
    <t>VIGAS POR QQ</t>
  </si>
  <si>
    <t xml:space="preserve">VIGAS PLANAS + 10% POR NIVEL </t>
  </si>
  <si>
    <t>VIGA PLANA 15X40  3/8 Y 1/2</t>
  </si>
  <si>
    <t>VIGA PLANA 15X60  3/8 Y 1/2</t>
  </si>
  <si>
    <t>VIGA PLANA 15X DE 60 EN ADELANTE  3/8 Y 1/2</t>
  </si>
  <si>
    <t>VIGA PLANA 15X40  3/4Y 1</t>
  </si>
  <si>
    <t>VIGA PLANA 15X60  3/4Y 1</t>
  </si>
  <si>
    <t>VIGA PLANA 15X DE 60 EN ADELANTE  3/4 Y 1</t>
  </si>
  <si>
    <t>VIGA PARA LIMATESA</t>
  </si>
  <si>
    <t>VIGA PARA LIMATESAS ARO COMPLETO</t>
  </si>
  <si>
    <t xml:space="preserve">VIGUETILLAS PARA LOSA ALIGERADA </t>
  </si>
  <si>
    <t xml:space="preserve">VIGUETILLAS PARA LOSA ALIGERADA - CON ESTRIBO CERRADO </t>
  </si>
  <si>
    <t xml:space="preserve">5.0-LOSAS + 10% POR NIVEL </t>
  </si>
  <si>
    <t xml:space="preserve">LOSAS PLANAS </t>
  </si>
  <si>
    <t xml:space="preserve">VUELOS PLANOS </t>
  </si>
  <si>
    <t xml:space="preserve">LOSAS INCLINADAS </t>
  </si>
  <si>
    <t>COLOCACION DE MALLA ELECTROSOLDADA</t>
  </si>
  <si>
    <t xml:space="preserve">COLOCACION DE MALLA DE GALLINERO </t>
  </si>
  <si>
    <t>COLOCACION DE FOAM</t>
  </si>
  <si>
    <t xml:space="preserve">LOSA DE PISCINA - POR CAMADA </t>
  </si>
  <si>
    <t>LOSAS POR QQ</t>
  </si>
  <si>
    <t>MALLA ELECTROSOLDADA POR QQ</t>
  </si>
  <si>
    <t xml:space="preserve">6.0-VARIOS </t>
  </si>
  <si>
    <t xml:space="preserve">COLOCACION DE BASTONES </t>
  </si>
  <si>
    <t xml:space="preserve">CORTE DE BASTONES </t>
  </si>
  <si>
    <t xml:space="preserve">ESCALERA DE DOS TRAMOS </t>
  </si>
  <si>
    <t xml:space="preserve">MUROS DE PISCINAS POR CARA </t>
  </si>
  <si>
    <t>PLATEA VAR - 1/2 - POR CAMADA</t>
  </si>
  <si>
    <t>PLATEA VAR - 3/4 - POR CAMADA</t>
  </si>
  <si>
    <t>P.A</t>
  </si>
  <si>
    <t>PEDESTALES DE ESCALERA (Incluye parrilla)</t>
  </si>
  <si>
    <t xml:space="preserve">SUBIDA DE MATERIALES - POR NIVEL </t>
  </si>
  <si>
    <t>ACARREO INTERNO DE MATERIALES - MAS DE 40MT DE DISTANCIA</t>
  </si>
  <si>
    <t>7.0-INCENTIVOS</t>
  </si>
  <si>
    <t xml:space="preserve">CIMIENTOS - LOSAS C/U - NEGOCIAR SI TIENEN JUNTAS </t>
  </si>
  <si>
    <t>ALBAÑILERIA</t>
  </si>
  <si>
    <t>AQUÍ</t>
  </si>
  <si>
    <t>1.0-BLOQUES</t>
  </si>
  <si>
    <t xml:space="preserve">BAJO NIVEL DE PISO = SOTANO (1ER NIVEL)  + 10% POR NIVEL </t>
  </si>
  <si>
    <t>MUROS 4"</t>
  </si>
  <si>
    <t>MUROS 6"</t>
  </si>
  <si>
    <t>MUROS 8"</t>
  </si>
  <si>
    <t>MUROS 10"</t>
  </si>
  <si>
    <t>MUROS 12"</t>
  </si>
  <si>
    <t xml:space="preserve">ENRASE - SUBIR 10% POR NIVEL </t>
  </si>
  <si>
    <t xml:space="preserve">ANTEPECHO - SUBIR 10% POR NIVEL </t>
  </si>
  <si>
    <t>2.0-TERMINACIONES</t>
  </si>
  <si>
    <t xml:space="preserve">FRAGUACHE  + 10% POR NIVEL </t>
  </si>
  <si>
    <t xml:space="preserve">VIGAS </t>
  </si>
  <si>
    <t xml:space="preserve">COLUMNAS </t>
  </si>
  <si>
    <t xml:space="preserve">TECHOS </t>
  </si>
  <si>
    <t xml:space="preserve">PAÑETE  + 10% POR NIVEL </t>
  </si>
  <si>
    <t>REPELLO SIN MAESTREAR</t>
  </si>
  <si>
    <t xml:space="preserve">REPELLO MAESTREADO </t>
  </si>
  <si>
    <t xml:space="preserve">REPELLO MAESTREADO EN TECHOS 2CM </t>
  </si>
  <si>
    <t xml:space="preserve">PAÑETE MAESTREADO SIN TERMINACION - INTERIOR </t>
  </si>
  <si>
    <t xml:space="preserve">PAÑETE TERMINADO - INTERIOR </t>
  </si>
  <si>
    <t xml:space="preserve">PAÑETE DE TECHO - MAESTREADO </t>
  </si>
  <si>
    <t xml:space="preserve">PAÑETE DE TECHO - SIN MAESTREADO </t>
  </si>
  <si>
    <t>PAÑETE DE COLUMNAS POR CARA</t>
  </si>
  <si>
    <t>PAÑETE DE VIGAS POR CARA</t>
  </si>
  <si>
    <t xml:space="preserve">PAÑETE MAESTREADO SIN TERMINACION - EXTERIOR </t>
  </si>
  <si>
    <t xml:space="preserve">PAÑETE TERMINADO - EXTERIOR </t>
  </si>
  <si>
    <t xml:space="preserve">PAÑETE TIPO PERILLA SIN TERMINACION - EXTERIOR </t>
  </si>
  <si>
    <t xml:space="preserve">PAÑETE TIPO PERILLA TERMINADO - EXTERIOR </t>
  </si>
  <si>
    <t xml:space="preserve">COLOCACION DE MALLA DE FIBRA </t>
  </si>
  <si>
    <t xml:space="preserve">FINO  + 10% POR NIVEL </t>
  </si>
  <si>
    <t xml:space="preserve">FINO DE TECHO PLANO - VACIADO A MANO </t>
  </si>
  <si>
    <t xml:space="preserve">FINO DE TECHO INCLINADO  - VACIADO A MANO </t>
  </si>
  <si>
    <t>FINO DE TECHO PLANO  - VACIADO A BOMBA</t>
  </si>
  <si>
    <t>FINO DE TECHO INCLINADO  - VACIADO A BOMBA</t>
  </si>
  <si>
    <t xml:space="preserve">GOTEROS  + 10% POR NIVEL </t>
  </si>
  <si>
    <t xml:space="preserve">GOTEROS </t>
  </si>
  <si>
    <t xml:space="preserve">GOTEROS PLASTICOS </t>
  </si>
  <si>
    <t>GOTEROS INVERTIDO PARA TEJAS</t>
  </si>
  <si>
    <t xml:space="preserve">CANTOS Y MOCHETAS  + 10% POR NIVEL </t>
  </si>
  <si>
    <t xml:space="preserve">CANTOS </t>
  </si>
  <si>
    <t>MOCHETAS</t>
  </si>
  <si>
    <t xml:space="preserve">CANTOS Y MOCHETAS- TIPO PERILLA // RELLENO </t>
  </si>
  <si>
    <t xml:space="preserve">CANTOS Y MOCHETAS- TIPO PERILLA // NO RELLENO </t>
  </si>
  <si>
    <t xml:space="preserve">ZABALETAS / LIMAS / VARIOS    + 10% POR NIVEL </t>
  </si>
  <si>
    <t xml:space="preserve">ZABALETAS DE PISOS </t>
  </si>
  <si>
    <t>ZABALETAS DE TECHOS</t>
  </si>
  <si>
    <t xml:space="preserve">LIMATESAS EN TECHOS </t>
  </si>
  <si>
    <t xml:space="preserve">LIMAHOYAS EN TECHOS </t>
  </si>
  <si>
    <t xml:space="preserve">ORILLAS DE TEJAS </t>
  </si>
  <si>
    <t>JAMBAS DE CEMENTO BLANCO DE 15@20 CM</t>
  </si>
  <si>
    <t>JAMBAS DE CEMENTO GRIS (15CM)</t>
  </si>
  <si>
    <t xml:space="preserve">3.0-VACIADO </t>
  </si>
  <si>
    <t xml:space="preserve">A MANO + 10% POR NIVEL </t>
  </si>
  <si>
    <t xml:space="preserve">VACIADO DE ZAPATAS </t>
  </si>
  <si>
    <t>VACIADO DE DINTELES Y VIGAS</t>
  </si>
  <si>
    <t>VACIADO DE COLUMNAS</t>
  </si>
  <si>
    <t xml:space="preserve">VACIADO DE TORTA DE PISO A MANO </t>
  </si>
  <si>
    <t xml:space="preserve">COLOCACION DE PLASTICO NEGRO </t>
  </si>
  <si>
    <t xml:space="preserve">INDUSTRIAL + 10% POR NIVEL </t>
  </si>
  <si>
    <t xml:space="preserve">NIVELACION DE TORTA -HORMIGON INDUSTRIAL INCLUYE MAESTRA </t>
  </si>
  <si>
    <t>4.0-PRELIMINARES</t>
  </si>
  <si>
    <t xml:space="preserve">VERJA PERIMETRAL Y PAREDES DE ALMACEN EN MADERA </t>
  </si>
  <si>
    <t>TECHOS EN MADERA Y ALUZINC</t>
  </si>
  <si>
    <r>
      <t xml:space="preserve">REPLANTEO CASA PEQUEÑA </t>
    </r>
    <r>
      <rPr>
        <b/>
        <sz val="11"/>
        <rFont val="Calibri"/>
        <family val="2"/>
      </rPr>
      <t>≤</t>
    </r>
    <r>
      <rPr>
        <b/>
        <sz val="11"/>
        <rFont val="Century Gothic"/>
        <family val="2"/>
      </rPr>
      <t xml:space="preserve"> 750 M²- POR NIVEL COMPLETO </t>
    </r>
  </si>
  <si>
    <t>REPLANTEO CASA MEDIANA ≤ 1600 M²- POR NIVEL COMPLETO</t>
  </si>
  <si>
    <r>
      <t xml:space="preserve">REPLANTEO CASA GRANDE </t>
    </r>
    <r>
      <rPr>
        <b/>
        <sz val="11"/>
        <rFont val="Calibri"/>
        <family val="2"/>
      </rPr>
      <t>&gt; 1601 M²</t>
    </r>
    <r>
      <rPr>
        <b/>
        <sz val="11"/>
        <rFont val="Century Gothic"/>
        <family val="2"/>
      </rPr>
      <t xml:space="preserve"> POR NIVEL COMPLETO</t>
    </r>
  </si>
  <si>
    <t xml:space="preserve">5.0-MAESTRIA Y PERSONAL </t>
  </si>
  <si>
    <t>MAESTRIA E INCENTIVO DE VIVIENDA - POR CASA - PRIMERA CASA</t>
  </si>
  <si>
    <t>MAESTRIA E INCENTIVO DE VIVIENDA - POR CASA - SEGUNDA CASA - MAXIMO 2</t>
  </si>
  <si>
    <t>ALBAÑIL</t>
  </si>
  <si>
    <t xml:space="preserve">AYUDANTE DE ALBAÑIL </t>
  </si>
  <si>
    <t>AYUDANTES DEL MAESTRO - POR LA CASA</t>
  </si>
  <si>
    <t xml:space="preserve">TERMINADOR </t>
  </si>
  <si>
    <t xml:space="preserve">AYUDANTE POR LA CASA </t>
  </si>
  <si>
    <t xml:space="preserve">SERENO - INCLUYE DIETA </t>
  </si>
  <si>
    <t>NOCHE</t>
  </si>
  <si>
    <t>7-VARIOS</t>
  </si>
  <si>
    <t>AMARRE DE VARILLA Y SERPENTINA POR NIVEL</t>
  </si>
  <si>
    <t xml:space="preserve">BASE DE AIRE ACONDICIONADO POR UNIDAD </t>
  </si>
  <si>
    <t>REGISTRO SANITARIO</t>
  </si>
  <si>
    <t>TRAMPA DE GRASA, INCLUYE  BLOCK, PANETE Y TAPA</t>
  </si>
  <si>
    <t>IMPERMEABILIZACION DE BAÑO CON AQUAFIN</t>
  </si>
  <si>
    <t>1500 -2500</t>
  </si>
  <si>
    <t>INSTALACION DE LAVADERO  SENCILLO Y DOBLE (INCLUYE MURO)</t>
  </si>
  <si>
    <t>REVESTIMIENTO DE LAVADERO CON VERTEDERO , SENCILLO Y DOBLE</t>
  </si>
  <si>
    <t>INSTALACION DE TUBERIA PARA A/C</t>
  </si>
  <si>
    <t>TERMINACION DE HUECOS PARA A/C , REJILLAS INCLUYE MARCO MADERA</t>
  </si>
  <si>
    <t>CONFECCION DE MURO PARA PANEL BOARD ELECTRICO</t>
  </si>
  <si>
    <t xml:space="preserve">1.0-MASILLA </t>
  </si>
  <si>
    <t xml:space="preserve">1 CAPA </t>
  </si>
  <si>
    <t>APLICACIÓN Y LIJADO DE MASILLA EN PAREDES - MANO DE OBRA</t>
  </si>
  <si>
    <t>APLICACIÓN Y LIJADO DE MASILLA EN PAREDES - TODO COSTO</t>
  </si>
  <si>
    <t>2 CAPAS</t>
  </si>
  <si>
    <t>2.0-PINTURA INTERIOR (PU) // PINTURA EXTERIOR (PU + 10% POR NIVEL)</t>
  </si>
  <si>
    <t>PIEDRA Y LIMPIEZA</t>
  </si>
  <si>
    <t xml:space="preserve">PAREDES Y TECHOS - MANO DE OBRA </t>
  </si>
  <si>
    <t>APLICACIÓN DE PINTURA (1 MANO)</t>
  </si>
  <si>
    <t>APLICACIÓN DE PINTURA (3 MANOS CON PIEDRA)</t>
  </si>
  <si>
    <t>PINTURA DE MOCHETAS  (3 MANOS)</t>
  </si>
  <si>
    <t>PAREDES Y TECHOS - A TODO COSTO</t>
  </si>
  <si>
    <t>APLICACIÓN EN TECHOS Y PAREDES BLANCO (1 MANO CON PIEDRA)</t>
  </si>
  <si>
    <t>APLICACIÓN EN TECHOS Y PAREDES BLANCO (3 MANOS CON PIEDRA)</t>
  </si>
  <si>
    <t xml:space="preserve">JAMBAS </t>
  </si>
  <si>
    <t>APLICACIÓN DE PINTURA (3 MANOS CON PIEDRA) - MANO DE OBRA</t>
  </si>
  <si>
    <t xml:space="preserve">APLICACIÓN DE PINTURA (3 MANOS CON PIEDRA) - A TODO COSTO </t>
  </si>
  <si>
    <t>CORNIZAS</t>
  </si>
  <si>
    <t>PINTURA DE CORNIZAS  (3 MANOS) - A TODO COSTO</t>
  </si>
  <si>
    <t xml:space="preserve">PINTURA DE CORNIZAS  (3 MANOS) - MANO OBRA </t>
  </si>
  <si>
    <t>IMPERMEABILIZACION DE LOSAS, TECHOS Y PAREDES</t>
  </si>
  <si>
    <t>APLICACIÓN DE IMPERMEABILIZANTE (3 MANOS) - MANO DE OBRA</t>
  </si>
  <si>
    <t xml:space="preserve">APLICACIÓN DE IMPERMEABILIZANTE (3 MANOS) - TODO COSTO // POPULAR </t>
  </si>
  <si>
    <t xml:space="preserve">EPOXY </t>
  </si>
  <si>
    <t>APLICACIÓN DE EPOXY (3 MANOS) - MANO DE OBRA</t>
  </si>
  <si>
    <t xml:space="preserve">PINTURA CON ARENA </t>
  </si>
  <si>
    <t>APLICACIÓN EN PAREDES (1 MANOS) - MANO DE OBRA</t>
  </si>
  <si>
    <t>APLICACIÓN EN PAREDES  (3 MANOS) - A TODO COSTO</t>
  </si>
  <si>
    <t>3.0-PINTURA EN MADERA</t>
  </si>
  <si>
    <t>BLANCA</t>
  </si>
  <si>
    <t>APLICACIÓN EN TECHO - MANO DE OBRA</t>
  </si>
  <si>
    <t>APLICACIÓN EN TECHO - TODO COSTO</t>
  </si>
  <si>
    <t>PINTURA DE TABLA DE VISTA -3 CARAS</t>
  </si>
  <si>
    <t>PINTURA DE COLUMNAS - MANO DE OBRA</t>
  </si>
  <si>
    <t>PINTURA DE COLUMNAS - TODO COSTO</t>
  </si>
  <si>
    <t xml:space="preserve">NATURAL CON OLEO </t>
  </si>
  <si>
    <t>APLICACIÓN EN TECHO -MANO DE OBRA</t>
  </si>
  <si>
    <t>PINTURA DE TABLA DE VISTA  3 CARAS- TODO COSTO</t>
  </si>
  <si>
    <t>CON TINTA</t>
  </si>
  <si>
    <t>WASH TIPO CORALES 27</t>
  </si>
  <si>
    <t xml:space="preserve">PINTURA DE TABLA DE VISTA - TODO COSTO </t>
  </si>
  <si>
    <t xml:space="preserve">4.0-VARIOS </t>
  </si>
  <si>
    <t xml:space="preserve">BARANDAS/ZOCALOS DE MADERA - BLANCO </t>
  </si>
  <si>
    <t xml:space="preserve">PINTURA DE PASAMANOS - TODO COSTO </t>
  </si>
  <si>
    <t>PINTURA DE PASAMANOS - MANO DE OBRA</t>
  </si>
  <si>
    <t>PINTURA DE ZOCALOS - TODO COSTO</t>
  </si>
  <si>
    <t>PINTURA DE CORNIZAS - TODO COSTO</t>
  </si>
  <si>
    <t>PINTURA DE CENEFA - TODO COSTO</t>
  </si>
  <si>
    <t xml:space="preserve">BARANDAS ALUMINIO - BLANCO </t>
  </si>
  <si>
    <t>PINTURA ESMALTE DE BARANDAS EN ALUMINIO 3 MANOS INCLUYENDO PRIMER (M/O)</t>
  </si>
  <si>
    <t>ESTRUCTURA LIGERA</t>
  </si>
  <si>
    <t xml:space="preserve">1.0-SHEETROCK -(CAL 25 / PERFILES 1 5/8 ó 2 1/2)  + 5% POR NIVEL </t>
  </si>
  <si>
    <t>PLAFONES EN SHEETROCK-PLANCHA BLANCA</t>
  </si>
  <si>
    <t>PLAFONES EN SHEETROCK-PLANCHA VERDE</t>
  </si>
  <si>
    <t xml:space="preserve">MUROS DE SHEETROCK - UNA CARA </t>
  </si>
  <si>
    <t>MUROS DE SHEETROCK DOS CARAS</t>
  </si>
  <si>
    <t>FASCIA DE SHEETROCK DE 0 @ 40CMS</t>
  </si>
  <si>
    <t>FASCIA DE SHEETROCK DE 40 @ 60CMS</t>
  </si>
  <si>
    <t>PLAFONES EN SHEETROCK  INCLINADOS A 1 AGUA</t>
  </si>
  <si>
    <t>PLAFONES EN SHEETROCK  INCLINADOS A 4 AGUAS</t>
  </si>
  <si>
    <t xml:space="preserve">2.0-DENSGLASS  -(CAL 25 / PERFILES 1 5/8 ó 2 1/2)  + 5% POR NIVEL </t>
  </si>
  <si>
    <t>PLAFONES DE DENSGLASS</t>
  </si>
  <si>
    <t xml:space="preserve">MUROS DE DENSGLASS UNA CARA </t>
  </si>
  <si>
    <t>MUROS DE DENSGLASS DOS CARAS</t>
  </si>
  <si>
    <t>FASCIA DE DENSGLASS DE 0 @ 40CMS</t>
  </si>
  <si>
    <t>FASCIA DE DENSGLASS DE 40 @ 60CMS</t>
  </si>
  <si>
    <t>PLAFON DENSGLASS INCLINADO (GRIS)</t>
  </si>
  <si>
    <t>PLAFON DENSGLASS INCLINADO (CREMA)</t>
  </si>
  <si>
    <t xml:space="preserve">3.0-HIGHT READ - (CAL 22) + 5% POR NIVEL </t>
  </si>
  <si>
    <t xml:space="preserve">HIGHT READ </t>
  </si>
  <si>
    <t xml:space="preserve">ML </t>
  </si>
  <si>
    <t xml:space="preserve">4.0-PLYCEM  + 5% POR NIVEL </t>
  </si>
  <si>
    <t xml:space="preserve">LISO </t>
  </si>
  <si>
    <t xml:space="preserve">PLYCEM PLANO </t>
  </si>
  <si>
    <t xml:space="preserve">PLYCEM INCLINADO </t>
  </si>
  <si>
    <t>MACHIHEMBRADO</t>
  </si>
  <si>
    <t xml:space="preserve">5.0-VARIOS  + 5% POR NIVEL </t>
  </si>
  <si>
    <t>SUMINISTRO E INSTALACION DE AISLANTE FIBRA</t>
  </si>
  <si>
    <t>COLOCACION DE REFUERZO DE MADERA</t>
  </si>
  <si>
    <t>YESO</t>
  </si>
  <si>
    <t xml:space="preserve">1.0-TECHOS + 10% POR NIVEL </t>
  </si>
  <si>
    <t>APLICACIÓN DE YESO A TODO COSTO EN TECHO PLANOS</t>
  </si>
  <si>
    <t>APLICACIÓN DE YESO MANO DE OBRA EN TECHO PLANOS</t>
  </si>
  <si>
    <t>APLICACIÓN DE YESO A TODO COSTO EN TECHO INCLINADOS</t>
  </si>
  <si>
    <t>APLICACIÓN DE YESO MANO DE OBRA EN TECHO INCLINADOS</t>
  </si>
  <si>
    <t>LIMAHOYA EN TECHO - TODO COSTO</t>
  </si>
  <si>
    <t xml:space="preserve">2.0-MUROS / VIGAS + 10% POR NIVEL </t>
  </si>
  <si>
    <t xml:space="preserve">APLICACIÓN DE YESO - TODO COSTO </t>
  </si>
  <si>
    <t xml:space="preserve">M² </t>
  </si>
  <si>
    <r>
      <t xml:space="preserve">APLICACIÓN DE YESO EN VIGAS Y COLUMNAS - TODO COSTO - </t>
    </r>
    <r>
      <rPr>
        <b/>
        <sz val="11"/>
        <rFont val="Calibri"/>
        <family val="2"/>
      </rPr>
      <t>≤</t>
    </r>
    <r>
      <rPr>
        <b/>
        <sz val="9.35"/>
        <rFont val="Century Gothic"/>
        <family val="2"/>
      </rPr>
      <t xml:space="preserve"> 80 CM</t>
    </r>
  </si>
  <si>
    <t>APLICACIÓN DE YESO - MANO DE OBRA</t>
  </si>
  <si>
    <t xml:space="preserve">3.0-PUERTAS Y VENTANAS  + 10% POR NIVEL </t>
  </si>
  <si>
    <t>CANTOS - TODO COSTO</t>
  </si>
  <si>
    <t>CANTOS - MANO DE OBRA</t>
  </si>
  <si>
    <t>MOCHETAS - TODO COSTO</t>
  </si>
  <si>
    <t>MOCHETAS - MANO DE OBRA</t>
  </si>
  <si>
    <t xml:space="preserve">4.0-CORNIZAS + 10% POR NIVEL </t>
  </si>
  <si>
    <t>CONFECCION DE CORNIZAS &lt;10CM. A TODO COSTO</t>
  </si>
  <si>
    <t>CONFECCION DE CORNIZAS &lt;10CM. MANO DE OBRA</t>
  </si>
  <si>
    <t>CONFECCION DE CORNIZAS &gt;13CM. A TODO COSTO</t>
  </si>
  <si>
    <t>CONFECCION DE CORNIZAS &gt;13CM. MANO DE OBRA</t>
  </si>
  <si>
    <t>CONFECCION DE CORNIZAS &gt;20CM. A TODO COSTO</t>
  </si>
  <si>
    <t>CONFECCION DE CORNIZAS &gt;20CM. MANO DE OBRA</t>
  </si>
  <si>
    <t>CONFECCION DE CORNIZAS &gt;30CM. A TODO COSTO</t>
  </si>
  <si>
    <t>CONFECCION DE CORNIZAS &gt;30CM. MANO DE OBRA</t>
  </si>
  <si>
    <t>TEJAS</t>
  </si>
  <si>
    <t>1.0-TEJAS</t>
  </si>
  <si>
    <t>TEJAS PLANAS T TIPO S, SUBIDA DE MATERIALES, TERM. LIMAHOYAS Y PINTURA (MANO DE OBRA) - INCLUYE CABALLETE</t>
  </si>
  <si>
    <t>TEJAS PLANAS T TIPO S, SUBIDA DE MATERIALES, TERM. LIMAHOYAS Y PINTURA (MANO DE OBRA) - INCLUYE CABALLETE // SOBRE RATELES Y TORNILLOS</t>
  </si>
  <si>
    <t>TEJAS CURVAS, SUBIDA DE MATERIALES, TERM. LIMAHOYAS Y PINTURA (MANO DE OBRA) - INCLUYE CABALLETE</t>
  </si>
  <si>
    <t>TEJAS CURVAS, SUBIDA DE MATERIALES, TERM. LIMAHOYAS Y PINTURA (MANO DE OBRA) - INCLUYE CABALLETE // SOBRE RATELES Y TORNILLOS</t>
  </si>
  <si>
    <t>TAPA DE CABALLETES (TERMINACION FRONTAL)</t>
  </si>
  <si>
    <t>MANO DE OBRA DE  MANTO IMPERMEABILIZANTE</t>
  </si>
  <si>
    <t>PERRILLA Y POOL COAT</t>
  </si>
  <si>
    <t>1.0-PERILLA NATURAL Y BLANCA - TODO COSTO</t>
  </si>
  <si>
    <t xml:space="preserve">MUROS - PUERTAS Y VENTANAS  + 5% POR NIVEL </t>
  </si>
  <si>
    <t xml:space="preserve">RUSTICA </t>
  </si>
  <si>
    <t>LISA</t>
  </si>
  <si>
    <t xml:space="preserve">TECHOS + 5% POR NIVEL </t>
  </si>
  <si>
    <t xml:space="preserve">TECHOS PLANOS </t>
  </si>
  <si>
    <t xml:space="preserve">TECHOS INCLINADOS </t>
  </si>
  <si>
    <t xml:space="preserve">VIGAS + 5% POR NIVEL </t>
  </si>
  <si>
    <t xml:space="preserve">CONFECCION DE GOTEROS </t>
  </si>
  <si>
    <t xml:space="preserve">CORNIZAS + 5% POR NIVEL </t>
  </si>
  <si>
    <t>CORNIZA EN  UNION TECHO VUELO DE 40 CM 4 PLINTER</t>
  </si>
  <si>
    <t xml:space="preserve">CORNIZA A NIVEL DE ENTREPISO DE 20 CM 2 PLINTER  </t>
  </si>
  <si>
    <t xml:space="preserve">VUELOS  + 5% POR NIVEL </t>
  </si>
  <si>
    <t>LOSA/PAÑETE</t>
  </si>
  <si>
    <t xml:space="preserve">PUERTAS Y VENTANAS  + 5% POR NIVEL </t>
  </si>
  <si>
    <t>JAMBAS EN PERRRILLA EN PUERTAS  Y VENTANAS LISA DE 10 CM</t>
  </si>
  <si>
    <t>JAMBAS EN PERRRILLA EN PUERTAS  Y VENTANAS LISA DE 15 CM</t>
  </si>
  <si>
    <t>JAMBAS EN PERRRILLA EN PUERTAS  Y VENTANAS LISA DE 15 CM 1 PLINTER</t>
  </si>
  <si>
    <t xml:space="preserve">2.0-POOL COAT </t>
  </si>
  <si>
    <t>PAREDES EN PISCINAS - MANO DE OBRA</t>
  </si>
  <si>
    <t>PAREDES EN PISCINAS - TODO COSTO // BLANCO</t>
  </si>
  <si>
    <t>ZABALETAS - MANO DE OBRA</t>
  </si>
  <si>
    <t>ZABALETAS - TODO COSTO // BLANCO</t>
  </si>
  <si>
    <t>CANTOS -MANO DE OBRA</t>
  </si>
  <si>
    <t xml:space="preserve">CANTOS -TODO COSTO // BLANCO </t>
  </si>
  <si>
    <t xml:space="preserve">PULIMENTOS DE PISOS Y LIMPIEZA </t>
  </si>
  <si>
    <t xml:space="preserve">1.-LIMPIEZA A TODO COSTO </t>
  </si>
  <si>
    <t>PERSONA DE LIMPIEZA - DELICADA</t>
  </si>
  <si>
    <t xml:space="preserve">DIA </t>
  </si>
  <si>
    <t>SUPERVISION DE PERSONAL - ASISTENCIA MIN 1/2 DIA</t>
  </si>
  <si>
    <t xml:space="preserve">2.-PULIMENTOS Y LIMPIEZAS </t>
  </si>
  <si>
    <t>PISOS - PULIMENTOS</t>
  </si>
  <si>
    <t>PULIDO DE PISOS  (CORALINA) - MANO DE OBRA</t>
  </si>
  <si>
    <t>PULIDO Y SELLADO DE CORALINA - TODO COSTO</t>
  </si>
  <si>
    <t>PULIDO Y SELLADO DE CORALINA LOCA CON LIMPIEZA - TODO COSTO</t>
  </si>
  <si>
    <t>PULIDO Y CRISTALIZADO: PISOS DE MARMOL - TODO COSTO</t>
  </si>
  <si>
    <t>PULIDO Y ENVEJECIDO: PISOS DE MARMOL - TODO COSTO</t>
  </si>
  <si>
    <t>PULIDO Y CRISTALIZADO: PISOS DE MARMOL - MANO DE OBRA</t>
  </si>
  <si>
    <t>PULIDO Y CRISTALIZADO (CON SELLADO DE HUECOS): PISOS DE MARMOL - MANO DE OBRA</t>
  </si>
  <si>
    <t>PISOS - LIMPIEZA</t>
  </si>
  <si>
    <t>LIMPIEZA FINAL Y APLICACIÓN DE SELLADOR  (INCLUYE TAPAR HUECOS) - MANO DE OBRA</t>
  </si>
  <si>
    <t>LIMPIEZA FINAL Y APLICACIÓN DE SELLADOR  (INCLUYE TAPAR HUECOS) - TODO COSTO</t>
  </si>
  <si>
    <t>LIMPIEZA DE CERAMICA Y CORALINA- MANO DE OBRA</t>
  </si>
  <si>
    <t>LIMPIEZA DE CERAMICA Y CORALINA - TODO COSTO</t>
  </si>
  <si>
    <t>ZOCALOS, QUISIOS Y ESCALONES</t>
  </si>
  <si>
    <t xml:space="preserve">LIMPIEZA DE ZOCALOS </t>
  </si>
  <si>
    <t xml:space="preserve">ESCALONES Y QUICIOS PULIMENTO </t>
  </si>
  <si>
    <t xml:space="preserve">ESCALONES Y QUICIOS LIMPIEZA </t>
  </si>
  <si>
    <t>BAÑOS</t>
  </si>
  <si>
    <t>PULIDO DE CORALINA EN PARED - MANO DE OBRA</t>
  </si>
  <si>
    <t>PULIDO DE CORALINA EN PARED - TODO COSTO</t>
  </si>
  <si>
    <t>LIMPIEZA DE BANOS DE SERVICIO -TODO COSTO</t>
  </si>
  <si>
    <t>LIMPIEZA DE BANOS MEDIANOS CORALINA - TODO COSTO</t>
  </si>
  <si>
    <t>LIMPIEZA DE BANOS  GRANDES CORALINA  - TODO COSTO</t>
  </si>
  <si>
    <t>3.-VARIOS</t>
  </si>
  <si>
    <t xml:space="preserve">PULIMENTO Y SELLADO DE ESCALERA - TODO COSTO </t>
  </si>
  <si>
    <t>LIMPIEZA DE ESCALERA - TODO COSTO</t>
  </si>
  <si>
    <t>LIMPIEZA DE COLUMNAS -MANO DE OBRA</t>
  </si>
  <si>
    <t>LIMPIEZA DE COLUMNAS -TODO COSTO</t>
  </si>
  <si>
    <t xml:space="preserve">1.0-COLUMNAS </t>
  </si>
  <si>
    <t xml:space="preserve">TAPA Y TAPA- SUBIR 10% POR NIVEL </t>
  </si>
  <si>
    <t>15X20</t>
  </si>
  <si>
    <t>20X20</t>
  </si>
  <si>
    <t>20X30</t>
  </si>
  <si>
    <t>20X40</t>
  </si>
  <si>
    <t>20X50</t>
  </si>
  <si>
    <t>20X60</t>
  </si>
  <si>
    <t>20X70</t>
  </si>
  <si>
    <t>20X80</t>
  </si>
  <si>
    <t xml:space="preserve">COLUMNAS 3 CARAS- SUBIR 10% POR NIVEL </t>
  </si>
  <si>
    <r>
      <t xml:space="preserve">20X80 </t>
    </r>
    <r>
      <rPr>
        <b/>
        <sz val="11"/>
        <rFont val="Calibri"/>
        <family val="2"/>
      </rPr>
      <t>≥ - AREA DE CONTACTO</t>
    </r>
  </si>
  <si>
    <t xml:space="preserve">COLUMNAS 4 CARAS- SUBIR 10% POR NIVEL </t>
  </si>
  <si>
    <t>20X50  ≥ ≥ - AREA DE CONTACTO</t>
  </si>
  <si>
    <t xml:space="preserve">COLUMNAS REDONDAS- SUBIR 10% POR NIVEL </t>
  </si>
  <si>
    <t>25CM HASTA 40CM</t>
  </si>
  <si>
    <r>
      <rPr>
        <b/>
        <sz val="11"/>
        <rFont val="Calibri"/>
        <family val="2"/>
      </rPr>
      <t>&gt;</t>
    </r>
    <r>
      <rPr>
        <b/>
        <sz val="9.35"/>
        <rFont val="Century Gothic"/>
        <family val="2"/>
      </rPr>
      <t xml:space="preserve"> </t>
    </r>
    <r>
      <rPr>
        <b/>
        <sz val="11"/>
        <rFont val="Century Gothic"/>
        <family val="2"/>
      </rPr>
      <t>40CM</t>
    </r>
  </si>
  <si>
    <t xml:space="preserve">2.0-MUROS  - SUBIR 10% POR NIVEL </t>
  </si>
  <si>
    <t>MURO NORMAL (20 CM) - POR CARA</t>
  </si>
  <si>
    <t>MURO CURVO (20 CM) - POR CARA</t>
  </si>
  <si>
    <t xml:space="preserve">VIGAS DE AMARRE - SUBIR 10% POR NIVEL </t>
  </si>
  <si>
    <t>20X25</t>
  </si>
  <si>
    <t>20X35</t>
  </si>
  <si>
    <t xml:space="preserve">VIGAS Y DINTEL - SUBIR 10% POR NIVEL </t>
  </si>
  <si>
    <t>20X45</t>
  </si>
  <si>
    <t>20X50  ≥</t>
  </si>
  <si>
    <t>ENTREVIGAS - PARA TECHOS DE MADERA</t>
  </si>
  <si>
    <t>ENTREVIGAS</t>
  </si>
  <si>
    <t xml:space="preserve">VIGAS - DIFERENTE PERALTE EN TECHO INCLINADO </t>
  </si>
  <si>
    <t xml:space="preserve">VIGAS DE CARGA SE PAGARAN EN GENERAL </t>
  </si>
  <si>
    <t>4.0-LOSAS</t>
  </si>
  <si>
    <t xml:space="preserve">PLANAS - SUBIR 10% POR NIVEL </t>
  </si>
  <si>
    <t>H= 2.60 HASTA 3.00 M</t>
  </si>
  <si>
    <t>H= 3.05 HASTA 3.50 M</t>
  </si>
  <si>
    <t>H= 3.51 HASTA 4.00 M</t>
  </si>
  <si>
    <r>
      <t>H</t>
    </r>
    <r>
      <rPr>
        <b/>
        <sz val="11"/>
        <rFont val="Calibri"/>
        <family val="2"/>
      </rPr>
      <t xml:space="preserve">≥ </t>
    </r>
    <r>
      <rPr>
        <b/>
        <sz val="11"/>
        <rFont val="Century Gothic"/>
        <family val="2"/>
      </rPr>
      <t>4.00 M</t>
    </r>
  </si>
  <si>
    <t xml:space="preserve">INCLINADAS - SUBIR 10% POR NIVEL </t>
  </si>
  <si>
    <t>ARRANQUE 2.8M @ 3.4M Y CAB &lt;3.50M SOBRE EL ARRANQUE</t>
  </si>
  <si>
    <t>ARRANQUE 3.41M @4.0M Y CAB &lt;8.50M SOBRE EL ARANQUE</t>
  </si>
  <si>
    <t>5.0-ANDAMIOS, CEPOS Y MESETAS</t>
  </si>
  <si>
    <t xml:space="preserve">ANDAMIOS </t>
  </si>
  <si>
    <t xml:space="preserve">CEPOS NORMALES </t>
  </si>
  <si>
    <t>CEPOS DOBLE ALTURA</t>
  </si>
  <si>
    <t xml:space="preserve">MESETA PARA MATERIALES SENCILLA </t>
  </si>
  <si>
    <t>MESETA PARA MATERIALES DOBLE</t>
  </si>
  <si>
    <t>MESETA PARA MATERIALES TRIPLE</t>
  </si>
  <si>
    <t xml:space="preserve">PLATAFORMA SOBRE ANDAMIOS </t>
  </si>
  <si>
    <t xml:space="preserve">PUNTALES PARA TECHO DE MADERA </t>
  </si>
  <si>
    <t>6.0-GUARDERAS</t>
  </si>
  <si>
    <t>GUARDERA DE PISCINA - 20 CM</t>
  </si>
  <si>
    <t>GUARDERA DE PISCINA - 40 CM</t>
  </si>
  <si>
    <t>GUARDERAS DE PISO - 10 CM</t>
  </si>
  <si>
    <r>
      <t xml:space="preserve">GUARDERAS DE PISO -  </t>
    </r>
    <r>
      <rPr>
        <b/>
        <sz val="11"/>
        <rFont val="Calibri"/>
        <family val="2"/>
      </rPr>
      <t>&gt;</t>
    </r>
    <r>
      <rPr>
        <b/>
        <sz val="11"/>
        <rFont val="Century Gothic"/>
        <family val="2"/>
      </rPr>
      <t>15 CM</t>
    </r>
  </si>
  <si>
    <t>7.0-VARIOS</t>
  </si>
  <si>
    <t>CHARRANCHA - TODO COSTO</t>
  </si>
  <si>
    <t>PORTONES DE VERJAS</t>
  </si>
  <si>
    <t xml:space="preserve">CONFECCION DE VERJA </t>
  </si>
  <si>
    <t xml:space="preserve">CONFECCION DE ALMACENES, OFICINAS Y VARIOS </t>
  </si>
  <si>
    <t xml:space="preserve">RAMPA DE ESCALERA SIN HUELLAS </t>
  </si>
  <si>
    <t xml:space="preserve">RAMPA DE ESCALERA CON HUELLAS </t>
  </si>
  <si>
    <t>PANTALLA PARA ESCALERA</t>
  </si>
  <si>
    <t xml:space="preserve">1.0-MUROS </t>
  </si>
  <si>
    <t xml:space="preserve">TODO COSTO + 5% POR NIVEL </t>
  </si>
  <si>
    <t>MUROS DE PIEDRA EN PAREDES FORMATO LOCO   (1 CARA) (SERENA 5)</t>
  </si>
  <si>
    <t>MUROS DE PIEDRA EN PAREDES FORMATO CORTE RECTO (1 CARA) (CORALES 50)</t>
  </si>
  <si>
    <t>MUROS DE PIEDRA CORTE RECTO FORMATO TIPO BLOQUES 30X60  (1 CARA)</t>
  </si>
  <si>
    <t xml:space="preserve">CONFECCION DE JAMBAS EN PIEDRA ESCALONADA DE 30 CM CASA DE DANIEL </t>
  </si>
  <si>
    <t>MOCHETAS/TAPAS EN MUROS DE PIEDRA</t>
  </si>
  <si>
    <t xml:space="preserve">ESCALERA EN PIEDRA CALIZA HUELLAS Y CONTRAHUELLA </t>
  </si>
  <si>
    <t xml:space="preserve">PIEDRA FORMATOS MENORES A 20X60 + 5% POR NIVEL </t>
  </si>
  <si>
    <t xml:space="preserve">MUROS DE PIEDRAS </t>
  </si>
  <si>
    <t>MOCHETAS E MUROS DE PIEDRA</t>
  </si>
  <si>
    <t>BISELADO MUROS DE PIEDRAS</t>
  </si>
  <si>
    <t xml:space="preserve">PIEDRA FORMATOS MAYORES A 20X60 + 5% POR NIVEL </t>
  </si>
  <si>
    <t>REVESTIMIENTOS DE PISOS Y MUROS</t>
  </si>
  <si>
    <t xml:space="preserve">1.0-PISOS DE CORALINA Y MARMOL + 10% POR NIVEL </t>
  </si>
  <si>
    <t>COLOCACION DE PISOS DE CORALINA Y MARMOL (INCLUYE CORTES)</t>
  </si>
  <si>
    <t>COLOCACION DE PISOS DE CORALINA MAYOR DE 70X70 ( INCLUYE CORTES)</t>
  </si>
  <si>
    <t xml:space="preserve">COLOCACION DE CENEFAS DE CORALINA </t>
  </si>
  <si>
    <t>COLOCACION DE PISOS DE CORALINA LOCA</t>
  </si>
  <si>
    <t xml:space="preserve">COLOCACION DE PISOS DE CORALINA EN PLUMILLA (INCLUYE CORTES) </t>
  </si>
  <si>
    <t>COLOCACION DE QUICIOS DE CORALINA  Y MARMOL</t>
  </si>
  <si>
    <t>COLOCACION DE QUICIOS DOBLE  TIRA DE CORALINA Y MARMOL  (INCLUYE CONFECCION)</t>
  </si>
  <si>
    <r>
      <t>COLOCACION DE PISO DE MARMOL, e</t>
    </r>
    <r>
      <rPr>
        <b/>
        <sz val="11"/>
        <rFont val="Calibri"/>
        <family val="2"/>
      </rPr>
      <t>≥</t>
    </r>
    <r>
      <rPr>
        <b/>
        <sz val="11"/>
        <rFont val="Century Gothic"/>
        <family val="2"/>
      </rPr>
      <t xml:space="preserve"> 2cm (INCLUYE CORTES)</t>
    </r>
  </si>
  <si>
    <t xml:space="preserve">Nota: </t>
  </si>
  <si>
    <t xml:space="preserve">Incluye traslado de material, a no mas de 20 metros. </t>
  </si>
  <si>
    <t xml:space="preserve">2.0-PISOS DE PORCELANATO + 10% POR NIVEL </t>
  </si>
  <si>
    <t xml:space="preserve">COLOCACION DE PISOS DE PORCELANATO </t>
  </si>
  <si>
    <t xml:space="preserve">COLOCACION DE CENEFAS Y QUICIOS  DE PORCELANATO </t>
  </si>
  <si>
    <t>COLOCACION DE PISOS DE PORCELANATO PLUMILLA</t>
  </si>
  <si>
    <r>
      <t xml:space="preserve">COLOCACION DE PISOS DE GRANITO </t>
    </r>
    <r>
      <rPr>
        <b/>
        <sz val="11"/>
        <rFont val="Calibri"/>
        <family val="2"/>
      </rPr>
      <t>≤ 40x40</t>
    </r>
  </si>
  <si>
    <r>
      <t xml:space="preserve">COLOCACION DE PISOS DE GRANITO </t>
    </r>
    <r>
      <rPr>
        <b/>
        <sz val="11"/>
        <rFont val="Calibri"/>
        <family val="2"/>
      </rPr>
      <t>≥ 45x45</t>
    </r>
  </si>
  <si>
    <t>COLOCACION DE PISO TIPO TABLILLA (IMITACION MADERA )</t>
  </si>
  <si>
    <t xml:space="preserve">3.0-ZOCALOS + 5% POR NIVEL </t>
  </si>
  <si>
    <t xml:space="preserve">CORALINA  Y MARMOL CON CORTES Y BOURNOUX </t>
  </si>
  <si>
    <t xml:space="preserve">CORALINA  Y MARMOL CON CORTES Y SIN BOURNOUX </t>
  </si>
  <si>
    <t xml:space="preserve">PORCELANATO CON CORTES </t>
  </si>
  <si>
    <t>4.0-CORTES Y BISELES</t>
  </si>
  <si>
    <t>CORTES DE PORCELANATOS</t>
  </si>
  <si>
    <r>
      <t xml:space="preserve">CORTES DE CORALINA Y MARMOL </t>
    </r>
    <r>
      <rPr>
        <b/>
        <sz val="11"/>
        <rFont val="Calibri"/>
        <family val="2"/>
      </rPr>
      <t>≤ 2cm</t>
    </r>
  </si>
  <si>
    <r>
      <t xml:space="preserve">CORTES DE CORALINA Y MARMOL </t>
    </r>
    <r>
      <rPr>
        <b/>
        <sz val="11"/>
        <rFont val="Calibri"/>
        <family val="2"/>
      </rPr>
      <t>≥ 2cm</t>
    </r>
  </si>
  <si>
    <t>BOURNOUX Y BICELES</t>
  </si>
  <si>
    <t xml:space="preserve">5.0-REVESTIMIENTO + 10% POR NIVEL </t>
  </si>
  <si>
    <t>REVESTIMIENTO DE COLUMNAS  (CORALINA Y MARMOL)</t>
  </si>
  <si>
    <t>BASE O CAPITELES DE COLUMNAS</t>
  </si>
  <si>
    <t>REVESTIMIENTO DE MUROS (CORALINA Y MARMOL) ≤ 30X60</t>
  </si>
  <si>
    <r>
      <t xml:space="preserve">REVESTIMIENTO DE MUROS  (CORALINA Y MARMOL) </t>
    </r>
    <r>
      <rPr>
        <b/>
        <sz val="11"/>
        <rFont val="Calibri"/>
        <family val="2"/>
      </rPr>
      <t>≥</t>
    </r>
    <r>
      <rPr>
        <b/>
        <sz val="11"/>
        <rFont val="Century Gothic"/>
        <family val="2"/>
      </rPr>
      <t>30X60</t>
    </r>
  </si>
  <si>
    <t xml:space="preserve">CENEFAS EN GENRAL </t>
  </si>
  <si>
    <t>REVESTIMIENTOS EN MUROS DE LAJAS  DE CANTOS SIN CORTES</t>
  </si>
  <si>
    <t>REVESTIMIENTOS EN MUROS DE LAJAS  DE CANTOS (CON CORTE )</t>
  </si>
  <si>
    <t xml:space="preserve">6.0-REVESTIMIENTO DE PISCINA Y BORDILLO </t>
  </si>
  <si>
    <t>CONFECCION Y COLOCACION DE BORDILLOS DE PISCINA</t>
  </si>
  <si>
    <t>COLOCACION DE BORDILLOS DE PISCINA</t>
  </si>
  <si>
    <t>REVESTIMIENTO DE BORDILLOS DE PISCINA</t>
  </si>
  <si>
    <t xml:space="preserve">REVESTIMIENTO DE MALLA, DEBAJO DE BORDILLO </t>
  </si>
  <si>
    <t xml:space="preserve">SUKABUMI 5X5 - CON MALLA </t>
  </si>
  <si>
    <t xml:space="preserve">SUKABUMI 5X5 - SIN MALLA </t>
  </si>
  <si>
    <t xml:space="preserve">SUKABUMI 10X10 - CON MALLA </t>
  </si>
  <si>
    <t xml:space="preserve">SUKABUMI 10X10 - SIN MALLA </t>
  </si>
  <si>
    <t xml:space="preserve">CENEFA DE SUKABUMI, DEBAJO DE BORDILLO </t>
  </si>
  <si>
    <t xml:space="preserve">7.0-TOPES </t>
  </si>
  <si>
    <t xml:space="preserve">INSTALACION DE TOPES </t>
  </si>
  <si>
    <t xml:space="preserve">CONFECCION DE HUECOS EN LAVAMANOS - BRUTO </t>
  </si>
  <si>
    <t>CONFECCION DE HUECOS EN LAVAMANOS - PULIDO Y APOMAZADO</t>
  </si>
  <si>
    <t>CONFECCION DE HUECOS PARA MEZCLADORA -COMPLETO</t>
  </si>
  <si>
    <t>FABRICACION DE ZOCALO Y BISEL</t>
  </si>
  <si>
    <t xml:space="preserve">INSTALACION DE ZOCALO </t>
  </si>
  <si>
    <t>1000-2000</t>
  </si>
  <si>
    <t xml:space="preserve">INSTALACION DE LAVAMANOS UNDER MOUNT - CON PEGAMENTO </t>
  </si>
  <si>
    <t>8.0-VARIOS</t>
  </si>
  <si>
    <t>COLOCACION DE GRAMAQUINES Y ADOQUINES</t>
  </si>
  <si>
    <t>COLOCACION DE GIRSTONE Y LAJAS (INCLUYE DERRETIDO)</t>
  </si>
  <si>
    <t>COLOCACION DE VIBRAZO</t>
  </si>
  <si>
    <t>CONFECCION Y COLOCACION DE PASAMANOS</t>
  </si>
  <si>
    <t>|</t>
  </si>
  <si>
    <t>CONFECCION E INSTALACION DE NICHOS</t>
  </si>
  <si>
    <t>4000-5000</t>
  </si>
  <si>
    <t>CONFECCION DE ESCALERA EN CORALINA Y MARMOL (INCLUYE HUELLA Y CONTRAHUELLA )</t>
  </si>
  <si>
    <t xml:space="preserve">CONFECCION Y COLOCACION DE LISTELOS  DE CORALINA O MARMOL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</si>
</sst>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RD$&quot;* #,##0_);_(&quot;RD$&quot;* \(#,##0\);_(&quot;RD$&quot;* &quot;-&quot;_);_(@_)"/>
    <numFmt numFmtId="165" formatCode="dd\-mm\-yy;@"/>
    <numFmt numFmtId="166" formatCode="_-* #,##0.00\ _P_t_s_-;\-* #,##0.00\ _P_t_s_-;_-* &quot;-&quot;??\ _P_t_s_-;_-@_-"/>
    <numFmt numFmtId="167" formatCode="_(* #,##0.000_);_(* \(#,##0.000\);_(* &quot;-&quot;??_);_(@_)"/>
    <numFmt numFmtId="168" formatCode="#,##0.000_);\(#,##0.000\)"/>
    <numFmt numFmtId="169" formatCode="General_)"/>
    <numFmt numFmtId="170" formatCode="_-* #,##0.00\ _€_-;\-* #,##0.00\ _€_-;_-* &quot;-&quot;??\ _€_-;_-@_-"/>
    <numFmt numFmtId="171" formatCode="_-* #,##0.0000\ _€_-;\-* #,##0.0000\ _€_-;_-* &quot;-&quot;??\ _€_-;_-@_-"/>
    <numFmt numFmtId="172" formatCode="_(* #,##0.00000_);_(* \(#,##0.00000\);_(* &quot;-&quot;??_);_(@_)"/>
    <numFmt numFmtId="173" formatCode="_(* #,##0.0000000_);_(* \(#,##0.0000000\);_(* &quot;-&quot;??_);_(@_)"/>
    <numFmt numFmtId="174" formatCode="0.00_)"/>
    <numFmt numFmtId="175" formatCode="0_)"/>
    <numFmt numFmtId="176" formatCode="0.000"/>
    <numFmt numFmtId="177" formatCode="_-* #,##0.00_-;\-* #,##0.00_-;_-* &quot;-&quot;??_-;_-@_-"/>
    <numFmt numFmtId="178" formatCode="#,##0.0;\-#,##0.0"/>
    <numFmt numFmtId="179" formatCode="0.0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sz val="12"/>
      <color rgb="FFC00000"/>
      <name val="Arial"/>
      <family val="2"/>
    </font>
    <font>
      <u/>
      <sz val="12"/>
      <name val="Arial"/>
      <family val="2"/>
    </font>
    <font>
      <b/>
      <sz val="12"/>
      <color rgb="FFFF0000"/>
      <name val="Arial"/>
      <family val="2"/>
    </font>
    <font>
      <b/>
      <u/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name val="Arial"/>
      <family val="2"/>
    </font>
    <font>
      <b/>
      <i/>
      <sz val="14"/>
      <color indexed="12"/>
      <name val="Arial"/>
      <family val="2"/>
    </font>
    <font>
      <b/>
      <i/>
      <sz val="10"/>
      <color indexed="60"/>
      <name val="Arial"/>
      <family val="2"/>
    </font>
    <font>
      <sz val="11"/>
      <color rgb="FFFF0000"/>
      <name val="Arial"/>
      <family val="2"/>
    </font>
    <font>
      <sz val="10"/>
      <color theme="1"/>
      <name val="Arial Rounded MT Bold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10"/>
      <name val="Arial"/>
      <family val="2"/>
    </font>
    <font>
      <sz val="11"/>
      <color rgb="FF000000"/>
      <name val="Calibri"/>
      <family val="2"/>
      <charset val="1"/>
    </font>
    <font>
      <sz val="10"/>
      <name val="Century Gothic"/>
      <family val="2"/>
    </font>
    <font>
      <b/>
      <sz val="14"/>
      <name val="Century Gothic"/>
      <family val="2"/>
    </font>
    <font>
      <b/>
      <sz val="16"/>
      <name val="Century Gothic"/>
      <family val="2"/>
    </font>
    <font>
      <b/>
      <sz val="10"/>
      <name val="Century Gothic"/>
      <family val="2"/>
    </font>
    <font>
      <sz val="11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2"/>
      <name val="Microsoft YaHei UI"/>
      <family val="2"/>
    </font>
    <font>
      <sz val="11"/>
      <color rgb="FFFF0000"/>
      <name val="Century Gothic"/>
      <family val="2"/>
    </font>
    <font>
      <b/>
      <sz val="11"/>
      <color rgb="FFFF0000"/>
      <name val="Century Gothic"/>
      <family val="2"/>
    </font>
    <font>
      <b/>
      <sz val="11"/>
      <name val="Calibri"/>
      <family val="2"/>
    </font>
    <font>
      <sz val="12"/>
      <color rgb="FFFF0000"/>
      <name val="Century Gothic"/>
      <family val="2"/>
    </font>
    <font>
      <b/>
      <sz val="9.35"/>
      <name val="Century Gothic"/>
      <family val="2"/>
    </font>
  </fonts>
  <fills count="20">
    <fill>
      <patternFill patternType="none"/>
    </fill>
    <fill>
      <patternFill patternType="gray125"/>
    </fill>
    <fill>
      <patternFill patternType="solid">
        <fgColor rgb="FFD3DDE7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4" fillId="0" borderId="0"/>
    <xf numFmtId="0" fontId="3" fillId="0" borderId="0"/>
    <xf numFmtId="164" fontId="3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</cellStyleXfs>
  <cellXfs count="506">
    <xf numFmtId="0" fontId="0" fillId="0" borderId="0" xfId="0"/>
    <xf numFmtId="0" fontId="4" fillId="0" borderId="1" xfId="3" applyFont="1" applyBorder="1"/>
    <xf numFmtId="0" fontId="4" fillId="0" borderId="0" xfId="3" applyFont="1"/>
    <xf numFmtId="0" fontId="5" fillId="0" borderId="0" xfId="3" applyFont="1" applyAlignment="1">
      <alignment horizontal="left"/>
    </xf>
    <xf numFmtId="43" fontId="5" fillId="0" borderId="0" xfId="4" applyNumberFormat="1" applyFont="1" applyFill="1" applyBorder="1" applyAlignment="1" applyProtection="1">
      <alignment horizontal="left"/>
    </xf>
    <xf numFmtId="43" fontId="5" fillId="0" borderId="0" xfId="4" applyNumberFormat="1" applyFont="1" applyFill="1" applyBorder="1" applyAlignment="1">
      <alignment horizontal="right"/>
    </xf>
    <xf numFmtId="165" fontId="5" fillId="0" borderId="0" xfId="4" applyNumberFormat="1" applyFont="1" applyFill="1" applyBorder="1"/>
    <xf numFmtId="0" fontId="6" fillId="0" borderId="0" xfId="3" applyFont="1" applyAlignment="1">
      <alignment horizontal="left"/>
    </xf>
    <xf numFmtId="43" fontId="4" fillId="0" borderId="0" xfId="4" applyNumberFormat="1" applyFont="1" applyFill="1"/>
    <xf numFmtId="39" fontId="4" fillId="0" borderId="0" xfId="3" applyNumberFormat="1" applyFont="1"/>
    <xf numFmtId="14" fontId="5" fillId="0" borderId="0" xfId="3" applyNumberFormat="1" applyFont="1" applyAlignment="1">
      <alignment horizontal="left"/>
    </xf>
    <xf numFmtId="0" fontId="7" fillId="0" borderId="0" xfId="3" applyFont="1" applyAlignment="1">
      <alignment horizontal="left"/>
    </xf>
    <xf numFmtId="0" fontId="5" fillId="0" borderId="2" xfId="3" applyFont="1" applyBorder="1" applyAlignment="1">
      <alignment horizontal="center"/>
    </xf>
    <xf numFmtId="43" fontId="5" fillId="0" borderId="2" xfId="4" applyNumberFormat="1" applyFont="1" applyFill="1" applyBorder="1" applyAlignment="1" applyProtection="1">
      <alignment horizontal="center"/>
    </xf>
    <xf numFmtId="43" fontId="5" fillId="0" borderId="3" xfId="4" applyNumberFormat="1" applyFont="1" applyFill="1" applyBorder="1" applyAlignment="1" applyProtection="1">
      <alignment horizontal="center"/>
    </xf>
    <xf numFmtId="39" fontId="5" fillId="0" borderId="2" xfId="3" applyNumberFormat="1" applyFont="1" applyBorder="1" applyAlignment="1">
      <alignment horizontal="center"/>
    </xf>
    <xf numFmtId="0" fontId="4" fillId="0" borderId="0" xfId="3" applyFont="1" applyAlignment="1">
      <alignment horizontal="center"/>
    </xf>
    <xf numFmtId="0" fontId="4" fillId="0" borderId="0" xfId="3" applyFont="1" applyAlignment="1">
      <alignment horizontal="fill"/>
    </xf>
    <xf numFmtId="43" fontId="4" fillId="0" borderId="0" xfId="4" applyNumberFormat="1" applyFont="1" applyFill="1" applyAlignment="1" applyProtection="1">
      <alignment horizontal="fill"/>
    </xf>
    <xf numFmtId="166" fontId="4" fillId="0" borderId="0" xfId="5" applyFont="1" applyFill="1"/>
    <xf numFmtId="2" fontId="5" fillId="0" borderId="0" xfId="3" applyNumberFormat="1" applyFont="1" applyAlignment="1">
      <alignment horizontal="center"/>
    </xf>
    <xf numFmtId="0" fontId="5" fillId="0" borderId="0" xfId="3" applyFont="1"/>
    <xf numFmtId="167" fontId="5" fillId="0" borderId="0" xfId="6" applyNumberFormat="1" applyFont="1" applyAlignment="1">
      <alignment vertical="center"/>
    </xf>
    <xf numFmtId="168" fontId="5" fillId="0" borderId="0" xfId="6" applyNumberFormat="1" applyFont="1" applyAlignment="1">
      <alignment horizontal="left" vertical="center"/>
    </xf>
    <xf numFmtId="43" fontId="5" fillId="0" borderId="0" xfId="7" applyFont="1" applyFill="1" applyBorder="1" applyAlignment="1" applyProtection="1">
      <alignment horizontal="center" vertical="center"/>
    </xf>
    <xf numFmtId="43" fontId="8" fillId="0" borderId="0" xfId="7" applyFont="1" applyFill="1" applyBorder="1" applyAlignment="1">
      <alignment vertical="center"/>
    </xf>
    <xf numFmtId="43" fontId="9" fillId="0" borderId="0" xfId="7" applyFont="1" applyFill="1" applyBorder="1" applyAlignment="1" applyProtection="1">
      <alignment horizontal="center" vertical="center"/>
    </xf>
    <xf numFmtId="43" fontId="4" fillId="0" borderId="0" xfId="7" applyFont="1" applyFill="1" applyAlignment="1" applyProtection="1">
      <alignment vertical="center"/>
    </xf>
    <xf numFmtId="169" fontId="4" fillId="0" borderId="0" xfId="6" applyNumberFormat="1" applyFont="1" applyAlignment="1">
      <alignment horizontal="center" vertical="center"/>
    </xf>
    <xf numFmtId="168" fontId="4" fillId="0" borderId="0" xfId="6" applyNumberFormat="1" applyFont="1" applyAlignment="1">
      <alignment horizontal="left" vertical="center"/>
    </xf>
    <xf numFmtId="167" fontId="4" fillId="0" borderId="0" xfId="7" applyNumberFormat="1" applyFont="1" applyFill="1" applyAlignment="1" applyProtection="1">
      <alignment vertical="center"/>
    </xf>
    <xf numFmtId="43" fontId="4" fillId="0" borderId="0" xfId="1" applyFont="1" applyFill="1" applyAlignment="1" applyProtection="1">
      <alignment vertical="center"/>
    </xf>
    <xf numFmtId="43" fontId="4" fillId="0" borderId="0" xfId="7" applyFont="1" applyFill="1" applyAlignment="1" applyProtection="1">
      <alignment horizontal="center" vertical="center"/>
    </xf>
    <xf numFmtId="168" fontId="4" fillId="0" borderId="0" xfId="6" applyNumberFormat="1" applyFont="1" applyAlignment="1">
      <alignment horizontal="center" vertical="center"/>
    </xf>
    <xf numFmtId="168" fontId="4" fillId="0" borderId="0" xfId="6" applyNumberFormat="1" applyFont="1" applyAlignment="1">
      <alignment vertical="center"/>
    </xf>
    <xf numFmtId="43" fontId="5" fillId="0" borderId="0" xfId="1" applyFont="1" applyFill="1" applyAlignment="1" applyProtection="1">
      <alignment horizontal="right" vertical="center"/>
    </xf>
    <xf numFmtId="43" fontId="5" fillId="2" borderId="0" xfId="7" applyFont="1" applyFill="1" applyAlignment="1">
      <alignment vertical="center"/>
    </xf>
    <xf numFmtId="0" fontId="5" fillId="2" borderId="0" xfId="3" applyFont="1" applyFill="1" applyAlignment="1">
      <alignment horizontal="left"/>
    </xf>
    <xf numFmtId="43" fontId="5" fillId="0" borderId="0" xfId="7" applyFont="1" applyFill="1" applyAlignment="1">
      <alignment vertical="center"/>
    </xf>
    <xf numFmtId="43" fontId="5" fillId="0" borderId="0" xfId="3" applyNumberFormat="1" applyFont="1"/>
    <xf numFmtId="43" fontId="4" fillId="0" borderId="0" xfId="3" applyNumberFormat="1" applyFont="1"/>
    <xf numFmtId="0" fontId="4" fillId="0" borderId="0" xfId="3" applyFont="1" applyAlignment="1">
      <alignment horizontal="left"/>
    </xf>
    <xf numFmtId="43" fontId="5" fillId="0" borderId="0" xfId="7" applyFont="1" applyFill="1" applyAlignment="1">
      <alignment horizontal="center" vertical="center"/>
    </xf>
    <xf numFmtId="168" fontId="10" fillId="0" borderId="0" xfId="6" applyNumberFormat="1" applyFont="1" applyAlignment="1">
      <alignment horizontal="left" vertical="center"/>
    </xf>
    <xf numFmtId="168" fontId="11" fillId="0" borderId="0" xfId="6" applyNumberFormat="1" applyFont="1" applyAlignment="1">
      <alignment horizontal="left" vertical="center"/>
    </xf>
    <xf numFmtId="168" fontId="5" fillId="0" borderId="0" xfId="6" applyNumberFormat="1" applyFont="1" applyAlignment="1">
      <alignment horizontal="center" vertical="center"/>
    </xf>
    <xf numFmtId="43" fontId="4" fillId="0" borderId="0" xfId="1" applyFont="1" applyFill="1"/>
    <xf numFmtId="43" fontId="5" fillId="3" borderId="0" xfId="3" applyNumberFormat="1" applyFont="1" applyFill="1"/>
    <xf numFmtId="43" fontId="5" fillId="0" borderId="0" xfId="7" applyFont="1" applyFill="1" applyAlignment="1" applyProtection="1">
      <alignment horizontal="left" vertical="center"/>
    </xf>
    <xf numFmtId="43" fontId="4" fillId="0" borderId="0" xfId="1" applyFont="1" applyFill="1" applyAlignment="1" applyProtection="1">
      <alignment horizontal="fill"/>
    </xf>
    <xf numFmtId="2" fontId="4" fillId="0" borderId="0" xfId="3" applyNumberFormat="1" applyFont="1" applyAlignment="1">
      <alignment horizontal="center"/>
    </xf>
    <xf numFmtId="43" fontId="12" fillId="0" borderId="0" xfId="4" applyNumberFormat="1" applyFont="1" applyFill="1"/>
    <xf numFmtId="169" fontId="4" fillId="0" borderId="0" xfId="3" applyNumberFormat="1" applyFont="1" applyAlignment="1">
      <alignment horizontal="center"/>
    </xf>
    <xf numFmtId="43" fontId="4" fillId="0" borderId="0" xfId="4" applyNumberFormat="1" applyFont="1" applyFill="1" applyProtection="1"/>
    <xf numFmtId="43" fontId="4" fillId="0" borderId="0" xfId="1" applyFont="1" applyFill="1" applyProtection="1"/>
    <xf numFmtId="43" fontId="4" fillId="0" borderId="0" xfId="8" applyFont="1" applyFill="1"/>
    <xf numFmtId="7" fontId="5" fillId="3" borderId="0" xfId="3" applyNumberFormat="1" applyFont="1" applyFill="1"/>
    <xf numFmtId="0" fontId="5" fillId="3" borderId="0" xfId="3" applyFont="1" applyFill="1" applyAlignment="1">
      <alignment horizontal="left"/>
    </xf>
    <xf numFmtId="7" fontId="4" fillId="0" borderId="0" xfId="3" applyNumberFormat="1" applyFont="1"/>
    <xf numFmtId="7" fontId="5" fillId="0" borderId="0" xfId="3" applyNumberFormat="1" applyFont="1"/>
    <xf numFmtId="171" fontId="4" fillId="0" borderId="0" xfId="1" applyNumberFormat="1" applyFont="1" applyFill="1" applyProtection="1"/>
    <xf numFmtId="43" fontId="10" fillId="0" borderId="0" xfId="1" applyFont="1" applyFill="1" applyProtection="1"/>
    <xf numFmtId="43" fontId="4" fillId="0" borderId="0" xfId="1" applyFont="1"/>
    <xf numFmtId="170" fontId="4" fillId="0" borderId="0" xfId="3" applyNumberFormat="1" applyFont="1"/>
    <xf numFmtId="0" fontId="5" fillId="0" borderId="0" xfId="1" applyNumberFormat="1" applyFont="1" applyFill="1" applyBorder="1" applyAlignment="1" applyProtection="1">
      <alignment vertical="center" wrapText="1"/>
    </xf>
    <xf numFmtId="43" fontId="5" fillId="0" borderId="0" xfId="4" applyNumberFormat="1" applyFont="1" applyFill="1"/>
    <xf numFmtId="0" fontId="4" fillId="0" borderId="0" xfId="1" applyNumberFormat="1" applyFont="1" applyFill="1" applyBorder="1" applyAlignment="1" applyProtection="1">
      <alignment vertical="center" wrapText="1"/>
    </xf>
    <xf numFmtId="43" fontId="5" fillId="0" borderId="0" xfId="1" applyFont="1" applyAlignment="1">
      <alignment horizontal="left"/>
    </xf>
    <xf numFmtId="43" fontId="5" fillId="0" borderId="0" xfId="1" applyFont="1" applyFill="1"/>
    <xf numFmtId="0" fontId="8" fillId="0" borderId="0" xfId="3" applyFont="1"/>
    <xf numFmtId="172" fontId="10" fillId="0" borderId="0" xfId="4" applyNumberFormat="1" applyFont="1" applyFill="1" applyProtection="1"/>
    <xf numFmtId="0" fontId="10" fillId="0" borderId="0" xfId="3" applyFont="1" applyAlignment="1">
      <alignment horizontal="left"/>
    </xf>
    <xf numFmtId="43" fontId="10" fillId="0" borderId="0" xfId="4" applyNumberFormat="1" applyFont="1" applyFill="1" applyProtection="1"/>
    <xf numFmtId="173" fontId="4" fillId="0" borderId="0" xfId="4" applyNumberFormat="1" applyFont="1" applyFill="1"/>
    <xf numFmtId="0" fontId="8" fillId="0" borderId="0" xfId="3" applyFont="1" applyAlignment="1">
      <alignment horizontal="center"/>
    </xf>
    <xf numFmtId="43" fontId="8" fillId="0" borderId="0" xfId="4" applyNumberFormat="1" applyFont="1" applyFill="1" applyProtection="1"/>
    <xf numFmtId="0" fontId="8" fillId="0" borderId="0" xfId="3" applyFont="1" applyAlignment="1">
      <alignment horizontal="left"/>
    </xf>
    <xf numFmtId="43" fontId="8" fillId="0" borderId="0" xfId="1" applyFont="1" applyFill="1" applyProtection="1"/>
    <xf numFmtId="7" fontId="8" fillId="0" borderId="0" xfId="3" applyNumberFormat="1" applyFont="1"/>
    <xf numFmtId="4" fontId="5" fillId="0" borderId="0" xfId="3" applyNumberFormat="1" applyFont="1" applyAlignment="1">
      <alignment horizontal="center"/>
    </xf>
    <xf numFmtId="0" fontId="5" fillId="0" borderId="0" xfId="3" applyFont="1" applyAlignment="1">
      <alignment horizontal="center"/>
    </xf>
    <xf numFmtId="2" fontId="4" fillId="0" borderId="0" xfId="3" applyNumberFormat="1" applyFont="1" applyAlignment="1">
      <alignment horizontal="right"/>
    </xf>
    <xf numFmtId="43" fontId="5" fillId="4" borderId="0" xfId="3" applyNumberFormat="1" applyFont="1" applyFill="1"/>
    <xf numFmtId="0" fontId="5" fillId="4" borderId="0" xfId="3" applyFont="1" applyFill="1" applyAlignment="1">
      <alignment horizontal="left"/>
    </xf>
    <xf numFmtId="7" fontId="5" fillId="4" borderId="0" xfId="3" applyNumberFormat="1" applyFont="1" applyFill="1"/>
    <xf numFmtId="43" fontId="13" fillId="0" borderId="0" xfId="3" applyNumberFormat="1" applyFont="1"/>
    <xf numFmtId="0" fontId="13" fillId="0" borderId="0" xfId="3" applyFont="1" applyAlignment="1">
      <alignment horizontal="left"/>
    </xf>
    <xf numFmtId="7" fontId="13" fillId="0" borderId="0" xfId="3" applyNumberFormat="1" applyFont="1"/>
    <xf numFmtId="4" fontId="4" fillId="0" borderId="0" xfId="3" applyNumberFormat="1" applyFont="1" applyAlignment="1">
      <alignment horizontal="center"/>
    </xf>
    <xf numFmtId="0" fontId="4" fillId="0" borderId="0" xfId="3" applyFont="1" applyAlignment="1">
      <alignment wrapText="1"/>
    </xf>
    <xf numFmtId="174" fontId="4" fillId="0" borderId="0" xfId="3" applyNumberFormat="1" applyFont="1" applyAlignment="1">
      <alignment horizontal="center"/>
    </xf>
    <xf numFmtId="43" fontId="4" fillId="0" borderId="0" xfId="9" applyNumberFormat="1" applyFont="1" applyFill="1" applyProtection="1"/>
    <xf numFmtId="43" fontId="4" fillId="0" borderId="0" xfId="9" applyNumberFormat="1" applyFont="1" applyFill="1"/>
    <xf numFmtId="43" fontId="4" fillId="0" borderId="0" xfId="3" applyNumberFormat="1" applyFont="1" applyAlignment="1">
      <alignment horizontal="left"/>
    </xf>
    <xf numFmtId="0" fontId="10" fillId="0" borderId="0" xfId="3" applyFont="1"/>
    <xf numFmtId="0" fontId="4" fillId="0" borderId="0" xfId="0" applyFont="1" applyAlignment="1">
      <alignment horizontal="left"/>
    </xf>
    <xf numFmtId="175" fontId="4" fillId="0" borderId="0" xfId="3" applyNumberFormat="1" applyFont="1" applyAlignment="1">
      <alignment horizontal="center"/>
    </xf>
    <xf numFmtId="0" fontId="4" fillId="0" borderId="0" xfId="0" applyFont="1"/>
    <xf numFmtId="174" fontId="5" fillId="0" borderId="0" xfId="3" applyNumberFormat="1" applyFont="1" applyAlignment="1">
      <alignment horizontal="center"/>
    </xf>
    <xf numFmtId="174" fontId="4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left"/>
    </xf>
    <xf numFmtId="7" fontId="4" fillId="0" borderId="0" xfId="0" applyNumberFormat="1" applyFont="1"/>
    <xf numFmtId="9" fontId="4" fillId="0" borderId="0" xfId="2" applyFont="1" applyFill="1" applyProtection="1"/>
    <xf numFmtId="2" fontId="4" fillId="0" borderId="0" xfId="0" applyNumberFormat="1" applyFont="1"/>
    <xf numFmtId="0" fontId="5" fillId="0" borderId="0" xfId="0" applyFont="1" applyAlignment="1">
      <alignment horizontal="left"/>
    </xf>
    <xf numFmtId="43" fontId="4" fillId="0" borderId="0" xfId="0" applyNumberFormat="1" applyFont="1"/>
    <xf numFmtId="44" fontId="4" fillId="0" borderId="0" xfId="10" applyFont="1" applyFill="1"/>
    <xf numFmtId="43" fontId="5" fillId="0" borderId="0" xfId="1" applyFont="1"/>
    <xf numFmtId="43" fontId="4" fillId="4" borderId="0" xfId="4" applyNumberFormat="1" applyFont="1" applyFill="1" applyProtection="1"/>
    <xf numFmtId="43" fontId="4" fillId="5" borderId="0" xfId="1" applyFont="1" applyFill="1"/>
    <xf numFmtId="44" fontId="5" fillId="0" borderId="0" xfId="10" applyFont="1" applyFill="1"/>
    <xf numFmtId="43" fontId="5" fillId="0" borderId="4" xfId="1" applyFont="1" applyBorder="1"/>
    <xf numFmtId="7" fontId="5" fillId="6" borderId="0" xfId="3" applyNumberFormat="1" applyFont="1" applyFill="1"/>
    <xf numFmtId="0" fontId="5" fillId="6" borderId="0" xfId="3" applyFont="1" applyFill="1" applyAlignment="1">
      <alignment horizontal="left"/>
    </xf>
    <xf numFmtId="7" fontId="5" fillId="5" borderId="0" xfId="3" applyNumberFormat="1" applyFont="1" applyFill="1"/>
    <xf numFmtId="0" fontId="5" fillId="5" borderId="0" xfId="3" applyFont="1" applyFill="1" applyAlignment="1">
      <alignment horizontal="left"/>
    </xf>
    <xf numFmtId="43" fontId="10" fillId="0" borderId="0" xfId="1" applyFont="1" applyFill="1"/>
    <xf numFmtId="7" fontId="4" fillId="0" borderId="3" xfId="3" applyNumberFormat="1" applyFont="1" applyBorder="1"/>
    <xf numFmtId="0" fontId="4" fillId="0" borderId="5" xfId="3" applyFont="1" applyBorder="1" applyAlignment="1">
      <alignment horizontal="left"/>
    </xf>
    <xf numFmtId="43" fontId="4" fillId="0" borderId="0" xfId="4" applyNumberFormat="1" applyFont="1" applyFill="1" applyAlignment="1" applyProtection="1">
      <alignment horizontal="right"/>
    </xf>
    <xf numFmtId="167" fontId="4" fillId="0" borderId="0" xfId="4" applyNumberFormat="1" applyFont="1" applyFill="1" applyAlignment="1" applyProtection="1">
      <alignment horizontal="right"/>
    </xf>
    <xf numFmtId="7" fontId="5" fillId="0" borderId="3" xfId="3" applyNumberFormat="1" applyFont="1" applyBorder="1"/>
    <xf numFmtId="0" fontId="5" fillId="0" borderId="6" xfId="3" applyFont="1" applyBorder="1" applyAlignment="1">
      <alignment horizontal="left"/>
    </xf>
    <xf numFmtId="0" fontId="4" fillId="0" borderId="5" xfId="3" applyFont="1" applyBorder="1"/>
    <xf numFmtId="7" fontId="5" fillId="0" borderId="7" xfId="3" applyNumberFormat="1" applyFont="1" applyBorder="1"/>
    <xf numFmtId="43" fontId="5" fillId="0" borderId="3" xfId="3" applyNumberFormat="1" applyFont="1" applyBorder="1"/>
    <xf numFmtId="0" fontId="5" fillId="0" borderId="1" xfId="3" applyFont="1" applyBorder="1" applyAlignment="1">
      <alignment horizontal="left"/>
    </xf>
    <xf numFmtId="0" fontId="4" fillId="0" borderId="8" xfId="3" applyFont="1" applyBorder="1"/>
    <xf numFmtId="167" fontId="4" fillId="5" borderId="0" xfId="4" applyNumberFormat="1" applyFont="1" applyFill="1" applyAlignment="1" applyProtection="1">
      <alignment horizontal="right"/>
    </xf>
    <xf numFmtId="43" fontId="4" fillId="5" borderId="0" xfId="4" applyNumberFormat="1" applyFont="1" applyFill="1" applyAlignment="1" applyProtection="1">
      <alignment horizontal="right"/>
    </xf>
    <xf numFmtId="7" fontId="5" fillId="0" borderId="6" xfId="3" applyNumberFormat="1" applyFont="1" applyBorder="1"/>
    <xf numFmtId="168" fontId="4" fillId="0" borderId="0" xfId="6" applyNumberFormat="1" applyFont="1" applyAlignment="1">
      <alignment horizontal="center"/>
    </xf>
    <xf numFmtId="43" fontId="4" fillId="0" borderId="0" xfId="10" applyNumberFormat="1" applyFont="1" applyFill="1" applyProtection="1"/>
    <xf numFmtId="0" fontId="4" fillId="0" borderId="0" xfId="6" applyFont="1"/>
    <xf numFmtId="174" fontId="4" fillId="0" borderId="0" xfId="6" applyNumberFormat="1" applyFont="1" applyAlignment="1">
      <alignment horizontal="center"/>
    </xf>
    <xf numFmtId="174" fontId="5" fillId="0" borderId="0" xfId="6" applyNumberFormat="1" applyFont="1" applyAlignment="1">
      <alignment horizontal="center"/>
    </xf>
    <xf numFmtId="7" fontId="4" fillId="0" borderId="9" xfId="3" applyNumberFormat="1" applyFont="1" applyBorder="1" applyAlignment="1">
      <alignment horizontal="left"/>
    </xf>
    <xf numFmtId="7" fontId="4" fillId="0" borderId="10" xfId="3" applyNumberFormat="1" applyFont="1" applyBorder="1" applyAlignment="1">
      <alignment horizontal="left"/>
    </xf>
    <xf numFmtId="7" fontId="4" fillId="0" borderId="7" xfId="3" applyNumberFormat="1" applyFont="1" applyBorder="1" applyAlignment="1">
      <alignment horizontal="left"/>
    </xf>
    <xf numFmtId="7" fontId="4" fillId="0" borderId="8" xfId="3" applyNumberFormat="1" applyFont="1" applyBorder="1" applyAlignment="1">
      <alignment horizontal="left"/>
    </xf>
    <xf numFmtId="168" fontId="4" fillId="0" borderId="0" xfId="6" applyNumberFormat="1" applyFont="1" applyAlignment="1">
      <alignment horizontal="left"/>
    </xf>
    <xf numFmtId="43" fontId="4" fillId="0" borderId="0" xfId="10" applyNumberFormat="1" applyFont="1" applyFill="1" applyBorder="1" applyAlignment="1" applyProtection="1">
      <alignment horizontal="right"/>
    </xf>
    <xf numFmtId="7" fontId="4" fillId="0" borderId="9" xfId="3" applyNumberFormat="1" applyFont="1" applyBorder="1" applyAlignment="1">
      <alignment horizontal="left" vertical="center"/>
    </xf>
    <xf numFmtId="7" fontId="4" fillId="0" borderId="10" xfId="3" applyNumberFormat="1" applyFont="1" applyBorder="1" applyAlignment="1">
      <alignment horizontal="left" vertical="center"/>
    </xf>
    <xf numFmtId="7" fontId="4" fillId="0" borderId="11" xfId="3" applyNumberFormat="1" applyFont="1" applyBorder="1" applyAlignment="1">
      <alignment horizontal="left" vertical="center"/>
    </xf>
    <xf numFmtId="7" fontId="4" fillId="0" borderId="12" xfId="3" applyNumberFormat="1" applyFont="1" applyBorder="1" applyAlignment="1">
      <alignment horizontal="left" vertical="center"/>
    </xf>
    <xf numFmtId="7" fontId="4" fillId="0" borderId="7" xfId="3" applyNumberFormat="1" applyFont="1" applyBorder="1" applyAlignment="1">
      <alignment horizontal="left" vertical="center"/>
    </xf>
    <xf numFmtId="7" fontId="4" fillId="0" borderId="8" xfId="3" applyNumberFormat="1" applyFont="1" applyBorder="1" applyAlignment="1">
      <alignment horizontal="left" vertical="center"/>
    </xf>
    <xf numFmtId="7" fontId="4" fillId="0" borderId="3" xfId="3" applyNumberFormat="1" applyFont="1" applyBorder="1" applyAlignment="1">
      <alignment horizontal="left"/>
    </xf>
    <xf numFmtId="0" fontId="4" fillId="0" borderId="9" xfId="6" applyFont="1" applyBorder="1" applyAlignment="1">
      <alignment horizontal="left" vertical="center"/>
    </xf>
    <xf numFmtId="0" fontId="4" fillId="0" borderId="10" xfId="6" applyFont="1" applyBorder="1" applyAlignment="1">
      <alignment horizontal="left" vertical="center"/>
    </xf>
    <xf numFmtId="0" fontId="4" fillId="0" borderId="7" xfId="6" applyFont="1" applyBorder="1" applyAlignment="1">
      <alignment horizontal="left" vertical="center"/>
    </xf>
    <xf numFmtId="0" fontId="4" fillId="0" borderId="8" xfId="6" applyFont="1" applyBorder="1" applyAlignment="1">
      <alignment horizontal="left" vertical="center"/>
    </xf>
    <xf numFmtId="166" fontId="8" fillId="0" borderId="0" xfId="5" applyFont="1" applyFill="1"/>
    <xf numFmtId="167" fontId="4" fillId="0" borderId="0" xfId="4" applyNumberFormat="1" applyFont="1" applyFill="1" applyProtection="1"/>
    <xf numFmtId="176" fontId="4" fillId="0" borderId="0" xfId="4" applyNumberFormat="1" applyFont="1" applyFill="1" applyProtection="1"/>
    <xf numFmtId="167" fontId="4" fillId="0" borderId="0" xfId="9" applyNumberFormat="1" applyFont="1" applyFill="1" applyProtection="1"/>
    <xf numFmtId="13" fontId="4" fillId="0" borderId="0" xfId="8" applyNumberFormat="1" applyFont="1" applyFill="1"/>
    <xf numFmtId="177" fontId="4" fillId="0" borderId="0" xfId="3" applyNumberFormat="1" applyFont="1"/>
    <xf numFmtId="43" fontId="5" fillId="5" borderId="0" xfId="3" applyNumberFormat="1" applyFont="1" applyFill="1"/>
    <xf numFmtId="7" fontId="4" fillId="0" borderId="2" xfId="3" applyNumberFormat="1" applyFont="1" applyBorder="1"/>
    <xf numFmtId="7" fontId="4" fillId="7" borderId="0" xfId="3" applyNumberFormat="1" applyFont="1" applyFill="1"/>
    <xf numFmtId="0" fontId="4" fillId="7" borderId="0" xfId="3" applyFont="1" applyFill="1" applyAlignment="1">
      <alignment horizontal="left"/>
    </xf>
    <xf numFmtId="0" fontId="4" fillId="7" borderId="0" xfId="3" applyFont="1" applyFill="1"/>
    <xf numFmtId="43" fontId="4" fillId="8" borderId="0" xfId="3" applyNumberFormat="1" applyFont="1" applyFill="1"/>
    <xf numFmtId="0" fontId="4" fillId="8" borderId="0" xfId="3" applyFont="1" applyFill="1" applyAlignment="1">
      <alignment horizontal="left"/>
    </xf>
    <xf numFmtId="7" fontId="4" fillId="8" borderId="0" xfId="3" applyNumberFormat="1" applyFont="1" applyFill="1"/>
    <xf numFmtId="43" fontId="5" fillId="0" borderId="0" xfId="9" applyNumberFormat="1" applyFont="1" applyFill="1"/>
    <xf numFmtId="43" fontId="4" fillId="0" borderId="0" xfId="1" applyFont="1" applyFill="1" applyAlignment="1" applyProtection="1"/>
    <xf numFmtId="7" fontId="4" fillId="0" borderId="0" xfId="4" applyNumberFormat="1" applyFont="1" applyFill="1" applyProtection="1"/>
    <xf numFmtId="43" fontId="4" fillId="0" borderId="0" xfId="8" applyFont="1" applyFill="1" applyProtection="1"/>
    <xf numFmtId="7" fontId="4" fillId="0" borderId="13" xfId="3" applyNumberFormat="1" applyFont="1" applyBorder="1"/>
    <xf numFmtId="43" fontId="4" fillId="0" borderId="0" xfId="1" applyFont="1" applyFill="1" applyAlignment="1"/>
    <xf numFmtId="43" fontId="4" fillId="0" borderId="0" xfId="8" applyFont="1" applyFill="1" applyBorder="1"/>
    <xf numFmtId="43" fontId="4" fillId="0" borderId="0" xfId="4" applyNumberFormat="1" applyFont="1" applyFill="1" applyAlignment="1" applyProtection="1">
      <alignment horizontal="left"/>
    </xf>
    <xf numFmtId="43" fontId="4" fillId="0" borderId="0" xfId="4" applyNumberFormat="1" applyFont="1" applyFill="1" applyBorder="1" applyProtection="1"/>
    <xf numFmtId="43" fontId="4" fillId="0" borderId="0" xfId="4" applyNumberFormat="1" applyFont="1" applyFill="1" applyAlignment="1" applyProtection="1">
      <alignment horizontal="center"/>
    </xf>
    <xf numFmtId="0" fontId="4" fillId="0" borderId="0" xfId="3" applyFont="1" applyAlignment="1">
      <alignment horizontal="left" wrapText="1"/>
    </xf>
    <xf numFmtId="43" fontId="10" fillId="0" borderId="0" xfId="3" applyNumberFormat="1" applyFont="1"/>
    <xf numFmtId="43" fontId="4" fillId="0" borderId="0" xfId="4" applyNumberFormat="1" applyFont="1" applyFill="1" applyAlignment="1">
      <alignment horizontal="left"/>
    </xf>
    <xf numFmtId="43" fontId="5" fillId="6" borderId="0" xfId="3" applyNumberFormat="1" applyFont="1" applyFill="1"/>
    <xf numFmtId="7" fontId="10" fillId="0" borderId="0" xfId="3" applyNumberFormat="1" applyFont="1"/>
    <xf numFmtId="43" fontId="4" fillId="0" borderId="0" xfId="4" applyNumberFormat="1" applyFont="1" applyFill="1" applyAlignment="1" applyProtection="1">
      <alignment horizontal="center" vertical="center"/>
    </xf>
    <xf numFmtId="43" fontId="4" fillId="0" borderId="0" xfId="4" applyNumberFormat="1" applyFont="1" applyFill="1" applyAlignment="1" applyProtection="1">
      <alignment horizontal="left" vertical="center"/>
    </xf>
    <xf numFmtId="0" fontId="5" fillId="3" borderId="0" xfId="3" quotePrefix="1" applyFont="1" applyFill="1" applyAlignment="1">
      <alignment horizontal="left"/>
    </xf>
    <xf numFmtId="0" fontId="4" fillId="0" borderId="0" xfId="3" quotePrefix="1" applyFont="1" applyAlignment="1">
      <alignment horizontal="left"/>
    </xf>
    <xf numFmtId="0" fontId="5" fillId="0" borderId="0" xfId="3" quotePrefix="1" applyFont="1" applyAlignment="1">
      <alignment horizontal="left"/>
    </xf>
    <xf numFmtId="43" fontId="4" fillId="0" borderId="0" xfId="4" applyNumberFormat="1" applyFont="1" applyFill="1" applyAlignment="1">
      <alignment horizontal="center" vertical="center"/>
    </xf>
    <xf numFmtId="0" fontId="4" fillId="0" borderId="2" xfId="3" applyFont="1" applyBorder="1" applyAlignment="1">
      <alignment horizontal="left"/>
    </xf>
    <xf numFmtId="0" fontId="5" fillId="0" borderId="9" xfId="3" applyFont="1" applyBorder="1" applyAlignment="1">
      <alignment horizontal="left"/>
    </xf>
    <xf numFmtId="43" fontId="4" fillId="0" borderId="14" xfId="4" applyNumberFormat="1" applyFont="1" applyFill="1" applyBorder="1"/>
    <xf numFmtId="0" fontId="4" fillId="0" borderId="14" xfId="3" applyFont="1" applyBorder="1" applyAlignment="1">
      <alignment horizontal="center" vertical="center"/>
    </xf>
    <xf numFmtId="43" fontId="4" fillId="0" borderId="14" xfId="1" applyFont="1" applyFill="1" applyBorder="1"/>
    <xf numFmtId="43" fontId="4" fillId="0" borderId="14" xfId="4" applyNumberFormat="1" applyFont="1" applyFill="1" applyBorder="1" applyAlignment="1" applyProtection="1">
      <alignment horizontal="left"/>
    </xf>
    <xf numFmtId="43" fontId="4" fillId="0" borderId="14" xfId="3" applyNumberFormat="1" applyFont="1" applyBorder="1"/>
    <xf numFmtId="0" fontId="4" fillId="0" borderId="10" xfId="3" applyFont="1" applyBorder="1"/>
    <xf numFmtId="0" fontId="14" fillId="0" borderId="11" xfId="3" applyFont="1" applyBorder="1" applyAlignment="1">
      <alignment horizontal="left"/>
    </xf>
    <xf numFmtId="43" fontId="10" fillId="0" borderId="0" xfId="4" applyNumberFormat="1" applyFont="1" applyFill="1" applyBorder="1" applyProtection="1"/>
    <xf numFmtId="0" fontId="4" fillId="0" borderId="0" xfId="3" applyFont="1" applyAlignment="1">
      <alignment horizontal="center" vertical="center"/>
    </xf>
    <xf numFmtId="43" fontId="4" fillId="0" borderId="0" xfId="1" applyFont="1" applyFill="1" applyBorder="1" applyProtection="1"/>
    <xf numFmtId="43" fontId="4" fillId="9" borderId="0" xfId="3" applyNumberFormat="1" applyFont="1" applyFill="1"/>
    <xf numFmtId="0" fontId="4" fillId="0" borderId="12" xfId="3" applyFont="1" applyBorder="1"/>
    <xf numFmtId="0" fontId="4" fillId="0" borderId="11" xfId="3" applyFont="1" applyBorder="1" applyAlignment="1">
      <alignment horizontal="left"/>
    </xf>
    <xf numFmtId="0" fontId="4" fillId="0" borderId="0" xfId="3" applyFont="1" applyAlignment="1">
      <alignment horizontal="left" vertical="center"/>
    </xf>
    <xf numFmtId="7" fontId="5" fillId="0" borderId="12" xfId="3" applyNumberFormat="1" applyFont="1" applyBorder="1"/>
    <xf numFmtId="7" fontId="4" fillId="0" borderId="13" xfId="3" applyNumberFormat="1" applyFont="1" applyBorder="1" applyAlignment="1">
      <alignment horizontal="center" vertical="center"/>
    </xf>
    <xf numFmtId="7" fontId="4" fillId="0" borderId="15" xfId="3" applyNumberFormat="1" applyFont="1" applyBorder="1" applyAlignment="1">
      <alignment horizontal="center" vertical="center"/>
    </xf>
    <xf numFmtId="7" fontId="4" fillId="0" borderId="0" xfId="4" applyNumberFormat="1" applyFont="1" applyFill="1" applyBorder="1" applyProtection="1"/>
    <xf numFmtId="0" fontId="4" fillId="0" borderId="11" xfId="3" applyFont="1" applyBorder="1"/>
    <xf numFmtId="43" fontId="4" fillId="0" borderId="0" xfId="1" applyFont="1" applyFill="1" applyBorder="1"/>
    <xf numFmtId="7" fontId="4" fillId="0" borderId="0" xfId="3" applyNumberFormat="1" applyFont="1" applyAlignment="1">
      <alignment vertical="center"/>
    </xf>
    <xf numFmtId="0" fontId="4" fillId="0" borderId="7" xfId="3" applyFont="1" applyBorder="1" applyAlignment="1">
      <alignment horizontal="left"/>
    </xf>
    <xf numFmtId="43" fontId="4" fillId="0" borderId="1" xfId="1" applyFont="1" applyFill="1" applyBorder="1"/>
    <xf numFmtId="43" fontId="5" fillId="3" borderId="1" xfId="3" applyNumberFormat="1" applyFont="1" applyFill="1" applyBorder="1"/>
    <xf numFmtId="7" fontId="5" fillId="3" borderId="8" xfId="3" applyNumberFormat="1" applyFont="1" applyFill="1" applyBorder="1"/>
    <xf numFmtId="0" fontId="8" fillId="0" borderId="0" xfId="0" applyFont="1"/>
    <xf numFmtId="43" fontId="8" fillId="0" borderId="0" xfId="11" applyFont="1" applyFill="1"/>
    <xf numFmtId="2" fontId="8" fillId="0" borderId="0" xfId="0" applyNumberFormat="1" applyFont="1"/>
    <xf numFmtId="43" fontId="0" fillId="0" borderId="0" xfId="11" applyFont="1"/>
    <xf numFmtId="43" fontId="0" fillId="0" borderId="0" xfId="0" applyNumberFormat="1"/>
    <xf numFmtId="7" fontId="8" fillId="0" borderId="0" xfId="11" applyNumberFormat="1" applyFont="1" applyFill="1"/>
    <xf numFmtId="0" fontId="5" fillId="6" borderId="0" xfId="3" applyFont="1" applyFill="1"/>
    <xf numFmtId="170" fontId="5" fillId="0" borderId="0" xfId="3" applyNumberFormat="1" applyFont="1"/>
    <xf numFmtId="2" fontId="4" fillId="0" borderId="0" xfId="3" applyNumberFormat="1" applyFont="1"/>
    <xf numFmtId="0" fontId="4" fillId="3" borderId="0" xfId="3" applyFont="1" applyFill="1"/>
    <xf numFmtId="43" fontId="5" fillId="3" borderId="0" xfId="1" applyFont="1" applyFill="1"/>
    <xf numFmtId="43" fontId="15" fillId="0" borderId="0" xfId="1" applyFont="1" applyAlignment="1">
      <alignment horizontal="center" vertical="center"/>
    </xf>
    <xf numFmtId="168" fontId="16" fillId="0" borderId="0" xfId="12" applyFont="1" applyAlignment="1">
      <alignment horizontal="center" vertical="center"/>
    </xf>
    <xf numFmtId="0" fontId="17" fillId="10" borderId="0" xfId="13" applyFont="1" applyFill="1" applyAlignment="1">
      <alignment vertical="center"/>
    </xf>
    <xf numFmtId="43" fontId="17" fillId="10" borderId="0" xfId="1" applyFont="1" applyFill="1" applyAlignment="1">
      <alignment vertical="center"/>
    </xf>
    <xf numFmtId="0" fontId="20" fillId="0" borderId="0" xfId="3" applyFont="1" applyAlignment="1">
      <alignment horizontal="right"/>
    </xf>
    <xf numFmtId="0" fontId="5" fillId="7" borderId="0" xfId="3" applyFont="1" applyFill="1" applyAlignment="1">
      <alignment horizontal="left"/>
    </xf>
    <xf numFmtId="12" fontId="3" fillId="7" borderId="0" xfId="14" applyNumberFormat="1" applyFont="1" applyFill="1" applyAlignment="1">
      <alignment horizontal="center"/>
    </xf>
    <xf numFmtId="43" fontId="21" fillId="7" borderId="0" xfId="1" applyFont="1" applyFill="1" applyAlignment="1"/>
    <xf numFmtId="0" fontId="3" fillId="0" borderId="0" xfId="3"/>
    <xf numFmtId="43" fontId="22" fillId="0" borderId="0" xfId="14" applyNumberFormat="1" applyFont="1" applyAlignment="1">
      <alignment horizontal="right"/>
    </xf>
    <xf numFmtId="0" fontId="22" fillId="0" borderId="0" xfId="3" applyFont="1"/>
    <xf numFmtId="0" fontId="23" fillId="7" borderId="0" xfId="3" applyFont="1" applyFill="1" applyAlignment="1">
      <alignment horizontal="left"/>
    </xf>
    <xf numFmtId="43" fontId="3" fillId="7" borderId="0" xfId="14" applyNumberFormat="1" applyFont="1" applyFill="1" applyAlignment="1">
      <alignment horizontal="center"/>
    </xf>
    <xf numFmtId="43" fontId="3" fillId="7" borderId="0" xfId="1" applyFont="1" applyFill="1" applyAlignment="1"/>
    <xf numFmtId="0" fontId="3" fillId="0" borderId="0" xfId="3" applyAlignment="1">
      <alignment horizontal="center"/>
    </xf>
    <xf numFmtId="0" fontId="3" fillId="7" borderId="0" xfId="3" applyFill="1" applyAlignment="1">
      <alignment horizontal="fill"/>
    </xf>
    <xf numFmtId="43" fontId="3" fillId="7" borderId="0" xfId="14" applyNumberFormat="1" applyFont="1" applyFill="1" applyAlignment="1" applyProtection="1">
      <alignment horizontal="center"/>
    </xf>
    <xf numFmtId="43" fontId="3" fillId="7" borderId="0" xfId="1" applyFont="1" applyFill="1" applyAlignment="1" applyProtection="1"/>
    <xf numFmtId="0" fontId="20" fillId="0" borderId="2" xfId="3" applyFont="1" applyBorder="1" applyAlignment="1">
      <alignment horizontal="center"/>
    </xf>
    <xf numFmtId="0" fontId="20" fillId="7" borderId="2" xfId="3" applyFont="1" applyFill="1" applyBorder="1" applyAlignment="1">
      <alignment horizontal="center"/>
    </xf>
    <xf numFmtId="43" fontId="20" fillId="7" borderId="2" xfId="14" applyNumberFormat="1" applyFont="1" applyFill="1" applyBorder="1" applyAlignment="1" applyProtection="1">
      <alignment horizontal="center"/>
    </xf>
    <xf numFmtId="43" fontId="20" fillId="7" borderId="2" xfId="1" applyFont="1" applyFill="1" applyBorder="1" applyAlignment="1" applyProtection="1">
      <alignment horizontal="center"/>
    </xf>
    <xf numFmtId="0" fontId="3" fillId="0" borderId="2" xfId="3" applyBorder="1" applyAlignment="1">
      <alignment horizontal="right"/>
    </xf>
    <xf numFmtId="43" fontId="20" fillId="7" borderId="0" xfId="1" applyFont="1" applyFill="1" applyAlignment="1" applyProtection="1"/>
    <xf numFmtId="49" fontId="24" fillId="7" borderId="0" xfId="3" applyNumberFormat="1" applyFont="1" applyFill="1" applyAlignment="1">
      <alignment horizontal="left"/>
    </xf>
    <xf numFmtId="49" fontId="20" fillId="7" borderId="0" xfId="3" applyNumberFormat="1" applyFont="1" applyFill="1" applyAlignment="1">
      <alignment horizontal="left"/>
    </xf>
    <xf numFmtId="0" fontId="20" fillId="0" borderId="0" xfId="3" applyFont="1" applyAlignment="1">
      <alignment horizontal="center"/>
    </xf>
    <xf numFmtId="49" fontId="20" fillId="0" borderId="0" xfId="3" applyNumberFormat="1" applyFont="1" applyAlignment="1">
      <alignment horizontal="left"/>
    </xf>
    <xf numFmtId="43" fontId="3" fillId="0" borderId="0" xfId="14" applyNumberFormat="1" applyFont="1" applyFill="1" applyAlignment="1" applyProtection="1">
      <alignment horizontal="center"/>
    </xf>
    <xf numFmtId="43" fontId="3" fillId="0" borderId="0" xfId="1" applyFont="1" applyFill="1" applyBorder="1" applyAlignment="1" applyProtection="1"/>
    <xf numFmtId="43" fontId="22" fillId="0" borderId="0" xfId="14" applyNumberFormat="1" applyFont="1" applyFill="1" applyAlignment="1">
      <alignment horizontal="right"/>
    </xf>
    <xf numFmtId="39" fontId="3" fillId="0" borderId="0" xfId="3" applyNumberFormat="1" applyAlignment="1">
      <alignment horizontal="right"/>
    </xf>
    <xf numFmtId="0" fontId="3" fillId="0" borderId="0" xfId="3" applyAlignment="1">
      <alignment horizontal="left"/>
    </xf>
    <xf numFmtId="43" fontId="3" fillId="11" borderId="0" xfId="1" applyFont="1" applyFill="1" applyAlignment="1" applyProtection="1">
      <protection locked="0"/>
    </xf>
    <xf numFmtId="15" fontId="22" fillId="0" borderId="0" xfId="14" applyNumberFormat="1" applyFont="1" applyFill="1" applyAlignment="1">
      <alignment horizontal="right"/>
    </xf>
    <xf numFmtId="0" fontId="25" fillId="0" borderId="0" xfId="3" applyFont="1"/>
    <xf numFmtId="43" fontId="3" fillId="0" borderId="0" xfId="8" applyFont="1" applyFill="1"/>
    <xf numFmtId="178" fontId="3" fillId="0" borderId="0" xfId="3" applyNumberFormat="1" applyAlignment="1">
      <alignment horizontal="center"/>
    </xf>
    <xf numFmtId="43" fontId="3" fillId="0" borderId="0" xfId="1" applyFont="1"/>
    <xf numFmtId="43" fontId="3" fillId="12" borderId="0" xfId="1" applyFont="1" applyFill="1" applyAlignment="1" applyProtection="1">
      <protection locked="0"/>
    </xf>
    <xf numFmtId="43" fontId="3" fillId="0" borderId="0" xfId="1" applyFont="1" applyFill="1" applyProtection="1"/>
    <xf numFmtId="43" fontId="3" fillId="0" borderId="9" xfId="1" applyFont="1" applyBorder="1"/>
    <xf numFmtId="0" fontId="3" fillId="0" borderId="10" xfId="3" applyBorder="1"/>
    <xf numFmtId="43" fontId="3" fillId="0" borderId="0" xfId="3" applyNumberFormat="1"/>
    <xf numFmtId="43" fontId="3" fillId="0" borderId="7" xfId="1" applyFont="1" applyFill="1" applyBorder="1"/>
    <xf numFmtId="0" fontId="3" fillId="0" borderId="8" xfId="3" applyBorder="1"/>
    <xf numFmtId="0" fontId="3" fillId="7" borderId="0" xfId="3" applyFill="1" applyAlignment="1">
      <alignment horizontal="left"/>
    </xf>
    <xf numFmtId="43" fontId="3" fillId="0" borderId="0" xfId="8" applyFont="1" applyProtection="1"/>
    <xf numFmtId="43" fontId="3" fillId="0" borderId="0" xfId="1" applyFont="1" applyFill="1" applyAlignment="1" applyProtection="1">
      <protection locked="0"/>
    </xf>
    <xf numFmtId="43" fontId="3" fillId="0" borderId="0" xfId="1" applyFont="1" applyFill="1" applyAlignment="1" applyProtection="1"/>
    <xf numFmtId="0" fontId="3" fillId="0" borderId="0" xfId="3" applyAlignment="1">
      <alignment horizontal="right"/>
    </xf>
    <xf numFmtId="43" fontId="3" fillId="3" borderId="0" xfId="1" applyFont="1" applyFill="1" applyAlignment="1" applyProtection="1">
      <protection locked="0"/>
    </xf>
    <xf numFmtId="43" fontId="3" fillId="0" borderId="0" xfId="1" applyFont="1" applyFill="1"/>
    <xf numFmtId="0" fontId="3" fillId="0" borderId="0" xfId="3" quotePrefix="1" applyAlignment="1">
      <alignment horizontal="left"/>
    </xf>
    <xf numFmtId="43" fontId="25" fillId="0" borderId="0" xfId="14" applyNumberFormat="1" applyFont="1" applyFill="1" applyAlignment="1">
      <alignment horizontal="left"/>
    </xf>
    <xf numFmtId="0" fontId="26" fillId="0" borderId="0" xfId="3" applyFont="1" applyAlignment="1">
      <alignment horizontal="left"/>
    </xf>
    <xf numFmtId="2" fontId="26" fillId="0" borderId="0" xfId="3" applyNumberFormat="1" applyFont="1" applyAlignment="1">
      <alignment horizontal="center"/>
    </xf>
    <xf numFmtId="2" fontId="26" fillId="0" borderId="0" xfId="3" applyNumberFormat="1" applyFont="1"/>
    <xf numFmtId="166" fontId="0" fillId="0" borderId="0" xfId="5" applyFont="1" applyFill="1"/>
    <xf numFmtId="166" fontId="0" fillId="0" borderId="0" xfId="5" applyFont="1"/>
    <xf numFmtId="0" fontId="3" fillId="7" borderId="0" xfId="3" quotePrefix="1" applyFill="1" applyAlignment="1">
      <alignment horizontal="left"/>
    </xf>
    <xf numFmtId="17" fontId="3" fillId="0" borderId="0" xfId="3" applyNumberFormat="1"/>
    <xf numFmtId="43" fontId="22" fillId="0" borderId="0" xfId="8" applyFont="1" applyFill="1"/>
    <xf numFmtId="43" fontId="25" fillId="0" borderId="0" xfId="8" applyFont="1" applyFill="1"/>
    <xf numFmtId="43" fontId="22" fillId="0" borderId="0" xfId="1" applyFont="1"/>
    <xf numFmtId="43" fontId="3" fillId="0" borderId="0" xfId="8" applyFont="1" applyFill="1" applyProtection="1"/>
    <xf numFmtId="17" fontId="3" fillId="0" borderId="0" xfId="3" applyNumberFormat="1" applyAlignment="1">
      <alignment horizontal="left"/>
    </xf>
    <xf numFmtId="43" fontId="3" fillId="11" borderId="0" xfId="1" applyFont="1" applyFill="1"/>
    <xf numFmtId="43" fontId="3" fillId="0" borderId="0" xfId="14" applyNumberFormat="1" applyFont="1" applyFill="1" applyAlignment="1">
      <alignment horizontal="center"/>
    </xf>
    <xf numFmtId="43" fontId="3" fillId="6" borderId="0" xfId="1" applyFont="1" applyFill="1" applyAlignment="1" applyProtection="1">
      <protection locked="0"/>
    </xf>
    <xf numFmtId="39" fontId="3" fillId="0" borderId="0" xfId="3" applyNumberFormat="1" applyAlignment="1">
      <alignment horizontal="center"/>
    </xf>
    <xf numFmtId="43" fontId="3" fillId="12" borderId="0" xfId="1" applyFont="1" applyFill="1"/>
    <xf numFmtId="0" fontId="3" fillId="7" borderId="0" xfId="3" quotePrefix="1" applyFill="1" applyAlignment="1">
      <alignment horizontal="left" wrapText="1"/>
    </xf>
    <xf numFmtId="43" fontId="22" fillId="0" borderId="0" xfId="3" applyNumberFormat="1" applyFont="1"/>
    <xf numFmtId="37" fontId="3" fillId="0" borderId="0" xfId="3" applyNumberFormat="1" applyAlignment="1">
      <alignment horizontal="center"/>
    </xf>
    <xf numFmtId="0" fontId="20" fillId="0" borderId="0" xfId="3" applyFont="1" applyAlignment="1">
      <alignment horizontal="left"/>
    </xf>
    <xf numFmtId="0" fontId="3" fillId="7" borderId="0" xfId="3" applyFill="1"/>
    <xf numFmtId="43" fontId="22" fillId="0" borderId="0" xfId="8" applyFont="1"/>
    <xf numFmtId="168" fontId="3" fillId="0" borderId="0" xfId="6" applyNumberFormat="1" applyFont="1" applyAlignment="1">
      <alignment horizontal="left" vertical="center"/>
    </xf>
    <xf numFmtId="43" fontId="27" fillId="12" borderId="0" xfId="1" applyFont="1" applyFill="1" applyAlignment="1" applyProtection="1">
      <protection locked="0"/>
    </xf>
    <xf numFmtId="0" fontId="24" fillId="7" borderId="0" xfId="3" applyFont="1" applyFill="1" applyAlignment="1">
      <alignment horizontal="left"/>
    </xf>
    <xf numFmtId="0" fontId="28" fillId="0" borderId="0" xfId="3" applyFont="1"/>
    <xf numFmtId="43" fontId="28" fillId="0" borderId="0" xfId="1" applyFont="1" applyFill="1" applyAlignment="1" applyProtection="1">
      <alignment horizontal="right"/>
      <protection locked="0"/>
    </xf>
    <xf numFmtId="0" fontId="3" fillId="0" borderId="0" xfId="3" applyAlignment="1">
      <alignment horizontal="fill"/>
    </xf>
    <xf numFmtId="49" fontId="28" fillId="7" borderId="0" xfId="3" applyNumberFormat="1" applyFont="1" applyFill="1" applyAlignment="1">
      <alignment horizontal="left"/>
    </xf>
    <xf numFmtId="43" fontId="27" fillId="7" borderId="0" xfId="14" applyNumberFormat="1" applyFont="1" applyFill="1" applyAlignment="1" applyProtection="1">
      <alignment horizontal="center"/>
    </xf>
    <xf numFmtId="43" fontId="27" fillId="0" borderId="0" xfId="1" applyFont="1" applyFill="1" applyAlignment="1" applyProtection="1">
      <protection locked="0"/>
    </xf>
    <xf numFmtId="39" fontId="20" fillId="0" borderId="0" xfId="3" applyNumberFormat="1" applyFont="1" applyAlignment="1">
      <alignment horizontal="right"/>
    </xf>
    <xf numFmtId="168" fontId="3" fillId="0" borderId="0" xfId="3" applyNumberFormat="1" applyAlignment="1">
      <alignment horizontal="right"/>
    </xf>
    <xf numFmtId="0" fontId="27" fillId="7" borderId="0" xfId="3" applyFont="1" applyFill="1" applyAlignment="1">
      <alignment horizontal="left"/>
    </xf>
    <xf numFmtId="0" fontId="27" fillId="0" borderId="0" xfId="3" applyFont="1" applyAlignment="1">
      <alignment horizontal="left"/>
    </xf>
    <xf numFmtId="43" fontId="27" fillId="0" borderId="0" xfId="14" applyNumberFormat="1" applyFont="1" applyFill="1" applyAlignment="1" applyProtection="1">
      <alignment horizontal="center"/>
    </xf>
    <xf numFmtId="0" fontId="27" fillId="0" borderId="0" xfId="3" applyFont="1"/>
    <xf numFmtId="43" fontId="27" fillId="0" borderId="0" xfId="14" applyNumberFormat="1" applyFont="1" applyFill="1" applyAlignment="1">
      <alignment horizontal="center"/>
    </xf>
    <xf numFmtId="49" fontId="28" fillId="0" borderId="0" xfId="3" applyNumberFormat="1" applyFont="1" applyAlignment="1">
      <alignment horizontal="left"/>
    </xf>
    <xf numFmtId="43" fontId="27" fillId="4" borderId="0" xfId="1" applyFont="1" applyFill="1" applyAlignment="1" applyProtection="1">
      <protection locked="0"/>
    </xf>
    <xf numFmtId="0" fontId="27" fillId="7" borderId="0" xfId="3" applyFont="1" applyFill="1"/>
    <xf numFmtId="0" fontId="27" fillId="7" borderId="0" xfId="3" applyFont="1" applyFill="1" applyAlignment="1">
      <alignment horizontal="center"/>
    </xf>
    <xf numFmtId="43" fontId="27" fillId="4" borderId="0" xfId="1" applyFont="1" applyFill="1"/>
    <xf numFmtId="43" fontId="27" fillId="7" borderId="0" xfId="14" applyNumberFormat="1" applyFont="1" applyFill="1" applyAlignment="1">
      <alignment horizontal="center"/>
    </xf>
    <xf numFmtId="43" fontId="3" fillId="0" borderId="0" xfId="8" applyFont="1" applyAlignment="1" applyProtection="1">
      <alignment horizontal="fill"/>
    </xf>
    <xf numFmtId="43" fontId="3" fillId="0" borderId="0" xfId="3" applyNumberFormat="1" applyAlignment="1">
      <alignment horizontal="fill"/>
    </xf>
    <xf numFmtId="43" fontId="27" fillId="7" borderId="0" xfId="3" applyNumberFormat="1" applyFont="1" applyFill="1" applyAlignment="1">
      <alignment horizontal="fill"/>
    </xf>
    <xf numFmtId="43" fontId="3" fillId="7" borderId="0" xfId="14" applyNumberFormat="1" applyFont="1" applyFill="1" applyAlignment="1" applyProtection="1">
      <protection locked="0"/>
    </xf>
    <xf numFmtId="49" fontId="28" fillId="7" borderId="0" xfId="3" quotePrefix="1" applyNumberFormat="1" applyFont="1" applyFill="1" applyAlignment="1">
      <alignment horizontal="left"/>
    </xf>
    <xf numFmtId="168" fontId="22" fillId="0" borderId="0" xfId="3" applyNumberFormat="1" applyFont="1" applyAlignment="1">
      <alignment horizontal="right"/>
    </xf>
    <xf numFmtId="43" fontId="3" fillId="0" borderId="0" xfId="8" applyFont="1"/>
    <xf numFmtId="0" fontId="2" fillId="7" borderId="16" xfId="0" applyFont="1" applyFill="1" applyBorder="1" applyAlignment="1">
      <alignment horizontal="left"/>
    </xf>
    <xf numFmtId="168" fontId="27" fillId="7" borderId="0" xfId="6" applyNumberFormat="1" applyFont="1" applyFill="1" applyAlignment="1">
      <alignment horizontal="left" vertical="center"/>
    </xf>
    <xf numFmtId="168" fontId="29" fillId="0" borderId="0" xfId="3" applyNumberFormat="1" applyFont="1" applyAlignment="1">
      <alignment horizontal="right"/>
    </xf>
    <xf numFmtId="0" fontId="27" fillId="7" borderId="0" xfId="3" quotePrefix="1" applyFont="1" applyFill="1" applyAlignment="1">
      <alignment horizontal="left"/>
    </xf>
    <xf numFmtId="0" fontId="25" fillId="7" borderId="0" xfId="3" applyFont="1" applyFill="1" applyAlignment="1">
      <alignment horizontal="center"/>
    </xf>
    <xf numFmtId="43" fontId="4" fillId="0" borderId="0" xfId="14" applyNumberFormat="1" applyFont="1"/>
    <xf numFmtId="49" fontId="27" fillId="7" borderId="0" xfId="3" applyNumberFormat="1" applyFont="1" applyFill="1" applyAlignment="1">
      <alignment horizontal="left"/>
    </xf>
    <xf numFmtId="43" fontId="27" fillId="7" borderId="0" xfId="14" applyNumberFormat="1" applyFont="1" applyFill="1" applyBorder="1" applyAlignment="1" applyProtection="1">
      <alignment horizontal="center"/>
    </xf>
    <xf numFmtId="0" fontId="31" fillId="0" borderId="17" xfId="15" applyFont="1" applyBorder="1"/>
    <xf numFmtId="0" fontId="31" fillId="0" borderId="18" xfId="15" applyFont="1" applyBorder="1"/>
    <xf numFmtId="0" fontId="31" fillId="0" borderId="19" xfId="15" applyFont="1" applyBorder="1"/>
    <xf numFmtId="0" fontId="32" fillId="0" borderId="20" xfId="15" applyFont="1" applyBorder="1" applyAlignment="1">
      <alignment horizontal="center" vertical="center" wrapText="1"/>
    </xf>
    <xf numFmtId="0" fontId="32" fillId="0" borderId="18" xfId="15" applyFont="1" applyBorder="1" applyAlignment="1">
      <alignment horizontal="center" vertical="center" wrapText="1"/>
    </xf>
    <xf numFmtId="0" fontId="32" fillId="0" borderId="19" xfId="15" applyFont="1" applyBorder="1" applyAlignment="1">
      <alignment horizontal="center" vertical="center" wrapText="1"/>
    </xf>
    <xf numFmtId="0" fontId="33" fillId="0" borderId="20" xfId="15" applyFont="1" applyBorder="1" applyAlignment="1">
      <alignment horizontal="center" vertical="center" wrapText="1"/>
    </xf>
    <xf numFmtId="0" fontId="33" fillId="0" borderId="18" xfId="15" applyFont="1" applyBorder="1" applyAlignment="1">
      <alignment horizontal="center" vertical="center" wrapText="1"/>
    </xf>
    <xf numFmtId="0" fontId="33" fillId="0" borderId="21" xfId="15" applyFont="1" applyBorder="1" applyAlignment="1">
      <alignment horizontal="center" vertical="center" wrapText="1"/>
    </xf>
    <xf numFmtId="0" fontId="34" fillId="13" borderId="0" xfId="15" applyFont="1" applyFill="1"/>
    <xf numFmtId="0" fontId="31" fillId="0" borderId="0" xfId="15" applyFont="1"/>
    <xf numFmtId="0" fontId="35" fillId="0" borderId="0" xfId="15" applyFont="1"/>
    <xf numFmtId="0" fontId="31" fillId="0" borderId="16" xfId="15" applyFont="1" applyBorder="1"/>
    <xf numFmtId="0" fontId="31" fillId="0" borderId="12" xfId="15" applyFont="1" applyBorder="1"/>
    <xf numFmtId="0" fontId="32" fillId="0" borderId="11" xfId="15" applyFont="1" applyBorder="1" applyAlignment="1">
      <alignment horizontal="center" vertical="center" wrapText="1"/>
    </xf>
    <xf numFmtId="0" fontId="32" fillId="0" borderId="0" xfId="15" applyFont="1" applyAlignment="1">
      <alignment horizontal="center" vertical="center" wrapText="1"/>
    </xf>
    <xf numFmtId="0" fontId="32" fillId="0" borderId="12" xfId="15" applyFont="1" applyBorder="1" applyAlignment="1">
      <alignment horizontal="center" vertical="center" wrapText="1"/>
    </xf>
    <xf numFmtId="0" fontId="33" fillId="0" borderId="11" xfId="15" applyFont="1" applyBorder="1" applyAlignment="1">
      <alignment horizontal="center" vertical="center" wrapText="1"/>
    </xf>
    <xf numFmtId="0" fontId="33" fillId="0" borderId="0" xfId="15" applyFont="1" applyAlignment="1">
      <alignment horizontal="center" vertical="center" wrapText="1"/>
    </xf>
    <xf numFmtId="0" fontId="33" fillId="0" borderId="22" xfId="15" applyFont="1" applyBorder="1" applyAlignment="1">
      <alignment horizontal="center" vertical="center" wrapText="1"/>
    </xf>
    <xf numFmtId="0" fontId="31" fillId="0" borderId="23" xfId="15" applyFont="1" applyBorder="1"/>
    <xf numFmtId="0" fontId="31" fillId="0" borderId="1" xfId="15" applyFont="1" applyBorder="1"/>
    <xf numFmtId="0" fontId="31" fillId="0" borderId="8" xfId="15" applyFont="1" applyBorder="1"/>
    <xf numFmtId="0" fontId="32" fillId="0" borderId="7" xfId="15" applyFont="1" applyBorder="1" applyAlignment="1">
      <alignment horizontal="center" vertical="center" wrapText="1"/>
    </xf>
    <xf numFmtId="0" fontId="32" fillId="0" borderId="1" xfId="15" applyFont="1" applyBorder="1" applyAlignment="1">
      <alignment horizontal="center" vertical="center" wrapText="1"/>
    </xf>
    <xf numFmtId="0" fontId="32" fillId="0" borderId="8" xfId="15" applyFont="1" applyBorder="1" applyAlignment="1">
      <alignment horizontal="center" vertical="center" wrapText="1"/>
    </xf>
    <xf numFmtId="0" fontId="33" fillId="0" borderId="7" xfId="15" applyFont="1" applyBorder="1" applyAlignment="1">
      <alignment horizontal="center" vertical="center" wrapText="1"/>
    </xf>
    <xf numFmtId="0" fontId="33" fillId="0" borderId="1" xfId="15" applyFont="1" applyBorder="1" applyAlignment="1">
      <alignment horizontal="center" vertical="center" wrapText="1"/>
    </xf>
    <xf numFmtId="0" fontId="33" fillId="0" borderId="24" xfId="15" applyFont="1" applyBorder="1" applyAlignment="1">
      <alignment horizontal="center" vertical="center" wrapText="1"/>
    </xf>
    <xf numFmtId="0" fontId="31" fillId="0" borderId="25" xfId="15" applyFont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1" fillId="0" borderId="26" xfId="15" applyFont="1" applyBorder="1" applyAlignment="1">
      <alignment horizontal="center"/>
    </xf>
    <xf numFmtId="0" fontId="36" fillId="0" borderId="25" xfId="15" applyFont="1" applyBorder="1" applyAlignment="1">
      <alignment horizontal="center" vertical="center" wrapText="1"/>
    </xf>
    <xf numFmtId="0" fontId="36" fillId="0" borderId="6" xfId="15" applyFont="1" applyBorder="1" applyAlignment="1">
      <alignment horizontal="center" vertical="center" wrapText="1"/>
    </xf>
    <xf numFmtId="0" fontId="36" fillId="0" borderId="5" xfId="15" applyFont="1" applyBorder="1" applyAlignment="1">
      <alignment horizontal="center" vertical="center" wrapText="1"/>
    </xf>
    <xf numFmtId="0" fontId="37" fillId="0" borderId="3" xfId="15" applyFont="1" applyBorder="1" applyAlignment="1">
      <alignment horizontal="center" vertical="center" wrapText="1"/>
    </xf>
    <xf numFmtId="0" fontId="37" fillId="0" borderId="6" xfId="15" applyFont="1" applyBorder="1" applyAlignment="1">
      <alignment horizontal="center" vertical="center" wrapText="1"/>
    </xf>
    <xf numFmtId="0" fontId="38" fillId="0" borderId="6" xfId="15" applyFont="1" applyBorder="1" applyAlignment="1">
      <alignment vertical="center" wrapText="1"/>
    </xf>
    <xf numFmtId="0" fontId="38" fillId="0" borderId="26" xfId="15" applyFont="1" applyBorder="1" applyAlignment="1">
      <alignment vertical="center" wrapText="1"/>
    </xf>
    <xf numFmtId="0" fontId="38" fillId="0" borderId="3" xfId="15" applyFont="1" applyBorder="1" applyAlignment="1">
      <alignment horizontal="center" vertical="center" wrapText="1"/>
    </xf>
    <xf numFmtId="0" fontId="38" fillId="0" borderId="6" xfId="15" applyFont="1" applyBorder="1" applyAlignment="1">
      <alignment horizontal="center" vertical="center" wrapText="1"/>
    </xf>
    <xf numFmtId="0" fontId="38" fillId="0" borderId="26" xfId="15" applyFont="1" applyBorder="1" applyAlignment="1">
      <alignment horizontal="center" vertical="center" wrapText="1"/>
    </xf>
    <xf numFmtId="0" fontId="37" fillId="0" borderId="25" xfId="15" applyFont="1" applyBorder="1" applyAlignment="1">
      <alignment horizontal="center" vertical="center" wrapText="1"/>
    </xf>
    <xf numFmtId="0" fontId="37" fillId="0" borderId="6" xfId="15" applyFont="1" applyBorder="1" applyAlignment="1">
      <alignment horizontal="center" vertical="center" wrapText="1"/>
    </xf>
    <xf numFmtId="0" fontId="38" fillId="0" borderId="1" xfId="15" applyFont="1" applyBorder="1" applyAlignment="1">
      <alignment horizontal="center" vertical="center" wrapText="1"/>
    </xf>
    <xf numFmtId="0" fontId="38" fillId="0" borderId="24" xfId="15" applyFont="1" applyBorder="1" applyAlignment="1">
      <alignment horizontal="center" vertical="center" wrapText="1"/>
    </xf>
    <xf numFmtId="17" fontId="34" fillId="13" borderId="0" xfId="15" applyNumberFormat="1" applyFont="1" applyFill="1"/>
    <xf numFmtId="0" fontId="39" fillId="14" borderId="25" xfId="15" applyFont="1" applyFill="1" applyBorder="1" applyAlignment="1">
      <alignment horizontal="center" vertical="center" wrapText="1"/>
    </xf>
    <xf numFmtId="0" fontId="39" fillId="14" borderId="6" xfId="15" applyFont="1" applyFill="1" applyBorder="1" applyAlignment="1">
      <alignment horizontal="center" vertical="center" wrapText="1"/>
    </xf>
    <xf numFmtId="0" fontId="39" fillId="14" borderId="5" xfId="15" applyFont="1" applyFill="1" applyBorder="1" applyAlignment="1">
      <alignment horizontal="center" vertical="center" wrapText="1"/>
    </xf>
    <xf numFmtId="0" fontId="39" fillId="14" borderId="3" xfId="15" applyFont="1" applyFill="1" applyBorder="1" applyAlignment="1">
      <alignment horizontal="center" vertical="center" wrapText="1"/>
    </xf>
    <xf numFmtId="0" fontId="39" fillId="14" borderId="26" xfId="15" applyFont="1" applyFill="1" applyBorder="1" applyAlignment="1">
      <alignment horizontal="center" vertical="center" wrapText="1"/>
    </xf>
    <xf numFmtId="0" fontId="34" fillId="13" borderId="4" xfId="15" applyFont="1" applyFill="1" applyBorder="1" applyAlignment="1">
      <alignment horizontal="center" vertical="center"/>
    </xf>
    <xf numFmtId="0" fontId="39" fillId="0" borderId="27" xfId="15" applyFont="1" applyBorder="1" applyAlignment="1">
      <alignment horizontal="center" vertical="center" wrapText="1"/>
    </xf>
    <xf numFmtId="0" fontId="32" fillId="13" borderId="28" xfId="15" applyFont="1" applyFill="1" applyBorder="1" applyAlignment="1">
      <alignment horizontal="center" vertical="center" wrapText="1"/>
    </xf>
    <xf numFmtId="0" fontId="32" fillId="13" borderId="29" xfId="15" applyFont="1" applyFill="1" applyBorder="1" applyAlignment="1">
      <alignment horizontal="center" vertical="center" wrapText="1"/>
    </xf>
    <xf numFmtId="0" fontId="32" fillId="13" borderId="30" xfId="15" applyFont="1" applyFill="1" applyBorder="1" applyAlignment="1">
      <alignment horizontal="center" vertical="center" wrapText="1"/>
    </xf>
    <xf numFmtId="9" fontId="34" fillId="13" borderId="4" xfId="15" applyNumberFormat="1" applyFont="1" applyFill="1" applyBorder="1"/>
    <xf numFmtId="0" fontId="39" fillId="0" borderId="29" xfId="15" applyFont="1" applyBorder="1" applyAlignment="1">
      <alignment horizontal="center" vertical="center" wrapText="1"/>
    </xf>
    <xf numFmtId="0" fontId="39" fillId="0" borderId="14" xfId="15" applyFont="1" applyBorder="1" applyAlignment="1">
      <alignment horizontal="center" vertical="center" wrapText="1"/>
    </xf>
    <xf numFmtId="0" fontId="39" fillId="15" borderId="31" xfId="15" applyFont="1" applyFill="1" applyBorder="1" applyAlignment="1">
      <alignment horizontal="center" vertical="center" wrapText="1"/>
    </xf>
    <xf numFmtId="0" fontId="39" fillId="15" borderId="32" xfId="15" applyFont="1" applyFill="1" applyBorder="1" applyAlignment="1">
      <alignment horizontal="center" vertical="center" wrapText="1"/>
    </xf>
    <xf numFmtId="0" fontId="39" fillId="15" borderId="33" xfId="15" applyFont="1" applyFill="1" applyBorder="1" applyAlignment="1">
      <alignment horizontal="center" vertical="center" wrapText="1"/>
    </xf>
    <xf numFmtId="0" fontId="34" fillId="13" borderId="34" xfId="15" applyFont="1" applyFill="1" applyBorder="1"/>
    <xf numFmtId="0" fontId="39" fillId="0" borderId="35" xfId="15" applyFont="1" applyBorder="1" applyAlignment="1">
      <alignment horizontal="center" vertical="center" wrapText="1"/>
    </xf>
    <xf numFmtId="0" fontId="39" fillId="0" borderId="3" xfId="15" applyFont="1" applyBorder="1" applyAlignment="1">
      <alignment horizontal="left" vertical="center" wrapText="1"/>
    </xf>
    <xf numFmtId="0" fontId="39" fillId="0" borderId="6" xfId="15" applyFont="1" applyBorder="1" applyAlignment="1">
      <alignment horizontal="left" vertical="center" wrapText="1"/>
    </xf>
    <xf numFmtId="0" fontId="39" fillId="0" borderId="5" xfId="15" applyFont="1" applyBorder="1" applyAlignment="1">
      <alignment horizontal="left" vertical="center" wrapText="1"/>
    </xf>
    <xf numFmtId="0" fontId="40" fillId="0" borderId="3" xfId="15" applyFont="1" applyBorder="1" applyAlignment="1">
      <alignment horizontal="center" vertical="center" wrapText="1"/>
    </xf>
    <xf numFmtId="0" fontId="40" fillId="0" borderId="5" xfId="15" applyFont="1" applyBorder="1" applyAlignment="1">
      <alignment horizontal="center" vertical="center" wrapText="1"/>
    </xf>
    <xf numFmtId="0" fontId="37" fillId="0" borderId="5" xfId="15" applyFont="1" applyBorder="1" applyAlignment="1">
      <alignment horizontal="center" vertical="center" wrapText="1"/>
    </xf>
    <xf numFmtId="0" fontId="40" fillId="16" borderId="3" xfId="15" applyFont="1" applyFill="1" applyBorder="1" applyAlignment="1">
      <alignment horizontal="center" vertical="center" wrapText="1"/>
    </xf>
    <xf numFmtId="0" fontId="40" fillId="16" borderId="26" xfId="15" applyFont="1" applyFill="1" applyBorder="1" applyAlignment="1">
      <alignment horizontal="center" vertical="center" wrapText="1"/>
    </xf>
    <xf numFmtId="43" fontId="34" fillId="13" borderId="36" xfId="16" applyFont="1" applyFill="1" applyBorder="1" applyAlignment="1">
      <alignment vertical="center"/>
    </xf>
    <xf numFmtId="0" fontId="39" fillId="0" borderId="25" xfId="15" applyFont="1" applyBorder="1" applyAlignment="1">
      <alignment horizontal="center" vertical="center" wrapText="1"/>
    </xf>
    <xf numFmtId="0" fontId="39" fillId="0" borderId="6" xfId="15" applyFont="1" applyBorder="1" applyAlignment="1">
      <alignment horizontal="center" vertical="center" wrapText="1"/>
    </xf>
    <xf numFmtId="0" fontId="39" fillId="0" borderId="26" xfId="15" applyFont="1" applyBorder="1" applyAlignment="1">
      <alignment horizontal="center" vertical="center" wrapText="1"/>
    </xf>
    <xf numFmtId="0" fontId="34" fillId="13" borderId="36" xfId="15" applyFont="1" applyFill="1" applyBorder="1"/>
    <xf numFmtId="0" fontId="39" fillId="15" borderId="25" xfId="15" applyFont="1" applyFill="1" applyBorder="1" applyAlignment="1">
      <alignment horizontal="center" vertical="center" wrapText="1"/>
    </xf>
    <xf numFmtId="0" fontId="39" fillId="15" borderId="6" xfId="15" applyFont="1" applyFill="1" applyBorder="1" applyAlignment="1">
      <alignment horizontal="center" vertical="center" wrapText="1"/>
    </xf>
    <xf numFmtId="0" fontId="39" fillId="15" borderId="26" xfId="15" applyFont="1" applyFill="1" applyBorder="1" applyAlignment="1">
      <alignment horizontal="center" vertical="center" wrapText="1"/>
    </xf>
    <xf numFmtId="0" fontId="40" fillId="0" borderId="26" xfId="15" applyFont="1" applyBorder="1" applyAlignment="1">
      <alignment horizontal="center" vertical="center" wrapText="1"/>
    </xf>
    <xf numFmtId="0" fontId="40" fillId="0" borderId="0" xfId="15" applyFont="1" applyAlignment="1">
      <alignment horizontal="center" vertical="center" wrapText="1"/>
    </xf>
    <xf numFmtId="0" fontId="39" fillId="0" borderId="37" xfId="15" applyFont="1" applyBorder="1" applyAlignment="1">
      <alignment horizontal="center" vertical="center" wrapText="1"/>
    </xf>
    <xf numFmtId="0" fontId="39" fillId="0" borderId="38" xfId="15" applyFont="1" applyBorder="1" applyAlignment="1">
      <alignment horizontal="left" vertical="center" wrapText="1"/>
    </xf>
    <xf numFmtId="0" fontId="39" fillId="0" borderId="27" xfId="15" applyFont="1" applyBorder="1" applyAlignment="1">
      <alignment horizontal="left" vertical="center" wrapText="1"/>
    </xf>
    <xf numFmtId="0" fontId="39" fillId="0" borderId="39" xfId="15" applyFont="1" applyBorder="1" applyAlignment="1">
      <alignment horizontal="left" vertical="center" wrapText="1"/>
    </xf>
    <xf numFmtId="0" fontId="39" fillId="0" borderId="16" xfId="15" applyFont="1" applyBorder="1" applyAlignment="1">
      <alignment horizontal="center" vertical="center" wrapText="1"/>
    </xf>
    <xf numFmtId="0" fontId="39" fillId="0" borderId="0" xfId="15" applyFont="1" applyAlignment="1">
      <alignment horizontal="left" vertical="center"/>
    </xf>
    <xf numFmtId="0" fontId="39" fillId="0" borderId="0" xfId="15" applyFont="1" applyAlignment="1">
      <alignment horizontal="left" vertical="center" wrapText="1"/>
    </xf>
    <xf numFmtId="0" fontId="42" fillId="0" borderId="3" xfId="15" applyFont="1" applyBorder="1" applyAlignment="1">
      <alignment horizontal="center" vertical="center" wrapText="1"/>
    </xf>
    <xf numFmtId="0" fontId="42" fillId="0" borderId="26" xfId="15" applyFont="1" applyBorder="1" applyAlignment="1">
      <alignment horizontal="center" vertical="center" wrapText="1"/>
    </xf>
    <xf numFmtId="0" fontId="39" fillId="0" borderId="40" xfId="15" applyFont="1" applyBorder="1" applyAlignment="1">
      <alignment horizontal="center" vertical="center" wrapText="1"/>
    </xf>
    <xf numFmtId="0" fontId="39" fillId="0" borderId="41" xfId="15" applyFont="1" applyBorder="1" applyAlignment="1">
      <alignment horizontal="center" vertical="center" wrapText="1"/>
    </xf>
    <xf numFmtId="0" fontId="34" fillId="13" borderId="22" xfId="15" applyFont="1" applyFill="1" applyBorder="1"/>
    <xf numFmtId="0" fontId="39" fillId="0" borderId="28" xfId="15" applyFont="1" applyBorder="1" applyAlignment="1">
      <alignment horizontal="center" vertical="center" wrapText="1"/>
    </xf>
    <xf numFmtId="0" fontId="39" fillId="0" borderId="29" xfId="15" applyFont="1" applyBorder="1" applyAlignment="1">
      <alignment horizontal="center" vertical="center" wrapText="1"/>
    </xf>
    <xf numFmtId="43" fontId="34" fillId="11" borderId="22" xfId="1" applyFont="1" applyFill="1" applyBorder="1"/>
    <xf numFmtId="0" fontId="40" fillId="11" borderId="3" xfId="15" applyFont="1" applyFill="1" applyBorder="1" applyAlignment="1">
      <alignment horizontal="center" vertical="center" wrapText="1"/>
    </xf>
    <xf numFmtId="0" fontId="40" fillId="11" borderId="26" xfId="15" applyFont="1" applyFill="1" applyBorder="1" applyAlignment="1">
      <alignment horizontal="center" vertical="center" wrapText="1"/>
    </xf>
    <xf numFmtId="2" fontId="39" fillId="0" borderId="35" xfId="15" applyNumberFormat="1" applyFont="1" applyBorder="1" applyAlignment="1">
      <alignment horizontal="center" vertical="center" wrapText="1"/>
    </xf>
    <xf numFmtId="0" fontId="39" fillId="0" borderId="3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39" fillId="0" borderId="5" xfId="0" applyFont="1" applyBorder="1" applyAlignment="1">
      <alignment horizontal="left" vertical="center" wrapText="1"/>
    </xf>
    <xf numFmtId="0" fontId="39" fillId="0" borderId="42" xfId="15" applyFont="1" applyBorder="1" applyAlignment="1">
      <alignment horizontal="center" vertical="center" wrapText="1"/>
    </xf>
    <xf numFmtId="0" fontId="39" fillId="0" borderId="43" xfId="15" applyFont="1" applyBorder="1" applyAlignment="1">
      <alignment horizontal="center" vertical="center" wrapText="1"/>
    </xf>
    <xf numFmtId="0" fontId="39" fillId="0" borderId="0" xfId="15" applyFont="1" applyAlignment="1">
      <alignment horizontal="center" vertical="center" wrapText="1"/>
    </xf>
    <xf numFmtId="0" fontId="43" fillId="0" borderId="35" xfId="15" applyFont="1" applyBorder="1" applyAlignment="1">
      <alignment horizontal="center" vertical="center" wrapText="1"/>
    </xf>
    <xf numFmtId="0" fontId="39" fillId="0" borderId="25" xfId="15" applyFont="1" applyBorder="1" applyAlignment="1">
      <alignment horizontal="center" vertical="center" wrapText="1"/>
    </xf>
    <xf numFmtId="0" fontId="39" fillId="0" borderId="6" xfId="15" applyFont="1" applyBorder="1" applyAlignment="1">
      <alignment horizontal="left" vertical="center" wrapText="1"/>
    </xf>
    <xf numFmtId="0" fontId="40" fillId="0" borderId="6" xfId="15" applyFont="1" applyBorder="1" applyAlignment="1">
      <alignment horizontal="center" vertical="center" wrapText="1"/>
    </xf>
    <xf numFmtId="0" fontId="40" fillId="0" borderId="26" xfId="15" applyFont="1" applyBorder="1" applyAlignment="1">
      <alignment horizontal="center" vertical="center" wrapText="1"/>
    </xf>
    <xf numFmtId="179" fontId="39" fillId="0" borderId="35" xfId="15" applyNumberFormat="1" applyFont="1" applyBorder="1" applyAlignment="1">
      <alignment horizontal="center" vertical="center" wrapText="1"/>
    </xf>
    <xf numFmtId="0" fontId="39" fillId="17" borderId="35" xfId="15" applyFont="1" applyFill="1" applyBorder="1" applyAlignment="1">
      <alignment horizontal="center" vertical="center" wrapText="1"/>
    </xf>
    <xf numFmtId="0" fontId="39" fillId="17" borderId="3" xfId="15" applyFont="1" applyFill="1" applyBorder="1" applyAlignment="1">
      <alignment horizontal="left" vertical="center" wrapText="1"/>
    </xf>
    <xf numFmtId="0" fontId="39" fillId="17" borderId="6" xfId="15" applyFont="1" applyFill="1" applyBorder="1" applyAlignment="1">
      <alignment horizontal="left" vertical="center" wrapText="1"/>
    </xf>
    <xf numFmtId="0" fontId="39" fillId="17" borderId="5" xfId="15" applyFont="1" applyFill="1" applyBorder="1" applyAlignment="1">
      <alignment horizontal="left" vertical="center" wrapText="1"/>
    </xf>
    <xf numFmtId="0" fontId="40" fillId="17" borderId="3" xfId="15" applyFont="1" applyFill="1" applyBorder="1" applyAlignment="1">
      <alignment horizontal="center" vertical="center" wrapText="1"/>
    </xf>
    <xf numFmtId="0" fontId="40" fillId="17" borderId="5" xfId="15" applyFont="1" applyFill="1" applyBorder="1" applyAlignment="1">
      <alignment horizontal="center" vertical="center" wrapText="1"/>
    </xf>
    <xf numFmtId="0" fontId="37" fillId="17" borderId="3" xfId="15" applyFont="1" applyFill="1" applyBorder="1" applyAlignment="1">
      <alignment horizontal="center" vertical="center" wrapText="1"/>
    </xf>
    <xf numFmtId="0" fontId="37" fillId="17" borderId="5" xfId="15" applyFont="1" applyFill="1" applyBorder="1" applyAlignment="1">
      <alignment horizontal="center" vertical="center" wrapText="1"/>
    </xf>
    <xf numFmtId="0" fontId="40" fillId="17" borderId="26" xfId="15" applyFont="1" applyFill="1" applyBorder="1" applyAlignment="1">
      <alignment horizontal="center" vertical="center" wrapText="1"/>
    </xf>
    <xf numFmtId="0" fontId="31" fillId="0" borderId="0" xfId="15" applyFont="1" applyAlignment="1">
      <alignment vertical="center"/>
    </xf>
    <xf numFmtId="43" fontId="34" fillId="18" borderId="36" xfId="16" applyFont="1" applyFill="1" applyBorder="1" applyAlignment="1">
      <alignment vertical="center"/>
    </xf>
    <xf numFmtId="43" fontId="31" fillId="0" borderId="0" xfId="1" applyFont="1"/>
    <xf numFmtId="0" fontId="40" fillId="11" borderId="3" xfId="0" applyFont="1" applyFill="1" applyBorder="1" applyAlignment="1">
      <alignment horizontal="center" vertical="center" wrapText="1"/>
    </xf>
    <xf numFmtId="0" fontId="40" fillId="11" borderId="26" xfId="0" applyFont="1" applyFill="1" applyBorder="1" applyAlignment="1">
      <alignment horizontal="center" vertical="center" wrapText="1"/>
    </xf>
    <xf numFmtId="0" fontId="43" fillId="0" borderId="3" xfId="15" applyFont="1" applyBorder="1" applyAlignment="1">
      <alignment horizontal="left" vertical="center" wrapText="1"/>
    </xf>
    <xf numFmtId="0" fontId="43" fillId="0" borderId="6" xfId="15" applyFont="1" applyBorder="1" applyAlignment="1">
      <alignment horizontal="left" vertical="center" wrapText="1"/>
    </xf>
    <xf numFmtId="0" fontId="43" fillId="0" borderId="5" xfId="15" applyFont="1" applyBorder="1" applyAlignment="1">
      <alignment horizontal="left" vertical="center" wrapText="1"/>
    </xf>
    <xf numFmtId="0" fontId="42" fillId="0" borderId="5" xfId="15" applyFont="1" applyBorder="1" applyAlignment="1">
      <alignment horizontal="center" vertical="center" wrapText="1"/>
    </xf>
    <xf numFmtId="0" fontId="45" fillId="0" borderId="3" xfId="15" applyFont="1" applyBorder="1" applyAlignment="1">
      <alignment horizontal="center" vertical="center" wrapText="1"/>
    </xf>
    <xf numFmtId="0" fontId="45" fillId="0" borderId="5" xfId="15" applyFont="1" applyBorder="1" applyAlignment="1">
      <alignment horizontal="center" vertical="center" wrapText="1"/>
    </xf>
    <xf numFmtId="0" fontId="34" fillId="13" borderId="44" xfId="15" applyFont="1" applyFill="1" applyBorder="1"/>
    <xf numFmtId="0" fontId="39" fillId="19" borderId="35" xfId="15" applyFont="1" applyFill="1" applyBorder="1" applyAlignment="1">
      <alignment horizontal="center" vertical="center" wrapText="1"/>
    </xf>
    <xf numFmtId="0" fontId="39" fillId="19" borderId="3" xfId="15" applyFont="1" applyFill="1" applyBorder="1" applyAlignment="1">
      <alignment horizontal="left" vertical="center" wrapText="1"/>
    </xf>
    <xf numFmtId="0" fontId="39" fillId="19" borderId="6" xfId="15" applyFont="1" applyFill="1" applyBorder="1" applyAlignment="1">
      <alignment horizontal="left" vertical="center" wrapText="1"/>
    </xf>
    <xf numFmtId="0" fontId="39" fillId="19" borderId="5" xfId="15" applyFont="1" applyFill="1" applyBorder="1" applyAlignment="1">
      <alignment horizontal="left" vertical="center" wrapText="1"/>
    </xf>
    <xf numFmtId="0" fontId="40" fillId="19" borderId="3" xfId="15" applyFont="1" applyFill="1" applyBorder="1" applyAlignment="1">
      <alignment horizontal="center" vertical="center" wrapText="1"/>
    </xf>
    <xf numFmtId="0" fontId="40" fillId="19" borderId="5" xfId="15" applyFont="1" applyFill="1" applyBorder="1" applyAlignment="1">
      <alignment horizontal="center" vertical="center" wrapText="1"/>
    </xf>
    <xf numFmtId="0" fontId="37" fillId="19" borderId="3" xfId="15" applyFont="1" applyFill="1" applyBorder="1" applyAlignment="1">
      <alignment horizontal="center" vertical="center" wrapText="1"/>
    </xf>
    <xf numFmtId="0" fontId="37" fillId="19" borderId="5" xfId="15" applyFont="1" applyFill="1" applyBorder="1" applyAlignment="1">
      <alignment horizontal="center" vertical="center" wrapText="1"/>
    </xf>
    <xf numFmtId="0" fontId="39" fillId="7" borderId="35" xfId="15" applyFont="1" applyFill="1" applyBorder="1" applyAlignment="1">
      <alignment horizontal="center" vertical="center" wrapText="1"/>
    </xf>
    <xf numFmtId="0" fontId="39" fillId="7" borderId="3" xfId="15" applyFont="1" applyFill="1" applyBorder="1" applyAlignment="1">
      <alignment horizontal="left" vertical="center" wrapText="1"/>
    </xf>
    <xf numFmtId="0" fontId="39" fillId="7" borderId="6" xfId="15" applyFont="1" applyFill="1" applyBorder="1" applyAlignment="1">
      <alignment horizontal="left" vertical="center" wrapText="1"/>
    </xf>
    <xf numFmtId="0" fontId="39" fillId="7" borderId="5" xfId="15" applyFont="1" applyFill="1" applyBorder="1" applyAlignment="1">
      <alignment horizontal="left" vertical="center" wrapText="1"/>
    </xf>
    <xf numFmtId="0" fontId="40" fillId="7" borderId="3" xfId="15" applyFont="1" applyFill="1" applyBorder="1" applyAlignment="1">
      <alignment horizontal="center" vertical="center" wrapText="1"/>
    </xf>
    <xf numFmtId="0" fontId="40" fillId="7" borderId="5" xfId="15" applyFont="1" applyFill="1" applyBorder="1" applyAlignment="1">
      <alignment horizontal="center" vertical="center" wrapText="1"/>
    </xf>
    <xf numFmtId="0" fontId="37" fillId="7" borderId="3" xfId="15" applyFont="1" applyFill="1" applyBorder="1" applyAlignment="1">
      <alignment horizontal="center" vertical="center" wrapText="1"/>
    </xf>
    <xf numFmtId="0" fontId="37" fillId="7" borderId="5" xfId="15" applyFont="1" applyFill="1" applyBorder="1" applyAlignment="1">
      <alignment horizontal="center" vertical="center" wrapText="1"/>
    </xf>
    <xf numFmtId="0" fontId="39" fillId="7" borderId="25" xfId="15" applyFont="1" applyFill="1" applyBorder="1" applyAlignment="1">
      <alignment horizontal="center" vertical="center" wrapText="1"/>
    </xf>
    <xf numFmtId="0" fontId="39" fillId="7" borderId="6" xfId="15" applyFont="1" applyFill="1" applyBorder="1" applyAlignment="1">
      <alignment horizontal="center" vertical="center" wrapText="1"/>
    </xf>
    <xf numFmtId="0" fontId="39" fillId="7" borderId="26" xfId="15" applyFont="1" applyFill="1" applyBorder="1" applyAlignment="1">
      <alignment horizontal="center" vertical="center" wrapText="1"/>
    </xf>
    <xf numFmtId="2" fontId="39" fillId="7" borderId="35" xfId="15" applyNumberFormat="1" applyFont="1" applyFill="1" applyBorder="1" applyAlignment="1">
      <alignment horizontal="center" vertical="center" wrapText="1"/>
    </xf>
    <xf numFmtId="0" fontId="39" fillId="16" borderId="3" xfId="15" applyFont="1" applyFill="1" applyBorder="1" applyAlignment="1">
      <alignment horizontal="left" vertical="center" wrapText="1"/>
    </xf>
    <xf numFmtId="0" fontId="39" fillId="16" borderId="6" xfId="15" applyFont="1" applyFill="1" applyBorder="1" applyAlignment="1">
      <alignment horizontal="left" vertical="center" wrapText="1"/>
    </xf>
    <xf numFmtId="0" fontId="39" fillId="16" borderId="5" xfId="15" applyFont="1" applyFill="1" applyBorder="1" applyAlignment="1">
      <alignment horizontal="left" vertical="center" wrapText="1"/>
    </xf>
    <xf numFmtId="0" fontId="40" fillId="7" borderId="26" xfId="15" applyFont="1" applyFill="1" applyBorder="1" applyAlignment="1">
      <alignment horizontal="center" vertical="center" wrapText="1"/>
    </xf>
    <xf numFmtId="0" fontId="39" fillId="0" borderId="3" xfId="15" applyFont="1" applyBorder="1" applyAlignment="1">
      <alignment horizontal="left" vertical="center" wrapText="1"/>
    </xf>
    <xf numFmtId="0" fontId="39" fillId="0" borderId="5" xfId="15" applyFont="1" applyBorder="1" applyAlignment="1">
      <alignment horizontal="left" vertical="center" wrapText="1"/>
    </xf>
    <xf numFmtId="0" fontId="39" fillId="0" borderId="26" xfId="15" applyFont="1" applyBorder="1" applyAlignment="1">
      <alignment horizontal="left" vertical="center" wrapText="1"/>
    </xf>
    <xf numFmtId="0" fontId="39" fillId="0" borderId="6" xfId="15" applyFont="1" applyBorder="1" applyAlignment="1">
      <alignment horizontal="center" vertical="center" wrapText="1"/>
    </xf>
    <xf numFmtId="0" fontId="39" fillId="0" borderId="26" xfId="15" applyFont="1" applyBorder="1" applyAlignment="1">
      <alignment horizontal="center" vertical="center" wrapText="1"/>
    </xf>
    <xf numFmtId="0" fontId="39" fillId="0" borderId="42" xfId="15" applyFont="1" applyBorder="1" applyAlignment="1">
      <alignment horizontal="center" vertical="center" wrapText="1"/>
    </xf>
    <xf numFmtId="0" fontId="39" fillId="0" borderId="43" xfId="15" applyFont="1" applyBorder="1" applyAlignment="1">
      <alignment horizontal="left" vertical="center" wrapText="1"/>
    </xf>
  </cellXfs>
  <cellStyles count="17">
    <cellStyle name="Comma" xfId="1" builtinId="3"/>
    <cellStyle name="Comma 13 2 2" xfId="11" xr:uid="{003191D4-00A6-4099-B0DD-C219EE41FDEB}"/>
    <cellStyle name="Comma 5" xfId="8" xr:uid="{0E24B19A-5704-4776-80ED-A6BA541D5318}"/>
    <cellStyle name="Comma 6" xfId="16" xr:uid="{BFF8F411-948A-4F33-BB49-5CFEBBCAD8E7}"/>
    <cellStyle name="Millares 19 2" xfId="7" xr:uid="{8FE3234E-6BFB-4EB6-B1DD-1205E9641AA1}"/>
    <cellStyle name="Millares 6" xfId="5" xr:uid="{E14C2762-66EF-4A91-869B-760B449FEF0A}"/>
    <cellStyle name="Millares_Analisis HPC" xfId="10" xr:uid="{E410CF0D-9C05-496E-8849-28BCDC369E9A}"/>
    <cellStyle name="Millares_Analisis HPC 2 2" xfId="9" xr:uid="{64F6547D-D773-4CF1-A75B-5B43448E876C}"/>
    <cellStyle name="Millares_Analisis HPC 3 2" xfId="4" xr:uid="{253C5A9C-7F17-4632-A383-C1C8FBEB9B1F}"/>
    <cellStyle name="Millares_Lista de Precio 2 2" xfId="14" xr:uid="{1B12E74C-E82C-4285-A6ED-8AE62F2E941E}"/>
    <cellStyle name="Normal" xfId="0" builtinId="0"/>
    <cellStyle name="Normal 10" xfId="3" xr:uid="{60351823-A636-41A9-919E-4A5AEFF5F7A1}"/>
    <cellStyle name="Normal 2" xfId="15" xr:uid="{690D5BD8-1BE4-46E2-AF9E-FB94272539B5}"/>
    <cellStyle name="Normal 2 3" xfId="12" xr:uid="{596A3EA1-1A25-4265-B68B-831FB11E900D}"/>
    <cellStyle name="Normal 230" xfId="13" xr:uid="{79F4998C-0C6B-4336-B280-1F50A833E3D4}"/>
    <cellStyle name="Normal 8 2 3" xfId="6" xr:uid="{29D188B9-7A79-45FA-9431-71225BF294B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133350</xdr:rowOff>
    </xdr:from>
    <xdr:to>
      <xdr:col>1</xdr:col>
      <xdr:colOff>1247775</xdr:colOff>
      <xdr:row>4</xdr:row>
      <xdr:rowOff>66675</xdr:rowOff>
    </xdr:to>
    <xdr:pic>
      <xdr:nvPicPr>
        <xdr:cNvPr id="2" name="Picture 6" descr="DUPLA 3 copy">
          <a:extLst>
            <a:ext uri="{FF2B5EF4-FFF2-40B4-BE49-F238E27FC236}">
              <a16:creationId xmlns:a16="http://schemas.microsoft.com/office/drawing/2014/main" id="{E0F8B147-CDBE-4C9D-B5EF-CCB326C72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6250" r="40625" b="75000"/>
        <a:stretch>
          <a:fillRect/>
        </a:stretch>
      </xdr:blipFill>
      <xdr:spPr bwMode="auto">
        <a:xfrm>
          <a:off x="114300" y="323850"/>
          <a:ext cx="1674495" cy="527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217438</xdr:colOff>
      <xdr:row>0</xdr:row>
      <xdr:rowOff>120273</xdr:rowOff>
    </xdr:from>
    <xdr:to>
      <xdr:col>3</xdr:col>
      <xdr:colOff>307384</xdr:colOff>
      <xdr:row>6</xdr:row>
      <xdr:rowOff>3662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07FBAA-87CE-4009-8F0B-509265604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583" t="28449" r="10724" b="28871"/>
        <a:stretch/>
      </xdr:blipFill>
      <xdr:spPr>
        <a:xfrm>
          <a:off x="217438" y="120273"/>
          <a:ext cx="1621566" cy="980669"/>
        </a:xfrm>
        <a:prstGeom prst="rect">
          <a:avLst/>
        </a:prstGeom>
      </xdr:spPr>
    </xdr:pic>
    <xdr:clientData/>
  </xdr:twoCellAnchor>
  <xdr:twoCellAnchor>
    <xdr:from>
      <xdr:col>10</xdr:col>
      <xdr:colOff>291353</xdr:colOff>
      <xdr:row>1</xdr:row>
      <xdr:rowOff>59095</xdr:rowOff>
    </xdr:from>
    <xdr:to>
      <xdr:col>12</xdr:col>
      <xdr:colOff>537186</xdr:colOff>
      <xdr:row>3</xdr:row>
      <xdr:rowOff>44823</xdr:rowOff>
    </xdr:to>
    <xdr:pic>
      <xdr:nvPicPr>
        <xdr:cNvPr id="3" name="Picture 3" descr="Logo Constructora Dupla, SRL">
          <a:extLst>
            <a:ext uri="{FF2B5EF4-FFF2-40B4-BE49-F238E27FC236}">
              <a16:creationId xmlns:a16="http://schemas.microsoft.com/office/drawing/2014/main" id="{DA4A680F-D14D-4962-B262-2C65F860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6453" y="462955"/>
          <a:ext cx="1571713" cy="793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UEVO%20BORRADOR%20MACRO%20ENERO2026%20(1).xlsm" TargetMode="External"/><Relationship Id="rId2" Type="http://schemas.openxmlformats.org/officeDocument/2006/relationships/externalLinkPath" Target="file:///C:\Users\chris\Downloads\NUEVO%20BORRADOR%20MACRO%20ENERO2026%20(1).xlsm" TargetMode="External"/><Relationship Id="rId1" Type="http://schemas.openxmlformats.org/officeDocument/2006/relationships/externalLinkPath" Target="/Users/chris/Downloads/NUEVO%20BORRADOR%20MACRO%20ENERO2026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ARRECIFE\ARRECIFE%20B1\3.%20PRESUPUESTO\3.1%20EN%20PROCESO\Presupuesto%20ARRECIFE%20B-1,%2030MAY2025.xlsm" TargetMode="External"/><Relationship Id="rId1" Type="http://schemas.openxmlformats.org/officeDocument/2006/relationships/externalLinkPath" Target="file:///K:\ARRECIFE\ARRECIFE%20B1\3.%20PRESUPUESTO\3.1%20EN%20PROCESO\Presupuesto%20ARRECIFE%20B-1,%2030MAY2025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ARRECIFE\ARRECIFE%20SB4\3.%20PRESUPUESTO\3.1%20EN%20PROCESO\ADICIONALES\ARRECIFE%20SB-4%20PRES%20EST.%20TERM.13-11-23%20(actualizado).xlsx" TargetMode="External"/><Relationship Id="rId1" Type="http://schemas.openxmlformats.org/officeDocument/2006/relationships/externalLinkPath" Target="file:///K:\ARRECIFE\ARRECIFE%20SB4\3.%20PRESUPUESTO\3.1%20EN%20PROCESO\ADICIONALES\ARRECIFE%20SB-4%20PRES%20EST.%20TERM.13-11-23%20(actualiz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de precios MAY23"/>
      <sheetName val="MO MAY23"/>
      <sheetName val="Analisis MAY23"/>
      <sheetName val="PUERTAS Y VENTANAS (ESTIMADO)"/>
      <sheetName val="CONTROL ADICIONAL"/>
      <sheetName val="RESUMEN GENERAL "/>
      <sheetName val="PRESUPUESTO "/>
      <sheetName val="Analisis MAY25"/>
      <sheetName val="Lista de precios MAY25"/>
      <sheetName val="MO MAY25"/>
      <sheetName val="Tabla de contenido"/>
      <sheetName val="1. Trabajos preliminares"/>
      <sheetName val="2. Zapatas de columnas y muros"/>
      <sheetName val="2.1 Análisis de zapatas"/>
      <sheetName val="3. Columnas y muros de hormigón"/>
      <sheetName val="3.1 Complemento columnas y MH"/>
      <sheetName val="3.2 Análisis MH"/>
      <sheetName val="3.3 Análisis de MH"/>
      <sheetName val="3.2 Análisis de columnas"/>
      <sheetName val="4. Tabla puertas y ventanas"/>
      <sheetName val="5. Metraje muros de bloques"/>
      <sheetName val="6. Movimientos de tierra"/>
      <sheetName val="7. Vigas y dinteles"/>
      <sheetName val="7.1 Complemento vigas y dintele"/>
      <sheetName val="7.2 Análisis vigas y dinteles"/>
      <sheetName val="8. Losas y muros macizos"/>
      <sheetName val="8.1 Complemento losas macizas"/>
      <sheetName val="9. Losas aligeradas"/>
      <sheetName val="9.1 Complemeto losas aligeradas"/>
      <sheetName val="10. Estructura metálica"/>
      <sheetName val="11. Estructura de madera"/>
      <sheetName val="12. Terminaciones de muros"/>
      <sheetName val="13. Terminaciones de techos"/>
      <sheetName val="14. Terminacion estruc ligera"/>
      <sheetName val="15. Terminacion de pisos"/>
      <sheetName val="16.Terminación escaleras barand"/>
      <sheetName val="17. Revestimientos"/>
      <sheetName val="17.1 Complemento revestimientos"/>
      <sheetName val="18. Muebles y topes"/>
      <sheetName val="19. Miscelaneos"/>
      <sheetName val="20. Piscina y espejo de agua"/>
      <sheetName val="21. Gazebo"/>
      <sheetName val="Resumen de acero y hormigon"/>
      <sheetName val="22. Áreas externas"/>
      <sheetName val="MANGLE 47"/>
      <sheetName val="Analisis"/>
      <sheetName val="Listado de precios"/>
      <sheetName val="Mano de obra"/>
      <sheetName val="Sheet1"/>
      <sheetName val="Equipos sanit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E9">
            <v>3221.6681776971895</v>
          </cell>
        </row>
        <row r="10">
          <cell r="E10">
            <v>196.13338877500001</v>
          </cell>
        </row>
        <row r="11">
          <cell r="E11">
            <v>495.51645305</v>
          </cell>
        </row>
        <row r="12">
          <cell r="G12">
            <v>297.25341649999996</v>
          </cell>
        </row>
        <row r="13">
          <cell r="E13">
            <v>207</v>
          </cell>
        </row>
        <row r="15">
          <cell r="E15">
            <v>79.001000000000005</v>
          </cell>
        </row>
        <row r="16">
          <cell r="E16">
            <v>79.001000000000005</v>
          </cell>
        </row>
        <row r="19">
          <cell r="E19">
            <v>1700</v>
          </cell>
        </row>
        <row r="20">
          <cell r="E20">
            <v>1700</v>
          </cell>
        </row>
        <row r="21">
          <cell r="E21">
            <v>1470</v>
          </cell>
        </row>
        <row r="22">
          <cell r="E22">
            <v>820.69</v>
          </cell>
        </row>
        <row r="26">
          <cell r="E26">
            <v>44</v>
          </cell>
        </row>
        <row r="27">
          <cell r="E27">
            <v>56.7</v>
          </cell>
        </row>
        <row r="28">
          <cell r="E28">
            <v>124.9974</v>
          </cell>
        </row>
        <row r="29">
          <cell r="E29">
            <v>240</v>
          </cell>
        </row>
        <row r="32">
          <cell r="E32">
            <v>1417.5</v>
          </cell>
        </row>
        <row r="33">
          <cell r="E33">
            <v>540.75</v>
          </cell>
        </row>
        <row r="34">
          <cell r="E34">
            <v>250</v>
          </cell>
        </row>
        <row r="35">
          <cell r="E35">
            <v>507</v>
          </cell>
        </row>
        <row r="40">
          <cell r="E40">
            <v>9171.9542999999994</v>
          </cell>
        </row>
        <row r="43">
          <cell r="E43">
            <v>8872.42</v>
          </cell>
        </row>
        <row r="44">
          <cell r="E44">
            <v>9027</v>
          </cell>
        </row>
        <row r="45">
          <cell r="E45">
            <v>9449.7350000000006</v>
          </cell>
        </row>
        <row r="49">
          <cell r="E49">
            <v>643.75</v>
          </cell>
        </row>
        <row r="50">
          <cell r="E50">
            <v>433.65000000000003</v>
          </cell>
        </row>
        <row r="51">
          <cell r="E51">
            <v>557.55000000000007</v>
          </cell>
        </row>
        <row r="54">
          <cell r="E54">
            <v>59.2</v>
          </cell>
        </row>
        <row r="57">
          <cell r="E57">
            <v>63</v>
          </cell>
        </row>
        <row r="60">
          <cell r="E60">
            <v>2066.1799999999998</v>
          </cell>
        </row>
        <row r="61">
          <cell r="E61">
            <v>1944.2164979999998</v>
          </cell>
        </row>
        <row r="63">
          <cell r="E63">
            <v>2209.1370000000002</v>
          </cell>
        </row>
        <row r="65">
          <cell r="E65">
            <v>895</v>
          </cell>
        </row>
        <row r="83">
          <cell r="E83">
            <v>1344.0671999999997</v>
          </cell>
        </row>
        <row r="85">
          <cell r="E85">
            <v>1791.2154166666667</v>
          </cell>
        </row>
        <row r="114">
          <cell r="E114">
            <v>1523.97</v>
          </cell>
        </row>
        <row r="116">
          <cell r="E116">
            <v>1523.97</v>
          </cell>
        </row>
        <row r="117">
          <cell r="E117">
            <v>984.68639999999994</v>
          </cell>
        </row>
        <row r="137">
          <cell r="E137">
            <v>3658.4719999999998</v>
          </cell>
        </row>
        <row r="138">
          <cell r="E138">
            <v>1350</v>
          </cell>
        </row>
        <row r="139">
          <cell r="E139">
            <v>556.95999999999992</v>
          </cell>
        </row>
        <row r="140">
          <cell r="E140">
            <v>3983.88</v>
          </cell>
        </row>
        <row r="141">
          <cell r="E141">
            <v>80.850000000000009</v>
          </cell>
        </row>
        <row r="142">
          <cell r="E142">
            <v>312.5</v>
          </cell>
        </row>
        <row r="144">
          <cell r="E144">
            <v>3135.0270679999999</v>
          </cell>
        </row>
        <row r="145">
          <cell r="E145">
            <v>3271.4678719999997</v>
          </cell>
        </row>
        <row r="154">
          <cell r="E154">
            <v>656.23635000000002</v>
          </cell>
        </row>
        <row r="156">
          <cell r="E156">
            <v>55.8</v>
          </cell>
        </row>
        <row r="159">
          <cell r="E159">
            <v>0.65</v>
          </cell>
        </row>
        <row r="161">
          <cell r="E161">
            <v>367.5</v>
          </cell>
        </row>
        <row r="162">
          <cell r="E162">
            <v>9292.5</v>
          </cell>
        </row>
        <row r="166">
          <cell r="E166">
            <v>554.29</v>
          </cell>
        </row>
        <row r="167">
          <cell r="E167">
            <v>603.15</v>
          </cell>
        </row>
        <row r="168">
          <cell r="E168">
            <v>1627.86</v>
          </cell>
        </row>
        <row r="169">
          <cell r="E169">
            <v>172.65</v>
          </cell>
        </row>
        <row r="170">
          <cell r="E170">
            <v>891.81</v>
          </cell>
        </row>
        <row r="177">
          <cell r="E177">
            <v>2729.5170000000003</v>
          </cell>
        </row>
        <row r="179">
          <cell r="E179">
            <v>3629.7200000000003</v>
          </cell>
        </row>
        <row r="181">
          <cell r="E181">
            <v>72</v>
          </cell>
        </row>
        <row r="190">
          <cell r="E190">
            <v>1859.9985999999999</v>
          </cell>
        </row>
        <row r="191">
          <cell r="E191">
            <v>2520</v>
          </cell>
        </row>
        <row r="192">
          <cell r="E192">
            <v>857.38800000000003</v>
          </cell>
        </row>
        <row r="193">
          <cell r="E193">
            <v>142.00119999999998</v>
          </cell>
        </row>
        <row r="194">
          <cell r="E194">
            <v>139.99519999999998</v>
          </cell>
        </row>
        <row r="195">
          <cell r="E195">
            <v>139.99519999999998</v>
          </cell>
        </row>
        <row r="196">
          <cell r="E196">
            <v>3250.0031999999997</v>
          </cell>
        </row>
        <row r="197">
          <cell r="E197">
            <v>546</v>
          </cell>
        </row>
        <row r="200">
          <cell r="E200">
            <v>389.55</v>
          </cell>
        </row>
      </sheetData>
      <sheetData sheetId="9">
        <row r="20">
          <cell r="N20">
            <v>1760</v>
          </cell>
        </row>
        <row r="28">
          <cell r="N28">
            <v>484</v>
          </cell>
        </row>
        <row r="29">
          <cell r="N29">
            <v>302.5</v>
          </cell>
        </row>
        <row r="30">
          <cell r="N30">
            <v>0</v>
          </cell>
        </row>
        <row r="35">
          <cell r="N35">
            <v>235.75</v>
          </cell>
        </row>
        <row r="36">
          <cell r="N36">
            <v>247.25</v>
          </cell>
        </row>
        <row r="38">
          <cell r="N38">
            <v>253</v>
          </cell>
        </row>
        <row r="43">
          <cell r="N43">
            <v>672.75</v>
          </cell>
        </row>
        <row r="65">
          <cell r="N65">
            <v>230</v>
          </cell>
        </row>
        <row r="70">
          <cell r="N70">
            <v>258.75</v>
          </cell>
        </row>
        <row r="90">
          <cell r="N90">
            <v>143.75</v>
          </cell>
        </row>
        <row r="91">
          <cell r="N91">
            <v>230</v>
          </cell>
        </row>
        <row r="94">
          <cell r="N94">
            <v>270.25</v>
          </cell>
        </row>
        <row r="96">
          <cell r="N96">
            <v>310.5</v>
          </cell>
        </row>
        <row r="97">
          <cell r="N97">
            <v>57.5</v>
          </cell>
        </row>
        <row r="98">
          <cell r="N98">
            <v>34.5</v>
          </cell>
        </row>
        <row r="99">
          <cell r="N99">
            <v>80.5</v>
          </cell>
        </row>
        <row r="107">
          <cell r="N107">
            <v>16100</v>
          </cell>
        </row>
        <row r="108">
          <cell r="N108">
            <v>287.5</v>
          </cell>
        </row>
        <row r="123">
          <cell r="N123">
            <v>34.5</v>
          </cell>
        </row>
        <row r="124">
          <cell r="N124">
            <v>37.950000000000003</v>
          </cell>
        </row>
        <row r="125">
          <cell r="N125">
            <v>41.4</v>
          </cell>
        </row>
        <row r="127">
          <cell r="N127">
            <v>57.5</v>
          </cell>
        </row>
        <row r="129">
          <cell r="N129">
            <v>40.25</v>
          </cell>
        </row>
        <row r="133">
          <cell r="N133">
            <v>59.8</v>
          </cell>
        </row>
        <row r="137">
          <cell r="N137">
            <v>46</v>
          </cell>
        </row>
        <row r="147">
          <cell r="N147">
            <v>74.75</v>
          </cell>
        </row>
        <row r="150">
          <cell r="N150">
            <v>126.5</v>
          </cell>
        </row>
        <row r="151">
          <cell r="N151">
            <v>138</v>
          </cell>
        </row>
        <row r="152">
          <cell r="N152">
            <v>304.75</v>
          </cell>
        </row>
        <row r="153">
          <cell r="N153">
            <v>230</v>
          </cell>
        </row>
        <row r="154">
          <cell r="N154">
            <v>253</v>
          </cell>
        </row>
        <row r="162">
          <cell r="N162">
            <v>287.5</v>
          </cell>
        </row>
        <row r="163">
          <cell r="N163">
            <v>322</v>
          </cell>
        </row>
        <row r="167">
          <cell r="N167">
            <v>264.5</v>
          </cell>
        </row>
        <row r="171">
          <cell r="N171">
            <v>138</v>
          </cell>
        </row>
        <row r="172">
          <cell r="N172">
            <v>115</v>
          </cell>
        </row>
        <row r="177">
          <cell r="N177">
            <v>138</v>
          </cell>
        </row>
        <row r="193">
          <cell r="N193">
            <v>149.5</v>
          </cell>
        </row>
        <row r="200">
          <cell r="N200">
            <v>11500</v>
          </cell>
        </row>
        <row r="207">
          <cell r="N207">
            <v>1150</v>
          </cell>
        </row>
        <row r="209">
          <cell r="N209">
            <v>1472.6676937441644</v>
          </cell>
        </row>
        <row r="210">
          <cell r="N210">
            <v>1740.1164498531264</v>
          </cell>
        </row>
        <row r="211">
          <cell r="N211">
            <v>1096.4276388888889</v>
          </cell>
        </row>
        <row r="229">
          <cell r="N229">
            <v>69</v>
          </cell>
        </row>
        <row r="233">
          <cell r="N233">
            <v>316.25</v>
          </cell>
        </row>
        <row r="236">
          <cell r="N236">
            <v>19.55</v>
          </cell>
        </row>
        <row r="238">
          <cell r="N238">
            <v>40.25</v>
          </cell>
        </row>
        <row r="239">
          <cell r="N239">
            <v>120.75</v>
          </cell>
        </row>
        <row r="252">
          <cell r="N252">
            <v>120.75</v>
          </cell>
        </row>
        <row r="264">
          <cell r="N264">
            <v>448.5</v>
          </cell>
        </row>
        <row r="300">
          <cell r="N300">
            <v>920</v>
          </cell>
        </row>
        <row r="367">
          <cell r="N367">
            <v>523.25</v>
          </cell>
        </row>
        <row r="370">
          <cell r="N370">
            <v>345</v>
          </cell>
        </row>
        <row r="401">
          <cell r="N401">
            <v>2095.875</v>
          </cell>
        </row>
        <row r="405">
          <cell r="N405">
            <v>442.46249999999998</v>
          </cell>
        </row>
        <row r="412">
          <cell r="N412">
            <v>1437.5</v>
          </cell>
        </row>
        <row r="417">
          <cell r="N417">
            <v>391</v>
          </cell>
        </row>
        <row r="425">
          <cell r="N425">
            <v>310.5</v>
          </cell>
        </row>
        <row r="427">
          <cell r="N427">
            <v>155.25</v>
          </cell>
        </row>
        <row r="429">
          <cell r="N429">
            <v>85.962500000000006</v>
          </cell>
        </row>
        <row r="430">
          <cell r="N430">
            <v>99.1875</v>
          </cell>
        </row>
        <row r="434">
          <cell r="N434">
            <v>431.25</v>
          </cell>
        </row>
        <row r="435">
          <cell r="N435">
            <v>1725</v>
          </cell>
        </row>
        <row r="441">
          <cell r="N441">
            <v>3105</v>
          </cell>
        </row>
        <row r="450">
          <cell r="N450">
            <v>408.25</v>
          </cell>
        </row>
        <row r="454">
          <cell r="N454">
            <v>460</v>
          </cell>
        </row>
        <row r="476">
          <cell r="N476">
            <v>1029.25</v>
          </cell>
        </row>
        <row r="481">
          <cell r="N481">
            <v>408.25</v>
          </cell>
        </row>
        <row r="485">
          <cell r="N485">
            <v>598</v>
          </cell>
        </row>
        <row r="489">
          <cell r="N489">
            <v>442.75</v>
          </cell>
        </row>
        <row r="506">
          <cell r="N506">
            <v>977.5</v>
          </cell>
        </row>
        <row r="508">
          <cell r="N508">
            <v>1322.5</v>
          </cell>
        </row>
        <row r="509">
          <cell r="N509">
            <v>1437.5</v>
          </cell>
        </row>
        <row r="512">
          <cell r="N512">
            <v>155.25</v>
          </cell>
        </row>
        <row r="522">
          <cell r="N522">
            <v>253</v>
          </cell>
        </row>
        <row r="525">
          <cell r="N525">
            <v>224.25</v>
          </cell>
        </row>
        <row r="528">
          <cell r="N528">
            <v>310.5</v>
          </cell>
        </row>
        <row r="530">
          <cell r="N530">
            <v>207</v>
          </cell>
        </row>
        <row r="531">
          <cell r="N531">
            <v>92</v>
          </cell>
        </row>
        <row r="533">
          <cell r="N533">
            <v>11500</v>
          </cell>
        </row>
        <row r="534">
          <cell r="N534">
            <v>14950</v>
          </cell>
        </row>
        <row r="540">
          <cell r="N540">
            <v>2990</v>
          </cell>
        </row>
        <row r="541">
          <cell r="N541">
            <v>3220</v>
          </cell>
        </row>
        <row r="542">
          <cell r="N542">
            <v>3565</v>
          </cell>
        </row>
        <row r="543">
          <cell r="N543">
            <v>1610</v>
          </cell>
        </row>
        <row r="544">
          <cell r="N544">
            <v>1380</v>
          </cell>
        </row>
        <row r="545">
          <cell r="N545">
            <v>287.5</v>
          </cell>
        </row>
        <row r="561">
          <cell r="N561">
            <v>690</v>
          </cell>
        </row>
        <row r="562">
          <cell r="N562">
            <v>747.5</v>
          </cell>
        </row>
        <row r="563">
          <cell r="N563">
            <v>442.75</v>
          </cell>
        </row>
        <row r="566">
          <cell r="N566">
            <v>442.75</v>
          </cell>
        </row>
        <row r="567">
          <cell r="N567">
            <v>563.5</v>
          </cell>
        </row>
        <row r="568">
          <cell r="N568">
            <v>1035</v>
          </cell>
        </row>
        <row r="572">
          <cell r="N572">
            <v>632.5</v>
          </cell>
        </row>
        <row r="573">
          <cell r="N573">
            <v>362.25</v>
          </cell>
        </row>
        <row r="581">
          <cell r="N581">
            <v>258.75</v>
          </cell>
        </row>
        <row r="582">
          <cell r="N582">
            <v>230</v>
          </cell>
        </row>
        <row r="583">
          <cell r="N583">
            <v>230</v>
          </cell>
        </row>
        <row r="587">
          <cell r="N587">
            <v>40.25</v>
          </cell>
        </row>
        <row r="588">
          <cell r="N588">
            <v>40.25</v>
          </cell>
        </row>
        <row r="589">
          <cell r="N589">
            <v>80.5</v>
          </cell>
        </row>
        <row r="590">
          <cell r="N590">
            <v>80.5</v>
          </cell>
        </row>
        <row r="596">
          <cell r="N596">
            <v>805</v>
          </cell>
        </row>
        <row r="597">
          <cell r="N597">
            <v>977.5</v>
          </cell>
        </row>
        <row r="598">
          <cell r="N598">
            <v>494.5</v>
          </cell>
        </row>
        <row r="599">
          <cell r="N599">
            <v>17250</v>
          </cell>
        </row>
        <row r="604">
          <cell r="N604">
            <v>1035</v>
          </cell>
        </row>
        <row r="605">
          <cell r="N605">
            <v>690</v>
          </cell>
        </row>
        <row r="606">
          <cell r="N606">
            <v>632.5</v>
          </cell>
        </row>
        <row r="616">
          <cell r="N616">
            <v>4600</v>
          </cell>
        </row>
        <row r="618">
          <cell r="N618">
            <v>5462.5</v>
          </cell>
        </row>
        <row r="619">
          <cell r="N619">
            <v>1782.5</v>
          </cell>
        </row>
        <row r="621">
          <cell r="N621">
            <v>2300</v>
          </cell>
        </row>
        <row r="622">
          <cell r="N622">
            <v>3795</v>
          </cell>
        </row>
        <row r="626">
          <cell r="N626">
            <v>517.5</v>
          </cell>
        </row>
        <row r="627">
          <cell r="N627">
            <v>805</v>
          </cell>
        </row>
        <row r="631">
          <cell r="N631">
            <v>1265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(Mayo 2025)"/>
      <sheetName val="OBRA CIVIL Mayo 2025"/>
      <sheetName val="Analisis MAY25"/>
      <sheetName val="Lista de precios MAY25"/>
      <sheetName val="MO MAY25"/>
      <sheetName val="AREECIFE B-1 Licitación (MO (2)"/>
      <sheetName val="PISC-EA"/>
      <sheetName val="AREECIFE B-1 Licitación (MOD)"/>
      <sheetName val="AREECIFE B-1 Licitación"/>
      <sheetName val="IE"/>
      <sheetName val="IE Arrecife B1"/>
      <sheetName val="IS"/>
      <sheetName val="RESUMEN"/>
      <sheetName val="OBRA CIVIL"/>
      <sheetName val="CONTROL ADICIONAL"/>
      <sheetName val="RESUMEN GENERAL "/>
      <sheetName val="PRESUPUESTO "/>
      <sheetName val="PRESUPUESTO ENVIADO 2-02-24"/>
      <sheetName val="Analisis NOV24"/>
      <sheetName val="Lista de precios NOV24"/>
      <sheetName val="MO NOV24"/>
      <sheetName val="Lista de precios MAY23"/>
      <sheetName val="MO MAY23"/>
      <sheetName val="Analisis MAY23"/>
      <sheetName val="PUERTAS Y VENTANAS (ESTIMADO)"/>
      <sheetName val="Tabla de contenido"/>
      <sheetName val="1. Trabajos preliminares"/>
      <sheetName val="2. Zapatas de columnas y muros"/>
      <sheetName val="2.1 Análisis de zapatas"/>
      <sheetName val="3. Columnas y muros de hormigón"/>
      <sheetName val="3.1 Complemento columnas y MH"/>
      <sheetName val="3.2 Análisis MH"/>
      <sheetName val="3.3 Análisis de MH"/>
      <sheetName val="3.2 Análisis de columnas"/>
      <sheetName val="4. Tabla puertas y ventanas"/>
      <sheetName val="5. Metraje muros de bloques"/>
      <sheetName val="6. Movimientos de tierra"/>
      <sheetName val="7. Vigas y dinteles"/>
      <sheetName val="7.1 Complemento vigas y dintele"/>
      <sheetName val="7.2 Análisis vigas y dinteles"/>
      <sheetName val="8. Losas y muros macizos"/>
      <sheetName val="8.1 Complemento losas macizas"/>
      <sheetName val="9. Losas aligeradas"/>
      <sheetName val="9.1 Complemeto losas aligeradas"/>
      <sheetName val="10. Estructura metálica"/>
      <sheetName val="11. Estructura de madera"/>
      <sheetName val="12. Terminaciones de muros"/>
      <sheetName val="13. Terminaciones de techos"/>
      <sheetName val="14. Terminacion estruc ligera"/>
      <sheetName val="15. Terminacion de pisos"/>
      <sheetName val="16.Terminación escaleras barand"/>
      <sheetName val="17. Revestimientos"/>
      <sheetName val="17.1 Complemento revestimientos"/>
      <sheetName val="18. Muebles y topes"/>
      <sheetName val="19. Miscelaneos"/>
      <sheetName val="20. Piscina y espejo de agua"/>
      <sheetName val="21. Gazebo"/>
      <sheetName val="Resumen de acero y hormigon"/>
      <sheetName val="22. Áreas externas"/>
      <sheetName val="MANGLE 47"/>
      <sheetName val="Analisis"/>
      <sheetName val="Listado de precios"/>
      <sheetName val="Mano de obra"/>
      <sheetName val="Sheet1"/>
      <sheetName val="Equipos sanit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12">
          <cell r="E112">
            <v>459.59999999999997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5">
          <cell r="E15">
            <v>79.001000000000005</v>
          </cell>
        </row>
      </sheetData>
      <sheetData sheetId="22" refreshError="1">
        <row r="10">
          <cell r="E10">
            <v>1791.6799999999998</v>
          </cell>
        </row>
        <row r="11">
          <cell r="E11">
            <v>1791.6799999999998</v>
          </cell>
        </row>
        <row r="14">
          <cell r="E14">
            <v>440</v>
          </cell>
        </row>
        <row r="15">
          <cell r="E15">
            <v>275</v>
          </cell>
        </row>
        <row r="16">
          <cell r="E16"/>
        </row>
        <row r="58">
          <cell r="E58">
            <v>35.42</v>
          </cell>
        </row>
        <row r="429">
          <cell r="A429"/>
        </row>
      </sheetData>
      <sheetData sheetId="23" refreshError="1"/>
      <sheetData sheetId="24" refreshError="1"/>
      <sheetData sheetId="25" refreshError="1"/>
      <sheetData sheetId="26" refreshError="1">
        <row r="42">
          <cell r="E42">
            <v>2015.7585000000001</v>
          </cell>
        </row>
      </sheetData>
      <sheetData sheetId="27" refreshError="1">
        <row r="67">
          <cell r="Y67">
            <v>0.6206567977850892</v>
          </cell>
        </row>
        <row r="68">
          <cell r="Y68">
            <v>0.73130128473673239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6">
          <cell r="E6">
            <v>1.2441865415880125</v>
          </cell>
          <cell r="F6">
            <v>0.94143296119431952</v>
          </cell>
          <cell r="G6">
            <v>1.5308020606059554</v>
          </cell>
          <cell r="H6">
            <v>1.1632617562722853</v>
          </cell>
          <cell r="I6">
            <v>0</v>
          </cell>
          <cell r="J6">
            <v>0</v>
          </cell>
        </row>
        <row r="9">
          <cell r="F9"/>
          <cell r="H9"/>
          <cell r="L9"/>
        </row>
        <row r="10">
          <cell r="E10">
            <v>6.0545999999999971</v>
          </cell>
          <cell r="F10">
            <v>25.456125</v>
          </cell>
          <cell r="G10">
            <v>7.3412405400000003</v>
          </cell>
          <cell r="H10">
            <v>13.15504155</v>
          </cell>
        </row>
        <row r="188">
          <cell r="E188"/>
        </row>
        <row r="190">
          <cell r="E190">
            <v>0</v>
          </cell>
          <cell r="AH190" t="e">
            <v>#DIV/0!</v>
          </cell>
          <cell r="AI190" t="e">
            <v>#DIV/0!</v>
          </cell>
        </row>
      </sheetData>
      <sheetData sheetId="41" refreshError="1"/>
      <sheetData sheetId="42" refreshError="1">
        <row r="6">
          <cell r="E6">
            <v>0</v>
          </cell>
          <cell r="F6">
            <v>580.19599999999991</v>
          </cell>
          <cell r="G6">
            <v>765.79920000000004</v>
          </cell>
        </row>
        <row r="7">
          <cell r="E7">
            <v>0.85374289920000013</v>
          </cell>
          <cell r="F7">
            <v>9.2586582269952</v>
          </cell>
          <cell r="G7">
            <v>12.220479050711042</v>
          </cell>
        </row>
        <row r="8">
          <cell r="G8">
            <v>28.135067317388678</v>
          </cell>
        </row>
        <row r="9">
          <cell r="E9" t="e">
            <v>#DIV/0!</v>
          </cell>
          <cell r="F9">
            <v>34.537185582621085</v>
          </cell>
          <cell r="G9">
            <v>0</v>
          </cell>
        </row>
        <row r="13">
          <cell r="E13">
            <v>0</v>
          </cell>
          <cell r="F13">
            <v>448</v>
          </cell>
          <cell r="G13">
            <v>617</v>
          </cell>
        </row>
        <row r="17">
          <cell r="E17" t="e">
            <v>#DIV/0!</v>
          </cell>
          <cell r="F17">
            <v>8.7263844370560015</v>
          </cell>
          <cell r="G17">
            <v>12.289768578096501</v>
          </cell>
        </row>
        <row r="18">
          <cell r="E18" t="e">
            <v>#DIV/0!</v>
          </cell>
          <cell r="G18"/>
        </row>
        <row r="22">
          <cell r="E22">
            <v>0</v>
          </cell>
          <cell r="G22">
            <v>1.6981172654959056</v>
          </cell>
        </row>
        <row r="23">
          <cell r="F23">
            <v>5.6248616107738609</v>
          </cell>
        </row>
        <row r="26">
          <cell r="E26">
            <v>0</v>
          </cell>
          <cell r="F26">
            <v>219.8432</v>
          </cell>
          <cell r="G26">
            <v>285.399404</v>
          </cell>
        </row>
        <row r="27">
          <cell r="E27">
            <v>0</v>
          </cell>
          <cell r="F27">
            <v>45.006082300000003</v>
          </cell>
          <cell r="G27">
            <v>43.064325410000002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95">
          <cell r="Z95">
            <v>2.4462143618583396</v>
          </cell>
        </row>
        <row r="131">
          <cell r="AH131">
            <v>0.68779908794350053</v>
          </cell>
        </row>
        <row r="145">
          <cell r="X145">
            <v>0.69918739978725442</v>
          </cell>
          <cell r="Y145">
            <v>1.2443482028256476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GENERAL "/>
      <sheetName val="CONTROL ADICIONAL"/>
      <sheetName val="ADICIONALES Noviembre"/>
      <sheetName val="PRES. TERMINACIONES 02-03-23"/>
      <sheetName val="ADICIONALES JUNIO-SEPTIEMBR (2)"/>
      <sheetName val="Revestimiento en baños (opcion)"/>
      <sheetName val="Revestimiento en baños (opc (2)"/>
      <sheetName val="ANALISIS DE ADICIONALES"/>
      <sheetName val="MO SEP23"/>
      <sheetName val="Analisis SEP23"/>
      <sheetName val="Lista de precios SEP23"/>
      <sheetName val="ADICIONALES JUNIO-SEPTIEMBRE"/>
      <sheetName val="Levant. de Adicional marzo"/>
      <sheetName val="Tabla puertas y ventanas (adici"/>
      <sheetName val="Piscina (adicionales)"/>
      <sheetName val="Terminacion de piso (adicionale"/>
      <sheetName val="Estructura ligera (adicionales)"/>
      <sheetName val="OBRA CIVIL GD CLIENTE"/>
      <sheetName val="OBRA CIVIL GD JULIO 22 COM"/>
      <sheetName val="Lista de precios JUN"/>
      <sheetName val="Lista de precios SEP22"/>
      <sheetName val="MO SEP22"/>
      <sheetName val="Sheet1"/>
      <sheetName val="Analisis SEP22"/>
      <sheetName val="Terminación de muros"/>
      <sheetName val="Terminacion de pisos"/>
      <sheetName val="LISTA DE PRECIOS JUN22"/>
      <sheetName val="OBSERVACIONES SUPERVISION"/>
      <sheetName val="Vigas y dinteles MOD"/>
      <sheetName val="Analisis de viga"/>
      <sheetName val="ANALISIS JUNIO 22"/>
      <sheetName val="Movimientos de tierra"/>
      <sheetName val="Metraje muros de bloques"/>
      <sheetName val="Losas y muros macizos"/>
      <sheetName val="Columnas y muros de hormigon"/>
      <sheetName val="Losas aligeradas"/>
      <sheetName val="Trabajos preliminares"/>
      <sheetName val="Zapatas de columnas y muros (2"/>
      <sheetName val="Tabla puertas y ventanas"/>
      <sheetName val="Vigas y dinteles (2)"/>
      <sheetName val="Estructura de madera"/>
      <sheetName val="Terminacion de techos"/>
      <sheetName val="COMP"/>
      <sheetName val="OBRA CIVIL LICITACION"/>
      <sheetName val="Piscina"/>
      <sheetName val="Areas externas"/>
      <sheetName val="Zapatas de columnas y muros"/>
      <sheetName val="Vigas y dinteles"/>
      <sheetName val="OBRA CIVIL GD MAYO 22"/>
      <sheetName val="NUEVOS ANALISIS "/>
      <sheetName val="Listado de Materiales"/>
      <sheetName val="Listado Mano de Obra"/>
      <sheetName val="LISTA DE PRECIOS REV. MAYO 22"/>
      <sheetName val="ANALISIS HAC. B14"/>
      <sheetName val="ARRE (OBRA GRIS)"/>
      <sheetName val="OBRA CIVIL GD aumento"/>
      <sheetName val="OBRA CIVIL GD SIN TEJAS"/>
      <sheetName val="AREAS EXTERIORES"/>
      <sheetName val="ARRECIFE SB-4 OBRA GRIS"/>
      <sheetName val="OBRA CIVIL GD"/>
      <sheetName val="Modulo de habitaciones GD"/>
      <sheetName val="Modulo de escalera GD"/>
      <sheetName val="Modulo principal GD"/>
      <sheetName val="Modulo de servicios GD"/>
      <sheetName val="Areas externas comunes GD"/>
      <sheetName val="COMP GD"/>
      <sheetName val="Sheet6"/>
      <sheetName val="RESUMEN"/>
      <sheetName val="INSTALACIONES HIDROSANITARIAS"/>
      <sheetName val="INSTALACIONES ELECTROMECANICAS"/>
      <sheetName val="PAISAJISMO"/>
      <sheetName val="HAC-14 OBRA GRIS"/>
      <sheetName val="Lista de precios HAC B14"/>
      <sheetName val="LISTA DE PRECIOS OCT21 HAC B14"/>
      <sheetName val="Modulo de Habitaciones"/>
      <sheetName val="Modulo Principal"/>
      <sheetName val="Modulo de servicios"/>
      <sheetName val="ANALISIS"/>
      <sheetName val="MATERIALES"/>
      <sheetName val="MANO DE O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61">
          <cell r="G861">
            <v>172.7735625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7234-A357-4977-B821-61FF696E48D8}">
  <dimension ref="A1:XFC3024"/>
  <sheetViews>
    <sheetView zoomScale="70" zoomScaleNormal="70" workbookViewId="0">
      <selection activeCell="F16" sqref="F16"/>
    </sheetView>
  </sheetViews>
  <sheetFormatPr defaultColWidth="11.44140625" defaultRowHeight="15" outlineLevelRow="1" x14ac:dyDescent="0.25"/>
  <cols>
    <col min="1" max="1" width="7.88671875" style="2" bestFit="1" customWidth="1"/>
    <col min="2" max="2" width="70.109375" style="2" customWidth="1"/>
    <col min="3" max="3" width="13.6640625" style="2" customWidth="1"/>
    <col min="4" max="4" width="12.44140625" style="2" customWidth="1"/>
    <col min="5" max="5" width="24.5546875" style="2" bestFit="1" customWidth="1"/>
    <col min="6" max="6" width="17.44140625" style="2" customWidth="1"/>
    <col min="7" max="7" width="26.88671875" style="2" customWidth="1"/>
    <col min="8" max="8" width="17.109375" style="2" customWidth="1"/>
    <col min="9" max="9" width="23.88671875" style="2" customWidth="1"/>
    <col min="10" max="10" width="36.44140625" style="2" customWidth="1"/>
    <col min="11" max="11" width="21.109375" style="2" bestFit="1" customWidth="1"/>
    <col min="12" max="12" width="13.5546875" style="2" customWidth="1"/>
    <col min="13" max="13" width="9.109375" style="2" customWidth="1"/>
    <col min="14" max="14" width="19.6640625" style="2" customWidth="1"/>
    <col min="15" max="15" width="12.6640625" style="2" customWidth="1"/>
    <col min="16" max="16" width="10.6640625" style="2" customWidth="1"/>
    <col min="17" max="17" width="14.44140625" style="2" customWidth="1"/>
    <col min="18" max="18" width="13.109375" style="2" customWidth="1"/>
    <col min="19" max="19" width="15.33203125" style="2" customWidth="1"/>
    <col min="20" max="20" width="11.44140625" style="2"/>
    <col min="21" max="256" width="9.109375" style="2" customWidth="1"/>
    <col min="257" max="257" width="65.44140625" style="2" customWidth="1"/>
    <col min="258" max="258" width="13.6640625" style="2" customWidth="1"/>
    <col min="259" max="259" width="5.6640625" style="2" customWidth="1"/>
    <col min="260" max="260" width="18.33203125" style="2" bestFit="1" customWidth="1"/>
    <col min="261" max="261" width="18.109375" style="2" customWidth="1"/>
    <col min="262" max="262" width="18.6640625" style="2" customWidth="1"/>
    <col min="263" max="263" width="9.109375" style="2" customWidth="1"/>
    <col min="264" max="264" width="13" style="2" bestFit="1" customWidth="1"/>
    <col min="265" max="265" width="23.6640625" style="2" bestFit="1" customWidth="1"/>
    <col min="266" max="266" width="15.109375" style="2" bestFit="1" customWidth="1"/>
    <col min="267" max="267" width="21.109375" style="2" bestFit="1" customWidth="1"/>
    <col min="268" max="512" width="9.109375" style="2" customWidth="1"/>
    <col min="513" max="513" width="65.44140625" style="2" customWidth="1"/>
    <col min="514" max="514" width="13.6640625" style="2" customWidth="1"/>
    <col min="515" max="515" width="5.6640625" style="2" customWidth="1"/>
    <col min="516" max="516" width="18.33203125" style="2" bestFit="1" customWidth="1"/>
    <col min="517" max="517" width="18.109375" style="2" customWidth="1"/>
    <col min="518" max="518" width="18.6640625" style="2" customWidth="1"/>
    <col min="519" max="519" width="9.109375" style="2" customWidth="1"/>
    <col min="520" max="520" width="13" style="2" bestFit="1" customWidth="1"/>
    <col min="521" max="521" width="23.6640625" style="2" bestFit="1" customWidth="1"/>
    <col min="522" max="522" width="15.109375" style="2" bestFit="1" customWidth="1"/>
    <col min="523" max="523" width="21.109375" style="2" bestFit="1" customWidth="1"/>
    <col min="524" max="768" width="9.109375" style="2" customWidth="1"/>
    <col min="769" max="769" width="65.44140625" style="2" customWidth="1"/>
    <col min="770" max="770" width="13.6640625" style="2" customWidth="1"/>
    <col min="771" max="771" width="5.6640625" style="2" customWidth="1"/>
    <col min="772" max="772" width="18.33203125" style="2" bestFit="1" customWidth="1"/>
    <col min="773" max="773" width="18.109375" style="2" customWidth="1"/>
    <col min="774" max="774" width="18.6640625" style="2" customWidth="1"/>
    <col min="775" max="775" width="9.109375" style="2" customWidth="1"/>
    <col min="776" max="776" width="13" style="2" bestFit="1" customWidth="1"/>
    <col min="777" max="777" width="23.6640625" style="2" bestFit="1" customWidth="1"/>
    <col min="778" max="778" width="15.109375" style="2" bestFit="1" customWidth="1"/>
    <col min="779" max="779" width="21.109375" style="2" bestFit="1" customWidth="1"/>
    <col min="780" max="1024" width="9.109375" style="2" customWidth="1"/>
    <col min="1025" max="1025" width="65.44140625" style="2" customWidth="1"/>
    <col min="1026" max="1026" width="13.6640625" style="2" customWidth="1"/>
    <col min="1027" max="1027" width="5.6640625" style="2" customWidth="1"/>
    <col min="1028" max="1028" width="18.33203125" style="2" bestFit="1" customWidth="1"/>
    <col min="1029" max="1029" width="18.109375" style="2" customWidth="1"/>
    <col min="1030" max="1030" width="18.6640625" style="2" customWidth="1"/>
    <col min="1031" max="1031" width="9.109375" style="2" customWidth="1"/>
    <col min="1032" max="1032" width="13" style="2" bestFit="1" customWidth="1"/>
    <col min="1033" max="1033" width="23.6640625" style="2" bestFit="1" customWidth="1"/>
    <col min="1034" max="1034" width="15.109375" style="2" bestFit="1" customWidth="1"/>
    <col min="1035" max="1035" width="21.109375" style="2" bestFit="1" customWidth="1"/>
    <col min="1036" max="1280" width="9.109375" style="2" customWidth="1"/>
    <col min="1281" max="1281" width="65.44140625" style="2" customWidth="1"/>
    <col min="1282" max="1282" width="13.6640625" style="2" customWidth="1"/>
    <col min="1283" max="1283" width="5.6640625" style="2" customWidth="1"/>
    <col min="1284" max="1284" width="18.33203125" style="2" bestFit="1" customWidth="1"/>
    <col min="1285" max="1285" width="18.109375" style="2" customWidth="1"/>
    <col min="1286" max="1286" width="18.6640625" style="2" customWidth="1"/>
    <col min="1287" max="1287" width="9.109375" style="2" customWidth="1"/>
    <col min="1288" max="1288" width="13" style="2" bestFit="1" customWidth="1"/>
    <col min="1289" max="1289" width="23.6640625" style="2" bestFit="1" customWidth="1"/>
    <col min="1290" max="1290" width="15.109375" style="2" bestFit="1" customWidth="1"/>
    <col min="1291" max="1291" width="21.109375" style="2" bestFit="1" customWidth="1"/>
    <col min="1292" max="1536" width="9.109375" style="2" customWidth="1"/>
    <col min="1537" max="1537" width="65.44140625" style="2" customWidth="1"/>
    <col min="1538" max="1538" width="13.6640625" style="2" customWidth="1"/>
    <col min="1539" max="1539" width="5.6640625" style="2" customWidth="1"/>
    <col min="1540" max="1540" width="18.33203125" style="2" bestFit="1" customWidth="1"/>
    <col min="1541" max="1541" width="18.109375" style="2" customWidth="1"/>
    <col min="1542" max="1542" width="18.6640625" style="2" customWidth="1"/>
    <col min="1543" max="1543" width="9.109375" style="2" customWidth="1"/>
    <col min="1544" max="1544" width="13" style="2" bestFit="1" customWidth="1"/>
    <col min="1545" max="1545" width="23.6640625" style="2" bestFit="1" customWidth="1"/>
    <col min="1546" max="1546" width="15.109375" style="2" bestFit="1" customWidth="1"/>
    <col min="1547" max="1547" width="21.109375" style="2" bestFit="1" customWidth="1"/>
    <col min="1548" max="1792" width="9.109375" style="2" customWidth="1"/>
    <col min="1793" max="1793" width="65.44140625" style="2" customWidth="1"/>
    <col min="1794" max="1794" width="13.6640625" style="2" customWidth="1"/>
    <col min="1795" max="1795" width="5.6640625" style="2" customWidth="1"/>
    <col min="1796" max="1796" width="18.33203125" style="2" bestFit="1" customWidth="1"/>
    <col min="1797" max="1797" width="18.109375" style="2" customWidth="1"/>
    <col min="1798" max="1798" width="18.6640625" style="2" customWidth="1"/>
    <col min="1799" max="1799" width="9.109375" style="2" customWidth="1"/>
    <col min="1800" max="1800" width="13" style="2" bestFit="1" customWidth="1"/>
    <col min="1801" max="1801" width="23.6640625" style="2" bestFit="1" customWidth="1"/>
    <col min="1802" max="1802" width="15.109375" style="2" bestFit="1" customWidth="1"/>
    <col min="1803" max="1803" width="21.109375" style="2" bestFit="1" customWidth="1"/>
    <col min="1804" max="2048" width="9.109375" style="2" customWidth="1"/>
    <col min="2049" max="2049" width="65.44140625" style="2" customWidth="1"/>
    <col min="2050" max="2050" width="13.6640625" style="2" customWidth="1"/>
    <col min="2051" max="2051" width="5.6640625" style="2" customWidth="1"/>
    <col min="2052" max="2052" width="18.33203125" style="2" bestFit="1" customWidth="1"/>
    <col min="2053" max="2053" width="18.109375" style="2" customWidth="1"/>
    <col min="2054" max="2054" width="18.6640625" style="2" customWidth="1"/>
    <col min="2055" max="2055" width="9.109375" style="2" customWidth="1"/>
    <col min="2056" max="2056" width="13" style="2" bestFit="1" customWidth="1"/>
    <col min="2057" max="2057" width="23.6640625" style="2" bestFit="1" customWidth="1"/>
    <col min="2058" max="2058" width="15.109375" style="2" bestFit="1" customWidth="1"/>
    <col min="2059" max="2059" width="21.109375" style="2" bestFit="1" customWidth="1"/>
    <col min="2060" max="2304" width="9.109375" style="2" customWidth="1"/>
    <col min="2305" max="2305" width="65.44140625" style="2" customWidth="1"/>
    <col min="2306" max="2306" width="13.6640625" style="2" customWidth="1"/>
    <col min="2307" max="2307" width="5.6640625" style="2" customWidth="1"/>
    <col min="2308" max="2308" width="18.33203125" style="2" bestFit="1" customWidth="1"/>
    <col min="2309" max="2309" width="18.109375" style="2" customWidth="1"/>
    <col min="2310" max="2310" width="18.6640625" style="2" customWidth="1"/>
    <col min="2311" max="2311" width="9.109375" style="2" customWidth="1"/>
    <col min="2312" max="2312" width="13" style="2" bestFit="1" customWidth="1"/>
    <col min="2313" max="2313" width="23.6640625" style="2" bestFit="1" customWidth="1"/>
    <col min="2314" max="2314" width="15.109375" style="2" bestFit="1" customWidth="1"/>
    <col min="2315" max="2315" width="21.109375" style="2" bestFit="1" customWidth="1"/>
    <col min="2316" max="2560" width="9.109375" style="2" customWidth="1"/>
    <col min="2561" max="2561" width="65.44140625" style="2" customWidth="1"/>
    <col min="2562" max="2562" width="13.6640625" style="2" customWidth="1"/>
    <col min="2563" max="2563" width="5.6640625" style="2" customWidth="1"/>
    <col min="2564" max="2564" width="18.33203125" style="2" bestFit="1" customWidth="1"/>
    <col min="2565" max="2565" width="18.109375" style="2" customWidth="1"/>
    <col min="2566" max="2566" width="18.6640625" style="2" customWidth="1"/>
    <col min="2567" max="2567" width="9.109375" style="2" customWidth="1"/>
    <col min="2568" max="2568" width="13" style="2" bestFit="1" customWidth="1"/>
    <col min="2569" max="2569" width="23.6640625" style="2" bestFit="1" customWidth="1"/>
    <col min="2570" max="2570" width="15.109375" style="2" bestFit="1" customWidth="1"/>
    <col min="2571" max="2571" width="21.109375" style="2" bestFit="1" customWidth="1"/>
    <col min="2572" max="2816" width="9.109375" style="2" customWidth="1"/>
    <col min="2817" max="2817" width="65.44140625" style="2" customWidth="1"/>
    <col min="2818" max="2818" width="13.6640625" style="2" customWidth="1"/>
    <col min="2819" max="2819" width="5.6640625" style="2" customWidth="1"/>
    <col min="2820" max="2820" width="18.33203125" style="2" bestFit="1" customWidth="1"/>
    <col min="2821" max="2821" width="18.109375" style="2" customWidth="1"/>
    <col min="2822" max="2822" width="18.6640625" style="2" customWidth="1"/>
    <col min="2823" max="2823" width="9.109375" style="2" customWidth="1"/>
    <col min="2824" max="2824" width="13" style="2" bestFit="1" customWidth="1"/>
    <col min="2825" max="2825" width="23.6640625" style="2" bestFit="1" customWidth="1"/>
    <col min="2826" max="2826" width="15.109375" style="2" bestFit="1" customWidth="1"/>
    <col min="2827" max="2827" width="21.109375" style="2" bestFit="1" customWidth="1"/>
    <col min="2828" max="3072" width="9.109375" style="2" customWidth="1"/>
    <col min="3073" max="3073" width="65.44140625" style="2" customWidth="1"/>
    <col min="3074" max="3074" width="13.6640625" style="2" customWidth="1"/>
    <col min="3075" max="3075" width="5.6640625" style="2" customWidth="1"/>
    <col min="3076" max="3076" width="18.33203125" style="2" bestFit="1" customWidth="1"/>
    <col min="3077" max="3077" width="18.109375" style="2" customWidth="1"/>
    <col min="3078" max="3078" width="18.6640625" style="2" customWidth="1"/>
    <col min="3079" max="3079" width="9.109375" style="2" customWidth="1"/>
    <col min="3080" max="3080" width="13" style="2" bestFit="1" customWidth="1"/>
    <col min="3081" max="3081" width="23.6640625" style="2" bestFit="1" customWidth="1"/>
    <col min="3082" max="3082" width="15.109375" style="2" bestFit="1" customWidth="1"/>
    <col min="3083" max="3083" width="21.109375" style="2" bestFit="1" customWidth="1"/>
    <col min="3084" max="3328" width="9.109375" style="2" customWidth="1"/>
    <col min="3329" max="3329" width="65.44140625" style="2" customWidth="1"/>
    <col min="3330" max="3330" width="13.6640625" style="2" customWidth="1"/>
    <col min="3331" max="3331" width="5.6640625" style="2" customWidth="1"/>
    <col min="3332" max="3332" width="18.33203125" style="2" bestFit="1" customWidth="1"/>
    <col min="3333" max="3333" width="18.109375" style="2" customWidth="1"/>
    <col min="3334" max="3334" width="18.6640625" style="2" customWidth="1"/>
    <col min="3335" max="3335" width="9.109375" style="2" customWidth="1"/>
    <col min="3336" max="3336" width="13" style="2" bestFit="1" customWidth="1"/>
    <col min="3337" max="3337" width="23.6640625" style="2" bestFit="1" customWidth="1"/>
    <col min="3338" max="3338" width="15.109375" style="2" bestFit="1" customWidth="1"/>
    <col min="3339" max="3339" width="21.109375" style="2" bestFit="1" customWidth="1"/>
    <col min="3340" max="3584" width="9.109375" style="2" customWidth="1"/>
    <col min="3585" max="3585" width="65.44140625" style="2" customWidth="1"/>
    <col min="3586" max="3586" width="13.6640625" style="2" customWidth="1"/>
    <col min="3587" max="3587" width="5.6640625" style="2" customWidth="1"/>
    <col min="3588" max="3588" width="18.33203125" style="2" bestFit="1" customWidth="1"/>
    <col min="3589" max="3589" width="18.109375" style="2" customWidth="1"/>
    <col min="3590" max="3590" width="18.6640625" style="2" customWidth="1"/>
    <col min="3591" max="3591" width="9.109375" style="2" customWidth="1"/>
    <col min="3592" max="3592" width="13" style="2" bestFit="1" customWidth="1"/>
    <col min="3593" max="3593" width="23.6640625" style="2" bestFit="1" customWidth="1"/>
    <col min="3594" max="3594" width="15.109375" style="2" bestFit="1" customWidth="1"/>
    <col min="3595" max="3595" width="21.109375" style="2" bestFit="1" customWidth="1"/>
    <col min="3596" max="3840" width="9.109375" style="2" customWidth="1"/>
    <col min="3841" max="3841" width="65.44140625" style="2" customWidth="1"/>
    <col min="3842" max="3842" width="13.6640625" style="2" customWidth="1"/>
    <col min="3843" max="3843" width="5.6640625" style="2" customWidth="1"/>
    <col min="3844" max="3844" width="18.33203125" style="2" bestFit="1" customWidth="1"/>
    <col min="3845" max="3845" width="18.109375" style="2" customWidth="1"/>
    <col min="3846" max="3846" width="18.6640625" style="2" customWidth="1"/>
    <col min="3847" max="3847" width="9.109375" style="2" customWidth="1"/>
    <col min="3848" max="3848" width="13" style="2" bestFit="1" customWidth="1"/>
    <col min="3849" max="3849" width="23.6640625" style="2" bestFit="1" customWidth="1"/>
    <col min="3850" max="3850" width="15.109375" style="2" bestFit="1" customWidth="1"/>
    <col min="3851" max="3851" width="21.109375" style="2" bestFit="1" customWidth="1"/>
    <col min="3852" max="4096" width="9.109375" style="2" customWidth="1"/>
    <col min="4097" max="4097" width="65.44140625" style="2" customWidth="1"/>
    <col min="4098" max="4098" width="13.6640625" style="2" customWidth="1"/>
    <col min="4099" max="4099" width="5.6640625" style="2" customWidth="1"/>
    <col min="4100" max="4100" width="18.33203125" style="2" bestFit="1" customWidth="1"/>
    <col min="4101" max="4101" width="18.109375" style="2" customWidth="1"/>
    <col min="4102" max="4102" width="18.6640625" style="2" customWidth="1"/>
    <col min="4103" max="4103" width="9.109375" style="2" customWidth="1"/>
    <col min="4104" max="4104" width="13" style="2" bestFit="1" customWidth="1"/>
    <col min="4105" max="4105" width="23.6640625" style="2" bestFit="1" customWidth="1"/>
    <col min="4106" max="4106" width="15.109375" style="2" bestFit="1" customWidth="1"/>
    <col min="4107" max="4107" width="21.109375" style="2" bestFit="1" customWidth="1"/>
    <col min="4108" max="4352" width="9.109375" style="2" customWidth="1"/>
    <col min="4353" max="4353" width="65.44140625" style="2" customWidth="1"/>
    <col min="4354" max="4354" width="13.6640625" style="2" customWidth="1"/>
    <col min="4355" max="4355" width="5.6640625" style="2" customWidth="1"/>
    <col min="4356" max="4356" width="18.33203125" style="2" bestFit="1" customWidth="1"/>
    <col min="4357" max="4357" width="18.109375" style="2" customWidth="1"/>
    <col min="4358" max="4358" width="18.6640625" style="2" customWidth="1"/>
    <col min="4359" max="4359" width="9.109375" style="2" customWidth="1"/>
    <col min="4360" max="4360" width="13" style="2" bestFit="1" customWidth="1"/>
    <col min="4361" max="4361" width="23.6640625" style="2" bestFit="1" customWidth="1"/>
    <col min="4362" max="4362" width="15.109375" style="2" bestFit="1" customWidth="1"/>
    <col min="4363" max="4363" width="21.109375" style="2" bestFit="1" customWidth="1"/>
    <col min="4364" max="4608" width="9.109375" style="2" customWidth="1"/>
    <col min="4609" max="4609" width="65.44140625" style="2" customWidth="1"/>
    <col min="4610" max="4610" width="13.6640625" style="2" customWidth="1"/>
    <col min="4611" max="4611" width="5.6640625" style="2" customWidth="1"/>
    <col min="4612" max="4612" width="18.33203125" style="2" bestFit="1" customWidth="1"/>
    <col min="4613" max="4613" width="18.109375" style="2" customWidth="1"/>
    <col min="4614" max="4614" width="18.6640625" style="2" customWidth="1"/>
    <col min="4615" max="4615" width="9.109375" style="2" customWidth="1"/>
    <col min="4616" max="4616" width="13" style="2" bestFit="1" customWidth="1"/>
    <col min="4617" max="4617" width="23.6640625" style="2" bestFit="1" customWidth="1"/>
    <col min="4618" max="4618" width="15.109375" style="2" bestFit="1" customWidth="1"/>
    <col min="4619" max="4619" width="21.109375" style="2" bestFit="1" customWidth="1"/>
    <col min="4620" max="4864" width="9.109375" style="2" customWidth="1"/>
    <col min="4865" max="4865" width="65.44140625" style="2" customWidth="1"/>
    <col min="4866" max="4866" width="13.6640625" style="2" customWidth="1"/>
    <col min="4867" max="4867" width="5.6640625" style="2" customWidth="1"/>
    <col min="4868" max="4868" width="18.33203125" style="2" bestFit="1" customWidth="1"/>
    <col min="4869" max="4869" width="18.109375" style="2" customWidth="1"/>
    <col min="4870" max="4870" width="18.6640625" style="2" customWidth="1"/>
    <col min="4871" max="4871" width="9.109375" style="2" customWidth="1"/>
    <col min="4872" max="4872" width="13" style="2" bestFit="1" customWidth="1"/>
    <col min="4873" max="4873" width="23.6640625" style="2" bestFit="1" customWidth="1"/>
    <col min="4874" max="4874" width="15.109375" style="2" bestFit="1" customWidth="1"/>
    <col min="4875" max="4875" width="21.109375" style="2" bestFit="1" customWidth="1"/>
    <col min="4876" max="5120" width="9.109375" style="2" customWidth="1"/>
    <col min="5121" max="5121" width="65.44140625" style="2" customWidth="1"/>
    <col min="5122" max="5122" width="13.6640625" style="2" customWidth="1"/>
    <col min="5123" max="5123" width="5.6640625" style="2" customWidth="1"/>
    <col min="5124" max="5124" width="18.33203125" style="2" bestFit="1" customWidth="1"/>
    <col min="5125" max="5125" width="18.109375" style="2" customWidth="1"/>
    <col min="5126" max="5126" width="18.6640625" style="2" customWidth="1"/>
    <col min="5127" max="5127" width="9.109375" style="2" customWidth="1"/>
    <col min="5128" max="5128" width="13" style="2" bestFit="1" customWidth="1"/>
    <col min="5129" max="5129" width="23.6640625" style="2" bestFit="1" customWidth="1"/>
    <col min="5130" max="5130" width="15.109375" style="2" bestFit="1" customWidth="1"/>
    <col min="5131" max="5131" width="21.109375" style="2" bestFit="1" customWidth="1"/>
    <col min="5132" max="5376" width="9.109375" style="2" customWidth="1"/>
    <col min="5377" max="5377" width="65.44140625" style="2" customWidth="1"/>
    <col min="5378" max="5378" width="13.6640625" style="2" customWidth="1"/>
    <col min="5379" max="5379" width="5.6640625" style="2" customWidth="1"/>
    <col min="5380" max="5380" width="18.33203125" style="2" bestFit="1" customWidth="1"/>
    <col min="5381" max="5381" width="18.109375" style="2" customWidth="1"/>
    <col min="5382" max="5382" width="18.6640625" style="2" customWidth="1"/>
    <col min="5383" max="5383" width="9.109375" style="2" customWidth="1"/>
    <col min="5384" max="5384" width="13" style="2" bestFit="1" customWidth="1"/>
    <col min="5385" max="5385" width="23.6640625" style="2" bestFit="1" customWidth="1"/>
    <col min="5386" max="5386" width="15.109375" style="2" bestFit="1" customWidth="1"/>
    <col min="5387" max="5387" width="21.109375" style="2" bestFit="1" customWidth="1"/>
    <col min="5388" max="5632" width="9.109375" style="2" customWidth="1"/>
    <col min="5633" max="5633" width="65.44140625" style="2" customWidth="1"/>
    <col min="5634" max="5634" width="13.6640625" style="2" customWidth="1"/>
    <col min="5635" max="5635" width="5.6640625" style="2" customWidth="1"/>
    <col min="5636" max="5636" width="18.33203125" style="2" bestFit="1" customWidth="1"/>
    <col min="5637" max="5637" width="18.109375" style="2" customWidth="1"/>
    <col min="5638" max="5638" width="18.6640625" style="2" customWidth="1"/>
    <col min="5639" max="5639" width="9.109375" style="2" customWidth="1"/>
    <col min="5640" max="5640" width="13" style="2" bestFit="1" customWidth="1"/>
    <col min="5641" max="5641" width="23.6640625" style="2" bestFit="1" customWidth="1"/>
    <col min="5642" max="5642" width="15.109375" style="2" bestFit="1" customWidth="1"/>
    <col min="5643" max="5643" width="21.109375" style="2" bestFit="1" customWidth="1"/>
    <col min="5644" max="5888" width="9.109375" style="2" customWidth="1"/>
    <col min="5889" max="5889" width="65.44140625" style="2" customWidth="1"/>
    <col min="5890" max="5890" width="13.6640625" style="2" customWidth="1"/>
    <col min="5891" max="5891" width="5.6640625" style="2" customWidth="1"/>
    <col min="5892" max="5892" width="18.33203125" style="2" bestFit="1" customWidth="1"/>
    <col min="5893" max="5893" width="18.109375" style="2" customWidth="1"/>
    <col min="5894" max="5894" width="18.6640625" style="2" customWidth="1"/>
    <col min="5895" max="5895" width="9.109375" style="2" customWidth="1"/>
    <col min="5896" max="5896" width="13" style="2" bestFit="1" customWidth="1"/>
    <col min="5897" max="5897" width="23.6640625" style="2" bestFit="1" customWidth="1"/>
    <col min="5898" max="5898" width="15.109375" style="2" bestFit="1" customWidth="1"/>
    <col min="5899" max="5899" width="21.109375" style="2" bestFit="1" customWidth="1"/>
    <col min="5900" max="6144" width="9.109375" style="2" customWidth="1"/>
    <col min="6145" max="6145" width="65.44140625" style="2" customWidth="1"/>
    <col min="6146" max="6146" width="13.6640625" style="2" customWidth="1"/>
    <col min="6147" max="6147" width="5.6640625" style="2" customWidth="1"/>
    <col min="6148" max="6148" width="18.33203125" style="2" bestFit="1" customWidth="1"/>
    <col min="6149" max="6149" width="18.109375" style="2" customWidth="1"/>
    <col min="6150" max="6150" width="18.6640625" style="2" customWidth="1"/>
    <col min="6151" max="6151" width="9.109375" style="2" customWidth="1"/>
    <col min="6152" max="6152" width="13" style="2" bestFit="1" customWidth="1"/>
    <col min="6153" max="6153" width="23.6640625" style="2" bestFit="1" customWidth="1"/>
    <col min="6154" max="6154" width="15.109375" style="2" bestFit="1" customWidth="1"/>
    <col min="6155" max="6155" width="21.109375" style="2" bestFit="1" customWidth="1"/>
    <col min="6156" max="6400" width="9.109375" style="2" customWidth="1"/>
    <col min="6401" max="6401" width="65.44140625" style="2" customWidth="1"/>
    <col min="6402" max="6402" width="13.6640625" style="2" customWidth="1"/>
    <col min="6403" max="6403" width="5.6640625" style="2" customWidth="1"/>
    <col min="6404" max="6404" width="18.33203125" style="2" bestFit="1" customWidth="1"/>
    <col min="6405" max="6405" width="18.109375" style="2" customWidth="1"/>
    <col min="6406" max="6406" width="18.6640625" style="2" customWidth="1"/>
    <col min="6407" max="6407" width="9.109375" style="2" customWidth="1"/>
    <col min="6408" max="6408" width="13" style="2" bestFit="1" customWidth="1"/>
    <col min="6409" max="6409" width="23.6640625" style="2" bestFit="1" customWidth="1"/>
    <col min="6410" max="6410" width="15.109375" style="2" bestFit="1" customWidth="1"/>
    <col min="6411" max="6411" width="21.109375" style="2" bestFit="1" customWidth="1"/>
    <col min="6412" max="6656" width="9.109375" style="2" customWidth="1"/>
    <col min="6657" max="6657" width="65.44140625" style="2" customWidth="1"/>
    <col min="6658" max="6658" width="13.6640625" style="2" customWidth="1"/>
    <col min="6659" max="6659" width="5.6640625" style="2" customWidth="1"/>
    <col min="6660" max="6660" width="18.33203125" style="2" bestFit="1" customWidth="1"/>
    <col min="6661" max="6661" width="18.109375" style="2" customWidth="1"/>
    <col min="6662" max="6662" width="18.6640625" style="2" customWidth="1"/>
    <col min="6663" max="6663" width="9.109375" style="2" customWidth="1"/>
    <col min="6664" max="6664" width="13" style="2" bestFit="1" customWidth="1"/>
    <col min="6665" max="6665" width="23.6640625" style="2" bestFit="1" customWidth="1"/>
    <col min="6666" max="6666" width="15.109375" style="2" bestFit="1" customWidth="1"/>
    <col min="6667" max="6667" width="21.109375" style="2" bestFit="1" customWidth="1"/>
    <col min="6668" max="6912" width="9.109375" style="2" customWidth="1"/>
    <col min="6913" max="6913" width="65.44140625" style="2" customWidth="1"/>
    <col min="6914" max="6914" width="13.6640625" style="2" customWidth="1"/>
    <col min="6915" max="6915" width="5.6640625" style="2" customWidth="1"/>
    <col min="6916" max="6916" width="18.33203125" style="2" bestFit="1" customWidth="1"/>
    <col min="6917" max="6917" width="18.109375" style="2" customWidth="1"/>
    <col min="6918" max="6918" width="18.6640625" style="2" customWidth="1"/>
    <col min="6919" max="6919" width="9.109375" style="2" customWidth="1"/>
    <col min="6920" max="6920" width="13" style="2" bestFit="1" customWidth="1"/>
    <col min="6921" max="6921" width="23.6640625" style="2" bestFit="1" customWidth="1"/>
    <col min="6922" max="6922" width="15.109375" style="2" bestFit="1" customWidth="1"/>
    <col min="6923" max="6923" width="21.109375" style="2" bestFit="1" customWidth="1"/>
    <col min="6924" max="7168" width="9.109375" style="2" customWidth="1"/>
    <col min="7169" max="7169" width="65.44140625" style="2" customWidth="1"/>
    <col min="7170" max="7170" width="13.6640625" style="2" customWidth="1"/>
    <col min="7171" max="7171" width="5.6640625" style="2" customWidth="1"/>
    <col min="7172" max="7172" width="18.33203125" style="2" bestFit="1" customWidth="1"/>
    <col min="7173" max="7173" width="18.109375" style="2" customWidth="1"/>
    <col min="7174" max="7174" width="18.6640625" style="2" customWidth="1"/>
    <col min="7175" max="7175" width="9.109375" style="2" customWidth="1"/>
    <col min="7176" max="7176" width="13" style="2" bestFit="1" customWidth="1"/>
    <col min="7177" max="7177" width="23.6640625" style="2" bestFit="1" customWidth="1"/>
    <col min="7178" max="7178" width="15.109375" style="2" bestFit="1" customWidth="1"/>
    <col min="7179" max="7179" width="21.109375" style="2" bestFit="1" customWidth="1"/>
    <col min="7180" max="7424" width="9.109375" style="2" customWidth="1"/>
    <col min="7425" max="7425" width="65.44140625" style="2" customWidth="1"/>
    <col min="7426" max="7426" width="13.6640625" style="2" customWidth="1"/>
    <col min="7427" max="7427" width="5.6640625" style="2" customWidth="1"/>
    <col min="7428" max="7428" width="18.33203125" style="2" bestFit="1" customWidth="1"/>
    <col min="7429" max="7429" width="18.109375" style="2" customWidth="1"/>
    <col min="7430" max="7430" width="18.6640625" style="2" customWidth="1"/>
    <col min="7431" max="7431" width="9.109375" style="2" customWidth="1"/>
    <col min="7432" max="7432" width="13" style="2" bestFit="1" customWidth="1"/>
    <col min="7433" max="7433" width="23.6640625" style="2" bestFit="1" customWidth="1"/>
    <col min="7434" max="7434" width="15.109375" style="2" bestFit="1" customWidth="1"/>
    <col min="7435" max="7435" width="21.109375" style="2" bestFit="1" customWidth="1"/>
    <col min="7436" max="7680" width="9.109375" style="2" customWidth="1"/>
    <col min="7681" max="7681" width="65.44140625" style="2" customWidth="1"/>
    <col min="7682" max="7682" width="13.6640625" style="2" customWidth="1"/>
    <col min="7683" max="7683" width="5.6640625" style="2" customWidth="1"/>
    <col min="7684" max="7684" width="18.33203125" style="2" bestFit="1" customWidth="1"/>
    <col min="7685" max="7685" width="18.109375" style="2" customWidth="1"/>
    <col min="7686" max="7686" width="18.6640625" style="2" customWidth="1"/>
    <col min="7687" max="7687" width="9.109375" style="2" customWidth="1"/>
    <col min="7688" max="7688" width="13" style="2" bestFit="1" customWidth="1"/>
    <col min="7689" max="7689" width="23.6640625" style="2" bestFit="1" customWidth="1"/>
    <col min="7690" max="7690" width="15.109375" style="2" bestFit="1" customWidth="1"/>
    <col min="7691" max="7691" width="21.109375" style="2" bestFit="1" customWidth="1"/>
    <col min="7692" max="7936" width="9.109375" style="2" customWidth="1"/>
    <col min="7937" max="7937" width="65.44140625" style="2" customWidth="1"/>
    <col min="7938" max="7938" width="13.6640625" style="2" customWidth="1"/>
    <col min="7939" max="7939" width="5.6640625" style="2" customWidth="1"/>
    <col min="7940" max="7940" width="18.33203125" style="2" bestFit="1" customWidth="1"/>
    <col min="7941" max="7941" width="18.109375" style="2" customWidth="1"/>
    <col min="7942" max="7942" width="18.6640625" style="2" customWidth="1"/>
    <col min="7943" max="7943" width="9.109375" style="2" customWidth="1"/>
    <col min="7944" max="7944" width="13" style="2" bestFit="1" customWidth="1"/>
    <col min="7945" max="7945" width="23.6640625" style="2" bestFit="1" customWidth="1"/>
    <col min="7946" max="7946" width="15.109375" style="2" bestFit="1" customWidth="1"/>
    <col min="7947" max="7947" width="21.109375" style="2" bestFit="1" customWidth="1"/>
    <col min="7948" max="8192" width="9.109375" style="2" customWidth="1"/>
    <col min="8193" max="8193" width="65.44140625" style="2" customWidth="1"/>
    <col min="8194" max="8194" width="13.6640625" style="2" customWidth="1"/>
    <col min="8195" max="8195" width="5.6640625" style="2" customWidth="1"/>
    <col min="8196" max="8196" width="18.33203125" style="2" bestFit="1" customWidth="1"/>
    <col min="8197" max="8197" width="18.109375" style="2" customWidth="1"/>
    <col min="8198" max="8198" width="18.6640625" style="2" customWidth="1"/>
    <col min="8199" max="8199" width="9.109375" style="2" customWidth="1"/>
    <col min="8200" max="8200" width="13" style="2" bestFit="1" customWidth="1"/>
    <col min="8201" max="8201" width="23.6640625" style="2" bestFit="1" customWidth="1"/>
    <col min="8202" max="8202" width="15.109375" style="2" bestFit="1" customWidth="1"/>
    <col min="8203" max="8203" width="21.109375" style="2" bestFit="1" customWidth="1"/>
    <col min="8204" max="8448" width="9.109375" style="2" customWidth="1"/>
    <col min="8449" max="8449" width="65.44140625" style="2" customWidth="1"/>
    <col min="8450" max="8450" width="13.6640625" style="2" customWidth="1"/>
    <col min="8451" max="8451" width="5.6640625" style="2" customWidth="1"/>
    <col min="8452" max="8452" width="18.33203125" style="2" bestFit="1" customWidth="1"/>
    <col min="8453" max="8453" width="18.109375" style="2" customWidth="1"/>
    <col min="8454" max="8454" width="18.6640625" style="2" customWidth="1"/>
    <col min="8455" max="8455" width="9.109375" style="2" customWidth="1"/>
    <col min="8456" max="8456" width="13" style="2" bestFit="1" customWidth="1"/>
    <col min="8457" max="8457" width="23.6640625" style="2" bestFit="1" customWidth="1"/>
    <col min="8458" max="8458" width="15.109375" style="2" bestFit="1" customWidth="1"/>
    <col min="8459" max="8459" width="21.109375" style="2" bestFit="1" customWidth="1"/>
    <col min="8460" max="8704" width="9.109375" style="2" customWidth="1"/>
    <col min="8705" max="8705" width="65.44140625" style="2" customWidth="1"/>
    <col min="8706" max="8706" width="13.6640625" style="2" customWidth="1"/>
    <col min="8707" max="8707" width="5.6640625" style="2" customWidth="1"/>
    <col min="8708" max="8708" width="18.33203125" style="2" bestFit="1" customWidth="1"/>
    <col min="8709" max="8709" width="18.109375" style="2" customWidth="1"/>
    <col min="8710" max="8710" width="18.6640625" style="2" customWidth="1"/>
    <col min="8711" max="8711" width="9.109375" style="2" customWidth="1"/>
    <col min="8712" max="8712" width="13" style="2" bestFit="1" customWidth="1"/>
    <col min="8713" max="8713" width="23.6640625" style="2" bestFit="1" customWidth="1"/>
    <col min="8714" max="8714" width="15.109375" style="2" bestFit="1" customWidth="1"/>
    <col min="8715" max="8715" width="21.109375" style="2" bestFit="1" customWidth="1"/>
    <col min="8716" max="8960" width="9.109375" style="2" customWidth="1"/>
    <col min="8961" max="8961" width="65.44140625" style="2" customWidth="1"/>
    <col min="8962" max="8962" width="13.6640625" style="2" customWidth="1"/>
    <col min="8963" max="8963" width="5.6640625" style="2" customWidth="1"/>
    <col min="8964" max="8964" width="18.33203125" style="2" bestFit="1" customWidth="1"/>
    <col min="8965" max="8965" width="18.109375" style="2" customWidth="1"/>
    <col min="8966" max="8966" width="18.6640625" style="2" customWidth="1"/>
    <col min="8967" max="8967" width="9.109375" style="2" customWidth="1"/>
    <col min="8968" max="8968" width="13" style="2" bestFit="1" customWidth="1"/>
    <col min="8969" max="8969" width="23.6640625" style="2" bestFit="1" customWidth="1"/>
    <col min="8970" max="8970" width="15.109375" style="2" bestFit="1" customWidth="1"/>
    <col min="8971" max="8971" width="21.109375" style="2" bestFit="1" customWidth="1"/>
    <col min="8972" max="9216" width="9.109375" style="2" customWidth="1"/>
    <col min="9217" max="9217" width="65.44140625" style="2" customWidth="1"/>
    <col min="9218" max="9218" width="13.6640625" style="2" customWidth="1"/>
    <col min="9219" max="9219" width="5.6640625" style="2" customWidth="1"/>
    <col min="9220" max="9220" width="18.33203125" style="2" bestFit="1" customWidth="1"/>
    <col min="9221" max="9221" width="18.109375" style="2" customWidth="1"/>
    <col min="9222" max="9222" width="18.6640625" style="2" customWidth="1"/>
    <col min="9223" max="9223" width="9.109375" style="2" customWidth="1"/>
    <col min="9224" max="9224" width="13" style="2" bestFit="1" customWidth="1"/>
    <col min="9225" max="9225" width="23.6640625" style="2" bestFit="1" customWidth="1"/>
    <col min="9226" max="9226" width="15.109375" style="2" bestFit="1" customWidth="1"/>
    <col min="9227" max="9227" width="21.109375" style="2" bestFit="1" customWidth="1"/>
    <col min="9228" max="9472" width="9.109375" style="2" customWidth="1"/>
    <col min="9473" max="9473" width="65.44140625" style="2" customWidth="1"/>
    <col min="9474" max="9474" width="13.6640625" style="2" customWidth="1"/>
    <col min="9475" max="9475" width="5.6640625" style="2" customWidth="1"/>
    <col min="9476" max="9476" width="18.33203125" style="2" bestFit="1" customWidth="1"/>
    <col min="9477" max="9477" width="18.109375" style="2" customWidth="1"/>
    <col min="9478" max="9478" width="18.6640625" style="2" customWidth="1"/>
    <col min="9479" max="9479" width="9.109375" style="2" customWidth="1"/>
    <col min="9480" max="9480" width="13" style="2" bestFit="1" customWidth="1"/>
    <col min="9481" max="9481" width="23.6640625" style="2" bestFit="1" customWidth="1"/>
    <col min="9482" max="9482" width="15.109375" style="2" bestFit="1" customWidth="1"/>
    <col min="9483" max="9483" width="21.109375" style="2" bestFit="1" customWidth="1"/>
    <col min="9484" max="9728" width="9.109375" style="2" customWidth="1"/>
    <col min="9729" max="9729" width="65.44140625" style="2" customWidth="1"/>
    <col min="9730" max="9730" width="13.6640625" style="2" customWidth="1"/>
    <col min="9731" max="9731" width="5.6640625" style="2" customWidth="1"/>
    <col min="9732" max="9732" width="18.33203125" style="2" bestFit="1" customWidth="1"/>
    <col min="9733" max="9733" width="18.109375" style="2" customWidth="1"/>
    <col min="9734" max="9734" width="18.6640625" style="2" customWidth="1"/>
    <col min="9735" max="9735" width="9.109375" style="2" customWidth="1"/>
    <col min="9736" max="9736" width="13" style="2" bestFit="1" customWidth="1"/>
    <col min="9737" max="9737" width="23.6640625" style="2" bestFit="1" customWidth="1"/>
    <col min="9738" max="9738" width="15.109375" style="2" bestFit="1" customWidth="1"/>
    <col min="9739" max="9739" width="21.109375" style="2" bestFit="1" customWidth="1"/>
    <col min="9740" max="9984" width="9.109375" style="2" customWidth="1"/>
    <col min="9985" max="9985" width="65.44140625" style="2" customWidth="1"/>
    <col min="9986" max="9986" width="13.6640625" style="2" customWidth="1"/>
    <col min="9987" max="9987" width="5.6640625" style="2" customWidth="1"/>
    <col min="9988" max="9988" width="18.33203125" style="2" bestFit="1" customWidth="1"/>
    <col min="9989" max="9989" width="18.109375" style="2" customWidth="1"/>
    <col min="9990" max="9990" width="18.6640625" style="2" customWidth="1"/>
    <col min="9991" max="9991" width="9.109375" style="2" customWidth="1"/>
    <col min="9992" max="9992" width="13" style="2" bestFit="1" customWidth="1"/>
    <col min="9993" max="9993" width="23.6640625" style="2" bestFit="1" customWidth="1"/>
    <col min="9994" max="9994" width="15.109375" style="2" bestFit="1" customWidth="1"/>
    <col min="9995" max="9995" width="21.109375" style="2" bestFit="1" customWidth="1"/>
    <col min="9996" max="10240" width="9.109375" style="2" customWidth="1"/>
    <col min="10241" max="10241" width="65.44140625" style="2" customWidth="1"/>
    <col min="10242" max="10242" width="13.6640625" style="2" customWidth="1"/>
    <col min="10243" max="10243" width="5.6640625" style="2" customWidth="1"/>
    <col min="10244" max="10244" width="18.33203125" style="2" bestFit="1" customWidth="1"/>
    <col min="10245" max="10245" width="18.109375" style="2" customWidth="1"/>
    <col min="10246" max="10246" width="18.6640625" style="2" customWidth="1"/>
    <col min="10247" max="10247" width="9.109375" style="2" customWidth="1"/>
    <col min="10248" max="10248" width="13" style="2" bestFit="1" customWidth="1"/>
    <col min="10249" max="10249" width="23.6640625" style="2" bestFit="1" customWidth="1"/>
    <col min="10250" max="10250" width="15.109375" style="2" bestFit="1" customWidth="1"/>
    <col min="10251" max="10251" width="21.109375" style="2" bestFit="1" customWidth="1"/>
    <col min="10252" max="10496" width="9.109375" style="2" customWidth="1"/>
    <col min="10497" max="10497" width="65.44140625" style="2" customWidth="1"/>
    <col min="10498" max="10498" width="13.6640625" style="2" customWidth="1"/>
    <col min="10499" max="10499" width="5.6640625" style="2" customWidth="1"/>
    <col min="10500" max="10500" width="18.33203125" style="2" bestFit="1" customWidth="1"/>
    <col min="10501" max="10501" width="18.109375" style="2" customWidth="1"/>
    <col min="10502" max="10502" width="18.6640625" style="2" customWidth="1"/>
    <col min="10503" max="10503" width="9.109375" style="2" customWidth="1"/>
    <col min="10504" max="10504" width="13" style="2" bestFit="1" customWidth="1"/>
    <col min="10505" max="10505" width="23.6640625" style="2" bestFit="1" customWidth="1"/>
    <col min="10506" max="10506" width="15.109375" style="2" bestFit="1" customWidth="1"/>
    <col min="10507" max="10507" width="21.109375" style="2" bestFit="1" customWidth="1"/>
    <col min="10508" max="10752" width="9.109375" style="2" customWidth="1"/>
    <col min="10753" max="10753" width="65.44140625" style="2" customWidth="1"/>
    <col min="10754" max="10754" width="13.6640625" style="2" customWidth="1"/>
    <col min="10755" max="10755" width="5.6640625" style="2" customWidth="1"/>
    <col min="10756" max="10756" width="18.33203125" style="2" bestFit="1" customWidth="1"/>
    <col min="10757" max="10757" width="18.109375" style="2" customWidth="1"/>
    <col min="10758" max="10758" width="18.6640625" style="2" customWidth="1"/>
    <col min="10759" max="10759" width="9.109375" style="2" customWidth="1"/>
    <col min="10760" max="10760" width="13" style="2" bestFit="1" customWidth="1"/>
    <col min="10761" max="10761" width="23.6640625" style="2" bestFit="1" customWidth="1"/>
    <col min="10762" max="10762" width="15.109375" style="2" bestFit="1" customWidth="1"/>
    <col min="10763" max="10763" width="21.109375" style="2" bestFit="1" customWidth="1"/>
    <col min="10764" max="11008" width="9.109375" style="2" customWidth="1"/>
    <col min="11009" max="11009" width="65.44140625" style="2" customWidth="1"/>
    <col min="11010" max="11010" width="13.6640625" style="2" customWidth="1"/>
    <col min="11011" max="11011" width="5.6640625" style="2" customWidth="1"/>
    <col min="11012" max="11012" width="18.33203125" style="2" bestFit="1" customWidth="1"/>
    <col min="11013" max="11013" width="18.109375" style="2" customWidth="1"/>
    <col min="11014" max="11014" width="18.6640625" style="2" customWidth="1"/>
    <col min="11015" max="11015" width="9.109375" style="2" customWidth="1"/>
    <col min="11016" max="11016" width="13" style="2" bestFit="1" customWidth="1"/>
    <col min="11017" max="11017" width="23.6640625" style="2" bestFit="1" customWidth="1"/>
    <col min="11018" max="11018" width="15.109375" style="2" bestFit="1" customWidth="1"/>
    <col min="11019" max="11019" width="21.109375" style="2" bestFit="1" customWidth="1"/>
    <col min="11020" max="11264" width="9.109375" style="2" customWidth="1"/>
    <col min="11265" max="11265" width="65.44140625" style="2" customWidth="1"/>
    <col min="11266" max="11266" width="13.6640625" style="2" customWidth="1"/>
    <col min="11267" max="11267" width="5.6640625" style="2" customWidth="1"/>
    <col min="11268" max="11268" width="18.33203125" style="2" bestFit="1" customWidth="1"/>
    <col min="11269" max="11269" width="18.109375" style="2" customWidth="1"/>
    <col min="11270" max="11270" width="18.6640625" style="2" customWidth="1"/>
    <col min="11271" max="11271" width="9.109375" style="2" customWidth="1"/>
    <col min="11272" max="11272" width="13" style="2" bestFit="1" customWidth="1"/>
    <col min="11273" max="11273" width="23.6640625" style="2" bestFit="1" customWidth="1"/>
    <col min="11274" max="11274" width="15.109375" style="2" bestFit="1" customWidth="1"/>
    <col min="11275" max="11275" width="21.109375" style="2" bestFit="1" customWidth="1"/>
    <col min="11276" max="11520" width="9.109375" style="2" customWidth="1"/>
    <col min="11521" max="11521" width="65.44140625" style="2" customWidth="1"/>
    <col min="11522" max="11522" width="13.6640625" style="2" customWidth="1"/>
    <col min="11523" max="11523" width="5.6640625" style="2" customWidth="1"/>
    <col min="11524" max="11524" width="18.33203125" style="2" bestFit="1" customWidth="1"/>
    <col min="11525" max="11525" width="18.109375" style="2" customWidth="1"/>
    <col min="11526" max="11526" width="18.6640625" style="2" customWidth="1"/>
    <col min="11527" max="11527" width="9.109375" style="2" customWidth="1"/>
    <col min="11528" max="11528" width="13" style="2" bestFit="1" customWidth="1"/>
    <col min="11529" max="11529" width="23.6640625" style="2" bestFit="1" customWidth="1"/>
    <col min="11530" max="11530" width="15.109375" style="2" bestFit="1" customWidth="1"/>
    <col min="11531" max="11531" width="21.109375" style="2" bestFit="1" customWidth="1"/>
    <col min="11532" max="11776" width="9.109375" style="2" customWidth="1"/>
    <col min="11777" max="11777" width="65.44140625" style="2" customWidth="1"/>
    <col min="11778" max="11778" width="13.6640625" style="2" customWidth="1"/>
    <col min="11779" max="11779" width="5.6640625" style="2" customWidth="1"/>
    <col min="11780" max="11780" width="18.33203125" style="2" bestFit="1" customWidth="1"/>
    <col min="11781" max="11781" width="18.109375" style="2" customWidth="1"/>
    <col min="11782" max="11782" width="18.6640625" style="2" customWidth="1"/>
    <col min="11783" max="11783" width="9.109375" style="2" customWidth="1"/>
    <col min="11784" max="11784" width="13" style="2" bestFit="1" customWidth="1"/>
    <col min="11785" max="11785" width="23.6640625" style="2" bestFit="1" customWidth="1"/>
    <col min="11786" max="11786" width="15.109375" style="2" bestFit="1" customWidth="1"/>
    <col min="11787" max="11787" width="21.109375" style="2" bestFit="1" customWidth="1"/>
    <col min="11788" max="12032" width="9.109375" style="2" customWidth="1"/>
    <col min="12033" max="12033" width="65.44140625" style="2" customWidth="1"/>
    <col min="12034" max="12034" width="13.6640625" style="2" customWidth="1"/>
    <col min="12035" max="12035" width="5.6640625" style="2" customWidth="1"/>
    <col min="12036" max="12036" width="18.33203125" style="2" bestFit="1" customWidth="1"/>
    <col min="12037" max="12037" width="18.109375" style="2" customWidth="1"/>
    <col min="12038" max="12038" width="18.6640625" style="2" customWidth="1"/>
    <col min="12039" max="12039" width="9.109375" style="2" customWidth="1"/>
    <col min="12040" max="12040" width="13" style="2" bestFit="1" customWidth="1"/>
    <col min="12041" max="12041" width="23.6640625" style="2" bestFit="1" customWidth="1"/>
    <col min="12042" max="12042" width="15.109375" style="2" bestFit="1" customWidth="1"/>
    <col min="12043" max="12043" width="21.109375" style="2" bestFit="1" customWidth="1"/>
    <col min="12044" max="12288" width="9.109375" style="2" customWidth="1"/>
    <col min="12289" max="12289" width="65.44140625" style="2" customWidth="1"/>
    <col min="12290" max="12290" width="13.6640625" style="2" customWidth="1"/>
    <col min="12291" max="12291" width="5.6640625" style="2" customWidth="1"/>
    <col min="12292" max="12292" width="18.33203125" style="2" bestFit="1" customWidth="1"/>
    <col min="12293" max="12293" width="18.109375" style="2" customWidth="1"/>
    <col min="12294" max="12294" width="18.6640625" style="2" customWidth="1"/>
    <col min="12295" max="12295" width="9.109375" style="2" customWidth="1"/>
    <col min="12296" max="12296" width="13" style="2" bestFit="1" customWidth="1"/>
    <col min="12297" max="12297" width="23.6640625" style="2" bestFit="1" customWidth="1"/>
    <col min="12298" max="12298" width="15.109375" style="2" bestFit="1" customWidth="1"/>
    <col min="12299" max="12299" width="21.109375" style="2" bestFit="1" customWidth="1"/>
    <col min="12300" max="12544" width="9.109375" style="2" customWidth="1"/>
    <col min="12545" max="12545" width="65.44140625" style="2" customWidth="1"/>
    <col min="12546" max="12546" width="13.6640625" style="2" customWidth="1"/>
    <col min="12547" max="12547" width="5.6640625" style="2" customWidth="1"/>
    <col min="12548" max="12548" width="18.33203125" style="2" bestFit="1" customWidth="1"/>
    <col min="12549" max="12549" width="18.109375" style="2" customWidth="1"/>
    <col min="12550" max="12550" width="18.6640625" style="2" customWidth="1"/>
    <col min="12551" max="12551" width="9.109375" style="2" customWidth="1"/>
    <col min="12552" max="12552" width="13" style="2" bestFit="1" customWidth="1"/>
    <col min="12553" max="12553" width="23.6640625" style="2" bestFit="1" customWidth="1"/>
    <col min="12554" max="12554" width="15.109375" style="2" bestFit="1" customWidth="1"/>
    <col min="12555" max="12555" width="21.109375" style="2" bestFit="1" customWidth="1"/>
    <col min="12556" max="12800" width="9.109375" style="2" customWidth="1"/>
    <col min="12801" max="12801" width="65.44140625" style="2" customWidth="1"/>
    <col min="12802" max="12802" width="13.6640625" style="2" customWidth="1"/>
    <col min="12803" max="12803" width="5.6640625" style="2" customWidth="1"/>
    <col min="12804" max="12804" width="18.33203125" style="2" bestFit="1" customWidth="1"/>
    <col min="12805" max="12805" width="18.109375" style="2" customWidth="1"/>
    <col min="12806" max="12806" width="18.6640625" style="2" customWidth="1"/>
    <col min="12807" max="12807" width="9.109375" style="2" customWidth="1"/>
    <col min="12808" max="12808" width="13" style="2" bestFit="1" customWidth="1"/>
    <col min="12809" max="12809" width="23.6640625" style="2" bestFit="1" customWidth="1"/>
    <col min="12810" max="12810" width="15.109375" style="2" bestFit="1" customWidth="1"/>
    <col min="12811" max="12811" width="21.109375" style="2" bestFit="1" customWidth="1"/>
    <col min="12812" max="13056" width="9.109375" style="2" customWidth="1"/>
    <col min="13057" max="13057" width="65.44140625" style="2" customWidth="1"/>
    <col min="13058" max="13058" width="13.6640625" style="2" customWidth="1"/>
    <col min="13059" max="13059" width="5.6640625" style="2" customWidth="1"/>
    <col min="13060" max="13060" width="18.33203125" style="2" bestFit="1" customWidth="1"/>
    <col min="13061" max="13061" width="18.109375" style="2" customWidth="1"/>
    <col min="13062" max="13062" width="18.6640625" style="2" customWidth="1"/>
    <col min="13063" max="13063" width="9.109375" style="2" customWidth="1"/>
    <col min="13064" max="13064" width="13" style="2" bestFit="1" customWidth="1"/>
    <col min="13065" max="13065" width="23.6640625" style="2" bestFit="1" customWidth="1"/>
    <col min="13066" max="13066" width="15.109375" style="2" bestFit="1" customWidth="1"/>
    <col min="13067" max="13067" width="21.109375" style="2" bestFit="1" customWidth="1"/>
    <col min="13068" max="13312" width="9.109375" style="2" customWidth="1"/>
    <col min="13313" max="13313" width="65.44140625" style="2" customWidth="1"/>
    <col min="13314" max="13314" width="13.6640625" style="2" customWidth="1"/>
    <col min="13315" max="13315" width="5.6640625" style="2" customWidth="1"/>
    <col min="13316" max="13316" width="18.33203125" style="2" bestFit="1" customWidth="1"/>
    <col min="13317" max="13317" width="18.109375" style="2" customWidth="1"/>
    <col min="13318" max="13318" width="18.6640625" style="2" customWidth="1"/>
    <col min="13319" max="13319" width="9.109375" style="2" customWidth="1"/>
    <col min="13320" max="13320" width="13" style="2" bestFit="1" customWidth="1"/>
    <col min="13321" max="13321" width="23.6640625" style="2" bestFit="1" customWidth="1"/>
    <col min="13322" max="13322" width="15.109375" style="2" bestFit="1" customWidth="1"/>
    <col min="13323" max="13323" width="21.109375" style="2" bestFit="1" customWidth="1"/>
    <col min="13324" max="13568" width="9.109375" style="2" customWidth="1"/>
    <col min="13569" max="13569" width="65.44140625" style="2" customWidth="1"/>
    <col min="13570" max="13570" width="13.6640625" style="2" customWidth="1"/>
    <col min="13571" max="13571" width="5.6640625" style="2" customWidth="1"/>
    <col min="13572" max="13572" width="18.33203125" style="2" bestFit="1" customWidth="1"/>
    <col min="13573" max="13573" width="18.109375" style="2" customWidth="1"/>
    <col min="13574" max="13574" width="18.6640625" style="2" customWidth="1"/>
    <col min="13575" max="13575" width="9.109375" style="2" customWidth="1"/>
    <col min="13576" max="13576" width="13" style="2" bestFit="1" customWidth="1"/>
    <col min="13577" max="13577" width="23.6640625" style="2" bestFit="1" customWidth="1"/>
    <col min="13578" max="13578" width="15.109375" style="2" bestFit="1" customWidth="1"/>
    <col min="13579" max="13579" width="21.109375" style="2" bestFit="1" customWidth="1"/>
    <col min="13580" max="13824" width="9.109375" style="2" customWidth="1"/>
    <col min="13825" max="13825" width="65.44140625" style="2" customWidth="1"/>
    <col min="13826" max="13826" width="13.6640625" style="2" customWidth="1"/>
    <col min="13827" max="13827" width="5.6640625" style="2" customWidth="1"/>
    <col min="13828" max="13828" width="18.33203125" style="2" bestFit="1" customWidth="1"/>
    <col min="13829" max="13829" width="18.109375" style="2" customWidth="1"/>
    <col min="13830" max="13830" width="18.6640625" style="2" customWidth="1"/>
    <col min="13831" max="13831" width="9.109375" style="2" customWidth="1"/>
    <col min="13832" max="13832" width="13" style="2" bestFit="1" customWidth="1"/>
    <col min="13833" max="13833" width="23.6640625" style="2" bestFit="1" customWidth="1"/>
    <col min="13834" max="13834" width="15.109375" style="2" bestFit="1" customWidth="1"/>
    <col min="13835" max="13835" width="21.109375" style="2" bestFit="1" customWidth="1"/>
    <col min="13836" max="14080" width="9.109375" style="2" customWidth="1"/>
    <col min="14081" max="14081" width="65.44140625" style="2" customWidth="1"/>
    <col min="14082" max="14082" width="13.6640625" style="2" customWidth="1"/>
    <col min="14083" max="14083" width="5.6640625" style="2" customWidth="1"/>
    <col min="14084" max="14084" width="18.33203125" style="2" bestFit="1" customWidth="1"/>
    <col min="14085" max="14085" width="18.109375" style="2" customWidth="1"/>
    <col min="14086" max="14086" width="18.6640625" style="2" customWidth="1"/>
    <col min="14087" max="14087" width="9.109375" style="2" customWidth="1"/>
    <col min="14088" max="14088" width="13" style="2" bestFit="1" customWidth="1"/>
    <col min="14089" max="14089" width="23.6640625" style="2" bestFit="1" customWidth="1"/>
    <col min="14090" max="14090" width="15.109375" style="2" bestFit="1" customWidth="1"/>
    <col min="14091" max="14091" width="21.109375" style="2" bestFit="1" customWidth="1"/>
    <col min="14092" max="14336" width="9.109375" style="2" customWidth="1"/>
    <col min="14337" max="14337" width="65.44140625" style="2" customWidth="1"/>
    <col min="14338" max="14338" width="13.6640625" style="2" customWidth="1"/>
    <col min="14339" max="14339" width="5.6640625" style="2" customWidth="1"/>
    <col min="14340" max="14340" width="18.33203125" style="2" bestFit="1" customWidth="1"/>
    <col min="14341" max="14341" width="18.109375" style="2" customWidth="1"/>
    <col min="14342" max="14342" width="18.6640625" style="2" customWidth="1"/>
    <col min="14343" max="14343" width="9.109375" style="2" customWidth="1"/>
    <col min="14344" max="14344" width="13" style="2" bestFit="1" customWidth="1"/>
    <col min="14345" max="14345" width="23.6640625" style="2" bestFit="1" customWidth="1"/>
    <col min="14346" max="14346" width="15.109375" style="2" bestFit="1" customWidth="1"/>
    <col min="14347" max="14347" width="21.109375" style="2" bestFit="1" customWidth="1"/>
    <col min="14348" max="14592" width="9.109375" style="2" customWidth="1"/>
    <col min="14593" max="14593" width="65.44140625" style="2" customWidth="1"/>
    <col min="14594" max="14594" width="13.6640625" style="2" customWidth="1"/>
    <col min="14595" max="14595" width="5.6640625" style="2" customWidth="1"/>
    <col min="14596" max="14596" width="18.33203125" style="2" bestFit="1" customWidth="1"/>
    <col min="14597" max="14597" width="18.109375" style="2" customWidth="1"/>
    <col min="14598" max="14598" width="18.6640625" style="2" customWidth="1"/>
    <col min="14599" max="14599" width="9.109375" style="2" customWidth="1"/>
    <col min="14600" max="14600" width="13" style="2" bestFit="1" customWidth="1"/>
    <col min="14601" max="14601" width="23.6640625" style="2" bestFit="1" customWidth="1"/>
    <col min="14602" max="14602" width="15.109375" style="2" bestFit="1" customWidth="1"/>
    <col min="14603" max="14603" width="21.109375" style="2" bestFit="1" customWidth="1"/>
    <col min="14604" max="14848" width="9.109375" style="2" customWidth="1"/>
    <col min="14849" max="14849" width="65.44140625" style="2" customWidth="1"/>
    <col min="14850" max="14850" width="13.6640625" style="2" customWidth="1"/>
    <col min="14851" max="14851" width="5.6640625" style="2" customWidth="1"/>
    <col min="14852" max="14852" width="18.33203125" style="2" bestFit="1" customWidth="1"/>
    <col min="14853" max="14853" width="18.109375" style="2" customWidth="1"/>
    <col min="14854" max="14854" width="18.6640625" style="2" customWidth="1"/>
    <col min="14855" max="14855" width="9.109375" style="2" customWidth="1"/>
    <col min="14856" max="14856" width="13" style="2" bestFit="1" customWidth="1"/>
    <col min="14857" max="14857" width="23.6640625" style="2" bestFit="1" customWidth="1"/>
    <col min="14858" max="14858" width="15.109375" style="2" bestFit="1" customWidth="1"/>
    <col min="14859" max="14859" width="21.109375" style="2" bestFit="1" customWidth="1"/>
    <col min="14860" max="15104" width="9.109375" style="2" customWidth="1"/>
    <col min="15105" max="15105" width="65.44140625" style="2" customWidth="1"/>
    <col min="15106" max="15106" width="13.6640625" style="2" customWidth="1"/>
    <col min="15107" max="15107" width="5.6640625" style="2" customWidth="1"/>
    <col min="15108" max="15108" width="18.33203125" style="2" bestFit="1" customWidth="1"/>
    <col min="15109" max="15109" width="18.109375" style="2" customWidth="1"/>
    <col min="15110" max="15110" width="18.6640625" style="2" customWidth="1"/>
    <col min="15111" max="15111" width="9.109375" style="2" customWidth="1"/>
    <col min="15112" max="15112" width="13" style="2" bestFit="1" customWidth="1"/>
    <col min="15113" max="15113" width="23.6640625" style="2" bestFit="1" customWidth="1"/>
    <col min="15114" max="15114" width="15.109375" style="2" bestFit="1" customWidth="1"/>
    <col min="15115" max="15115" width="21.109375" style="2" bestFit="1" customWidth="1"/>
    <col min="15116" max="15360" width="9.109375" style="2" customWidth="1"/>
    <col min="15361" max="15361" width="65.44140625" style="2" customWidth="1"/>
    <col min="15362" max="15362" width="13.6640625" style="2" customWidth="1"/>
    <col min="15363" max="15363" width="5.6640625" style="2" customWidth="1"/>
    <col min="15364" max="15364" width="18.33203125" style="2" bestFit="1" customWidth="1"/>
    <col min="15365" max="15365" width="18.109375" style="2" customWidth="1"/>
    <col min="15366" max="15366" width="18.6640625" style="2" customWidth="1"/>
    <col min="15367" max="15367" width="9.109375" style="2" customWidth="1"/>
    <col min="15368" max="15368" width="13" style="2" bestFit="1" customWidth="1"/>
    <col min="15369" max="15369" width="23.6640625" style="2" bestFit="1" customWidth="1"/>
    <col min="15370" max="15370" width="15.109375" style="2" bestFit="1" customWidth="1"/>
    <col min="15371" max="15371" width="21.109375" style="2" bestFit="1" customWidth="1"/>
    <col min="15372" max="15616" width="9.109375" style="2" customWidth="1"/>
    <col min="15617" max="15617" width="65.44140625" style="2" customWidth="1"/>
    <col min="15618" max="15618" width="13.6640625" style="2" customWidth="1"/>
    <col min="15619" max="15619" width="5.6640625" style="2" customWidth="1"/>
    <col min="15620" max="15620" width="18.33203125" style="2" bestFit="1" customWidth="1"/>
    <col min="15621" max="15621" width="18.109375" style="2" customWidth="1"/>
    <col min="15622" max="15622" width="18.6640625" style="2" customWidth="1"/>
    <col min="15623" max="15623" width="9.109375" style="2" customWidth="1"/>
    <col min="15624" max="15624" width="13" style="2" bestFit="1" customWidth="1"/>
    <col min="15625" max="15625" width="23.6640625" style="2" bestFit="1" customWidth="1"/>
    <col min="15626" max="15626" width="15.109375" style="2" bestFit="1" customWidth="1"/>
    <col min="15627" max="15627" width="21.109375" style="2" bestFit="1" customWidth="1"/>
    <col min="15628" max="15872" width="9.109375" style="2" customWidth="1"/>
    <col min="15873" max="15873" width="65.44140625" style="2" customWidth="1"/>
    <col min="15874" max="15874" width="13.6640625" style="2" customWidth="1"/>
    <col min="15875" max="15875" width="5.6640625" style="2" customWidth="1"/>
    <col min="15876" max="15876" width="18.33203125" style="2" bestFit="1" customWidth="1"/>
    <col min="15877" max="15877" width="18.109375" style="2" customWidth="1"/>
    <col min="15878" max="15878" width="18.6640625" style="2" customWidth="1"/>
    <col min="15879" max="15879" width="9.109375" style="2" customWidth="1"/>
    <col min="15880" max="15880" width="13" style="2" bestFit="1" customWidth="1"/>
    <col min="15881" max="15881" width="23.6640625" style="2" bestFit="1" customWidth="1"/>
    <col min="15882" max="15882" width="15.109375" style="2" bestFit="1" customWidth="1"/>
    <col min="15883" max="15883" width="21.109375" style="2" bestFit="1" customWidth="1"/>
    <col min="15884" max="16128" width="9.109375" style="2" customWidth="1"/>
    <col min="16129" max="16129" width="65.44140625" style="2" customWidth="1"/>
    <col min="16130" max="16130" width="13.6640625" style="2" customWidth="1"/>
    <col min="16131" max="16131" width="5.6640625" style="2" customWidth="1"/>
    <col min="16132" max="16132" width="18.33203125" style="2" bestFit="1" customWidth="1"/>
    <col min="16133" max="16133" width="18.109375" style="2" customWidth="1"/>
    <col min="16134" max="16134" width="18.6640625" style="2" customWidth="1"/>
    <col min="16135" max="16135" width="9.109375" style="2" customWidth="1"/>
    <col min="16136" max="16136" width="13" style="2" bestFit="1" customWidth="1"/>
    <col min="16137" max="16137" width="23.6640625" style="2" bestFit="1" customWidth="1"/>
    <col min="16138" max="16138" width="15.109375" style="2" bestFit="1" customWidth="1"/>
    <col min="16139" max="16139" width="21.109375" style="2" bestFit="1" customWidth="1"/>
    <col min="16140" max="16384" width="9.109375" style="2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</row>
    <row r="2" spans="1:9" ht="15.6" x14ac:dyDescent="0.3">
      <c r="A2" s="3"/>
      <c r="B2" s="3"/>
      <c r="C2" s="4"/>
      <c r="D2" s="3"/>
      <c r="E2" s="4"/>
      <c r="F2" s="5" t="s">
        <v>0</v>
      </c>
      <c r="G2" s="6">
        <v>45064</v>
      </c>
    </row>
    <row r="3" spans="1:9" ht="15.6" x14ac:dyDescent="0.3">
      <c r="C3" s="7" t="s">
        <v>1</v>
      </c>
      <c r="F3" s="8"/>
      <c r="G3" s="9"/>
    </row>
    <row r="4" spans="1:9" ht="15.6" x14ac:dyDescent="0.3">
      <c r="C4" s="3" t="s">
        <v>2</v>
      </c>
      <c r="D4" s="10">
        <f>+'[1]PRESUPUESTO '!E7</f>
        <v>0</v>
      </c>
      <c r="E4" s="8"/>
      <c r="F4" s="8"/>
      <c r="G4" s="9"/>
    </row>
    <row r="5" spans="1:9" ht="15.6" x14ac:dyDescent="0.3">
      <c r="C5" s="3" t="s">
        <v>3</v>
      </c>
      <c r="D5" s="3" t="s">
        <v>4</v>
      </c>
      <c r="E5" s="8"/>
      <c r="F5" s="8"/>
      <c r="G5" s="9"/>
    </row>
    <row r="6" spans="1:9" ht="15.6" x14ac:dyDescent="0.3">
      <c r="C6" s="3"/>
      <c r="D6" s="11"/>
      <c r="E6" s="8"/>
      <c r="F6" s="8"/>
      <c r="G6" s="9"/>
    </row>
    <row r="7" spans="1:9" ht="15.6" x14ac:dyDescent="0.3">
      <c r="A7" s="12" t="s">
        <v>5</v>
      </c>
      <c r="B7" s="12" t="s">
        <v>6</v>
      </c>
      <c r="C7" s="13" t="s">
        <v>7</v>
      </c>
      <c r="D7" s="12" t="s">
        <v>8</v>
      </c>
      <c r="E7" s="13" t="s">
        <v>9</v>
      </c>
      <c r="F7" s="14" t="s">
        <v>10</v>
      </c>
      <c r="G7" s="15" t="s">
        <v>11</v>
      </c>
      <c r="H7" s="15"/>
    </row>
    <row r="8" spans="1:9" x14ac:dyDescent="0.25">
      <c r="A8" s="16"/>
      <c r="B8" s="17"/>
      <c r="C8" s="18"/>
      <c r="D8" s="17"/>
      <c r="E8" s="18"/>
      <c r="F8" s="18"/>
      <c r="G8" s="9"/>
      <c r="I8" s="19"/>
    </row>
    <row r="9" spans="1:9" x14ac:dyDescent="0.25">
      <c r="A9" s="16"/>
      <c r="B9" s="17"/>
      <c r="C9" s="18"/>
      <c r="D9" s="17"/>
      <c r="E9" s="18"/>
      <c r="F9" s="18"/>
      <c r="G9" s="9"/>
      <c r="I9" s="19"/>
    </row>
    <row r="10" spans="1:9" s="25" customFormat="1" ht="15" customHeight="1" x14ac:dyDescent="0.3">
      <c r="A10" s="20">
        <v>1</v>
      </c>
      <c r="B10" s="21" t="s">
        <v>12</v>
      </c>
      <c r="C10" s="22">
        <v>1</v>
      </c>
      <c r="D10" s="23" t="s">
        <v>13</v>
      </c>
      <c r="E10" s="24"/>
      <c r="F10" s="24"/>
      <c r="G10" s="24"/>
    </row>
    <row r="11" spans="1:9" s="25" customFormat="1" ht="15" customHeight="1" x14ac:dyDescent="0.3">
      <c r="A11" s="20"/>
      <c r="B11" s="2" t="s">
        <v>14</v>
      </c>
      <c r="C11" s="22">
        <f>1/(87)</f>
        <v>1.1494252873563218E-2</v>
      </c>
      <c r="D11" s="23" t="s">
        <v>15</v>
      </c>
      <c r="E11" s="26">
        <f>+'[1]MO MAY25'!N200</f>
        <v>11500</v>
      </c>
      <c r="F11" s="27">
        <f>E11*C11</f>
        <v>132.18390804597701</v>
      </c>
      <c r="G11" s="24"/>
    </row>
    <row r="12" spans="1:9" s="25" customFormat="1" x14ac:dyDescent="0.3">
      <c r="A12" s="28"/>
      <c r="B12" s="29" t="s">
        <v>16</v>
      </c>
      <c r="C12" s="30">
        <f>1/30</f>
        <v>3.3333333333333333E-2</v>
      </c>
      <c r="D12" s="29" t="s">
        <v>17</v>
      </c>
      <c r="E12" s="31">
        <f>2451.48*1.1</f>
        <v>2696.6280000000002</v>
      </c>
      <c r="F12" s="27">
        <f>E12*C12</f>
        <v>89.887600000000006</v>
      </c>
      <c r="G12" s="32"/>
    </row>
    <row r="13" spans="1:9" s="25" customFormat="1" x14ac:dyDescent="0.3">
      <c r="A13" s="28"/>
      <c r="B13" s="29" t="s">
        <v>18</v>
      </c>
      <c r="C13" s="30">
        <f>+C12</f>
        <v>3.3333333333333333E-2</v>
      </c>
      <c r="D13" s="29" t="s">
        <v>17</v>
      </c>
      <c r="E13" s="31">
        <f>+'[1]MO MAY25'!N207</f>
        <v>1150</v>
      </c>
      <c r="F13" s="27">
        <f>E13*C13</f>
        <v>38.333333333333336</v>
      </c>
      <c r="G13" s="32"/>
    </row>
    <row r="14" spans="1:9" s="25" customFormat="1" x14ac:dyDescent="0.3">
      <c r="A14" s="28"/>
      <c r="B14" s="29"/>
      <c r="C14" s="30">
        <v>1</v>
      </c>
      <c r="D14" s="29" t="s">
        <v>13</v>
      </c>
      <c r="E14" s="31">
        <f>+'[1]MO MAY25'!N528</f>
        <v>310.5</v>
      </c>
      <c r="F14" s="27">
        <f>E14*C14</f>
        <v>310.5</v>
      </c>
      <c r="G14" s="32"/>
    </row>
    <row r="15" spans="1:9" s="25" customFormat="1" ht="15.6" x14ac:dyDescent="0.3">
      <c r="A15" s="33"/>
      <c r="B15" s="34"/>
      <c r="C15" s="30"/>
      <c r="D15" s="34"/>
      <c r="E15" s="35"/>
      <c r="G15" s="36">
        <f>SUM(F11:F14)</f>
        <v>570.90484137931026</v>
      </c>
      <c r="H15" s="37" t="s">
        <v>19</v>
      </c>
    </row>
    <row r="16" spans="1:9" s="25" customFormat="1" ht="15.6" x14ac:dyDescent="0.3">
      <c r="A16" s="33"/>
      <c r="B16" s="34"/>
      <c r="C16" s="30"/>
      <c r="D16" s="34"/>
      <c r="E16" s="35"/>
      <c r="F16" s="38"/>
      <c r="G16" s="39">
        <f>+E11+E12+E13+E14</f>
        <v>15657.128000000001</v>
      </c>
      <c r="H16" s="3"/>
    </row>
    <row r="17" spans="1:8" s="25" customFormat="1" ht="15.6" x14ac:dyDescent="0.25">
      <c r="A17" s="33"/>
      <c r="B17" s="34"/>
      <c r="C17" s="30"/>
      <c r="D17" s="34"/>
      <c r="E17" s="35"/>
      <c r="F17" s="38"/>
      <c r="G17" s="40"/>
      <c r="H17" s="41"/>
    </row>
    <row r="18" spans="1:8" s="25" customFormat="1" ht="15.6" x14ac:dyDescent="0.3">
      <c r="A18" s="20">
        <f>+A10+1</f>
        <v>2</v>
      </c>
      <c r="B18" s="21" t="s">
        <v>20</v>
      </c>
      <c r="C18" s="22">
        <v>24</v>
      </c>
      <c r="D18" s="23" t="s">
        <v>21</v>
      </c>
      <c r="E18" s="31"/>
      <c r="F18" s="24"/>
      <c r="G18" s="42"/>
    </row>
    <row r="19" spans="1:8" s="25" customFormat="1" ht="15.6" x14ac:dyDescent="0.3">
      <c r="A19" s="20"/>
      <c r="B19" s="43" t="s">
        <v>22</v>
      </c>
      <c r="C19" s="30">
        <v>192</v>
      </c>
      <c r="D19" s="29" t="s">
        <v>23</v>
      </c>
      <c r="E19" s="31">
        <f>+'[1]Lista de precios MAY25'!E193</f>
        <v>142.00119999999998</v>
      </c>
      <c r="F19" s="27">
        <f t="shared" ref="F19:F37" si="0">E19*C19</f>
        <v>27264.230399999997</v>
      </c>
      <c r="G19" s="42"/>
    </row>
    <row r="20" spans="1:8" s="25" customFormat="1" ht="15.6" x14ac:dyDescent="0.3">
      <c r="A20" s="33"/>
      <c r="B20" s="43" t="s">
        <v>24</v>
      </c>
      <c r="C20" s="30">
        <v>144</v>
      </c>
      <c r="D20" s="29" t="s">
        <v>23</v>
      </c>
      <c r="E20" s="31">
        <f>+'[1]Lista de precios MAY25'!E194</f>
        <v>139.99519999999998</v>
      </c>
      <c r="F20" s="27">
        <f t="shared" si="0"/>
        <v>20159.308799999999</v>
      </c>
      <c r="G20" s="42"/>
    </row>
    <row r="21" spans="1:8" s="25" customFormat="1" ht="15.6" x14ac:dyDescent="0.3">
      <c r="A21" s="33"/>
      <c r="B21" s="43" t="s">
        <v>25</v>
      </c>
      <c r="C21" s="30">
        <v>64</v>
      </c>
      <c r="D21" s="29" t="s">
        <v>23</v>
      </c>
      <c r="E21" s="31">
        <f>+'[1]Lista de precios MAY25'!E195</f>
        <v>139.99519999999998</v>
      </c>
      <c r="F21" s="27">
        <f t="shared" si="0"/>
        <v>8959.6927999999989</v>
      </c>
      <c r="G21" s="42"/>
    </row>
    <row r="22" spans="1:8" s="25" customFormat="1" ht="15.6" x14ac:dyDescent="0.3">
      <c r="A22" s="33"/>
      <c r="B22" s="29" t="s">
        <v>26</v>
      </c>
      <c r="C22" s="30">
        <v>22</v>
      </c>
      <c r="D22" s="29" t="s">
        <v>27</v>
      </c>
      <c r="E22" s="31">
        <f>+'[1]Lista de precios MAY25'!E196</f>
        <v>3250.0031999999997</v>
      </c>
      <c r="F22" s="27">
        <f t="shared" si="0"/>
        <v>71500.070399999997</v>
      </c>
      <c r="G22" s="42"/>
    </row>
    <row r="23" spans="1:8" s="25" customFormat="1" ht="15.6" x14ac:dyDescent="0.3">
      <c r="A23" s="33"/>
      <c r="B23" s="29" t="s">
        <v>28</v>
      </c>
      <c r="C23" s="30">
        <v>10</v>
      </c>
      <c r="D23" s="29" t="s">
        <v>27</v>
      </c>
      <c r="E23" s="31">
        <f>+'[1]Lista de precios MAY25'!E197</f>
        <v>546</v>
      </c>
      <c r="F23" s="27">
        <f>E23*C23</f>
        <v>5460</v>
      </c>
      <c r="G23" s="42"/>
    </row>
    <row r="24" spans="1:8" s="25" customFormat="1" ht="15.6" x14ac:dyDescent="0.3">
      <c r="A24" s="33"/>
      <c r="B24" s="29" t="s">
        <v>29</v>
      </c>
      <c r="C24" s="30">
        <v>16</v>
      </c>
      <c r="D24" s="29" t="s">
        <v>27</v>
      </c>
      <c r="E24" s="31">
        <f>+'[1]Lista de precios MAY25'!E191</f>
        <v>2520</v>
      </c>
      <c r="F24" s="27">
        <f t="shared" si="0"/>
        <v>40320</v>
      </c>
      <c r="G24" s="42"/>
    </row>
    <row r="25" spans="1:8" s="25" customFormat="1" ht="15.6" x14ac:dyDescent="0.3">
      <c r="A25" s="33"/>
      <c r="B25" s="29" t="s">
        <v>30</v>
      </c>
      <c r="C25" s="30">
        <v>20</v>
      </c>
      <c r="D25" s="29" t="s">
        <v>31</v>
      </c>
      <c r="E25" s="31">
        <f>+'[1]Lista de precios MAY25'!$E$54</f>
        <v>59.2</v>
      </c>
      <c r="F25" s="27">
        <f t="shared" si="0"/>
        <v>1184</v>
      </c>
      <c r="G25" s="42"/>
    </row>
    <row r="26" spans="1:8" s="25" customFormat="1" ht="15.6" x14ac:dyDescent="0.3">
      <c r="A26" s="33"/>
      <c r="B26" s="29" t="s">
        <v>32</v>
      </c>
      <c r="C26" s="30">
        <v>10</v>
      </c>
      <c r="D26" s="29" t="s">
        <v>31</v>
      </c>
      <c r="E26" s="31">
        <f>+'[1]Lista de precios MAY25'!$E$57</f>
        <v>63</v>
      </c>
      <c r="F26" s="27">
        <f t="shared" si="0"/>
        <v>630</v>
      </c>
      <c r="G26" s="42"/>
    </row>
    <row r="27" spans="1:8" s="25" customFormat="1" ht="15.6" x14ac:dyDescent="0.3">
      <c r="A27" s="33"/>
      <c r="B27" s="29" t="s">
        <v>33</v>
      </c>
      <c r="C27" s="30">
        <v>10</v>
      </c>
      <c r="D27" s="29" t="s">
        <v>34</v>
      </c>
      <c r="E27" s="31">
        <f>SUM(F19:F26)/100</f>
        <v>1754.7730239999999</v>
      </c>
      <c r="F27" s="27">
        <f t="shared" si="0"/>
        <v>17547.730239999997</v>
      </c>
      <c r="G27" s="42"/>
    </row>
    <row r="28" spans="1:8" s="25" customFormat="1" ht="15.6" x14ac:dyDescent="0.3">
      <c r="A28" s="33"/>
      <c r="B28" s="44" t="s">
        <v>35</v>
      </c>
      <c r="C28" s="30">
        <v>6</v>
      </c>
      <c r="D28" s="29" t="s">
        <v>36</v>
      </c>
      <c r="E28" s="31">
        <f>+'[1]Lista de precios MAY25'!E166</f>
        <v>554.29</v>
      </c>
      <c r="F28" s="27">
        <f t="shared" si="0"/>
        <v>3325.74</v>
      </c>
      <c r="G28" s="42"/>
    </row>
    <row r="29" spans="1:8" s="25" customFormat="1" ht="15.6" x14ac:dyDescent="0.3">
      <c r="A29" s="33"/>
      <c r="B29" s="44" t="s">
        <v>37</v>
      </c>
      <c r="C29" s="30">
        <v>4</v>
      </c>
      <c r="D29" s="29" t="s">
        <v>27</v>
      </c>
      <c r="E29" s="31">
        <f>+'[1]Lista de precios MAY25'!E167</f>
        <v>603.15</v>
      </c>
      <c r="F29" s="27">
        <f t="shared" si="0"/>
        <v>2412.6</v>
      </c>
      <c r="G29" s="42"/>
    </row>
    <row r="30" spans="1:8" s="25" customFormat="1" ht="14.25" customHeight="1" x14ac:dyDescent="0.3">
      <c r="A30" s="33"/>
      <c r="B30" s="44" t="s">
        <v>38</v>
      </c>
      <c r="C30" s="30">
        <v>1</v>
      </c>
      <c r="D30" s="29" t="s">
        <v>27</v>
      </c>
      <c r="E30" s="31">
        <f>+'[1]Lista de precios MAY25'!E168</f>
        <v>1627.86</v>
      </c>
      <c r="F30" s="27">
        <f t="shared" si="0"/>
        <v>1627.86</v>
      </c>
      <c r="G30" s="42"/>
    </row>
    <row r="31" spans="1:8" s="25" customFormat="1" ht="15.6" x14ac:dyDescent="0.3">
      <c r="A31" s="33"/>
      <c r="B31" s="44" t="s">
        <v>39</v>
      </c>
      <c r="C31" s="30">
        <v>2</v>
      </c>
      <c r="D31" s="29" t="s">
        <v>27</v>
      </c>
      <c r="E31" s="31">
        <f>+'[1]Lista de precios MAY25'!E169</f>
        <v>172.65</v>
      </c>
      <c r="F31" s="27">
        <f t="shared" si="0"/>
        <v>345.3</v>
      </c>
      <c r="G31" s="42"/>
    </row>
    <row r="32" spans="1:8" s="25" customFormat="1" ht="15.6" x14ac:dyDescent="0.3">
      <c r="A32" s="33"/>
      <c r="B32" s="44" t="s">
        <v>40</v>
      </c>
      <c r="C32" s="30">
        <v>2</v>
      </c>
      <c r="D32" s="29" t="s">
        <v>27</v>
      </c>
      <c r="E32" s="31">
        <f>+'[1]Lista de precios MAY25'!E170</f>
        <v>891.81</v>
      </c>
      <c r="F32" s="27">
        <f t="shared" si="0"/>
        <v>1783.62</v>
      </c>
      <c r="G32" s="42"/>
    </row>
    <row r="33" spans="1:9" s="25" customFormat="1" ht="15.6" x14ac:dyDescent="0.3">
      <c r="A33" s="33"/>
      <c r="B33" s="44" t="s">
        <v>41</v>
      </c>
      <c r="C33" s="30">
        <v>2</v>
      </c>
      <c r="D33" s="29" t="s">
        <v>27</v>
      </c>
      <c r="E33" s="31">
        <f>75*57</f>
        <v>4275</v>
      </c>
      <c r="F33" s="27">
        <f t="shared" si="0"/>
        <v>8550</v>
      </c>
      <c r="G33" s="42"/>
    </row>
    <row r="34" spans="1:9" s="25" customFormat="1" ht="15.6" x14ac:dyDescent="0.3">
      <c r="A34" s="33"/>
      <c r="B34" s="44" t="s">
        <v>42</v>
      </c>
      <c r="C34" s="30">
        <v>1</v>
      </c>
      <c r="D34" s="29" t="s">
        <v>27</v>
      </c>
      <c r="E34" s="31">
        <f>50*57</f>
        <v>2850</v>
      </c>
      <c r="F34" s="27">
        <f t="shared" si="0"/>
        <v>2850</v>
      </c>
      <c r="G34" s="42"/>
    </row>
    <row r="35" spans="1:9" s="25" customFormat="1" ht="15.6" x14ac:dyDescent="0.3">
      <c r="A35" s="33"/>
      <c r="B35" s="44" t="s">
        <v>43</v>
      </c>
      <c r="C35" s="30">
        <v>1</v>
      </c>
      <c r="D35" s="29" t="s">
        <v>27</v>
      </c>
      <c r="E35" s="31">
        <f>50*57</f>
        <v>2850</v>
      </c>
      <c r="F35" s="27">
        <f t="shared" si="0"/>
        <v>2850</v>
      </c>
      <c r="G35" s="42"/>
    </row>
    <row r="36" spans="1:9" s="25" customFormat="1" ht="15.6" x14ac:dyDescent="0.3">
      <c r="A36" s="33"/>
      <c r="B36" s="29" t="s">
        <v>44</v>
      </c>
      <c r="C36" s="30">
        <v>1</v>
      </c>
      <c r="D36" s="29" t="s">
        <v>45</v>
      </c>
      <c r="E36" s="31">
        <f>+((3*2+8*2)*3+3*8)*'[1]MO MAY25'!N531</f>
        <v>8280</v>
      </c>
      <c r="F36" s="27">
        <f t="shared" si="0"/>
        <v>8280</v>
      </c>
      <c r="G36" s="42"/>
    </row>
    <row r="37" spans="1:9" s="25" customFormat="1" ht="15.6" x14ac:dyDescent="0.3">
      <c r="A37" s="45"/>
      <c r="B37" s="29" t="s">
        <v>46</v>
      </c>
      <c r="C37" s="30">
        <v>1</v>
      </c>
      <c r="D37" s="29" t="s">
        <v>47</v>
      </c>
      <c r="E37" s="31">
        <v>6000</v>
      </c>
      <c r="F37" s="27">
        <f t="shared" si="0"/>
        <v>6000</v>
      </c>
    </row>
    <row r="38" spans="1:9" ht="15.6" x14ac:dyDescent="0.3">
      <c r="A38" s="16"/>
      <c r="B38" s="34"/>
      <c r="C38" s="30"/>
      <c r="D38" s="29"/>
      <c r="E38" s="46"/>
      <c r="G38" s="47">
        <f>SUM(F19:F37)</f>
        <v>231050.15263999996</v>
      </c>
      <c r="H38" s="48" t="s">
        <v>48</v>
      </c>
      <c r="I38" s="19"/>
    </row>
    <row r="39" spans="1:9" x14ac:dyDescent="0.25">
      <c r="A39" s="16"/>
      <c r="B39" s="17"/>
      <c r="C39" s="18"/>
      <c r="D39" s="41"/>
      <c r="E39" s="49"/>
      <c r="F39" s="18"/>
      <c r="G39" s="9"/>
      <c r="I39" s="19"/>
    </row>
    <row r="40" spans="1:9" ht="15.6" x14ac:dyDescent="0.3">
      <c r="A40" s="20">
        <f>+A18+1</f>
        <v>3</v>
      </c>
      <c r="B40" s="3" t="s">
        <v>49</v>
      </c>
      <c r="C40" s="18"/>
      <c r="D40" s="17"/>
      <c r="E40" s="49"/>
      <c r="F40" s="18"/>
      <c r="G40" s="9"/>
    </row>
    <row r="41" spans="1:9" x14ac:dyDescent="0.25">
      <c r="A41" s="16"/>
      <c r="B41" s="17"/>
      <c r="C41" s="18"/>
      <c r="D41" s="17"/>
      <c r="E41" s="49"/>
      <c r="F41" s="18"/>
      <c r="G41" s="9"/>
    </row>
    <row r="42" spans="1:9" ht="15.6" x14ac:dyDescent="0.3">
      <c r="A42" s="50">
        <f>+A40+0.01</f>
        <v>3.01</v>
      </c>
      <c r="B42" s="21" t="s">
        <v>50</v>
      </c>
      <c r="C42" s="8"/>
      <c r="E42" s="46"/>
      <c r="F42" s="51"/>
      <c r="G42" s="9"/>
    </row>
    <row r="43" spans="1:9" x14ac:dyDescent="0.25">
      <c r="A43" s="52"/>
      <c r="B43" s="41" t="s">
        <v>51</v>
      </c>
      <c r="C43" s="53">
        <v>7</v>
      </c>
      <c r="D43" s="41" t="s">
        <v>52</v>
      </c>
      <c r="E43" s="54">
        <f>+'[1]Lista de precios MAY25'!$E$33</f>
        <v>540.75</v>
      </c>
      <c r="F43" s="53">
        <f>E43*C43</f>
        <v>3785.25</v>
      </c>
      <c r="G43" s="9"/>
    </row>
    <row r="44" spans="1:9" x14ac:dyDescent="0.25">
      <c r="A44" s="52"/>
      <c r="B44" s="41" t="s">
        <v>53</v>
      </c>
      <c r="C44" s="53">
        <v>0.52</v>
      </c>
      <c r="D44" s="41" t="s">
        <v>54</v>
      </c>
      <c r="E44" s="54">
        <f>+'[1]Lista de precios MAY25'!$E$20</f>
        <v>1700</v>
      </c>
      <c r="F44" s="53">
        <f>E44*C44</f>
        <v>884</v>
      </c>
      <c r="G44" s="9"/>
    </row>
    <row r="45" spans="1:9" x14ac:dyDescent="0.25">
      <c r="A45" s="52"/>
      <c r="B45" s="41" t="s">
        <v>55</v>
      </c>
      <c r="C45" s="53">
        <v>0.86</v>
      </c>
      <c r="D45" s="41" t="s">
        <v>54</v>
      </c>
      <c r="E45" s="54">
        <f>+'[1]Lista de precios MAY25'!$E$21</f>
        <v>1470</v>
      </c>
      <c r="F45" s="53">
        <f>E45*C45</f>
        <v>1264.2</v>
      </c>
      <c r="G45" s="9"/>
    </row>
    <row r="46" spans="1:9" x14ac:dyDescent="0.25">
      <c r="A46" s="52"/>
      <c r="B46" s="41" t="s">
        <v>56</v>
      </c>
      <c r="C46" s="53">
        <v>58</v>
      </c>
      <c r="D46" s="41" t="s">
        <v>57</v>
      </c>
      <c r="E46" s="54">
        <f>+'[1]Lista de precios MAY25'!$E$159</f>
        <v>0.65</v>
      </c>
      <c r="F46" s="53">
        <f>E46*C46</f>
        <v>37.700000000000003</v>
      </c>
      <c r="G46" s="9"/>
    </row>
    <row r="47" spans="1:9" x14ac:dyDescent="0.25">
      <c r="A47" s="16"/>
      <c r="B47" s="2" t="s">
        <v>58</v>
      </c>
      <c r="C47" s="55">
        <v>1</v>
      </c>
      <c r="D47" s="2" t="s">
        <v>54</v>
      </c>
      <c r="E47" s="46">
        <f>+'[1]MO MAY25'!$N$207</f>
        <v>1150</v>
      </c>
      <c r="F47" s="2">
        <f>E47*C47</f>
        <v>1150</v>
      </c>
      <c r="G47" s="9"/>
    </row>
    <row r="48" spans="1:9" ht="15.6" x14ac:dyDescent="0.3">
      <c r="A48" s="52"/>
      <c r="C48" s="8"/>
      <c r="E48" s="46"/>
      <c r="F48" s="8"/>
      <c r="G48" s="56">
        <f>SUM(F43:F47)</f>
        <v>7121.15</v>
      </c>
      <c r="H48" s="57" t="s">
        <v>59</v>
      </c>
    </row>
    <row r="49" spans="1:9" x14ac:dyDescent="0.25">
      <c r="A49" s="52"/>
      <c r="C49" s="8"/>
      <c r="E49" s="46"/>
      <c r="F49" s="8"/>
      <c r="G49" s="58"/>
      <c r="H49" s="41"/>
      <c r="I49" s="40"/>
    </row>
    <row r="50" spans="1:9" ht="15.6" x14ac:dyDescent="0.3">
      <c r="A50" s="52">
        <f>0.01+A42</f>
        <v>3.0199999999999996</v>
      </c>
      <c r="B50" s="21" t="s">
        <v>60</v>
      </c>
      <c r="C50" s="8"/>
      <c r="E50" s="46"/>
      <c r="F50" s="8"/>
      <c r="G50" s="58"/>
    </row>
    <row r="51" spans="1:9" x14ac:dyDescent="0.25">
      <c r="A51" s="52"/>
      <c r="B51" s="2" t="s">
        <v>51</v>
      </c>
      <c r="C51" s="53">
        <v>12.84</v>
      </c>
      <c r="D51" s="41" t="s">
        <v>52</v>
      </c>
      <c r="E51" s="54">
        <f>+'[1]Lista de precios MAY25'!$E$33</f>
        <v>540.75</v>
      </c>
      <c r="F51" s="53">
        <f>E51*C51</f>
        <v>6943.23</v>
      </c>
      <c r="G51" s="58"/>
    </row>
    <row r="52" spans="1:9" x14ac:dyDescent="0.25">
      <c r="A52" s="52"/>
      <c r="B52" s="2" t="s">
        <v>53</v>
      </c>
      <c r="C52" s="53">
        <v>1.02</v>
      </c>
      <c r="D52" s="41" t="s">
        <v>54</v>
      </c>
      <c r="E52" s="54">
        <f>+'[1]Lista de precios MAY25'!$E$20</f>
        <v>1700</v>
      </c>
      <c r="F52" s="53">
        <f>E52*C52</f>
        <v>1734</v>
      </c>
      <c r="G52" s="58"/>
    </row>
    <row r="53" spans="1:9" x14ac:dyDescent="0.25">
      <c r="A53" s="16"/>
      <c r="B53" s="2" t="s">
        <v>56</v>
      </c>
      <c r="C53" s="53">
        <v>50</v>
      </c>
      <c r="D53" s="41" t="s">
        <v>57</v>
      </c>
      <c r="E53" s="54">
        <f>+'[1]Lista de precios MAY25'!$E$159</f>
        <v>0.65</v>
      </c>
      <c r="F53" s="53">
        <f>E53*C53</f>
        <v>32.5</v>
      </c>
      <c r="G53" s="58"/>
    </row>
    <row r="54" spans="1:9" ht="15.6" x14ac:dyDescent="0.3">
      <c r="A54" s="16"/>
      <c r="B54" s="2" t="s">
        <v>58</v>
      </c>
      <c r="C54" s="55">
        <v>1</v>
      </c>
      <c r="D54" s="2" t="s">
        <v>54</v>
      </c>
      <c r="E54" s="46">
        <f>+'[1]MO MAY25'!$N$207</f>
        <v>1150</v>
      </c>
      <c r="F54" s="2">
        <f>E54*C54</f>
        <v>1150</v>
      </c>
      <c r="G54" s="59"/>
      <c r="H54" s="21"/>
    </row>
    <row r="55" spans="1:9" ht="15.6" x14ac:dyDescent="0.3">
      <c r="A55" s="52"/>
      <c r="C55" s="8"/>
      <c r="E55" s="46"/>
      <c r="F55" s="8"/>
      <c r="G55" s="56">
        <f>SUM(F51:F55)</f>
        <v>9859.73</v>
      </c>
      <c r="H55" s="57" t="s">
        <v>59</v>
      </c>
    </row>
    <row r="56" spans="1:9" x14ac:dyDescent="0.25">
      <c r="A56" s="52"/>
      <c r="C56" s="8"/>
      <c r="E56" s="46"/>
      <c r="F56" s="8"/>
      <c r="G56" s="58"/>
      <c r="H56" s="41"/>
    </row>
    <row r="57" spans="1:9" ht="15.6" x14ac:dyDescent="0.3">
      <c r="A57" s="52">
        <f>A50+0.01</f>
        <v>3.0299999999999994</v>
      </c>
      <c r="B57" s="21" t="s">
        <v>61</v>
      </c>
      <c r="C57" s="8"/>
      <c r="E57" s="46"/>
      <c r="F57" s="8"/>
      <c r="G57" s="58"/>
    </row>
    <row r="58" spans="1:9" x14ac:dyDescent="0.25">
      <c r="A58" s="52"/>
      <c r="B58" s="2" t="s">
        <v>51</v>
      </c>
      <c r="C58" s="53">
        <v>12.84</v>
      </c>
      <c r="D58" s="41" t="s">
        <v>52</v>
      </c>
      <c r="E58" s="54">
        <f>+'[1]Lista de precios MAY25'!$E$33</f>
        <v>540.75</v>
      </c>
      <c r="F58" s="53">
        <f>E58*C58</f>
        <v>6943.23</v>
      </c>
      <c r="G58" s="58"/>
    </row>
    <row r="59" spans="1:9" x14ac:dyDescent="0.25">
      <c r="A59" s="52"/>
      <c r="B59" s="2" t="s">
        <v>53</v>
      </c>
      <c r="C59" s="53">
        <v>1.02</v>
      </c>
      <c r="D59" s="41" t="s">
        <v>54</v>
      </c>
      <c r="E59" s="54">
        <f>+'[1]Lista de precios MAY25'!$E$20</f>
        <v>1700</v>
      </c>
      <c r="F59" s="53">
        <f>E59*C59</f>
        <v>1734</v>
      </c>
      <c r="G59" s="58"/>
    </row>
    <row r="60" spans="1:9" x14ac:dyDescent="0.25">
      <c r="A60" s="52"/>
      <c r="B60" s="2" t="s">
        <v>56</v>
      </c>
      <c r="C60" s="53">
        <v>50</v>
      </c>
      <c r="D60" s="41" t="s">
        <v>57</v>
      </c>
      <c r="E60" s="54">
        <f>+'[1]Lista de precios MAY25'!$E$159</f>
        <v>0.65</v>
      </c>
      <c r="F60" s="53">
        <f>E60*C60</f>
        <v>32.5</v>
      </c>
      <c r="G60" s="58"/>
    </row>
    <row r="61" spans="1:9" x14ac:dyDescent="0.25">
      <c r="A61" s="16"/>
      <c r="B61" s="2" t="s">
        <v>62</v>
      </c>
      <c r="C61" s="53">
        <v>3.5</v>
      </c>
      <c r="D61" s="41" t="s">
        <v>57</v>
      </c>
      <c r="E61" s="46">
        <f>+'[1]Lista de precios MAY25'!$E$35</f>
        <v>507</v>
      </c>
      <c r="F61" s="53">
        <f>E61*C61</f>
        <v>1774.5</v>
      </c>
      <c r="G61" s="58"/>
    </row>
    <row r="62" spans="1:9" x14ac:dyDescent="0.25">
      <c r="A62" s="16"/>
      <c r="B62" s="2" t="s">
        <v>58</v>
      </c>
      <c r="C62" s="2">
        <v>1</v>
      </c>
      <c r="D62" s="2" t="s">
        <v>54</v>
      </c>
      <c r="E62" s="46">
        <f>+'[1]MO MAY25'!$N$207</f>
        <v>1150</v>
      </c>
      <c r="F62" s="2">
        <f>E62*C62</f>
        <v>1150</v>
      </c>
      <c r="G62" s="58"/>
    </row>
    <row r="63" spans="1:9" ht="15.6" x14ac:dyDescent="0.3">
      <c r="A63" s="52"/>
      <c r="C63" s="8"/>
      <c r="E63" s="46"/>
      <c r="F63" s="8"/>
      <c r="G63" s="56">
        <f>SUM(F58:F63)</f>
        <v>11634.23</v>
      </c>
      <c r="H63" s="57" t="s">
        <v>59</v>
      </c>
    </row>
    <row r="64" spans="1:9" x14ac:dyDescent="0.25">
      <c r="A64" s="52"/>
      <c r="C64" s="8"/>
      <c r="E64" s="46"/>
      <c r="F64" s="8"/>
      <c r="G64" s="58"/>
      <c r="H64" s="41"/>
    </row>
    <row r="65" spans="1:8" ht="15.6" x14ac:dyDescent="0.3">
      <c r="A65" s="52">
        <f>A57+0.01</f>
        <v>3.0399999999999991</v>
      </c>
      <c r="B65" s="21" t="s">
        <v>63</v>
      </c>
      <c r="C65" s="8"/>
      <c r="E65" s="46"/>
      <c r="F65" s="8"/>
      <c r="G65" s="58"/>
    </row>
    <row r="66" spans="1:8" x14ac:dyDescent="0.25">
      <c r="A66" s="52"/>
      <c r="B66" s="2" t="s">
        <v>51</v>
      </c>
      <c r="C66" s="53">
        <v>12.84</v>
      </c>
      <c r="D66" s="41" t="s">
        <v>52</v>
      </c>
      <c r="E66" s="54">
        <f>+'[1]Lista de precios MAY25'!$E$33</f>
        <v>540.75</v>
      </c>
      <c r="F66" s="53">
        <f>E66*C66</f>
        <v>6943.23</v>
      </c>
      <c r="G66" s="58"/>
    </row>
    <row r="67" spans="1:8" x14ac:dyDescent="0.25">
      <c r="A67" s="52"/>
      <c r="B67" s="2" t="s">
        <v>64</v>
      </c>
      <c r="C67" s="53">
        <v>0</v>
      </c>
      <c r="D67" s="41" t="s">
        <v>52</v>
      </c>
      <c r="E67" s="54">
        <f>+'[1]Lista de precios MAY25'!$E$34</f>
        <v>250</v>
      </c>
      <c r="F67" s="53">
        <f>E67*C67</f>
        <v>0</v>
      </c>
      <c r="G67" s="58"/>
    </row>
    <row r="68" spans="1:8" x14ac:dyDescent="0.25">
      <c r="A68" s="52"/>
      <c r="B68" s="2" t="s">
        <v>65</v>
      </c>
      <c r="C68" s="53">
        <v>1.1000000000000001</v>
      </c>
      <c r="D68" s="41" t="s">
        <v>54</v>
      </c>
      <c r="E68" s="54">
        <f>+'[1]Lista de precios MAY25'!E19</f>
        <v>1700</v>
      </c>
      <c r="F68" s="53">
        <f>E68*C68</f>
        <v>1870.0000000000002</v>
      </c>
      <c r="G68" s="58"/>
    </row>
    <row r="69" spans="1:8" x14ac:dyDescent="0.25">
      <c r="A69" s="16"/>
      <c r="B69" s="2" t="s">
        <v>66</v>
      </c>
      <c r="C69" s="53">
        <v>1</v>
      </c>
      <c r="D69" s="41" t="s">
        <v>54</v>
      </c>
      <c r="E69" s="46">
        <f>+'[1]MO MAY25'!$N$207</f>
        <v>1150</v>
      </c>
      <c r="F69" s="53">
        <f>E69*C69</f>
        <v>1150</v>
      </c>
      <c r="G69" s="58"/>
    </row>
    <row r="70" spans="1:8" x14ac:dyDescent="0.25">
      <c r="A70" s="16"/>
      <c r="B70" s="2" t="s">
        <v>67</v>
      </c>
      <c r="C70" s="53">
        <v>5</v>
      </c>
      <c r="D70" s="41" t="s">
        <v>34</v>
      </c>
      <c r="E70" s="54">
        <f>SUM(F66:F69)</f>
        <v>9963.23</v>
      </c>
      <c r="F70" s="53">
        <f>E70*C70/100</f>
        <v>498.16149999999993</v>
      </c>
      <c r="G70" s="58"/>
    </row>
    <row r="71" spans="1:8" x14ac:dyDescent="0.25">
      <c r="A71" s="16"/>
      <c r="B71" s="2" t="s">
        <v>56</v>
      </c>
      <c r="C71" s="53">
        <v>70</v>
      </c>
      <c r="D71" s="41" t="s">
        <v>57</v>
      </c>
      <c r="E71" s="54">
        <f>+'[1]Lista de precios MAY25'!$E$159</f>
        <v>0.65</v>
      </c>
      <c r="F71" s="53">
        <f>E71*C71</f>
        <v>45.5</v>
      </c>
      <c r="G71" s="58"/>
    </row>
    <row r="72" spans="1:8" x14ac:dyDescent="0.25">
      <c r="A72" s="16"/>
      <c r="B72" s="2" t="s">
        <v>58</v>
      </c>
      <c r="C72" s="2">
        <v>1</v>
      </c>
      <c r="D72" s="2" t="s">
        <v>54</v>
      </c>
      <c r="E72" s="46">
        <f>+'[1]MO MAY25'!$N$207</f>
        <v>1150</v>
      </c>
      <c r="F72" s="2">
        <f>E72*C72</f>
        <v>1150</v>
      </c>
      <c r="G72" s="58"/>
    </row>
    <row r="73" spans="1:8" ht="15.6" x14ac:dyDescent="0.3">
      <c r="A73" s="52"/>
      <c r="C73" s="8"/>
      <c r="E73" s="46"/>
      <c r="F73" s="8"/>
      <c r="G73" s="56">
        <f>SUM(F66:F72)</f>
        <v>11656.8915</v>
      </c>
      <c r="H73" s="57" t="s">
        <v>59</v>
      </c>
    </row>
    <row r="74" spans="1:8" x14ac:dyDescent="0.25">
      <c r="A74" s="52"/>
      <c r="C74" s="8"/>
      <c r="E74" s="46"/>
      <c r="F74" s="8"/>
      <c r="G74" s="58"/>
      <c r="H74" s="41"/>
    </row>
    <row r="75" spans="1:8" ht="15.6" x14ac:dyDescent="0.3">
      <c r="A75" s="52">
        <f>+A65+0.01</f>
        <v>3.0499999999999989</v>
      </c>
      <c r="B75" s="21" t="s">
        <v>68</v>
      </c>
      <c r="C75" s="8"/>
      <c r="E75" s="46"/>
      <c r="F75" s="8"/>
      <c r="G75" s="58"/>
    </row>
    <row r="76" spans="1:8" x14ac:dyDescent="0.25">
      <c r="A76" s="52"/>
      <c r="B76" s="2" t="s">
        <v>51</v>
      </c>
      <c r="C76" s="53">
        <v>12.84</v>
      </c>
      <c r="D76" s="41" t="s">
        <v>52</v>
      </c>
      <c r="E76" s="54">
        <f>+'[1]Lista de precios MAY25'!$E$33</f>
        <v>540.75</v>
      </c>
      <c r="F76" s="53">
        <f>E76*C76</f>
        <v>6943.23</v>
      </c>
      <c r="G76" s="58"/>
    </row>
    <row r="77" spans="1:8" x14ac:dyDescent="0.25">
      <c r="A77" s="52"/>
      <c r="B77" s="2" t="s">
        <v>64</v>
      </c>
      <c r="C77" s="53">
        <v>0</v>
      </c>
      <c r="D77" s="41" t="s">
        <v>52</v>
      </c>
      <c r="E77" s="54">
        <f>+'[1]Lista de precios MAY25'!$E$34</f>
        <v>250</v>
      </c>
      <c r="F77" s="53">
        <f>E77*C77</f>
        <v>0</v>
      </c>
      <c r="G77" s="58"/>
    </row>
    <row r="78" spans="1:8" x14ac:dyDescent="0.25">
      <c r="A78" s="52"/>
      <c r="B78" s="2" t="s">
        <v>69</v>
      </c>
      <c r="C78" s="53">
        <v>1.1000000000000001</v>
      </c>
      <c r="D78" s="41" t="s">
        <v>54</v>
      </c>
      <c r="E78" s="54">
        <f>+'[1]Lista de precios MAY25'!$E$20</f>
        <v>1700</v>
      </c>
      <c r="F78" s="53">
        <f>E78*C78</f>
        <v>1870.0000000000002</v>
      </c>
      <c r="G78" s="58"/>
    </row>
    <row r="79" spans="1:8" x14ac:dyDescent="0.25">
      <c r="A79" s="16"/>
      <c r="B79" s="2" t="s">
        <v>66</v>
      </c>
      <c r="C79" s="53">
        <v>1</v>
      </c>
      <c r="D79" s="41" t="s">
        <v>54</v>
      </c>
      <c r="E79" s="46">
        <f>+'[1]MO MAY25'!$N$207</f>
        <v>1150</v>
      </c>
      <c r="F79" s="53">
        <f>E79*C79</f>
        <v>1150</v>
      </c>
      <c r="G79" s="58"/>
    </row>
    <row r="80" spans="1:8" x14ac:dyDescent="0.25">
      <c r="A80" s="16"/>
      <c r="B80" s="2" t="s">
        <v>67</v>
      </c>
      <c r="C80" s="53">
        <v>5</v>
      </c>
      <c r="D80" s="41" t="s">
        <v>34</v>
      </c>
      <c r="E80" s="54">
        <f>SUM(F76:F79)</f>
        <v>9963.23</v>
      </c>
      <c r="F80" s="53">
        <f>E80*C80/100</f>
        <v>498.16149999999993</v>
      </c>
      <c r="G80" s="58"/>
    </row>
    <row r="81" spans="1:8" x14ac:dyDescent="0.25">
      <c r="A81" s="16"/>
      <c r="B81" s="2" t="s">
        <v>56</v>
      </c>
      <c r="C81" s="53">
        <v>70</v>
      </c>
      <c r="D81" s="41" t="s">
        <v>57</v>
      </c>
      <c r="E81" s="54">
        <f>+'[1]Lista de precios MAY25'!$E$159</f>
        <v>0.65</v>
      </c>
      <c r="F81" s="53">
        <f>E81*C81</f>
        <v>45.5</v>
      </c>
      <c r="G81" s="58"/>
    </row>
    <row r="82" spans="1:8" x14ac:dyDescent="0.25">
      <c r="A82" s="16"/>
      <c r="B82" s="2" t="s">
        <v>62</v>
      </c>
      <c r="C82" s="53">
        <v>0</v>
      </c>
      <c r="D82" s="41" t="s">
        <v>57</v>
      </c>
      <c r="E82" s="46">
        <f>+'[1]Lista de precios MAY25'!$E$35</f>
        <v>507</v>
      </c>
      <c r="F82" s="53">
        <f>E82*C82</f>
        <v>0</v>
      </c>
      <c r="G82" s="58"/>
    </row>
    <row r="83" spans="1:8" x14ac:dyDescent="0.25">
      <c r="A83" s="16"/>
      <c r="B83" s="2" t="s">
        <v>58</v>
      </c>
      <c r="C83" s="2">
        <v>1</v>
      </c>
      <c r="D83" s="2" t="s">
        <v>54</v>
      </c>
      <c r="E83" s="46">
        <f>+'[1]MO MAY25'!$N$207</f>
        <v>1150</v>
      </c>
      <c r="F83" s="2">
        <f>E83*C83</f>
        <v>1150</v>
      </c>
      <c r="G83" s="58"/>
    </row>
    <row r="84" spans="1:8" ht="15.6" x14ac:dyDescent="0.3">
      <c r="A84" s="52"/>
      <c r="C84" s="8"/>
      <c r="E84" s="46"/>
      <c r="F84" s="8"/>
      <c r="G84" s="56">
        <f>SUM(F76:F83)</f>
        <v>11656.8915</v>
      </c>
      <c r="H84" s="57" t="s">
        <v>59</v>
      </c>
    </row>
    <row r="85" spans="1:8" x14ac:dyDescent="0.25">
      <c r="A85" s="52"/>
      <c r="C85" s="8"/>
      <c r="E85" s="46"/>
      <c r="F85" s="8"/>
      <c r="G85" s="58"/>
      <c r="H85" s="41"/>
    </row>
    <row r="86" spans="1:8" ht="15.6" x14ac:dyDescent="0.3">
      <c r="A86" s="52">
        <f>A75+0.01</f>
        <v>3.0599999999999987</v>
      </c>
      <c r="B86" s="21" t="s">
        <v>70</v>
      </c>
      <c r="C86" s="8"/>
      <c r="E86" s="46"/>
      <c r="F86" s="8"/>
      <c r="G86" s="58"/>
    </row>
    <row r="87" spans="1:8" x14ac:dyDescent="0.25">
      <c r="A87" s="52"/>
      <c r="B87" s="2" t="s">
        <v>51</v>
      </c>
      <c r="C87" s="53">
        <v>7</v>
      </c>
      <c r="D87" s="41" t="s">
        <v>52</v>
      </c>
      <c r="E87" s="54">
        <f>+'[1]Lista de precios MAY25'!$E$33</f>
        <v>540.75</v>
      </c>
      <c r="F87" s="53">
        <f>E87*C87</f>
        <v>3785.25</v>
      </c>
      <c r="G87" s="58"/>
    </row>
    <row r="88" spans="1:8" x14ac:dyDescent="0.25">
      <c r="A88" s="52"/>
      <c r="B88" s="2" t="s">
        <v>53</v>
      </c>
      <c r="C88" s="53">
        <v>1.05</v>
      </c>
      <c r="D88" s="41" t="s">
        <v>54</v>
      </c>
      <c r="E88" s="54">
        <f>+'[1]Lista de precios MAY25'!$E$20</f>
        <v>1700</v>
      </c>
      <c r="F88" s="53">
        <f>E88*C88</f>
        <v>1785</v>
      </c>
      <c r="G88" s="58"/>
    </row>
    <row r="89" spans="1:8" x14ac:dyDescent="0.25">
      <c r="A89" s="52"/>
      <c r="B89" s="2" t="s">
        <v>58</v>
      </c>
      <c r="C89" s="53">
        <v>1</v>
      </c>
      <c r="D89" s="41" t="s">
        <v>54</v>
      </c>
      <c r="E89" s="46">
        <f>+'[1]MO MAY25'!$N$207</f>
        <v>1150</v>
      </c>
      <c r="F89" s="53">
        <f>E89*C89</f>
        <v>1150</v>
      </c>
      <c r="G89" s="58"/>
    </row>
    <row r="90" spans="1:8" x14ac:dyDescent="0.25">
      <c r="A90" s="16"/>
      <c r="B90" s="2" t="s">
        <v>56</v>
      </c>
      <c r="C90" s="53">
        <v>60</v>
      </c>
      <c r="D90" s="41" t="s">
        <v>57</v>
      </c>
      <c r="E90" s="54">
        <f>+'[1]Lista de precios MAY25'!$E$159</f>
        <v>0.65</v>
      </c>
      <c r="F90" s="53">
        <f>E90*C90</f>
        <v>39</v>
      </c>
      <c r="G90" s="58"/>
    </row>
    <row r="91" spans="1:8" ht="15.6" x14ac:dyDescent="0.3">
      <c r="A91" s="52"/>
      <c r="C91" s="8"/>
      <c r="E91" s="46"/>
      <c r="F91" s="8"/>
      <c r="G91" s="56">
        <f>SUM(F87:F90)</f>
        <v>6759.25</v>
      </c>
      <c r="H91" s="57" t="s">
        <v>59</v>
      </c>
    </row>
    <row r="92" spans="1:8" ht="15.6" x14ac:dyDescent="0.3">
      <c r="A92" s="16">
        <f>+A86+0.01</f>
        <v>3.0699999999999985</v>
      </c>
      <c r="B92" s="21" t="s">
        <v>71</v>
      </c>
      <c r="C92" s="8"/>
      <c r="E92" s="46"/>
      <c r="F92" s="8"/>
      <c r="G92" s="21"/>
      <c r="H92" s="21"/>
    </row>
    <row r="93" spans="1:8" x14ac:dyDescent="0.25">
      <c r="A93" s="16"/>
      <c r="B93" s="2" t="s">
        <v>72</v>
      </c>
      <c r="C93" s="53">
        <v>1</v>
      </c>
      <c r="D93" s="41" t="s">
        <v>73</v>
      </c>
      <c r="E93" s="54">
        <f>+'[1]Lista de precios MAY25'!E32</f>
        <v>1417.5</v>
      </c>
      <c r="F93" s="53">
        <f>E93*C93</f>
        <v>1417.5</v>
      </c>
    </row>
    <row r="94" spans="1:8" ht="15.6" x14ac:dyDescent="0.3">
      <c r="A94" s="16"/>
      <c r="B94" s="2" t="s">
        <v>56</v>
      </c>
      <c r="C94" s="53">
        <v>8</v>
      </c>
      <c r="D94" s="41" t="s">
        <v>57</v>
      </c>
      <c r="E94" s="54">
        <f>+'[1]Lista de precios MAY25'!$E$159</f>
        <v>0.65</v>
      </c>
      <c r="F94" s="53">
        <f>E94*C94</f>
        <v>5.2</v>
      </c>
      <c r="G94" s="21"/>
      <c r="H94" s="21"/>
    </row>
    <row r="95" spans="1:8" ht="15.6" x14ac:dyDescent="0.3">
      <c r="A95" s="16"/>
      <c r="C95" s="8"/>
      <c r="E95" s="46"/>
      <c r="F95" s="8"/>
      <c r="G95" s="56">
        <f>SUM(F93:F94)/90</f>
        <v>15.807777777777778</v>
      </c>
      <c r="H95" s="57" t="s">
        <v>74</v>
      </c>
    </row>
    <row r="96" spans="1:8" ht="15.6" x14ac:dyDescent="0.3">
      <c r="A96" s="16">
        <f>+A92+0.01</f>
        <v>3.0799999999999983</v>
      </c>
      <c r="B96" s="21" t="s">
        <v>75</v>
      </c>
      <c r="C96" s="8"/>
      <c r="E96" s="46"/>
      <c r="F96" s="8"/>
    </row>
    <row r="97" spans="1:9" x14ac:dyDescent="0.25">
      <c r="A97" s="16"/>
      <c r="B97" s="2" t="s">
        <v>76</v>
      </c>
      <c r="C97" s="53">
        <f>3*0.4*0.4*0.3</f>
        <v>0.14400000000000002</v>
      </c>
      <c r="D97" s="41" t="s">
        <v>54</v>
      </c>
      <c r="E97" s="54">
        <f>+'[1]MO MAY25'!N20</f>
        <v>1760</v>
      </c>
      <c r="F97" s="53">
        <f t="shared" ref="F97:F103" si="1">E97*C97</f>
        <v>253.44000000000003</v>
      </c>
    </row>
    <row r="98" spans="1:9" x14ac:dyDescent="0.25">
      <c r="A98" s="16"/>
      <c r="B98" s="2" t="s">
        <v>77</v>
      </c>
      <c r="C98" s="53">
        <f>3*0.4*0.4*0.5</f>
        <v>0.24000000000000005</v>
      </c>
      <c r="D98" s="41" t="s">
        <v>54</v>
      </c>
      <c r="E98" s="54">
        <f>+$G$48</f>
        <v>7121.15</v>
      </c>
      <c r="F98" s="53">
        <f t="shared" si="1"/>
        <v>1709.0760000000002</v>
      </c>
    </row>
    <row r="99" spans="1:9" x14ac:dyDescent="0.25">
      <c r="A99" s="16"/>
      <c r="B99" s="2" t="s">
        <v>78</v>
      </c>
      <c r="C99" s="53">
        <v>1.5</v>
      </c>
      <c r="D99" s="41" t="s">
        <v>79</v>
      </c>
      <c r="E99" s="54">
        <f>+'[1]Lista de precios MAY25'!E192</f>
        <v>857.38800000000003</v>
      </c>
      <c r="F99" s="53">
        <f t="shared" si="1"/>
        <v>1286.0820000000001</v>
      </c>
    </row>
    <row r="100" spans="1:9" x14ac:dyDescent="0.25">
      <c r="A100" s="16"/>
      <c r="B100" s="2" t="s">
        <v>80</v>
      </c>
      <c r="C100" s="53">
        <v>8</v>
      </c>
      <c r="D100" s="41" t="s">
        <v>81</v>
      </c>
      <c r="E100" s="54">
        <f>+'[1]Lista de precios MAY25'!E190/2.2</f>
        <v>845.45390909090895</v>
      </c>
      <c r="F100" s="53">
        <f t="shared" si="1"/>
        <v>6763.6312727272716</v>
      </c>
    </row>
    <row r="101" spans="1:9" x14ac:dyDescent="0.25">
      <c r="A101" s="16"/>
      <c r="B101" s="2" t="s">
        <v>32</v>
      </c>
      <c r="C101" s="53">
        <v>0.5</v>
      </c>
      <c r="D101" s="41" t="s">
        <v>82</v>
      </c>
      <c r="E101" s="54">
        <f>+'[1]Lista de precios MAY25'!E57</f>
        <v>63</v>
      </c>
      <c r="F101" s="53">
        <f t="shared" si="1"/>
        <v>31.5</v>
      </c>
    </row>
    <row r="102" spans="1:9" x14ac:dyDescent="0.25">
      <c r="A102" s="16"/>
      <c r="B102" s="2" t="s">
        <v>83</v>
      </c>
      <c r="C102" s="53">
        <v>8</v>
      </c>
      <c r="D102" s="41" t="s">
        <v>81</v>
      </c>
      <c r="E102" s="54">
        <f>+G2047</f>
        <v>199.65</v>
      </c>
      <c r="F102" s="53">
        <f>E102*C102</f>
        <v>1597.2</v>
      </c>
    </row>
    <row r="103" spans="1:9" x14ac:dyDescent="0.25">
      <c r="A103" s="16"/>
      <c r="B103" s="2" t="s">
        <v>84</v>
      </c>
      <c r="C103" s="53">
        <v>8</v>
      </c>
      <c r="D103" s="41" t="s">
        <v>81</v>
      </c>
      <c r="E103" s="54">
        <f>+'[1]MO MAY25'!N530</f>
        <v>207</v>
      </c>
      <c r="F103" s="53">
        <f t="shared" si="1"/>
        <v>1656</v>
      </c>
    </row>
    <row r="104" spans="1:9" ht="15.6" x14ac:dyDescent="0.3">
      <c r="A104" s="16"/>
      <c r="C104" s="53"/>
      <c r="D104" s="41"/>
      <c r="E104" s="54"/>
      <c r="F104" s="53"/>
      <c r="G104" s="39">
        <f>SUM(F97:F103)/C103</f>
        <v>1662.1161590909092</v>
      </c>
      <c r="H104" s="3" t="s">
        <v>81</v>
      </c>
    </row>
    <row r="105" spans="1:9" x14ac:dyDescent="0.25">
      <c r="A105" s="16"/>
      <c r="C105" s="53"/>
      <c r="D105" s="41"/>
      <c r="E105" s="54"/>
      <c r="F105" s="53"/>
      <c r="I105" s="40">
        <f>+G110+G115</f>
        <v>152.703035982009</v>
      </c>
    </row>
    <row r="106" spans="1:9" ht="15.6" x14ac:dyDescent="0.3">
      <c r="A106" s="16">
        <f>+A96+0.01</f>
        <v>3.0899999999999981</v>
      </c>
      <c r="B106" s="21" t="s">
        <v>85</v>
      </c>
      <c r="C106" s="8">
        <v>2668</v>
      </c>
      <c r="D106" s="2" t="s">
        <v>81</v>
      </c>
      <c r="E106" s="46"/>
      <c r="F106" s="8"/>
      <c r="I106" s="40"/>
    </row>
    <row r="107" spans="1:9" x14ac:dyDescent="0.25">
      <c r="A107" s="16"/>
      <c r="B107" s="2" t="s">
        <v>86</v>
      </c>
      <c r="C107" s="54">
        <v>1</v>
      </c>
      <c r="D107" s="41" t="s">
        <v>81</v>
      </c>
      <c r="E107" s="54">
        <v>93.25</v>
      </c>
      <c r="F107" s="53">
        <f t="shared" ref="F107:F109" si="2">E107*C107</f>
        <v>93.25</v>
      </c>
    </row>
    <row r="108" spans="1:9" x14ac:dyDescent="0.25">
      <c r="A108" s="16"/>
      <c r="B108" s="2" t="s">
        <v>87</v>
      </c>
      <c r="C108" s="60">
        <f>1/C106</f>
        <v>3.7481259370314841E-4</v>
      </c>
      <c r="D108" s="41" t="s">
        <v>81</v>
      </c>
      <c r="E108" s="61">
        <v>35000</v>
      </c>
      <c r="F108" s="53">
        <f t="shared" si="2"/>
        <v>13.118440779610195</v>
      </c>
    </row>
    <row r="109" spans="1:9" x14ac:dyDescent="0.25">
      <c r="A109" s="16"/>
      <c r="B109" s="2" t="s">
        <v>88</v>
      </c>
      <c r="C109" s="54">
        <f>30/C106</f>
        <v>1.1244377811094454E-2</v>
      </c>
      <c r="D109" s="41" t="s">
        <v>54</v>
      </c>
      <c r="E109" s="54">
        <f>+'[1]Lista de precios MAY25'!$E$22</f>
        <v>820.69</v>
      </c>
      <c r="F109" s="53">
        <f t="shared" si="2"/>
        <v>9.2281484257871078</v>
      </c>
    </row>
    <row r="110" spans="1:9" ht="15.6" x14ac:dyDescent="0.3">
      <c r="A110" s="16"/>
      <c r="C110" s="53"/>
      <c r="D110" s="41"/>
      <c r="E110" s="54"/>
      <c r="F110" s="53"/>
      <c r="G110" s="39">
        <f>SUM(F107:F109)</f>
        <v>115.59658920539731</v>
      </c>
      <c r="H110" s="3" t="s">
        <v>81</v>
      </c>
      <c r="I110" s="62">
        <f>2.88*58</f>
        <v>167.04</v>
      </c>
    </row>
    <row r="111" spans="1:9" ht="15.6" x14ac:dyDescent="0.3">
      <c r="A111" s="16">
        <f>+A101+0.01</f>
        <v>0.01</v>
      </c>
      <c r="B111" s="21" t="s">
        <v>89</v>
      </c>
      <c r="C111" s="8">
        <f>+C106</f>
        <v>2668</v>
      </c>
      <c r="D111" s="2" t="s">
        <v>81</v>
      </c>
      <c r="E111" s="46"/>
      <c r="F111" s="8"/>
      <c r="I111" s="62"/>
    </row>
    <row r="112" spans="1:9" x14ac:dyDescent="0.25">
      <c r="A112" s="16"/>
      <c r="B112" s="2" t="s">
        <v>90</v>
      </c>
      <c r="C112" s="54">
        <f>10</f>
        <v>10</v>
      </c>
      <c r="D112" s="41" t="s">
        <v>91</v>
      </c>
      <c r="E112" s="54">
        <f>+(3000+4500)</f>
        <v>7500</v>
      </c>
      <c r="F112" s="53">
        <f t="shared" ref="F112:F114" si="3">E112*C112</f>
        <v>75000</v>
      </c>
      <c r="I112" s="62"/>
    </row>
    <row r="113" spans="1:10" x14ac:dyDescent="0.25">
      <c r="A113" s="16"/>
      <c r="B113" s="2" t="s">
        <v>87</v>
      </c>
      <c r="C113" s="60">
        <v>1</v>
      </c>
      <c r="D113" s="41" t="s">
        <v>92</v>
      </c>
      <c r="E113" s="61">
        <f>+(24000)</f>
        <v>24000</v>
      </c>
      <c r="F113" s="53">
        <f t="shared" si="3"/>
        <v>24000</v>
      </c>
      <c r="I113" s="62"/>
    </row>
    <row r="114" spans="1:10" x14ac:dyDescent="0.25">
      <c r="A114" s="16"/>
      <c r="B114" s="2" t="s">
        <v>93</v>
      </c>
      <c r="C114" s="53"/>
      <c r="D114" s="41" t="s">
        <v>94</v>
      </c>
      <c r="E114" s="54">
        <f>+'[1]MO MAY25'!$N$209</f>
        <v>1472.6676937441644</v>
      </c>
      <c r="F114" s="53">
        <f t="shared" si="3"/>
        <v>0</v>
      </c>
      <c r="I114" s="62"/>
    </row>
    <row r="115" spans="1:10" ht="15.6" x14ac:dyDescent="0.3">
      <c r="A115" s="16"/>
      <c r="C115" s="53"/>
      <c r="D115" s="41"/>
      <c r="E115" s="54"/>
      <c r="F115" s="53"/>
      <c r="G115" s="39">
        <f>SUM(F112:F114)/C111</f>
        <v>37.106446776611698</v>
      </c>
      <c r="H115" s="3" t="s">
        <v>81</v>
      </c>
      <c r="I115" s="62">
        <f>2.6*58</f>
        <v>150.80000000000001</v>
      </c>
    </row>
    <row r="116" spans="1:10" x14ac:dyDescent="0.25">
      <c r="A116" s="16"/>
      <c r="C116" s="53"/>
      <c r="D116" s="41"/>
      <c r="E116" s="54"/>
      <c r="F116" s="53"/>
      <c r="G116" s="40"/>
      <c r="I116" s="62">
        <f>9.6*0.2*58</f>
        <v>111.36</v>
      </c>
      <c r="J116" s="63">
        <f>SUM(I110:I116)</f>
        <v>429.20000000000005</v>
      </c>
    </row>
    <row r="117" spans="1:10" ht="15.6" x14ac:dyDescent="0.3">
      <c r="A117" s="16">
        <f>+A106+0.01</f>
        <v>3.0999999999999979</v>
      </c>
      <c r="B117" s="21" t="s">
        <v>95</v>
      </c>
      <c r="C117" s="8"/>
      <c r="E117" s="46"/>
      <c r="F117" s="8"/>
    </row>
    <row r="118" spans="1:10" x14ac:dyDescent="0.25">
      <c r="A118" s="16"/>
      <c r="B118" s="2" t="s">
        <v>96</v>
      </c>
      <c r="C118" s="53">
        <f>4*24</f>
        <v>96</v>
      </c>
      <c r="D118" s="41" t="s">
        <v>94</v>
      </c>
      <c r="E118" s="54">
        <f>+'[1]MO MAY25'!$N$209</f>
        <v>1472.6676937441644</v>
      </c>
      <c r="F118" s="53">
        <f t="shared" ref="F118:F120" si="4">E118*C118</f>
        <v>141376.09859943978</v>
      </c>
      <c r="J118" s="2">
        <f>2.26+2.88+9.6*0.2</f>
        <v>7.06</v>
      </c>
    </row>
    <row r="119" spans="1:10" x14ac:dyDescent="0.25">
      <c r="A119" s="16"/>
      <c r="B119" s="2" t="s">
        <v>97</v>
      </c>
      <c r="C119" s="53">
        <v>4</v>
      </c>
      <c r="D119" s="41" t="s">
        <v>98</v>
      </c>
      <c r="E119" s="54">
        <f>+G133</f>
        <v>6333.3353874883287</v>
      </c>
      <c r="F119" s="53">
        <f t="shared" si="4"/>
        <v>25333.341549953315</v>
      </c>
    </row>
    <row r="120" spans="1:10" x14ac:dyDescent="0.25">
      <c r="A120" s="16"/>
      <c r="B120" s="2" t="s">
        <v>99</v>
      </c>
      <c r="C120" s="53">
        <v>1</v>
      </c>
      <c r="D120" s="41" t="s">
        <v>15</v>
      </c>
      <c r="E120" s="54">
        <f>75000/12</f>
        <v>6250</v>
      </c>
      <c r="F120" s="53">
        <f t="shared" si="4"/>
        <v>6250</v>
      </c>
    </row>
    <row r="121" spans="1:10" ht="15.6" x14ac:dyDescent="0.3">
      <c r="A121" s="16"/>
      <c r="C121" s="8"/>
      <c r="E121" s="46"/>
      <c r="F121" s="8"/>
      <c r="G121" s="39">
        <f>SUM(F118:F120)</f>
        <v>172959.44014939311</v>
      </c>
      <c r="H121" s="3" t="s">
        <v>100</v>
      </c>
      <c r="I121" s="2" t="s">
        <v>101</v>
      </c>
    </row>
    <row r="122" spans="1:10" ht="15.6" x14ac:dyDescent="0.3">
      <c r="A122" s="16"/>
      <c r="C122" s="8"/>
      <c r="E122" s="46"/>
      <c r="F122" s="8"/>
      <c r="G122" s="59"/>
      <c r="H122" s="3"/>
    </row>
    <row r="123" spans="1:10" ht="15.6" x14ac:dyDescent="0.3">
      <c r="A123" s="16">
        <f>+A117+0.01</f>
        <v>3.1099999999999977</v>
      </c>
      <c r="B123" s="21" t="s">
        <v>102</v>
      </c>
      <c r="C123" s="8"/>
      <c r="E123" s="46"/>
      <c r="F123" s="8"/>
    </row>
    <row r="124" spans="1:10" x14ac:dyDescent="0.25">
      <c r="A124" s="16"/>
      <c r="B124" s="2" t="s">
        <v>103</v>
      </c>
      <c r="C124" s="53">
        <f>2*24</f>
        <v>48</v>
      </c>
      <c r="D124" s="41" t="s">
        <v>94</v>
      </c>
      <c r="E124" s="54">
        <f>+'[1]MO MAY25'!$N$209</f>
        <v>1472.6676937441644</v>
      </c>
      <c r="F124" s="53">
        <f t="shared" ref="F124:F128" si="5">E124*C124</f>
        <v>70688.049299719889</v>
      </c>
    </row>
    <row r="125" spans="1:10" x14ac:dyDescent="0.25">
      <c r="A125" s="16"/>
      <c r="B125" s="2" t="s">
        <v>104</v>
      </c>
      <c r="C125" s="53">
        <f>2*24</f>
        <v>48</v>
      </c>
      <c r="D125" s="41" t="s">
        <v>94</v>
      </c>
      <c r="E125" s="54">
        <f>+'[1]MO MAY25'!$N$209</f>
        <v>1472.6676937441644</v>
      </c>
      <c r="F125" s="53">
        <f t="shared" si="5"/>
        <v>70688.049299719889</v>
      </c>
    </row>
    <row r="126" spans="1:10" x14ac:dyDescent="0.25">
      <c r="A126" s="16"/>
      <c r="B126" s="2" t="s">
        <v>105</v>
      </c>
      <c r="C126" s="53">
        <v>24</v>
      </c>
      <c r="D126" s="41" t="s">
        <v>94</v>
      </c>
      <c r="E126" s="54">
        <f>+'[1]MO MAY25'!N412</f>
        <v>1437.5</v>
      </c>
      <c r="F126" s="53">
        <f>E126*C126</f>
        <v>34500</v>
      </c>
    </row>
    <row r="127" spans="1:10" x14ac:dyDescent="0.25">
      <c r="A127" s="16"/>
      <c r="B127" s="2" t="s">
        <v>97</v>
      </c>
      <c r="C127" s="53">
        <v>4</v>
      </c>
      <c r="D127" s="41" t="s">
        <v>98</v>
      </c>
      <c r="E127" s="54">
        <f>+G133</f>
        <v>6333.3353874883287</v>
      </c>
      <c r="F127" s="53">
        <f t="shared" si="5"/>
        <v>25333.341549953315</v>
      </c>
      <c r="J127" s="62">
        <f>250000/3</f>
        <v>83333.333333333328</v>
      </c>
    </row>
    <row r="128" spans="1:10" x14ac:dyDescent="0.25">
      <c r="A128" s="16"/>
      <c r="B128" s="2" t="s">
        <v>106</v>
      </c>
      <c r="C128" s="53">
        <v>1</v>
      </c>
      <c r="D128" s="41" t="s">
        <v>15</v>
      </c>
      <c r="E128" s="54">
        <f>+(150000)/6</f>
        <v>25000</v>
      </c>
      <c r="F128" s="53">
        <f t="shared" si="5"/>
        <v>25000</v>
      </c>
    </row>
    <row r="129" spans="1:9" ht="15.6" x14ac:dyDescent="0.3">
      <c r="A129" s="16"/>
      <c r="C129" s="8"/>
      <c r="E129" s="46"/>
      <c r="F129" s="8"/>
      <c r="G129" s="39">
        <f>SUM(F124:F128)</f>
        <v>226209.44014939311</v>
      </c>
      <c r="H129" s="3" t="s">
        <v>100</v>
      </c>
      <c r="I129" s="2" t="s">
        <v>101</v>
      </c>
    </row>
    <row r="130" spans="1:9" ht="15.6" x14ac:dyDescent="0.3">
      <c r="A130" s="16">
        <f>+A123+0.01</f>
        <v>3.1199999999999974</v>
      </c>
      <c r="B130" s="21" t="s">
        <v>107</v>
      </c>
      <c r="C130" s="8"/>
      <c r="E130" s="46"/>
      <c r="F130" s="8"/>
    </row>
    <row r="131" spans="1:9" x14ac:dyDescent="0.25">
      <c r="A131" s="16"/>
      <c r="B131" s="2" t="s">
        <v>108</v>
      </c>
      <c r="C131" s="53">
        <v>1</v>
      </c>
      <c r="D131" s="41" t="s">
        <v>109</v>
      </c>
      <c r="E131" s="54">
        <f>7*'[1]MO MAY25'!N28</f>
        <v>3388</v>
      </c>
      <c r="F131" s="53">
        <f t="shared" ref="F131:F132" si="6">E131*C131</f>
        <v>3388</v>
      </c>
    </row>
    <row r="132" spans="1:9" x14ac:dyDescent="0.25">
      <c r="A132" s="16"/>
      <c r="B132" s="2" t="s">
        <v>110</v>
      </c>
      <c r="C132" s="53">
        <v>2</v>
      </c>
      <c r="D132" s="41" t="s">
        <v>94</v>
      </c>
      <c r="E132" s="54">
        <f>+'[1]MO MAY25'!$N$209</f>
        <v>1472.6676937441644</v>
      </c>
      <c r="F132" s="53">
        <f t="shared" si="6"/>
        <v>2945.3353874883287</v>
      </c>
    </row>
    <row r="133" spans="1:9" ht="15.6" x14ac:dyDescent="0.3">
      <c r="A133" s="16"/>
      <c r="C133" s="8"/>
      <c r="E133" s="46"/>
      <c r="F133" s="8"/>
      <c r="G133" s="39">
        <f>SUM(F131:F132)</f>
        <v>6333.3353874883287</v>
      </c>
      <c r="H133" s="3" t="s">
        <v>111</v>
      </c>
      <c r="I133" s="2" t="s">
        <v>101</v>
      </c>
    </row>
    <row r="134" spans="1:9" ht="15.6" x14ac:dyDescent="0.3">
      <c r="A134" s="16">
        <f>+A123+0.01</f>
        <v>3.1199999999999974</v>
      </c>
      <c r="B134" s="21" t="s">
        <v>112</v>
      </c>
      <c r="C134" s="8"/>
      <c r="E134" s="46"/>
      <c r="F134" s="8"/>
      <c r="G134" s="39"/>
      <c r="H134" s="3"/>
    </row>
    <row r="135" spans="1:9" ht="15.6" x14ac:dyDescent="0.3">
      <c r="A135" s="16"/>
      <c r="B135" s="2" t="s">
        <v>113</v>
      </c>
      <c r="C135" s="8">
        <v>23.8</v>
      </c>
      <c r="D135" s="2" t="s">
        <v>114</v>
      </c>
      <c r="E135" s="46">
        <f>+'[1]MO MAY25'!N210</f>
        <v>1740.1164498531264</v>
      </c>
      <c r="F135" s="53">
        <f t="shared" ref="F135" si="7">E135*C135</f>
        <v>41414.77150650441</v>
      </c>
      <c r="G135" s="39"/>
      <c r="H135" s="3"/>
    </row>
    <row r="136" spans="1:9" ht="15.6" x14ac:dyDescent="0.3">
      <c r="A136" s="16"/>
      <c r="C136" s="8"/>
      <c r="E136" s="46"/>
      <c r="F136" s="8"/>
      <c r="G136" s="39">
        <f>SUM(F135)</f>
        <v>41414.77150650441</v>
      </c>
      <c r="H136" s="3" t="s">
        <v>100</v>
      </c>
    </row>
    <row r="137" spans="1:9" ht="15.6" x14ac:dyDescent="0.3">
      <c r="A137" s="16"/>
      <c r="C137" s="8"/>
      <c r="E137" s="46"/>
      <c r="F137" s="8"/>
      <c r="G137" s="39"/>
      <c r="H137" s="3"/>
    </row>
    <row r="138" spans="1:9" ht="15.6" x14ac:dyDescent="0.3">
      <c r="A138" s="16">
        <f>+A134+0.01</f>
        <v>3.1299999999999972</v>
      </c>
      <c r="B138" s="21" t="s">
        <v>115</v>
      </c>
      <c r="C138" s="8"/>
      <c r="E138" s="46"/>
      <c r="F138" s="8"/>
      <c r="G138" s="39"/>
      <c r="H138" s="3"/>
    </row>
    <row r="139" spans="1:9" ht="15.6" x14ac:dyDescent="0.3">
      <c r="A139" s="16"/>
      <c r="B139" s="2" t="s">
        <v>116</v>
      </c>
      <c r="C139" s="8">
        <v>30</v>
      </c>
      <c r="D139" s="2" t="s">
        <v>114</v>
      </c>
      <c r="E139" s="46">
        <f>+'[1]MO MAY25'!N211</f>
        <v>1096.4276388888889</v>
      </c>
      <c r="F139" s="53">
        <f t="shared" ref="F139:F140" si="8">E139*C139</f>
        <v>32892.829166666663</v>
      </c>
      <c r="G139" s="39"/>
      <c r="H139" s="3"/>
    </row>
    <row r="140" spans="1:9" ht="15.6" x14ac:dyDescent="0.3">
      <c r="A140" s="16"/>
      <c r="B140" s="2" t="s">
        <v>117</v>
      </c>
      <c r="C140" s="8">
        <v>8</v>
      </c>
      <c r="D140" s="2" t="s">
        <v>114</v>
      </c>
      <c r="E140" s="46">
        <f>+E135</f>
        <v>1740.1164498531264</v>
      </c>
      <c r="F140" s="53">
        <f t="shared" si="8"/>
        <v>13920.931598825011</v>
      </c>
      <c r="G140" s="39"/>
      <c r="H140" s="3"/>
    </row>
    <row r="141" spans="1:9" ht="15.6" x14ac:dyDescent="0.3">
      <c r="A141" s="16"/>
      <c r="C141" s="8"/>
      <c r="E141" s="46"/>
      <c r="F141" s="8"/>
      <c r="G141" s="39">
        <f>SUM(F139:F140)</f>
        <v>46813.760765491672</v>
      </c>
      <c r="H141" s="3" t="s">
        <v>100</v>
      </c>
    </row>
    <row r="142" spans="1:9" ht="15.6" x14ac:dyDescent="0.3">
      <c r="A142" s="16"/>
      <c r="C142" s="8"/>
      <c r="E142" s="46"/>
      <c r="F142" s="8"/>
      <c r="G142" s="39"/>
      <c r="H142" s="3"/>
    </row>
    <row r="143" spans="1:9" ht="15.6" x14ac:dyDescent="0.3">
      <c r="A143" s="16">
        <f>+A138+0.01</f>
        <v>3.139999999999997</v>
      </c>
      <c r="B143" s="21" t="s">
        <v>118</v>
      </c>
      <c r="C143" s="8"/>
      <c r="E143" s="46"/>
      <c r="F143" s="8"/>
      <c r="G143" s="39"/>
      <c r="H143" s="3"/>
    </row>
    <row r="144" spans="1:9" ht="15.6" x14ac:dyDescent="0.3">
      <c r="A144" s="16"/>
      <c r="B144" s="2" t="s">
        <v>118</v>
      </c>
      <c r="C144" s="8">
        <v>10</v>
      </c>
      <c r="D144" s="2" t="s">
        <v>119</v>
      </c>
      <c r="E144" s="46">
        <f>12500*1.2</f>
        <v>15000</v>
      </c>
      <c r="F144" s="53">
        <f t="shared" ref="F144" si="9">E144*C144</f>
        <v>150000</v>
      </c>
      <c r="G144" s="39"/>
      <c r="H144" s="3"/>
    </row>
    <row r="145" spans="1:9" ht="15.6" x14ac:dyDescent="0.3">
      <c r="A145" s="16"/>
      <c r="C145" s="8"/>
      <c r="E145" s="46"/>
      <c r="F145" s="8"/>
      <c r="G145" s="39">
        <f>SUM(F144:F144)</f>
        <v>150000</v>
      </c>
      <c r="H145" s="3" t="s">
        <v>100</v>
      </c>
    </row>
    <row r="146" spans="1:9" ht="15.6" x14ac:dyDescent="0.3">
      <c r="A146" s="16">
        <f>+A143+0.01</f>
        <v>3.1499999999999968</v>
      </c>
      <c r="B146" s="64" t="s">
        <v>120</v>
      </c>
      <c r="C146" s="65">
        <f>+'[1]PRESUPUESTO '!D34</f>
        <v>0</v>
      </c>
      <c r="D146" s="21" t="s">
        <v>54</v>
      </c>
      <c r="E146" s="46"/>
      <c r="F146" s="8"/>
      <c r="G146" s="39"/>
      <c r="H146" s="3"/>
    </row>
    <row r="147" spans="1:9" ht="15" customHeight="1" x14ac:dyDescent="0.3">
      <c r="A147" s="16"/>
      <c r="B147" s="66" t="s">
        <v>121</v>
      </c>
      <c r="C147" s="8">
        <f>+(C146/7)*4</f>
        <v>0</v>
      </c>
      <c r="D147" s="16" t="s">
        <v>8</v>
      </c>
      <c r="E147" s="46">
        <v>500</v>
      </c>
      <c r="F147" s="53">
        <f t="shared" ref="F147:F150" si="10">E147*C147</f>
        <v>0</v>
      </c>
      <c r="G147" s="39"/>
      <c r="H147" s="3"/>
    </row>
    <row r="148" spans="1:9" ht="15.6" x14ac:dyDescent="0.3">
      <c r="A148" s="16"/>
      <c r="B148" s="2" t="s">
        <v>122</v>
      </c>
      <c r="C148" s="8">
        <f>+C147/7</f>
        <v>0</v>
      </c>
      <c r="D148" s="16" t="s">
        <v>109</v>
      </c>
      <c r="E148" s="46">
        <v>600</v>
      </c>
      <c r="F148" s="53">
        <f t="shared" si="10"/>
        <v>0</v>
      </c>
      <c r="G148" s="39"/>
      <c r="H148" s="3"/>
      <c r="I148" s="40"/>
    </row>
    <row r="149" spans="1:9" ht="15.6" x14ac:dyDescent="0.3">
      <c r="A149" s="16"/>
      <c r="B149" s="2" t="s">
        <v>123</v>
      </c>
      <c r="C149" s="8">
        <f>+C146/7*4</f>
        <v>0</v>
      </c>
      <c r="D149" s="16" t="s">
        <v>8</v>
      </c>
      <c r="E149" s="46">
        <f>347.222222222222/8</f>
        <v>43.40277777777775</v>
      </c>
      <c r="F149" s="53">
        <f t="shared" si="10"/>
        <v>0</v>
      </c>
      <c r="G149" s="39"/>
      <c r="H149" s="67">
        <f>+G151*380</f>
        <v>20000</v>
      </c>
    </row>
    <row r="150" spans="1:9" ht="15.6" x14ac:dyDescent="0.3">
      <c r="A150" s="16"/>
      <c r="B150" s="2" t="s">
        <v>124</v>
      </c>
      <c r="C150" s="8">
        <v>1</v>
      </c>
      <c r="D150" s="16" t="s">
        <v>8</v>
      </c>
      <c r="E150" s="46">
        <v>20000</v>
      </c>
      <c r="F150" s="53">
        <f t="shared" si="10"/>
        <v>20000</v>
      </c>
      <c r="G150" s="39"/>
      <c r="H150" s="3"/>
    </row>
    <row r="151" spans="1:9" ht="15.6" x14ac:dyDescent="0.3">
      <c r="A151" s="16"/>
      <c r="C151" s="8"/>
      <c r="E151" s="46"/>
      <c r="F151" s="8"/>
      <c r="G151" s="47">
        <f>SUM(F147:F150)/380</f>
        <v>52.631578947368418</v>
      </c>
      <c r="H151" s="57" t="s">
        <v>54</v>
      </c>
    </row>
    <row r="152" spans="1:9" ht="15" customHeight="1" x14ac:dyDescent="0.3">
      <c r="A152" s="16"/>
      <c r="C152" s="8"/>
      <c r="E152" s="46"/>
      <c r="F152" s="8"/>
      <c r="G152" s="59"/>
      <c r="H152" s="3"/>
    </row>
    <row r="153" spans="1:9" s="21" customFormat="1" ht="15.6" x14ac:dyDescent="0.3">
      <c r="A153" s="20">
        <f>+A40+1</f>
        <v>4</v>
      </c>
      <c r="B153" s="21" t="s">
        <v>125</v>
      </c>
      <c r="C153" s="65"/>
      <c r="E153" s="68"/>
      <c r="F153" s="65"/>
      <c r="H153" s="3"/>
    </row>
    <row r="154" spans="1:9" x14ac:dyDescent="0.25">
      <c r="A154" s="16"/>
      <c r="B154" s="2" t="s">
        <v>126</v>
      </c>
      <c r="C154" s="8"/>
      <c r="E154" s="46"/>
      <c r="F154" s="8"/>
      <c r="H154" s="41"/>
    </row>
    <row r="155" spans="1:9" ht="15.6" x14ac:dyDescent="0.3">
      <c r="A155" s="50">
        <f>+A153+0.01</f>
        <v>4.01</v>
      </c>
      <c r="B155" s="21" t="s">
        <v>127</v>
      </c>
      <c r="C155" s="8"/>
      <c r="E155" s="46"/>
      <c r="F155" s="8"/>
      <c r="G155" s="58"/>
    </row>
    <row r="156" spans="1:9" x14ac:dyDescent="0.25">
      <c r="A156" s="16"/>
      <c r="B156" s="2" t="s">
        <v>128</v>
      </c>
      <c r="C156" s="53">
        <v>1.3</v>
      </c>
      <c r="D156" s="41" t="s">
        <v>54</v>
      </c>
      <c r="E156" s="54">
        <f>+'[1]Lista de precios MAY25'!E22</f>
        <v>820.69</v>
      </c>
      <c r="F156" s="53">
        <f>+E156*C156</f>
        <v>1066.8970000000002</v>
      </c>
      <c r="G156" s="58"/>
    </row>
    <row r="157" spans="1:9" x14ac:dyDescent="0.25">
      <c r="A157" s="16"/>
      <c r="B157" s="69" t="s">
        <v>129</v>
      </c>
      <c r="C157" s="53">
        <v>1.3</v>
      </c>
      <c r="D157" s="41" t="s">
        <v>54</v>
      </c>
      <c r="E157" s="54">
        <f>+'[1]MO MAY25'!N30</f>
        <v>0</v>
      </c>
      <c r="F157" s="53">
        <f>+E157*C157</f>
        <v>0</v>
      </c>
      <c r="G157" s="58"/>
    </row>
    <row r="158" spans="1:9" x14ac:dyDescent="0.25">
      <c r="A158" s="16"/>
      <c r="B158" s="69" t="s">
        <v>130</v>
      </c>
      <c r="C158" s="53">
        <v>1</v>
      </c>
      <c r="D158" s="41" t="s">
        <v>54</v>
      </c>
      <c r="E158" s="54">
        <f>+'[1]MO MAY25'!N29</f>
        <v>302.5</v>
      </c>
      <c r="F158" s="53">
        <f>+E158*C158</f>
        <v>302.5</v>
      </c>
      <c r="G158" s="58"/>
    </row>
    <row r="159" spans="1:9" x14ac:dyDescent="0.25">
      <c r="A159" s="16"/>
      <c r="B159" s="69" t="s">
        <v>131</v>
      </c>
      <c r="C159" s="53">
        <v>1.3</v>
      </c>
      <c r="D159" s="41" t="s">
        <v>54</v>
      </c>
      <c r="E159" s="61">
        <v>30</v>
      </c>
      <c r="F159" s="53">
        <f>+E159*C159</f>
        <v>39</v>
      </c>
      <c r="G159" s="58"/>
    </row>
    <row r="160" spans="1:9" x14ac:dyDescent="0.25">
      <c r="A160" s="16"/>
      <c r="B160" s="69" t="s">
        <v>132</v>
      </c>
      <c r="C160" s="70">
        <f>1/('[2]1. Trabajos preliminares'!E42)</f>
        <v>4.9609117362025255E-4</v>
      </c>
      <c r="D160" s="71" t="s">
        <v>15</v>
      </c>
      <c r="E160" s="61">
        <v>60000</v>
      </c>
      <c r="F160" s="72">
        <f>+E160*C160</f>
        <v>29.765470417215152</v>
      </c>
      <c r="G160" s="58"/>
    </row>
    <row r="161" spans="1:9" x14ac:dyDescent="0.25">
      <c r="A161" s="16"/>
      <c r="B161" s="69" t="s">
        <v>67</v>
      </c>
      <c r="C161" s="53">
        <v>10</v>
      </c>
      <c r="D161" s="41" t="s">
        <v>34</v>
      </c>
      <c r="E161" s="54">
        <f>SUM(F156)</f>
        <v>1066.8970000000002</v>
      </c>
      <c r="F161" s="53">
        <f>+E161*C161/100</f>
        <v>106.68970000000002</v>
      </c>
      <c r="G161" s="58"/>
    </row>
    <row r="162" spans="1:9" ht="15.6" x14ac:dyDescent="0.3">
      <c r="A162" s="16"/>
      <c r="C162" s="73"/>
      <c r="E162" s="46"/>
      <c r="F162" s="8"/>
      <c r="G162" s="47">
        <f>SUM(F156:F161)</f>
        <v>1544.8521704172153</v>
      </c>
      <c r="H162" s="57" t="s">
        <v>59</v>
      </c>
      <c r="I162" s="40">
        <f>+G162-F159-F156*0.5</f>
        <v>972.40367041721527</v>
      </c>
    </row>
    <row r="163" spans="1:9" ht="15.6" x14ac:dyDescent="0.3">
      <c r="A163" s="16"/>
      <c r="C163" s="8"/>
      <c r="E163" s="46"/>
      <c r="F163" s="8"/>
      <c r="G163" s="47">
        <f>SUM(F156:F162)-F156+631.3*1.3</f>
        <v>1298.645170417215</v>
      </c>
      <c r="H163" s="57" t="s">
        <v>59</v>
      </c>
      <c r="I163" s="2" t="s">
        <v>133</v>
      </c>
    </row>
    <row r="164" spans="1:9" ht="15.6" x14ac:dyDescent="0.3">
      <c r="A164" s="50">
        <f>+A155+0.01</f>
        <v>4.0199999999999996</v>
      </c>
      <c r="B164" s="21" t="s">
        <v>134</v>
      </c>
      <c r="C164" s="8"/>
      <c r="E164" s="46"/>
      <c r="F164" s="8"/>
      <c r="G164" s="58"/>
    </row>
    <row r="165" spans="1:9" x14ac:dyDescent="0.25">
      <c r="A165" s="16"/>
      <c r="B165" s="2" t="s">
        <v>128</v>
      </c>
      <c r="C165" s="53">
        <f>1*0.15</f>
        <v>0.15</v>
      </c>
      <c r="D165" s="41" t="s">
        <v>54</v>
      </c>
      <c r="E165" s="54">
        <f>+'[1]Lista de precios MAY25'!E21</f>
        <v>1470</v>
      </c>
      <c r="F165" s="53">
        <f>+E165*C165</f>
        <v>220.5</v>
      </c>
      <c r="G165" s="58"/>
    </row>
    <row r="166" spans="1:9" s="69" customFormat="1" x14ac:dyDescent="0.25">
      <c r="A166" s="74"/>
      <c r="B166" s="69" t="s">
        <v>129</v>
      </c>
      <c r="C166" s="75">
        <f>C165</f>
        <v>0.15</v>
      </c>
      <c r="D166" s="76" t="s">
        <v>54</v>
      </c>
      <c r="E166" s="77">
        <f>+'[1]MO MAY25'!N30</f>
        <v>0</v>
      </c>
      <c r="F166" s="75">
        <f>+E166*C166</f>
        <v>0</v>
      </c>
      <c r="G166" s="78"/>
    </row>
    <row r="167" spans="1:9" x14ac:dyDescent="0.25">
      <c r="A167" s="16"/>
      <c r="B167" s="2" t="s">
        <v>130</v>
      </c>
      <c r="C167" s="53">
        <v>0.15</v>
      </c>
      <c r="D167" s="41" t="s">
        <v>54</v>
      </c>
      <c r="E167" s="54">
        <f>+'[1]MO MAY25'!N29</f>
        <v>302.5</v>
      </c>
      <c r="F167" s="53">
        <f>+E167*C167</f>
        <v>45.375</v>
      </c>
      <c r="G167" s="58"/>
    </row>
    <row r="168" spans="1:9" x14ac:dyDescent="0.25">
      <c r="A168" s="16"/>
      <c r="B168" s="2" t="s">
        <v>67</v>
      </c>
      <c r="C168" s="53">
        <v>10</v>
      </c>
      <c r="D168" s="41" t="s">
        <v>34</v>
      </c>
      <c r="E168" s="54">
        <f>SUM(F165:F167)/100</f>
        <v>2.6587499999999999</v>
      </c>
      <c r="F168" s="53">
        <f>+E168*C168</f>
        <v>26.587499999999999</v>
      </c>
      <c r="G168" s="58"/>
    </row>
    <row r="169" spans="1:9" ht="15.6" x14ac:dyDescent="0.3">
      <c r="A169" s="16"/>
      <c r="C169" s="8"/>
      <c r="E169" s="46"/>
      <c r="F169" s="8"/>
      <c r="G169" s="56">
        <f>SUM(F165:F168)</f>
        <v>292.46249999999998</v>
      </c>
      <c r="H169" s="57" t="s">
        <v>59</v>
      </c>
    </row>
    <row r="170" spans="1:9" x14ac:dyDescent="0.25">
      <c r="A170" s="16"/>
      <c r="C170" s="8"/>
      <c r="E170" s="46" t="s">
        <v>126</v>
      </c>
      <c r="F170" s="8"/>
      <c r="G170" s="58"/>
      <c r="H170" s="41"/>
    </row>
    <row r="171" spans="1:9" ht="15.6" x14ac:dyDescent="0.3">
      <c r="A171" s="79">
        <f>+A153+1</f>
        <v>5</v>
      </c>
      <c r="B171" s="21" t="s">
        <v>135</v>
      </c>
      <c r="C171" s="8"/>
      <c r="E171" s="46"/>
      <c r="F171" s="8"/>
      <c r="G171" s="58"/>
      <c r="H171" s="41"/>
    </row>
    <row r="172" spans="1:9" ht="15.6" x14ac:dyDescent="0.3">
      <c r="A172" s="80"/>
      <c r="B172" s="21"/>
      <c r="C172" s="8"/>
      <c r="E172" s="46"/>
      <c r="F172" s="8"/>
      <c r="G172" s="58"/>
      <c r="H172" s="41"/>
    </row>
    <row r="173" spans="1:9" x14ac:dyDescent="0.25">
      <c r="A173" s="52"/>
      <c r="D173" s="41"/>
      <c r="E173" s="54"/>
      <c r="G173" s="58"/>
      <c r="H173" s="41"/>
    </row>
    <row r="174" spans="1:9" ht="15.6" x14ac:dyDescent="0.3">
      <c r="A174" s="16"/>
      <c r="B174" s="21" t="s">
        <v>136</v>
      </c>
      <c r="C174" s="8"/>
      <c r="E174" s="46"/>
      <c r="F174" s="8"/>
      <c r="G174" s="58"/>
      <c r="H174" s="41"/>
    </row>
    <row r="175" spans="1:9" x14ac:dyDescent="0.25">
      <c r="A175" s="16"/>
      <c r="C175" s="8"/>
      <c r="E175" s="46"/>
      <c r="F175" s="8"/>
      <c r="G175" s="58"/>
      <c r="H175" s="41"/>
    </row>
    <row r="176" spans="1:9" ht="15.6" x14ac:dyDescent="0.3">
      <c r="A176" s="52">
        <f>+A171+0.01</f>
        <v>5.01</v>
      </c>
      <c r="B176" s="21" t="s">
        <v>137</v>
      </c>
      <c r="E176" s="46"/>
      <c r="G176" s="58"/>
    </row>
    <row r="177" spans="1:10" x14ac:dyDescent="0.25">
      <c r="A177" s="52"/>
      <c r="B177" s="69" t="s">
        <v>138</v>
      </c>
      <c r="C177" s="53">
        <v>1</v>
      </c>
      <c r="D177" s="41" t="s">
        <v>139</v>
      </c>
      <c r="E177" s="77">
        <f>+'[1]Lista de precios MAY25'!E162</f>
        <v>9292.5</v>
      </c>
      <c r="F177" s="53">
        <f>+E177*C177</f>
        <v>9292.5</v>
      </c>
      <c r="G177" s="58"/>
    </row>
    <row r="178" spans="1:10" x14ac:dyDescent="0.25">
      <c r="A178" s="16"/>
      <c r="B178" s="2" t="s">
        <v>67</v>
      </c>
      <c r="C178" s="53">
        <v>4</v>
      </c>
      <c r="D178" s="41" t="s">
        <v>34</v>
      </c>
      <c r="E178" s="46">
        <f>SUM(F177)</f>
        <v>9292.5</v>
      </c>
      <c r="F178" s="53">
        <f>+E178*C178/100</f>
        <v>371.7</v>
      </c>
      <c r="G178" s="58"/>
    </row>
    <row r="179" spans="1:10" x14ac:dyDescent="0.25">
      <c r="A179" s="52"/>
      <c r="B179" s="2" t="s">
        <v>140</v>
      </c>
      <c r="C179" s="53">
        <f>1000/10.76</f>
        <v>92.936802973977692</v>
      </c>
      <c r="D179" s="41" t="s">
        <v>81</v>
      </c>
      <c r="E179" s="54"/>
      <c r="F179" s="53">
        <f>+E179*C179</f>
        <v>0</v>
      </c>
      <c r="G179" s="58"/>
    </row>
    <row r="180" spans="1:10" ht="15.6" x14ac:dyDescent="0.3">
      <c r="A180" s="52"/>
      <c r="D180" s="41" t="s">
        <v>126</v>
      </c>
      <c r="E180" s="54"/>
      <c r="G180" s="59">
        <f>SUM(F177:F179)/C179</f>
        <v>103.98679200000001</v>
      </c>
      <c r="H180" s="3" t="s">
        <v>141</v>
      </c>
    </row>
    <row r="181" spans="1:10" x14ac:dyDescent="0.25">
      <c r="A181" s="52"/>
      <c r="D181" s="41"/>
      <c r="E181" s="54"/>
      <c r="G181" s="58"/>
      <c r="H181" s="41"/>
    </row>
    <row r="182" spans="1:10" ht="15.6" x14ac:dyDescent="0.3">
      <c r="A182" s="52">
        <f>+A176+0.01</f>
        <v>5.0199999999999996</v>
      </c>
      <c r="B182" s="21" t="s">
        <v>142</v>
      </c>
      <c r="E182" s="46"/>
      <c r="G182" s="58"/>
      <c r="J182" s="46">
        <f>31118.51*1.18*1.05</f>
        <v>38555.833889999994</v>
      </c>
    </row>
    <row r="183" spans="1:10" x14ac:dyDescent="0.25">
      <c r="A183" s="52"/>
      <c r="B183" s="2" t="s">
        <v>143</v>
      </c>
      <c r="C183" s="53">
        <v>1</v>
      </c>
      <c r="D183" s="41" t="s">
        <v>139</v>
      </c>
      <c r="E183" s="54">
        <f>39952.87*1.05</f>
        <v>41950.513500000001</v>
      </c>
      <c r="F183" s="53">
        <f>+E183*C183</f>
        <v>41950.513500000001</v>
      </c>
      <c r="G183" s="58"/>
      <c r="J183" s="46"/>
    </row>
    <row r="184" spans="1:10" x14ac:dyDescent="0.25">
      <c r="A184" s="16"/>
      <c r="B184" s="2" t="s">
        <v>67</v>
      </c>
      <c r="C184" s="53">
        <v>4</v>
      </c>
      <c r="D184" s="41" t="s">
        <v>34</v>
      </c>
      <c r="E184" s="46">
        <f>SUM(F183)</f>
        <v>41950.513500000001</v>
      </c>
      <c r="F184" s="53">
        <f>+E184*C184/100</f>
        <v>1678.02054</v>
      </c>
      <c r="G184" s="58"/>
    </row>
    <row r="185" spans="1:10" x14ac:dyDescent="0.25">
      <c r="A185" s="52"/>
      <c r="B185" s="2" t="s">
        <v>140</v>
      </c>
      <c r="C185" s="53">
        <v>280.60000000000002</v>
      </c>
      <c r="D185" s="41" t="s">
        <v>81</v>
      </c>
      <c r="E185" s="54"/>
      <c r="F185" s="53">
        <f>+E185*C185</f>
        <v>0</v>
      </c>
      <c r="G185" s="58"/>
    </row>
    <row r="186" spans="1:10" ht="15.6" x14ac:dyDescent="0.3">
      <c r="A186" s="52"/>
      <c r="D186" s="41" t="s">
        <v>126</v>
      </c>
      <c r="E186" s="54"/>
      <c r="G186" s="59">
        <f>SUM(F183:F185)/C185</f>
        <v>155.48301511047754</v>
      </c>
      <c r="H186" s="3" t="s">
        <v>141</v>
      </c>
    </row>
    <row r="187" spans="1:10" x14ac:dyDescent="0.25">
      <c r="A187" s="52"/>
      <c r="D187" s="41"/>
      <c r="E187" s="54"/>
      <c r="G187" s="58"/>
      <c r="H187" s="41"/>
    </row>
    <row r="188" spans="1:10" ht="15.6" x14ac:dyDescent="0.3">
      <c r="A188" s="52">
        <f>+A182+0.01</f>
        <v>5.0299999999999994</v>
      </c>
      <c r="B188" s="21" t="s">
        <v>144</v>
      </c>
      <c r="E188" s="46"/>
      <c r="G188" s="58"/>
    </row>
    <row r="189" spans="1:10" x14ac:dyDescent="0.25">
      <c r="A189" s="52"/>
      <c r="B189" s="2" t="s">
        <v>145</v>
      </c>
      <c r="C189" s="53">
        <v>1</v>
      </c>
      <c r="D189" s="41" t="s">
        <v>54</v>
      </c>
      <c r="E189" s="54">
        <f>+'[1]Lista de precios MAY25'!E44</f>
        <v>9027</v>
      </c>
      <c r="F189" s="53">
        <f>+E189*C189</f>
        <v>9027</v>
      </c>
      <c r="G189" s="58"/>
    </row>
    <row r="190" spans="1:10" x14ac:dyDescent="0.25">
      <c r="A190" s="16"/>
      <c r="B190" s="2" t="s">
        <v>146</v>
      </c>
      <c r="C190" s="53">
        <v>1.4002516206854441</v>
      </c>
      <c r="D190" s="41" t="s">
        <v>147</v>
      </c>
      <c r="E190" s="54">
        <f>+'[1]Lista de precios MAY25'!E9</f>
        <v>3221.6681776971895</v>
      </c>
      <c r="F190" s="53">
        <f>+E190*C190</f>
        <v>4511.1460871312111</v>
      </c>
      <c r="G190" s="58"/>
    </row>
    <row r="191" spans="1:10" x14ac:dyDescent="0.25">
      <c r="A191" s="52"/>
      <c r="B191" s="2" t="s">
        <v>148</v>
      </c>
      <c r="C191" s="53">
        <f>C190*2</f>
        <v>2.8005032413708881</v>
      </c>
      <c r="D191" s="41" t="s">
        <v>82</v>
      </c>
      <c r="E191" s="54">
        <f>+'[1]Lista de precios MAY25'!$E$15</f>
        <v>79.001000000000005</v>
      </c>
      <c r="F191" s="53">
        <f>+E191*C191</f>
        <v>221.24255657154154</v>
      </c>
      <c r="G191" s="58"/>
    </row>
    <row r="192" spans="1:10" x14ac:dyDescent="0.25">
      <c r="A192" s="16"/>
      <c r="B192" s="2" t="s">
        <v>67</v>
      </c>
      <c r="C192" s="53">
        <v>8</v>
      </c>
      <c r="D192" s="41" t="s">
        <v>34</v>
      </c>
      <c r="E192" s="46">
        <f>SUM(F189:F191)</f>
        <v>13759.388643702754</v>
      </c>
      <c r="F192" s="53">
        <f>+E192*C192/100</f>
        <v>1100.7510914962204</v>
      </c>
      <c r="G192" s="58"/>
    </row>
    <row r="193" spans="1:8" x14ac:dyDescent="0.25">
      <c r="A193" s="52"/>
      <c r="B193" s="2" t="s">
        <v>149</v>
      </c>
      <c r="C193" s="53">
        <f>1/1.5/0.35</f>
        <v>1.9047619047619049</v>
      </c>
      <c r="D193" s="41" t="s">
        <v>150</v>
      </c>
      <c r="E193" s="54"/>
      <c r="F193" s="53">
        <f>+E193*C193</f>
        <v>0</v>
      </c>
      <c r="G193" s="58"/>
    </row>
    <row r="194" spans="1:8" x14ac:dyDescent="0.25">
      <c r="A194" s="52"/>
      <c r="B194" s="2" t="s">
        <v>151</v>
      </c>
      <c r="C194" s="53">
        <v>1</v>
      </c>
      <c r="D194" s="41" t="s">
        <v>54</v>
      </c>
      <c r="E194" s="46">
        <v>24</v>
      </c>
      <c r="F194" s="53">
        <f>+E194*C194</f>
        <v>24</v>
      </c>
      <c r="G194" s="58"/>
    </row>
    <row r="195" spans="1:8" x14ac:dyDescent="0.25">
      <c r="A195" s="52"/>
      <c r="B195" s="2" t="s">
        <v>152</v>
      </c>
      <c r="C195" s="81">
        <f>9*2</f>
        <v>18</v>
      </c>
      <c r="D195" s="41" t="s">
        <v>8</v>
      </c>
      <c r="E195" s="46">
        <v>5</v>
      </c>
      <c r="F195" s="53">
        <f>+E195*C195</f>
        <v>90</v>
      </c>
      <c r="G195" s="58"/>
    </row>
    <row r="196" spans="1:8" ht="15" customHeight="1" x14ac:dyDescent="0.3">
      <c r="A196" s="52"/>
      <c r="D196" s="41" t="s">
        <v>126</v>
      </c>
      <c r="E196" s="54"/>
      <c r="G196" s="39">
        <f>SUM(F189:F195)</f>
        <v>14974.139735198974</v>
      </c>
      <c r="H196" s="3" t="s">
        <v>59</v>
      </c>
    </row>
    <row r="197" spans="1:8" ht="15" customHeight="1" x14ac:dyDescent="0.3">
      <c r="A197" s="52"/>
      <c r="D197" s="41"/>
      <c r="E197" s="54"/>
      <c r="G197" s="39"/>
      <c r="H197" s="3"/>
    </row>
    <row r="198" spans="1:8" ht="15.6" x14ac:dyDescent="0.3">
      <c r="A198" s="52">
        <f>+A188+0.01</f>
        <v>5.0399999999999991</v>
      </c>
      <c r="B198" s="21" t="s">
        <v>153</v>
      </c>
      <c r="E198" s="46"/>
      <c r="G198" s="58"/>
    </row>
    <row r="199" spans="1:8" x14ac:dyDescent="0.25">
      <c r="A199" s="52"/>
      <c r="B199" s="2" t="s">
        <v>145</v>
      </c>
      <c r="C199" s="53">
        <v>1</v>
      </c>
      <c r="D199" s="41" t="s">
        <v>54</v>
      </c>
      <c r="E199" s="54">
        <f>+'[1]Lista de precios MAY25'!$E$44</f>
        <v>9027</v>
      </c>
      <c r="F199" s="53">
        <f>+E199*C199</f>
        <v>9027</v>
      </c>
      <c r="G199" s="58"/>
    </row>
    <row r="200" spans="1:8" x14ac:dyDescent="0.25">
      <c r="A200" s="16"/>
      <c r="B200" s="2" t="s">
        <v>146</v>
      </c>
      <c r="C200" s="53">
        <f>+'[2]2. Zapatas de columnas y muros'!Y67</f>
        <v>0.6206567977850892</v>
      </c>
      <c r="D200" s="41" t="s">
        <v>147</v>
      </c>
      <c r="E200" s="54">
        <f>+'[1]Lista de precios MAY25'!$E$9</f>
        <v>3221.6681776971895</v>
      </c>
      <c r="F200" s="53">
        <f>+E200*C200</f>
        <v>1999.5502546956614</v>
      </c>
      <c r="G200" s="58"/>
    </row>
    <row r="201" spans="1:8" x14ac:dyDescent="0.25">
      <c r="A201" s="52"/>
      <c r="B201" s="2" t="s">
        <v>148</v>
      </c>
      <c r="C201" s="53">
        <f>C200*2</f>
        <v>1.2413135955701784</v>
      </c>
      <c r="D201" s="41" t="s">
        <v>82</v>
      </c>
      <c r="E201" s="54">
        <f>+'[1]Lista de precios MAY25'!$E$15</f>
        <v>79.001000000000005</v>
      </c>
      <c r="F201" s="53">
        <f>+E201*C201</f>
        <v>98.065015363639674</v>
      </c>
      <c r="G201" s="58"/>
    </row>
    <row r="202" spans="1:8" x14ac:dyDescent="0.25">
      <c r="A202" s="16"/>
      <c r="B202" s="2" t="s">
        <v>67</v>
      </c>
      <c r="C202" s="53">
        <v>8</v>
      </c>
      <c r="D202" s="41" t="s">
        <v>34</v>
      </c>
      <c r="E202" s="46">
        <f>SUM(F199:F201)</f>
        <v>11124.615270059301</v>
      </c>
      <c r="F202" s="53">
        <f>+E202*C202/100</f>
        <v>889.96922160474412</v>
      </c>
      <c r="G202" s="58"/>
    </row>
    <row r="203" spans="1:8" x14ac:dyDescent="0.25">
      <c r="A203" s="52"/>
      <c r="B203" s="2" t="s">
        <v>149</v>
      </c>
      <c r="C203" s="53">
        <f>1/0.6/0.3</f>
        <v>5.5555555555555562</v>
      </c>
      <c r="D203" s="41" t="s">
        <v>150</v>
      </c>
      <c r="E203" s="54">
        <f>+'[1]MO MAY25'!N38</f>
        <v>253</v>
      </c>
      <c r="F203" s="53">
        <f>+E203*C203</f>
        <v>1405.5555555555557</v>
      </c>
      <c r="G203" s="58"/>
    </row>
    <row r="204" spans="1:8" x14ac:dyDescent="0.25">
      <c r="A204" s="52"/>
      <c r="B204" s="2" t="s">
        <v>151</v>
      </c>
      <c r="C204" s="53">
        <v>1</v>
      </c>
      <c r="D204" s="41" t="s">
        <v>54</v>
      </c>
      <c r="E204" s="54">
        <f>+E194</f>
        <v>24</v>
      </c>
      <c r="F204" s="53">
        <f>+E204*C204</f>
        <v>24</v>
      </c>
      <c r="G204" s="58"/>
    </row>
    <row r="205" spans="1:8" x14ac:dyDescent="0.25">
      <c r="A205" s="52"/>
      <c r="B205" s="2" t="s">
        <v>152</v>
      </c>
      <c r="C205" s="81">
        <f>9*2</f>
        <v>18</v>
      </c>
      <c r="D205" s="41" t="s">
        <v>8</v>
      </c>
      <c r="E205" s="54">
        <f>+E195</f>
        <v>5</v>
      </c>
      <c r="F205" s="53">
        <f>+E205*C205</f>
        <v>90</v>
      </c>
      <c r="G205" s="58"/>
    </row>
    <row r="206" spans="1:8" ht="15.6" x14ac:dyDescent="0.3">
      <c r="A206" s="52"/>
      <c r="D206" s="41" t="s">
        <v>126</v>
      </c>
      <c r="E206" s="54"/>
      <c r="G206" s="82">
        <f>SUM(F199:F205)</f>
        <v>13534.1400472196</v>
      </c>
      <c r="H206" s="83" t="s">
        <v>59</v>
      </c>
    </row>
    <row r="207" spans="1:8" x14ac:dyDescent="0.25">
      <c r="A207" s="52"/>
      <c r="D207" s="41"/>
      <c r="E207" s="54"/>
      <c r="G207" s="58"/>
      <c r="H207" s="41"/>
    </row>
    <row r="208" spans="1:8" ht="15.6" x14ac:dyDescent="0.3">
      <c r="A208" s="52">
        <f>0.01+A198</f>
        <v>5.0499999999999989</v>
      </c>
      <c r="B208" s="21" t="s">
        <v>154</v>
      </c>
      <c r="E208" s="46"/>
      <c r="G208" s="58"/>
    </row>
    <row r="209" spans="1:8" x14ac:dyDescent="0.25">
      <c r="A209" s="52"/>
      <c r="B209" s="2" t="s">
        <v>145</v>
      </c>
      <c r="C209" s="53">
        <v>1</v>
      </c>
      <c r="D209" s="41" t="s">
        <v>54</v>
      </c>
      <c r="E209" s="54">
        <f>+'[1]Lista de precios MAY25'!$E$44</f>
        <v>9027</v>
      </c>
      <c r="F209" s="53">
        <f>+E209*C209</f>
        <v>9027</v>
      </c>
      <c r="G209" s="58"/>
    </row>
    <row r="210" spans="1:8" x14ac:dyDescent="0.25">
      <c r="A210" s="16"/>
      <c r="B210" s="2" t="s">
        <v>146</v>
      </c>
      <c r="C210" s="53">
        <f>+'[2]2. Zapatas de columnas y muros'!Y68</f>
        <v>0.73130128473673239</v>
      </c>
      <c r="D210" s="41" t="s">
        <v>147</v>
      </c>
      <c r="E210" s="54">
        <f>+'[1]Lista de precios MAY25'!$E$9</f>
        <v>3221.6681776971895</v>
      </c>
      <c r="F210" s="53">
        <f>+E210*C210</f>
        <v>2356.0100773454024</v>
      </c>
      <c r="G210" s="58"/>
    </row>
    <row r="211" spans="1:8" x14ac:dyDescent="0.25">
      <c r="A211" s="52"/>
      <c r="B211" s="2" t="s">
        <v>148</v>
      </c>
      <c r="C211" s="53">
        <f>C210*2</f>
        <v>1.4626025694734648</v>
      </c>
      <c r="D211" s="41" t="s">
        <v>82</v>
      </c>
      <c r="E211" s="54">
        <f>+'[1]Lista de precios MAY25'!$E$15</f>
        <v>79.001000000000005</v>
      </c>
      <c r="F211" s="53">
        <f>+E211*C211</f>
        <v>115.5470655909732</v>
      </c>
      <c r="G211" s="58"/>
    </row>
    <row r="212" spans="1:8" x14ac:dyDescent="0.25">
      <c r="A212" s="16"/>
      <c r="B212" s="2" t="s">
        <v>67</v>
      </c>
      <c r="C212" s="53">
        <v>8</v>
      </c>
      <c r="D212" s="41" t="s">
        <v>34</v>
      </c>
      <c r="E212" s="46">
        <f>SUM(F209:F211)</f>
        <v>11498.557142936377</v>
      </c>
      <c r="F212" s="53">
        <f>+E212*C212/100</f>
        <v>919.88457143491019</v>
      </c>
      <c r="G212" s="58"/>
    </row>
    <row r="213" spans="1:8" x14ac:dyDescent="0.25">
      <c r="A213" s="52"/>
      <c r="B213" s="2" t="s">
        <v>149</v>
      </c>
      <c r="C213" s="53">
        <f>1/0.45/0.3</f>
        <v>7.4074074074074083</v>
      </c>
      <c r="D213" s="41" t="s">
        <v>150</v>
      </c>
      <c r="E213" s="54">
        <f>+'[1]MO MAY25'!$N$36</f>
        <v>247.25</v>
      </c>
      <c r="F213" s="53">
        <f>+E213*C213</f>
        <v>1831.4814814814818</v>
      </c>
      <c r="G213" s="58"/>
    </row>
    <row r="214" spans="1:8" x14ac:dyDescent="0.25">
      <c r="A214" s="52"/>
      <c r="B214" s="2" t="s">
        <v>151</v>
      </c>
      <c r="C214" s="53">
        <v>1</v>
      </c>
      <c r="D214" s="41" t="s">
        <v>54</v>
      </c>
      <c r="E214" s="54">
        <f>+$E$204</f>
        <v>24</v>
      </c>
      <c r="F214" s="53">
        <f>+E214*C214</f>
        <v>24</v>
      </c>
      <c r="G214" s="58"/>
    </row>
    <row r="215" spans="1:8" x14ac:dyDescent="0.25">
      <c r="A215" s="52"/>
      <c r="B215" s="2" t="s">
        <v>152</v>
      </c>
      <c r="C215" s="81">
        <f>10*2</f>
        <v>20</v>
      </c>
      <c r="D215" s="41" t="s">
        <v>8</v>
      </c>
      <c r="E215" s="54">
        <f>+$E$205</f>
        <v>5</v>
      </c>
      <c r="F215" s="53">
        <f>+E215*C215</f>
        <v>100</v>
      </c>
      <c r="G215" s="58"/>
    </row>
    <row r="216" spans="1:8" ht="15.6" x14ac:dyDescent="0.3">
      <c r="A216" s="52"/>
      <c r="D216" s="41" t="s">
        <v>126</v>
      </c>
      <c r="E216" s="54"/>
      <c r="G216" s="82">
        <f>SUM(F209:F215)</f>
        <v>14373.923195852769</v>
      </c>
      <c r="H216" s="83" t="s">
        <v>59</v>
      </c>
    </row>
    <row r="217" spans="1:8" ht="15.6" x14ac:dyDescent="0.3">
      <c r="A217" s="52">
        <f>+A208+0.01</f>
        <v>5.0599999999999987</v>
      </c>
      <c r="B217" s="21" t="s">
        <v>155</v>
      </c>
      <c r="E217" s="46"/>
      <c r="G217" s="58"/>
    </row>
    <row r="218" spans="1:8" x14ac:dyDescent="0.25">
      <c r="A218" s="52"/>
      <c r="B218" s="2" t="s">
        <v>145</v>
      </c>
      <c r="C218" s="53">
        <v>1</v>
      </c>
      <c r="D218" s="41" t="s">
        <v>54</v>
      </c>
      <c r="E218" s="54">
        <f>+'[1]Lista de precios MAY25'!$E$45</f>
        <v>9449.7350000000006</v>
      </c>
      <c r="F218" s="53">
        <f>+E218*C218</f>
        <v>9449.7350000000006</v>
      </c>
      <c r="G218" s="58"/>
    </row>
    <row r="219" spans="1:8" x14ac:dyDescent="0.25">
      <c r="A219" s="16"/>
      <c r="B219" s="2" t="s">
        <v>146</v>
      </c>
      <c r="C219" s="53">
        <f>+'[2]20. Piscina y espejo de agua'!Z95</f>
        <v>2.4462143618583396</v>
      </c>
      <c r="D219" s="41" t="s">
        <v>147</v>
      </c>
      <c r="E219" s="54">
        <f>+'[1]Lista de precios MAY25'!$E$9</f>
        <v>3221.6681776971895</v>
      </c>
      <c r="F219" s="53">
        <f>+E219*C219</f>
        <v>7880.89096542485</v>
      </c>
      <c r="G219" s="58"/>
    </row>
    <row r="220" spans="1:8" x14ac:dyDescent="0.25">
      <c r="A220" s="52"/>
      <c r="B220" s="2" t="s">
        <v>148</v>
      </c>
      <c r="C220" s="53">
        <f>C219*2</f>
        <v>4.8924287237166793</v>
      </c>
      <c r="D220" s="41" t="s">
        <v>82</v>
      </c>
      <c r="E220" s="54">
        <f>+'[1]Lista de precios MAY25'!$E$15</f>
        <v>79.001000000000005</v>
      </c>
      <c r="F220" s="53">
        <f>+E220*C220</f>
        <v>386.50676160234138</v>
      </c>
      <c r="G220" s="58"/>
    </row>
    <row r="221" spans="1:8" x14ac:dyDescent="0.25">
      <c r="A221" s="16"/>
      <c r="B221" s="2" t="s">
        <v>67</v>
      </c>
      <c r="C221" s="53">
        <v>8</v>
      </c>
      <c r="D221" s="41" t="s">
        <v>34</v>
      </c>
      <c r="E221" s="46">
        <f>SUM(F218:F220)</f>
        <v>17717.13272702719</v>
      </c>
      <c r="F221" s="53">
        <f>+E221*C221/100</f>
        <v>1417.3706181621753</v>
      </c>
      <c r="G221" s="58"/>
    </row>
    <row r="222" spans="1:8" x14ac:dyDescent="0.25">
      <c r="A222" s="52"/>
      <c r="B222" s="2" t="s">
        <v>149</v>
      </c>
      <c r="C222" s="53">
        <f>1/0.65/0.15</f>
        <v>10.256410256410255</v>
      </c>
      <c r="D222" s="41" t="s">
        <v>150</v>
      </c>
      <c r="E222" s="54">
        <f>+'[1]MO MAY25'!$N$36*1.05</f>
        <v>259.61250000000001</v>
      </c>
      <c r="F222" s="53">
        <f>+E222*C222</f>
        <v>2662.6923076923076</v>
      </c>
      <c r="G222" s="58"/>
    </row>
    <row r="223" spans="1:8" x14ac:dyDescent="0.25">
      <c r="A223" s="52"/>
      <c r="B223" s="2" t="s">
        <v>151</v>
      </c>
      <c r="C223" s="53">
        <v>1</v>
      </c>
      <c r="D223" s="41" t="s">
        <v>54</v>
      </c>
      <c r="E223" s="54">
        <f>+$E$204</f>
        <v>24</v>
      </c>
      <c r="F223" s="53">
        <f>+E223*C223</f>
        <v>24</v>
      </c>
      <c r="G223" s="58"/>
    </row>
    <row r="224" spans="1:8" x14ac:dyDescent="0.25">
      <c r="A224" s="52"/>
      <c r="B224" s="2" t="s">
        <v>152</v>
      </c>
      <c r="C224" s="81">
        <f>10*2</f>
        <v>20</v>
      </c>
      <c r="D224" s="41" t="s">
        <v>8</v>
      </c>
      <c r="E224" s="54">
        <f>+$E$205</f>
        <v>5</v>
      </c>
      <c r="F224" s="53">
        <f>+E224*C224</f>
        <v>100</v>
      </c>
      <c r="G224" s="58"/>
    </row>
    <row r="225" spans="1:8" ht="15.6" x14ac:dyDescent="0.3">
      <c r="A225" s="52"/>
      <c r="D225" s="41" t="s">
        <v>126</v>
      </c>
      <c r="E225" s="54"/>
      <c r="G225" s="84">
        <f>SUM(F218:F224)</f>
        <v>21921.195652881674</v>
      </c>
      <c r="H225" s="83" t="s">
        <v>59</v>
      </c>
    </row>
    <row r="226" spans="1:8" x14ac:dyDescent="0.25">
      <c r="A226" s="52"/>
      <c r="D226" s="41"/>
      <c r="E226" s="54"/>
      <c r="G226" s="58"/>
      <c r="H226" s="41"/>
    </row>
    <row r="227" spans="1:8" ht="15.6" x14ac:dyDescent="0.3">
      <c r="A227" s="52">
        <f>+A217+0.01</f>
        <v>5.0699999999999985</v>
      </c>
      <c r="B227" s="21" t="s">
        <v>156</v>
      </c>
      <c r="E227" s="46"/>
      <c r="G227" s="58"/>
    </row>
    <row r="228" spans="1:8" x14ac:dyDescent="0.25">
      <c r="A228" s="52"/>
      <c r="B228" s="2" t="s">
        <v>145</v>
      </c>
      <c r="C228" s="53">
        <v>1</v>
      </c>
      <c r="D228" s="41" t="s">
        <v>54</v>
      </c>
      <c r="E228" s="54">
        <f>+'[1]Lista de precios MAY25'!$E$44</f>
        <v>9027</v>
      </c>
      <c r="F228" s="53">
        <f>+E228*C228</f>
        <v>9027</v>
      </c>
      <c r="G228" s="58"/>
    </row>
    <row r="229" spans="1:8" x14ac:dyDescent="0.25">
      <c r="A229" s="16"/>
      <c r="B229" s="2" t="s">
        <v>146</v>
      </c>
      <c r="C229" s="72">
        <v>0.74707428861324032</v>
      </c>
      <c r="D229" s="41" t="s">
        <v>147</v>
      </c>
      <c r="E229" s="54">
        <f>+'[1]Lista de precios MAY25'!$E$9</f>
        <v>3221.6681776971895</v>
      </c>
      <c r="F229" s="53">
        <f>+E229*C229</f>
        <v>2406.8254620010421</v>
      </c>
      <c r="G229" s="58"/>
    </row>
    <row r="230" spans="1:8" x14ac:dyDescent="0.25">
      <c r="A230" s="52"/>
      <c r="B230" s="2" t="s">
        <v>148</v>
      </c>
      <c r="C230" s="53">
        <f>C229*2</f>
        <v>1.4941485772264806</v>
      </c>
      <c r="D230" s="41" t="s">
        <v>82</v>
      </c>
      <c r="E230" s="54">
        <f>+'[1]Lista de precios MAY25'!$E$15</f>
        <v>79.001000000000005</v>
      </c>
      <c r="F230" s="53">
        <f>+E230*C230</f>
        <v>118.03923174946921</v>
      </c>
      <c r="G230" s="58"/>
    </row>
    <row r="231" spans="1:8" x14ac:dyDescent="0.25">
      <c r="A231" s="16"/>
      <c r="B231" s="2" t="s">
        <v>67</v>
      </c>
      <c r="C231" s="53">
        <v>5</v>
      </c>
      <c r="D231" s="41" t="s">
        <v>34</v>
      </c>
      <c r="E231" s="46">
        <f>SUM(F228:F230)</f>
        <v>11551.864693750511</v>
      </c>
      <c r="F231" s="53">
        <f>+E231*C231/100</f>
        <v>577.59323468752552</v>
      </c>
      <c r="G231" s="58"/>
    </row>
    <row r="232" spans="1:8" x14ac:dyDescent="0.25">
      <c r="A232" s="52"/>
      <c r="B232" s="2" t="s">
        <v>149</v>
      </c>
      <c r="C232" s="53">
        <f>1/0.6/0.25</f>
        <v>6.666666666666667</v>
      </c>
      <c r="D232" s="41" t="s">
        <v>150</v>
      </c>
      <c r="E232" s="54"/>
      <c r="F232" s="53">
        <f>+E232*C232</f>
        <v>0</v>
      </c>
      <c r="G232" s="58"/>
    </row>
    <row r="233" spans="1:8" x14ac:dyDescent="0.25">
      <c r="A233" s="52"/>
      <c r="B233" s="2" t="s">
        <v>151</v>
      </c>
      <c r="C233" s="53">
        <v>1</v>
      </c>
      <c r="D233" s="41" t="s">
        <v>54</v>
      </c>
      <c r="E233" s="54"/>
      <c r="F233" s="53">
        <f>+E233*C233</f>
        <v>0</v>
      </c>
      <c r="G233" s="58"/>
    </row>
    <row r="234" spans="1:8" x14ac:dyDescent="0.25">
      <c r="A234" s="52"/>
      <c r="B234" s="2" t="s">
        <v>152</v>
      </c>
      <c r="C234" s="81">
        <f>10*2</f>
        <v>20</v>
      </c>
      <c r="D234" s="41" t="s">
        <v>8</v>
      </c>
      <c r="E234" s="54"/>
      <c r="F234" s="53">
        <f>+E234*C234</f>
        <v>0</v>
      </c>
      <c r="G234" s="58"/>
    </row>
    <row r="235" spans="1:8" ht="15.6" x14ac:dyDescent="0.3">
      <c r="A235" s="52"/>
      <c r="D235" s="41" t="s">
        <v>126</v>
      </c>
      <c r="E235" s="54"/>
      <c r="G235" s="85">
        <f>SUM(F228:F234)</f>
        <v>12129.457928438036</v>
      </c>
      <c r="H235" s="86" t="s">
        <v>59</v>
      </c>
    </row>
    <row r="236" spans="1:8" x14ac:dyDescent="0.25">
      <c r="A236" s="52"/>
      <c r="D236" s="41"/>
      <c r="E236" s="54"/>
      <c r="G236" s="58"/>
      <c r="H236" s="41"/>
    </row>
    <row r="237" spans="1:8" ht="15.6" x14ac:dyDescent="0.3">
      <c r="A237" s="52">
        <f>+A208+0.01</f>
        <v>5.0599999999999987</v>
      </c>
      <c r="B237" s="3" t="s">
        <v>157</v>
      </c>
      <c r="C237" s="8"/>
      <c r="E237" s="46"/>
      <c r="F237" s="8"/>
      <c r="G237" s="58"/>
    </row>
    <row r="238" spans="1:8" x14ac:dyDescent="0.25">
      <c r="A238" s="52"/>
      <c r="B238" s="2" t="s">
        <v>145</v>
      </c>
      <c r="C238" s="53">
        <v>1</v>
      </c>
      <c r="D238" s="41" t="s">
        <v>54</v>
      </c>
      <c r="E238" s="54">
        <f>+'[1]Lista de precios MAY25'!$E$44</f>
        <v>9027</v>
      </c>
      <c r="F238" s="53">
        <f>+E238*C238</f>
        <v>9027</v>
      </c>
      <c r="G238" s="58"/>
    </row>
    <row r="239" spans="1:8" x14ac:dyDescent="0.25">
      <c r="A239" s="16"/>
      <c r="B239" s="41" t="s">
        <v>158</v>
      </c>
      <c r="C239" s="72">
        <v>1.5446059912842027</v>
      </c>
      <c r="D239" s="41" t="s">
        <v>147</v>
      </c>
      <c r="E239" s="54">
        <f>+'[1]Lista de precios MAY25'!$E$9</f>
        <v>3221.6681776971895</v>
      </c>
      <c r="F239" s="53">
        <f>ROUND((C239*E239),2)</f>
        <v>4976.21</v>
      </c>
      <c r="G239" s="58"/>
    </row>
    <row r="240" spans="1:8" x14ac:dyDescent="0.25">
      <c r="A240" s="52"/>
      <c r="B240" s="41" t="s">
        <v>148</v>
      </c>
      <c r="C240" s="53">
        <f>SUM(C239:C239)*2</f>
        <v>3.0892119825684055</v>
      </c>
      <c r="D240" s="41" t="s">
        <v>82</v>
      </c>
      <c r="E240" s="54">
        <f>+'[1]Lista de precios MAY25'!$E$15</f>
        <v>79.001000000000005</v>
      </c>
      <c r="F240" s="53">
        <f>ROUND((C240*E240),2)</f>
        <v>244.05</v>
      </c>
      <c r="G240" s="58"/>
    </row>
    <row r="241" spans="1:10" x14ac:dyDescent="0.25">
      <c r="A241" s="16"/>
      <c r="B241" s="41" t="s">
        <v>67</v>
      </c>
      <c r="C241" s="53">
        <v>5</v>
      </c>
      <c r="D241" s="41" t="s">
        <v>34</v>
      </c>
      <c r="E241" s="46">
        <f>SUM(F238:F240)</f>
        <v>14247.259999999998</v>
      </c>
      <c r="F241" s="53">
        <f>+E241*C241/100</f>
        <v>712.36299999999983</v>
      </c>
      <c r="G241" s="58"/>
    </row>
    <row r="242" spans="1:10" x14ac:dyDescent="0.25">
      <c r="A242" s="52"/>
      <c r="B242" s="41" t="s">
        <v>149</v>
      </c>
      <c r="C242" s="53">
        <v>2.3809523809523809</v>
      </c>
      <c r="D242" s="41" t="s">
        <v>159</v>
      </c>
      <c r="E242" s="54"/>
      <c r="F242" s="53">
        <f>E242*C242</f>
        <v>0</v>
      </c>
      <c r="G242" s="58"/>
      <c r="J242" s="40"/>
    </row>
    <row r="243" spans="1:10" x14ac:dyDescent="0.25">
      <c r="A243" s="52"/>
      <c r="B243" s="41" t="s">
        <v>151</v>
      </c>
      <c r="C243" s="53">
        <f>+C238</f>
        <v>1</v>
      </c>
      <c r="D243" s="41" t="s">
        <v>54</v>
      </c>
      <c r="E243" s="54"/>
      <c r="F243" s="53">
        <f>E243*C243</f>
        <v>0</v>
      </c>
      <c r="G243" s="58"/>
    </row>
    <row r="244" spans="1:10" x14ac:dyDescent="0.25">
      <c r="A244" s="52"/>
      <c r="B244" s="41" t="s">
        <v>152</v>
      </c>
      <c r="C244" s="53">
        <v>4.8</v>
      </c>
      <c r="D244" s="41" t="s">
        <v>8</v>
      </c>
      <c r="E244" s="54"/>
      <c r="F244" s="53">
        <f>E244*C244</f>
        <v>0</v>
      </c>
      <c r="G244" s="58" t="s">
        <v>126</v>
      </c>
    </row>
    <row r="245" spans="1:10" ht="15.6" x14ac:dyDescent="0.3">
      <c r="A245" s="52"/>
      <c r="C245" s="8"/>
      <c r="D245" s="41" t="s">
        <v>126</v>
      </c>
      <c r="E245" s="46"/>
      <c r="F245" s="8"/>
      <c r="G245" s="87">
        <f>SUM(F238:F244)/C238</f>
        <v>14959.622999999998</v>
      </c>
      <c r="H245" s="86" t="s">
        <v>59</v>
      </c>
      <c r="J245" s="55"/>
    </row>
    <row r="246" spans="1:10" x14ac:dyDescent="0.25">
      <c r="A246" s="16"/>
      <c r="C246" s="8"/>
      <c r="E246" s="46"/>
      <c r="F246" s="8"/>
      <c r="G246" s="58"/>
      <c r="H246" s="41"/>
    </row>
    <row r="247" spans="1:10" ht="15.6" x14ac:dyDescent="0.3">
      <c r="A247" s="52">
        <f>+A237+0.01</f>
        <v>5.0699999999999985</v>
      </c>
      <c r="B247" s="3" t="s">
        <v>160</v>
      </c>
      <c r="C247" s="8"/>
      <c r="E247" s="46"/>
      <c r="F247" s="8"/>
      <c r="G247" s="58"/>
    </row>
    <row r="248" spans="1:10" x14ac:dyDescent="0.25">
      <c r="A248" s="52"/>
      <c r="B248" s="2" t="s">
        <v>145</v>
      </c>
      <c r="C248" s="53">
        <v>1</v>
      </c>
      <c r="D248" s="41" t="s">
        <v>54</v>
      </c>
      <c r="E248" s="54">
        <f>+'[1]Lista de precios MAY25'!$E$44</f>
        <v>9027</v>
      </c>
      <c r="F248" s="53">
        <f>+E248*C248</f>
        <v>9027</v>
      </c>
      <c r="G248" s="58"/>
    </row>
    <row r="249" spans="1:10" x14ac:dyDescent="0.25">
      <c r="A249" s="16"/>
      <c r="B249" s="41" t="s">
        <v>158</v>
      </c>
      <c r="C249" s="53" t="e">
        <f>+'[2]2. Zapatas de columnas y muros'!#REF!</f>
        <v>#REF!</v>
      </c>
      <c r="D249" s="41" t="s">
        <v>147</v>
      </c>
      <c r="E249" s="54">
        <f>+'[1]Lista de precios MAY25'!$E$9</f>
        <v>3221.6681776971895</v>
      </c>
      <c r="F249" s="53" t="e">
        <f>ROUND((C249*E249),2)</f>
        <v>#REF!</v>
      </c>
      <c r="G249" s="58"/>
    </row>
    <row r="250" spans="1:10" x14ac:dyDescent="0.25">
      <c r="A250" s="52"/>
      <c r="B250" s="41" t="s">
        <v>148</v>
      </c>
      <c r="C250" s="53" t="e">
        <f>SUM(C249:C249)*2</f>
        <v>#REF!</v>
      </c>
      <c r="D250" s="41" t="s">
        <v>82</v>
      </c>
      <c r="E250" s="54">
        <f>+'[1]Lista de precios MAY25'!$E$15</f>
        <v>79.001000000000005</v>
      </c>
      <c r="F250" s="53" t="e">
        <f>ROUND((C250*E250),2)</f>
        <v>#REF!</v>
      </c>
      <c r="G250" s="58"/>
      <c r="J250" s="40"/>
    </row>
    <row r="251" spans="1:10" x14ac:dyDescent="0.25">
      <c r="A251" s="16"/>
      <c r="B251" s="41" t="s">
        <v>67</v>
      </c>
      <c r="C251" s="53">
        <v>8</v>
      </c>
      <c r="D251" s="41" t="s">
        <v>34</v>
      </c>
      <c r="E251" s="46" t="e">
        <f>SUM(F248:F250)</f>
        <v>#REF!</v>
      </c>
      <c r="F251" s="53" t="e">
        <f>+E251*C251/100</f>
        <v>#REF!</v>
      </c>
      <c r="G251" s="58"/>
      <c r="J251" s="40"/>
    </row>
    <row r="252" spans="1:10" x14ac:dyDescent="0.25">
      <c r="A252" s="52"/>
      <c r="B252" s="41" t="s">
        <v>149</v>
      </c>
      <c r="C252" s="53">
        <f>1/1.2/0.25</f>
        <v>3.3333333333333335</v>
      </c>
      <c r="D252" s="41" t="s">
        <v>147</v>
      </c>
      <c r="E252" s="54">
        <f>+'[1]MO MAY25'!N38*1.2</f>
        <v>303.59999999999997</v>
      </c>
      <c r="F252" s="53">
        <f>+E252*C252</f>
        <v>1011.9999999999999</v>
      </c>
      <c r="G252" s="58"/>
      <c r="J252" s="40"/>
    </row>
    <row r="253" spans="1:10" x14ac:dyDescent="0.25">
      <c r="A253" s="52"/>
      <c r="B253" s="41" t="s">
        <v>151</v>
      </c>
      <c r="C253" s="53">
        <f>+C248</f>
        <v>1</v>
      </c>
      <c r="D253" s="41" t="s">
        <v>54</v>
      </c>
      <c r="E253" s="54">
        <f>+E214</f>
        <v>24</v>
      </c>
      <c r="F253" s="53">
        <f>E253*C253</f>
        <v>24</v>
      </c>
      <c r="G253" s="58"/>
    </row>
    <row r="254" spans="1:10" x14ac:dyDescent="0.25">
      <c r="A254" s="52"/>
      <c r="B254" s="41" t="s">
        <v>152</v>
      </c>
      <c r="C254" s="53">
        <f>+C252*4</f>
        <v>13.333333333333334</v>
      </c>
      <c r="D254" s="41" t="s">
        <v>8</v>
      </c>
      <c r="E254" s="54">
        <f>+E215</f>
        <v>5</v>
      </c>
      <c r="F254" s="53">
        <f>E254*C254</f>
        <v>66.666666666666671</v>
      </c>
      <c r="G254" s="58" t="s">
        <v>126</v>
      </c>
    </row>
    <row r="255" spans="1:10" ht="15.6" x14ac:dyDescent="0.3">
      <c r="A255" s="52"/>
      <c r="C255" s="8"/>
      <c r="D255" s="41" t="s">
        <v>126</v>
      </c>
      <c r="E255" s="46"/>
      <c r="F255" s="8"/>
      <c r="G255" s="56" t="e">
        <f>SUM(F248:F254)/C248</f>
        <v>#REF!</v>
      </c>
      <c r="H255" s="57" t="s">
        <v>59</v>
      </c>
    </row>
    <row r="256" spans="1:10" ht="15.6" x14ac:dyDescent="0.3">
      <c r="A256" s="52"/>
      <c r="C256" s="8"/>
      <c r="D256" s="41"/>
      <c r="E256" s="46"/>
      <c r="F256" s="8"/>
      <c r="G256" s="59"/>
      <c r="H256" s="3"/>
    </row>
    <row r="257" spans="1:10" ht="15.6" x14ac:dyDescent="0.3">
      <c r="A257" s="79">
        <f>+A171+1</f>
        <v>6</v>
      </c>
      <c r="B257" s="21" t="s">
        <v>161</v>
      </c>
      <c r="C257" s="8"/>
      <c r="E257" s="46"/>
      <c r="F257" s="8"/>
      <c r="G257" s="58"/>
      <c r="H257" s="41"/>
    </row>
    <row r="258" spans="1:10" ht="15.6" x14ac:dyDescent="0.3">
      <c r="A258" s="79"/>
      <c r="B258" s="21"/>
      <c r="C258" s="8"/>
      <c r="E258" s="46"/>
      <c r="F258" s="8"/>
      <c r="G258" s="58"/>
      <c r="H258" s="41"/>
      <c r="J258" s="40"/>
    </row>
    <row r="259" spans="1:10" ht="15.6" x14ac:dyDescent="0.3">
      <c r="A259" s="88">
        <f>+A257+0.01</f>
        <v>6.01</v>
      </c>
      <c r="B259" s="3" t="s">
        <v>162</v>
      </c>
      <c r="E259" s="46"/>
      <c r="G259" s="58"/>
      <c r="H259" s="41"/>
    </row>
    <row r="260" spans="1:10" x14ac:dyDescent="0.25">
      <c r="A260" s="52"/>
      <c r="B260" s="2" t="s">
        <v>163</v>
      </c>
      <c r="C260" s="53">
        <v>1</v>
      </c>
      <c r="D260" s="41" t="s">
        <v>54</v>
      </c>
      <c r="E260" s="54">
        <f>+'[1]Lista de precios MAY25'!$E$45</f>
        <v>9449.7350000000006</v>
      </c>
      <c r="F260" s="53">
        <f>+E260*C260</f>
        <v>9449.7350000000006</v>
      </c>
      <c r="G260" s="58"/>
      <c r="I260" s="40">
        <f>SUM(C263:C264)</f>
        <v>3.8499472681704265</v>
      </c>
    </row>
    <row r="261" spans="1:10" x14ac:dyDescent="0.25">
      <c r="A261" s="16"/>
      <c r="B261" s="2" t="s">
        <v>164</v>
      </c>
      <c r="C261" s="53">
        <v>0</v>
      </c>
      <c r="D261" s="2" t="s">
        <v>147</v>
      </c>
      <c r="E261" s="54">
        <f>+'[1]Lista de precios MAY25'!$E$9</f>
        <v>3221.6681776971895</v>
      </c>
      <c r="F261" s="53">
        <f>ROUND((C261*E261),2)</f>
        <v>0</v>
      </c>
      <c r="G261" s="58"/>
      <c r="H261" s="41"/>
      <c r="I261" s="2">
        <f>+I260*500</f>
        <v>1924.9736340852132</v>
      </c>
    </row>
    <row r="262" spans="1:10" x14ac:dyDescent="0.25">
      <c r="A262" s="16"/>
      <c r="B262" s="2" t="s">
        <v>165</v>
      </c>
      <c r="C262" s="53">
        <v>0</v>
      </c>
      <c r="D262" s="2" t="s">
        <v>147</v>
      </c>
      <c r="E262" s="54">
        <f>+'[1]Lista de precios MAY25'!$E$9</f>
        <v>3221.6681776971895</v>
      </c>
      <c r="F262" s="53">
        <f>ROUND((C262*E262),2)</f>
        <v>0</v>
      </c>
      <c r="G262" s="58"/>
      <c r="H262" s="41"/>
    </row>
    <row r="263" spans="1:10" x14ac:dyDescent="0.25">
      <c r="A263" s="16"/>
      <c r="B263" s="2" t="s">
        <v>166</v>
      </c>
      <c r="C263" s="53">
        <v>2.1910400000000001</v>
      </c>
      <c r="D263" s="2" t="s">
        <v>147</v>
      </c>
      <c r="E263" s="54">
        <f>+'[1]Lista de precios MAY25'!$E$9</f>
        <v>3221.6681776971895</v>
      </c>
      <c r="F263" s="53">
        <f>ROUND((C263*E263),2)</f>
        <v>7058.8</v>
      </c>
      <c r="G263" s="58"/>
      <c r="H263" s="41"/>
    </row>
    <row r="264" spans="1:10" x14ac:dyDescent="0.25">
      <c r="A264" s="16"/>
      <c r="B264" s="2" t="s">
        <v>167</v>
      </c>
      <c r="C264" s="53">
        <v>1.6589072681704262</v>
      </c>
      <c r="D264" s="2" t="s">
        <v>147</v>
      </c>
      <c r="E264" s="54">
        <f>+'[1]Lista de precios MAY25'!$E$9</f>
        <v>3221.6681776971895</v>
      </c>
      <c r="F264" s="53">
        <f>ROUND((C264*E264),2)</f>
        <v>5344.45</v>
      </c>
      <c r="G264" s="58"/>
      <c r="H264" s="41"/>
    </row>
    <row r="265" spans="1:10" x14ac:dyDescent="0.25">
      <c r="A265" s="16"/>
      <c r="B265" s="2" t="s">
        <v>148</v>
      </c>
      <c r="C265" s="53">
        <f>SUM(C261:C264)*2</f>
        <v>7.6998945363408531</v>
      </c>
      <c r="D265" s="2" t="s">
        <v>82</v>
      </c>
      <c r="E265" s="54">
        <f>+'[1]Lista de precios MAY25'!$E$15</f>
        <v>79.001000000000005</v>
      </c>
      <c r="F265" s="53">
        <f>ROUND((C265*E265),2)</f>
        <v>608.29999999999995</v>
      </c>
      <c r="G265" s="58"/>
      <c r="H265" s="41"/>
      <c r="I265" s="40"/>
    </row>
    <row r="266" spans="1:10" x14ac:dyDescent="0.25">
      <c r="A266" s="16"/>
      <c r="B266" s="2" t="s">
        <v>67</v>
      </c>
      <c r="C266" s="53">
        <v>8</v>
      </c>
      <c r="D266" s="2" t="s">
        <v>34</v>
      </c>
      <c r="E266" s="46">
        <f>SUM(F260:F265)</f>
        <v>22461.285</v>
      </c>
      <c r="F266" s="8">
        <f>+E266*C266/100</f>
        <v>1796.9028000000001</v>
      </c>
      <c r="G266" s="58"/>
      <c r="H266" s="41"/>
    </row>
    <row r="267" spans="1:10" x14ac:dyDescent="0.25">
      <c r="A267" s="16"/>
      <c r="B267" s="2" t="s">
        <v>168</v>
      </c>
      <c r="C267" s="53">
        <v>16.666666666666668</v>
      </c>
      <c r="D267" s="2" t="s">
        <v>150</v>
      </c>
      <c r="E267" s="46"/>
      <c r="F267" s="53">
        <f>ROUND((C267*E267),2)</f>
        <v>0</v>
      </c>
      <c r="G267" s="58"/>
      <c r="H267" s="41"/>
      <c r="I267" s="40"/>
    </row>
    <row r="268" spans="1:10" x14ac:dyDescent="0.25">
      <c r="A268" s="16"/>
      <c r="B268" s="89" t="s">
        <v>169</v>
      </c>
      <c r="C268" s="53">
        <v>16.666666666666668</v>
      </c>
      <c r="D268" s="2" t="s">
        <v>150</v>
      </c>
      <c r="E268" s="46"/>
      <c r="F268" s="53">
        <f>ROUND((C268*E268),2)</f>
        <v>0</v>
      </c>
      <c r="G268" s="40"/>
      <c r="H268" s="41"/>
      <c r="I268" s="40"/>
    </row>
    <row r="269" spans="1:10" x14ac:dyDescent="0.25">
      <c r="A269" s="16"/>
      <c r="B269" s="2" t="s">
        <v>151</v>
      </c>
      <c r="C269" s="53">
        <v>1</v>
      </c>
      <c r="D269" s="2" t="s">
        <v>54</v>
      </c>
      <c r="E269" s="54"/>
      <c r="F269" s="53">
        <f>ROUND((C269*E269),2)</f>
        <v>0</v>
      </c>
      <c r="G269" s="58"/>
      <c r="H269" s="41"/>
    </row>
    <row r="270" spans="1:10" x14ac:dyDescent="0.25">
      <c r="A270" s="16"/>
      <c r="B270" s="2" t="s">
        <v>170</v>
      </c>
      <c r="C270" s="53">
        <f>+C268/3.5</f>
        <v>4.7619047619047619</v>
      </c>
      <c r="D270" s="2" t="s">
        <v>8</v>
      </c>
      <c r="E270" s="46"/>
      <c r="F270" s="53">
        <f>ROUND((C270*E270),2)</f>
        <v>0</v>
      </c>
      <c r="G270" s="58"/>
      <c r="H270" s="41"/>
    </row>
    <row r="271" spans="1:10" ht="15.6" x14ac:dyDescent="0.3">
      <c r="A271" s="16"/>
      <c r="B271" s="2" t="s">
        <v>126</v>
      </c>
      <c r="E271" s="46"/>
      <c r="G271" s="85">
        <f>SUM(F260:F270)</f>
        <v>24258.1878</v>
      </c>
      <c r="H271" s="86" t="s">
        <v>59</v>
      </c>
      <c r="I271" s="2" t="s">
        <v>171</v>
      </c>
    </row>
    <row r="272" spans="1:10" ht="15.6" x14ac:dyDescent="0.3">
      <c r="A272" s="80"/>
      <c r="B272" s="21"/>
      <c r="C272" s="8"/>
      <c r="E272" s="46"/>
      <c r="F272" s="8"/>
      <c r="G272" s="85">
        <f>SUM(F260:F266)+F269+F270+(F267+F268)*1.15</f>
        <v>24258.1878</v>
      </c>
      <c r="H272" s="86" t="s">
        <v>59</v>
      </c>
      <c r="I272" s="2" t="s">
        <v>172</v>
      </c>
    </row>
    <row r="273" spans="1:9" ht="15.6" x14ac:dyDescent="0.3">
      <c r="A273" s="88">
        <f>+A259+0.01</f>
        <v>6.02</v>
      </c>
      <c r="B273" s="3" t="s">
        <v>173</v>
      </c>
      <c r="E273" s="46"/>
      <c r="G273" s="58"/>
      <c r="H273" s="41"/>
    </row>
    <row r="274" spans="1:9" x14ac:dyDescent="0.25">
      <c r="A274" s="52"/>
      <c r="B274" s="2" t="s">
        <v>163</v>
      </c>
      <c r="C274" s="53">
        <v>1</v>
      </c>
      <c r="D274" s="41" t="s">
        <v>54</v>
      </c>
      <c r="E274" s="54">
        <f>+'[1]Lista de precios MAY25'!$E$45</f>
        <v>9449.7350000000006</v>
      </c>
      <c r="F274" s="53">
        <f>+E274*C274</f>
        <v>9449.7350000000006</v>
      </c>
      <c r="G274" s="58"/>
      <c r="I274" s="40"/>
    </row>
    <row r="275" spans="1:9" x14ac:dyDescent="0.25">
      <c r="A275" s="16"/>
      <c r="B275" s="2" t="s">
        <v>164</v>
      </c>
      <c r="C275" s="53">
        <v>0</v>
      </c>
      <c r="D275" s="2" t="s">
        <v>147</v>
      </c>
      <c r="E275" s="54">
        <f>+'[1]Lista de precios MAY25'!$E$9</f>
        <v>3221.6681776971895</v>
      </c>
      <c r="F275" s="53">
        <f>ROUND((C275*E275),2)</f>
        <v>0</v>
      </c>
      <c r="G275" s="58"/>
      <c r="H275" s="41"/>
    </row>
    <row r="276" spans="1:9" x14ac:dyDescent="0.25">
      <c r="A276" s="16"/>
      <c r="B276" s="2" t="s">
        <v>165</v>
      </c>
      <c r="C276" s="53">
        <v>0</v>
      </c>
      <c r="D276" s="2" t="s">
        <v>147</v>
      </c>
      <c r="E276" s="54">
        <f>+'[1]Lista de precios MAY25'!$E$9</f>
        <v>3221.6681776971895</v>
      </c>
      <c r="F276" s="53">
        <f>ROUND((C276*E276),2)</f>
        <v>0</v>
      </c>
      <c r="G276" s="58"/>
      <c r="H276" s="41"/>
    </row>
    <row r="277" spans="1:9" x14ac:dyDescent="0.25">
      <c r="A277" s="16"/>
      <c r="B277" s="2" t="s">
        <v>166</v>
      </c>
      <c r="C277" s="53">
        <v>2.1910399999999997</v>
      </c>
      <c r="D277" s="2" t="s">
        <v>147</v>
      </c>
      <c r="E277" s="54">
        <f>+'[1]Lista de precios MAY25'!$E$9</f>
        <v>3221.6681776971895</v>
      </c>
      <c r="F277" s="53">
        <f>ROUND((C277*E277),2)</f>
        <v>7058.8</v>
      </c>
      <c r="G277" s="58"/>
      <c r="H277" s="41"/>
    </row>
    <row r="278" spans="1:9" x14ac:dyDescent="0.25">
      <c r="A278" s="16"/>
      <c r="B278" s="2" t="s">
        <v>167</v>
      </c>
      <c r="C278" s="53">
        <v>2.0797994987468669</v>
      </c>
      <c r="D278" s="2" t="s">
        <v>147</v>
      </c>
      <c r="E278" s="54">
        <f>+'[1]Lista de precios MAY25'!$E$9</f>
        <v>3221.6681776971895</v>
      </c>
      <c r="F278" s="53">
        <f>ROUND((C278*E278),2)</f>
        <v>6700.42</v>
      </c>
      <c r="G278" s="58"/>
      <c r="H278" s="41"/>
    </row>
    <row r="279" spans="1:9" x14ac:dyDescent="0.25">
      <c r="A279" s="16"/>
      <c r="B279" s="2" t="s">
        <v>148</v>
      </c>
      <c r="C279" s="53">
        <f>SUM(C275:C278)*2</f>
        <v>8.541678997493733</v>
      </c>
      <c r="D279" s="2" t="s">
        <v>82</v>
      </c>
      <c r="E279" s="54">
        <f>+'[1]Lista de precios MAY25'!$E$15</f>
        <v>79.001000000000005</v>
      </c>
      <c r="F279" s="53">
        <f>ROUND((C279*E279),2)</f>
        <v>674.8</v>
      </c>
      <c r="G279" s="58"/>
      <c r="H279" s="41"/>
      <c r="I279" s="40"/>
    </row>
    <row r="280" spans="1:9" x14ac:dyDescent="0.25">
      <c r="A280" s="16"/>
      <c r="B280" s="2" t="s">
        <v>67</v>
      </c>
      <c r="C280" s="53">
        <v>8</v>
      </c>
      <c r="D280" s="2" t="s">
        <v>34</v>
      </c>
      <c r="E280" s="46">
        <f>SUM(F274:F279)</f>
        <v>23883.755000000001</v>
      </c>
      <c r="F280" s="8">
        <f>+E280*C280/100</f>
        <v>1910.7004000000002</v>
      </c>
      <c r="G280" s="58"/>
      <c r="H280" s="41"/>
    </row>
    <row r="281" spans="1:9" x14ac:dyDescent="0.25">
      <c r="A281" s="16"/>
      <c r="B281" s="2" t="s">
        <v>168</v>
      </c>
      <c r="C281" s="53">
        <v>12.499999999999998</v>
      </c>
      <c r="D281" s="2" t="s">
        <v>150</v>
      </c>
      <c r="E281" s="46"/>
      <c r="F281" s="53">
        <f>ROUND((C281*E281),2)</f>
        <v>0</v>
      </c>
      <c r="G281" s="58"/>
      <c r="H281" s="41"/>
      <c r="I281" s="40"/>
    </row>
    <row r="282" spans="1:9" x14ac:dyDescent="0.25">
      <c r="A282" s="16"/>
      <c r="B282" s="89" t="s">
        <v>169</v>
      </c>
      <c r="C282" s="53">
        <v>12.499999999999998</v>
      </c>
      <c r="D282" s="2" t="s">
        <v>150</v>
      </c>
      <c r="E282" s="46"/>
      <c r="F282" s="53">
        <f>ROUND((C282*E282),2)</f>
        <v>0</v>
      </c>
      <c r="G282" s="58"/>
      <c r="H282" s="41"/>
      <c r="I282" s="40"/>
    </row>
    <row r="283" spans="1:9" x14ac:dyDescent="0.25">
      <c r="A283" s="16"/>
      <c r="B283" s="2" t="s">
        <v>151</v>
      </c>
      <c r="C283" s="53">
        <v>1</v>
      </c>
      <c r="D283" s="2" t="s">
        <v>54</v>
      </c>
      <c r="E283" s="54"/>
      <c r="F283" s="53">
        <f>ROUND((C283*E283),2)</f>
        <v>0</v>
      </c>
      <c r="G283" s="58"/>
      <c r="H283" s="41"/>
    </row>
    <row r="284" spans="1:9" x14ac:dyDescent="0.25">
      <c r="A284" s="16"/>
      <c r="B284" s="2" t="s">
        <v>170</v>
      </c>
      <c r="C284" s="53">
        <f>+C282/3.5</f>
        <v>3.5714285714285707</v>
      </c>
      <c r="D284" s="2" t="s">
        <v>8</v>
      </c>
      <c r="E284" s="46"/>
      <c r="F284" s="53">
        <f>ROUND((C284*E284),2)</f>
        <v>0</v>
      </c>
      <c r="G284" s="58"/>
      <c r="H284" s="41"/>
    </row>
    <row r="285" spans="1:9" ht="15.6" x14ac:dyDescent="0.3">
      <c r="A285" s="16"/>
      <c r="B285" s="2" t="s">
        <v>126</v>
      </c>
      <c r="E285" s="46"/>
      <c r="G285" s="85">
        <f>SUM(F274:F284)</f>
        <v>25794.455400000003</v>
      </c>
      <c r="H285" s="86" t="s">
        <v>59</v>
      </c>
      <c r="I285" s="2" t="s">
        <v>171</v>
      </c>
    </row>
    <row r="286" spans="1:9" ht="15.6" x14ac:dyDescent="0.3">
      <c r="A286" s="80"/>
      <c r="B286" s="21"/>
      <c r="C286" s="8"/>
      <c r="E286" s="46"/>
      <c r="F286" s="8"/>
      <c r="G286" s="85">
        <f>SUM(F274:F280)+F283+F284+(F281+F282)*1.15</f>
        <v>25794.455400000003</v>
      </c>
      <c r="H286" s="86" t="s">
        <v>59</v>
      </c>
      <c r="I286" s="2" t="s">
        <v>172</v>
      </c>
    </row>
    <row r="287" spans="1:9" ht="15.6" x14ac:dyDescent="0.3">
      <c r="A287" s="88">
        <f>+A273+0.01</f>
        <v>6.0299999999999994</v>
      </c>
      <c r="B287" s="3" t="s">
        <v>174</v>
      </c>
      <c r="E287" s="46"/>
      <c r="G287" s="58"/>
      <c r="H287" s="41"/>
    </row>
    <row r="288" spans="1:9" x14ac:dyDescent="0.25">
      <c r="A288" s="16"/>
      <c r="B288" s="2" t="s">
        <v>163</v>
      </c>
      <c r="C288" s="53">
        <v>1</v>
      </c>
      <c r="D288" s="41" t="s">
        <v>54</v>
      </c>
      <c r="E288" s="54">
        <f>+'[1]Lista de precios MAY25'!$E$45</f>
        <v>9449.7350000000006</v>
      </c>
      <c r="F288" s="53">
        <f t="shared" ref="F288:F293" si="11">ROUND((C288*E288),2)</f>
        <v>9449.74</v>
      </c>
      <c r="G288" s="58"/>
      <c r="H288" s="41"/>
    </row>
    <row r="289" spans="1:10" x14ac:dyDescent="0.25">
      <c r="A289" s="16"/>
      <c r="B289" s="2" t="s">
        <v>164</v>
      </c>
      <c r="C289" s="53">
        <v>0</v>
      </c>
      <c r="D289" s="2" t="s">
        <v>147</v>
      </c>
      <c r="E289" s="54">
        <f>+'[1]Lista de precios MAY25'!$E$9</f>
        <v>3221.6681776971895</v>
      </c>
      <c r="F289" s="53">
        <f t="shared" si="11"/>
        <v>0</v>
      </c>
      <c r="G289" s="58"/>
      <c r="H289" s="41"/>
    </row>
    <row r="290" spans="1:10" x14ac:dyDescent="0.25">
      <c r="A290" s="16"/>
      <c r="B290" s="2" t="s">
        <v>165</v>
      </c>
      <c r="C290" s="53">
        <v>0</v>
      </c>
      <c r="D290" s="2" t="s">
        <v>147</v>
      </c>
      <c r="E290" s="54">
        <f>+'[1]Lista de precios MAY25'!$E$9</f>
        <v>3221.6681776971895</v>
      </c>
      <c r="F290" s="53">
        <f t="shared" si="11"/>
        <v>0</v>
      </c>
      <c r="G290" s="58"/>
      <c r="H290" s="41"/>
      <c r="I290" s="40"/>
    </row>
    <row r="291" spans="1:10" x14ac:dyDescent="0.25">
      <c r="A291" s="16"/>
      <c r="B291" s="2" t="s">
        <v>166</v>
      </c>
      <c r="C291" s="53">
        <v>2.1910399999999997</v>
      </c>
      <c r="D291" s="2" t="s">
        <v>147</v>
      </c>
      <c r="E291" s="54">
        <f>+'[1]Lista de precios MAY25'!$E$9</f>
        <v>3221.6681776971895</v>
      </c>
      <c r="F291" s="53">
        <f t="shared" si="11"/>
        <v>7058.8</v>
      </c>
      <c r="G291" s="58"/>
      <c r="H291" s="41"/>
      <c r="I291" s="40"/>
    </row>
    <row r="292" spans="1:10" x14ac:dyDescent="0.25">
      <c r="A292" s="16"/>
      <c r="B292" s="2" t="s">
        <v>167</v>
      </c>
      <c r="C292" s="53">
        <v>1.413852631578947</v>
      </c>
      <c r="D292" s="2" t="s">
        <v>147</v>
      </c>
      <c r="E292" s="54">
        <f>+'[1]Lista de precios MAY25'!$E$9</f>
        <v>3221.6681776971895</v>
      </c>
      <c r="F292" s="53">
        <f t="shared" si="11"/>
        <v>4554.96</v>
      </c>
      <c r="G292" s="58"/>
      <c r="H292" s="41"/>
      <c r="I292" s="40"/>
    </row>
    <row r="293" spans="1:10" x14ac:dyDescent="0.25">
      <c r="A293" s="16"/>
      <c r="B293" s="2" t="s">
        <v>148</v>
      </c>
      <c r="C293" s="53">
        <f>SUM(C289:C292)*2</f>
        <v>7.2097852631578938</v>
      </c>
      <c r="D293" s="2" t="s">
        <v>82</v>
      </c>
      <c r="E293" s="54">
        <f>+'[1]Lista de precios MAY25'!$E$15</f>
        <v>79.001000000000005</v>
      </c>
      <c r="F293" s="53">
        <f t="shared" si="11"/>
        <v>569.58000000000004</v>
      </c>
      <c r="G293" s="58"/>
      <c r="H293" s="41"/>
    </row>
    <row r="294" spans="1:10" x14ac:dyDescent="0.25">
      <c r="A294" s="16"/>
      <c r="B294" s="2" t="s">
        <v>67</v>
      </c>
      <c r="C294" s="53">
        <v>8</v>
      </c>
      <c r="D294" s="2" t="s">
        <v>34</v>
      </c>
      <c r="E294" s="46">
        <f>SUM(F288:F293)</f>
        <v>21633.08</v>
      </c>
      <c r="F294" s="8">
        <f>+E294*C294/100</f>
        <v>1730.6464000000001</v>
      </c>
      <c r="G294" s="58"/>
      <c r="H294" s="41"/>
      <c r="J294" s="40"/>
    </row>
    <row r="295" spans="1:10" x14ac:dyDescent="0.25">
      <c r="A295" s="16"/>
      <c r="B295" s="2" t="s">
        <v>168</v>
      </c>
      <c r="C295" s="53">
        <v>24.999999999999996</v>
      </c>
      <c r="D295" s="2" t="s">
        <v>150</v>
      </c>
      <c r="E295" s="46"/>
      <c r="F295" s="53">
        <f>ROUND((C295*E295),2)</f>
        <v>0</v>
      </c>
      <c r="G295" s="58"/>
      <c r="H295" s="41"/>
      <c r="I295" s="40"/>
    </row>
    <row r="296" spans="1:10" x14ac:dyDescent="0.25">
      <c r="A296" s="16"/>
      <c r="B296" s="89" t="s">
        <v>175</v>
      </c>
      <c r="C296" s="53">
        <v>24.999999999999996</v>
      </c>
      <c r="D296" s="2" t="s">
        <v>150</v>
      </c>
      <c r="E296" s="46"/>
      <c r="F296" s="53">
        <f>ROUND((C296*E296),2)</f>
        <v>0</v>
      </c>
      <c r="G296" s="58"/>
      <c r="H296" s="41"/>
      <c r="I296" s="40"/>
      <c r="J296" s="40"/>
    </row>
    <row r="297" spans="1:10" x14ac:dyDescent="0.25">
      <c r="A297" s="16"/>
      <c r="B297" s="2" t="s">
        <v>151</v>
      </c>
      <c r="C297" s="53">
        <v>1</v>
      </c>
      <c r="D297" s="2" t="s">
        <v>54</v>
      </c>
      <c r="E297" s="46"/>
      <c r="F297" s="53">
        <f>ROUND((C297*E297),2)</f>
        <v>0</v>
      </c>
      <c r="G297" s="58"/>
      <c r="H297" s="41"/>
    </row>
    <row r="298" spans="1:10" x14ac:dyDescent="0.25">
      <c r="A298" s="16"/>
      <c r="B298" s="2" t="s">
        <v>170</v>
      </c>
      <c r="C298" s="53">
        <f>+C296/3.5</f>
        <v>7.1428571428571415</v>
      </c>
      <c r="D298" s="2" t="s">
        <v>8</v>
      </c>
      <c r="E298" s="46"/>
      <c r="F298" s="53">
        <f>ROUND((C298*E298),2)</f>
        <v>0</v>
      </c>
      <c r="G298" s="58"/>
      <c r="H298" s="41"/>
    </row>
    <row r="299" spans="1:10" ht="15.6" x14ac:dyDescent="0.3">
      <c r="A299" s="16"/>
      <c r="B299" s="2" t="s">
        <v>126</v>
      </c>
      <c r="E299" s="46"/>
      <c r="G299" s="85">
        <f>SUM(F288:F298)</f>
        <v>23363.726400000003</v>
      </c>
      <c r="H299" s="86" t="s">
        <v>59</v>
      </c>
      <c r="I299" s="2" t="s">
        <v>171</v>
      </c>
    </row>
    <row r="300" spans="1:10" ht="15.6" x14ac:dyDescent="0.3">
      <c r="A300" s="16"/>
      <c r="E300" s="46"/>
      <c r="G300" s="85">
        <f>SUM(F288:F294)+F297+F298+(F295+F296)*1.15</f>
        <v>23363.726400000003</v>
      </c>
      <c r="H300" s="86" t="s">
        <v>59</v>
      </c>
      <c r="I300" s="2" t="s">
        <v>176</v>
      </c>
      <c r="J300" s="40"/>
    </row>
    <row r="301" spans="1:10" ht="15.6" x14ac:dyDescent="0.3">
      <c r="A301" s="79">
        <f>+A257+1</f>
        <v>7</v>
      </c>
      <c r="B301" s="21" t="s">
        <v>177</v>
      </c>
      <c r="C301" s="8"/>
      <c r="E301" s="46"/>
      <c r="F301" s="8"/>
      <c r="G301" s="59"/>
      <c r="H301" s="41"/>
    </row>
    <row r="302" spans="1:10" ht="15.6" x14ac:dyDescent="0.3">
      <c r="A302" s="79"/>
      <c r="B302" s="21"/>
      <c r="C302" s="8"/>
      <c r="E302" s="46"/>
      <c r="F302" s="8"/>
      <c r="G302" s="59"/>
      <c r="H302" s="41"/>
    </row>
    <row r="303" spans="1:10" ht="15.6" x14ac:dyDescent="0.3">
      <c r="A303" s="90">
        <f>+A301+0.01</f>
        <v>7.01</v>
      </c>
      <c r="B303" s="3" t="s">
        <v>178</v>
      </c>
      <c r="E303" s="46"/>
      <c r="G303" s="58"/>
      <c r="H303" s="41"/>
    </row>
    <row r="304" spans="1:10" x14ac:dyDescent="0.25">
      <c r="A304" s="16"/>
      <c r="B304" s="2" t="s">
        <v>163</v>
      </c>
      <c r="C304" s="53">
        <v>1</v>
      </c>
      <c r="D304" s="41" t="s">
        <v>54</v>
      </c>
      <c r="E304" s="54">
        <f>+'[1]Lista de precios MAY25'!$E$45</f>
        <v>9449.7350000000006</v>
      </c>
      <c r="F304" s="91">
        <f>ROUND((C304*E304),2)</f>
        <v>9449.74</v>
      </c>
      <c r="G304" s="58"/>
      <c r="H304" s="41"/>
    </row>
    <row r="305" spans="1:10" x14ac:dyDescent="0.25">
      <c r="A305" s="16"/>
      <c r="B305" s="2" t="s">
        <v>179</v>
      </c>
      <c r="C305" s="53"/>
      <c r="D305" s="2" t="s">
        <v>147</v>
      </c>
      <c r="E305" s="54">
        <f>+'[1]Lista de precios MAY25'!$E$9</f>
        <v>3221.6681776971895</v>
      </c>
      <c r="F305" s="53">
        <f>ROUND((C305*E305),2)</f>
        <v>0</v>
      </c>
      <c r="G305" s="58"/>
      <c r="H305" s="41"/>
    </row>
    <row r="306" spans="1:10" x14ac:dyDescent="0.25">
      <c r="A306" s="16"/>
      <c r="B306" s="2" t="s">
        <v>180</v>
      </c>
      <c r="C306" s="53"/>
      <c r="D306" s="2" t="s">
        <v>147</v>
      </c>
      <c r="E306" s="54">
        <f>+'[1]Lista de precios MAY25'!$E$9</f>
        <v>3221.6681776971895</v>
      </c>
      <c r="F306" s="53">
        <f>ROUND((C306*E306),2)</f>
        <v>0</v>
      </c>
      <c r="G306" s="58"/>
      <c r="H306" s="41"/>
    </row>
    <row r="307" spans="1:10" x14ac:dyDescent="0.25">
      <c r="A307" s="16"/>
      <c r="B307" s="2" t="s">
        <v>181</v>
      </c>
      <c r="C307" s="53"/>
      <c r="D307" s="2" t="s">
        <v>147</v>
      </c>
      <c r="E307" s="54">
        <f>+'[1]Lista de precios MAY25'!$E$9</f>
        <v>3221.6681776971895</v>
      </c>
      <c r="F307" s="53">
        <f>ROUND((C307*E307),2)</f>
        <v>0</v>
      </c>
      <c r="G307" s="58"/>
      <c r="H307" s="41"/>
    </row>
    <row r="308" spans="1:10" x14ac:dyDescent="0.25">
      <c r="A308" s="16"/>
      <c r="B308" s="2" t="s">
        <v>148</v>
      </c>
      <c r="C308" s="53">
        <f>SUM(C305:C307)*2</f>
        <v>0</v>
      </c>
      <c r="D308" s="2" t="s">
        <v>82</v>
      </c>
      <c r="E308" s="54">
        <f>+'[1]Lista de precios MAY25'!$E$15</f>
        <v>79.001000000000005</v>
      </c>
      <c r="F308" s="91">
        <f>ROUND((C308*E308),2)</f>
        <v>0</v>
      </c>
      <c r="G308" s="58"/>
      <c r="H308" s="41"/>
    </row>
    <row r="309" spans="1:10" x14ac:dyDescent="0.25">
      <c r="A309" s="16"/>
      <c r="B309" s="2" t="s">
        <v>67</v>
      </c>
      <c r="C309" s="91">
        <v>10</v>
      </c>
      <c r="D309" s="2" t="s">
        <v>34</v>
      </c>
      <c r="E309" s="46">
        <f>SUM(F304:F308)</f>
        <v>9449.74</v>
      </c>
      <c r="F309" s="92">
        <f>+E309*C309/100</f>
        <v>944.97399999999993</v>
      </c>
      <c r="G309" s="58"/>
      <c r="H309" s="41"/>
      <c r="I309" s="40"/>
      <c r="J309" s="40"/>
    </row>
    <row r="310" spans="1:10" x14ac:dyDescent="0.25">
      <c r="A310" s="16"/>
      <c r="B310" s="2" t="s">
        <v>168</v>
      </c>
      <c r="C310" s="91">
        <f>1/0.25*2</f>
        <v>8</v>
      </c>
      <c r="D310" s="2" t="s">
        <v>81</v>
      </c>
      <c r="E310" s="46"/>
      <c r="F310" s="91">
        <f>ROUND((C310*E310),2)</f>
        <v>0</v>
      </c>
      <c r="G310" s="58"/>
      <c r="H310" s="93"/>
    </row>
    <row r="311" spans="1:10" x14ac:dyDescent="0.25">
      <c r="A311" s="16"/>
      <c r="B311" s="89" t="s">
        <v>182</v>
      </c>
      <c r="C311" s="91">
        <f>+C310</f>
        <v>8</v>
      </c>
      <c r="D311" s="2" t="s">
        <v>81</v>
      </c>
      <c r="E311" s="46"/>
      <c r="F311" s="91">
        <f>ROUND((C311*E311),2)</f>
        <v>0</v>
      </c>
      <c r="G311" s="58"/>
      <c r="H311" s="41"/>
    </row>
    <row r="312" spans="1:10" x14ac:dyDescent="0.25">
      <c r="A312" s="16"/>
      <c r="B312" s="2" t="s">
        <v>151</v>
      </c>
      <c r="C312" s="91">
        <v>1</v>
      </c>
      <c r="D312" s="2" t="s">
        <v>54</v>
      </c>
      <c r="E312" s="46"/>
      <c r="F312" s="91">
        <f>ROUND((C312*E312),2)</f>
        <v>0</v>
      </c>
      <c r="G312" s="58"/>
      <c r="H312" s="41"/>
    </row>
    <row r="313" spans="1:10" x14ac:dyDescent="0.25">
      <c r="A313" s="16"/>
      <c r="B313" s="2" t="s">
        <v>170</v>
      </c>
      <c r="C313" s="53">
        <v>1</v>
      </c>
      <c r="D313" s="2" t="s">
        <v>8</v>
      </c>
      <c r="E313" s="46"/>
      <c r="F313" s="53">
        <f>ROUND((C313*E313),2)</f>
        <v>0</v>
      </c>
      <c r="G313" s="58"/>
      <c r="H313" s="41"/>
      <c r="J313" s="40"/>
    </row>
    <row r="314" spans="1:10" x14ac:dyDescent="0.25">
      <c r="A314" s="16"/>
      <c r="B314" s="2" t="s">
        <v>183</v>
      </c>
      <c r="C314" s="53">
        <f>+C311/3.5</f>
        <v>2.2857142857142856</v>
      </c>
      <c r="D314" s="2" t="s">
        <v>184</v>
      </c>
      <c r="E314" s="46"/>
      <c r="F314" s="53">
        <f>ROUND((C314*E314),2)</f>
        <v>0</v>
      </c>
      <c r="G314" s="58"/>
      <c r="H314" s="41"/>
    </row>
    <row r="315" spans="1:10" ht="15.6" x14ac:dyDescent="0.3">
      <c r="A315" s="16"/>
      <c r="B315" s="2" t="s">
        <v>126</v>
      </c>
      <c r="E315" s="46"/>
      <c r="G315" s="85">
        <f>SUM(F304:F314)</f>
        <v>10394.714</v>
      </c>
      <c r="H315" s="86" t="s">
        <v>59</v>
      </c>
    </row>
    <row r="316" spans="1:10" ht="15.6" x14ac:dyDescent="0.3">
      <c r="A316" s="16"/>
      <c r="E316" s="46"/>
      <c r="G316" s="85">
        <f>SUM(F304:F310)+F313+F314+(F311+F312)*1.15</f>
        <v>10394.714</v>
      </c>
      <c r="H316" s="86" t="s">
        <v>59</v>
      </c>
    </row>
    <row r="317" spans="1:10" ht="15.6" x14ac:dyDescent="0.3">
      <c r="A317" s="90">
        <f>+A303+0.01</f>
        <v>7.02</v>
      </c>
      <c r="B317" s="3" t="s">
        <v>185</v>
      </c>
      <c r="E317" s="46"/>
      <c r="G317" s="58"/>
      <c r="H317" s="41"/>
    </row>
    <row r="318" spans="1:10" x14ac:dyDescent="0.25">
      <c r="A318" s="16"/>
      <c r="B318" s="2" t="s">
        <v>163</v>
      </c>
      <c r="C318" s="53">
        <v>1</v>
      </c>
      <c r="D318" s="41" t="s">
        <v>54</v>
      </c>
      <c r="E318" s="54">
        <f>+'[1]Lista de precios MAY25'!$E$45</f>
        <v>9449.7350000000006</v>
      </c>
      <c r="F318" s="91">
        <f>ROUND((C318*E318),2)</f>
        <v>9449.74</v>
      </c>
      <c r="G318" s="58"/>
      <c r="H318" s="41"/>
    </row>
    <row r="319" spans="1:10" x14ac:dyDescent="0.25">
      <c r="A319" s="16"/>
      <c r="B319" s="2" t="s">
        <v>179</v>
      </c>
      <c r="C319" s="53"/>
      <c r="D319" s="2" t="s">
        <v>147</v>
      </c>
      <c r="E319" s="54">
        <f>+'[1]Lista de precios MAY25'!$E$9</f>
        <v>3221.6681776971895</v>
      </c>
      <c r="F319" s="53">
        <f>ROUND((C319*E319),2)</f>
        <v>0</v>
      </c>
      <c r="G319" s="58"/>
      <c r="H319" s="41"/>
    </row>
    <row r="320" spans="1:10" x14ac:dyDescent="0.25">
      <c r="A320" s="16"/>
      <c r="B320" s="2" t="s">
        <v>180</v>
      </c>
      <c r="C320" s="53"/>
      <c r="D320" s="2" t="s">
        <v>147</v>
      </c>
      <c r="E320" s="54">
        <f>+'[1]Lista de precios MAY25'!$E$9</f>
        <v>3221.6681776971895</v>
      </c>
      <c r="F320" s="53">
        <f>ROUND((C320*E320),2)</f>
        <v>0</v>
      </c>
      <c r="G320" s="58"/>
      <c r="H320" s="41"/>
    </row>
    <row r="321" spans="1:10" x14ac:dyDescent="0.25">
      <c r="A321" s="16"/>
      <c r="B321" s="2" t="s">
        <v>181</v>
      </c>
      <c r="C321" s="53"/>
      <c r="D321" s="2" t="s">
        <v>147</v>
      </c>
      <c r="E321" s="54">
        <f>+'[1]Lista de precios MAY25'!$E$9</f>
        <v>3221.6681776971895</v>
      </c>
      <c r="F321" s="53">
        <f>ROUND((C321*E321),2)</f>
        <v>0</v>
      </c>
      <c r="G321" s="58"/>
      <c r="H321" s="41"/>
      <c r="J321" s="40"/>
    </row>
    <row r="322" spans="1:10" x14ac:dyDescent="0.25">
      <c r="A322" s="16"/>
      <c r="B322" s="2" t="s">
        <v>148</v>
      </c>
      <c r="C322" s="53">
        <f>SUM(C319:C321)</f>
        <v>0</v>
      </c>
      <c r="D322" s="2" t="s">
        <v>82</v>
      </c>
      <c r="E322" s="54">
        <f>+'[1]Lista de precios MAY25'!$E$15</f>
        <v>79.001000000000005</v>
      </c>
      <c r="F322" s="91">
        <f>ROUND((C322*E322),2)</f>
        <v>0</v>
      </c>
      <c r="G322" s="58"/>
      <c r="H322" s="41"/>
    </row>
    <row r="323" spans="1:10" x14ac:dyDescent="0.25">
      <c r="A323" s="16"/>
      <c r="B323" s="2" t="s">
        <v>67</v>
      </c>
      <c r="C323" s="53">
        <f>SUM(C319:C322)*2</f>
        <v>0</v>
      </c>
      <c r="D323" s="2" t="s">
        <v>34</v>
      </c>
      <c r="E323" s="46">
        <f>SUM(F318:F322)</f>
        <v>9449.74</v>
      </c>
      <c r="F323" s="92">
        <f>+E323*C323/100</f>
        <v>0</v>
      </c>
      <c r="G323" s="58"/>
      <c r="H323" s="41"/>
      <c r="J323" s="40"/>
    </row>
    <row r="324" spans="1:10" x14ac:dyDescent="0.25">
      <c r="A324" s="16"/>
      <c r="B324" s="2" t="s">
        <v>168</v>
      </c>
      <c r="C324" s="53">
        <f>SUM(C319:C321)</f>
        <v>0</v>
      </c>
      <c r="D324" s="2" t="s">
        <v>147</v>
      </c>
      <c r="E324" s="46">
        <f>+'[1]MO MAY25'!$N$38*1.1</f>
        <v>278.3</v>
      </c>
      <c r="F324" s="91">
        <f>ROUND((C324*E324),2)</f>
        <v>0</v>
      </c>
      <c r="G324" s="58"/>
      <c r="H324" s="41"/>
    </row>
    <row r="325" spans="1:10" x14ac:dyDescent="0.25">
      <c r="A325" s="16"/>
      <c r="B325" s="89" t="s">
        <v>182</v>
      </c>
      <c r="C325" s="53">
        <f>1/0.25*2</f>
        <v>8</v>
      </c>
      <c r="D325" s="2" t="s">
        <v>81</v>
      </c>
      <c r="E325" s="46"/>
      <c r="F325" s="91">
        <f>ROUND((C325*E325),2)</f>
        <v>0</v>
      </c>
      <c r="G325" s="58"/>
      <c r="H325" s="41"/>
    </row>
    <row r="326" spans="1:10" x14ac:dyDescent="0.25">
      <c r="A326" s="16"/>
      <c r="B326" s="2" t="s">
        <v>151</v>
      </c>
      <c r="C326" s="91">
        <v>1</v>
      </c>
      <c r="D326" s="2" t="s">
        <v>54</v>
      </c>
      <c r="E326" s="46"/>
      <c r="F326" s="91">
        <f>ROUND((C326*E326),2)</f>
        <v>0</v>
      </c>
      <c r="G326" s="58"/>
      <c r="H326" s="41"/>
    </row>
    <row r="327" spans="1:10" x14ac:dyDescent="0.25">
      <c r="A327" s="16"/>
      <c r="B327" s="2" t="s">
        <v>170</v>
      </c>
      <c r="C327" s="53">
        <v>1</v>
      </c>
      <c r="D327" s="2" t="s">
        <v>8</v>
      </c>
      <c r="E327" s="46"/>
      <c r="F327" s="53">
        <f>ROUND((C327*E327),2)</f>
        <v>0</v>
      </c>
      <c r="G327" s="58"/>
      <c r="H327" s="41"/>
      <c r="J327" s="40"/>
    </row>
    <row r="328" spans="1:10" x14ac:dyDescent="0.25">
      <c r="A328" s="16"/>
      <c r="B328" s="2" t="s">
        <v>183</v>
      </c>
      <c r="C328" s="53">
        <f>+C325/3.5</f>
        <v>2.2857142857142856</v>
      </c>
      <c r="D328" s="2" t="s">
        <v>184</v>
      </c>
      <c r="E328" s="46"/>
      <c r="F328" s="53">
        <f>ROUND((C328*E328),2)</f>
        <v>0</v>
      </c>
      <c r="G328" s="58"/>
      <c r="H328" s="41"/>
    </row>
    <row r="329" spans="1:10" ht="15.6" x14ac:dyDescent="0.3">
      <c r="A329" s="16"/>
      <c r="B329" s="2" t="s">
        <v>126</v>
      </c>
      <c r="E329" s="46"/>
      <c r="G329" s="85">
        <f>SUM(F318:F328)</f>
        <v>9449.74</v>
      </c>
      <c r="H329" s="86" t="s">
        <v>59</v>
      </c>
    </row>
    <row r="330" spans="1:10" ht="15.6" x14ac:dyDescent="0.3">
      <c r="A330" s="16"/>
      <c r="E330" s="46"/>
      <c r="G330" s="85">
        <f>SUM(F318:F324)+F327+F328+(F325+F326)*1.15</f>
        <v>9449.74</v>
      </c>
      <c r="H330" s="86" t="s">
        <v>59</v>
      </c>
      <c r="I330" s="94" t="s">
        <v>176</v>
      </c>
    </row>
    <row r="331" spans="1:10" ht="15.6" x14ac:dyDescent="0.3">
      <c r="A331" s="90">
        <f>+A317+0.01</f>
        <v>7.0299999999999994</v>
      </c>
      <c r="B331" s="83" t="s">
        <v>186</v>
      </c>
      <c r="E331" s="46"/>
    </row>
    <row r="332" spans="1:10" x14ac:dyDescent="0.25">
      <c r="A332" s="16"/>
      <c r="B332" s="95" t="s">
        <v>187</v>
      </c>
      <c r="C332" s="53">
        <v>1</v>
      </c>
      <c r="D332" s="41" t="s">
        <v>54</v>
      </c>
      <c r="E332" s="54">
        <f>+'[1]Lista de precios MAY25'!$E$45</f>
        <v>9449.7350000000006</v>
      </c>
      <c r="F332" s="91">
        <f>ROUND((C332*E332),2)</f>
        <v>9449.74</v>
      </c>
      <c r="G332" s="58"/>
      <c r="H332" s="41"/>
    </row>
    <row r="333" spans="1:10" x14ac:dyDescent="0.25">
      <c r="A333" s="16"/>
      <c r="B333" s="2" t="s">
        <v>179</v>
      </c>
      <c r="C333" s="53"/>
      <c r="D333" s="2" t="s">
        <v>147</v>
      </c>
      <c r="E333" s="54">
        <f>+'[1]Lista de precios MAY25'!$E$9</f>
        <v>3221.6681776971895</v>
      </c>
      <c r="F333" s="53">
        <f>ROUND((C333*E333),2)</f>
        <v>0</v>
      </c>
      <c r="G333" s="58"/>
      <c r="H333" s="41"/>
    </row>
    <row r="334" spans="1:10" x14ac:dyDescent="0.25">
      <c r="A334" s="16"/>
      <c r="B334" s="2" t="s">
        <v>180</v>
      </c>
      <c r="C334" s="53">
        <f>+'[2]20. Piscina y espejo de agua'!Y145</f>
        <v>1.2443482028256476</v>
      </c>
      <c r="D334" s="2" t="s">
        <v>147</v>
      </c>
      <c r="E334" s="54">
        <f>+'[1]Lista de precios MAY25'!$E$9</f>
        <v>3221.6681776971895</v>
      </c>
      <c r="F334" s="53">
        <f>ROUND((C334*E334),2)</f>
        <v>4008.88</v>
      </c>
      <c r="G334" s="58"/>
      <c r="H334" s="41"/>
    </row>
    <row r="335" spans="1:10" x14ac:dyDescent="0.25">
      <c r="A335" s="16"/>
      <c r="B335" s="2" t="s">
        <v>181</v>
      </c>
      <c r="C335" s="53">
        <f>+'[2]20. Piscina y espejo de agua'!X145</f>
        <v>0.69918739978725442</v>
      </c>
      <c r="D335" s="2" t="s">
        <v>147</v>
      </c>
      <c r="E335" s="54">
        <f>+'[1]Lista de precios MAY25'!$E$9</f>
        <v>3221.6681776971895</v>
      </c>
      <c r="F335" s="53">
        <f>ROUND((C335*E335),2)</f>
        <v>2252.5500000000002</v>
      </c>
      <c r="G335" s="58"/>
      <c r="H335" s="41"/>
    </row>
    <row r="336" spans="1:10" x14ac:dyDescent="0.25">
      <c r="A336" s="16"/>
      <c r="B336" s="2" t="s">
        <v>148</v>
      </c>
      <c r="C336" s="53">
        <f>SUM(C333:C335)*2</f>
        <v>3.8870712052258041</v>
      </c>
      <c r="D336" s="2" t="s">
        <v>82</v>
      </c>
      <c r="E336" s="54">
        <f>+'[1]Lista de precios MAY25'!$E$15</f>
        <v>79.001000000000005</v>
      </c>
      <c r="F336" s="91">
        <f>ROUND((C336*E336),2)</f>
        <v>307.08</v>
      </c>
      <c r="G336" s="58"/>
      <c r="H336" s="41"/>
    </row>
    <row r="337" spans="1:10" x14ac:dyDescent="0.25">
      <c r="A337" s="16"/>
      <c r="B337" s="2" t="s">
        <v>67</v>
      </c>
      <c r="C337" s="91">
        <v>10</v>
      </c>
      <c r="D337" s="2" t="s">
        <v>34</v>
      </c>
      <c r="E337" s="46">
        <f>SUM(F332:F336)</f>
        <v>16018.249999999998</v>
      </c>
      <c r="F337" s="92">
        <f>+E337*C337/100</f>
        <v>1601.8249999999998</v>
      </c>
      <c r="G337" s="58"/>
      <c r="H337" s="41"/>
    </row>
    <row r="338" spans="1:10" x14ac:dyDescent="0.25">
      <c r="A338" s="16"/>
      <c r="B338" s="2" t="s">
        <v>168</v>
      </c>
      <c r="C338" s="91">
        <f>1/0.2*2</f>
        <v>10</v>
      </c>
      <c r="D338" s="2" t="s">
        <v>81</v>
      </c>
      <c r="E338" s="46">
        <f>+'[1]MO MAY25'!$N$108</f>
        <v>287.5</v>
      </c>
      <c r="F338" s="91">
        <f>ROUND((C338*E338),2)</f>
        <v>2875</v>
      </c>
      <c r="G338" s="58"/>
      <c r="H338" s="41"/>
    </row>
    <row r="339" spans="1:10" x14ac:dyDescent="0.25">
      <c r="A339" s="16"/>
      <c r="B339" s="89" t="s">
        <v>182</v>
      </c>
      <c r="C339" s="91">
        <f>+C338</f>
        <v>10</v>
      </c>
      <c r="D339" s="2" t="s">
        <v>81</v>
      </c>
      <c r="E339" s="46">
        <f>+'[1]MO MAY25'!$N$476</f>
        <v>1029.25</v>
      </c>
      <c r="F339" s="91">
        <f>ROUND((C339*E339),2)</f>
        <v>10292.5</v>
      </c>
      <c r="G339" s="58"/>
      <c r="H339" s="41"/>
    </row>
    <row r="340" spans="1:10" x14ac:dyDescent="0.25">
      <c r="A340" s="16"/>
      <c r="B340" s="2" t="s">
        <v>151</v>
      </c>
      <c r="C340" s="91">
        <v>1</v>
      </c>
      <c r="D340" s="2" t="s">
        <v>54</v>
      </c>
      <c r="E340" s="46">
        <v>20</v>
      </c>
      <c r="F340" s="91">
        <f>ROUND((C340*E340),2)</f>
        <v>20</v>
      </c>
      <c r="G340" s="58"/>
      <c r="H340" s="41"/>
      <c r="J340" s="40"/>
    </row>
    <row r="341" spans="1:10" x14ac:dyDescent="0.25">
      <c r="A341" s="16"/>
      <c r="B341" s="2" t="s">
        <v>170</v>
      </c>
      <c r="C341" s="53">
        <v>1</v>
      </c>
      <c r="D341" s="2" t="s">
        <v>8</v>
      </c>
      <c r="E341" s="46">
        <f>500*1.24</f>
        <v>620</v>
      </c>
      <c r="F341" s="53">
        <f>ROUND((C341*E341),2)</f>
        <v>620</v>
      </c>
      <c r="G341" s="58"/>
      <c r="H341" s="41"/>
    </row>
    <row r="342" spans="1:10" x14ac:dyDescent="0.25">
      <c r="A342" s="16"/>
      <c r="B342" s="2" t="s">
        <v>183</v>
      </c>
      <c r="C342" s="53">
        <f>1/(0.25*4)</f>
        <v>1</v>
      </c>
      <c r="D342" s="2" t="s">
        <v>184</v>
      </c>
      <c r="E342" s="46">
        <f>180*1.1</f>
        <v>198.00000000000003</v>
      </c>
      <c r="F342" s="53">
        <f>ROUND((C342*E342),2)</f>
        <v>198</v>
      </c>
      <c r="G342" s="58"/>
      <c r="H342" s="41"/>
    </row>
    <row r="343" spans="1:10" ht="15.6" x14ac:dyDescent="0.3">
      <c r="A343" s="16"/>
      <c r="B343" s="2" t="s">
        <v>126</v>
      </c>
      <c r="E343" s="46"/>
      <c r="G343" s="82">
        <f>SUM(F332:F342)</f>
        <v>31625.574999999997</v>
      </c>
      <c r="H343" s="83" t="s">
        <v>59</v>
      </c>
    </row>
    <row r="344" spans="1:10" ht="15.6" x14ac:dyDescent="0.3">
      <c r="A344" s="20">
        <f>+A301+1</f>
        <v>8</v>
      </c>
      <c r="B344" s="3" t="s">
        <v>188</v>
      </c>
      <c r="C344" s="8"/>
      <c r="E344" s="46"/>
      <c r="F344" s="8"/>
      <c r="G344" s="58"/>
      <c r="H344" s="41"/>
    </row>
    <row r="345" spans="1:10" ht="15.6" x14ac:dyDescent="0.3">
      <c r="A345" s="96"/>
      <c r="B345" s="3"/>
      <c r="C345" s="8"/>
      <c r="E345" s="46"/>
      <c r="F345" s="8"/>
      <c r="G345" s="58"/>
      <c r="H345" s="41"/>
    </row>
    <row r="346" spans="1:10" ht="15.6" x14ac:dyDescent="0.3">
      <c r="A346" s="90">
        <f>0.01+A344</f>
        <v>8.01</v>
      </c>
      <c r="B346" s="3" t="s">
        <v>189</v>
      </c>
      <c r="C346" s="21"/>
      <c r="E346" s="46"/>
      <c r="G346" s="58"/>
    </row>
    <row r="347" spans="1:10" x14ac:dyDescent="0.25">
      <c r="A347" s="90"/>
      <c r="B347" s="95" t="s">
        <v>187</v>
      </c>
      <c r="C347" s="53">
        <v>1</v>
      </c>
      <c r="D347" s="41" t="s">
        <v>54</v>
      </c>
      <c r="E347" s="54">
        <f>+'[1]Lista de precios MAY25'!$E$45</f>
        <v>9449.7350000000006</v>
      </c>
      <c r="F347" s="53">
        <f>ROUND((C347*E347),2)</f>
        <v>9449.74</v>
      </c>
      <c r="G347" s="58"/>
    </row>
    <row r="348" spans="1:10" x14ac:dyDescent="0.25">
      <c r="A348" s="90"/>
      <c r="B348" s="41" t="s">
        <v>190</v>
      </c>
      <c r="C348" s="53"/>
      <c r="D348" s="41" t="s">
        <v>147</v>
      </c>
      <c r="E348" s="54">
        <f>+'[1]Lista de precios MAY25'!$E$9</f>
        <v>3221.6681776971895</v>
      </c>
      <c r="F348" s="53">
        <f>ROUND((C348*E348),2)</f>
        <v>0</v>
      </c>
      <c r="G348" s="58"/>
    </row>
    <row r="349" spans="1:10" x14ac:dyDescent="0.25">
      <c r="A349" s="90"/>
      <c r="B349" s="41" t="s">
        <v>191</v>
      </c>
      <c r="C349" s="53">
        <v>2.7287841423188901</v>
      </c>
      <c r="D349" s="41" t="s">
        <v>147</v>
      </c>
      <c r="E349" s="54">
        <f>+'[1]Lista de precios MAY25'!$E$9</f>
        <v>3221.6681776971895</v>
      </c>
      <c r="F349" s="53">
        <f>ROUND((C349*E349),2)</f>
        <v>8791.24</v>
      </c>
      <c r="G349" s="58"/>
    </row>
    <row r="350" spans="1:10" x14ac:dyDescent="0.25">
      <c r="A350" s="90"/>
      <c r="B350" s="41" t="s">
        <v>148</v>
      </c>
      <c r="C350" s="91">
        <f>SUM(C348:C349)*2</f>
        <v>5.4575682846377802</v>
      </c>
      <c r="D350" s="41" t="s">
        <v>82</v>
      </c>
      <c r="E350" s="54">
        <f>+'[1]Lista de precios MAY25'!$E$15</f>
        <v>79.001000000000005</v>
      </c>
      <c r="F350" s="53">
        <f>ROUND((C350*E350),2)</f>
        <v>431.15</v>
      </c>
      <c r="G350" s="58"/>
    </row>
    <row r="351" spans="1:10" x14ac:dyDescent="0.25">
      <c r="A351" s="90"/>
      <c r="B351" s="41" t="s">
        <v>67</v>
      </c>
      <c r="C351" s="53">
        <v>5</v>
      </c>
      <c r="D351" s="41" t="s">
        <v>34</v>
      </c>
      <c r="E351" s="54">
        <f>SUM(F347:F350)</f>
        <v>18672.13</v>
      </c>
      <c r="F351" s="53">
        <f>+E351*C351/100</f>
        <v>933.6065000000001</v>
      </c>
      <c r="G351" s="58"/>
    </row>
    <row r="352" spans="1:10" x14ac:dyDescent="0.25">
      <c r="A352" s="90"/>
      <c r="B352" s="41" t="s">
        <v>168</v>
      </c>
      <c r="C352" s="53">
        <v>24.999999999999996</v>
      </c>
      <c r="D352" s="41" t="s">
        <v>150</v>
      </c>
      <c r="E352" s="46">
        <f>+'[1]MO MAY25'!N65</f>
        <v>230</v>
      </c>
      <c r="F352" s="53">
        <f>ROUND((C352*E352),2)</f>
        <v>5750</v>
      </c>
      <c r="G352" s="58"/>
    </row>
    <row r="353" spans="1:10" x14ac:dyDescent="0.25">
      <c r="A353" s="90"/>
      <c r="B353" s="41" t="s">
        <v>151</v>
      </c>
      <c r="C353" s="53">
        <v>1</v>
      </c>
      <c r="D353" s="2" t="s">
        <v>54</v>
      </c>
      <c r="E353" s="46">
        <v>20</v>
      </c>
      <c r="F353" s="53">
        <f>ROUND((C353*E353),2)</f>
        <v>20</v>
      </c>
      <c r="G353" s="58"/>
      <c r="H353" s="41"/>
    </row>
    <row r="354" spans="1:10" x14ac:dyDescent="0.25">
      <c r="A354" s="90"/>
      <c r="B354" s="41" t="s">
        <v>192</v>
      </c>
      <c r="C354" s="53">
        <f>C352</f>
        <v>24.999999999999996</v>
      </c>
      <c r="D354" s="41" t="s">
        <v>150</v>
      </c>
      <c r="E354" s="54">
        <f>+'[1]MO MAY25'!$N$481*1.1</f>
        <v>449.07500000000005</v>
      </c>
      <c r="F354" s="53">
        <f>ROUND((C354*E354),2)</f>
        <v>11226.88</v>
      </c>
      <c r="G354" s="58"/>
    </row>
    <row r="355" spans="1:10" ht="15.6" x14ac:dyDescent="0.3">
      <c r="A355" s="90"/>
      <c r="B355" s="41"/>
      <c r="E355" s="46"/>
      <c r="G355" s="47">
        <f>SUM(F347:F354)</f>
        <v>36602.616500000004</v>
      </c>
      <c r="H355" s="57" t="s">
        <v>59</v>
      </c>
      <c r="I355" s="21"/>
      <c r="J355" s="40"/>
    </row>
    <row r="356" spans="1:10" x14ac:dyDescent="0.25">
      <c r="A356" s="90"/>
      <c r="B356" s="41"/>
      <c r="E356" s="46"/>
      <c r="G356" s="58"/>
      <c r="H356" s="41"/>
      <c r="J356" s="40"/>
    </row>
    <row r="357" spans="1:10" ht="15.6" x14ac:dyDescent="0.3">
      <c r="A357" s="90">
        <f>0.01+A346</f>
        <v>8.02</v>
      </c>
      <c r="B357" s="3" t="s">
        <v>193</v>
      </c>
      <c r="C357" s="21"/>
      <c r="E357" s="46"/>
      <c r="G357" s="58"/>
    </row>
    <row r="358" spans="1:10" x14ac:dyDescent="0.25">
      <c r="A358" s="90"/>
      <c r="B358" s="95" t="s">
        <v>187</v>
      </c>
      <c r="C358" s="53">
        <v>1</v>
      </c>
      <c r="D358" s="41" t="s">
        <v>54</v>
      </c>
      <c r="E358" s="54">
        <f>+'[1]Lista de precios MAY25'!$E$45</f>
        <v>9449.7350000000006</v>
      </c>
      <c r="F358" s="53">
        <f>ROUND((C358*E358),2)</f>
        <v>9449.74</v>
      </c>
      <c r="G358" s="58"/>
    </row>
    <row r="359" spans="1:10" x14ac:dyDescent="0.25">
      <c r="A359" s="90"/>
      <c r="B359" s="41" t="s">
        <v>190</v>
      </c>
      <c r="C359" s="53"/>
      <c r="D359" s="41" t="s">
        <v>147</v>
      </c>
      <c r="E359" s="54">
        <f>+'[1]Lista de precios MAY25'!$E$9</f>
        <v>3221.6681776971895</v>
      </c>
      <c r="F359" s="53">
        <f>ROUND((C359*E359),2)</f>
        <v>0</v>
      </c>
      <c r="G359" s="58"/>
    </row>
    <row r="360" spans="1:10" x14ac:dyDescent="0.25">
      <c r="A360" s="90"/>
      <c r="B360" s="41" t="s">
        <v>191</v>
      </c>
      <c r="C360" s="53">
        <f>+(4+0.7*3)/6.09/13.33/0.03</f>
        <v>2.5047312731302691</v>
      </c>
      <c r="D360" s="41" t="s">
        <v>147</v>
      </c>
      <c r="E360" s="54">
        <f>+'[1]Lista de precios MAY25'!$E$9</f>
        <v>3221.6681776971895</v>
      </c>
      <c r="F360" s="53">
        <f>ROUND((C360*E360),2)</f>
        <v>8069.41</v>
      </c>
      <c r="G360" s="58"/>
    </row>
    <row r="361" spans="1:10" x14ac:dyDescent="0.25">
      <c r="A361" s="90"/>
      <c r="B361" s="41" t="s">
        <v>148</v>
      </c>
      <c r="C361" s="91">
        <f>SUM(C359:C360)*2</f>
        <v>5.0094625462605382</v>
      </c>
      <c r="D361" s="41" t="s">
        <v>82</v>
      </c>
      <c r="E361" s="54">
        <f>+'[1]Lista de precios MAY25'!$E$15</f>
        <v>79.001000000000005</v>
      </c>
      <c r="F361" s="53">
        <f>ROUND((C361*E361),2)</f>
        <v>395.75</v>
      </c>
      <c r="G361" s="58"/>
    </row>
    <row r="362" spans="1:10" x14ac:dyDescent="0.25">
      <c r="A362" s="90"/>
      <c r="B362" s="41" t="s">
        <v>67</v>
      </c>
      <c r="C362" s="53">
        <v>5</v>
      </c>
      <c r="D362" s="41" t="s">
        <v>34</v>
      </c>
      <c r="E362" s="54">
        <f>SUM(F358:F361)</f>
        <v>17914.900000000001</v>
      </c>
      <c r="F362" s="53">
        <f>+E362*C362/100</f>
        <v>895.745</v>
      </c>
      <c r="G362" s="58"/>
      <c r="J362" s="40"/>
    </row>
    <row r="363" spans="1:10" x14ac:dyDescent="0.25">
      <c r="A363" s="90"/>
      <c r="B363" s="41" t="s">
        <v>168</v>
      </c>
      <c r="C363" s="53">
        <f>1/(0.15*0.2)</f>
        <v>33.333333333333336</v>
      </c>
      <c r="D363" s="41" t="s">
        <v>150</v>
      </c>
      <c r="E363" s="46">
        <f>+'[1]MO MAY25'!$N$65</f>
        <v>230</v>
      </c>
      <c r="F363" s="53">
        <f>ROUND((C363*E363),2)</f>
        <v>7666.67</v>
      </c>
      <c r="G363" s="58"/>
      <c r="J363" s="40"/>
    </row>
    <row r="364" spans="1:10" x14ac:dyDescent="0.25">
      <c r="A364" s="90"/>
      <c r="B364" s="41" t="s">
        <v>151</v>
      </c>
      <c r="C364" s="53">
        <v>1</v>
      </c>
      <c r="D364" s="2" t="s">
        <v>54</v>
      </c>
      <c r="E364" s="46">
        <v>20</v>
      </c>
      <c r="F364" s="53">
        <f>ROUND((C364*E364),2)</f>
        <v>20</v>
      </c>
      <c r="G364" s="58"/>
      <c r="H364" s="41"/>
    </row>
    <row r="365" spans="1:10" x14ac:dyDescent="0.25">
      <c r="A365" s="90"/>
      <c r="B365" s="41" t="s">
        <v>192</v>
      </c>
      <c r="C365" s="53">
        <f>C363</f>
        <v>33.333333333333336</v>
      </c>
      <c r="D365" s="41" t="s">
        <v>150</v>
      </c>
      <c r="E365" s="54">
        <f>+'[1]MO MAY25'!$N$450</f>
        <v>408.25</v>
      </c>
      <c r="F365" s="53">
        <f>ROUND((C365*E365),2)</f>
        <v>13608.33</v>
      </c>
      <c r="G365" s="58"/>
    </row>
    <row r="366" spans="1:10" ht="15.6" x14ac:dyDescent="0.3">
      <c r="A366" s="90"/>
      <c r="B366" s="41"/>
      <c r="E366" s="46"/>
      <c r="G366" s="47">
        <f>SUM(F358:F365)</f>
        <v>40105.645000000004</v>
      </c>
      <c r="H366" s="57" t="s">
        <v>59</v>
      </c>
      <c r="I366" s="21"/>
    </row>
    <row r="367" spans="1:10" ht="15.6" x14ac:dyDescent="0.3">
      <c r="A367" s="90">
        <f>+A357+0.01</f>
        <v>8.0299999999999994</v>
      </c>
      <c r="B367" s="3" t="s">
        <v>194</v>
      </c>
      <c r="C367" s="21"/>
      <c r="E367" s="46"/>
      <c r="G367" s="58"/>
      <c r="J367" s="97"/>
    </row>
    <row r="368" spans="1:10" x14ac:dyDescent="0.25">
      <c r="A368" s="90"/>
      <c r="B368" s="2" t="s">
        <v>163</v>
      </c>
      <c r="C368" s="53">
        <v>1</v>
      </c>
      <c r="D368" s="41" t="s">
        <v>54</v>
      </c>
      <c r="E368" s="54">
        <f>+'[1]Lista de precios MAY25'!$E$45</f>
        <v>9449.7350000000006</v>
      </c>
      <c r="F368" s="53">
        <f>ROUND((C368*E368),2)</f>
        <v>9449.74</v>
      </c>
      <c r="G368" s="58"/>
      <c r="J368" s="97"/>
    </row>
    <row r="369" spans="1:10" x14ac:dyDescent="0.25">
      <c r="A369" s="90"/>
      <c r="B369" s="41" t="s">
        <v>191</v>
      </c>
      <c r="C369" s="53">
        <v>2.5586697352112675</v>
      </c>
      <c r="D369" s="41" t="s">
        <v>147</v>
      </c>
      <c r="E369" s="54">
        <f>+'[1]Lista de precios MAY25'!$E$9</f>
        <v>3221.6681776971895</v>
      </c>
      <c r="F369" s="53">
        <f>ROUND((C369*E369),2)</f>
        <v>8243.18</v>
      </c>
      <c r="G369" s="58"/>
      <c r="J369" s="97"/>
    </row>
    <row r="370" spans="1:10" x14ac:dyDescent="0.25">
      <c r="A370" s="90"/>
      <c r="B370" s="41" t="s">
        <v>190</v>
      </c>
      <c r="C370" s="53">
        <v>1.1540214000000002</v>
      </c>
      <c r="D370" s="41" t="s">
        <v>147</v>
      </c>
      <c r="E370" s="54">
        <f>+'[1]Lista de precios MAY25'!$E$9</f>
        <v>3221.6681776971895</v>
      </c>
      <c r="F370" s="53">
        <f>ROUND((C370*E370),2)</f>
        <v>3717.87</v>
      </c>
      <c r="G370" s="58"/>
      <c r="J370" s="97"/>
    </row>
    <row r="371" spans="1:10" x14ac:dyDescent="0.25">
      <c r="A371" s="90"/>
      <c r="B371" s="41" t="s">
        <v>148</v>
      </c>
      <c r="C371" s="53">
        <f>SUM(C369:C370)*2</f>
        <v>7.425382270422535</v>
      </c>
      <c r="D371" s="41" t="s">
        <v>82</v>
      </c>
      <c r="E371" s="54">
        <f>+'[1]Lista de precios MAY25'!$E$15</f>
        <v>79.001000000000005</v>
      </c>
      <c r="F371" s="53">
        <f>ROUND((C371*E371),2)</f>
        <v>586.61</v>
      </c>
      <c r="G371" s="58"/>
      <c r="J371" s="97"/>
    </row>
    <row r="372" spans="1:10" x14ac:dyDescent="0.25">
      <c r="A372" s="90"/>
      <c r="B372" s="41" t="s">
        <v>67</v>
      </c>
      <c r="C372" s="53">
        <v>5</v>
      </c>
      <c r="D372" s="41" t="s">
        <v>34</v>
      </c>
      <c r="E372" s="54">
        <f>SUM(F368:F371)</f>
        <v>21997.399999999998</v>
      </c>
      <c r="F372" s="53">
        <f>+E372*C372/100</f>
        <v>1099.8699999999999</v>
      </c>
      <c r="G372" s="58"/>
      <c r="J372" s="97"/>
    </row>
    <row r="373" spans="1:10" x14ac:dyDescent="0.25">
      <c r="A373" s="90"/>
      <c r="B373" s="41" t="s">
        <v>168</v>
      </c>
      <c r="C373" s="53">
        <v>24.999999999999996</v>
      </c>
      <c r="D373" s="41" t="s">
        <v>150</v>
      </c>
      <c r="E373" s="46">
        <f>+'[1]MO MAY25'!$N$65</f>
        <v>230</v>
      </c>
      <c r="F373" s="53">
        <f>ROUND((C373*E373),2)</f>
        <v>5750</v>
      </c>
      <c r="G373" s="58"/>
      <c r="J373" s="97"/>
    </row>
    <row r="374" spans="1:10" x14ac:dyDescent="0.25">
      <c r="A374" s="90"/>
      <c r="B374" s="41" t="s">
        <v>151</v>
      </c>
      <c r="C374" s="53">
        <v>1</v>
      </c>
      <c r="D374" s="2" t="s">
        <v>54</v>
      </c>
      <c r="E374" s="46">
        <v>20</v>
      </c>
      <c r="F374" s="53">
        <f>ROUND((C374*E374),2)</f>
        <v>20</v>
      </c>
      <c r="G374" s="58"/>
      <c r="H374" s="41"/>
      <c r="J374" s="97"/>
    </row>
    <row r="375" spans="1:10" x14ac:dyDescent="0.25">
      <c r="A375" s="90"/>
      <c r="B375" s="41" t="s">
        <v>192</v>
      </c>
      <c r="C375" s="53">
        <f>C373</f>
        <v>24.999999999999996</v>
      </c>
      <c r="D375" s="41" t="s">
        <v>150</v>
      </c>
      <c r="E375" s="54">
        <f>+'[1]MO MAY25'!$N$489</f>
        <v>442.75</v>
      </c>
      <c r="F375" s="53">
        <f>ROUND((C375*E375),2)</f>
        <v>11068.75</v>
      </c>
      <c r="G375" s="58"/>
      <c r="J375" s="97"/>
    </row>
    <row r="376" spans="1:10" ht="15.6" x14ac:dyDescent="0.3">
      <c r="A376" s="90"/>
      <c r="B376" s="41"/>
      <c r="E376" s="46"/>
      <c r="G376" s="59">
        <f>SUM(F368:F375)</f>
        <v>39936.019999999997</v>
      </c>
      <c r="H376" s="3" t="s">
        <v>59</v>
      </c>
      <c r="I376" s="21" t="s">
        <v>195</v>
      </c>
    </row>
    <row r="377" spans="1:10" ht="15.6" x14ac:dyDescent="0.3">
      <c r="A377" s="96"/>
      <c r="B377" s="3"/>
      <c r="C377" s="8"/>
      <c r="E377" s="46"/>
      <c r="F377" s="8"/>
      <c r="G377" s="59">
        <f>SUM(F368:F372,F374,(1.15*(F373+F375)))</f>
        <v>42458.832499999997</v>
      </c>
      <c r="H377" s="3" t="s">
        <v>59</v>
      </c>
      <c r="I377" s="21" t="s">
        <v>176</v>
      </c>
      <c r="J377" s="97"/>
    </row>
    <row r="378" spans="1:10" ht="15.6" x14ac:dyDescent="0.3">
      <c r="A378" s="90">
        <f>+A367+0.01</f>
        <v>8.0399999999999991</v>
      </c>
      <c r="B378" s="3" t="s">
        <v>196</v>
      </c>
      <c r="C378" s="21"/>
      <c r="E378" s="46"/>
      <c r="G378" s="58"/>
      <c r="J378" s="97"/>
    </row>
    <row r="379" spans="1:10" x14ac:dyDescent="0.25">
      <c r="A379" s="90"/>
      <c r="B379" s="95" t="s">
        <v>197</v>
      </c>
      <c r="C379" s="53">
        <v>1</v>
      </c>
      <c r="D379" s="95" t="s">
        <v>54</v>
      </c>
      <c r="E379" s="54">
        <f>+'[1]Lista de precios MAY25'!$E$45</f>
        <v>9449.7350000000006</v>
      </c>
      <c r="F379" s="53">
        <f>ROUND((C379*E379),2)</f>
        <v>9449.74</v>
      </c>
      <c r="G379" s="58"/>
      <c r="J379" s="97"/>
    </row>
    <row r="380" spans="1:10" x14ac:dyDescent="0.25">
      <c r="A380" s="90"/>
      <c r="B380" s="41" t="s">
        <v>191</v>
      </c>
      <c r="C380" s="53">
        <v>1.9144698300000003</v>
      </c>
      <c r="D380" s="41" t="s">
        <v>147</v>
      </c>
      <c r="E380" s="54">
        <f>+'[1]Lista de precios MAY25'!$E$9</f>
        <v>3221.6681776971895</v>
      </c>
      <c r="F380" s="53">
        <f>ROUND((C380*E380),2)</f>
        <v>6167.79</v>
      </c>
      <c r="G380" s="58"/>
      <c r="J380" s="97"/>
    </row>
    <row r="381" spans="1:10" x14ac:dyDescent="0.25">
      <c r="A381" s="90"/>
      <c r="B381" s="41" t="s">
        <v>190</v>
      </c>
      <c r="C381" s="53">
        <v>2.3080428000000004</v>
      </c>
      <c r="D381" s="41" t="s">
        <v>147</v>
      </c>
      <c r="E381" s="54">
        <f>+'[1]Lista de precios MAY25'!$E$9</f>
        <v>3221.6681776971895</v>
      </c>
      <c r="F381" s="53">
        <f>ROUND((C381*E381),2)</f>
        <v>7435.75</v>
      </c>
      <c r="G381" s="58"/>
      <c r="J381" s="97"/>
    </row>
    <row r="382" spans="1:10" x14ac:dyDescent="0.25">
      <c r="A382" s="90"/>
      <c r="B382" s="41" t="s">
        <v>148</v>
      </c>
      <c r="C382" s="53">
        <f>SUM(C380:C381)*2</f>
        <v>8.4450252600000013</v>
      </c>
      <c r="D382" s="41" t="s">
        <v>82</v>
      </c>
      <c r="E382" s="54">
        <f>+'[1]Lista de precios MAY25'!$E$15</f>
        <v>79.001000000000005</v>
      </c>
      <c r="F382" s="53">
        <f>ROUND((C382*E382),2)</f>
        <v>667.17</v>
      </c>
      <c r="G382" s="58"/>
      <c r="J382" s="97"/>
    </row>
    <row r="383" spans="1:10" x14ac:dyDescent="0.25">
      <c r="A383" s="90"/>
      <c r="B383" s="41" t="s">
        <v>67</v>
      </c>
      <c r="C383" s="53">
        <v>5</v>
      </c>
      <c r="D383" s="41" t="s">
        <v>34</v>
      </c>
      <c r="E383" s="54">
        <f>SUM(F379:F382)</f>
        <v>23720.449999999997</v>
      </c>
      <c r="F383" s="53">
        <f>+E383*C383/100</f>
        <v>1186.0224999999998</v>
      </c>
      <c r="G383" s="58"/>
      <c r="J383" s="97"/>
    </row>
    <row r="384" spans="1:10" x14ac:dyDescent="0.25">
      <c r="A384" s="90"/>
      <c r="B384" s="41" t="s">
        <v>168</v>
      </c>
      <c r="C384" s="53">
        <v>24.999999999999996</v>
      </c>
      <c r="D384" s="41" t="s">
        <v>150</v>
      </c>
      <c r="E384" s="46">
        <f>+'[1]MO MAY25'!$N$489</f>
        <v>442.75</v>
      </c>
      <c r="F384" s="53">
        <f>ROUND((C384*E384),2)</f>
        <v>11068.75</v>
      </c>
      <c r="G384" s="58"/>
      <c r="J384" s="97"/>
    </row>
    <row r="385" spans="1:10" x14ac:dyDescent="0.25">
      <c r="A385" s="90"/>
      <c r="B385" s="41" t="s">
        <v>151</v>
      </c>
      <c r="C385" s="53">
        <v>1</v>
      </c>
      <c r="D385" s="2" t="s">
        <v>54</v>
      </c>
      <c r="E385" s="46">
        <v>20</v>
      </c>
      <c r="F385" s="53">
        <f>ROUND((C385*E385),2)</f>
        <v>20</v>
      </c>
      <c r="G385" s="58"/>
      <c r="H385" s="41"/>
    </row>
    <row r="386" spans="1:10" x14ac:dyDescent="0.25">
      <c r="A386" s="90"/>
      <c r="B386" s="41" t="s">
        <v>192</v>
      </c>
      <c r="C386" s="53">
        <f>C384</f>
        <v>24.999999999999996</v>
      </c>
      <c r="D386" s="41" t="s">
        <v>150</v>
      </c>
      <c r="E386" s="54">
        <f>+'[1]MO MAY25'!$N$481</f>
        <v>408.25</v>
      </c>
      <c r="F386" s="53">
        <f>ROUND((C386*E386),2)</f>
        <v>10206.25</v>
      </c>
      <c r="G386" s="58"/>
      <c r="J386" s="40"/>
    </row>
    <row r="387" spans="1:10" ht="15.6" x14ac:dyDescent="0.3">
      <c r="A387" s="90"/>
      <c r="B387" s="41"/>
      <c r="E387" s="46"/>
      <c r="G387" s="59">
        <f>SUM(F379:F386)</f>
        <v>46201.472499999996</v>
      </c>
      <c r="H387" s="3" t="s">
        <v>59</v>
      </c>
      <c r="I387" s="21" t="s">
        <v>195</v>
      </c>
    </row>
    <row r="388" spans="1:10" ht="15.6" x14ac:dyDescent="0.3">
      <c r="A388" s="96"/>
      <c r="B388" s="3"/>
      <c r="C388" s="8"/>
      <c r="E388" s="46"/>
      <c r="F388" s="8"/>
      <c r="G388" s="59">
        <f>SUM(F379:F383,F385,(1.15*(F384+F386)))</f>
        <v>49392.722499999989</v>
      </c>
      <c r="H388" s="3" t="s">
        <v>59</v>
      </c>
      <c r="I388" s="21" t="s">
        <v>176</v>
      </c>
    </row>
    <row r="389" spans="1:10" ht="15.6" x14ac:dyDescent="0.3">
      <c r="A389" s="90">
        <f>+A378+0.01</f>
        <v>8.0499999999999989</v>
      </c>
      <c r="B389" s="3" t="s">
        <v>198</v>
      </c>
      <c r="C389" s="21"/>
      <c r="E389" s="46"/>
      <c r="G389" s="58"/>
    </row>
    <row r="390" spans="1:10" x14ac:dyDescent="0.25">
      <c r="A390" s="90"/>
      <c r="B390" s="2" t="s">
        <v>145</v>
      </c>
      <c r="C390" s="53">
        <v>1</v>
      </c>
      <c r="D390" s="41" t="s">
        <v>54</v>
      </c>
      <c r="E390" s="54">
        <f>+'[1]Lista de precios MAY25'!$E$44</f>
        <v>9027</v>
      </c>
      <c r="F390" s="53">
        <f>ROUND((C390*E390),2)</f>
        <v>9027</v>
      </c>
      <c r="G390" s="58"/>
    </row>
    <row r="391" spans="1:10" x14ac:dyDescent="0.25">
      <c r="A391" s="90"/>
      <c r="B391" s="41" t="s">
        <v>191</v>
      </c>
      <c r="C391" s="53">
        <v>1.1666340578603194</v>
      </c>
      <c r="D391" s="41" t="s">
        <v>147</v>
      </c>
      <c r="E391" s="54">
        <f>+'[1]Lista de precios MAY25'!$E$9</f>
        <v>3221.6681776971895</v>
      </c>
      <c r="F391" s="53">
        <f>ROUND((C391*E391),2)</f>
        <v>3758.51</v>
      </c>
      <c r="G391" s="58"/>
    </row>
    <row r="392" spans="1:10" x14ac:dyDescent="0.25">
      <c r="A392" s="90"/>
      <c r="B392" s="41" t="s">
        <v>190</v>
      </c>
      <c r="C392" s="53">
        <v>1.5386952000000003</v>
      </c>
      <c r="D392" s="41" t="s">
        <v>147</v>
      </c>
      <c r="E392" s="54">
        <f>+'[1]Lista de precios MAY25'!$E$9</f>
        <v>3221.6681776971895</v>
      </c>
      <c r="F392" s="53">
        <f>ROUND((C392*E392),2)</f>
        <v>4957.17</v>
      </c>
      <c r="G392" s="58"/>
    </row>
    <row r="393" spans="1:10" x14ac:dyDescent="0.25">
      <c r="A393" s="90"/>
      <c r="B393" s="41" t="s">
        <v>148</v>
      </c>
      <c r="C393" s="53">
        <f>SUM(C391:C391)*2</f>
        <v>2.3332681157206387</v>
      </c>
      <c r="D393" s="41" t="s">
        <v>82</v>
      </c>
      <c r="E393" s="54">
        <f>+'[1]Lista de precios MAY25'!$E$15</f>
        <v>79.001000000000005</v>
      </c>
      <c r="F393" s="53">
        <f>ROUND((C393*E393),2)</f>
        <v>184.33</v>
      </c>
      <c r="G393" s="58"/>
    </row>
    <row r="394" spans="1:10" x14ac:dyDescent="0.25">
      <c r="A394" s="90"/>
      <c r="B394" s="41" t="s">
        <v>67</v>
      </c>
      <c r="C394" s="53">
        <v>5</v>
      </c>
      <c r="D394" s="41" t="s">
        <v>34</v>
      </c>
      <c r="E394" s="54">
        <f>SUM(F390:F393)</f>
        <v>17927.010000000002</v>
      </c>
      <c r="F394" s="53">
        <f>+E394*C394/100</f>
        <v>896.35050000000012</v>
      </c>
      <c r="G394" s="58"/>
    </row>
    <row r="395" spans="1:10" x14ac:dyDescent="0.25">
      <c r="A395" s="90"/>
      <c r="B395" s="41" t="s">
        <v>168</v>
      </c>
      <c r="C395" s="53">
        <v>16.666666666666668</v>
      </c>
      <c r="D395" s="41" t="s">
        <v>150</v>
      </c>
      <c r="E395" s="46">
        <f>+'[1]MO MAY25'!$N$70</f>
        <v>258.75</v>
      </c>
      <c r="F395" s="53">
        <f>ROUND((C395*E395),2)</f>
        <v>4312.5</v>
      </c>
      <c r="G395" s="58"/>
    </row>
    <row r="396" spans="1:10" x14ac:dyDescent="0.25">
      <c r="A396" s="90"/>
      <c r="B396" s="41" t="s">
        <v>151</v>
      </c>
      <c r="C396" s="53">
        <v>1</v>
      </c>
      <c r="D396" s="2" t="s">
        <v>54</v>
      </c>
      <c r="E396" s="46">
        <v>20</v>
      </c>
      <c r="F396" s="53">
        <f>ROUND((C396*E396),2)</f>
        <v>20</v>
      </c>
      <c r="G396" s="58"/>
      <c r="H396" s="41"/>
    </row>
    <row r="397" spans="1:10" x14ac:dyDescent="0.25">
      <c r="A397" s="90"/>
      <c r="B397" s="41" t="s">
        <v>192</v>
      </c>
      <c r="C397" s="53">
        <f>C395</f>
        <v>16.666666666666668</v>
      </c>
      <c r="D397" s="41" t="s">
        <v>150</v>
      </c>
      <c r="E397" s="54">
        <f>+'[1]MO MAY25'!$N$485</f>
        <v>598</v>
      </c>
      <c r="F397" s="53">
        <f>ROUND((C397*E397),2)</f>
        <v>9966.67</v>
      </c>
      <c r="G397" s="58"/>
    </row>
    <row r="398" spans="1:10" ht="15.6" x14ac:dyDescent="0.3">
      <c r="A398" s="90"/>
      <c r="B398" s="41"/>
      <c r="E398" s="46"/>
      <c r="G398" s="59">
        <f>SUM(F390:F397)</f>
        <v>33122.530500000001</v>
      </c>
      <c r="H398" s="3" t="s">
        <v>59</v>
      </c>
      <c r="I398" s="21" t="s">
        <v>195</v>
      </c>
      <c r="J398" s="40"/>
    </row>
    <row r="399" spans="1:10" ht="15.6" x14ac:dyDescent="0.3">
      <c r="A399" s="90"/>
      <c r="B399" s="41"/>
      <c r="E399" s="46"/>
      <c r="G399" s="59">
        <f>SUM(F390:F394,F396,(1.15*(F395+F397)))</f>
        <v>35264.406000000003</v>
      </c>
      <c r="H399" s="3" t="s">
        <v>59</v>
      </c>
      <c r="I399" s="21" t="s">
        <v>176</v>
      </c>
    </row>
    <row r="400" spans="1:10" ht="15.6" x14ac:dyDescent="0.3">
      <c r="A400" s="90">
        <f>+A389+0.01</f>
        <v>8.0599999999999987</v>
      </c>
      <c r="B400" s="3" t="s">
        <v>199</v>
      </c>
      <c r="C400" s="21"/>
      <c r="E400" s="46"/>
      <c r="G400" s="58"/>
    </row>
    <row r="401" spans="1:10" x14ac:dyDescent="0.25">
      <c r="A401" s="90"/>
      <c r="B401" s="2" t="s">
        <v>145</v>
      </c>
      <c r="C401" s="53">
        <v>1</v>
      </c>
      <c r="D401" s="41" t="s">
        <v>54</v>
      </c>
      <c r="E401" s="54">
        <f>+'[1]Lista de precios MAY25'!$E$44</f>
        <v>9027</v>
      </c>
      <c r="F401" s="53">
        <f>ROUND((C401*E401),2)</f>
        <v>9027</v>
      </c>
      <c r="G401" s="58"/>
    </row>
    <row r="402" spans="1:10" x14ac:dyDescent="0.25">
      <c r="A402" s="90"/>
      <c r="B402" s="41" t="s">
        <v>191</v>
      </c>
      <c r="C402" s="53">
        <v>1.4180897658999634</v>
      </c>
      <c r="D402" s="41" t="s">
        <v>147</v>
      </c>
      <c r="E402" s="54">
        <f>+'[1]Lista de precios MAY25'!$E$9</f>
        <v>3221.6681776971895</v>
      </c>
      <c r="F402" s="53">
        <f>ROUND((C402*E402),2)</f>
        <v>4568.6099999999997</v>
      </c>
      <c r="G402" s="58"/>
    </row>
    <row r="403" spans="1:10" x14ac:dyDescent="0.25">
      <c r="A403" s="90"/>
      <c r="B403" s="41" t="s">
        <v>190</v>
      </c>
      <c r="C403" s="53">
        <v>2.0515936000000004</v>
      </c>
      <c r="D403" s="41" t="s">
        <v>147</v>
      </c>
      <c r="E403" s="54">
        <f>+'[1]Lista de precios MAY25'!$E$9</f>
        <v>3221.6681776971895</v>
      </c>
      <c r="F403" s="53">
        <f>ROUND((C403*E403),2)</f>
        <v>6609.55</v>
      </c>
      <c r="G403" s="58"/>
    </row>
    <row r="404" spans="1:10" x14ac:dyDescent="0.25">
      <c r="A404" s="90"/>
      <c r="B404" s="41" t="s">
        <v>148</v>
      </c>
      <c r="C404" s="53">
        <f>SUM(C402:C402)*2</f>
        <v>2.8361795317999268</v>
      </c>
      <c r="D404" s="41" t="s">
        <v>82</v>
      </c>
      <c r="E404" s="54">
        <f>+'[1]Lista de precios MAY25'!$E$15</f>
        <v>79.001000000000005</v>
      </c>
      <c r="F404" s="53">
        <f>ROUND((C404*E404),2)</f>
        <v>224.06</v>
      </c>
      <c r="G404" s="58"/>
    </row>
    <row r="405" spans="1:10" x14ac:dyDescent="0.25">
      <c r="A405" s="90"/>
      <c r="B405" s="41" t="s">
        <v>67</v>
      </c>
      <c r="C405" s="53">
        <v>5</v>
      </c>
      <c r="D405" s="41" t="s">
        <v>34</v>
      </c>
      <c r="E405" s="54">
        <f>SUM(F401:F404)</f>
        <v>20429.22</v>
      </c>
      <c r="F405" s="53">
        <f>+E405*C405/100</f>
        <v>1021.461</v>
      </c>
      <c r="G405" s="58"/>
    </row>
    <row r="406" spans="1:10" x14ac:dyDescent="0.25">
      <c r="A406" s="90"/>
      <c r="B406" s="41" t="s">
        <v>168</v>
      </c>
      <c r="C406" s="53">
        <v>22.222222222222225</v>
      </c>
      <c r="D406" s="41" t="s">
        <v>150</v>
      </c>
      <c r="E406" s="46">
        <f>+'[1]MO MAY25'!$N$65</f>
        <v>230</v>
      </c>
      <c r="F406" s="53">
        <f>ROUND((C406*E406),2)</f>
        <v>5111.1099999999997</v>
      </c>
      <c r="G406" s="58"/>
    </row>
    <row r="407" spans="1:10" x14ac:dyDescent="0.25">
      <c r="A407" s="90"/>
      <c r="B407" s="41" t="s">
        <v>151</v>
      </c>
      <c r="C407" s="53">
        <v>1</v>
      </c>
      <c r="D407" s="2" t="s">
        <v>54</v>
      </c>
      <c r="E407" s="46">
        <v>20</v>
      </c>
      <c r="F407" s="53">
        <f>ROUND((C407*E407),2)</f>
        <v>20</v>
      </c>
      <c r="G407" s="58"/>
      <c r="H407" s="41"/>
    </row>
    <row r="408" spans="1:10" x14ac:dyDescent="0.25">
      <c r="A408" s="90"/>
      <c r="B408" s="41" t="s">
        <v>192</v>
      </c>
      <c r="C408" s="53">
        <f>C406</f>
        <v>22.222222222222225</v>
      </c>
      <c r="D408" s="41" t="s">
        <v>150</v>
      </c>
      <c r="E408" s="54">
        <f>+'[1]MO MAY25'!$N$481</f>
        <v>408.25</v>
      </c>
      <c r="F408" s="53">
        <f>ROUND((C408*E408),2)</f>
        <v>9072.2199999999993</v>
      </c>
      <c r="G408" s="58"/>
    </row>
    <row r="409" spans="1:10" ht="15.6" x14ac:dyDescent="0.3">
      <c r="A409" s="90"/>
      <c r="B409" s="41"/>
      <c r="E409" s="46"/>
      <c r="G409" s="59">
        <f>SUM(F401:F408)</f>
        <v>35654.010999999999</v>
      </c>
      <c r="H409" s="3" t="s">
        <v>59</v>
      </c>
      <c r="I409" s="21" t="s">
        <v>195</v>
      </c>
    </row>
    <row r="410" spans="1:10" ht="15.6" x14ac:dyDescent="0.3">
      <c r="A410" s="90"/>
      <c r="B410" s="41"/>
      <c r="E410" s="46"/>
      <c r="G410" s="59">
        <f>SUM(F401:F405,F407,(1.15*(F406+F408)))</f>
        <v>37781.510499999997</v>
      </c>
      <c r="H410" s="3" t="s">
        <v>59</v>
      </c>
      <c r="I410" s="21" t="s">
        <v>176</v>
      </c>
    </row>
    <row r="411" spans="1:10" ht="15.6" x14ac:dyDescent="0.3">
      <c r="A411" s="90"/>
      <c r="B411" s="41"/>
      <c r="C411" s="40"/>
      <c r="E411" s="46"/>
      <c r="G411" s="58"/>
      <c r="H411" s="58"/>
      <c r="I411" s="21"/>
    </row>
    <row r="412" spans="1:10" ht="15.6" x14ac:dyDescent="0.3">
      <c r="A412" s="98">
        <f>+A344+1</f>
        <v>9</v>
      </c>
      <c r="B412" s="3" t="s">
        <v>200</v>
      </c>
      <c r="C412" s="53"/>
      <c r="D412" s="41"/>
      <c r="E412" s="54"/>
      <c r="F412" s="53"/>
    </row>
    <row r="413" spans="1:10" x14ac:dyDescent="0.25">
      <c r="A413" s="90"/>
      <c r="B413" s="41"/>
      <c r="C413" s="8"/>
      <c r="E413" s="46"/>
      <c r="F413" s="8"/>
      <c r="G413" s="58"/>
      <c r="H413" s="41"/>
      <c r="J413" s="40"/>
    </row>
    <row r="414" spans="1:10" ht="15.6" x14ac:dyDescent="0.3">
      <c r="A414" s="99">
        <f>+A412+0.01</f>
        <v>9.01</v>
      </c>
      <c r="B414" s="100" t="s">
        <v>201</v>
      </c>
      <c r="C414" s="8"/>
      <c r="D414" s="97"/>
      <c r="E414" s="46"/>
      <c r="F414" s="8"/>
      <c r="G414" s="101"/>
      <c r="H414" s="97"/>
      <c r="I414" s="97"/>
      <c r="J414" s="40"/>
    </row>
    <row r="415" spans="1:10" x14ac:dyDescent="0.25">
      <c r="A415" s="99"/>
      <c r="B415" s="95" t="s">
        <v>197</v>
      </c>
      <c r="C415" s="53">
        <v>1</v>
      </c>
      <c r="D415" s="95" t="s">
        <v>54</v>
      </c>
      <c r="E415" s="54">
        <f>+'[1]Lista de precios MAY25'!$E$45</f>
        <v>9449.7350000000006</v>
      </c>
      <c r="F415" s="53">
        <f>ROUND((C415*E415),2)</f>
        <v>9449.74</v>
      </c>
      <c r="G415" s="101"/>
      <c r="H415" s="97"/>
      <c r="I415" s="97"/>
    </row>
    <row r="416" spans="1:10" x14ac:dyDescent="0.25">
      <c r="A416" s="99"/>
      <c r="B416" s="95" t="s">
        <v>202</v>
      </c>
      <c r="C416" s="53">
        <f>+'[2]8. Losas y muros macizos'!E6</f>
        <v>1.2441865415880125</v>
      </c>
      <c r="D416" s="95" t="s">
        <v>147</v>
      </c>
      <c r="E416" s="54">
        <f>+'[1]Lista de precios MAY25'!$E$9</f>
        <v>3221.6681776971895</v>
      </c>
      <c r="F416" s="53">
        <f>ROUND((C416*E416),2)</f>
        <v>4008.36</v>
      </c>
      <c r="G416" s="101"/>
      <c r="H416" s="97"/>
      <c r="I416" s="97"/>
    </row>
    <row r="417" spans="1:10" x14ac:dyDescent="0.25">
      <c r="A417" s="99"/>
      <c r="B417" s="95" t="s">
        <v>148</v>
      </c>
      <c r="C417" s="53">
        <f>SUM(C416:C416)*2*1.5</f>
        <v>3.7325596247640371</v>
      </c>
      <c r="D417" s="95" t="s">
        <v>82</v>
      </c>
      <c r="E417" s="54">
        <f>+'[1]Lista de precios MAY25'!$E$15</f>
        <v>79.001000000000005</v>
      </c>
      <c r="F417" s="53">
        <f>E417*C417</f>
        <v>294.87594291598373</v>
      </c>
      <c r="G417" s="101"/>
      <c r="H417" s="97"/>
      <c r="I417" s="97"/>
    </row>
    <row r="418" spans="1:10" x14ac:dyDescent="0.25">
      <c r="A418" s="99"/>
      <c r="B418" s="95" t="s">
        <v>67</v>
      </c>
      <c r="C418" s="53">
        <v>10</v>
      </c>
      <c r="D418" s="95" t="s">
        <v>34</v>
      </c>
      <c r="E418" s="46">
        <f>SUM(F415:F417)</f>
        <v>13752.975942915984</v>
      </c>
      <c r="F418" s="53">
        <f>E418*C418/100</f>
        <v>1375.2975942915984</v>
      </c>
      <c r="G418" s="101"/>
      <c r="H418" s="97"/>
      <c r="I418" s="97"/>
    </row>
    <row r="419" spans="1:10" x14ac:dyDescent="0.25">
      <c r="A419" s="99"/>
      <c r="B419" s="95" t="s">
        <v>168</v>
      </c>
      <c r="C419" s="53">
        <f>1/0.12</f>
        <v>8.3333333333333339</v>
      </c>
      <c r="D419" s="95" t="s">
        <v>81</v>
      </c>
      <c r="E419" s="54">
        <f>+'[1]MO MAY25'!$N$94*1.1</f>
        <v>297.27500000000003</v>
      </c>
      <c r="F419" s="53">
        <f>E419*C419</f>
        <v>2477.291666666667</v>
      </c>
      <c r="G419" s="101"/>
      <c r="H419" s="97"/>
      <c r="I419" s="97"/>
      <c r="J419" s="40"/>
    </row>
    <row r="420" spans="1:10" x14ac:dyDescent="0.25">
      <c r="A420" s="99"/>
      <c r="B420" s="95" t="s">
        <v>151</v>
      </c>
      <c r="C420" s="8">
        <v>1</v>
      </c>
      <c r="D420" s="97" t="s">
        <v>54</v>
      </c>
      <c r="E420" s="46">
        <f>20*1.2</f>
        <v>24</v>
      </c>
      <c r="F420" s="53">
        <f>E420*C420</f>
        <v>24</v>
      </c>
      <c r="G420" s="101"/>
      <c r="H420" s="97"/>
      <c r="I420" s="97"/>
    </row>
    <row r="421" spans="1:10" x14ac:dyDescent="0.25">
      <c r="A421" s="99"/>
      <c r="B421" s="95" t="s">
        <v>203</v>
      </c>
      <c r="C421" s="53">
        <f>+C419</f>
        <v>8.3333333333333339</v>
      </c>
      <c r="D421" s="95" t="s">
        <v>81</v>
      </c>
      <c r="E421" s="54">
        <f>+'[1]MO MAY25'!$N$506</f>
        <v>977.5</v>
      </c>
      <c r="F421" s="53">
        <f>E421*C421</f>
        <v>8145.8333333333339</v>
      </c>
      <c r="G421" s="102"/>
      <c r="H421" s="97"/>
      <c r="I421" s="97"/>
    </row>
    <row r="422" spans="1:10" ht="15.6" x14ac:dyDescent="0.3">
      <c r="A422" s="99"/>
      <c r="B422" s="95"/>
      <c r="C422" s="8" t="s">
        <v>126</v>
      </c>
      <c r="D422" s="97"/>
      <c r="E422" s="46"/>
      <c r="F422" s="8"/>
      <c r="G422" s="82">
        <f>SUM(F415:F421)</f>
        <v>25775.398537207584</v>
      </c>
      <c r="H422" s="83" t="s">
        <v>59</v>
      </c>
      <c r="I422" s="103">
        <f>+'[2]8. Losas y muros macizos'!E10</f>
        <v>6.0545999999999971</v>
      </c>
      <c r="J422" s="62">
        <f>+G422*I422</f>
        <v>156059.72798337697</v>
      </c>
    </row>
    <row r="423" spans="1:10" x14ac:dyDescent="0.25">
      <c r="A423" s="90"/>
      <c r="B423" s="41"/>
      <c r="C423" s="8"/>
      <c r="E423" s="46"/>
      <c r="F423" s="8"/>
      <c r="G423" s="58"/>
      <c r="H423" s="41"/>
    </row>
    <row r="424" spans="1:10" ht="15.6" x14ac:dyDescent="0.3">
      <c r="A424" s="99">
        <f>+A414+0.01</f>
        <v>9.02</v>
      </c>
      <c r="B424" s="100" t="s">
        <v>204</v>
      </c>
      <c r="C424" s="8"/>
      <c r="D424" s="97"/>
      <c r="E424" s="46"/>
      <c r="F424" s="8"/>
      <c r="G424" s="101"/>
      <c r="H424" s="97"/>
      <c r="I424" s="97"/>
    </row>
    <row r="425" spans="1:10" x14ac:dyDescent="0.25">
      <c r="A425" s="99"/>
      <c r="B425" s="95" t="s">
        <v>197</v>
      </c>
      <c r="C425" s="53">
        <v>1</v>
      </c>
      <c r="D425" s="95" t="s">
        <v>54</v>
      </c>
      <c r="E425" s="54">
        <f>+'[1]Lista de precios MAY25'!$E$45</f>
        <v>9449.7350000000006</v>
      </c>
      <c r="F425" s="53">
        <f>ROUND((C425*E425),2)</f>
        <v>9449.74</v>
      </c>
      <c r="G425" s="101"/>
      <c r="H425" s="97"/>
      <c r="I425" s="97"/>
    </row>
    <row r="426" spans="1:10" x14ac:dyDescent="0.25">
      <c r="A426" s="99"/>
      <c r="B426" s="95" t="s">
        <v>205</v>
      </c>
      <c r="C426" s="53">
        <f>+'[2]8. Losas y muros macizos'!F6</f>
        <v>0.94143296119431952</v>
      </c>
      <c r="D426" s="95" t="s">
        <v>147</v>
      </c>
      <c r="E426" s="54">
        <f>+'[1]Lista de precios MAY25'!$E$9</f>
        <v>3221.6681776971895</v>
      </c>
      <c r="F426" s="53">
        <f>ROUND((C426*E426),2)</f>
        <v>3032.98</v>
      </c>
      <c r="G426" s="101"/>
      <c r="H426" s="97"/>
      <c r="I426" s="97"/>
    </row>
    <row r="427" spans="1:10" x14ac:dyDescent="0.25">
      <c r="A427" s="99"/>
      <c r="B427" s="95" t="s">
        <v>206</v>
      </c>
      <c r="C427" s="53">
        <f>+'[2]8. Losas y muros macizos'!F9</f>
        <v>0</v>
      </c>
      <c r="D427" s="95" t="s">
        <v>147</v>
      </c>
      <c r="E427" s="54">
        <f>+'[1]Lista de precios MAY25'!$E$9</f>
        <v>3221.6681776971895</v>
      </c>
      <c r="F427" s="53">
        <f>ROUND((C427*E427),2)</f>
        <v>0</v>
      </c>
      <c r="G427" s="101"/>
      <c r="H427" s="97"/>
      <c r="I427" s="97"/>
    </row>
    <row r="428" spans="1:10" x14ac:dyDescent="0.25">
      <c r="A428" s="99"/>
      <c r="B428" s="95" t="s">
        <v>148</v>
      </c>
      <c r="C428" s="53">
        <f>SUM(C426:C427)*2</f>
        <v>1.882865922388639</v>
      </c>
      <c r="D428" s="95" t="s">
        <v>82</v>
      </c>
      <c r="E428" s="54">
        <f>+'[1]Lista de precios MAY25'!$E$15</f>
        <v>79.001000000000005</v>
      </c>
      <c r="F428" s="53">
        <f>E428*C428</f>
        <v>148.74829073462487</v>
      </c>
      <c r="G428" s="101"/>
      <c r="H428" s="97"/>
      <c r="I428" s="97"/>
    </row>
    <row r="429" spans="1:10" x14ac:dyDescent="0.25">
      <c r="A429" s="99"/>
      <c r="B429" s="95" t="s">
        <v>67</v>
      </c>
      <c r="C429" s="53">
        <v>10</v>
      </c>
      <c r="D429" s="95" t="s">
        <v>34</v>
      </c>
      <c r="E429" s="46">
        <f>SUM(F425:F428)</f>
        <v>12631.468290734625</v>
      </c>
      <c r="F429" s="53">
        <f>E429*C429/100</f>
        <v>1263.1468290734626</v>
      </c>
      <c r="G429" s="101"/>
      <c r="H429" s="97"/>
      <c r="I429" s="97"/>
    </row>
    <row r="430" spans="1:10" x14ac:dyDescent="0.25">
      <c r="A430" s="99"/>
      <c r="B430" s="95" t="s">
        <v>168</v>
      </c>
      <c r="C430" s="53">
        <f>1/0.15</f>
        <v>6.666666666666667</v>
      </c>
      <c r="D430" s="95" t="s">
        <v>81</v>
      </c>
      <c r="E430" s="54">
        <f>+'[1]MO MAY25'!$N$94*1.1</f>
        <v>297.27500000000003</v>
      </c>
      <c r="F430" s="53">
        <f>E430*C430</f>
        <v>1981.8333333333337</v>
      </c>
      <c r="G430" s="101"/>
      <c r="H430" s="97"/>
      <c r="I430" s="97"/>
    </row>
    <row r="431" spans="1:10" x14ac:dyDescent="0.25">
      <c r="A431" s="99"/>
      <c r="B431" s="95" t="s">
        <v>151</v>
      </c>
      <c r="C431" s="8">
        <v>1</v>
      </c>
      <c r="D431" s="97" t="s">
        <v>54</v>
      </c>
      <c r="E431" s="46">
        <v>20</v>
      </c>
      <c r="F431" s="53">
        <f>E431*C431</f>
        <v>20</v>
      </c>
      <c r="G431" s="101"/>
      <c r="H431" s="97"/>
      <c r="I431" s="97"/>
      <c r="J431" s="40"/>
    </row>
    <row r="432" spans="1:10" x14ac:dyDescent="0.25">
      <c r="A432" s="99"/>
      <c r="B432" s="95" t="s">
        <v>203</v>
      </c>
      <c r="C432" s="53">
        <f>+C430</f>
        <v>6.666666666666667</v>
      </c>
      <c r="D432" s="95" t="s">
        <v>81</v>
      </c>
      <c r="E432" s="54">
        <f>+'[1]MO MAY25'!$N$506</f>
        <v>977.5</v>
      </c>
      <c r="F432" s="53">
        <f>E432*C432</f>
        <v>6516.666666666667</v>
      </c>
      <c r="G432" s="101"/>
      <c r="H432" s="97"/>
      <c r="I432" s="97"/>
      <c r="J432" s="62">
        <f>+G432*I432</f>
        <v>0</v>
      </c>
    </row>
    <row r="433" spans="1:11" ht="15.6" x14ac:dyDescent="0.3">
      <c r="A433" s="99"/>
      <c r="B433" s="95"/>
      <c r="C433" s="8" t="s">
        <v>126</v>
      </c>
      <c r="D433" s="97"/>
      <c r="E433" s="46"/>
      <c r="F433" s="8"/>
      <c r="G433" s="82">
        <f>SUM(F425:F432)</f>
        <v>22413.115119808088</v>
      </c>
      <c r="H433" s="83" t="s">
        <v>59</v>
      </c>
      <c r="I433" s="103">
        <f>+'[2]8. Losas y muros macizos'!F10</f>
        <v>25.456125</v>
      </c>
      <c r="J433" s="62">
        <f>+G433*I433</f>
        <v>570551.06012922467</v>
      </c>
    </row>
    <row r="434" spans="1:11" ht="15.6" x14ac:dyDescent="0.3">
      <c r="A434" s="99">
        <f>+A424+0.01</f>
        <v>9.0299999999999994</v>
      </c>
      <c r="B434" s="100" t="s">
        <v>207</v>
      </c>
      <c r="C434" s="8"/>
      <c r="D434" s="97"/>
      <c r="E434" s="46"/>
      <c r="F434" s="8"/>
      <c r="G434" s="101"/>
      <c r="H434" s="97"/>
      <c r="I434" s="97"/>
    </row>
    <row r="435" spans="1:11" x14ac:dyDescent="0.25">
      <c r="A435" s="99"/>
      <c r="B435" s="95" t="s">
        <v>197</v>
      </c>
      <c r="C435" s="53">
        <v>1</v>
      </c>
      <c r="D435" s="95" t="s">
        <v>54</v>
      </c>
      <c r="E435" s="54">
        <f>+'[1]Lista de precios MAY25'!$E$45</f>
        <v>9449.7350000000006</v>
      </c>
      <c r="F435" s="53">
        <f>ROUND((C435*E435),2)</f>
        <v>9449.74</v>
      </c>
      <c r="G435" s="101"/>
      <c r="H435" s="97"/>
      <c r="I435" s="97"/>
      <c r="K435" s="40"/>
    </row>
    <row r="436" spans="1:11" x14ac:dyDescent="0.25">
      <c r="A436" s="99"/>
      <c r="B436" s="95" t="s">
        <v>205</v>
      </c>
      <c r="C436" s="53">
        <f>+'[2]8. Losas y muros macizos'!G6</f>
        <v>1.5308020606059554</v>
      </c>
      <c r="D436" s="95" t="s">
        <v>147</v>
      </c>
      <c r="E436" s="54">
        <f>+'[1]Lista de precios MAY25'!$E$9</f>
        <v>3221.6681776971895</v>
      </c>
      <c r="F436" s="53">
        <f>ROUND((C436*E436),2)</f>
        <v>4931.74</v>
      </c>
      <c r="G436" s="101"/>
      <c r="H436" s="97"/>
      <c r="I436" s="97"/>
    </row>
    <row r="437" spans="1:11" x14ac:dyDescent="0.25">
      <c r="A437" s="99"/>
      <c r="B437" s="95" t="s">
        <v>206</v>
      </c>
      <c r="C437" s="53">
        <f>+'[2]8. Losas y muros macizos'!H9</f>
        <v>0</v>
      </c>
      <c r="D437" s="95" t="s">
        <v>147</v>
      </c>
      <c r="E437" s="54">
        <f>+'[1]Lista de precios MAY25'!$E$9</f>
        <v>3221.6681776971895</v>
      </c>
      <c r="F437" s="53">
        <f>ROUND((C437*E437),2)</f>
        <v>0</v>
      </c>
      <c r="G437" s="101"/>
      <c r="H437" s="97"/>
      <c r="I437" s="97"/>
      <c r="J437" s="40"/>
    </row>
    <row r="438" spans="1:11" x14ac:dyDescent="0.25">
      <c r="A438" s="99"/>
      <c r="B438" s="95" t="s">
        <v>148</v>
      </c>
      <c r="C438" s="53">
        <f>SUM(C436:C437)*2</f>
        <v>3.0616041212119107</v>
      </c>
      <c r="D438" s="95" t="s">
        <v>82</v>
      </c>
      <c r="E438" s="54">
        <f>+'[1]Lista de precios MAY25'!$E$15</f>
        <v>79.001000000000005</v>
      </c>
      <c r="F438" s="53">
        <f>E438*C438</f>
        <v>241.86978717986219</v>
      </c>
      <c r="G438" s="101"/>
      <c r="H438" s="97"/>
      <c r="I438" s="97"/>
    </row>
    <row r="439" spans="1:11" x14ac:dyDescent="0.25">
      <c r="A439" s="99"/>
      <c r="B439" s="95" t="s">
        <v>67</v>
      </c>
      <c r="C439" s="53">
        <v>10</v>
      </c>
      <c r="D439" s="95" t="s">
        <v>34</v>
      </c>
      <c r="E439" s="46">
        <f>SUM(F435:F438)</f>
        <v>14623.349787179861</v>
      </c>
      <c r="F439" s="53">
        <f>E439*C439/100</f>
        <v>1462.3349787179861</v>
      </c>
      <c r="G439" s="101"/>
      <c r="H439" s="97"/>
      <c r="I439" s="97"/>
    </row>
    <row r="440" spans="1:11" x14ac:dyDescent="0.25">
      <c r="A440" s="99"/>
      <c r="B440" s="95" t="s">
        <v>168</v>
      </c>
      <c r="C440" s="53">
        <f>1/0.12</f>
        <v>8.3333333333333339</v>
      </c>
      <c r="D440" s="95" t="s">
        <v>81</v>
      </c>
      <c r="E440" s="54">
        <f>+'[1]MO MAY25'!N96*1.05</f>
        <v>326.02500000000003</v>
      </c>
      <c r="F440" s="53">
        <f>E440*C440</f>
        <v>2716.8750000000005</v>
      </c>
      <c r="G440" s="101"/>
      <c r="H440" s="97"/>
      <c r="I440" s="97"/>
    </row>
    <row r="441" spans="1:11" x14ac:dyDescent="0.25">
      <c r="A441" s="99"/>
      <c r="B441" s="95" t="s">
        <v>151</v>
      </c>
      <c r="C441" s="8">
        <v>1</v>
      </c>
      <c r="D441" s="97" t="s">
        <v>54</v>
      </c>
      <c r="E441" s="46">
        <v>20</v>
      </c>
      <c r="F441" s="53">
        <f>E441*C441</f>
        <v>20</v>
      </c>
      <c r="G441" s="101"/>
      <c r="H441" s="97"/>
      <c r="I441" s="97"/>
    </row>
    <row r="442" spans="1:11" x14ac:dyDescent="0.25">
      <c r="A442" s="99"/>
      <c r="B442" s="95" t="s">
        <v>203</v>
      </c>
      <c r="C442" s="53">
        <f>+C440</f>
        <v>8.3333333333333339</v>
      </c>
      <c r="D442" s="95" t="s">
        <v>81</v>
      </c>
      <c r="E442" s="54">
        <f>+'[1]MO MAY25'!$N$508*1.05</f>
        <v>1388.625</v>
      </c>
      <c r="F442" s="53">
        <f>E442*C442</f>
        <v>11571.875</v>
      </c>
      <c r="G442" s="101"/>
      <c r="H442" s="97"/>
      <c r="I442" s="97"/>
    </row>
    <row r="443" spans="1:11" ht="15.6" x14ac:dyDescent="0.3">
      <c r="A443" s="99"/>
      <c r="B443" s="95"/>
      <c r="C443" s="8" t="s">
        <v>126</v>
      </c>
      <c r="D443" s="97"/>
      <c r="E443" s="46"/>
      <c r="F443" s="8"/>
      <c r="G443" s="82">
        <f>SUM(F435:F442)</f>
        <v>30394.434765897848</v>
      </c>
      <c r="H443" s="83" t="s">
        <v>59</v>
      </c>
      <c r="I443" s="103">
        <f>+'[2]8. Losas y muros macizos'!G10</f>
        <v>7.3412405400000003</v>
      </c>
      <c r="J443" s="62">
        <f>+G443*I443</f>
        <v>223132.85669379469</v>
      </c>
    </row>
    <row r="444" spans="1:11" ht="15.6" x14ac:dyDescent="0.3">
      <c r="A444" s="99">
        <f>+A434+0.01</f>
        <v>9.0399999999999991</v>
      </c>
      <c r="B444" s="100" t="s">
        <v>208</v>
      </c>
      <c r="C444" s="8"/>
      <c r="D444" s="97"/>
      <c r="E444" s="46"/>
      <c r="F444" s="8"/>
      <c r="G444" s="101"/>
      <c r="H444" s="97"/>
      <c r="I444" s="97"/>
    </row>
    <row r="445" spans="1:11" x14ac:dyDescent="0.25">
      <c r="A445" s="99"/>
      <c r="B445" s="95" t="s">
        <v>197</v>
      </c>
      <c r="C445" s="53">
        <v>1</v>
      </c>
      <c r="D445" s="95" t="s">
        <v>54</v>
      </c>
      <c r="E445" s="54">
        <f>+'[1]Lista de precios MAY25'!$E$45</f>
        <v>9449.7350000000006</v>
      </c>
      <c r="F445" s="53">
        <f>ROUND((C445*E445),2)</f>
        <v>9449.74</v>
      </c>
      <c r="G445" s="101"/>
      <c r="H445" s="97"/>
      <c r="I445" s="97"/>
      <c r="K445" s="40"/>
    </row>
    <row r="446" spans="1:11" x14ac:dyDescent="0.25">
      <c r="A446" s="99"/>
      <c r="B446" s="95" t="s">
        <v>205</v>
      </c>
      <c r="C446" s="53">
        <f>+'[2]8. Losas y muros macizos'!H6</f>
        <v>1.1632617562722853</v>
      </c>
      <c r="D446" s="95" t="s">
        <v>147</v>
      </c>
      <c r="E446" s="54">
        <f>+'[1]Lista de precios MAY25'!$E$9</f>
        <v>3221.6681776971895</v>
      </c>
      <c r="F446" s="53">
        <f>ROUND((C446*E446),2)</f>
        <v>3747.64</v>
      </c>
      <c r="G446" s="101"/>
      <c r="H446" s="97"/>
      <c r="I446" s="97"/>
    </row>
    <row r="447" spans="1:11" x14ac:dyDescent="0.25">
      <c r="A447" s="99"/>
      <c r="B447" s="95" t="s">
        <v>206</v>
      </c>
      <c r="C447" s="53">
        <f>+'[2]8. Losas y muros macizos'!L9</f>
        <v>0</v>
      </c>
      <c r="D447" s="95" t="s">
        <v>147</v>
      </c>
      <c r="E447" s="54">
        <f>+'[1]Lista de precios MAY25'!$E$9</f>
        <v>3221.6681776971895</v>
      </c>
      <c r="F447" s="53">
        <f>ROUND((C447*E447),2)</f>
        <v>0</v>
      </c>
      <c r="G447" s="101"/>
      <c r="H447" s="97"/>
      <c r="I447" s="97"/>
      <c r="J447" s="40"/>
    </row>
    <row r="448" spans="1:11" x14ac:dyDescent="0.25">
      <c r="A448" s="99"/>
      <c r="B448" s="95" t="s">
        <v>148</v>
      </c>
      <c r="C448" s="53">
        <f>SUM(C446:C447)*2</f>
        <v>2.3265235125445707</v>
      </c>
      <c r="D448" s="95" t="s">
        <v>82</v>
      </c>
      <c r="E448" s="54">
        <f>+'[1]Lista de precios MAY25'!$E$15</f>
        <v>79.001000000000005</v>
      </c>
      <c r="F448" s="53">
        <f>E448*C448</f>
        <v>183.79768401453364</v>
      </c>
      <c r="G448" s="101"/>
      <c r="H448" s="97"/>
      <c r="I448" s="97"/>
    </row>
    <row r="449" spans="1:11" x14ac:dyDescent="0.25">
      <c r="A449" s="99"/>
      <c r="B449" s="95" t="s">
        <v>67</v>
      </c>
      <c r="C449" s="53">
        <v>10</v>
      </c>
      <c r="D449" s="95" t="s">
        <v>34</v>
      </c>
      <c r="E449" s="46">
        <f>SUM(F445:F448)</f>
        <v>13381.177684014532</v>
      </c>
      <c r="F449" s="53">
        <f>E449*C449/100</f>
        <v>1338.1177684014533</v>
      </c>
      <c r="G449" s="101"/>
      <c r="H449" s="97"/>
      <c r="I449" s="97"/>
    </row>
    <row r="450" spans="1:11" x14ac:dyDescent="0.25">
      <c r="A450" s="99"/>
      <c r="B450" s="95" t="s">
        <v>168</v>
      </c>
      <c r="C450" s="53">
        <f>1/0.15</f>
        <v>6.666666666666667</v>
      </c>
      <c r="D450" s="95" t="s">
        <v>81</v>
      </c>
      <c r="E450" s="54">
        <f>+'[1]MO MAY25'!N96*1.05</f>
        <v>326.02500000000003</v>
      </c>
      <c r="F450" s="53">
        <f>E450*C450</f>
        <v>2173.5000000000005</v>
      </c>
      <c r="G450" s="101"/>
      <c r="H450" s="97"/>
      <c r="I450" s="97"/>
    </row>
    <row r="451" spans="1:11" x14ac:dyDescent="0.25">
      <c r="A451" s="99"/>
      <c r="B451" s="95" t="s">
        <v>151</v>
      </c>
      <c r="C451" s="8">
        <v>1</v>
      </c>
      <c r="D451" s="97" t="s">
        <v>54</v>
      </c>
      <c r="E451" s="46">
        <v>20</v>
      </c>
      <c r="F451" s="53">
        <f>E451*C451</f>
        <v>20</v>
      </c>
      <c r="G451" s="101"/>
      <c r="H451" s="97"/>
      <c r="I451" s="97"/>
    </row>
    <row r="452" spans="1:11" x14ac:dyDescent="0.25">
      <c r="A452" s="99"/>
      <c r="B452" s="95" t="s">
        <v>203</v>
      </c>
      <c r="C452" s="53">
        <f>+C450</f>
        <v>6.666666666666667</v>
      </c>
      <c r="D452" s="95" t="s">
        <v>81</v>
      </c>
      <c r="E452" s="54">
        <f>+E442</f>
        <v>1388.625</v>
      </c>
      <c r="F452" s="53">
        <f>E452*C452</f>
        <v>9257.5</v>
      </c>
      <c r="G452" s="101"/>
      <c r="H452" s="97"/>
      <c r="I452" s="97"/>
    </row>
    <row r="453" spans="1:11" ht="15.6" x14ac:dyDescent="0.3">
      <c r="A453" s="99"/>
      <c r="B453" s="95"/>
      <c r="C453" s="8" t="s">
        <v>126</v>
      </c>
      <c r="D453" s="97"/>
      <c r="E453" s="46"/>
      <c r="F453" s="8"/>
      <c r="G453" s="82">
        <f>SUM(F445:F452)</f>
        <v>26170.295452415987</v>
      </c>
      <c r="H453" s="83" t="s">
        <v>59</v>
      </c>
      <c r="I453" s="103">
        <f>+'[2]8. Losas y muros macizos'!H10</f>
        <v>13.15504155</v>
      </c>
      <c r="J453" s="62">
        <f>+G453*I453</f>
        <v>344271.32405230834</v>
      </c>
    </row>
    <row r="454" spans="1:11" x14ac:dyDescent="0.25">
      <c r="A454" s="90"/>
      <c r="B454" s="41"/>
      <c r="C454" s="8"/>
      <c r="E454" s="46"/>
      <c r="F454" s="8"/>
      <c r="G454" s="58"/>
      <c r="H454" s="41"/>
    </row>
    <row r="455" spans="1:11" ht="15.6" x14ac:dyDescent="0.3">
      <c r="A455" s="99">
        <f>+A434+0.01</f>
        <v>9.0399999999999991</v>
      </c>
      <c r="B455" s="104" t="s">
        <v>209</v>
      </c>
      <c r="C455" s="8"/>
      <c r="D455" s="97"/>
      <c r="E455" s="46"/>
      <c r="F455" s="8"/>
      <c r="G455" s="101"/>
      <c r="H455" s="97"/>
      <c r="I455" s="40">
        <f>+I453+I443+I433+I422</f>
        <v>52.007007090000002</v>
      </c>
      <c r="J455" s="40">
        <f>+J453+J443+J433+J422</f>
        <v>1294014.9688587047</v>
      </c>
    </row>
    <row r="456" spans="1:11" x14ac:dyDescent="0.25">
      <c r="A456" s="99"/>
      <c r="B456" s="95" t="s">
        <v>197</v>
      </c>
      <c r="C456" s="53">
        <v>1</v>
      </c>
      <c r="D456" s="95" t="s">
        <v>54</v>
      </c>
      <c r="E456" s="54">
        <f>+'[1]Lista de precios MAY25'!$E$45</f>
        <v>9449.7350000000006</v>
      </c>
      <c r="F456" s="53">
        <f>ROUND((C456*E456),2)</f>
        <v>9449.74</v>
      </c>
      <c r="G456" s="101"/>
      <c r="H456" s="97"/>
      <c r="I456" s="105">
        <f>+J455/I455</f>
        <v>24881.550415300098</v>
      </c>
      <c r="K456" s="40"/>
    </row>
    <row r="457" spans="1:11" x14ac:dyDescent="0.25">
      <c r="A457" s="99"/>
      <c r="B457" s="95" t="s">
        <v>205</v>
      </c>
      <c r="C457" s="53">
        <f>+'[2]8. Losas y muros macizos'!$J$6</f>
        <v>0</v>
      </c>
      <c r="D457" s="95" t="s">
        <v>147</v>
      </c>
      <c r="E457" s="54">
        <f>+'[1]Lista de precios MAY25'!$E$9</f>
        <v>3221.6681776971895</v>
      </c>
      <c r="F457" s="53">
        <f>ROUND((C457*E457),2)</f>
        <v>0</v>
      </c>
      <c r="G457" s="101"/>
      <c r="H457" s="97"/>
      <c r="I457" s="97"/>
    </row>
    <row r="458" spans="1:11" x14ac:dyDescent="0.25">
      <c r="A458" s="99"/>
      <c r="B458" s="95" t="s">
        <v>206</v>
      </c>
      <c r="C458" s="53"/>
      <c r="D458" s="95" t="s">
        <v>147</v>
      </c>
      <c r="E458" s="54">
        <f>+'[1]Lista de precios MAY25'!$E$9</f>
        <v>3221.6681776971895</v>
      </c>
      <c r="F458" s="53">
        <f>ROUND((C458*E458),2)</f>
        <v>0</v>
      </c>
      <c r="G458" s="101"/>
      <c r="H458" s="97"/>
      <c r="I458" s="97"/>
      <c r="J458" s="40"/>
    </row>
    <row r="459" spans="1:11" x14ac:dyDescent="0.25">
      <c r="A459" s="99"/>
      <c r="B459" s="95" t="s">
        <v>148</v>
      </c>
      <c r="C459" s="53">
        <f>SUM(C457:C458)*2</f>
        <v>0</v>
      </c>
      <c r="D459" s="95" t="s">
        <v>82</v>
      </c>
      <c r="E459" s="54">
        <f>+'[1]Lista de precios MAY25'!$E$15</f>
        <v>79.001000000000005</v>
      </c>
      <c r="F459" s="53">
        <f>E459*C459</f>
        <v>0</v>
      </c>
      <c r="G459" s="101"/>
      <c r="H459" s="97"/>
      <c r="I459" s="97"/>
    </row>
    <row r="460" spans="1:11" x14ac:dyDescent="0.25">
      <c r="A460" s="99"/>
      <c r="B460" s="95" t="s">
        <v>67</v>
      </c>
      <c r="C460" s="53">
        <v>10</v>
      </c>
      <c r="D460" s="95" t="s">
        <v>34</v>
      </c>
      <c r="E460" s="46">
        <f>SUM(F456:F459)</f>
        <v>9449.74</v>
      </c>
      <c r="F460" s="53">
        <f>E460*C460/100</f>
        <v>944.97399999999993</v>
      </c>
      <c r="G460" s="101"/>
      <c r="H460" s="97"/>
      <c r="I460" s="97"/>
    </row>
    <row r="461" spans="1:11" x14ac:dyDescent="0.25">
      <c r="A461" s="99"/>
      <c r="B461" s="95" t="s">
        <v>168</v>
      </c>
      <c r="C461" s="53">
        <f>1/0.15</f>
        <v>6.666666666666667</v>
      </c>
      <c r="D461" s="95" t="s">
        <v>81</v>
      </c>
      <c r="E461" s="54">
        <f>+'[1]MO MAY25'!$N$94*1.1</f>
        <v>297.27500000000003</v>
      </c>
      <c r="F461" s="53">
        <f>E461*C461</f>
        <v>1981.8333333333337</v>
      </c>
      <c r="G461" s="101"/>
      <c r="H461" s="97"/>
      <c r="I461" s="97"/>
    </row>
    <row r="462" spans="1:11" x14ac:dyDescent="0.25">
      <c r="A462" s="99"/>
      <c r="B462" s="95" t="s">
        <v>151</v>
      </c>
      <c r="C462" s="8">
        <v>1</v>
      </c>
      <c r="D462" s="97" t="s">
        <v>54</v>
      </c>
      <c r="E462" s="46">
        <v>20</v>
      </c>
      <c r="F462" s="53">
        <f>E462*C462</f>
        <v>20</v>
      </c>
      <c r="G462" s="101"/>
      <c r="H462" s="97"/>
      <c r="I462" s="97"/>
    </row>
    <row r="463" spans="1:11" x14ac:dyDescent="0.25">
      <c r="A463" s="99"/>
      <c r="B463" s="95" t="s">
        <v>203</v>
      </c>
      <c r="C463" s="53">
        <f>+C461</f>
        <v>6.666666666666667</v>
      </c>
      <c r="D463" s="95" t="s">
        <v>81</v>
      </c>
      <c r="E463" s="54">
        <f>+'[1]MO MAY25'!$N$509*1.1</f>
        <v>1581.2500000000002</v>
      </c>
      <c r="F463" s="53">
        <f>E463*C463</f>
        <v>10541.666666666668</v>
      </c>
      <c r="G463" s="101"/>
      <c r="H463" s="97"/>
      <c r="I463" s="97"/>
    </row>
    <row r="464" spans="1:11" ht="15.6" x14ac:dyDescent="0.3">
      <c r="A464" s="99"/>
      <c r="B464" s="95"/>
      <c r="C464" s="8" t="s">
        <v>126</v>
      </c>
      <c r="D464" s="97"/>
      <c r="E464" s="46"/>
      <c r="F464" s="8"/>
      <c r="G464" s="39">
        <f>SUM(F456:F463)</f>
        <v>22938.214</v>
      </c>
      <c r="H464" s="3" t="s">
        <v>59</v>
      </c>
      <c r="I464" s="97"/>
    </row>
    <row r="465" spans="1:11" ht="15.6" x14ac:dyDescent="0.3">
      <c r="A465" s="99">
        <f>+A444+0.01</f>
        <v>9.0499999999999989</v>
      </c>
      <c r="B465" s="104" t="s">
        <v>210</v>
      </c>
      <c r="C465" s="8"/>
      <c r="D465" s="97"/>
      <c r="E465" s="46"/>
      <c r="F465" s="8"/>
      <c r="G465" s="101"/>
      <c r="H465" s="97"/>
      <c r="I465" s="97"/>
    </row>
    <row r="466" spans="1:11" x14ac:dyDescent="0.25">
      <c r="A466" s="99"/>
      <c r="B466" s="95" t="s">
        <v>197</v>
      </c>
      <c r="C466" s="53">
        <v>1</v>
      </c>
      <c r="D466" s="95" t="s">
        <v>54</v>
      </c>
      <c r="E466" s="54">
        <f>+'[1]Lista de precios MAY25'!$E$45</f>
        <v>9449.7350000000006</v>
      </c>
      <c r="F466" s="53">
        <f>ROUND((C466*E466),2)</f>
        <v>9449.74</v>
      </c>
      <c r="G466" s="101"/>
      <c r="H466" s="97"/>
      <c r="I466" s="97"/>
      <c r="K466" s="40"/>
    </row>
    <row r="467" spans="1:11" x14ac:dyDescent="0.25">
      <c r="A467" s="99"/>
      <c r="B467" s="95" t="s">
        <v>205</v>
      </c>
      <c r="C467" s="53">
        <f>+'[2]8. Losas y muros macizos'!$I$6</f>
        <v>0</v>
      </c>
      <c r="D467" s="95" t="s">
        <v>147</v>
      </c>
      <c r="E467" s="54">
        <f>+'[1]Lista de precios MAY25'!$E$9</f>
        <v>3221.6681776971895</v>
      </c>
      <c r="F467" s="53">
        <f>ROUND((C467*E467),2)</f>
        <v>0</v>
      </c>
      <c r="G467" s="101"/>
      <c r="H467" s="97"/>
      <c r="I467" s="97"/>
    </row>
    <row r="468" spans="1:11" x14ac:dyDescent="0.25">
      <c r="A468" s="99"/>
      <c r="B468" s="95" t="s">
        <v>206</v>
      </c>
      <c r="C468" s="53"/>
      <c r="D468" s="95" t="s">
        <v>147</v>
      </c>
      <c r="E468" s="54">
        <f>+'[1]Lista de precios MAY25'!$E$9</f>
        <v>3221.6681776971895</v>
      </c>
      <c r="F468" s="53">
        <f>ROUND((C468*E468),2)</f>
        <v>0</v>
      </c>
      <c r="G468" s="101"/>
      <c r="H468" s="97"/>
      <c r="I468" s="97"/>
      <c r="J468" s="40"/>
    </row>
    <row r="469" spans="1:11" x14ac:dyDescent="0.25">
      <c r="A469" s="99"/>
      <c r="B469" s="95" t="s">
        <v>148</v>
      </c>
      <c r="C469" s="53">
        <f>SUM(C467:C468)*2</f>
        <v>0</v>
      </c>
      <c r="D469" s="95" t="s">
        <v>82</v>
      </c>
      <c r="E469" s="54">
        <f>+'[1]Lista de precios MAY25'!$E$15</f>
        <v>79.001000000000005</v>
      </c>
      <c r="F469" s="53">
        <f>E469*C469</f>
        <v>0</v>
      </c>
      <c r="G469" s="101"/>
      <c r="H469" s="97"/>
      <c r="I469" s="97"/>
    </row>
    <row r="470" spans="1:11" x14ac:dyDescent="0.25">
      <c r="A470" s="99"/>
      <c r="B470" s="95" t="s">
        <v>67</v>
      </c>
      <c r="C470" s="53">
        <v>10</v>
      </c>
      <c r="D470" s="95" t="s">
        <v>34</v>
      </c>
      <c r="E470" s="46">
        <f>SUM(F466:F469)</f>
        <v>9449.74</v>
      </c>
      <c r="F470" s="53">
        <f>E470*C470/100</f>
        <v>944.97399999999993</v>
      </c>
      <c r="G470" s="101"/>
      <c r="H470" s="97"/>
      <c r="I470" s="97"/>
    </row>
    <row r="471" spans="1:11" x14ac:dyDescent="0.25">
      <c r="A471" s="99"/>
      <c r="B471" s="95" t="s">
        <v>168</v>
      </c>
      <c r="C471" s="53">
        <f>1/0.13</f>
        <v>7.6923076923076916</v>
      </c>
      <c r="D471" s="95" t="s">
        <v>81</v>
      </c>
      <c r="E471" s="54">
        <f>+E461</f>
        <v>297.27500000000003</v>
      </c>
      <c r="F471" s="53">
        <f>E471*C471</f>
        <v>2286.7307692307695</v>
      </c>
      <c r="G471" s="101"/>
      <c r="H471" s="97"/>
      <c r="I471" s="97"/>
    </row>
    <row r="472" spans="1:11" x14ac:dyDescent="0.25">
      <c r="A472" s="99"/>
      <c r="B472" s="95" t="s">
        <v>151</v>
      </c>
      <c r="C472" s="8">
        <v>1</v>
      </c>
      <c r="D472" s="97" t="s">
        <v>54</v>
      </c>
      <c r="E472" s="46">
        <v>20</v>
      </c>
      <c r="F472" s="53">
        <f>E472*C472</f>
        <v>20</v>
      </c>
      <c r="G472" s="101"/>
      <c r="H472" s="97"/>
      <c r="I472" s="97"/>
    </row>
    <row r="473" spans="1:11" x14ac:dyDescent="0.25">
      <c r="A473" s="99"/>
      <c r="B473" s="95" t="s">
        <v>203</v>
      </c>
      <c r="C473" s="53">
        <f>+C471</f>
        <v>7.6923076923076916</v>
      </c>
      <c r="D473" s="95" t="s">
        <v>81</v>
      </c>
      <c r="E473" s="54">
        <f>+'[1]MO MAY25'!$N$509*1.1</f>
        <v>1581.2500000000002</v>
      </c>
      <c r="F473" s="53">
        <f>E473*C473</f>
        <v>12163.461538461539</v>
      </c>
      <c r="G473" s="101"/>
      <c r="H473" s="97"/>
      <c r="I473" s="97"/>
    </row>
    <row r="474" spans="1:11" ht="15.6" x14ac:dyDescent="0.3">
      <c r="A474" s="99"/>
      <c r="B474" s="95"/>
      <c r="C474" s="8" t="s">
        <v>126</v>
      </c>
      <c r="D474" s="97"/>
      <c r="E474" s="46"/>
      <c r="F474" s="8"/>
      <c r="G474" s="39">
        <f>SUM(F466:F473)</f>
        <v>24864.906307692308</v>
      </c>
      <c r="H474" s="3" t="s">
        <v>59</v>
      </c>
      <c r="I474" s="97"/>
    </row>
    <row r="475" spans="1:11" ht="15.6" x14ac:dyDescent="0.3">
      <c r="A475" s="99">
        <f>+A444+0.01</f>
        <v>9.0499999999999989</v>
      </c>
      <c r="B475" s="104" t="s">
        <v>211</v>
      </c>
      <c r="C475" s="8"/>
      <c r="D475" s="97"/>
      <c r="E475" s="46"/>
      <c r="F475" s="8"/>
      <c r="G475" s="101"/>
      <c r="H475" s="97"/>
      <c r="I475" s="97"/>
    </row>
    <row r="476" spans="1:11" x14ac:dyDescent="0.25">
      <c r="A476" s="99"/>
      <c r="B476" s="95" t="s">
        <v>197</v>
      </c>
      <c r="C476" s="53">
        <v>1</v>
      </c>
      <c r="D476" s="95" t="s">
        <v>54</v>
      </c>
      <c r="E476" s="54">
        <f>+'[1]Lista de precios MAY25'!$E$45</f>
        <v>9449.7350000000006</v>
      </c>
      <c r="F476" s="53">
        <f>ROUND((C476*E476),2)</f>
        <v>9449.74</v>
      </c>
      <c r="G476" s="101"/>
      <c r="H476" s="97"/>
      <c r="I476" s="97"/>
      <c r="K476" s="40"/>
    </row>
    <row r="477" spans="1:11" x14ac:dyDescent="0.25">
      <c r="A477" s="99"/>
      <c r="B477" s="95" t="s">
        <v>205</v>
      </c>
      <c r="C477" s="53" t="e">
        <f>+'[2]8. Losas y muros macizos'!#REF!</f>
        <v>#REF!</v>
      </c>
      <c r="D477" s="95" t="s">
        <v>147</v>
      </c>
      <c r="E477" s="54">
        <f>+'[1]Lista de precios MAY25'!$E$9</f>
        <v>3221.6681776971895</v>
      </c>
      <c r="F477" s="53" t="e">
        <f>ROUND((C477*E477),2)</f>
        <v>#REF!</v>
      </c>
      <c r="G477" s="101"/>
      <c r="H477" s="97"/>
      <c r="I477" s="97"/>
    </row>
    <row r="478" spans="1:11" x14ac:dyDescent="0.25">
      <c r="A478" s="99"/>
      <c r="B478" s="95" t="s">
        <v>206</v>
      </c>
      <c r="C478" s="53"/>
      <c r="D478" s="95" t="s">
        <v>147</v>
      </c>
      <c r="E478" s="54">
        <f>+'[1]Lista de precios MAY25'!$E$9</f>
        <v>3221.6681776971895</v>
      </c>
      <c r="F478" s="53">
        <f>ROUND((C478*E478),2)</f>
        <v>0</v>
      </c>
      <c r="G478" s="101"/>
      <c r="H478" s="97"/>
      <c r="I478" s="97"/>
      <c r="J478" s="40"/>
    </row>
    <row r="479" spans="1:11" x14ac:dyDescent="0.25">
      <c r="A479" s="99"/>
      <c r="B479" s="95" t="s">
        <v>148</v>
      </c>
      <c r="C479" s="53" t="e">
        <f>SUM(C477:C478)*2</f>
        <v>#REF!</v>
      </c>
      <c r="D479" s="95" t="s">
        <v>82</v>
      </c>
      <c r="E479" s="54">
        <f>+'[1]Lista de precios MAY25'!$E$15</f>
        <v>79.001000000000005</v>
      </c>
      <c r="F479" s="53" t="e">
        <f>E479*C479</f>
        <v>#REF!</v>
      </c>
      <c r="G479" s="101"/>
      <c r="H479" s="97"/>
      <c r="I479" s="97"/>
    </row>
    <row r="480" spans="1:11" x14ac:dyDescent="0.25">
      <c r="A480" s="99"/>
      <c r="B480" s="95" t="s">
        <v>67</v>
      </c>
      <c r="C480" s="53">
        <v>10</v>
      </c>
      <c r="D480" s="95" t="s">
        <v>34</v>
      </c>
      <c r="E480" s="46" t="e">
        <f>SUM(F476:F479)</f>
        <v>#REF!</v>
      </c>
      <c r="F480" s="53" t="e">
        <f>E480*C480/100</f>
        <v>#REF!</v>
      </c>
      <c r="G480" s="101"/>
      <c r="H480" s="97"/>
      <c r="I480" s="97"/>
    </row>
    <row r="481" spans="1:10" x14ac:dyDescent="0.25">
      <c r="A481" s="99"/>
      <c r="B481" s="95" t="s">
        <v>168</v>
      </c>
      <c r="C481" s="53">
        <f>1/0.15</f>
        <v>6.666666666666667</v>
      </c>
      <c r="D481" s="95" t="s">
        <v>81</v>
      </c>
      <c r="E481" s="54">
        <f>+E471</f>
        <v>297.27500000000003</v>
      </c>
      <c r="F481" s="53">
        <f>E481*C481</f>
        <v>1981.8333333333337</v>
      </c>
      <c r="G481" s="101"/>
      <c r="H481" s="97"/>
      <c r="I481" s="97"/>
    </row>
    <row r="482" spans="1:10" x14ac:dyDescent="0.25">
      <c r="A482" s="99"/>
      <c r="B482" s="95" t="s">
        <v>151</v>
      </c>
      <c r="C482" s="8">
        <v>1</v>
      </c>
      <c r="D482" s="97" t="s">
        <v>54</v>
      </c>
      <c r="E482" s="46">
        <v>20</v>
      </c>
      <c r="F482" s="53">
        <f>E482*C482</f>
        <v>20</v>
      </c>
      <c r="G482" s="101"/>
      <c r="H482" s="97"/>
      <c r="I482" s="97"/>
    </row>
    <row r="483" spans="1:10" x14ac:dyDescent="0.25">
      <c r="A483" s="99"/>
      <c r="B483" s="95" t="s">
        <v>203</v>
      </c>
      <c r="C483" s="53">
        <f>+C481</f>
        <v>6.666666666666667</v>
      </c>
      <c r="D483" s="95" t="s">
        <v>81</v>
      </c>
      <c r="E483" s="54">
        <f>+'[1]MO MAY25'!$N$509*1.1</f>
        <v>1581.2500000000002</v>
      </c>
      <c r="F483" s="53">
        <f>E483*C483</f>
        <v>10541.666666666668</v>
      </c>
      <c r="G483" s="101"/>
      <c r="H483" s="97"/>
      <c r="I483" s="97"/>
    </row>
    <row r="484" spans="1:10" ht="15.6" x14ac:dyDescent="0.3">
      <c r="A484" s="99"/>
      <c r="B484" s="95"/>
      <c r="C484" s="8" t="s">
        <v>126</v>
      </c>
      <c r="D484" s="97"/>
      <c r="E484" s="46"/>
      <c r="F484" s="8"/>
      <c r="G484" s="59" t="e">
        <f>SUM(F476:F483)</f>
        <v>#REF!</v>
      </c>
      <c r="H484" s="3" t="s">
        <v>59</v>
      </c>
      <c r="I484" s="97"/>
    </row>
    <row r="485" spans="1:10" x14ac:dyDescent="0.25">
      <c r="A485" s="90"/>
      <c r="B485" s="41"/>
      <c r="C485" s="8"/>
      <c r="E485" s="46"/>
      <c r="F485" s="8"/>
      <c r="G485" s="58"/>
      <c r="H485" s="41"/>
    </row>
    <row r="486" spans="1:10" ht="15.6" x14ac:dyDescent="0.3">
      <c r="A486" s="99">
        <f>+A455+0.01</f>
        <v>9.0499999999999989</v>
      </c>
      <c r="B486" s="3" t="s">
        <v>212</v>
      </c>
      <c r="C486" s="106"/>
      <c r="E486" s="46"/>
      <c r="F486" s="106"/>
      <c r="G486" s="58"/>
      <c r="J486" s="40"/>
    </row>
    <row r="487" spans="1:10" x14ac:dyDescent="0.25">
      <c r="A487" s="90"/>
      <c r="B487" s="95" t="s">
        <v>197</v>
      </c>
      <c r="C487" s="53">
        <f>+'[2]9. Losas aligeradas'!E27</f>
        <v>0</v>
      </c>
      <c r="D487" s="41" t="s">
        <v>54</v>
      </c>
      <c r="E487" s="54">
        <f>+'[1]Lista de precios MAY25'!$E$45</f>
        <v>9449.7350000000006</v>
      </c>
      <c r="F487" s="53">
        <f>E487*C487</f>
        <v>0</v>
      </c>
      <c r="G487" s="58"/>
    </row>
    <row r="488" spans="1:10" x14ac:dyDescent="0.25">
      <c r="A488" s="90"/>
      <c r="B488" s="41" t="s">
        <v>206</v>
      </c>
      <c r="C488" s="53" t="e">
        <f>+'[2]9. Losas aligeradas'!E9+'[2]9. Losas aligeradas'!E18</f>
        <v>#DIV/0!</v>
      </c>
      <c r="D488" s="41" t="s">
        <v>147</v>
      </c>
      <c r="E488" s="54">
        <f>+'[1]Lista de precios MAY25'!$E$9</f>
        <v>3221.6681776971895</v>
      </c>
      <c r="F488" s="53" t="e">
        <f t="shared" ref="F488:F494" si="12">E488*C488</f>
        <v>#DIV/0!</v>
      </c>
      <c r="G488" s="58"/>
      <c r="J488" s="40"/>
    </row>
    <row r="489" spans="1:10" x14ac:dyDescent="0.25">
      <c r="A489" s="90"/>
      <c r="B489" s="41" t="s">
        <v>205</v>
      </c>
      <c r="C489" s="53" t="e">
        <f>+'[2]9. Losas aligeradas'!E7+'[2]9. Losas aligeradas'!E17</f>
        <v>#DIV/0!</v>
      </c>
      <c r="D489" s="41" t="s">
        <v>147</v>
      </c>
      <c r="E489" s="54">
        <f>+'[1]Lista de precios MAY25'!$E$9</f>
        <v>3221.6681776971895</v>
      </c>
      <c r="F489" s="53" t="e">
        <f t="shared" si="12"/>
        <v>#DIV/0!</v>
      </c>
      <c r="G489" s="58"/>
      <c r="J489" s="40"/>
    </row>
    <row r="490" spans="1:10" x14ac:dyDescent="0.25">
      <c r="A490" s="90"/>
      <c r="B490" s="41" t="s">
        <v>213</v>
      </c>
      <c r="C490" s="53"/>
      <c r="D490" s="41" t="s">
        <v>147</v>
      </c>
      <c r="E490" s="54">
        <f>+'[1]Lista de precios MAY25'!$E$9</f>
        <v>3221.6681776971895</v>
      </c>
      <c r="F490" s="53">
        <f t="shared" si="12"/>
        <v>0</v>
      </c>
      <c r="G490" s="58"/>
      <c r="I490" s="2">
        <f>87/5/10</f>
        <v>1.7399999999999998</v>
      </c>
    </row>
    <row r="491" spans="1:10" x14ac:dyDescent="0.25">
      <c r="A491" s="90"/>
      <c r="B491" s="41" t="s">
        <v>214</v>
      </c>
      <c r="C491" s="53">
        <f>+'[2]9. Losas aligeradas'!E22</f>
        <v>0</v>
      </c>
      <c r="D491" s="41" t="s">
        <v>147</v>
      </c>
      <c r="E491" s="54">
        <f>+'[1]Lista de precios MAY25'!$E$9</f>
        <v>3221.6681776971895</v>
      </c>
      <c r="F491" s="53">
        <f t="shared" si="12"/>
        <v>0</v>
      </c>
      <c r="G491" s="58"/>
    </row>
    <row r="492" spans="1:10" x14ac:dyDescent="0.25">
      <c r="A492" s="90"/>
      <c r="B492" s="41" t="s">
        <v>148</v>
      </c>
      <c r="C492" s="53" t="e">
        <f>SUM(C488:C491)*2</f>
        <v>#DIV/0!</v>
      </c>
      <c r="D492" s="41" t="s">
        <v>82</v>
      </c>
      <c r="E492" s="54">
        <f>+'[1]Lista de precios MAY25'!$E$15</f>
        <v>79.001000000000005</v>
      </c>
      <c r="F492" s="53" t="e">
        <f t="shared" si="12"/>
        <v>#DIV/0!</v>
      </c>
      <c r="G492" s="58"/>
    </row>
    <row r="493" spans="1:10" x14ac:dyDescent="0.25">
      <c r="A493" s="90"/>
      <c r="B493" s="41" t="s">
        <v>215</v>
      </c>
      <c r="C493" s="53">
        <f>+'[2]9. Losas aligeradas'!E26</f>
        <v>0</v>
      </c>
      <c r="D493" s="41" t="s">
        <v>81</v>
      </c>
      <c r="E493" s="54">
        <f>+'[1]Lista de precios MAY25'!$G$12</f>
        <v>297.25341649999996</v>
      </c>
      <c r="F493" s="53">
        <f t="shared" si="12"/>
        <v>0</v>
      </c>
      <c r="G493" s="58"/>
    </row>
    <row r="494" spans="1:10" x14ac:dyDescent="0.25">
      <c r="A494" s="90"/>
      <c r="B494" s="41" t="s">
        <v>216</v>
      </c>
      <c r="C494" s="8">
        <f>+'[2]9. Losas aligeradas'!E13</f>
        <v>0</v>
      </c>
      <c r="D494" s="41" t="s">
        <v>217</v>
      </c>
      <c r="E494" s="46">
        <f>(2.57*1.18*57*1.2+50)*1.1</f>
        <v>283.17282400000005</v>
      </c>
      <c r="F494" s="53">
        <f t="shared" si="12"/>
        <v>0</v>
      </c>
      <c r="G494" s="58"/>
    </row>
    <row r="495" spans="1:10" x14ac:dyDescent="0.25">
      <c r="A495" s="90"/>
      <c r="B495" s="41" t="s">
        <v>67</v>
      </c>
      <c r="C495" s="53">
        <v>8</v>
      </c>
      <c r="D495" s="41" t="s">
        <v>34</v>
      </c>
      <c r="E495" s="54" t="e">
        <f>SUM(F487:F494)</f>
        <v>#DIV/0!</v>
      </c>
      <c r="F495" s="53" t="e">
        <f>E495*C495/100</f>
        <v>#DIV/0!</v>
      </c>
      <c r="G495" s="40"/>
    </row>
    <row r="496" spans="1:10" x14ac:dyDescent="0.25">
      <c r="A496" s="90"/>
      <c r="B496" s="41" t="s">
        <v>218</v>
      </c>
      <c r="C496" s="53">
        <f>+'[2]9. Losas aligeradas'!E6</f>
        <v>0</v>
      </c>
      <c r="D496" s="41" t="s">
        <v>150</v>
      </c>
      <c r="E496" s="54">
        <f>+'[1]MO MAY25'!$N$90</f>
        <v>143.75</v>
      </c>
      <c r="F496" s="53">
        <f t="shared" ref="F496:F501" si="13">E496*C496</f>
        <v>0</v>
      </c>
      <c r="G496" s="58"/>
    </row>
    <row r="497" spans="1:10" x14ac:dyDescent="0.25">
      <c r="A497" s="90"/>
      <c r="B497" s="41" t="s">
        <v>219</v>
      </c>
      <c r="C497" s="53">
        <f>+C493</f>
        <v>0</v>
      </c>
      <c r="D497" s="41" t="s">
        <v>81</v>
      </c>
      <c r="E497" s="54">
        <f>+'[1]MO MAY25'!$N$97*1.1</f>
        <v>63.250000000000007</v>
      </c>
      <c r="F497" s="53">
        <f t="shared" si="13"/>
        <v>0</v>
      </c>
      <c r="G497" s="58"/>
    </row>
    <row r="498" spans="1:10" x14ac:dyDescent="0.25">
      <c r="A498" s="90"/>
      <c r="B498" s="41" t="s">
        <v>220</v>
      </c>
      <c r="C498" s="53">
        <f>+C494</f>
        <v>0</v>
      </c>
      <c r="D498" s="41" t="s">
        <v>217</v>
      </c>
      <c r="E498" s="54">
        <f>+'[1]MO MAY25'!$N$99</f>
        <v>80.5</v>
      </c>
      <c r="F498" s="53">
        <f t="shared" si="13"/>
        <v>0</v>
      </c>
      <c r="G498" s="58"/>
    </row>
    <row r="499" spans="1:10" x14ac:dyDescent="0.25">
      <c r="A499" s="90"/>
      <c r="B499" s="41" t="s">
        <v>151</v>
      </c>
      <c r="C499" s="53">
        <f>+C487</f>
        <v>0</v>
      </c>
      <c r="D499" s="2" t="s">
        <v>54</v>
      </c>
      <c r="E499" s="54">
        <f>20*1.2</f>
        <v>24</v>
      </c>
      <c r="F499" s="53">
        <f>E499*C499</f>
        <v>0</v>
      </c>
      <c r="G499" s="58"/>
      <c r="J499" s="40"/>
    </row>
    <row r="500" spans="1:10" x14ac:dyDescent="0.25">
      <c r="A500" s="90"/>
      <c r="B500" s="41" t="s">
        <v>221</v>
      </c>
      <c r="C500" s="53">
        <f>C501</f>
        <v>0</v>
      </c>
      <c r="D500" s="2" t="s">
        <v>81</v>
      </c>
      <c r="E500" s="46">
        <f>+'[1]Lista de precios MAY25'!$E$13+'[1]MO MAY25'!$N$98</f>
        <v>241.5</v>
      </c>
      <c r="F500" s="53">
        <f t="shared" si="13"/>
        <v>0</v>
      </c>
      <c r="G500" s="58"/>
      <c r="J500" s="40"/>
    </row>
    <row r="501" spans="1:10" x14ac:dyDescent="0.25">
      <c r="A501" s="90"/>
      <c r="B501" s="41" t="s">
        <v>222</v>
      </c>
      <c r="C501" s="8">
        <f>C493</f>
        <v>0</v>
      </c>
      <c r="D501" s="41" t="s">
        <v>81</v>
      </c>
      <c r="E501" s="54">
        <f>+'[1]MO MAY25'!$N$506*1.25</f>
        <v>1221.875</v>
      </c>
      <c r="F501" s="53">
        <f t="shared" si="13"/>
        <v>0</v>
      </c>
      <c r="G501" s="58"/>
    </row>
    <row r="502" spans="1:10" ht="15.6" x14ac:dyDescent="0.3">
      <c r="A502" s="90"/>
      <c r="B502" s="41"/>
      <c r="C502" s="106"/>
      <c r="E502" s="46"/>
      <c r="F502" s="106"/>
      <c r="G502" s="59" t="e">
        <f>SUM(F487:F501)/C501</f>
        <v>#DIV/0!</v>
      </c>
      <c r="H502" s="3" t="s">
        <v>141</v>
      </c>
    </row>
    <row r="503" spans="1:10" ht="15.6" x14ac:dyDescent="0.3">
      <c r="A503" s="90"/>
      <c r="B503" s="41"/>
      <c r="C503" s="8"/>
      <c r="E503" s="46"/>
      <c r="F503" s="8"/>
      <c r="G503" s="59" t="e">
        <f>SUM(F487:F501)/C487</f>
        <v>#DIV/0!</v>
      </c>
      <c r="H503" s="3" t="s">
        <v>59</v>
      </c>
    </row>
    <row r="504" spans="1:10" ht="15.6" x14ac:dyDescent="0.3">
      <c r="A504" s="90">
        <f>+A486+0.01</f>
        <v>9.0599999999999987</v>
      </c>
      <c r="B504" s="3" t="s">
        <v>223</v>
      </c>
      <c r="C504" s="106"/>
      <c r="E504" s="46"/>
      <c r="F504" s="106"/>
      <c r="G504" s="58"/>
      <c r="J504" s="40"/>
    </row>
    <row r="505" spans="1:10" x14ac:dyDescent="0.25">
      <c r="A505" s="90"/>
      <c r="B505" s="95" t="s">
        <v>197</v>
      </c>
      <c r="C505" s="53"/>
      <c r="D505" s="41" t="s">
        <v>54</v>
      </c>
      <c r="E505" s="54">
        <f>+'[1]Lista de precios MAY25'!$E$45</f>
        <v>9449.7350000000006</v>
      </c>
      <c r="F505" s="53">
        <f t="shared" ref="F505:F512" si="14">E505*C505</f>
        <v>0</v>
      </c>
      <c r="G505" s="58"/>
    </row>
    <row r="506" spans="1:10" x14ac:dyDescent="0.25">
      <c r="A506" s="90"/>
      <c r="B506" s="41" t="s">
        <v>206</v>
      </c>
      <c r="C506" s="53"/>
      <c r="D506" s="41" t="s">
        <v>147</v>
      </c>
      <c r="E506" s="54">
        <f>+'[1]Lista de precios MAY25'!$E$9</f>
        <v>3221.6681776971895</v>
      </c>
      <c r="F506" s="53">
        <f t="shared" si="14"/>
        <v>0</v>
      </c>
      <c r="G506" s="58"/>
      <c r="J506" s="40"/>
    </row>
    <row r="507" spans="1:10" x14ac:dyDescent="0.25">
      <c r="A507" s="90"/>
      <c r="B507" s="41" t="s">
        <v>205</v>
      </c>
      <c r="C507" s="53"/>
      <c r="D507" s="41" t="s">
        <v>147</v>
      </c>
      <c r="E507" s="54">
        <f>+'[1]Lista de precios MAY25'!$E$9</f>
        <v>3221.6681776971895</v>
      </c>
      <c r="F507" s="53">
        <f t="shared" si="14"/>
        <v>0</v>
      </c>
      <c r="G507" s="58"/>
      <c r="J507" s="40"/>
    </row>
    <row r="508" spans="1:10" x14ac:dyDescent="0.25">
      <c r="A508" s="90"/>
      <c r="B508" s="41" t="s">
        <v>213</v>
      </c>
      <c r="C508" s="53"/>
      <c r="D508" s="41" t="s">
        <v>147</v>
      </c>
      <c r="E508" s="54">
        <f>+'[1]Lista de precios MAY25'!$E$9</f>
        <v>3221.6681776971895</v>
      </c>
      <c r="F508" s="53">
        <f t="shared" si="14"/>
        <v>0</v>
      </c>
      <c r="G508" s="58"/>
    </row>
    <row r="509" spans="1:10" x14ac:dyDescent="0.25">
      <c r="A509" s="90"/>
      <c r="B509" s="41" t="s">
        <v>214</v>
      </c>
      <c r="C509" s="53"/>
      <c r="D509" s="41" t="s">
        <v>147</v>
      </c>
      <c r="E509" s="54">
        <f>+'[1]Lista de precios MAY25'!$E$9</f>
        <v>3221.6681776971895</v>
      </c>
      <c r="F509" s="53">
        <f t="shared" si="14"/>
        <v>0</v>
      </c>
      <c r="G509" s="58"/>
    </row>
    <row r="510" spans="1:10" x14ac:dyDescent="0.25">
      <c r="A510" s="90"/>
      <c r="B510" s="41" t="s">
        <v>148</v>
      </c>
      <c r="C510" s="53"/>
      <c r="D510" s="41" t="s">
        <v>82</v>
      </c>
      <c r="E510" s="54">
        <f>+'[1]Lista de precios MAY25'!$E$15</f>
        <v>79.001000000000005</v>
      </c>
      <c r="F510" s="53">
        <f t="shared" si="14"/>
        <v>0</v>
      </c>
      <c r="G510" s="58"/>
    </row>
    <row r="511" spans="1:10" x14ac:dyDescent="0.25">
      <c r="A511" s="90"/>
      <c r="B511" s="41" t="s">
        <v>224</v>
      </c>
      <c r="C511" s="53"/>
      <c r="D511" s="41" t="s">
        <v>81</v>
      </c>
      <c r="E511" s="54">
        <f>+'[1]Lista de precios MAY25'!$G$12</f>
        <v>297.25341649999996</v>
      </c>
      <c r="F511" s="53">
        <f t="shared" si="14"/>
        <v>0</v>
      </c>
      <c r="G511" s="58"/>
    </row>
    <row r="512" spans="1:10" x14ac:dyDescent="0.25">
      <c r="A512" s="90"/>
      <c r="B512" s="41" t="s">
        <v>216</v>
      </c>
      <c r="C512" s="8"/>
      <c r="D512" s="41" t="s">
        <v>217</v>
      </c>
      <c r="E512" s="46">
        <f>(2.57*1.18*57*1.2+50)*1.1</f>
        <v>283.17282400000005</v>
      </c>
      <c r="F512" s="53">
        <f t="shared" si="14"/>
        <v>0</v>
      </c>
      <c r="G512" s="58"/>
    </row>
    <row r="513" spans="1:10" x14ac:dyDescent="0.25">
      <c r="A513" s="90"/>
      <c r="B513" s="41" t="s">
        <v>67</v>
      </c>
      <c r="C513" s="53"/>
      <c r="D513" s="41" t="s">
        <v>34</v>
      </c>
      <c r="E513" s="54">
        <f>SUM(F505:F512)</f>
        <v>0</v>
      </c>
      <c r="F513" s="53">
        <f>E513*C513/100</f>
        <v>0</v>
      </c>
      <c r="G513" s="40"/>
    </row>
    <row r="514" spans="1:10" x14ac:dyDescent="0.25">
      <c r="A514" s="90"/>
      <c r="B514" s="41" t="s">
        <v>218</v>
      </c>
      <c r="C514" s="53"/>
      <c r="D514" s="41" t="s">
        <v>150</v>
      </c>
      <c r="E514" s="54">
        <f>+'[1]MO MAY25'!N94</f>
        <v>270.25</v>
      </c>
      <c r="F514" s="53">
        <f t="shared" ref="F514:F519" si="15">E514*C514</f>
        <v>0</v>
      </c>
      <c r="G514" s="58"/>
    </row>
    <row r="515" spans="1:10" x14ac:dyDescent="0.25">
      <c r="A515" s="90"/>
      <c r="B515" s="41" t="s">
        <v>219</v>
      </c>
      <c r="C515" s="53"/>
      <c r="D515" s="41" t="s">
        <v>81</v>
      </c>
      <c r="E515" s="54">
        <f>+'[1]MO MAY25'!$N$97</f>
        <v>57.5</v>
      </c>
      <c r="F515" s="53">
        <f t="shared" si="15"/>
        <v>0</v>
      </c>
      <c r="G515" s="58"/>
    </row>
    <row r="516" spans="1:10" x14ac:dyDescent="0.25">
      <c r="A516" s="90"/>
      <c r="B516" s="41" t="s">
        <v>220</v>
      </c>
      <c r="C516" s="53"/>
      <c r="D516" s="41" t="s">
        <v>217</v>
      </c>
      <c r="E516" s="54">
        <f>+'[1]MO MAY25'!$N$99</f>
        <v>80.5</v>
      </c>
      <c r="F516" s="53">
        <f t="shared" si="15"/>
        <v>0</v>
      </c>
      <c r="G516" s="58"/>
    </row>
    <row r="517" spans="1:10" x14ac:dyDescent="0.25">
      <c r="A517" s="90"/>
      <c r="B517" s="41" t="s">
        <v>151</v>
      </c>
      <c r="C517" s="53"/>
      <c r="D517" s="2" t="s">
        <v>54</v>
      </c>
      <c r="E517" s="54">
        <f>20*1.2</f>
        <v>24</v>
      </c>
      <c r="F517" s="53">
        <f t="shared" si="15"/>
        <v>0</v>
      </c>
      <c r="G517" s="58"/>
      <c r="J517" s="40"/>
    </row>
    <row r="518" spans="1:10" x14ac:dyDescent="0.25">
      <c r="A518" s="90"/>
      <c r="B518" s="41" t="s">
        <v>221</v>
      </c>
      <c r="C518" s="53"/>
      <c r="D518" s="2" t="s">
        <v>81</v>
      </c>
      <c r="E518" s="46">
        <f>+'[1]Lista de precios MAY25'!$E$13+'[1]MO MAY25'!$N$98</f>
        <v>241.5</v>
      </c>
      <c r="F518" s="53">
        <f t="shared" si="15"/>
        <v>0</v>
      </c>
      <c r="G518" s="58"/>
      <c r="J518" s="40"/>
    </row>
    <row r="519" spans="1:10" x14ac:dyDescent="0.25">
      <c r="A519" s="90"/>
      <c r="B519" s="41" t="s">
        <v>222</v>
      </c>
      <c r="C519" s="8"/>
      <c r="D519" s="41" t="s">
        <v>81</v>
      </c>
      <c r="E519" s="54">
        <f>+'[1]MO MAY25'!$N$506*1.25</f>
        <v>1221.875</v>
      </c>
      <c r="F519" s="53">
        <f t="shared" si="15"/>
        <v>0</v>
      </c>
      <c r="G519" s="58"/>
    </row>
    <row r="520" spans="1:10" ht="15.6" x14ac:dyDescent="0.3">
      <c r="A520" s="90"/>
      <c r="B520" s="41"/>
      <c r="C520" s="106"/>
      <c r="E520" s="46"/>
      <c r="F520" s="106"/>
      <c r="G520" s="59" t="e">
        <f>SUM(F505:F519)/C519</f>
        <v>#DIV/0!</v>
      </c>
      <c r="H520" s="3" t="s">
        <v>141</v>
      </c>
    </row>
    <row r="521" spans="1:10" ht="15.6" x14ac:dyDescent="0.3">
      <c r="A521" s="90"/>
      <c r="B521" s="41"/>
      <c r="C521" s="8"/>
      <c r="E521" s="46"/>
      <c r="F521" s="8"/>
      <c r="G521" s="59" t="e">
        <f>SUM(F505:F519)/C505</f>
        <v>#DIV/0!</v>
      </c>
      <c r="H521" s="3" t="s">
        <v>59</v>
      </c>
    </row>
    <row r="522" spans="1:10" x14ac:dyDescent="0.25">
      <c r="A522" s="90"/>
      <c r="B522" s="41"/>
      <c r="C522" s="8"/>
      <c r="E522" s="46"/>
      <c r="F522" s="8"/>
      <c r="G522" s="58"/>
      <c r="H522" s="41"/>
      <c r="J522" s="40"/>
    </row>
    <row r="523" spans="1:10" ht="15.6" x14ac:dyDescent="0.3">
      <c r="A523" s="90">
        <f>+A504+0.01</f>
        <v>9.0699999999999985</v>
      </c>
      <c r="B523" s="83" t="s">
        <v>225</v>
      </c>
      <c r="C523" s="68">
        <v>274.62</v>
      </c>
      <c r="D523" s="107" t="s">
        <v>81</v>
      </c>
      <c r="E523" s="46"/>
      <c r="F523" s="106"/>
      <c r="G523" s="58"/>
      <c r="J523" s="40"/>
    </row>
    <row r="524" spans="1:10" x14ac:dyDescent="0.25">
      <c r="A524" s="90"/>
      <c r="B524" s="95" t="s">
        <v>197</v>
      </c>
      <c r="C524" s="108">
        <f>+'[2]9. Losas aligeradas'!$G$27</f>
        <v>43.064325410000002</v>
      </c>
      <c r="D524" s="41" t="s">
        <v>54</v>
      </c>
      <c r="E524" s="54">
        <f>+'[1]Lista de precios MAY25'!$E$45</f>
        <v>9449.7350000000006</v>
      </c>
      <c r="F524" s="53">
        <f t="shared" ref="F524:F531" si="16">E524*C524</f>
        <v>406946.46307826642</v>
      </c>
      <c r="G524" s="58"/>
    </row>
    <row r="525" spans="1:10" x14ac:dyDescent="0.25">
      <c r="A525" s="90"/>
      <c r="B525" s="41" t="s">
        <v>206</v>
      </c>
      <c r="C525" s="53">
        <f>+'[2]9. Losas aligeradas'!G9+'[2]9. Losas aligeradas'!$G$18</f>
        <v>0</v>
      </c>
      <c r="D525" s="41" t="s">
        <v>147</v>
      </c>
      <c r="E525" s="54">
        <f>+'[1]Lista de precios MAY25'!$E$9</f>
        <v>3221.6681776971895</v>
      </c>
      <c r="F525" s="53">
        <f t="shared" si="16"/>
        <v>0</v>
      </c>
      <c r="G525" s="58"/>
      <c r="J525" s="40"/>
    </row>
    <row r="526" spans="1:10" x14ac:dyDescent="0.25">
      <c r="A526" s="90"/>
      <c r="B526" s="41" t="s">
        <v>205</v>
      </c>
      <c r="C526" s="53">
        <f>+'[2]9. Losas aligeradas'!G7+'[2]9. Losas aligeradas'!G8+'[2]9. Losas aligeradas'!G17</f>
        <v>52.645314946196223</v>
      </c>
      <c r="D526" s="41" t="s">
        <v>147</v>
      </c>
      <c r="E526" s="54">
        <f>+'[1]Lista de precios MAY25'!$E$9</f>
        <v>3221.6681776971895</v>
      </c>
      <c r="F526" s="53">
        <f t="shared" si="16"/>
        <v>169605.73586700659</v>
      </c>
      <c r="G526" s="58"/>
      <c r="J526" s="40"/>
    </row>
    <row r="527" spans="1:10" x14ac:dyDescent="0.25">
      <c r="A527" s="90"/>
      <c r="B527" s="41" t="s">
        <v>213</v>
      </c>
      <c r="C527" s="53"/>
      <c r="D527" s="41" t="s">
        <v>147</v>
      </c>
      <c r="E527" s="54">
        <f>+'[1]Lista de precios MAY25'!$E$9</f>
        <v>3221.6681776971895</v>
      </c>
      <c r="F527" s="53">
        <f t="shared" si="16"/>
        <v>0</v>
      </c>
      <c r="G527" s="58"/>
    </row>
    <row r="528" spans="1:10" x14ac:dyDescent="0.25">
      <c r="A528" s="90"/>
      <c r="B528" s="41" t="s">
        <v>214</v>
      </c>
      <c r="C528" s="53">
        <f>+'[2]9. Losas aligeradas'!G22</f>
        <v>1.6981172654959056</v>
      </c>
      <c r="D528" s="41" t="s">
        <v>147</v>
      </c>
      <c r="E528" s="54">
        <f>+'[1]Lista de precios MAY25'!$E$9</f>
        <v>3221.6681776971895</v>
      </c>
      <c r="F528" s="53">
        <f t="shared" si="16"/>
        <v>5470.7703562463284</v>
      </c>
      <c r="G528" s="58"/>
    </row>
    <row r="529" spans="1:10" x14ac:dyDescent="0.25">
      <c r="A529" s="90"/>
      <c r="B529" s="41" t="s">
        <v>148</v>
      </c>
      <c r="C529" s="53">
        <f>SUM(C525:C528)*2</f>
        <v>108.68686442338425</v>
      </c>
      <c r="D529" s="41" t="s">
        <v>82</v>
      </c>
      <c r="E529" s="54">
        <f>+'[1]Lista de precios MAY25'!$E$15</f>
        <v>79.001000000000005</v>
      </c>
      <c r="F529" s="53">
        <f t="shared" si="16"/>
        <v>8586.3709763117804</v>
      </c>
      <c r="G529" s="58"/>
    </row>
    <row r="530" spans="1:10" x14ac:dyDescent="0.25">
      <c r="A530" s="90"/>
      <c r="B530" s="41" t="s">
        <v>215</v>
      </c>
      <c r="C530" s="53">
        <f>+'[2]9. Losas aligeradas'!$G$26</f>
        <v>285.399404</v>
      </c>
      <c r="D530" s="41" t="s">
        <v>81</v>
      </c>
      <c r="E530" s="54">
        <f>+'[1]Lista de precios MAY25'!$E$10</f>
        <v>196.13338877500001</v>
      </c>
      <c r="F530" s="53">
        <f t="shared" si="16"/>
        <v>55976.352260885295</v>
      </c>
      <c r="G530" s="58"/>
    </row>
    <row r="531" spans="1:10" x14ac:dyDescent="0.25">
      <c r="A531" s="90"/>
      <c r="B531" s="41" t="s">
        <v>216</v>
      </c>
      <c r="C531" s="8">
        <f>+'[2]9. Losas aligeradas'!G13</f>
        <v>617</v>
      </c>
      <c r="D531" s="41" t="s">
        <v>217</v>
      </c>
      <c r="E531" s="109">
        <f>(2.57*1.18*57*1.2+50)</f>
        <v>257.42984000000001</v>
      </c>
      <c r="F531" s="53">
        <f t="shared" si="16"/>
        <v>158834.21128000002</v>
      </c>
      <c r="G531" s="58"/>
    </row>
    <row r="532" spans="1:10" x14ac:dyDescent="0.25">
      <c r="A532" s="90"/>
      <c r="B532" s="41" t="s">
        <v>67</v>
      </c>
      <c r="C532" s="53">
        <v>8</v>
      </c>
      <c r="D532" s="41" t="s">
        <v>34</v>
      </c>
      <c r="E532" s="54">
        <f>SUM(F524:F531)</f>
        <v>805419.9038187163</v>
      </c>
      <c r="F532" s="53">
        <f>E532*C532/100</f>
        <v>64433.592305497303</v>
      </c>
      <c r="G532" s="40"/>
    </row>
    <row r="533" spans="1:10" x14ac:dyDescent="0.25">
      <c r="A533" s="90"/>
      <c r="B533" s="41" t="s">
        <v>218</v>
      </c>
      <c r="C533" s="53">
        <f>+'[2]9. Losas aligeradas'!$G$6</f>
        <v>765.79920000000004</v>
      </c>
      <c r="D533" s="41" t="s">
        <v>150</v>
      </c>
      <c r="E533" s="54">
        <f>+'[1]MO MAY25'!$N$91</f>
        <v>230</v>
      </c>
      <c r="F533" s="53">
        <f t="shared" ref="F533:F538" si="17">E533*C533</f>
        <v>176133.81600000002</v>
      </c>
      <c r="G533" s="58"/>
    </row>
    <row r="534" spans="1:10" x14ac:dyDescent="0.25">
      <c r="A534" s="90"/>
      <c r="B534" s="41" t="s">
        <v>219</v>
      </c>
      <c r="C534" s="53">
        <f>C530</f>
        <v>285.399404</v>
      </c>
      <c r="D534" s="41" t="s">
        <v>81</v>
      </c>
      <c r="E534" s="54">
        <f>+'[1]MO MAY25'!$N$97*1.05</f>
        <v>60.375</v>
      </c>
      <c r="F534" s="53">
        <f t="shared" si="17"/>
        <v>17230.9890165</v>
      </c>
      <c r="G534" s="58"/>
    </row>
    <row r="535" spans="1:10" x14ac:dyDescent="0.25">
      <c r="A535" s="90"/>
      <c r="B535" s="41" t="s">
        <v>220</v>
      </c>
      <c r="C535" s="53">
        <f>+C531</f>
        <v>617</v>
      </c>
      <c r="D535" s="41" t="s">
        <v>217</v>
      </c>
      <c r="E535" s="54">
        <f>+'[1]MO MAY25'!$N$99</f>
        <v>80.5</v>
      </c>
      <c r="F535" s="53">
        <f t="shared" si="17"/>
        <v>49668.5</v>
      </c>
      <c r="G535" s="58"/>
    </row>
    <row r="536" spans="1:10" x14ac:dyDescent="0.25">
      <c r="A536" s="90"/>
      <c r="B536" s="41" t="s">
        <v>151</v>
      </c>
      <c r="C536" s="53">
        <f>+C524</f>
        <v>43.064325410000002</v>
      </c>
      <c r="D536" s="2" t="s">
        <v>54</v>
      </c>
      <c r="E536" s="54">
        <f>20*1.2</f>
        <v>24</v>
      </c>
      <c r="F536" s="53">
        <f t="shared" si="17"/>
        <v>1033.54380984</v>
      </c>
      <c r="G536" s="58"/>
      <c r="J536" s="40"/>
    </row>
    <row r="537" spans="1:10" x14ac:dyDescent="0.25">
      <c r="A537" s="90"/>
      <c r="B537" s="41" t="s">
        <v>221</v>
      </c>
      <c r="C537" s="53">
        <f>C538</f>
        <v>285.399404</v>
      </c>
      <c r="D537" s="2" t="s">
        <v>81</v>
      </c>
      <c r="E537" s="46">
        <f>+'[1]Lista de precios MAY25'!$E$13+'[1]MO MAY25'!$N$98</f>
        <v>241.5</v>
      </c>
      <c r="F537" s="53">
        <f t="shared" si="17"/>
        <v>68923.956065999999</v>
      </c>
      <c r="G537" s="58"/>
      <c r="J537" s="40"/>
    </row>
    <row r="538" spans="1:10" x14ac:dyDescent="0.25">
      <c r="A538" s="90"/>
      <c r="B538" s="41" t="s">
        <v>222</v>
      </c>
      <c r="C538" s="8">
        <f>C530</f>
        <v>285.399404</v>
      </c>
      <c r="D538" s="41" t="s">
        <v>81</v>
      </c>
      <c r="E538" s="54">
        <f>+'[1]MO MAY25'!$N$509</f>
        <v>1437.5</v>
      </c>
      <c r="F538" s="53">
        <f t="shared" si="17"/>
        <v>410261.64325000002</v>
      </c>
      <c r="G538" s="58"/>
    </row>
    <row r="539" spans="1:10" ht="15.6" x14ac:dyDescent="0.3">
      <c r="A539" s="90"/>
      <c r="B539" s="41"/>
      <c r="C539" s="106"/>
      <c r="E539" s="46"/>
      <c r="F539" s="106"/>
      <c r="G539" s="84">
        <f>SUM(F524:F538)/C523</f>
        <v>5801.1286296211256</v>
      </c>
      <c r="H539" s="83" t="s">
        <v>141</v>
      </c>
      <c r="I539" s="40">
        <f>+G539*C538</f>
        <v>1655638.6534212059</v>
      </c>
    </row>
    <row r="540" spans="1:10" ht="15.6" x14ac:dyDescent="0.3">
      <c r="A540" s="90"/>
      <c r="B540" s="41"/>
      <c r="C540" s="106"/>
      <c r="E540" s="46"/>
      <c r="F540" s="106" t="s">
        <v>176</v>
      </c>
      <c r="G540" s="59">
        <f>(SUM(F524:F538)+F533*0.15+F534*0.15+F535*0.15)/C523</f>
        <v>5933.8756828309233</v>
      </c>
      <c r="H540" s="3" t="s">
        <v>59</v>
      </c>
    </row>
    <row r="541" spans="1:10" ht="15.6" x14ac:dyDescent="0.3">
      <c r="A541" s="90"/>
      <c r="B541" s="41"/>
      <c r="C541" s="8"/>
      <c r="E541" s="46"/>
      <c r="F541" s="8"/>
      <c r="G541" s="59">
        <f>SUM(F524:F538)/C524</f>
        <v>36993.635198024422</v>
      </c>
      <c r="H541" s="3" t="s">
        <v>59</v>
      </c>
    </row>
    <row r="542" spans="1:10" ht="15.6" x14ac:dyDescent="0.3">
      <c r="A542" s="90">
        <f>+A523+0.01</f>
        <v>9.0799999999999983</v>
      </c>
      <c r="B542" s="83" t="s">
        <v>226</v>
      </c>
      <c r="C542" s="68">
        <v>214.18</v>
      </c>
      <c r="D542" s="107" t="s">
        <v>81</v>
      </c>
      <c r="E542" s="46"/>
      <c r="F542" s="106"/>
      <c r="G542" s="58"/>
      <c r="J542" s="40"/>
    </row>
    <row r="543" spans="1:10" x14ac:dyDescent="0.25">
      <c r="A543" s="90"/>
      <c r="B543" s="95" t="s">
        <v>197</v>
      </c>
      <c r="C543" s="53">
        <f>+'[2]9. Losas aligeradas'!F27</f>
        <v>45.006082300000003</v>
      </c>
      <c r="D543" s="41" t="s">
        <v>54</v>
      </c>
      <c r="E543" s="54">
        <f>+'[1]Lista de precios MAY25'!$E$45</f>
        <v>9449.7350000000006</v>
      </c>
      <c r="F543" s="53">
        <f t="shared" ref="F543:F550" si="18">E543*C543</f>
        <v>425295.55112319055</v>
      </c>
      <c r="G543" s="58"/>
    </row>
    <row r="544" spans="1:10" x14ac:dyDescent="0.25">
      <c r="A544" s="90"/>
      <c r="B544" s="41" t="s">
        <v>206</v>
      </c>
      <c r="C544" s="53">
        <f>+'[2]9. Losas aligeradas'!F9</f>
        <v>34.537185582621085</v>
      </c>
      <c r="D544" s="41" t="s">
        <v>147</v>
      </c>
      <c r="E544" s="54">
        <f>+'[1]Lista de precios MAY25'!$E$9</f>
        <v>3221.6681776971895</v>
      </c>
      <c r="F544" s="53">
        <f t="shared" si="18"/>
        <v>111267.35173875252</v>
      </c>
      <c r="G544" s="58"/>
      <c r="J544" s="40"/>
    </row>
    <row r="545" spans="1:10" x14ac:dyDescent="0.25">
      <c r="A545" s="90"/>
      <c r="B545" s="41" t="s">
        <v>205</v>
      </c>
      <c r="C545" s="53">
        <f>+'[2]9. Losas aligeradas'!F7+'[2]9. Losas aligeradas'!F17</f>
        <v>17.9850426640512</v>
      </c>
      <c r="D545" s="41" t="s">
        <v>147</v>
      </c>
      <c r="E545" s="54">
        <f>+'[1]Lista de precios MAY25'!$E$9</f>
        <v>3221.6681776971895</v>
      </c>
      <c r="F545" s="53">
        <f t="shared" si="18"/>
        <v>57941.839625300039</v>
      </c>
      <c r="G545" s="58"/>
      <c r="J545" s="40"/>
    </row>
    <row r="546" spans="1:10" x14ac:dyDescent="0.25">
      <c r="A546" s="90"/>
      <c r="B546" s="41" t="s">
        <v>213</v>
      </c>
      <c r="C546" s="53"/>
      <c r="D546" s="41" t="s">
        <v>147</v>
      </c>
      <c r="E546" s="54">
        <f>+'[1]Lista de precios MAY25'!$E$9</f>
        <v>3221.6681776971895</v>
      </c>
      <c r="F546" s="53">
        <f t="shared" si="18"/>
        <v>0</v>
      </c>
      <c r="G546" s="58"/>
    </row>
    <row r="547" spans="1:10" x14ac:dyDescent="0.25">
      <c r="A547" s="90"/>
      <c r="B547" s="41" t="s">
        <v>214</v>
      </c>
      <c r="C547" s="53">
        <f>+'[2]9. Losas aligeradas'!F23</f>
        <v>5.6248616107738609</v>
      </c>
      <c r="D547" s="41" t="s">
        <v>147</v>
      </c>
      <c r="E547" s="54">
        <f>+'[1]Lista de precios MAY25'!$E$9</f>
        <v>3221.6681776971895</v>
      </c>
      <c r="F547" s="53">
        <f t="shared" si="18"/>
        <v>18121.437655380701</v>
      </c>
      <c r="G547" s="58"/>
    </row>
    <row r="548" spans="1:10" x14ac:dyDescent="0.25">
      <c r="A548" s="90"/>
      <c r="B548" s="41" t="s">
        <v>148</v>
      </c>
      <c r="C548" s="53">
        <f>SUM(C544:C547)*2</f>
        <v>116.29417971489229</v>
      </c>
      <c r="D548" s="41" t="s">
        <v>82</v>
      </c>
      <c r="E548" s="54">
        <f>+'[1]Lista de precios MAY25'!$E$15</f>
        <v>79.001000000000005</v>
      </c>
      <c r="F548" s="53">
        <f t="shared" si="18"/>
        <v>9187.3564916562063</v>
      </c>
      <c r="G548" s="58"/>
    </row>
    <row r="549" spans="1:10" x14ac:dyDescent="0.25">
      <c r="A549" s="90"/>
      <c r="B549" s="41" t="s">
        <v>215</v>
      </c>
      <c r="C549" s="53">
        <f>+'[2]9. Losas aligeradas'!F26</f>
        <v>219.8432</v>
      </c>
      <c r="D549" s="41" t="s">
        <v>81</v>
      </c>
      <c r="E549" s="54">
        <f>+E530</f>
        <v>196.13338877500001</v>
      </c>
      <c r="F549" s="53">
        <f t="shared" si="18"/>
        <v>43118.591815140084</v>
      </c>
      <c r="G549" s="58"/>
    </row>
    <row r="550" spans="1:10" x14ac:dyDescent="0.25">
      <c r="A550" s="90"/>
      <c r="B550" s="41" t="s">
        <v>216</v>
      </c>
      <c r="C550" s="8">
        <f>+'[2]9. Losas aligeradas'!F13</f>
        <v>448</v>
      </c>
      <c r="D550" s="41" t="s">
        <v>217</v>
      </c>
      <c r="E550" s="109">
        <f>+E531</f>
        <v>257.42984000000001</v>
      </c>
      <c r="F550" s="53">
        <f t="shared" si="18"/>
        <v>115328.56832000001</v>
      </c>
      <c r="G550" s="58"/>
      <c r="H550" s="40"/>
    </row>
    <row r="551" spans="1:10" x14ac:dyDescent="0.25">
      <c r="A551" s="90"/>
      <c r="B551" s="41" t="s">
        <v>67</v>
      </c>
      <c r="C551" s="53">
        <v>8</v>
      </c>
      <c r="D551" s="41" t="s">
        <v>34</v>
      </c>
      <c r="E551" s="54">
        <f>SUM(F543:F550)</f>
        <v>780260.69676942006</v>
      </c>
      <c r="F551" s="53">
        <f>E551*C551/100</f>
        <v>62420.855741553605</v>
      </c>
      <c r="G551" s="40"/>
      <c r="H551" s="40"/>
    </row>
    <row r="552" spans="1:10" x14ac:dyDescent="0.25">
      <c r="A552" s="90"/>
      <c r="B552" s="41" t="s">
        <v>218</v>
      </c>
      <c r="C552" s="53">
        <f>+'[2]9. Losas aligeradas'!F6</f>
        <v>580.19599999999991</v>
      </c>
      <c r="D552" s="41" t="s">
        <v>150</v>
      </c>
      <c r="E552" s="54">
        <f>+'[1]MO MAY25'!$N$91</f>
        <v>230</v>
      </c>
      <c r="F552" s="53">
        <f t="shared" ref="F552:F557" si="19">E552*C552</f>
        <v>133445.07999999999</v>
      </c>
      <c r="G552" s="58"/>
      <c r="I552" s="40">
        <f>+C557+C538</f>
        <v>505.24260400000003</v>
      </c>
    </row>
    <row r="553" spans="1:10" x14ac:dyDescent="0.25">
      <c r="A553" s="90"/>
      <c r="B553" s="41" t="s">
        <v>219</v>
      </c>
      <c r="C553" s="53">
        <f>C549</f>
        <v>219.8432</v>
      </c>
      <c r="D553" s="41" t="s">
        <v>81</v>
      </c>
      <c r="E553" s="54">
        <f>+'[1]MO MAY25'!$N$97*1.05</f>
        <v>60.375</v>
      </c>
      <c r="F553" s="53">
        <f t="shared" si="19"/>
        <v>13273.0332</v>
      </c>
      <c r="G553" s="58"/>
    </row>
    <row r="554" spans="1:10" x14ac:dyDescent="0.25">
      <c r="A554" s="90"/>
      <c r="B554" s="41" t="s">
        <v>220</v>
      </c>
      <c r="C554" s="53">
        <f>+C550</f>
        <v>448</v>
      </c>
      <c r="D554" s="41" t="s">
        <v>217</v>
      </c>
      <c r="E554" s="54">
        <f>+'[1]MO MAY25'!$N$99</f>
        <v>80.5</v>
      </c>
      <c r="F554" s="53">
        <f t="shared" si="19"/>
        <v>36064</v>
      </c>
      <c r="G554" s="58"/>
      <c r="J554" s="58"/>
    </row>
    <row r="555" spans="1:10" x14ac:dyDescent="0.25">
      <c r="A555" s="90"/>
      <c r="B555" s="41" t="s">
        <v>151</v>
      </c>
      <c r="C555" s="53">
        <f>+C543</f>
        <v>45.006082300000003</v>
      </c>
      <c r="D555" s="2" t="s">
        <v>54</v>
      </c>
      <c r="E555" s="54">
        <f>20*1.2</f>
        <v>24</v>
      </c>
      <c r="F555" s="53">
        <f t="shared" si="19"/>
        <v>1080.1459752000001</v>
      </c>
      <c r="G555" s="58"/>
      <c r="J555" s="40"/>
    </row>
    <row r="556" spans="1:10" x14ac:dyDescent="0.25">
      <c r="A556" s="90"/>
      <c r="B556" s="41" t="s">
        <v>221</v>
      </c>
      <c r="C556" s="53">
        <f>+C557</f>
        <v>219.8432</v>
      </c>
      <c r="D556" s="2" t="s">
        <v>81</v>
      </c>
      <c r="E556" s="46">
        <f>+'[1]Lista de precios MAY25'!$E$13+'[1]MO MAY25'!$N$98</f>
        <v>241.5</v>
      </c>
      <c r="F556" s="53">
        <f t="shared" si="19"/>
        <v>53092.132799999999</v>
      </c>
      <c r="G556" s="58"/>
      <c r="J556" s="40"/>
    </row>
    <row r="557" spans="1:10" x14ac:dyDescent="0.25">
      <c r="A557" s="90"/>
      <c r="B557" s="41" t="s">
        <v>222</v>
      </c>
      <c r="C557" s="8">
        <f>+$C$549</f>
        <v>219.8432</v>
      </c>
      <c r="D557" s="41" t="s">
        <v>81</v>
      </c>
      <c r="E557" s="54">
        <f>+'[1]MO MAY25'!$N$509</f>
        <v>1437.5</v>
      </c>
      <c r="F557" s="53">
        <f t="shared" si="19"/>
        <v>316024.59999999998</v>
      </c>
      <c r="G557" s="58"/>
    </row>
    <row r="558" spans="1:10" ht="15.6" x14ac:dyDescent="0.3">
      <c r="A558" s="90"/>
      <c r="B558" s="41"/>
      <c r="C558" s="106"/>
      <c r="E558" s="46"/>
      <c r="F558" s="106"/>
      <c r="G558" s="84">
        <f>SUM(F543:F557)/C542</f>
        <v>6516.2972475776141</v>
      </c>
      <c r="H558" s="83" t="s">
        <v>141</v>
      </c>
      <c r="I558" s="40">
        <f>+G558*C557</f>
        <v>1432563.6390586549</v>
      </c>
      <c r="J558" s="62">
        <f>+I558+I539</f>
        <v>3088202.2924798606</v>
      </c>
    </row>
    <row r="559" spans="1:10" ht="16.2" thickBot="1" x14ac:dyDescent="0.35">
      <c r="A559" s="90"/>
      <c r="B559" s="41"/>
      <c r="C559" s="106"/>
      <c r="E559" s="46"/>
      <c r="F559" s="110" t="s">
        <v>176</v>
      </c>
      <c r="G559" s="59">
        <f>(SUM(F543:F557)+F552*0.15+F553*0.15+F554*0.15)/C542</f>
        <v>6644.3078787289824</v>
      </c>
      <c r="H559" s="3" t="s">
        <v>59</v>
      </c>
      <c r="J559" s="62">
        <f>+'[2]OBRA CIVIL'!E112</f>
        <v>459.59999999999997</v>
      </c>
    </row>
    <row r="560" spans="1:10" ht="16.2" thickBot="1" x14ac:dyDescent="0.35">
      <c r="A560" s="90"/>
      <c r="B560" s="41"/>
      <c r="C560" s="8"/>
      <c r="E560" s="46"/>
      <c r="F560" s="8"/>
      <c r="G560" s="59">
        <f>SUM(F543:F557)/C543</f>
        <v>31010.487319981046</v>
      </c>
      <c r="H560" s="3" t="s">
        <v>59</v>
      </c>
      <c r="J560" s="111">
        <f>+J558/J559</f>
        <v>6719.3261368143185</v>
      </c>
    </row>
    <row r="561" spans="1:10" ht="15.6" x14ac:dyDescent="0.3">
      <c r="A561" s="90">
        <f>+A542+0.01</f>
        <v>9.0899999999999981</v>
      </c>
      <c r="B561" s="3" t="s">
        <v>227</v>
      </c>
      <c r="C561" s="8"/>
      <c r="E561" s="46"/>
      <c r="F561" s="8"/>
      <c r="G561" s="58"/>
    </row>
    <row r="562" spans="1:10" x14ac:dyDescent="0.25">
      <c r="A562" s="90"/>
      <c r="B562" s="2" t="s">
        <v>145</v>
      </c>
      <c r="C562" s="53" t="e">
        <f>+'[2]20. Piscina y espejo de agua'!#REF!</f>
        <v>#REF!</v>
      </c>
      <c r="D562" s="41" t="s">
        <v>54</v>
      </c>
      <c r="E562" s="54">
        <f>+'[1]Lista de precios MAY25'!$E$44</f>
        <v>9027</v>
      </c>
      <c r="F562" s="53" t="e">
        <f>E562*C562</f>
        <v>#REF!</v>
      </c>
      <c r="G562" s="58"/>
    </row>
    <row r="563" spans="1:10" x14ac:dyDescent="0.25">
      <c r="A563" s="90"/>
      <c r="B563" s="41" t="s">
        <v>205</v>
      </c>
      <c r="C563" s="53" t="e">
        <f>+'[2]20. Piscina y espejo de agua'!#REF!</f>
        <v>#REF!</v>
      </c>
      <c r="D563" s="41" t="s">
        <v>147</v>
      </c>
      <c r="E563" s="54">
        <f>+'[1]Lista de precios MAY25'!$E$9</f>
        <v>3221.6681776971895</v>
      </c>
      <c r="F563" s="53" t="e">
        <f>E563*C563</f>
        <v>#REF!</v>
      </c>
      <c r="G563" s="58"/>
    </row>
    <row r="564" spans="1:10" x14ac:dyDescent="0.25">
      <c r="A564" s="90"/>
      <c r="B564" s="41" t="s">
        <v>148</v>
      </c>
      <c r="C564" s="53" t="e">
        <f>+C563*2</f>
        <v>#REF!</v>
      </c>
      <c r="D564" s="41" t="s">
        <v>82</v>
      </c>
      <c r="E564" s="54">
        <f>+'[1]Lista de precios MAY25'!$E$15</f>
        <v>79.001000000000005</v>
      </c>
      <c r="F564" s="53" t="e">
        <f>E564*C564</f>
        <v>#REF!</v>
      </c>
      <c r="G564" s="58"/>
      <c r="J564" s="40"/>
    </row>
    <row r="565" spans="1:10" x14ac:dyDescent="0.25">
      <c r="A565" s="90"/>
      <c r="B565" s="41" t="s">
        <v>67</v>
      </c>
      <c r="C565" s="53">
        <v>10</v>
      </c>
      <c r="D565" s="41" t="s">
        <v>34</v>
      </c>
      <c r="E565" s="46" t="e">
        <f>SUM(F562:F564)</f>
        <v>#REF!</v>
      </c>
      <c r="F565" s="53" t="e">
        <f>E565*C565/100</f>
        <v>#REF!</v>
      </c>
      <c r="G565" s="58"/>
    </row>
    <row r="566" spans="1:10" x14ac:dyDescent="0.25">
      <c r="A566" s="90"/>
      <c r="B566" s="41" t="s">
        <v>168</v>
      </c>
      <c r="C566" s="53" t="e">
        <f>+C562/0.2</f>
        <v>#REF!</v>
      </c>
      <c r="D566" s="41" t="s">
        <v>81</v>
      </c>
      <c r="E566" s="54">
        <f>+'[1]MO MAY25'!$N$94*1.1</f>
        <v>297.27500000000003</v>
      </c>
      <c r="F566" s="53" t="e">
        <f>E566*C566</f>
        <v>#REF!</v>
      </c>
      <c r="G566" s="58"/>
      <c r="J566" s="55"/>
    </row>
    <row r="567" spans="1:10" x14ac:dyDescent="0.25">
      <c r="A567" s="90"/>
      <c r="B567" s="41" t="s">
        <v>151</v>
      </c>
      <c r="C567" s="8" t="e">
        <f>+C562</f>
        <v>#REF!</v>
      </c>
      <c r="D567" s="2" t="s">
        <v>54</v>
      </c>
      <c r="E567" s="54">
        <v>25</v>
      </c>
      <c r="F567" s="53" t="e">
        <f>E567*C567</f>
        <v>#REF!</v>
      </c>
      <c r="G567" s="58"/>
      <c r="I567" s="40"/>
    </row>
    <row r="568" spans="1:10" x14ac:dyDescent="0.25">
      <c r="A568" s="90"/>
      <c r="B568" s="41" t="s">
        <v>228</v>
      </c>
      <c r="C568" s="8">
        <f>5*2+20*2</f>
        <v>50</v>
      </c>
      <c r="D568" s="2" t="s">
        <v>13</v>
      </c>
      <c r="E568" s="46">
        <f>+'[1]MO MAY25'!$N$522</f>
        <v>253</v>
      </c>
      <c r="F568" s="53">
        <f>E568*C568</f>
        <v>12650</v>
      </c>
      <c r="G568" s="58"/>
    </row>
    <row r="569" spans="1:10" ht="15.6" x14ac:dyDescent="0.3">
      <c r="A569" s="90"/>
      <c r="B569" s="41"/>
      <c r="C569" s="8"/>
      <c r="E569" s="46"/>
      <c r="F569" s="8"/>
      <c r="G569" s="59" t="e">
        <f>SUM(F562:F568)/C562</f>
        <v>#REF!</v>
      </c>
      <c r="H569" s="3" t="s">
        <v>59</v>
      </c>
      <c r="J569" s="55"/>
    </row>
    <row r="570" spans="1:10" x14ac:dyDescent="0.25">
      <c r="A570" s="90"/>
      <c r="B570" s="41"/>
      <c r="C570" s="8"/>
      <c r="E570" s="46"/>
      <c r="F570" s="8"/>
      <c r="G570" s="58"/>
      <c r="H570" s="41"/>
      <c r="J570" s="55"/>
    </row>
    <row r="571" spans="1:10" ht="15.6" x14ac:dyDescent="0.3">
      <c r="A571" s="90">
        <f>A561+0.01</f>
        <v>9.0999999999999979</v>
      </c>
      <c r="B571" s="3" t="s">
        <v>229</v>
      </c>
      <c r="C571" s="8"/>
      <c r="E571" s="46"/>
      <c r="F571" s="8"/>
      <c r="G571" s="58"/>
    </row>
    <row r="572" spans="1:10" x14ac:dyDescent="0.25">
      <c r="A572" s="90"/>
      <c r="B572" s="2" t="s">
        <v>145</v>
      </c>
      <c r="C572" s="53">
        <v>1</v>
      </c>
      <c r="D572" s="41" t="s">
        <v>54</v>
      </c>
      <c r="E572" s="54">
        <f>+'[1]Lista de precios MAY25'!$E$44</f>
        <v>9027</v>
      </c>
      <c r="F572" s="53">
        <f>E572*C572</f>
        <v>9027</v>
      </c>
      <c r="G572" s="58"/>
    </row>
    <row r="573" spans="1:10" x14ac:dyDescent="0.25">
      <c r="A573" s="52"/>
      <c r="B573" s="2" t="s">
        <v>230</v>
      </c>
      <c r="C573" s="53">
        <f>+C572</f>
        <v>1</v>
      </c>
      <c r="D573" s="41" t="s">
        <v>54</v>
      </c>
      <c r="E573" s="54">
        <f>+'[1]Lista de precios MAY25'!$E$51</f>
        <v>557.55000000000007</v>
      </c>
      <c r="F573" s="53">
        <f>+E573*C573</f>
        <v>557.55000000000007</v>
      </c>
      <c r="G573" s="40"/>
    </row>
    <row r="574" spans="1:10" x14ac:dyDescent="0.25">
      <c r="A574" s="90"/>
      <c r="B574" s="41" t="s">
        <v>231</v>
      </c>
      <c r="C574" s="53"/>
      <c r="D574" s="41" t="s">
        <v>147</v>
      </c>
      <c r="E574" s="54">
        <f>+'[1]Lista de precios MAY25'!$E$9</f>
        <v>3221.6681776971895</v>
      </c>
      <c r="F574" s="53">
        <f>E574*C574</f>
        <v>0</v>
      </c>
      <c r="G574" s="58"/>
    </row>
    <row r="575" spans="1:10" x14ac:dyDescent="0.25">
      <c r="A575" s="90"/>
      <c r="B575" s="41" t="s">
        <v>148</v>
      </c>
      <c r="C575" s="53">
        <f>+C574*2</f>
        <v>0</v>
      </c>
      <c r="D575" s="41" t="s">
        <v>82</v>
      </c>
      <c r="E575" s="54">
        <f>+'[1]Lista de precios MAY25'!$E$15</f>
        <v>79.001000000000005</v>
      </c>
      <c r="F575" s="53">
        <f>E575*C575</f>
        <v>0</v>
      </c>
      <c r="G575" s="58"/>
      <c r="I575" s="40"/>
    </row>
    <row r="576" spans="1:10" x14ac:dyDescent="0.25">
      <c r="A576" s="90"/>
      <c r="B576" s="41" t="s">
        <v>67</v>
      </c>
      <c r="C576" s="53">
        <v>10</v>
      </c>
      <c r="D576" s="41" t="s">
        <v>34</v>
      </c>
      <c r="E576" s="46">
        <f>SUM(F572:F575)</f>
        <v>9584.5499999999993</v>
      </c>
      <c r="F576" s="53">
        <f>E576*C576/100</f>
        <v>958.45500000000004</v>
      </c>
      <c r="G576" s="58"/>
    </row>
    <row r="577" spans="1:8" x14ac:dyDescent="0.25">
      <c r="A577" s="90"/>
      <c r="B577" s="41" t="s">
        <v>168</v>
      </c>
      <c r="C577" s="53">
        <f>1/0.2*2</f>
        <v>10</v>
      </c>
      <c r="D577" s="41" t="s">
        <v>81</v>
      </c>
      <c r="E577" s="54">
        <f>+'[1]MO MAY25'!$N$94</f>
        <v>270.25</v>
      </c>
      <c r="F577" s="53">
        <f>E577*C577</f>
        <v>2702.5</v>
      </c>
      <c r="G577" s="58"/>
    </row>
    <row r="578" spans="1:8" x14ac:dyDescent="0.25">
      <c r="A578" s="90"/>
      <c r="B578" s="41" t="s">
        <v>151</v>
      </c>
      <c r="C578" s="8">
        <f>+C572</f>
        <v>1</v>
      </c>
      <c r="D578" s="2" t="s">
        <v>54</v>
      </c>
      <c r="E578" s="54">
        <v>20</v>
      </c>
      <c r="F578" s="53">
        <f>E578*C578</f>
        <v>20</v>
      </c>
      <c r="G578" s="58"/>
    </row>
    <row r="579" spans="1:8" x14ac:dyDescent="0.25">
      <c r="A579" s="90"/>
      <c r="B579" s="41" t="s">
        <v>228</v>
      </c>
      <c r="C579" s="8">
        <v>0.5</v>
      </c>
      <c r="D579" s="2" t="s">
        <v>13</v>
      </c>
      <c r="E579" s="46">
        <f>+'[1]MO MAY25'!$N$522</f>
        <v>253</v>
      </c>
      <c r="F579" s="53">
        <f>E579*C579</f>
        <v>126.5</v>
      </c>
      <c r="G579" s="40"/>
    </row>
    <row r="580" spans="1:8" ht="15.6" x14ac:dyDescent="0.3">
      <c r="A580" s="90"/>
      <c r="B580" s="41"/>
      <c r="C580" s="8"/>
      <c r="E580" s="46"/>
      <c r="F580" s="8"/>
      <c r="G580" s="87">
        <f>SUM(F572:F579)/C572</f>
        <v>13392.004999999999</v>
      </c>
      <c r="H580" s="86" t="s">
        <v>59</v>
      </c>
    </row>
    <row r="581" spans="1:8" ht="15.6" x14ac:dyDescent="0.3">
      <c r="A581" s="90">
        <f>A571+0.01</f>
        <v>9.1099999999999977</v>
      </c>
      <c r="B581" s="83" t="s">
        <v>232</v>
      </c>
      <c r="C581" s="8"/>
      <c r="E581" s="46"/>
      <c r="F581" s="8"/>
      <c r="G581" s="59"/>
      <c r="H581" s="3"/>
    </row>
    <row r="582" spans="1:8" ht="15.6" x14ac:dyDescent="0.3">
      <c r="A582" s="90"/>
      <c r="B582" s="41" t="s">
        <v>163</v>
      </c>
      <c r="C582" s="53">
        <v>1</v>
      </c>
      <c r="D582" s="2" t="s">
        <v>54</v>
      </c>
      <c r="E582" s="54">
        <f>+'[1]Lista de precios MAY25'!$E$45</f>
        <v>9449.7350000000006</v>
      </c>
      <c r="F582" s="53">
        <f>E582*C582</f>
        <v>9449.7350000000006</v>
      </c>
      <c r="G582" s="59"/>
      <c r="H582" s="3"/>
    </row>
    <row r="583" spans="1:8" ht="15.6" x14ac:dyDescent="0.3">
      <c r="A583" s="90"/>
      <c r="B583" s="41" t="s">
        <v>230</v>
      </c>
      <c r="C583" s="53">
        <v>1</v>
      </c>
      <c r="D583" s="2" t="s">
        <v>54</v>
      </c>
      <c r="E583" s="54">
        <f>+'[1]Lista de precios MAY25'!E51+'[1]Lista de precios MAY25'!E50+'[1]Lista de precios MAY25'!E49</f>
        <v>1634.95</v>
      </c>
      <c r="F583" s="53">
        <f>+E583*C583</f>
        <v>1634.95</v>
      </c>
      <c r="G583" s="59"/>
      <c r="H583" s="3"/>
    </row>
    <row r="584" spans="1:8" ht="15.6" x14ac:dyDescent="0.3">
      <c r="A584" s="90"/>
      <c r="B584" s="41" t="s">
        <v>231</v>
      </c>
      <c r="C584" s="53">
        <f>+'[2]20. Piscina y espejo de agua'!AH131</f>
        <v>0.68779908794350053</v>
      </c>
      <c r="D584" s="2" t="s">
        <v>147</v>
      </c>
      <c r="E584" s="46">
        <f>+'[1]Lista de precios MAY25'!$E$9</f>
        <v>3221.6681776971895</v>
      </c>
      <c r="F584" s="53">
        <f>E584*C584</f>
        <v>2215.8604342767262</v>
      </c>
      <c r="G584" s="59"/>
      <c r="H584" s="3"/>
    </row>
    <row r="585" spans="1:8" ht="15.6" x14ac:dyDescent="0.3">
      <c r="A585" s="90"/>
      <c r="B585" s="41" t="s">
        <v>148</v>
      </c>
      <c r="C585" s="53">
        <f>+C584*2</f>
        <v>1.3755981758870011</v>
      </c>
      <c r="D585" s="2" t="s">
        <v>82</v>
      </c>
      <c r="E585" s="54">
        <f>+'[1]Lista de precios MAY25'!$E$15</f>
        <v>79.001000000000005</v>
      </c>
      <c r="F585" s="53">
        <f>E585*C585</f>
        <v>108.67363149324898</v>
      </c>
      <c r="G585" s="59"/>
      <c r="H585" s="3"/>
    </row>
    <row r="586" spans="1:8" ht="15.6" x14ac:dyDescent="0.3">
      <c r="A586" s="90"/>
      <c r="B586" s="41" t="s">
        <v>67</v>
      </c>
      <c r="C586" s="53">
        <v>10</v>
      </c>
      <c r="D586" s="2" t="s">
        <v>34</v>
      </c>
      <c r="E586" s="46">
        <f>SUM(F582:F585)</f>
        <v>13409.219065769978</v>
      </c>
      <c r="F586" s="53">
        <f>E586*C586/100</f>
        <v>1340.9219065769978</v>
      </c>
      <c r="G586" s="59"/>
      <c r="H586" s="3"/>
    </row>
    <row r="587" spans="1:8" ht="15.6" x14ac:dyDescent="0.3">
      <c r="A587" s="90"/>
      <c r="B587" s="41" t="s">
        <v>168</v>
      </c>
      <c r="C587" s="53">
        <f>1/0.15</f>
        <v>6.666666666666667</v>
      </c>
      <c r="D587" s="2" t="s">
        <v>81</v>
      </c>
      <c r="E587" s="54">
        <f>+'[1]MO MAY25'!$N$94*1.2</f>
        <v>324.3</v>
      </c>
      <c r="F587" s="53">
        <f>E587*C587</f>
        <v>2162</v>
      </c>
      <c r="G587" s="59"/>
      <c r="H587" s="3"/>
    </row>
    <row r="588" spans="1:8" ht="15.6" x14ac:dyDescent="0.3">
      <c r="A588" s="90"/>
      <c r="B588" s="41" t="s">
        <v>151</v>
      </c>
      <c r="C588" s="8">
        <v>1</v>
      </c>
      <c r="D588" s="2" t="s">
        <v>54</v>
      </c>
      <c r="E588" s="54">
        <f>+$E$578</f>
        <v>20</v>
      </c>
      <c r="F588" s="53">
        <f>E588*C588</f>
        <v>20</v>
      </c>
      <c r="G588" s="59"/>
      <c r="H588" s="3"/>
    </row>
    <row r="589" spans="1:8" ht="15.6" x14ac:dyDescent="0.3">
      <c r="A589" s="90"/>
      <c r="B589" s="41" t="s">
        <v>228</v>
      </c>
      <c r="C589" s="8">
        <v>0.5</v>
      </c>
      <c r="D589" s="2" t="s">
        <v>13</v>
      </c>
      <c r="E589" s="46">
        <f>+$E$579</f>
        <v>253</v>
      </c>
      <c r="F589" s="53">
        <f>E589*C589</f>
        <v>126.5</v>
      </c>
      <c r="G589" s="59"/>
      <c r="H589" s="3"/>
    </row>
    <row r="590" spans="1:8" ht="15.6" x14ac:dyDescent="0.3">
      <c r="A590" s="90"/>
      <c r="B590" s="41"/>
      <c r="C590" s="8"/>
      <c r="E590" s="46"/>
      <c r="F590" s="8"/>
      <c r="G590" s="84">
        <f>SUM(F582:F589)/C582</f>
        <v>17058.640972346977</v>
      </c>
      <c r="H590" s="83" t="s">
        <v>59</v>
      </c>
    </row>
    <row r="591" spans="1:8" ht="15.6" x14ac:dyDescent="0.3">
      <c r="A591" s="90">
        <f>+A581+0.01</f>
        <v>9.1199999999999974</v>
      </c>
      <c r="B591" s="83" t="s">
        <v>233</v>
      </c>
      <c r="C591" s="8"/>
      <c r="E591" s="46"/>
      <c r="F591" s="8"/>
      <c r="G591" s="58"/>
    </row>
    <row r="592" spans="1:8" x14ac:dyDescent="0.25">
      <c r="A592" s="90"/>
      <c r="B592" s="2" t="s">
        <v>163</v>
      </c>
      <c r="C592" s="53">
        <v>1</v>
      </c>
      <c r="D592" s="41" t="s">
        <v>54</v>
      </c>
      <c r="E592" s="54">
        <f>+'[1]Lista de precios MAY25'!$E$45</f>
        <v>9449.7350000000006</v>
      </c>
      <c r="F592" s="53">
        <f>E592*C592</f>
        <v>9449.7350000000006</v>
      </c>
      <c r="G592" s="58"/>
    </row>
    <row r="593" spans="1:10" x14ac:dyDescent="0.25">
      <c r="A593" s="52"/>
      <c r="B593" s="2" t="s">
        <v>230</v>
      </c>
      <c r="C593" s="53">
        <f>+C592</f>
        <v>1</v>
      </c>
      <c r="D593" s="41" t="s">
        <v>54</v>
      </c>
      <c r="E593" s="54">
        <f>+E583</f>
        <v>1634.95</v>
      </c>
      <c r="F593" s="53">
        <f>+E593*C593</f>
        <v>1634.95</v>
      </c>
      <c r="G593" s="40"/>
    </row>
    <row r="594" spans="1:10" x14ac:dyDescent="0.25">
      <c r="A594" s="90"/>
      <c r="B594" s="41" t="s">
        <v>231</v>
      </c>
      <c r="C594" s="53">
        <f>+C219</f>
        <v>2.4462143618583396</v>
      </c>
      <c r="D594" s="41" t="s">
        <v>147</v>
      </c>
      <c r="E594" s="46">
        <f>+$E$574</f>
        <v>3221.6681776971895</v>
      </c>
      <c r="F594" s="53">
        <f>E594*C594</f>
        <v>7880.89096542485</v>
      </c>
      <c r="G594" s="58"/>
    </row>
    <row r="595" spans="1:10" x14ac:dyDescent="0.25">
      <c r="A595" s="90"/>
      <c r="B595" s="41" t="s">
        <v>148</v>
      </c>
      <c r="C595" s="53">
        <f>+C594*2</f>
        <v>4.8924287237166793</v>
      </c>
      <c r="D595" s="41" t="s">
        <v>82</v>
      </c>
      <c r="E595" s="54">
        <f>+'[1]Lista de precios MAY25'!$E$15</f>
        <v>79.001000000000005</v>
      </c>
      <c r="F595" s="53">
        <f>E595*C595</f>
        <v>386.50676160234138</v>
      </c>
      <c r="G595" s="58"/>
      <c r="I595" s="40"/>
    </row>
    <row r="596" spans="1:10" x14ac:dyDescent="0.25">
      <c r="A596" s="90"/>
      <c r="B596" s="41" t="s">
        <v>67</v>
      </c>
      <c r="C596" s="53">
        <v>10</v>
      </c>
      <c r="D596" s="41" t="s">
        <v>34</v>
      </c>
      <c r="E596" s="46">
        <f>SUM(F592:F595)</f>
        <v>19352.082727027191</v>
      </c>
      <c r="F596" s="53">
        <f>E596*C596/100</f>
        <v>1935.2082727027189</v>
      </c>
      <c r="G596" s="58"/>
    </row>
    <row r="597" spans="1:10" x14ac:dyDescent="0.25">
      <c r="A597" s="90"/>
      <c r="B597" s="41" t="s">
        <v>168</v>
      </c>
      <c r="C597" s="53">
        <f>+C594</f>
        <v>2.4462143618583396</v>
      </c>
      <c r="D597" s="41" t="s">
        <v>147</v>
      </c>
      <c r="E597" s="54">
        <f>+'[1]MO MAY25'!N43</f>
        <v>672.75</v>
      </c>
      <c r="F597" s="53">
        <f>E597*C597</f>
        <v>1645.6907119401981</v>
      </c>
      <c r="G597" s="58"/>
    </row>
    <row r="598" spans="1:10" x14ac:dyDescent="0.25">
      <c r="A598" s="90"/>
      <c r="B598" s="41" t="s">
        <v>151</v>
      </c>
      <c r="C598" s="8">
        <f>+C592</f>
        <v>1</v>
      </c>
      <c r="D598" s="2" t="s">
        <v>54</v>
      </c>
      <c r="E598" s="54">
        <f>+'[1]MO MAY25'!$N$35</f>
        <v>235.75</v>
      </c>
      <c r="F598" s="53">
        <f>E598*C598</f>
        <v>235.75</v>
      </c>
      <c r="G598" s="58"/>
    </row>
    <row r="599" spans="1:10" ht="13.5" customHeight="1" x14ac:dyDescent="0.25">
      <c r="A599" s="90"/>
      <c r="B599" s="41" t="s">
        <v>228</v>
      </c>
      <c r="C599" s="8">
        <v>0.5</v>
      </c>
      <c r="D599" s="2" t="s">
        <v>13</v>
      </c>
      <c r="E599" s="46">
        <f>+$E$589</f>
        <v>253</v>
      </c>
      <c r="F599" s="53">
        <f>E599*C599</f>
        <v>126.5</v>
      </c>
      <c r="G599" s="40"/>
    </row>
    <row r="600" spans="1:10" ht="15.6" x14ac:dyDescent="0.3">
      <c r="A600" s="90"/>
      <c r="B600" s="41"/>
      <c r="C600" s="8"/>
      <c r="E600" s="46"/>
      <c r="F600" s="8"/>
      <c r="G600" s="84">
        <f>SUM(F592:F599)/C592</f>
        <v>23295.231711670109</v>
      </c>
      <c r="H600" s="83" t="s">
        <v>59</v>
      </c>
    </row>
    <row r="601" spans="1:10" ht="15.6" x14ac:dyDescent="0.3">
      <c r="A601" s="90">
        <f>+A591+0.01</f>
        <v>9.1299999999999972</v>
      </c>
      <c r="B601" s="3" t="s">
        <v>234</v>
      </c>
      <c r="C601" s="8"/>
      <c r="E601" s="46"/>
      <c r="F601" s="8"/>
      <c r="G601" s="58"/>
      <c r="J601" s="55"/>
    </row>
    <row r="602" spans="1:10" x14ac:dyDescent="0.25">
      <c r="A602" s="90"/>
      <c r="B602" s="2" t="s">
        <v>163</v>
      </c>
      <c r="C602" s="8">
        <f>+'[2]8. Losas y muros macizos'!E188</f>
        <v>0</v>
      </c>
      <c r="D602" s="2" t="s">
        <v>54</v>
      </c>
      <c r="E602" s="54">
        <f>+'[1]Lista de precios MAY25'!$E$45</f>
        <v>9449.7350000000006</v>
      </c>
      <c r="F602" s="53">
        <f>E602*C602</f>
        <v>0</v>
      </c>
      <c r="G602" s="58"/>
    </row>
    <row r="603" spans="1:10" x14ac:dyDescent="0.25">
      <c r="A603" s="90"/>
      <c r="B603" s="41" t="s">
        <v>206</v>
      </c>
      <c r="C603" s="53">
        <v>0</v>
      </c>
      <c r="D603" s="41" t="s">
        <v>147</v>
      </c>
      <c r="E603" s="54">
        <f>+'[1]Lista de precios MAY25'!$E$9</f>
        <v>3221.6681776971895</v>
      </c>
      <c r="F603" s="53">
        <f>E603*C603</f>
        <v>0</v>
      </c>
      <c r="G603" s="58"/>
    </row>
    <row r="604" spans="1:10" x14ac:dyDescent="0.25">
      <c r="A604" s="90"/>
      <c r="B604" s="41" t="s">
        <v>205</v>
      </c>
      <c r="C604" s="53" t="e">
        <f>+'[2]8. Losas y muros macizos'!$AH$191</f>
        <v>#REF!</v>
      </c>
      <c r="D604" s="41" t="s">
        <v>147</v>
      </c>
      <c r="E604" s="54">
        <f>+'[1]Lista de precios MAY25'!$E$9</f>
        <v>3221.6681776971895</v>
      </c>
      <c r="F604" s="53" t="e">
        <f>E604*C604</f>
        <v>#REF!</v>
      </c>
      <c r="G604" s="58"/>
      <c r="J604" s="55"/>
    </row>
    <row r="605" spans="1:10" x14ac:dyDescent="0.25">
      <c r="A605" s="90"/>
      <c r="B605" s="41" t="s">
        <v>148</v>
      </c>
      <c r="C605" s="53" t="e">
        <f>SUM(C603:C604)*2</f>
        <v>#REF!</v>
      </c>
      <c r="D605" s="41" t="s">
        <v>82</v>
      </c>
      <c r="E605" s="54">
        <f>+'[1]Lista de precios MAY25'!$E$16</f>
        <v>79.001000000000005</v>
      </c>
      <c r="F605" s="53" t="e">
        <f>E605*C605</f>
        <v>#REF!</v>
      </c>
      <c r="G605" s="58"/>
      <c r="J605" s="55"/>
    </row>
    <row r="606" spans="1:10" x14ac:dyDescent="0.25">
      <c r="A606" s="90"/>
      <c r="B606" s="41" t="s">
        <v>67</v>
      </c>
      <c r="C606" s="53">
        <v>10</v>
      </c>
      <c r="D606" s="41" t="s">
        <v>34</v>
      </c>
      <c r="E606" s="46" t="e">
        <f>SUM(F602:F605)</f>
        <v>#REF!</v>
      </c>
      <c r="F606" s="53" t="e">
        <f>E606*C606/100</f>
        <v>#REF!</v>
      </c>
      <c r="G606" s="58"/>
    </row>
    <row r="607" spans="1:10" x14ac:dyDescent="0.25">
      <c r="A607" s="16"/>
      <c r="B607" s="41" t="s">
        <v>168</v>
      </c>
      <c r="C607" s="53">
        <v>2</v>
      </c>
      <c r="D607" s="41" t="s">
        <v>235</v>
      </c>
      <c r="E607" s="54">
        <f>+'[1]MO MAY25'!$N$107</f>
        <v>16100</v>
      </c>
      <c r="F607" s="53">
        <f>E607*C607</f>
        <v>32200</v>
      </c>
      <c r="G607" s="58"/>
      <c r="H607" s="41"/>
    </row>
    <row r="608" spans="1:10" x14ac:dyDescent="0.25">
      <c r="A608" s="16"/>
      <c r="B608" s="41" t="s">
        <v>151</v>
      </c>
      <c r="C608" s="8">
        <f>+C602</f>
        <v>0</v>
      </c>
      <c r="D608" s="2" t="s">
        <v>54</v>
      </c>
      <c r="E608" s="46">
        <f>+$E$588</f>
        <v>20</v>
      </c>
      <c r="F608" s="53">
        <f>E608*C608</f>
        <v>0</v>
      </c>
      <c r="G608" s="58"/>
    </row>
    <row r="609" spans="1:10" x14ac:dyDescent="0.25">
      <c r="A609" s="90"/>
      <c r="B609" s="41" t="s">
        <v>236</v>
      </c>
      <c r="C609" s="53">
        <v>2</v>
      </c>
      <c r="D609" s="41" t="s">
        <v>235</v>
      </c>
      <c r="E609" s="54">
        <f>+'[1]MO MAY25'!$N$533</f>
        <v>11500</v>
      </c>
      <c r="F609" s="53">
        <f>E609*C609</f>
        <v>23000</v>
      </c>
      <c r="G609" s="58"/>
      <c r="H609" s="41"/>
    </row>
    <row r="610" spans="1:10" x14ac:dyDescent="0.25">
      <c r="A610" s="90"/>
      <c r="B610" s="41" t="s">
        <v>237</v>
      </c>
      <c r="C610" s="53">
        <v>1.37</v>
      </c>
      <c r="D610" s="41" t="s">
        <v>81</v>
      </c>
      <c r="E610" s="54">
        <f>+'[1]MO MAY25'!$N$506</f>
        <v>977.5</v>
      </c>
      <c r="F610" s="53">
        <f>E610*C610</f>
        <v>1339.1750000000002</v>
      </c>
      <c r="G610" s="58"/>
      <c r="H610" s="41"/>
    </row>
    <row r="611" spans="1:10" ht="15.6" x14ac:dyDescent="0.3">
      <c r="A611" s="90"/>
      <c r="B611" s="41"/>
      <c r="C611" s="8"/>
      <c r="E611" s="46"/>
      <c r="F611" s="8"/>
      <c r="G611" s="59" t="e">
        <f>SUM(F602:F610)/C602</f>
        <v>#REF!</v>
      </c>
      <c r="H611" s="3" t="s">
        <v>59</v>
      </c>
    </row>
    <row r="612" spans="1:10" ht="15.6" x14ac:dyDescent="0.3">
      <c r="A612" s="90"/>
      <c r="B612" s="41"/>
      <c r="C612" s="8"/>
      <c r="E612" s="46"/>
      <c r="F612" s="8"/>
      <c r="G612" s="59"/>
      <c r="H612" s="3"/>
      <c r="J612" s="40"/>
    </row>
    <row r="613" spans="1:10" ht="15.6" x14ac:dyDescent="0.3">
      <c r="A613" s="90">
        <f>+A601+0.01</f>
        <v>9.139999999999997</v>
      </c>
      <c r="B613" s="3" t="s">
        <v>238</v>
      </c>
      <c r="C613" s="8"/>
      <c r="E613" s="46"/>
      <c r="F613" s="8"/>
      <c r="G613" s="58"/>
    </row>
    <row r="614" spans="1:10" x14ac:dyDescent="0.25">
      <c r="A614" s="90"/>
      <c r="B614" s="2" t="s">
        <v>163</v>
      </c>
      <c r="C614" s="8">
        <f>+'[2]8. Losas y muros macizos'!E190</f>
        <v>0</v>
      </c>
      <c r="D614" s="2" t="s">
        <v>54</v>
      </c>
      <c r="E614" s="54">
        <f>+'[1]Lista de precios MAY25'!$E$45</f>
        <v>9449.7350000000006</v>
      </c>
      <c r="F614" s="53">
        <f>E614*C614</f>
        <v>0</v>
      </c>
      <c r="G614" s="58"/>
    </row>
    <row r="615" spans="1:10" x14ac:dyDescent="0.25">
      <c r="A615" s="90"/>
      <c r="B615" s="41" t="s">
        <v>206</v>
      </c>
      <c r="C615" s="53" t="e">
        <f>+'[2]8. Losas y muros macizos'!$AI$190</f>
        <v>#DIV/0!</v>
      </c>
      <c r="D615" s="41" t="s">
        <v>147</v>
      </c>
      <c r="E615" s="54">
        <f>+'[1]Lista de precios MAY25'!$E$9</f>
        <v>3221.6681776971895</v>
      </c>
      <c r="F615" s="53" t="e">
        <f>E615*C615</f>
        <v>#DIV/0!</v>
      </c>
      <c r="G615" s="58"/>
    </row>
    <row r="616" spans="1:10" x14ac:dyDescent="0.25">
      <c r="A616" s="90"/>
      <c r="B616" s="41" t="s">
        <v>205</v>
      </c>
      <c r="C616" s="53" t="e">
        <f>+'[2]8. Losas y muros macizos'!$AH$190</f>
        <v>#DIV/0!</v>
      </c>
      <c r="D616" s="41" t="s">
        <v>147</v>
      </c>
      <c r="E616" s="54">
        <f>+'[1]Lista de precios MAY25'!$E$9</f>
        <v>3221.6681776971895</v>
      </c>
      <c r="F616" s="53" t="e">
        <f>E616*C616</f>
        <v>#DIV/0!</v>
      </c>
      <c r="G616" s="58"/>
    </row>
    <row r="617" spans="1:10" x14ac:dyDescent="0.25">
      <c r="A617" s="90"/>
      <c r="B617" s="41" t="s">
        <v>239</v>
      </c>
      <c r="C617" s="53"/>
      <c r="D617" s="41" t="s">
        <v>147</v>
      </c>
      <c r="E617" s="54">
        <f>+'[1]Lista de precios MAY25'!$E$9</f>
        <v>3221.6681776971895</v>
      </c>
      <c r="F617" s="53">
        <f>E617*C617</f>
        <v>0</v>
      </c>
      <c r="G617" s="58"/>
    </row>
    <row r="618" spans="1:10" x14ac:dyDescent="0.25">
      <c r="A618" s="90"/>
      <c r="B618" s="41" t="s">
        <v>148</v>
      </c>
      <c r="C618" s="53" t="e">
        <f>SUM(C615:C617)*2</f>
        <v>#DIV/0!</v>
      </c>
      <c r="D618" s="41" t="s">
        <v>82</v>
      </c>
      <c r="E618" s="54">
        <f>+'[1]Lista de precios MAY25'!$E$16</f>
        <v>79.001000000000005</v>
      </c>
      <c r="F618" s="53" t="e">
        <f>E618*C618</f>
        <v>#DIV/0!</v>
      </c>
      <c r="G618" s="58"/>
    </row>
    <row r="619" spans="1:10" x14ac:dyDescent="0.25">
      <c r="A619" s="90"/>
      <c r="B619" s="41" t="s">
        <v>67</v>
      </c>
      <c r="C619" s="53">
        <v>10</v>
      </c>
      <c r="D619" s="41" t="s">
        <v>34</v>
      </c>
      <c r="E619" s="46" t="e">
        <f>SUM(F614:F618)</f>
        <v>#DIV/0!</v>
      </c>
      <c r="F619" s="53" t="e">
        <f>E619*C619/100</f>
        <v>#DIV/0!</v>
      </c>
      <c r="G619" s="58"/>
    </row>
    <row r="620" spans="1:10" x14ac:dyDescent="0.25">
      <c r="A620" s="16"/>
      <c r="B620" s="41" t="s">
        <v>168</v>
      </c>
      <c r="C620" s="53">
        <v>2</v>
      </c>
      <c r="D620" s="41" t="s">
        <v>235</v>
      </c>
      <c r="E620" s="54">
        <f>+'[1]MO MAY25'!$N$107*1.05</f>
        <v>16905</v>
      </c>
      <c r="F620" s="53">
        <f t="shared" ref="F620:F625" si="20">E620*C620</f>
        <v>33810</v>
      </c>
      <c r="G620" s="58" t="s">
        <v>240</v>
      </c>
      <c r="H620" s="41"/>
    </row>
    <row r="621" spans="1:10" x14ac:dyDescent="0.25">
      <c r="A621" s="16"/>
      <c r="B621" s="41" t="s">
        <v>241</v>
      </c>
      <c r="C621" s="53">
        <f>1.2*2.6</f>
        <v>3.12</v>
      </c>
      <c r="D621" s="41" t="s">
        <v>81</v>
      </c>
      <c r="E621" s="54">
        <f>+'[1]MO MAY25'!N94</f>
        <v>270.25</v>
      </c>
      <c r="F621" s="53">
        <f t="shared" si="20"/>
        <v>843.18000000000006</v>
      </c>
      <c r="G621" s="58"/>
      <c r="H621" s="41"/>
    </row>
    <row r="622" spans="1:10" x14ac:dyDescent="0.25">
      <c r="A622" s="16"/>
      <c r="B622" s="41" t="s">
        <v>151</v>
      </c>
      <c r="C622" s="8">
        <f>+C614</f>
        <v>0</v>
      </c>
      <c r="D622" s="2" t="s">
        <v>54</v>
      </c>
      <c r="E622" s="46">
        <f>+$E$608</f>
        <v>20</v>
      </c>
      <c r="F622" s="53">
        <f t="shared" si="20"/>
        <v>0</v>
      </c>
      <c r="G622" s="58"/>
      <c r="I622" s="58"/>
    </row>
    <row r="623" spans="1:10" x14ac:dyDescent="0.25">
      <c r="A623" s="90"/>
      <c r="B623" s="41" t="s">
        <v>236</v>
      </c>
      <c r="C623" s="53">
        <v>2</v>
      </c>
      <c r="D623" s="41" t="s">
        <v>235</v>
      </c>
      <c r="E623" s="54">
        <f>+'[1]MO MAY25'!$N$533</f>
        <v>11500</v>
      </c>
      <c r="F623" s="53">
        <f t="shared" si="20"/>
        <v>23000</v>
      </c>
      <c r="G623" s="58"/>
      <c r="H623" s="41"/>
    </row>
    <row r="624" spans="1:10" x14ac:dyDescent="0.25">
      <c r="A624" s="90"/>
      <c r="B624" s="41" t="s">
        <v>237</v>
      </c>
      <c r="C624" s="53">
        <f>+C621</f>
        <v>3.12</v>
      </c>
      <c r="D624" s="41" t="s">
        <v>81</v>
      </c>
      <c r="E624" s="54">
        <f>+'[1]MO MAY25'!$N$506</f>
        <v>977.5</v>
      </c>
      <c r="F624" s="53">
        <f t="shared" si="20"/>
        <v>3049.8</v>
      </c>
      <c r="G624" s="58"/>
      <c r="H624" s="41"/>
    </row>
    <row r="625" spans="1:10" x14ac:dyDescent="0.25">
      <c r="A625" s="90"/>
      <c r="B625" s="41" t="s">
        <v>242</v>
      </c>
      <c r="C625" s="53">
        <v>1</v>
      </c>
      <c r="D625" s="41" t="s">
        <v>8</v>
      </c>
      <c r="E625" s="54">
        <f>+'[1]MO MAY25'!N534</f>
        <v>14950</v>
      </c>
      <c r="F625" s="53">
        <f t="shared" si="20"/>
        <v>14950</v>
      </c>
      <c r="G625" s="58"/>
      <c r="H625" s="41"/>
    </row>
    <row r="626" spans="1:10" x14ac:dyDescent="0.25">
      <c r="A626" s="90"/>
      <c r="B626" s="41"/>
      <c r="C626" s="53"/>
      <c r="D626" s="41"/>
      <c r="E626" s="54"/>
      <c r="F626" s="53"/>
      <c r="G626" s="58"/>
      <c r="H626" s="41"/>
      <c r="J626" s="40"/>
    </row>
    <row r="627" spans="1:10" ht="15.6" x14ac:dyDescent="0.3">
      <c r="A627" s="90"/>
      <c r="B627" s="41"/>
      <c r="C627" s="8"/>
      <c r="E627" s="46"/>
      <c r="F627" s="8"/>
      <c r="G627" s="112" t="e">
        <f>SUM(F614:F626)/C614</f>
        <v>#DIV/0!</v>
      </c>
      <c r="H627" s="113" t="s">
        <v>59</v>
      </c>
    </row>
    <row r="628" spans="1:10" ht="15.6" x14ac:dyDescent="0.3">
      <c r="A628" s="90"/>
      <c r="B628" s="41"/>
      <c r="C628" s="8"/>
      <c r="E628" s="46"/>
      <c r="F628" s="8"/>
      <c r="G628" s="59"/>
      <c r="H628" s="3"/>
    </row>
    <row r="629" spans="1:10" ht="15.6" x14ac:dyDescent="0.3">
      <c r="A629" s="90">
        <f>+A613+0.01</f>
        <v>9.1499999999999968</v>
      </c>
      <c r="B629" s="3" t="s">
        <v>243</v>
      </c>
      <c r="C629" s="8"/>
      <c r="E629" s="46"/>
      <c r="F629" s="8"/>
      <c r="G629" s="58"/>
    </row>
    <row r="630" spans="1:10" x14ac:dyDescent="0.25">
      <c r="A630" s="90"/>
      <c r="B630" s="2" t="s">
        <v>145</v>
      </c>
      <c r="C630" s="8">
        <f>+((7.9)*1.5)*0.15+(1.5)*1.52*0.15</f>
        <v>2.1194999999999999</v>
      </c>
      <c r="D630" s="2" t="s">
        <v>54</v>
      </c>
      <c r="E630" s="54">
        <f>+'[1]Lista de precios MAY25'!$E$44</f>
        <v>9027</v>
      </c>
      <c r="F630" s="53">
        <f>E630*C630</f>
        <v>19132.726500000001</v>
      </c>
      <c r="G630" s="58"/>
    </row>
    <row r="631" spans="1:10" x14ac:dyDescent="0.25">
      <c r="A631" s="90"/>
      <c r="B631" s="41" t="s">
        <v>206</v>
      </c>
      <c r="C631" s="53">
        <f>+((7.9/0.1+1)*1.62/6/7.49)*2+((1/0.2+1)*7.9/6/7.49)*2</f>
        <v>7.8771695594125513</v>
      </c>
      <c r="D631" s="41" t="s">
        <v>147</v>
      </c>
      <c r="E631" s="54">
        <f>+'[1]Lista de precios MAY25'!$E$9</f>
        <v>3221.6681776971895</v>
      </c>
      <c r="F631" s="53">
        <f>E631*C631</f>
        <v>25377.626499884409</v>
      </c>
      <c r="G631" s="58"/>
    </row>
    <row r="632" spans="1:10" x14ac:dyDescent="0.25">
      <c r="A632" s="90"/>
      <c r="B632" s="41" t="s">
        <v>205</v>
      </c>
      <c r="C632" s="53"/>
      <c r="D632" s="41" t="s">
        <v>147</v>
      </c>
      <c r="E632" s="54">
        <f>+'[1]Lista de precios MAY25'!$E$9</f>
        <v>3221.6681776971895</v>
      </c>
      <c r="F632" s="53">
        <f>E632*C632</f>
        <v>0</v>
      </c>
      <c r="G632" s="58"/>
    </row>
    <row r="633" spans="1:10" x14ac:dyDescent="0.25">
      <c r="A633" s="90"/>
      <c r="B633" s="41" t="s">
        <v>239</v>
      </c>
      <c r="C633" s="53"/>
      <c r="D633" s="41" t="s">
        <v>147</v>
      </c>
      <c r="E633" s="54">
        <f>+'[1]Lista de precios MAY25'!$E$9</f>
        <v>3221.6681776971895</v>
      </c>
      <c r="F633" s="53">
        <f>E633*C633</f>
        <v>0</v>
      </c>
      <c r="G633" s="58"/>
    </row>
    <row r="634" spans="1:10" x14ac:dyDescent="0.25">
      <c r="A634" s="90"/>
      <c r="B634" s="41" t="s">
        <v>148</v>
      </c>
      <c r="C634" s="53">
        <f>SUM(C631:C633)*2</f>
        <v>15.754339118825103</v>
      </c>
      <c r="D634" s="41" t="s">
        <v>82</v>
      </c>
      <c r="E634" s="54">
        <f>+'[1]Lista de precios MAY25'!$E$15</f>
        <v>79.001000000000005</v>
      </c>
      <c r="F634" s="53">
        <f>E634*C634</f>
        <v>1244.6085447263019</v>
      </c>
      <c r="G634" s="58"/>
    </row>
    <row r="635" spans="1:10" x14ac:dyDescent="0.25">
      <c r="A635" s="90"/>
      <c r="B635" s="41" t="s">
        <v>67</v>
      </c>
      <c r="C635" s="53">
        <v>15</v>
      </c>
      <c r="D635" s="41" t="s">
        <v>34</v>
      </c>
      <c r="E635" s="46">
        <f>SUM(F630:F634)</f>
        <v>45754.961544610713</v>
      </c>
      <c r="F635" s="53">
        <f>E635*C635/100</f>
        <v>6863.2442316916076</v>
      </c>
      <c r="G635" s="58"/>
    </row>
    <row r="636" spans="1:10" x14ac:dyDescent="0.25">
      <c r="A636" s="16"/>
      <c r="B636" s="41" t="s">
        <v>168</v>
      </c>
      <c r="C636" s="53">
        <v>1</v>
      </c>
      <c r="D636" s="41" t="s">
        <v>235</v>
      </c>
      <c r="E636" s="54">
        <f>+$E$620</f>
        <v>16905</v>
      </c>
      <c r="F636" s="53">
        <f t="shared" ref="F636:F642" si="21">E636*C636</f>
        <v>16905</v>
      </c>
      <c r="G636" s="58"/>
      <c r="H636" s="41"/>
    </row>
    <row r="637" spans="1:10" x14ac:dyDescent="0.25">
      <c r="A637" s="16"/>
      <c r="B637" s="41" t="s">
        <v>241</v>
      </c>
      <c r="C637" s="53">
        <v>5.17</v>
      </c>
      <c r="D637" s="41" t="s">
        <v>81</v>
      </c>
      <c r="E637" s="54">
        <f>+$E$621</f>
        <v>270.25</v>
      </c>
      <c r="F637" s="53">
        <f t="shared" si="21"/>
        <v>1397.1924999999999</v>
      </c>
      <c r="G637" s="58"/>
      <c r="H637" s="41"/>
    </row>
    <row r="638" spans="1:10" x14ac:dyDescent="0.25">
      <c r="A638" s="16"/>
      <c r="B638" s="41" t="s">
        <v>151</v>
      </c>
      <c r="C638" s="8">
        <f>+C630</f>
        <v>2.1194999999999999</v>
      </c>
      <c r="D638" s="2" t="s">
        <v>54</v>
      </c>
      <c r="E638" s="46">
        <f>+$E$622</f>
        <v>20</v>
      </c>
      <c r="F638" s="53">
        <f t="shared" si="21"/>
        <v>42.39</v>
      </c>
      <c r="G638" s="58"/>
      <c r="I638" s="58"/>
    </row>
    <row r="639" spans="1:10" x14ac:dyDescent="0.25">
      <c r="A639" s="90"/>
      <c r="B639" s="41" t="s">
        <v>236</v>
      </c>
      <c r="C639" s="53">
        <v>1</v>
      </c>
      <c r="D639" s="41" t="s">
        <v>235</v>
      </c>
      <c r="E639" s="54">
        <f>+$E$623</f>
        <v>11500</v>
      </c>
      <c r="F639" s="53">
        <f t="shared" si="21"/>
        <v>11500</v>
      </c>
      <c r="G639" s="58"/>
      <c r="H639" s="93"/>
      <c r="I639" s="40"/>
    </row>
    <row r="640" spans="1:10" x14ac:dyDescent="0.25">
      <c r="A640" s="90"/>
      <c r="B640" s="41" t="s">
        <v>237</v>
      </c>
      <c r="C640" s="53">
        <f>+C637</f>
        <v>5.17</v>
      </c>
      <c r="D640" s="41" t="s">
        <v>81</v>
      </c>
      <c r="E640" s="54">
        <f>+$E$624</f>
        <v>977.5</v>
      </c>
      <c r="F640" s="53">
        <f t="shared" si="21"/>
        <v>5053.6750000000002</v>
      </c>
      <c r="G640" s="58"/>
      <c r="H640" s="41"/>
    </row>
    <row r="641" spans="1:9" x14ac:dyDescent="0.25">
      <c r="A641" s="90"/>
      <c r="B641" s="41" t="s">
        <v>244</v>
      </c>
      <c r="C641" s="53">
        <f>+(4.45+8.72)*1.5</f>
        <v>19.755000000000003</v>
      </c>
      <c r="D641" s="41" t="s">
        <v>150</v>
      </c>
      <c r="E641" s="54"/>
      <c r="F641" s="53">
        <f t="shared" si="21"/>
        <v>0</v>
      </c>
      <c r="G641" s="58"/>
      <c r="H641" s="41"/>
    </row>
    <row r="642" spans="1:9" x14ac:dyDescent="0.25">
      <c r="A642" s="90"/>
      <c r="B642" s="41" t="s">
        <v>245</v>
      </c>
      <c r="C642" s="53">
        <f>+C641</f>
        <v>19.755000000000003</v>
      </c>
      <c r="D642" s="41" t="str">
        <f>+D641</f>
        <v>ML</v>
      </c>
      <c r="E642" s="54"/>
      <c r="F642" s="53">
        <f t="shared" si="21"/>
        <v>0</v>
      </c>
      <c r="G642" s="58"/>
      <c r="H642" s="41"/>
    </row>
    <row r="643" spans="1:9" ht="15.6" x14ac:dyDescent="0.3">
      <c r="A643" s="90"/>
      <c r="B643" s="41"/>
      <c r="C643" s="8"/>
      <c r="E643" s="46"/>
      <c r="F643" s="8"/>
      <c r="G643" s="59">
        <f>SUM(F630:F642)/C630</f>
        <v>41291.089066431858</v>
      </c>
      <c r="H643" s="3" t="s">
        <v>59</v>
      </c>
    </row>
    <row r="644" spans="1:9" ht="15.6" x14ac:dyDescent="0.3">
      <c r="A644" s="90"/>
      <c r="B644" s="41"/>
      <c r="C644" s="8"/>
      <c r="E644" s="46"/>
      <c r="F644" s="8"/>
      <c r="G644" s="59"/>
      <c r="H644" s="3"/>
    </row>
    <row r="645" spans="1:9" ht="15.6" x14ac:dyDescent="0.3">
      <c r="A645" s="90">
        <f>+A629+0.01</f>
        <v>9.1599999999999966</v>
      </c>
      <c r="B645" s="3" t="s">
        <v>246</v>
      </c>
      <c r="C645" s="8"/>
      <c r="E645" s="46"/>
      <c r="F645" s="8"/>
      <c r="G645" s="58"/>
      <c r="H645" s="41"/>
    </row>
    <row r="646" spans="1:9" x14ac:dyDescent="0.25">
      <c r="A646" s="90"/>
      <c r="B646" s="41" t="s">
        <v>247</v>
      </c>
      <c r="C646" s="53">
        <v>0.1</v>
      </c>
      <c r="D646" s="41" t="s">
        <v>54</v>
      </c>
      <c r="E646" s="54">
        <f>+'[1]Lista de precios MAY25'!E44</f>
        <v>9027</v>
      </c>
      <c r="F646" s="53">
        <f>E646*C646</f>
        <v>902.7</v>
      </c>
      <c r="G646" s="58"/>
      <c r="H646" s="41"/>
    </row>
    <row r="647" spans="1:9" x14ac:dyDescent="0.25">
      <c r="A647" s="90"/>
      <c r="B647" s="41" t="s">
        <v>248</v>
      </c>
      <c r="C647" s="53">
        <f>+C646</f>
        <v>0.1</v>
      </c>
      <c r="D647" s="41" t="s">
        <v>249</v>
      </c>
      <c r="E647" s="54"/>
      <c r="F647" s="53">
        <f>E647*C647</f>
        <v>0</v>
      </c>
      <c r="G647" s="58"/>
      <c r="H647" s="41"/>
    </row>
    <row r="648" spans="1:9" x14ac:dyDescent="0.25">
      <c r="A648" s="90"/>
      <c r="B648" s="41" t="s">
        <v>250</v>
      </c>
      <c r="C648" s="53">
        <v>1</v>
      </c>
      <c r="D648" s="41" t="s">
        <v>81</v>
      </c>
      <c r="E648" s="54">
        <f>+'[1]Lista de precios MAY25'!$E$10</f>
        <v>196.13338877500001</v>
      </c>
      <c r="F648" s="53">
        <f>E648*C648</f>
        <v>196.13338877500001</v>
      </c>
      <c r="G648" s="58"/>
      <c r="H648" s="41"/>
    </row>
    <row r="649" spans="1:9" x14ac:dyDescent="0.25">
      <c r="A649" s="90"/>
      <c r="B649" s="41" t="s">
        <v>67</v>
      </c>
      <c r="C649" s="53">
        <v>5</v>
      </c>
      <c r="D649" s="41" t="s">
        <v>34</v>
      </c>
      <c r="E649" s="46">
        <f>SUM(F646:F648)</f>
        <v>1098.833388775</v>
      </c>
      <c r="F649" s="53">
        <f>E649*C649/100</f>
        <v>54.941669438749997</v>
      </c>
      <c r="G649" s="58"/>
      <c r="H649" s="41"/>
    </row>
    <row r="650" spans="1:9" x14ac:dyDescent="0.25">
      <c r="A650" s="90"/>
      <c r="B650" s="41" t="s">
        <v>168</v>
      </c>
      <c r="C650" s="53">
        <v>1</v>
      </c>
      <c r="D650" s="41" t="s">
        <v>81</v>
      </c>
      <c r="E650" s="54">
        <f>+'[1]MO MAY25'!N97</f>
        <v>57.5</v>
      </c>
      <c r="F650" s="53">
        <f>E650*C650</f>
        <v>57.5</v>
      </c>
      <c r="G650" s="58"/>
      <c r="H650" s="41"/>
    </row>
    <row r="651" spans="1:9" x14ac:dyDescent="0.25">
      <c r="A651" s="90"/>
      <c r="B651" s="41" t="s">
        <v>228</v>
      </c>
      <c r="C651" s="53">
        <v>0.15</v>
      </c>
      <c r="D651" s="41" t="s">
        <v>150</v>
      </c>
      <c r="E651" s="54">
        <f>+'[1]MO MAY25'!$N$525</f>
        <v>224.25</v>
      </c>
      <c r="F651" s="53">
        <f>E651*C651</f>
        <v>33.637499999999996</v>
      </c>
      <c r="G651" s="58"/>
      <c r="H651" s="41"/>
    </row>
    <row r="652" spans="1:9" x14ac:dyDescent="0.25">
      <c r="A652" s="90"/>
      <c r="B652" s="41" t="s">
        <v>251</v>
      </c>
      <c r="C652" s="53">
        <v>1</v>
      </c>
      <c r="D652" s="41" t="s">
        <v>81</v>
      </c>
      <c r="E652" s="54">
        <f>+'[1]MO MAY25'!$N$193</f>
        <v>149.5</v>
      </c>
      <c r="F652" s="53">
        <f>E652*C652</f>
        <v>149.5</v>
      </c>
      <c r="G652" s="58"/>
      <c r="H652" s="41"/>
    </row>
    <row r="653" spans="1:9" x14ac:dyDescent="0.25">
      <c r="A653" s="90"/>
      <c r="B653" s="41" t="s">
        <v>151</v>
      </c>
      <c r="C653" s="8">
        <v>0.1</v>
      </c>
      <c r="D653" s="2" t="s">
        <v>54</v>
      </c>
      <c r="E653" s="46">
        <v>24.2</v>
      </c>
      <c r="F653" s="53">
        <f>E653*C653</f>
        <v>2.42</v>
      </c>
      <c r="G653" s="58"/>
      <c r="H653" s="41"/>
      <c r="I653" s="40"/>
    </row>
    <row r="654" spans="1:9" x14ac:dyDescent="0.25">
      <c r="A654" s="90"/>
      <c r="B654" s="41" t="s">
        <v>252</v>
      </c>
      <c r="C654" s="8">
        <v>0</v>
      </c>
      <c r="D654" s="2" t="s">
        <v>21</v>
      </c>
      <c r="E654" s="46">
        <f>+$G$180</f>
        <v>103.98679200000001</v>
      </c>
      <c r="F654" s="53">
        <f>E654*C654</f>
        <v>0</v>
      </c>
      <c r="G654" s="58"/>
      <c r="H654" s="41"/>
      <c r="I654" s="40"/>
    </row>
    <row r="655" spans="1:9" ht="15.6" x14ac:dyDescent="0.3">
      <c r="A655" s="90"/>
      <c r="B655" s="41"/>
      <c r="C655" s="8"/>
      <c r="E655" s="46"/>
      <c r="F655" s="8"/>
      <c r="G655" s="114">
        <f>SUM(F646:F654)</f>
        <v>1396.8325582137502</v>
      </c>
      <c r="H655" s="115" t="s">
        <v>141</v>
      </c>
      <c r="I655" s="40"/>
    </row>
    <row r="656" spans="1:9" ht="15.6" x14ac:dyDescent="0.3">
      <c r="A656" s="90">
        <f>+A645+0.01</f>
        <v>9.1699999999999964</v>
      </c>
      <c r="B656" s="3" t="s">
        <v>253</v>
      </c>
      <c r="C656" s="8"/>
      <c r="E656" s="46"/>
      <c r="F656" s="8"/>
      <c r="G656" s="59"/>
      <c r="H656" s="3"/>
      <c r="I656" s="40"/>
    </row>
    <row r="657" spans="1:8" ht="15.6" x14ac:dyDescent="0.3">
      <c r="A657" s="16"/>
      <c r="B657" s="2" t="s">
        <v>254</v>
      </c>
      <c r="C657" s="53">
        <v>1</v>
      </c>
      <c r="D657" s="2" t="s">
        <v>15</v>
      </c>
      <c r="E657" s="8">
        <f>+(5500+2500+950*2)</f>
        <v>9900</v>
      </c>
      <c r="F657" s="91">
        <f t="shared" ref="F657:F664" si="22">ROUND((C657*E657),2)</f>
        <v>9900</v>
      </c>
      <c r="G657" s="59"/>
    </row>
    <row r="658" spans="1:8" x14ac:dyDescent="0.25">
      <c r="A658" s="16"/>
      <c r="B658" s="2" t="s">
        <v>255</v>
      </c>
      <c r="C658" s="53">
        <f>0.9*0.6*0.4</f>
        <v>0.21600000000000003</v>
      </c>
      <c r="D658" s="41" t="s">
        <v>54</v>
      </c>
      <c r="E658" s="8">
        <v>1650</v>
      </c>
      <c r="F658" s="91">
        <f t="shared" si="22"/>
        <v>356.4</v>
      </c>
      <c r="G658" s="58"/>
      <c r="H658" s="41"/>
    </row>
    <row r="659" spans="1:8" x14ac:dyDescent="0.25">
      <c r="B659" s="2" t="s">
        <v>256</v>
      </c>
      <c r="C659" s="53">
        <f>0.9*1.05*0.15</f>
        <v>0.14175000000000001</v>
      </c>
      <c r="D659" s="41" t="s">
        <v>54</v>
      </c>
      <c r="E659" s="77">
        <v>35000</v>
      </c>
      <c r="F659" s="91">
        <f t="shared" si="22"/>
        <v>4961.25</v>
      </c>
      <c r="G659" s="58"/>
      <c r="H659" s="41"/>
    </row>
    <row r="660" spans="1:8" x14ac:dyDescent="0.25">
      <c r="A660" s="16"/>
      <c r="C660" s="53"/>
      <c r="E660" s="54"/>
      <c r="F660" s="91"/>
      <c r="G660" s="58"/>
      <c r="H660" s="41"/>
    </row>
    <row r="661" spans="1:8" x14ac:dyDescent="0.25">
      <c r="A661" s="16"/>
      <c r="B661" s="2" t="s">
        <v>257</v>
      </c>
      <c r="C661" s="53">
        <f>0.9*3</f>
        <v>2.7</v>
      </c>
      <c r="D661" s="2" t="s">
        <v>184</v>
      </c>
      <c r="E661" s="54">
        <f>+$G$880</f>
        <v>212.55087499999999</v>
      </c>
      <c r="F661" s="91">
        <f t="shared" si="22"/>
        <v>573.89</v>
      </c>
      <c r="G661" s="58"/>
      <c r="H661" s="41"/>
    </row>
    <row r="662" spans="1:8" x14ac:dyDescent="0.25">
      <c r="A662" s="16"/>
      <c r="B662" s="2" t="s">
        <v>258</v>
      </c>
      <c r="C662" s="53">
        <f>0.9*3</f>
        <v>2.7</v>
      </c>
      <c r="D662" s="2" t="s">
        <v>184</v>
      </c>
      <c r="E662" s="54">
        <f>+$G$904</f>
        <v>737.20648224999991</v>
      </c>
      <c r="F662" s="91">
        <f t="shared" si="22"/>
        <v>1990.46</v>
      </c>
      <c r="G662" s="58"/>
      <c r="H662" s="41"/>
    </row>
    <row r="663" spans="1:8" x14ac:dyDescent="0.25">
      <c r="A663" s="16"/>
      <c r="B663" s="2" t="s">
        <v>259</v>
      </c>
      <c r="C663" s="53">
        <f>0.9*2*0.3*4</f>
        <v>2.16</v>
      </c>
      <c r="D663" s="2" t="s">
        <v>184</v>
      </c>
      <c r="E663" s="54">
        <f>+$G$1045</f>
        <v>213.77894430000001</v>
      </c>
      <c r="F663" s="91">
        <f t="shared" si="22"/>
        <v>461.76</v>
      </c>
      <c r="G663" s="58"/>
      <c r="H663" s="41"/>
    </row>
    <row r="664" spans="1:8" x14ac:dyDescent="0.25">
      <c r="A664" s="16"/>
      <c r="B664" s="2" t="s">
        <v>260</v>
      </c>
      <c r="C664" s="91">
        <f>0.9/0.5</f>
        <v>1.8</v>
      </c>
      <c r="D664" s="2" t="s">
        <v>150</v>
      </c>
      <c r="E664" s="46">
        <f>111.2*56.8*1.05</f>
        <v>6631.9679999999998</v>
      </c>
      <c r="F664" s="91">
        <f t="shared" si="22"/>
        <v>11937.54</v>
      </c>
      <c r="G664" s="58"/>
      <c r="H664" s="41"/>
    </row>
    <row r="665" spans="1:8" x14ac:dyDescent="0.25">
      <c r="A665" s="16"/>
      <c r="C665" s="91"/>
      <c r="E665" s="46"/>
      <c r="F665" s="91"/>
      <c r="G665" s="58"/>
      <c r="H665" s="41"/>
    </row>
    <row r="666" spans="1:8" x14ac:dyDescent="0.25">
      <c r="A666" s="16"/>
      <c r="C666" s="53"/>
      <c r="E666" s="46"/>
      <c r="F666" s="91"/>
      <c r="G666" s="58"/>
      <c r="H666" s="41"/>
    </row>
    <row r="667" spans="1:8" x14ac:dyDescent="0.25">
      <c r="A667" s="16"/>
      <c r="C667" s="53"/>
      <c r="E667" s="116"/>
      <c r="F667" s="91"/>
      <c r="G667" s="117" t="s">
        <v>261</v>
      </c>
      <c r="H667" s="118"/>
    </row>
    <row r="668" spans="1:8" ht="15.6" x14ac:dyDescent="0.3">
      <c r="A668" s="16"/>
      <c r="B668" s="2" t="s">
        <v>126</v>
      </c>
      <c r="E668" s="46"/>
      <c r="G668" s="39">
        <f>SUM(F657:F667)</f>
        <v>30181.3</v>
      </c>
      <c r="H668" s="3" t="s">
        <v>19</v>
      </c>
    </row>
    <row r="669" spans="1:8" ht="15.6" x14ac:dyDescent="0.3">
      <c r="A669" s="90"/>
      <c r="B669" s="41"/>
      <c r="C669" s="53"/>
      <c r="D669" s="41"/>
      <c r="E669" s="46"/>
      <c r="F669" s="53"/>
      <c r="G669" s="39">
        <f>+G668/0.9</f>
        <v>33534.777777777774</v>
      </c>
      <c r="H669" s="3"/>
    </row>
    <row r="670" spans="1:8" ht="15.6" x14ac:dyDescent="0.3">
      <c r="A670" s="20">
        <f>+A412+1</f>
        <v>10</v>
      </c>
      <c r="B670" s="3" t="s">
        <v>262</v>
      </c>
      <c r="C670" s="8"/>
      <c r="E670" s="46"/>
      <c r="F670" s="8"/>
      <c r="G670" s="58"/>
    </row>
    <row r="671" spans="1:8" x14ac:dyDescent="0.25">
      <c r="A671" s="90"/>
      <c r="B671" s="41"/>
      <c r="C671" s="53"/>
      <c r="D671" s="41"/>
      <c r="E671" s="46"/>
      <c r="F671" s="53"/>
      <c r="G671" s="58"/>
    </row>
    <row r="672" spans="1:8" ht="15.6" x14ac:dyDescent="0.3">
      <c r="A672" s="90">
        <f>0.01+A670</f>
        <v>10.01</v>
      </c>
      <c r="B672" s="104" t="s">
        <v>263</v>
      </c>
      <c r="C672" s="8"/>
      <c r="E672" s="46"/>
      <c r="F672" s="8"/>
      <c r="G672" s="58"/>
      <c r="H672" s="41"/>
    </row>
    <row r="673" spans="1:10" x14ac:dyDescent="0.25">
      <c r="A673" s="90"/>
      <c r="B673" s="41" t="s">
        <v>264</v>
      </c>
      <c r="C673" s="119">
        <v>13</v>
      </c>
      <c r="D673" s="41" t="s">
        <v>45</v>
      </c>
      <c r="E673" s="54">
        <f>+'[1]Lista de precios MAY25'!$E$28</f>
        <v>124.9974</v>
      </c>
      <c r="F673" s="53">
        <f>E673*C673</f>
        <v>1624.9662000000001</v>
      </c>
      <c r="G673" s="117" t="s">
        <v>261</v>
      </c>
    </row>
    <row r="674" spans="1:10" x14ac:dyDescent="0.25">
      <c r="A674" s="90"/>
      <c r="B674" s="41" t="s">
        <v>265</v>
      </c>
      <c r="C674" s="119">
        <v>0.06</v>
      </c>
      <c r="D674" s="41" t="s">
        <v>54</v>
      </c>
      <c r="E674" s="54">
        <f>+$G$55</f>
        <v>9859.73</v>
      </c>
      <c r="F674" s="53">
        <f>E674*C674</f>
        <v>591.5838</v>
      </c>
      <c r="G674" s="58"/>
      <c r="I674" s="2" t="s">
        <v>266</v>
      </c>
    </row>
    <row r="675" spans="1:10" x14ac:dyDescent="0.25">
      <c r="A675" s="90"/>
      <c r="B675" s="41" t="s">
        <v>267</v>
      </c>
      <c r="C675" s="119">
        <v>0.12</v>
      </c>
      <c r="D675" s="41" t="s">
        <v>54</v>
      </c>
      <c r="E675" s="54">
        <f>+$G$48</f>
        <v>7121.15</v>
      </c>
      <c r="F675" s="53">
        <f>E675*C675</f>
        <v>854.5379999999999</v>
      </c>
      <c r="G675" s="58"/>
    </row>
    <row r="676" spans="1:10" x14ac:dyDescent="0.25">
      <c r="A676" s="90"/>
      <c r="B676" s="41" t="s">
        <v>205</v>
      </c>
      <c r="C676" s="120">
        <f>0.039*1.5*2</f>
        <v>0.11699999999999999</v>
      </c>
      <c r="D676" s="41" t="s">
        <v>147</v>
      </c>
      <c r="E676" s="54">
        <f>+'[1]Lista de precios MAY25'!$E$9</f>
        <v>3221.6681776971895</v>
      </c>
      <c r="F676" s="53">
        <f>E676*C676</f>
        <v>376.93517679057118</v>
      </c>
      <c r="G676" s="58"/>
    </row>
    <row r="677" spans="1:10" x14ac:dyDescent="0.25">
      <c r="A677" s="90"/>
      <c r="B677" s="41" t="s">
        <v>148</v>
      </c>
      <c r="C677" s="119">
        <f>+C676*2</f>
        <v>0.23399999999999999</v>
      </c>
      <c r="D677" s="41" t="s">
        <v>82</v>
      </c>
      <c r="E677" s="54">
        <f>+'[1]Lista de precios MAY25'!$E$15</f>
        <v>79.001000000000005</v>
      </c>
      <c r="F677" s="53">
        <f>E677*C677</f>
        <v>18.486234</v>
      </c>
      <c r="G677" s="58"/>
    </row>
    <row r="678" spans="1:10" x14ac:dyDescent="0.25">
      <c r="A678" s="90"/>
      <c r="B678" s="41" t="s">
        <v>268</v>
      </c>
      <c r="C678" s="119">
        <v>5</v>
      </c>
      <c r="D678" s="41" t="s">
        <v>34</v>
      </c>
      <c r="E678" s="46">
        <f>SUM(F673:F677)</f>
        <v>3466.5094107905716</v>
      </c>
      <c r="F678" s="53">
        <f>E678*C678/100</f>
        <v>173.32547053952857</v>
      </c>
      <c r="G678" s="58"/>
    </row>
    <row r="679" spans="1:10" x14ac:dyDescent="0.25">
      <c r="A679" s="90"/>
      <c r="B679" s="41" t="s">
        <v>269</v>
      </c>
      <c r="C679" s="119">
        <v>13</v>
      </c>
      <c r="D679" s="41" t="s">
        <v>45</v>
      </c>
      <c r="E679" s="54"/>
      <c r="F679" s="53">
        <f>E679*C679</f>
        <v>0</v>
      </c>
      <c r="G679" s="58"/>
    </row>
    <row r="680" spans="1:10" x14ac:dyDescent="0.25">
      <c r="A680" s="90"/>
      <c r="B680" s="41" t="s">
        <v>270</v>
      </c>
      <c r="C680" s="119">
        <v>13</v>
      </c>
      <c r="D680" s="41" t="s">
        <v>45</v>
      </c>
      <c r="E680" s="54"/>
      <c r="F680" s="53">
        <f>E680*C680</f>
        <v>0</v>
      </c>
      <c r="G680" s="58"/>
    </row>
    <row r="681" spans="1:10" x14ac:dyDescent="0.25">
      <c r="A681" s="90"/>
      <c r="B681" s="41" t="s">
        <v>271</v>
      </c>
      <c r="C681" s="119">
        <v>13</v>
      </c>
      <c r="D681" s="41" t="s">
        <v>45</v>
      </c>
      <c r="E681" s="54">
        <f>+'[1]MO MAY25'!$N$127</f>
        <v>57.5</v>
      </c>
      <c r="F681" s="53">
        <f>E681*C681</f>
        <v>747.5</v>
      </c>
      <c r="G681" s="58"/>
    </row>
    <row r="682" spans="1:10" ht="15.6" x14ac:dyDescent="0.3">
      <c r="A682" s="90"/>
      <c r="B682" s="41"/>
      <c r="C682" s="53"/>
      <c r="D682" s="41"/>
      <c r="E682" s="46"/>
      <c r="F682" s="53"/>
      <c r="G682" s="121">
        <f>SUM(F673:F681)</f>
        <v>4387.3348813301</v>
      </c>
      <c r="H682" s="3" t="s">
        <v>141</v>
      </c>
      <c r="J682" s="59"/>
    </row>
    <row r="683" spans="1:10" ht="15.6" x14ac:dyDescent="0.3">
      <c r="A683" s="90">
        <f>+A672+0.01</f>
        <v>10.02</v>
      </c>
      <c r="B683" s="104" t="s">
        <v>272</v>
      </c>
      <c r="C683" s="8"/>
      <c r="E683" s="46"/>
      <c r="F683" s="8"/>
      <c r="G683" s="58"/>
      <c r="H683" s="41"/>
    </row>
    <row r="684" spans="1:10" x14ac:dyDescent="0.25">
      <c r="A684" s="90"/>
      <c r="B684" s="41" t="s">
        <v>264</v>
      </c>
      <c r="C684" s="119">
        <v>13</v>
      </c>
      <c r="D684" s="41" t="s">
        <v>45</v>
      </c>
      <c r="E684" s="54">
        <f>+'[1]Lista de precios MAY25'!E$28</f>
        <v>124.9974</v>
      </c>
      <c r="F684" s="53">
        <f>E684*C684</f>
        <v>1624.9662000000001</v>
      </c>
      <c r="G684" s="58"/>
    </row>
    <row r="685" spans="1:10" x14ac:dyDescent="0.25">
      <c r="A685" s="90"/>
      <c r="B685" s="41" t="s">
        <v>265</v>
      </c>
      <c r="C685" s="119">
        <v>0.06</v>
      </c>
      <c r="D685" s="41" t="s">
        <v>54</v>
      </c>
      <c r="E685" s="54">
        <f>+$G$55</f>
        <v>9859.73</v>
      </c>
      <c r="F685" s="53">
        <f>E685*C685</f>
        <v>591.5838</v>
      </c>
      <c r="G685" s="58"/>
      <c r="I685" s="2" t="s">
        <v>266</v>
      </c>
    </row>
    <row r="686" spans="1:10" x14ac:dyDescent="0.25">
      <c r="A686" s="90"/>
      <c r="B686" s="41" t="s">
        <v>267</v>
      </c>
      <c r="C686" s="119">
        <v>0.12</v>
      </c>
      <c r="D686" s="41" t="s">
        <v>54</v>
      </c>
      <c r="E686" s="54">
        <f>+$G$48</f>
        <v>7121.15</v>
      </c>
      <c r="F686" s="53">
        <f>E686*C686</f>
        <v>854.5379999999999</v>
      </c>
      <c r="G686" s="58"/>
    </row>
    <row r="687" spans="1:10" x14ac:dyDescent="0.25">
      <c r="A687" s="90"/>
      <c r="B687" s="41" t="s">
        <v>205</v>
      </c>
      <c r="C687" s="120">
        <f>0.039*1.5*2</f>
        <v>0.11699999999999999</v>
      </c>
      <c r="D687" s="41" t="s">
        <v>147</v>
      </c>
      <c r="E687" s="54">
        <f>+'[1]Lista de precios MAY25'!$E$9</f>
        <v>3221.6681776971895</v>
      </c>
      <c r="F687" s="53">
        <f>E687*C687</f>
        <v>376.93517679057118</v>
      </c>
      <c r="G687" s="58"/>
    </row>
    <row r="688" spans="1:10" x14ac:dyDescent="0.25">
      <c r="A688" s="90"/>
      <c r="B688" s="41" t="s">
        <v>148</v>
      </c>
      <c r="C688" s="119">
        <f>+C687*2</f>
        <v>0.23399999999999999</v>
      </c>
      <c r="D688" s="41" t="s">
        <v>82</v>
      </c>
      <c r="E688" s="54">
        <f>+'[1]Lista de precios MAY25'!$E$15</f>
        <v>79.001000000000005</v>
      </c>
      <c r="F688" s="53">
        <f>E688*C688</f>
        <v>18.486234</v>
      </c>
      <c r="G688" s="58"/>
    </row>
    <row r="689" spans="1:9" x14ac:dyDescent="0.25">
      <c r="A689" s="90"/>
      <c r="B689" s="41" t="s">
        <v>268</v>
      </c>
      <c r="C689" s="119">
        <v>5</v>
      </c>
      <c r="D689" s="41" t="s">
        <v>34</v>
      </c>
      <c r="E689" s="46">
        <f>SUM(F684:F688)</f>
        <v>3466.5094107905716</v>
      </c>
      <c r="F689" s="53">
        <f>E689*C689/100</f>
        <v>173.32547053952857</v>
      </c>
      <c r="G689" s="58"/>
    </row>
    <row r="690" spans="1:9" x14ac:dyDescent="0.25">
      <c r="A690" s="90"/>
      <c r="B690" s="41" t="s">
        <v>269</v>
      </c>
      <c r="C690" s="119">
        <v>13</v>
      </c>
      <c r="D690" s="41" t="s">
        <v>45</v>
      </c>
      <c r="E690" s="54"/>
      <c r="F690" s="53">
        <f>E690*C690</f>
        <v>0</v>
      </c>
      <c r="G690" s="58"/>
    </row>
    <row r="691" spans="1:9" x14ac:dyDescent="0.25">
      <c r="A691" s="90"/>
      <c r="B691" s="41" t="s">
        <v>270</v>
      </c>
      <c r="C691" s="119">
        <v>13</v>
      </c>
      <c r="D691" s="41" t="s">
        <v>45</v>
      </c>
      <c r="E691" s="54"/>
      <c r="F691" s="53">
        <f>E691*C691</f>
        <v>0</v>
      </c>
      <c r="G691" s="58"/>
    </row>
    <row r="692" spans="1:9" x14ac:dyDescent="0.25">
      <c r="A692" s="90"/>
      <c r="B692" s="41" t="s">
        <v>271</v>
      </c>
      <c r="C692" s="119">
        <v>13</v>
      </c>
      <c r="D692" s="41" t="s">
        <v>45</v>
      </c>
      <c r="E692" s="54">
        <f>+'[1]MO MAY25'!$N$127</f>
        <v>57.5</v>
      </c>
      <c r="F692" s="53">
        <f>E692*C692</f>
        <v>747.5</v>
      </c>
      <c r="G692" s="58"/>
    </row>
    <row r="693" spans="1:9" ht="15.6" x14ac:dyDescent="0.3">
      <c r="A693" s="90"/>
      <c r="B693" s="41"/>
      <c r="C693" s="53"/>
      <c r="D693" s="41"/>
      <c r="E693" s="46"/>
      <c r="F693" s="53"/>
      <c r="G693" s="121">
        <f>SUM(F684:F692)</f>
        <v>4387.3348813301</v>
      </c>
      <c r="H693" s="122" t="s">
        <v>141</v>
      </c>
      <c r="I693" s="123" t="s">
        <v>101</v>
      </c>
    </row>
    <row r="694" spans="1:9" ht="15.6" x14ac:dyDescent="0.3">
      <c r="A694" s="90">
        <f>+A683+0.01</f>
        <v>10.029999999999999</v>
      </c>
      <c r="B694" s="104" t="s">
        <v>273</v>
      </c>
      <c r="C694" s="8"/>
      <c r="E694" s="46"/>
      <c r="F694" s="8"/>
      <c r="G694" s="124">
        <f>G693+(F689+F690+F691)*0.15</f>
        <v>4413.3337019110295</v>
      </c>
      <c r="H694" s="122" t="s">
        <v>141</v>
      </c>
      <c r="I694" s="123" t="s">
        <v>274</v>
      </c>
    </row>
    <row r="695" spans="1:9" x14ac:dyDescent="0.25">
      <c r="A695" s="90"/>
      <c r="B695" s="41" t="s">
        <v>264</v>
      </c>
      <c r="C695" s="119">
        <v>13</v>
      </c>
      <c r="D695" s="41" t="s">
        <v>45</v>
      </c>
      <c r="E695" s="54">
        <f>+'[1]Lista de precios MAY25'!E$28</f>
        <v>124.9974</v>
      </c>
      <c r="F695" s="53">
        <f>E695*C695</f>
        <v>1624.9662000000001</v>
      </c>
      <c r="G695" s="58"/>
    </row>
    <row r="696" spans="1:9" x14ac:dyDescent="0.25">
      <c r="A696" s="90"/>
      <c r="B696" s="41" t="s">
        <v>265</v>
      </c>
      <c r="C696" s="119">
        <v>0.06</v>
      </c>
      <c r="D696" s="41" t="s">
        <v>54</v>
      </c>
      <c r="E696" s="54">
        <f>+$G$55</f>
        <v>9859.73</v>
      </c>
      <c r="F696" s="53">
        <f>E696*C696</f>
        <v>591.5838</v>
      </c>
      <c r="G696" s="58"/>
      <c r="I696" s="2" t="s">
        <v>266</v>
      </c>
    </row>
    <row r="697" spans="1:9" x14ac:dyDescent="0.25">
      <c r="A697" s="90"/>
      <c r="B697" s="41" t="s">
        <v>267</v>
      </c>
      <c r="C697" s="119">
        <v>0.12</v>
      </c>
      <c r="D697" s="41" t="s">
        <v>54</v>
      </c>
      <c r="E697" s="54">
        <f>+$G$48</f>
        <v>7121.15</v>
      </c>
      <c r="F697" s="53">
        <f>E697*C697</f>
        <v>854.5379999999999</v>
      </c>
      <c r="G697" s="58"/>
    </row>
    <row r="698" spans="1:9" x14ac:dyDescent="0.25">
      <c r="A698" s="90"/>
      <c r="B698" s="41" t="s">
        <v>205</v>
      </c>
      <c r="C698" s="120">
        <f>0.039*1.5*2</f>
        <v>0.11699999999999999</v>
      </c>
      <c r="D698" s="41" t="s">
        <v>147</v>
      </c>
      <c r="E698" s="54">
        <f>+'[1]Lista de precios MAY25'!$E$32</f>
        <v>1417.5</v>
      </c>
      <c r="F698" s="53">
        <f>E698*C698</f>
        <v>165.8475</v>
      </c>
      <c r="G698" s="58"/>
    </row>
    <row r="699" spans="1:9" x14ac:dyDescent="0.25">
      <c r="A699" s="90"/>
      <c r="B699" s="41" t="s">
        <v>148</v>
      </c>
      <c r="C699" s="119">
        <f>+C698*2</f>
        <v>0.23399999999999999</v>
      </c>
      <c r="D699" s="41" t="s">
        <v>82</v>
      </c>
      <c r="E699" s="54">
        <f>+'[1]Lista de precios MAY25'!$E$15</f>
        <v>79.001000000000005</v>
      </c>
      <c r="F699" s="53">
        <f>E699*C699</f>
        <v>18.486234</v>
      </c>
      <c r="G699" s="58"/>
    </row>
    <row r="700" spans="1:9" x14ac:dyDescent="0.25">
      <c r="A700" s="90"/>
      <c r="B700" s="41" t="s">
        <v>268</v>
      </c>
      <c r="C700" s="119">
        <v>5</v>
      </c>
      <c r="D700" s="41" t="s">
        <v>34</v>
      </c>
      <c r="E700" s="46">
        <f>SUM(F695:F699)</f>
        <v>3255.421734</v>
      </c>
      <c r="F700" s="53">
        <f>E700*C700/100</f>
        <v>162.77108669999998</v>
      </c>
      <c r="G700" s="58"/>
    </row>
    <row r="701" spans="1:9" x14ac:dyDescent="0.25">
      <c r="A701" s="90"/>
      <c r="B701" s="41" t="s">
        <v>269</v>
      </c>
      <c r="C701" s="119">
        <v>13</v>
      </c>
      <c r="D701" s="41" t="s">
        <v>45</v>
      </c>
      <c r="E701" s="54"/>
      <c r="F701" s="53">
        <f>E701*C701</f>
        <v>0</v>
      </c>
      <c r="G701" s="58"/>
    </row>
    <row r="702" spans="1:9" x14ac:dyDescent="0.25">
      <c r="A702" s="90"/>
      <c r="B702" s="41" t="s">
        <v>270</v>
      </c>
      <c r="C702" s="119">
        <v>13</v>
      </c>
      <c r="D702" s="41" t="s">
        <v>45</v>
      </c>
      <c r="E702" s="54"/>
      <c r="F702" s="53">
        <f>E702*C702</f>
        <v>0</v>
      </c>
      <c r="G702" s="58"/>
    </row>
    <row r="703" spans="1:9" x14ac:dyDescent="0.25">
      <c r="A703" s="90"/>
      <c r="B703" s="41" t="s">
        <v>271</v>
      </c>
      <c r="C703" s="119">
        <v>13</v>
      </c>
      <c r="D703" s="41" t="s">
        <v>45</v>
      </c>
      <c r="E703" s="54">
        <f>+'[1]MO MAY25'!$N$133</f>
        <v>59.8</v>
      </c>
      <c r="F703" s="53">
        <f>E703*C703</f>
        <v>777.4</v>
      </c>
      <c r="G703" s="58"/>
    </row>
    <row r="704" spans="1:9" ht="15.6" x14ac:dyDescent="0.3">
      <c r="A704" s="90"/>
      <c r="B704" s="41"/>
      <c r="C704" s="53"/>
      <c r="D704" s="41"/>
      <c r="E704" s="46"/>
      <c r="F704" s="53"/>
      <c r="G704" s="125">
        <f>SUM(F695:F703)</f>
        <v>4195.5928206999997</v>
      </c>
      <c r="H704" s="122" t="s">
        <v>141</v>
      </c>
      <c r="I704" s="123" t="s">
        <v>101</v>
      </c>
    </row>
    <row r="705" spans="1:9" ht="15.6" x14ac:dyDescent="0.3">
      <c r="A705" s="90">
        <f>0.01+A694</f>
        <v>10.039999999999999</v>
      </c>
      <c r="B705" s="104" t="s">
        <v>275</v>
      </c>
      <c r="C705" s="8"/>
      <c r="E705" s="46"/>
      <c r="F705" s="8"/>
      <c r="G705" s="124">
        <f>G704+(F700+F701+F702)*0.15</f>
        <v>4220.0084837049999</v>
      </c>
      <c r="H705" s="126" t="s">
        <v>141</v>
      </c>
      <c r="I705" s="127" t="s">
        <v>274</v>
      </c>
    </row>
    <row r="706" spans="1:9" x14ac:dyDescent="0.25">
      <c r="A706" s="90"/>
      <c r="B706" s="41" t="s">
        <v>276</v>
      </c>
      <c r="C706" s="119">
        <v>13</v>
      </c>
      <c r="D706" s="41" t="s">
        <v>45</v>
      </c>
      <c r="E706" s="54">
        <f>+'[1]Lista de precios MAY25'!$E$27</f>
        <v>56.7</v>
      </c>
      <c r="F706" s="53">
        <f>E706*C706</f>
        <v>737.1</v>
      </c>
      <c r="G706" s="58"/>
    </row>
    <row r="707" spans="1:9" x14ac:dyDescent="0.25">
      <c r="A707" s="90"/>
      <c r="B707" s="41" t="s">
        <v>265</v>
      </c>
      <c r="C707" s="119">
        <v>0.04</v>
      </c>
      <c r="D707" s="41" t="s">
        <v>54</v>
      </c>
      <c r="E707" s="54">
        <f>+$G$55</f>
        <v>9859.73</v>
      </c>
      <c r="F707" s="53">
        <f>E707*C707</f>
        <v>394.38920000000002</v>
      </c>
      <c r="G707" s="58"/>
    </row>
    <row r="708" spans="1:9" x14ac:dyDescent="0.25">
      <c r="A708" s="90"/>
      <c r="B708" s="41" t="s">
        <v>267</v>
      </c>
      <c r="C708" s="119">
        <f>0.017*3*1.5</f>
        <v>7.6500000000000012E-2</v>
      </c>
      <c r="D708" s="41" t="s">
        <v>54</v>
      </c>
      <c r="E708" s="54">
        <f>+$G$48</f>
        <v>7121.15</v>
      </c>
      <c r="F708" s="53">
        <f>E708*C708</f>
        <v>544.76797500000009</v>
      </c>
      <c r="G708" s="58"/>
    </row>
    <row r="709" spans="1:9" x14ac:dyDescent="0.25">
      <c r="A709" s="90"/>
      <c r="B709" s="41" t="s">
        <v>205</v>
      </c>
      <c r="C709" s="120">
        <v>9.2299999999999993E-2</v>
      </c>
      <c r="D709" s="41" t="s">
        <v>147</v>
      </c>
      <c r="E709" s="54">
        <f>+'[1]Lista de precios MAY25'!$E$9</f>
        <v>3221.6681776971895</v>
      </c>
      <c r="F709" s="53">
        <f>E709*C709</f>
        <v>297.35997280145057</v>
      </c>
      <c r="G709" s="58"/>
    </row>
    <row r="710" spans="1:9" x14ac:dyDescent="0.25">
      <c r="A710" s="90"/>
      <c r="B710" s="41" t="s">
        <v>148</v>
      </c>
      <c r="C710" s="119">
        <f>+C709*2</f>
        <v>0.18459999999999999</v>
      </c>
      <c r="D710" s="41" t="s">
        <v>82</v>
      </c>
      <c r="E710" s="54">
        <f>+'[1]Lista de precios MAY25'!$E$15</f>
        <v>79.001000000000005</v>
      </c>
      <c r="F710" s="53">
        <f>E710*C710</f>
        <v>14.5835846</v>
      </c>
      <c r="G710" s="58"/>
    </row>
    <row r="711" spans="1:9" x14ac:dyDescent="0.25">
      <c r="A711" s="90"/>
      <c r="B711" s="41" t="s">
        <v>268</v>
      </c>
      <c r="C711" s="119">
        <v>5</v>
      </c>
      <c r="D711" s="41" t="s">
        <v>34</v>
      </c>
      <c r="E711" s="46">
        <f>SUM(F706:F710)</f>
        <v>1988.2007324014508</v>
      </c>
      <c r="F711" s="53">
        <f>E711*C711/100</f>
        <v>99.410036620072532</v>
      </c>
      <c r="G711" s="58"/>
    </row>
    <row r="712" spans="1:9" x14ac:dyDescent="0.25">
      <c r="A712" s="90"/>
      <c r="B712" s="41" t="s">
        <v>269</v>
      </c>
      <c r="C712" s="119">
        <v>13</v>
      </c>
      <c r="D712" s="41" t="s">
        <v>45</v>
      </c>
      <c r="E712" s="54"/>
      <c r="F712" s="53">
        <f>E712*C712</f>
        <v>0</v>
      </c>
      <c r="G712" s="58"/>
    </row>
    <row r="713" spans="1:9" x14ac:dyDescent="0.25">
      <c r="A713" s="90"/>
      <c r="B713" s="41" t="s">
        <v>270</v>
      </c>
      <c r="C713" s="119">
        <v>13</v>
      </c>
      <c r="D713" s="41" t="s">
        <v>45</v>
      </c>
      <c r="E713" s="54"/>
      <c r="F713" s="53">
        <f>E713*C713</f>
        <v>0</v>
      </c>
      <c r="G713" s="58"/>
    </row>
    <row r="714" spans="1:9" x14ac:dyDescent="0.25">
      <c r="A714" s="90"/>
      <c r="B714" s="41" t="s">
        <v>271</v>
      </c>
      <c r="C714" s="119">
        <v>13</v>
      </c>
      <c r="D714" s="41" t="s">
        <v>45</v>
      </c>
      <c r="E714" s="54">
        <f>+'[1]MO MAY25'!$N$125</f>
        <v>41.4</v>
      </c>
      <c r="F714" s="53">
        <f>E714*C714</f>
        <v>538.19999999999993</v>
      </c>
      <c r="G714" s="58"/>
    </row>
    <row r="715" spans="1:9" ht="15.6" x14ac:dyDescent="0.3">
      <c r="A715" s="90"/>
      <c r="B715" s="41"/>
      <c r="C715" s="53"/>
      <c r="D715" s="41"/>
      <c r="E715" s="46"/>
      <c r="F715" s="53"/>
      <c r="G715" s="125">
        <f>SUM(F706:F714)</f>
        <v>2625.8107690215229</v>
      </c>
      <c r="H715" s="122" t="s">
        <v>141</v>
      </c>
      <c r="I715" s="123"/>
    </row>
    <row r="716" spans="1:9" ht="15.6" x14ac:dyDescent="0.3">
      <c r="A716" s="90">
        <f>0.01+A705</f>
        <v>10.049999999999999</v>
      </c>
      <c r="B716" s="104" t="s">
        <v>277</v>
      </c>
      <c r="C716" s="8"/>
      <c r="E716" s="46"/>
      <c r="F716" s="8"/>
      <c r="G716" s="59"/>
    </row>
    <row r="717" spans="1:9" x14ac:dyDescent="0.25">
      <c r="A717" s="90"/>
      <c r="B717" s="41" t="s">
        <v>276</v>
      </c>
      <c r="C717" s="119">
        <v>13</v>
      </c>
      <c r="D717" s="41" t="s">
        <v>45</v>
      </c>
      <c r="E717" s="54">
        <f>+'[1]Lista de precios MAY25'!$E$27</f>
        <v>56.7</v>
      </c>
      <c r="F717" s="53">
        <f>+C717*E717</f>
        <v>737.1</v>
      </c>
      <c r="G717" s="58"/>
    </row>
    <row r="718" spans="1:9" x14ac:dyDescent="0.25">
      <c r="A718" s="90"/>
      <c r="B718" s="41" t="s">
        <v>265</v>
      </c>
      <c r="C718" s="119">
        <f>+C707</f>
        <v>0.04</v>
      </c>
      <c r="D718" s="41" t="s">
        <v>54</v>
      </c>
      <c r="E718" s="54">
        <f>+$G$55</f>
        <v>9859.73</v>
      </c>
      <c r="F718" s="53">
        <f>+C718*E718</f>
        <v>394.38920000000002</v>
      </c>
      <c r="G718" s="58"/>
    </row>
    <row r="719" spans="1:9" x14ac:dyDescent="0.25">
      <c r="A719" s="90"/>
      <c r="B719" s="41" t="s">
        <v>267</v>
      </c>
      <c r="C719" s="119">
        <f>+C708</f>
        <v>7.6500000000000012E-2</v>
      </c>
      <c r="D719" s="41" t="s">
        <v>54</v>
      </c>
      <c r="E719" s="54">
        <f>+$G$48</f>
        <v>7121.15</v>
      </c>
      <c r="F719" s="53">
        <f>+C719*E719</f>
        <v>544.76797500000009</v>
      </c>
      <c r="G719" s="58"/>
    </row>
    <row r="720" spans="1:9" x14ac:dyDescent="0.25">
      <c r="A720" s="90"/>
      <c r="B720" s="41" t="s">
        <v>205</v>
      </c>
      <c r="C720" s="128">
        <v>9.2299999999999993E-2</v>
      </c>
      <c r="D720" s="41" t="s">
        <v>147</v>
      </c>
      <c r="E720" s="54">
        <f>+'[1]Lista de precios MAY25'!$E$9</f>
        <v>3221.6681776971895</v>
      </c>
      <c r="F720" s="53">
        <f>+C720*E720</f>
        <v>297.35997280145057</v>
      </c>
      <c r="G720" s="58"/>
    </row>
    <row r="721" spans="1:9" x14ac:dyDescent="0.25">
      <c r="A721" s="90"/>
      <c r="B721" s="41" t="s">
        <v>148</v>
      </c>
      <c r="C721" s="119">
        <f>+C720*2</f>
        <v>0.18459999999999999</v>
      </c>
      <c r="D721" s="41" t="s">
        <v>82</v>
      </c>
      <c r="E721" s="54">
        <f>+'[1]Lista de precios MAY25'!$E$15</f>
        <v>79.001000000000005</v>
      </c>
      <c r="F721" s="53">
        <f>+C721*E721</f>
        <v>14.5835846</v>
      </c>
      <c r="G721" s="58"/>
    </row>
    <row r="722" spans="1:9" x14ac:dyDescent="0.25">
      <c r="A722" s="90"/>
      <c r="B722" s="41" t="s">
        <v>268</v>
      </c>
      <c r="C722" s="119">
        <v>5</v>
      </c>
      <c r="D722" s="41" t="s">
        <v>34</v>
      </c>
      <c r="E722" s="46">
        <f>+(F717+F718+F719+F720+F721)</f>
        <v>1988.2007324014508</v>
      </c>
      <c r="F722" s="53">
        <f>(E722*C722)/100</f>
        <v>99.410036620072532</v>
      </c>
      <c r="G722" s="58"/>
    </row>
    <row r="723" spans="1:9" x14ac:dyDescent="0.25">
      <c r="A723" s="90"/>
      <c r="B723" s="41" t="s">
        <v>269</v>
      </c>
      <c r="C723" s="119">
        <v>13</v>
      </c>
      <c r="D723" s="41" t="s">
        <v>45</v>
      </c>
      <c r="E723" s="54"/>
      <c r="F723" s="53">
        <f>E723*C723</f>
        <v>0</v>
      </c>
      <c r="G723" s="58"/>
    </row>
    <row r="724" spans="1:9" x14ac:dyDescent="0.25">
      <c r="A724" s="90"/>
      <c r="B724" s="41" t="s">
        <v>270</v>
      </c>
      <c r="C724" s="119">
        <v>13</v>
      </c>
      <c r="D724" s="41" t="s">
        <v>45</v>
      </c>
      <c r="E724" s="54"/>
      <c r="F724" s="53">
        <f>E724*C724</f>
        <v>0</v>
      </c>
      <c r="G724" s="58"/>
    </row>
    <row r="725" spans="1:9" x14ac:dyDescent="0.25">
      <c r="A725" s="90"/>
      <c r="B725" s="41" t="s">
        <v>271</v>
      </c>
      <c r="C725" s="119">
        <v>13</v>
      </c>
      <c r="D725" s="41" t="s">
        <v>45</v>
      </c>
      <c r="E725" s="54">
        <f>+'[1]MO MAY25'!$N$125</f>
        <v>41.4</v>
      </c>
      <c r="F725" s="53">
        <f>C725*E725</f>
        <v>538.19999999999993</v>
      </c>
      <c r="G725" s="58"/>
    </row>
    <row r="726" spans="1:9" x14ac:dyDescent="0.25">
      <c r="A726" s="90"/>
      <c r="B726" s="41" t="s">
        <v>278</v>
      </c>
      <c r="C726" s="129">
        <v>0.75</v>
      </c>
      <c r="D726" s="41" t="s">
        <v>81</v>
      </c>
      <c r="E726" s="54">
        <f>+'[1]MO MAY25'!$N$512</f>
        <v>155.25</v>
      </c>
      <c r="F726" s="53">
        <f>C726*E726</f>
        <v>116.4375</v>
      </c>
      <c r="G726" s="58"/>
    </row>
    <row r="727" spans="1:9" ht="15.6" x14ac:dyDescent="0.3">
      <c r="A727" s="90"/>
      <c r="B727" s="41"/>
      <c r="C727" s="53"/>
      <c r="D727" s="41"/>
      <c r="E727" s="46"/>
      <c r="F727" s="53"/>
      <c r="G727" s="121">
        <f>SUM(F717:F726)</f>
        <v>2742.2482690215229</v>
      </c>
      <c r="H727" s="122" t="s">
        <v>141</v>
      </c>
      <c r="I727" s="123" t="s">
        <v>101</v>
      </c>
    </row>
    <row r="728" spans="1:9" ht="15.6" x14ac:dyDescent="0.3">
      <c r="A728" s="90"/>
      <c r="B728" s="41"/>
      <c r="C728" s="53"/>
      <c r="D728" s="41"/>
      <c r="E728" s="46"/>
      <c r="F728" s="53"/>
      <c r="G728" s="124">
        <f>G727+(F723+F724+F725)*0.15</f>
        <v>2822.9782690215229</v>
      </c>
      <c r="H728" s="126" t="s">
        <v>141</v>
      </c>
      <c r="I728" s="127" t="s">
        <v>274</v>
      </c>
    </row>
    <row r="729" spans="1:9" ht="15.6" x14ac:dyDescent="0.3">
      <c r="A729" s="90">
        <f>0.01+A716</f>
        <v>10.059999999999999</v>
      </c>
      <c r="B729" s="3" t="s">
        <v>279</v>
      </c>
      <c r="C729" s="8"/>
      <c r="E729" s="46"/>
      <c r="F729" s="8"/>
      <c r="G729" s="59"/>
      <c r="H729" s="21"/>
    </row>
    <row r="730" spans="1:9" x14ac:dyDescent="0.25">
      <c r="A730" s="90"/>
      <c r="B730" s="41" t="s">
        <v>276</v>
      </c>
      <c r="C730" s="119">
        <v>13</v>
      </c>
      <c r="D730" s="41" t="s">
        <v>45</v>
      </c>
      <c r="E730" s="54">
        <f>+'[1]Lista de precios MAY25'!$E$27</f>
        <v>56.7</v>
      </c>
      <c r="F730" s="53">
        <f>+C730*E730</f>
        <v>737.1</v>
      </c>
      <c r="G730" s="58"/>
    </row>
    <row r="731" spans="1:9" x14ac:dyDescent="0.25">
      <c r="A731" s="90"/>
      <c r="B731" s="41" t="s">
        <v>265</v>
      </c>
      <c r="C731" s="119">
        <f>+C718</f>
        <v>0.04</v>
      </c>
      <c r="D731" s="41" t="s">
        <v>54</v>
      </c>
      <c r="E731" s="54">
        <f>+$G$55</f>
        <v>9859.73</v>
      </c>
      <c r="F731" s="53">
        <f>+C731*E731</f>
        <v>394.38920000000002</v>
      </c>
      <c r="G731" s="58"/>
    </row>
    <row r="732" spans="1:9" x14ac:dyDescent="0.25">
      <c r="A732" s="90"/>
      <c r="B732" s="41" t="s">
        <v>267</v>
      </c>
      <c r="C732" s="119">
        <f>+C719</f>
        <v>7.6500000000000012E-2</v>
      </c>
      <c r="D732" s="41" t="s">
        <v>54</v>
      </c>
      <c r="E732" s="54">
        <f>+$G$48</f>
        <v>7121.15</v>
      </c>
      <c r="F732" s="53">
        <f>+C732*E732</f>
        <v>544.76797500000009</v>
      </c>
      <c r="G732" s="58"/>
    </row>
    <row r="733" spans="1:9" x14ac:dyDescent="0.25">
      <c r="A733" s="90"/>
      <c r="B733" s="41" t="s">
        <v>205</v>
      </c>
      <c r="C733" s="128">
        <f>+C720</f>
        <v>9.2299999999999993E-2</v>
      </c>
      <c r="D733" s="41" t="s">
        <v>147</v>
      </c>
      <c r="E733" s="54">
        <f>+'[1]Lista de precios MAY25'!$E$9</f>
        <v>3221.6681776971895</v>
      </c>
      <c r="F733" s="53">
        <f>+C733*E733</f>
        <v>297.35997280145057</v>
      </c>
      <c r="G733" s="58"/>
    </row>
    <row r="734" spans="1:9" x14ac:dyDescent="0.25">
      <c r="A734" s="90"/>
      <c r="B734" s="41" t="s">
        <v>148</v>
      </c>
      <c r="C734" s="119">
        <f>+C733*2</f>
        <v>0.18459999999999999</v>
      </c>
      <c r="D734" s="41" t="s">
        <v>82</v>
      </c>
      <c r="E734" s="54">
        <f>+'[1]Lista de precios MAY25'!$E$15</f>
        <v>79.001000000000005</v>
      </c>
      <c r="F734" s="53">
        <f>+C734*E734</f>
        <v>14.5835846</v>
      </c>
      <c r="G734" s="58"/>
    </row>
    <row r="735" spans="1:9" x14ac:dyDescent="0.25">
      <c r="A735" s="90"/>
      <c r="B735" s="41" t="s">
        <v>268</v>
      </c>
      <c r="C735" s="119">
        <v>5</v>
      </c>
      <c r="D735" s="41" t="s">
        <v>34</v>
      </c>
      <c r="E735" s="54">
        <f>SUM(F730:F734)</f>
        <v>1988.2007324014508</v>
      </c>
      <c r="F735" s="53">
        <f>(E735*C735)/100</f>
        <v>99.410036620072532</v>
      </c>
      <c r="G735" s="58"/>
    </row>
    <row r="736" spans="1:9" x14ac:dyDescent="0.25">
      <c r="A736" s="90"/>
      <c r="B736" s="41" t="s">
        <v>269</v>
      </c>
      <c r="C736" s="119">
        <v>13</v>
      </c>
      <c r="D736" s="41" t="s">
        <v>45</v>
      </c>
      <c r="E736" s="54"/>
      <c r="F736" s="53">
        <f>E736*C736</f>
        <v>0</v>
      </c>
      <c r="G736" s="58"/>
    </row>
    <row r="737" spans="1:9" x14ac:dyDescent="0.25">
      <c r="A737" s="90"/>
      <c r="B737" s="41" t="s">
        <v>270</v>
      </c>
      <c r="C737" s="119">
        <v>13</v>
      </c>
      <c r="D737" s="41" t="s">
        <v>45</v>
      </c>
      <c r="E737" s="54"/>
      <c r="F737" s="53">
        <f>E737*C737</f>
        <v>0</v>
      </c>
      <c r="G737" s="58"/>
    </row>
    <row r="738" spans="1:9" x14ac:dyDescent="0.25">
      <c r="A738" s="90"/>
      <c r="B738" s="41" t="s">
        <v>271</v>
      </c>
      <c r="C738" s="119">
        <v>13</v>
      </c>
      <c r="D738" s="41" t="s">
        <v>45</v>
      </c>
      <c r="E738" s="54">
        <f>+'[1]MO MAY25'!$N$137</f>
        <v>46</v>
      </c>
      <c r="F738" s="53">
        <f>C738*E738</f>
        <v>598</v>
      </c>
      <c r="G738" s="58"/>
    </row>
    <row r="739" spans="1:9" x14ac:dyDescent="0.25">
      <c r="A739" s="90"/>
      <c r="B739" s="41" t="s">
        <v>278</v>
      </c>
      <c r="C739" s="119">
        <v>2</v>
      </c>
      <c r="D739" s="41" t="s">
        <v>81</v>
      </c>
      <c r="E739" s="54">
        <f>+'[1]MO MAY25'!$N$512</f>
        <v>155.25</v>
      </c>
      <c r="F739" s="53">
        <f>C739*E739</f>
        <v>310.5</v>
      </c>
      <c r="G739" s="58"/>
    </row>
    <row r="740" spans="1:9" ht="15.6" x14ac:dyDescent="0.3">
      <c r="A740" s="90"/>
      <c r="B740" s="41"/>
      <c r="C740" s="53"/>
      <c r="D740" s="41"/>
      <c r="E740" s="46"/>
      <c r="F740" s="53"/>
      <c r="G740" s="121">
        <f>SUM(F730:F739)</f>
        <v>2996.1107690215231</v>
      </c>
      <c r="H740" s="122" t="s">
        <v>141</v>
      </c>
      <c r="I740" s="123" t="s">
        <v>101</v>
      </c>
    </row>
    <row r="741" spans="1:9" ht="15.6" x14ac:dyDescent="0.3">
      <c r="A741" s="90"/>
      <c r="B741" s="41"/>
      <c r="C741" s="53"/>
      <c r="D741" s="41"/>
      <c r="E741" s="46"/>
      <c r="F741" s="53"/>
      <c r="G741" s="124">
        <f>G740+(F736+F737+F738)*0.15</f>
        <v>3085.8107690215229</v>
      </c>
      <c r="H741" s="122" t="s">
        <v>141</v>
      </c>
      <c r="I741" s="123" t="s">
        <v>274</v>
      </c>
    </row>
    <row r="742" spans="1:9" ht="15.6" x14ac:dyDescent="0.3">
      <c r="A742" s="90">
        <f>0.01+A729</f>
        <v>10.069999999999999</v>
      </c>
      <c r="B742" s="104" t="s">
        <v>280</v>
      </c>
      <c r="C742" s="8"/>
      <c r="E742" s="46"/>
      <c r="F742" s="8"/>
      <c r="G742" s="58"/>
      <c r="H742" s="41"/>
    </row>
    <row r="743" spans="1:9" x14ac:dyDescent="0.25">
      <c r="A743" s="90"/>
      <c r="B743" s="41" t="s">
        <v>281</v>
      </c>
      <c r="C743" s="53">
        <v>13</v>
      </c>
      <c r="D743" s="41" t="s">
        <v>45</v>
      </c>
      <c r="E743" s="54">
        <f>+'[1]Lista de precios MAY25'!$E$26</f>
        <v>44</v>
      </c>
      <c r="F743" s="53">
        <f>E743*C743</f>
        <v>572</v>
      </c>
      <c r="G743" s="58"/>
      <c r="H743" s="41"/>
    </row>
    <row r="744" spans="1:9" x14ac:dyDescent="0.25">
      <c r="A744" s="90"/>
      <c r="B744" s="41" t="s">
        <v>265</v>
      </c>
      <c r="C744" s="119">
        <v>0.03</v>
      </c>
      <c r="D744" s="41" t="s">
        <v>54</v>
      </c>
      <c r="E744" s="54">
        <f>+$G$55</f>
        <v>9859.73</v>
      </c>
      <c r="F744" s="53">
        <f>E744*C744</f>
        <v>295.7919</v>
      </c>
      <c r="G744" s="58"/>
      <c r="H744" s="41"/>
    </row>
    <row r="745" spans="1:9" x14ac:dyDescent="0.25">
      <c r="A745" s="90"/>
      <c r="B745" s="41" t="s">
        <v>267</v>
      </c>
      <c r="C745" s="119">
        <f>0.064/2*1.5</f>
        <v>4.8000000000000001E-2</v>
      </c>
      <c r="D745" s="41" t="s">
        <v>54</v>
      </c>
      <c r="E745" s="54">
        <f>+$G$48</f>
        <v>7121.15</v>
      </c>
      <c r="F745" s="53">
        <f>E745*C745</f>
        <v>341.8152</v>
      </c>
      <c r="G745" s="58"/>
    </row>
    <row r="746" spans="1:9" x14ac:dyDescent="0.25">
      <c r="A746" s="90"/>
      <c r="B746" s="41" t="s">
        <v>167</v>
      </c>
      <c r="C746" s="128">
        <v>9.1999999999999998E-2</v>
      </c>
      <c r="D746" s="41" t="s">
        <v>147</v>
      </c>
      <c r="E746" s="54">
        <f>+'[1]Lista de precios MAY25'!$E$9</f>
        <v>3221.6681776971895</v>
      </c>
      <c r="F746" s="53">
        <f>E746*C746</f>
        <v>296.39347234814142</v>
      </c>
      <c r="G746" s="58"/>
    </row>
    <row r="747" spans="1:9" x14ac:dyDescent="0.25">
      <c r="A747" s="90"/>
      <c r="B747" s="41" t="s">
        <v>148</v>
      </c>
      <c r="C747" s="53">
        <f>+C746*2</f>
        <v>0.184</v>
      </c>
      <c r="D747" s="41" t="s">
        <v>82</v>
      </c>
      <c r="E747" s="54">
        <f>+'[1]Lista de precios MAY25'!$E$15</f>
        <v>79.001000000000005</v>
      </c>
      <c r="F747" s="53">
        <f>E747*C747</f>
        <v>14.536184</v>
      </c>
      <c r="G747" s="58"/>
    </row>
    <row r="748" spans="1:9" x14ac:dyDescent="0.25">
      <c r="A748" s="90"/>
      <c r="B748" s="41" t="s">
        <v>268</v>
      </c>
      <c r="C748" s="53">
        <v>5</v>
      </c>
      <c r="D748" s="41" t="s">
        <v>34</v>
      </c>
      <c r="E748" s="46">
        <f>+(F743+F744+F745+F746+F747)</f>
        <v>1520.5367563481414</v>
      </c>
      <c r="F748" s="53">
        <f>E748*C748/100</f>
        <v>76.02683781740707</v>
      </c>
      <c r="G748" s="58"/>
    </row>
    <row r="749" spans="1:9" x14ac:dyDescent="0.25">
      <c r="A749" s="90"/>
      <c r="B749" s="41" t="s">
        <v>269</v>
      </c>
      <c r="C749" s="119">
        <v>13</v>
      </c>
      <c r="D749" s="41" t="s">
        <v>45</v>
      </c>
      <c r="E749" s="54"/>
      <c r="F749" s="53">
        <f>E749*C749</f>
        <v>0</v>
      </c>
      <c r="G749" s="58"/>
    </row>
    <row r="750" spans="1:9" x14ac:dyDescent="0.25">
      <c r="A750" s="90"/>
      <c r="B750" s="41" t="s">
        <v>270</v>
      </c>
      <c r="C750" s="120">
        <v>13</v>
      </c>
      <c r="D750" s="41" t="s">
        <v>45</v>
      </c>
      <c r="E750" s="54"/>
      <c r="F750" s="53">
        <f>E750*C750</f>
        <v>0</v>
      </c>
      <c r="G750" s="58"/>
    </row>
    <row r="751" spans="1:9" x14ac:dyDescent="0.25">
      <c r="A751" s="90"/>
      <c r="B751" s="41" t="s">
        <v>271</v>
      </c>
      <c r="C751" s="53">
        <v>13</v>
      </c>
      <c r="D751" s="41" t="s">
        <v>45</v>
      </c>
      <c r="E751" s="54">
        <f>+'[1]MO MAY25'!$N$124</f>
        <v>37.950000000000003</v>
      </c>
      <c r="F751" s="53">
        <f>E751*C751</f>
        <v>493.35</v>
      </c>
      <c r="G751" s="58"/>
    </row>
    <row r="752" spans="1:9" ht="15.6" x14ac:dyDescent="0.3">
      <c r="A752" s="90"/>
      <c r="B752" s="41"/>
      <c r="C752" s="8"/>
      <c r="E752" s="46"/>
      <c r="F752" s="8"/>
      <c r="G752" s="59">
        <f>SUM(F743:F751)</f>
        <v>2089.9135941655486</v>
      </c>
      <c r="H752" s="3" t="s">
        <v>141</v>
      </c>
    </row>
    <row r="753" spans="1:9" ht="15.6" x14ac:dyDescent="0.3">
      <c r="A753" s="90">
        <f>0.01+A742</f>
        <v>10.079999999999998</v>
      </c>
      <c r="B753" s="104" t="s">
        <v>282</v>
      </c>
      <c r="C753" s="8"/>
      <c r="E753" s="46"/>
      <c r="F753" s="8"/>
      <c r="G753" s="40"/>
      <c r="H753" s="41"/>
    </row>
    <row r="754" spans="1:9" x14ac:dyDescent="0.25">
      <c r="A754" s="90"/>
      <c r="B754" s="41" t="s">
        <v>281</v>
      </c>
      <c r="C754" s="53">
        <v>13</v>
      </c>
      <c r="D754" s="41" t="s">
        <v>45</v>
      </c>
      <c r="E754" s="54">
        <f>+'[1]Lista de precios MAY25'!$E$26</f>
        <v>44</v>
      </c>
      <c r="F754" s="53">
        <f>E754*C754</f>
        <v>572</v>
      </c>
      <c r="G754" s="58"/>
      <c r="H754" s="41"/>
    </row>
    <row r="755" spans="1:9" x14ac:dyDescent="0.25">
      <c r="A755" s="90"/>
      <c r="B755" s="41" t="s">
        <v>265</v>
      </c>
      <c r="C755" s="119">
        <v>0.03</v>
      </c>
      <c r="D755" s="41" t="s">
        <v>54</v>
      </c>
      <c r="E755" s="54">
        <f>+$G$55</f>
        <v>9859.73</v>
      </c>
      <c r="F755" s="53">
        <f>E755*C755</f>
        <v>295.7919</v>
      </c>
      <c r="G755" s="58"/>
      <c r="H755" s="41"/>
    </row>
    <row r="756" spans="1:9" x14ac:dyDescent="0.25">
      <c r="A756" s="90"/>
      <c r="B756" s="41" t="s">
        <v>267</v>
      </c>
      <c r="C756" s="119">
        <f>0.064/2*1.5</f>
        <v>4.8000000000000001E-2</v>
      </c>
      <c r="D756" s="41" t="s">
        <v>54</v>
      </c>
      <c r="E756" s="54">
        <f>+$G$48</f>
        <v>7121.15</v>
      </c>
      <c r="F756" s="53">
        <f>E756*C756</f>
        <v>341.8152</v>
      </c>
      <c r="G756" s="58"/>
    </row>
    <row r="757" spans="1:9" x14ac:dyDescent="0.25">
      <c r="A757" s="90"/>
      <c r="B757" s="41" t="s">
        <v>167</v>
      </c>
      <c r="C757" s="128">
        <v>9.1999999999999998E-2</v>
      </c>
      <c r="D757" s="41" t="s">
        <v>147</v>
      </c>
      <c r="E757" s="54">
        <f>+'[1]Lista de precios MAY25'!$E$9</f>
        <v>3221.6681776971895</v>
      </c>
      <c r="F757" s="53">
        <f>E757*C757</f>
        <v>296.39347234814142</v>
      </c>
      <c r="G757" s="58"/>
    </row>
    <row r="758" spans="1:9" x14ac:dyDescent="0.25">
      <c r="A758" s="90"/>
      <c r="B758" s="41" t="s">
        <v>148</v>
      </c>
      <c r="C758" s="53">
        <f>+C757*2</f>
        <v>0.184</v>
      </c>
      <c r="D758" s="41" t="s">
        <v>82</v>
      </c>
      <c r="E758" s="54">
        <f>+'[1]Lista de precios MAY25'!$E$15</f>
        <v>79.001000000000005</v>
      </c>
      <c r="F758" s="53">
        <f>E758*C758</f>
        <v>14.536184</v>
      </c>
      <c r="G758" s="58"/>
    </row>
    <row r="759" spans="1:9" x14ac:dyDescent="0.25">
      <c r="A759" s="90"/>
      <c r="B759" s="41" t="s">
        <v>268</v>
      </c>
      <c r="C759" s="53">
        <v>5</v>
      </c>
      <c r="D759" s="41" t="s">
        <v>34</v>
      </c>
      <c r="E759" s="46">
        <f>+(F754+F755+F756+F757+F758)</f>
        <v>1520.5367563481414</v>
      </c>
      <c r="F759" s="53">
        <f>E759*C759/100</f>
        <v>76.02683781740707</v>
      </c>
      <c r="G759" s="58"/>
    </row>
    <row r="760" spans="1:9" x14ac:dyDescent="0.25">
      <c r="A760" s="90"/>
      <c r="B760" s="41" t="s">
        <v>269</v>
      </c>
      <c r="C760" s="119">
        <v>13</v>
      </c>
      <c r="D760" s="41" t="s">
        <v>45</v>
      </c>
      <c r="E760" s="54">
        <f>+$E$736</f>
        <v>0</v>
      </c>
      <c r="F760" s="53">
        <f>E760*C760</f>
        <v>0</v>
      </c>
      <c r="G760" s="58"/>
    </row>
    <row r="761" spans="1:9" x14ac:dyDescent="0.25">
      <c r="A761" s="90"/>
      <c r="B761" s="41" t="s">
        <v>270</v>
      </c>
      <c r="C761" s="119">
        <v>13</v>
      </c>
      <c r="D761" s="41" t="s">
        <v>45</v>
      </c>
      <c r="E761" s="54"/>
      <c r="F761" s="53">
        <f>E761*C761</f>
        <v>0</v>
      </c>
      <c r="G761" s="58"/>
    </row>
    <row r="762" spans="1:9" x14ac:dyDescent="0.25">
      <c r="A762" s="90"/>
      <c r="B762" s="41" t="s">
        <v>271</v>
      </c>
      <c r="C762" s="53">
        <v>13</v>
      </c>
      <c r="D762" s="41" t="s">
        <v>45</v>
      </c>
      <c r="E762" s="54">
        <f>+'[1]MO MAY25'!$N$124</f>
        <v>37.950000000000003</v>
      </c>
      <c r="F762" s="53">
        <f>E762*C762</f>
        <v>493.35</v>
      </c>
      <c r="G762" s="58"/>
    </row>
    <row r="763" spans="1:9" x14ac:dyDescent="0.25">
      <c r="A763" s="90"/>
      <c r="B763" s="41" t="s">
        <v>283</v>
      </c>
      <c r="C763" s="119">
        <v>0.5</v>
      </c>
      <c r="D763" s="41" t="s">
        <v>81</v>
      </c>
      <c r="E763" s="54">
        <f>+'[1]MO MAY25'!$N$512</f>
        <v>155.25</v>
      </c>
      <c r="F763" s="53">
        <f>E763*C763</f>
        <v>77.625</v>
      </c>
      <c r="G763" s="58"/>
    </row>
    <row r="764" spans="1:9" ht="15.6" x14ac:dyDescent="0.3">
      <c r="A764" s="90"/>
      <c r="B764" s="41"/>
      <c r="C764" s="8"/>
      <c r="E764" s="46"/>
      <c r="F764" s="8"/>
      <c r="G764" s="125">
        <f>SUM(F754:F763)</f>
        <v>2167.5385941655486</v>
      </c>
      <c r="H764" s="130" t="s">
        <v>141</v>
      </c>
      <c r="I764" s="123" t="s">
        <v>101</v>
      </c>
    </row>
    <row r="765" spans="1:9" ht="15.6" x14ac:dyDescent="0.3">
      <c r="A765" s="90">
        <f>0.01+A753</f>
        <v>10.089999999999998</v>
      </c>
      <c r="B765" s="104" t="s">
        <v>284</v>
      </c>
      <c r="C765" s="8"/>
      <c r="E765" s="46"/>
      <c r="F765" s="8"/>
      <c r="G765" s="121">
        <f>G764+(F760+F761)*0.15+(C762*'[2]MO MAY23'!$E$58-F762)</f>
        <v>2134.6485941655487</v>
      </c>
      <c r="H765" s="126" t="s">
        <v>141</v>
      </c>
      <c r="I765" s="127" t="s">
        <v>274</v>
      </c>
    </row>
    <row r="766" spans="1:9" x14ac:dyDescent="0.25">
      <c r="A766" s="90"/>
      <c r="B766" s="41" t="s">
        <v>281</v>
      </c>
      <c r="C766" s="53">
        <v>13</v>
      </c>
      <c r="D766" s="41" t="s">
        <v>45</v>
      </c>
      <c r="E766" s="54">
        <f>+'[1]Lista de precios MAY25'!$E$26</f>
        <v>44</v>
      </c>
      <c r="F766" s="53">
        <f>E766*C766</f>
        <v>572</v>
      </c>
      <c r="G766" s="58"/>
      <c r="H766" s="41"/>
    </row>
    <row r="767" spans="1:9" x14ac:dyDescent="0.25">
      <c r="A767" s="90"/>
      <c r="B767" s="41" t="s">
        <v>265</v>
      </c>
      <c r="C767" s="119">
        <v>0.03</v>
      </c>
      <c r="D767" s="41" t="s">
        <v>54</v>
      </c>
      <c r="E767" s="54">
        <f>+$G$55</f>
        <v>9859.73</v>
      </c>
      <c r="F767" s="53">
        <f>E767*C767</f>
        <v>295.7919</v>
      </c>
      <c r="G767" s="58"/>
      <c r="H767" s="41"/>
    </row>
    <row r="768" spans="1:9" x14ac:dyDescent="0.25">
      <c r="A768" s="90"/>
      <c r="B768" s="41" t="s">
        <v>267</v>
      </c>
      <c r="C768" s="119">
        <f>0.064/2*1.5</f>
        <v>4.8000000000000001E-2</v>
      </c>
      <c r="D768" s="41" t="s">
        <v>54</v>
      </c>
      <c r="E768" s="54">
        <f>+$G$48</f>
        <v>7121.15</v>
      </c>
      <c r="F768" s="53">
        <f>E768*C768</f>
        <v>341.8152</v>
      </c>
      <c r="G768" s="58"/>
    </row>
    <row r="769" spans="1:10" x14ac:dyDescent="0.25">
      <c r="A769" s="90"/>
      <c r="B769" s="41" t="s">
        <v>167</v>
      </c>
      <c r="C769" s="120">
        <f>0.039*1.5</f>
        <v>5.8499999999999996E-2</v>
      </c>
      <c r="D769" s="41" t="s">
        <v>147</v>
      </c>
      <c r="E769" s="54">
        <f>+'[1]Lista de precios MAY25'!$E$9</f>
        <v>3221.6681776971895</v>
      </c>
      <c r="F769" s="53">
        <f>E769*C769</f>
        <v>188.46758839528559</v>
      </c>
      <c r="G769" s="58"/>
    </row>
    <row r="770" spans="1:10" x14ac:dyDescent="0.25">
      <c r="A770" s="90"/>
      <c r="B770" s="41" t="s">
        <v>148</v>
      </c>
      <c r="C770" s="53">
        <f>+C769*2</f>
        <v>0.11699999999999999</v>
      </c>
      <c r="D770" s="41" t="s">
        <v>82</v>
      </c>
      <c r="E770" s="54">
        <f>+'[1]Lista de precios MAY25'!$E$15</f>
        <v>79.001000000000005</v>
      </c>
      <c r="F770" s="53">
        <f>E770*C770</f>
        <v>9.2431169999999998</v>
      </c>
      <c r="G770" s="58"/>
    </row>
    <row r="771" spans="1:10" x14ac:dyDescent="0.25">
      <c r="A771" s="90"/>
      <c r="B771" s="41" t="s">
        <v>268</v>
      </c>
      <c r="C771" s="53">
        <v>5</v>
      </c>
      <c r="D771" s="41" t="s">
        <v>34</v>
      </c>
      <c r="E771" s="46">
        <f>+(F766+F767+F768+F769+F770)</f>
        <v>1407.3178053952856</v>
      </c>
      <c r="F771" s="53">
        <f>E771*C771/100</f>
        <v>70.365890269764279</v>
      </c>
      <c r="G771" s="58"/>
    </row>
    <row r="772" spans="1:10" x14ac:dyDescent="0.25">
      <c r="A772" s="90"/>
      <c r="B772" s="41" t="s">
        <v>269</v>
      </c>
      <c r="C772" s="119">
        <v>13</v>
      </c>
      <c r="D772" s="41" t="s">
        <v>45</v>
      </c>
      <c r="E772" s="54">
        <f>+$E$736</f>
        <v>0</v>
      </c>
      <c r="F772" s="53">
        <f>E772*C772</f>
        <v>0</v>
      </c>
      <c r="G772" s="58"/>
    </row>
    <row r="773" spans="1:10" x14ac:dyDescent="0.25">
      <c r="A773" s="90"/>
      <c r="B773" s="41" t="s">
        <v>270</v>
      </c>
      <c r="C773" s="119">
        <v>13</v>
      </c>
      <c r="D773" s="41" t="s">
        <v>45</v>
      </c>
      <c r="E773" s="54"/>
      <c r="F773" s="53">
        <f>E773*C773</f>
        <v>0</v>
      </c>
      <c r="G773" s="58"/>
    </row>
    <row r="774" spans="1:10" x14ac:dyDescent="0.25">
      <c r="A774" s="90"/>
      <c r="B774" s="41" t="s">
        <v>271</v>
      </c>
      <c r="C774" s="53">
        <v>13</v>
      </c>
      <c r="D774" s="41" t="s">
        <v>45</v>
      </c>
      <c r="E774" s="54">
        <f>+$E$762</f>
        <v>37.950000000000003</v>
      </c>
      <c r="F774" s="53">
        <f>E774*C774</f>
        <v>493.35</v>
      </c>
      <c r="G774" s="58"/>
    </row>
    <row r="775" spans="1:10" x14ac:dyDescent="0.25">
      <c r="A775" s="90"/>
      <c r="B775" s="41" t="s">
        <v>283</v>
      </c>
      <c r="C775" s="119">
        <v>2</v>
      </c>
      <c r="D775" s="41" t="s">
        <v>81</v>
      </c>
      <c r="E775" s="54">
        <f>+'[1]MO MAY25'!$N$512</f>
        <v>155.25</v>
      </c>
      <c r="F775" s="53">
        <f>E775*C775</f>
        <v>310.5</v>
      </c>
      <c r="G775" s="58"/>
    </row>
    <row r="776" spans="1:10" ht="15.6" x14ac:dyDescent="0.3">
      <c r="A776" s="90"/>
      <c r="B776" s="41"/>
      <c r="C776" s="8"/>
      <c r="E776" s="46"/>
      <c r="F776" s="8"/>
      <c r="G776" s="121">
        <f>SUM(F766:F775)</f>
        <v>2281.5336956650499</v>
      </c>
      <c r="H776" s="122" t="s">
        <v>141</v>
      </c>
      <c r="I776" s="123" t="s">
        <v>101</v>
      </c>
    </row>
    <row r="777" spans="1:10" ht="15.6" x14ac:dyDescent="0.3">
      <c r="A777" s="90">
        <f>0.01+A765</f>
        <v>10.099999999999998</v>
      </c>
      <c r="B777" s="104" t="s">
        <v>285</v>
      </c>
      <c r="C777" s="8"/>
      <c r="E777" s="46"/>
      <c r="F777" s="8"/>
      <c r="G777" s="121">
        <f>G776+(F772+F773)*0.15+(C774*'[2]MO MAY23'!$E$58-F774)</f>
        <v>2248.64369566505</v>
      </c>
      <c r="H777" s="126" t="s">
        <v>286</v>
      </c>
      <c r="I777" s="127" t="s">
        <v>274</v>
      </c>
    </row>
    <row r="778" spans="1:10" x14ac:dyDescent="0.25">
      <c r="A778" s="90"/>
      <c r="B778" s="41" t="s">
        <v>276</v>
      </c>
      <c r="C778" s="53">
        <f>13*2</f>
        <v>26</v>
      </c>
      <c r="D778" s="41" t="s">
        <v>45</v>
      </c>
      <c r="E778" s="54">
        <f>+'[1]Lista de precios MAY25'!$E$26</f>
        <v>44</v>
      </c>
      <c r="F778" s="53">
        <f t="shared" ref="F778:F783" si="23">E778*C778</f>
        <v>1144</v>
      </c>
      <c r="G778" s="58"/>
      <c r="H778" s="41"/>
    </row>
    <row r="779" spans="1:10" x14ac:dyDescent="0.25">
      <c r="A779" s="90"/>
      <c r="B779" s="41" t="s">
        <v>265</v>
      </c>
      <c r="C779" s="119">
        <f>0.04*2</f>
        <v>0.08</v>
      </c>
      <c r="D779" s="41" t="s">
        <v>54</v>
      </c>
      <c r="E779" s="54">
        <f>+$G$55</f>
        <v>9859.73</v>
      </c>
      <c r="F779" s="53">
        <f t="shared" si="23"/>
        <v>788.77840000000003</v>
      </c>
      <c r="G779" s="58"/>
      <c r="H779" s="41"/>
      <c r="J779" s="2">
        <f>2.38*5*5</f>
        <v>59.499999999999993</v>
      </c>
    </row>
    <row r="780" spans="1:10" x14ac:dyDescent="0.25">
      <c r="A780" s="90"/>
      <c r="B780" s="41" t="s">
        <v>267</v>
      </c>
      <c r="C780" s="119">
        <f>+(0.017*3*1.5)*2</f>
        <v>0.15300000000000002</v>
      </c>
      <c r="D780" s="41" t="s">
        <v>54</v>
      </c>
      <c r="E780" s="54">
        <f>+$G$48</f>
        <v>7121.15</v>
      </c>
      <c r="F780" s="53">
        <f t="shared" si="23"/>
        <v>1089.5359500000002</v>
      </c>
      <c r="G780" s="58"/>
    </row>
    <row r="781" spans="1:10" x14ac:dyDescent="0.25">
      <c r="A781" s="90"/>
      <c r="B781" s="41" t="s">
        <v>167</v>
      </c>
      <c r="C781" s="119">
        <f>(0.039*1.5)*2</f>
        <v>0.11699999999999999</v>
      </c>
      <c r="D781" s="41" t="s">
        <v>147</v>
      </c>
      <c r="E781" s="54">
        <f>+'[1]Lista de precios MAY25'!$E$9</f>
        <v>3221.6681776971895</v>
      </c>
      <c r="F781" s="53">
        <f t="shared" si="23"/>
        <v>376.93517679057118</v>
      </c>
      <c r="G781" s="58"/>
    </row>
    <row r="782" spans="1:10" x14ac:dyDescent="0.25">
      <c r="A782" s="90"/>
      <c r="B782" s="41" t="s">
        <v>148</v>
      </c>
      <c r="C782" s="53">
        <f>+C781*4</f>
        <v>0.46799999999999997</v>
      </c>
      <c r="D782" s="41" t="s">
        <v>82</v>
      </c>
      <c r="E782" s="54">
        <f>+'[1]Lista de precios MAY25'!$E$15</f>
        <v>79.001000000000005</v>
      </c>
      <c r="F782" s="53">
        <f t="shared" si="23"/>
        <v>36.972467999999999</v>
      </c>
      <c r="G782" s="58"/>
    </row>
    <row r="783" spans="1:10" x14ac:dyDescent="0.25">
      <c r="A783" s="90"/>
      <c r="B783" s="41" t="s">
        <v>287</v>
      </c>
      <c r="C783" s="53">
        <v>1</v>
      </c>
      <c r="D783" s="41" t="s">
        <v>21</v>
      </c>
      <c r="E783" s="54">
        <f>59.5*1.18</f>
        <v>70.209999999999994</v>
      </c>
      <c r="F783" s="53">
        <f t="shared" si="23"/>
        <v>70.209999999999994</v>
      </c>
      <c r="G783" s="58"/>
    </row>
    <row r="784" spans="1:10" x14ac:dyDescent="0.25">
      <c r="A784" s="90"/>
      <c r="B784" s="41" t="s">
        <v>268</v>
      </c>
      <c r="C784" s="53">
        <v>5</v>
      </c>
      <c r="D784" s="41" t="s">
        <v>34</v>
      </c>
      <c r="E784" s="46">
        <f>SUM(F778:F783)</f>
        <v>3506.4319947905715</v>
      </c>
      <c r="F784" s="53">
        <f>E784*C784/100</f>
        <v>175.32159973952858</v>
      </c>
      <c r="G784" s="58"/>
    </row>
    <row r="785" spans="1:9" x14ac:dyDescent="0.25">
      <c r="A785" s="90"/>
      <c r="B785" s="41" t="s">
        <v>270</v>
      </c>
      <c r="C785" s="119">
        <v>26</v>
      </c>
      <c r="D785" s="41" t="s">
        <v>45</v>
      </c>
      <c r="E785" s="54"/>
      <c r="F785" s="53">
        <f>E785*C785</f>
        <v>0</v>
      </c>
      <c r="G785" s="58"/>
    </row>
    <row r="786" spans="1:9" x14ac:dyDescent="0.25">
      <c r="A786" s="90"/>
      <c r="B786" s="41" t="s">
        <v>269</v>
      </c>
      <c r="C786" s="119">
        <v>26</v>
      </c>
      <c r="D786" s="41" t="s">
        <v>45</v>
      </c>
      <c r="E786" s="54"/>
      <c r="F786" s="53">
        <f>E786*C786</f>
        <v>0</v>
      </c>
      <c r="G786" s="58"/>
    </row>
    <row r="787" spans="1:9" x14ac:dyDescent="0.25">
      <c r="A787" s="90"/>
      <c r="B787" s="41" t="s">
        <v>271</v>
      </c>
      <c r="C787" s="53">
        <v>26</v>
      </c>
      <c r="D787" s="41" t="s">
        <v>45</v>
      </c>
      <c r="E787" s="54">
        <f>+'[1]MO MAY25'!$N$123</f>
        <v>34.5</v>
      </c>
      <c r="F787" s="53">
        <f>E787*C787</f>
        <v>897</v>
      </c>
      <c r="G787" s="58"/>
    </row>
    <row r="788" spans="1:9" x14ac:dyDescent="0.25">
      <c r="A788" s="90"/>
      <c r="B788" s="41"/>
      <c r="C788" s="53"/>
      <c r="D788" s="41"/>
      <c r="E788" s="54"/>
      <c r="F788" s="53">
        <f>E788*C788</f>
        <v>0</v>
      </c>
      <c r="G788" s="58"/>
    </row>
    <row r="789" spans="1:9" ht="15.6" x14ac:dyDescent="0.3">
      <c r="A789" s="90"/>
      <c r="B789" s="41"/>
      <c r="C789" s="8"/>
      <c r="E789" s="46"/>
      <c r="F789" s="8"/>
      <c r="G789" s="125">
        <f>SUM(F778:F788)</f>
        <v>4578.7535945301006</v>
      </c>
      <c r="H789" s="122" t="s">
        <v>141</v>
      </c>
      <c r="I789" s="123" t="s">
        <v>101</v>
      </c>
    </row>
    <row r="790" spans="1:9" ht="15.6" x14ac:dyDescent="0.3">
      <c r="A790" s="96"/>
      <c r="B790" s="41"/>
      <c r="E790" s="46"/>
      <c r="G790" s="121">
        <f>G789+(F784+F785)*0.15+(C786*'[2]MO MAY23'!$E$58-F786)</f>
        <v>5525.9718344910298</v>
      </c>
      <c r="H790" s="126" t="s">
        <v>141</v>
      </c>
      <c r="I790" s="127" t="s">
        <v>274</v>
      </c>
    </row>
    <row r="791" spans="1:9" ht="15.6" x14ac:dyDescent="0.3">
      <c r="A791" s="90">
        <f>0.01+A777</f>
        <v>10.109999999999998</v>
      </c>
      <c r="B791" s="3" t="s">
        <v>288</v>
      </c>
      <c r="C791" s="8"/>
      <c r="E791" s="46"/>
      <c r="F791" s="8"/>
      <c r="G791" s="58"/>
      <c r="H791" s="41"/>
    </row>
    <row r="792" spans="1:9" x14ac:dyDescent="0.25">
      <c r="A792" s="90"/>
      <c r="B792" s="41" t="s">
        <v>281</v>
      </c>
      <c r="C792" s="53">
        <v>13</v>
      </c>
      <c r="D792" s="41" t="s">
        <v>45</v>
      </c>
      <c r="E792" s="54">
        <f>+'[1]MO MAY25'!$N$124</f>
        <v>37.950000000000003</v>
      </c>
      <c r="F792" s="53">
        <f>E792*C792</f>
        <v>493.35</v>
      </c>
      <c r="G792" s="58"/>
      <c r="H792" s="41"/>
    </row>
    <row r="793" spans="1:9" x14ac:dyDescent="0.25">
      <c r="A793" s="90"/>
      <c r="B793" s="41" t="s">
        <v>265</v>
      </c>
      <c r="C793" s="119">
        <v>0.02</v>
      </c>
      <c r="D793" s="41" t="s">
        <v>54</v>
      </c>
      <c r="E793" s="54">
        <f>+$G$55</f>
        <v>9859.73</v>
      </c>
      <c r="F793" s="53">
        <f>E793*C793</f>
        <v>197.19460000000001</v>
      </c>
      <c r="G793" s="58"/>
      <c r="H793" s="41"/>
    </row>
    <row r="794" spans="1:9" x14ac:dyDescent="0.25">
      <c r="A794" s="90"/>
      <c r="B794" s="41" t="s">
        <v>267</v>
      </c>
      <c r="C794" s="119">
        <v>0.01</v>
      </c>
      <c r="D794" s="41" t="s">
        <v>54</v>
      </c>
      <c r="E794" s="54">
        <f>+$G$48</f>
        <v>7121.15</v>
      </c>
      <c r="F794" s="53">
        <f>E794*C794</f>
        <v>71.211500000000001</v>
      </c>
      <c r="G794" s="58"/>
    </row>
    <row r="795" spans="1:9" x14ac:dyDescent="0.25">
      <c r="A795" s="90"/>
      <c r="B795" s="41" t="s">
        <v>167</v>
      </c>
      <c r="C795" s="119">
        <f>+C769</f>
        <v>5.8499999999999996E-2</v>
      </c>
      <c r="D795" s="41" t="s">
        <v>147</v>
      </c>
      <c r="E795" s="54">
        <f>+'[1]Lista de precios MAY25'!$E$9</f>
        <v>3221.6681776971895</v>
      </c>
      <c r="F795" s="53">
        <f>E795*C795</f>
        <v>188.46758839528559</v>
      </c>
      <c r="G795" s="58"/>
    </row>
    <row r="796" spans="1:9" x14ac:dyDescent="0.25">
      <c r="A796" s="90"/>
      <c r="B796" s="41" t="s">
        <v>148</v>
      </c>
      <c r="C796" s="53">
        <f>+C795*2</f>
        <v>0.11699999999999999</v>
      </c>
      <c r="D796" s="41" t="s">
        <v>82</v>
      </c>
      <c r="E796" s="54">
        <f>+'[1]Lista de precios MAY25'!$E$15</f>
        <v>79.001000000000005</v>
      </c>
      <c r="F796" s="53">
        <f>E796*C796</f>
        <v>9.2431169999999998</v>
      </c>
      <c r="G796" s="58"/>
    </row>
    <row r="797" spans="1:9" x14ac:dyDescent="0.25">
      <c r="A797" s="90"/>
      <c r="B797" s="41" t="s">
        <v>268</v>
      </c>
      <c r="C797" s="53">
        <v>5</v>
      </c>
      <c r="D797" s="41" t="s">
        <v>34</v>
      </c>
      <c r="E797" s="46">
        <f>SUM(F792:F796)</f>
        <v>959.46680539528563</v>
      </c>
      <c r="F797" s="53">
        <f>E797*C797/100</f>
        <v>47.973340269764286</v>
      </c>
      <c r="G797" s="58"/>
    </row>
    <row r="798" spans="1:9" x14ac:dyDescent="0.25">
      <c r="A798" s="90"/>
      <c r="B798" s="41" t="s">
        <v>270</v>
      </c>
      <c r="C798" s="119">
        <v>13</v>
      </c>
      <c r="D798" s="41" t="s">
        <v>45</v>
      </c>
      <c r="E798" s="54"/>
      <c r="F798" s="53">
        <f>E798*C798</f>
        <v>0</v>
      </c>
      <c r="G798" s="58"/>
    </row>
    <row r="799" spans="1:9" x14ac:dyDescent="0.25">
      <c r="A799" s="90"/>
      <c r="B799" s="41" t="s">
        <v>269</v>
      </c>
      <c r="C799" s="119">
        <v>13</v>
      </c>
      <c r="D799" s="41" t="s">
        <v>45</v>
      </c>
      <c r="E799" s="54"/>
      <c r="F799" s="53">
        <f>E799*C799</f>
        <v>0</v>
      </c>
      <c r="G799" s="58"/>
    </row>
    <row r="800" spans="1:9" x14ac:dyDescent="0.25">
      <c r="A800" s="90"/>
      <c r="B800" s="41" t="s">
        <v>271</v>
      </c>
      <c r="C800" s="53">
        <v>13</v>
      </c>
      <c r="D800" s="41" t="s">
        <v>45</v>
      </c>
      <c r="E800" s="54">
        <f>+'[1]MO MAY25'!$N$129</f>
        <v>40.25</v>
      </c>
      <c r="F800" s="53">
        <f>E800*C800</f>
        <v>523.25</v>
      </c>
      <c r="G800" s="58"/>
    </row>
    <row r="801" spans="1:9" x14ac:dyDescent="0.25">
      <c r="A801" s="90"/>
      <c r="B801" s="41" t="s">
        <v>283</v>
      </c>
      <c r="C801" s="119">
        <v>2</v>
      </c>
      <c r="D801" s="41" t="s">
        <v>81</v>
      </c>
      <c r="E801" s="54">
        <f>+'[1]MO MAY25'!$N$512</f>
        <v>155.25</v>
      </c>
      <c r="F801" s="53">
        <f>E801*C801</f>
        <v>310.5</v>
      </c>
      <c r="G801" s="58"/>
    </row>
    <row r="802" spans="1:9" ht="15.6" x14ac:dyDescent="0.3">
      <c r="A802" s="90"/>
      <c r="B802" s="41"/>
      <c r="C802" s="8"/>
      <c r="E802" s="46"/>
      <c r="F802" s="8"/>
      <c r="G802" s="121">
        <f>SUM(F792:F801)</f>
        <v>1841.1901456650498</v>
      </c>
      <c r="H802" s="122" t="s">
        <v>141</v>
      </c>
      <c r="I802" s="123" t="s">
        <v>101</v>
      </c>
    </row>
    <row r="803" spans="1:9" ht="15.6" x14ac:dyDescent="0.3">
      <c r="A803" s="96"/>
      <c r="B803" s="41"/>
      <c r="E803" s="46"/>
      <c r="G803" s="121">
        <f>G802+(F798+F799)*0.15+(C800*'[2]MO MAY23'!$E$58-F800)</f>
        <v>1778.4001456650499</v>
      </c>
      <c r="H803" s="122" t="s">
        <v>141</v>
      </c>
      <c r="I803" s="127" t="s">
        <v>274</v>
      </c>
    </row>
    <row r="804" spans="1:9" ht="15.6" outlineLevel="1" x14ac:dyDescent="0.3">
      <c r="A804" s="90">
        <f>0.01+A791</f>
        <v>10.119999999999997</v>
      </c>
      <c r="B804" s="3" t="s">
        <v>289</v>
      </c>
      <c r="D804" s="131"/>
      <c r="E804" s="54"/>
      <c r="F804" s="132"/>
      <c r="G804" s="133"/>
      <c r="H804" s="133"/>
    </row>
    <row r="805" spans="1:9" outlineLevel="1" x14ac:dyDescent="0.25">
      <c r="A805" s="134"/>
      <c r="B805" s="41" t="s">
        <v>290</v>
      </c>
      <c r="C805" s="53">
        <f>1*1*1.15</f>
        <v>1.1499999999999999</v>
      </c>
      <c r="D805" s="41" t="s">
        <v>54</v>
      </c>
      <c r="E805" s="54">
        <f>+'[2]MO MAY23'!$E$10</f>
        <v>1791.6799999999998</v>
      </c>
      <c r="F805" s="53">
        <f t="shared" ref="F805:F812" si="24">C805*E805</f>
        <v>2060.4319999999998</v>
      </c>
      <c r="G805" s="58"/>
      <c r="H805" s="41"/>
    </row>
    <row r="806" spans="1:9" outlineLevel="1" x14ac:dyDescent="0.25">
      <c r="A806" s="134"/>
      <c r="B806" s="41" t="s">
        <v>291</v>
      </c>
      <c r="C806" s="119">
        <f>C805*1.3</f>
        <v>1.4949999999999999</v>
      </c>
      <c r="D806" s="41" t="s">
        <v>54</v>
      </c>
      <c r="E806" s="54">
        <f>+'[2]MO MAY23'!$E$14</f>
        <v>440</v>
      </c>
      <c r="F806" s="53">
        <f t="shared" si="24"/>
        <v>657.8</v>
      </c>
      <c r="G806" s="58"/>
      <c r="H806" s="41"/>
    </row>
    <row r="807" spans="1:9" outlineLevel="1" x14ac:dyDescent="0.25">
      <c r="A807" s="133"/>
      <c r="B807" s="41" t="s">
        <v>292</v>
      </c>
      <c r="C807" s="119">
        <f>1*1*0.15</f>
        <v>0.15</v>
      </c>
      <c r="D807" s="41" t="s">
        <v>54</v>
      </c>
      <c r="E807" s="54">
        <f>+$G$590</f>
        <v>17058.640972346977</v>
      </c>
      <c r="F807" s="53">
        <f t="shared" si="24"/>
        <v>2558.7961458520463</v>
      </c>
      <c r="G807" s="58"/>
    </row>
    <row r="808" spans="1:9" outlineLevel="1" x14ac:dyDescent="0.25">
      <c r="A808" s="134"/>
      <c r="B808" s="41" t="s">
        <v>293</v>
      </c>
      <c r="C808" s="119">
        <f>+C807/2</f>
        <v>7.4999999999999997E-2</v>
      </c>
      <c r="D808" s="41" t="s">
        <v>54</v>
      </c>
      <c r="E808" s="54">
        <f>+$E$807</f>
        <v>17058.640972346977</v>
      </c>
      <c r="F808" s="53">
        <f t="shared" si="24"/>
        <v>1279.3980729260231</v>
      </c>
      <c r="G808" s="58"/>
    </row>
    <row r="809" spans="1:9" outlineLevel="1" x14ac:dyDescent="0.25">
      <c r="A809" s="134"/>
      <c r="B809" s="41" t="s">
        <v>294</v>
      </c>
      <c r="C809" s="53">
        <f>0.6*4*1</f>
        <v>2.4</v>
      </c>
      <c r="D809" s="41" t="s">
        <v>81</v>
      </c>
      <c r="E809" s="54">
        <f>+$G$789</f>
        <v>4578.7535945301006</v>
      </c>
      <c r="F809" s="53">
        <f t="shared" si="24"/>
        <v>10989.008626872241</v>
      </c>
      <c r="G809" s="58"/>
    </row>
    <row r="810" spans="1:9" outlineLevel="1" x14ac:dyDescent="0.25">
      <c r="A810" s="134"/>
      <c r="B810" s="41" t="s">
        <v>295</v>
      </c>
      <c r="C810" s="53">
        <f>C809+1</f>
        <v>3.4</v>
      </c>
      <c r="D810" s="41" t="s">
        <v>81</v>
      </c>
      <c r="E810" s="46">
        <f>+$G$922</f>
        <v>791.4665195</v>
      </c>
      <c r="F810" s="53">
        <f t="shared" si="24"/>
        <v>2690.9861663000001</v>
      </c>
      <c r="G810" s="58"/>
    </row>
    <row r="811" spans="1:9" outlineLevel="1" x14ac:dyDescent="0.25">
      <c r="A811" s="134"/>
      <c r="B811" s="41" t="s">
        <v>296</v>
      </c>
      <c r="C811" s="53">
        <f>2*3.28</f>
        <v>6.56</v>
      </c>
      <c r="D811" s="41" t="s">
        <v>297</v>
      </c>
      <c r="E811" s="54"/>
      <c r="F811" s="53">
        <f t="shared" si="24"/>
        <v>0</v>
      </c>
      <c r="G811" s="117" t="s">
        <v>298</v>
      </c>
      <c r="H811" s="123"/>
    </row>
    <row r="812" spans="1:9" ht="12.75" customHeight="1" outlineLevel="1" x14ac:dyDescent="0.25">
      <c r="A812" s="134"/>
      <c r="B812" s="41" t="s">
        <v>299</v>
      </c>
      <c r="C812" s="53">
        <v>1</v>
      </c>
      <c r="D812" s="41" t="s">
        <v>8</v>
      </c>
      <c r="E812" s="54"/>
      <c r="F812" s="53">
        <f t="shared" si="24"/>
        <v>0</v>
      </c>
      <c r="G812" s="117" t="s">
        <v>261</v>
      </c>
      <c r="H812" s="123"/>
    </row>
    <row r="813" spans="1:9" ht="15.6" outlineLevel="1" x14ac:dyDescent="0.3">
      <c r="A813" s="134"/>
      <c r="B813" s="41"/>
      <c r="C813" s="119"/>
      <c r="D813" s="41"/>
      <c r="E813" s="46"/>
      <c r="F813" s="133"/>
      <c r="G813" s="59">
        <f>SUM(F805:F812)</f>
        <v>20236.421011950311</v>
      </c>
      <c r="H813" s="3" t="s">
        <v>15</v>
      </c>
    </row>
    <row r="814" spans="1:9" outlineLevel="1" x14ac:dyDescent="0.25">
      <c r="A814" s="134"/>
      <c r="B814" s="41"/>
      <c r="C814" s="119"/>
      <c r="D814" s="41"/>
      <c r="E814" s="46"/>
      <c r="F814" s="133"/>
      <c r="G814" s="58"/>
      <c r="H814" s="41"/>
    </row>
    <row r="815" spans="1:9" ht="15.6" outlineLevel="1" x14ac:dyDescent="0.3">
      <c r="A815" s="90">
        <f>0.01+A804</f>
        <v>10.129999999999997</v>
      </c>
      <c r="B815" s="3" t="s">
        <v>300</v>
      </c>
      <c r="D815" s="131"/>
      <c r="E815" s="54"/>
      <c r="F815" s="132"/>
      <c r="G815" s="133"/>
      <c r="H815" s="133"/>
    </row>
    <row r="816" spans="1:9" outlineLevel="1" x14ac:dyDescent="0.25">
      <c r="A816" s="134"/>
      <c r="B816" s="41" t="s">
        <v>290</v>
      </c>
      <c r="C816" s="53">
        <f>1*1*1.15</f>
        <v>1.1499999999999999</v>
      </c>
      <c r="D816" s="41" t="s">
        <v>54</v>
      </c>
      <c r="E816" s="54">
        <f>+'[2]MO MAY23'!$E$10</f>
        <v>1791.6799999999998</v>
      </c>
      <c r="F816" s="53">
        <f t="shared" ref="F816:F823" si="25">C816*E816</f>
        <v>2060.4319999999998</v>
      </c>
      <c r="G816" s="58"/>
      <c r="H816" s="41"/>
    </row>
    <row r="817" spans="1:8" outlineLevel="1" x14ac:dyDescent="0.25">
      <c r="A817" s="134"/>
      <c r="B817" s="41" t="s">
        <v>291</v>
      </c>
      <c r="C817" s="119">
        <f>C816*1.3</f>
        <v>1.4949999999999999</v>
      </c>
      <c r="D817" s="41" t="s">
        <v>54</v>
      </c>
      <c r="E817" s="54">
        <f>+'[2]MO MAY23'!$E$14</f>
        <v>440</v>
      </c>
      <c r="F817" s="53">
        <f t="shared" si="25"/>
        <v>657.8</v>
      </c>
      <c r="G817" s="58"/>
      <c r="H817" s="41"/>
    </row>
    <row r="818" spans="1:8" outlineLevel="1" x14ac:dyDescent="0.25">
      <c r="A818" s="133"/>
      <c r="B818" s="41" t="s">
        <v>292</v>
      </c>
      <c r="C818" s="119">
        <f>1*1*0.15</f>
        <v>0.15</v>
      </c>
      <c r="D818" s="41" t="s">
        <v>54</v>
      </c>
      <c r="E818" s="54">
        <f>+$E$807</f>
        <v>17058.640972346977</v>
      </c>
      <c r="F818" s="53">
        <f t="shared" si="25"/>
        <v>2558.7961458520463</v>
      </c>
      <c r="G818" s="58"/>
    </row>
    <row r="819" spans="1:8" outlineLevel="1" x14ac:dyDescent="0.25">
      <c r="A819" s="134"/>
      <c r="B819" s="41" t="s">
        <v>293</v>
      </c>
      <c r="C819" s="119">
        <f>+C818/2</f>
        <v>7.4999999999999997E-2</v>
      </c>
      <c r="D819" s="41" t="s">
        <v>54</v>
      </c>
      <c r="E819" s="54">
        <f>+$E$807</f>
        <v>17058.640972346977</v>
      </c>
      <c r="F819" s="53">
        <f t="shared" si="25"/>
        <v>1279.3980729260231</v>
      </c>
      <c r="G819" s="58"/>
    </row>
    <row r="820" spans="1:8" outlineLevel="1" x14ac:dyDescent="0.25">
      <c r="A820" s="134"/>
      <c r="B820" s="41" t="s">
        <v>294</v>
      </c>
      <c r="C820" s="53">
        <f>0.6*4*1</f>
        <v>2.4</v>
      </c>
      <c r="D820" s="41" t="s">
        <v>81</v>
      </c>
      <c r="E820" s="54">
        <f>+$G$789</f>
        <v>4578.7535945301006</v>
      </c>
      <c r="F820" s="53">
        <f t="shared" si="25"/>
        <v>10989.008626872241</v>
      </c>
      <c r="G820" s="58"/>
    </row>
    <row r="821" spans="1:8" outlineLevel="1" x14ac:dyDescent="0.25">
      <c r="A821" s="134"/>
      <c r="B821" s="41" t="s">
        <v>295</v>
      </c>
      <c r="C821" s="53">
        <f>C820+1</f>
        <v>3.4</v>
      </c>
      <c r="D821" s="41" t="s">
        <v>81</v>
      </c>
      <c r="E821" s="46">
        <f>+$E$810</f>
        <v>791.4665195</v>
      </c>
      <c r="F821" s="53">
        <f t="shared" si="25"/>
        <v>2690.9861663000001</v>
      </c>
      <c r="G821" s="58"/>
    </row>
    <row r="822" spans="1:8" outlineLevel="1" x14ac:dyDescent="0.25">
      <c r="A822" s="134"/>
      <c r="B822" s="41" t="s">
        <v>296</v>
      </c>
      <c r="C822" s="53">
        <f>2*3.28</f>
        <v>6.56</v>
      </c>
      <c r="D822" s="41" t="s">
        <v>297</v>
      </c>
      <c r="E822" s="54"/>
      <c r="F822" s="53">
        <f t="shared" si="25"/>
        <v>0</v>
      </c>
      <c r="G822" s="117" t="s">
        <v>298</v>
      </c>
      <c r="H822" s="123"/>
    </row>
    <row r="823" spans="1:8" outlineLevel="1" x14ac:dyDescent="0.25">
      <c r="A823" s="134"/>
      <c r="B823" s="41" t="s">
        <v>301</v>
      </c>
      <c r="C823" s="53">
        <v>1</v>
      </c>
      <c r="D823" s="41" t="s">
        <v>8</v>
      </c>
      <c r="E823" s="54"/>
      <c r="F823" s="53">
        <f t="shared" si="25"/>
        <v>0</v>
      </c>
      <c r="G823" s="117" t="s">
        <v>261</v>
      </c>
      <c r="H823" s="123"/>
    </row>
    <row r="824" spans="1:8" ht="15.6" outlineLevel="1" x14ac:dyDescent="0.3">
      <c r="A824" s="134"/>
      <c r="B824" s="41"/>
      <c r="C824" s="119"/>
      <c r="D824" s="41"/>
      <c r="E824" s="46"/>
      <c r="F824" s="133"/>
      <c r="G824" s="59">
        <f>SUM(F816:F823)</f>
        <v>20236.421011950311</v>
      </c>
      <c r="H824" s="3" t="s">
        <v>15</v>
      </c>
    </row>
    <row r="825" spans="1:8" outlineLevel="1" x14ac:dyDescent="0.25">
      <c r="A825" s="134"/>
      <c r="B825" s="41"/>
      <c r="C825" s="119"/>
      <c r="D825" s="41"/>
      <c r="E825" s="46"/>
      <c r="F825" s="133"/>
      <c r="G825" s="58"/>
      <c r="H825" s="41"/>
    </row>
    <row r="826" spans="1:8" outlineLevel="1" x14ac:dyDescent="0.25">
      <c r="A826" s="134"/>
      <c r="B826" s="41"/>
      <c r="C826" s="119"/>
      <c r="D826" s="41"/>
      <c r="E826" s="46"/>
      <c r="F826" s="133"/>
      <c r="G826" s="58"/>
      <c r="H826" s="41"/>
    </row>
    <row r="827" spans="1:8" outlineLevel="1" x14ac:dyDescent="0.25">
      <c r="A827" s="134"/>
      <c r="B827" s="41"/>
      <c r="C827" s="119"/>
      <c r="D827" s="41"/>
      <c r="E827" s="46"/>
      <c r="F827" s="133"/>
      <c r="G827" s="58"/>
      <c r="H827" s="41"/>
    </row>
    <row r="828" spans="1:8" ht="15.6" outlineLevel="1" x14ac:dyDescent="0.3">
      <c r="A828" s="90">
        <f>0.01+A815</f>
        <v>10.139999999999997</v>
      </c>
      <c r="B828" s="3" t="s">
        <v>302</v>
      </c>
      <c r="C828" s="8"/>
      <c r="E828" s="46"/>
      <c r="F828" s="8"/>
      <c r="G828" s="133"/>
      <c r="H828" s="41"/>
    </row>
    <row r="829" spans="1:8" ht="15.6" outlineLevel="1" x14ac:dyDescent="0.3">
      <c r="A829" s="135"/>
      <c r="B829" s="41" t="s">
        <v>303</v>
      </c>
      <c r="C829" s="53">
        <f>1.4*1.4*1.3</f>
        <v>2.5479999999999996</v>
      </c>
      <c r="D829" s="41" t="s">
        <v>304</v>
      </c>
      <c r="E829" s="54">
        <f>+'[2]MO MAY23'!$E$11</f>
        <v>1791.6799999999998</v>
      </c>
      <c r="F829" s="53">
        <f t="shared" ref="F829:F837" si="26">C829*E829</f>
        <v>4565.2006399999991</v>
      </c>
      <c r="G829" s="133"/>
      <c r="H829" s="133"/>
    </row>
    <row r="830" spans="1:8" ht="15.6" outlineLevel="1" x14ac:dyDescent="0.3">
      <c r="A830" s="135"/>
      <c r="B830" s="41" t="s">
        <v>291</v>
      </c>
      <c r="C830" s="119">
        <f>C829*1.3</f>
        <v>3.3123999999999998</v>
      </c>
      <c r="D830" s="41" t="s">
        <v>304</v>
      </c>
      <c r="E830" s="54">
        <f>+'[2]MO MAY23'!$E$14</f>
        <v>440</v>
      </c>
      <c r="F830" s="53">
        <f t="shared" si="26"/>
        <v>1457.4559999999999</v>
      </c>
      <c r="G830" s="133"/>
      <c r="H830" s="133"/>
    </row>
    <row r="831" spans="1:8" outlineLevel="1" x14ac:dyDescent="0.25">
      <c r="A831" s="133"/>
      <c r="B831" s="41" t="s">
        <v>305</v>
      </c>
      <c r="C831" s="119">
        <f>1.4*1.4*0.15</f>
        <v>0.29399999999999993</v>
      </c>
      <c r="D831" s="41" t="s">
        <v>304</v>
      </c>
      <c r="E831" s="54">
        <f>$E$807</f>
        <v>17058.640972346977</v>
      </c>
      <c r="F831" s="53">
        <f t="shared" si="26"/>
        <v>5015.2404458700103</v>
      </c>
      <c r="G831" s="133"/>
      <c r="H831" s="133"/>
    </row>
    <row r="832" spans="1:8" outlineLevel="1" x14ac:dyDescent="0.25">
      <c r="A832" s="134"/>
      <c r="B832" s="41" t="s">
        <v>306</v>
      </c>
      <c r="C832" s="119">
        <f>+C831/1.5</f>
        <v>0.19599999999999995</v>
      </c>
      <c r="D832" s="41" t="s">
        <v>304</v>
      </c>
      <c r="E832" s="54">
        <f>$E$808</f>
        <v>17058.640972346977</v>
      </c>
      <c r="F832" s="53">
        <f t="shared" si="26"/>
        <v>3343.4936305800065</v>
      </c>
      <c r="G832" s="133"/>
      <c r="H832" s="133"/>
    </row>
    <row r="833" spans="1:8" outlineLevel="1" x14ac:dyDescent="0.25">
      <c r="A833" s="134"/>
      <c r="B833" s="41" t="s">
        <v>294</v>
      </c>
      <c r="C833" s="53">
        <f>1.1*4*1</f>
        <v>4.4000000000000004</v>
      </c>
      <c r="D833" s="41" t="s">
        <v>21</v>
      </c>
      <c r="E833" s="54">
        <f>$E$809</f>
        <v>4578.7535945301006</v>
      </c>
      <c r="F833" s="53">
        <f t="shared" si="26"/>
        <v>20146.515815932446</v>
      </c>
      <c r="G833" s="133"/>
      <c r="H833" s="133"/>
    </row>
    <row r="834" spans="1:8" outlineLevel="1" x14ac:dyDescent="0.25">
      <c r="A834" s="134"/>
      <c r="B834" s="41" t="s">
        <v>295</v>
      </c>
      <c r="C834" s="53">
        <f>+C833+1</f>
        <v>5.4</v>
      </c>
      <c r="D834" s="41" t="s">
        <v>81</v>
      </c>
      <c r="E834" s="46">
        <f>+$E$810</f>
        <v>791.4665195</v>
      </c>
      <c r="F834" s="53">
        <f t="shared" si="26"/>
        <v>4273.9192053000006</v>
      </c>
      <c r="G834" s="133"/>
      <c r="H834" s="133"/>
    </row>
    <row r="835" spans="1:8" outlineLevel="1" x14ac:dyDescent="0.25">
      <c r="A835" s="134"/>
      <c r="B835" s="41" t="s">
        <v>307</v>
      </c>
      <c r="C835" s="53">
        <v>3</v>
      </c>
      <c r="D835" s="41" t="s">
        <v>8</v>
      </c>
      <c r="E835" s="54"/>
      <c r="F835" s="53">
        <f t="shared" si="26"/>
        <v>0</v>
      </c>
      <c r="G835" s="136" t="s">
        <v>298</v>
      </c>
      <c r="H835" s="137"/>
    </row>
    <row r="836" spans="1:8" outlineLevel="1" x14ac:dyDescent="0.25">
      <c r="A836" s="134"/>
      <c r="B836" s="41" t="s">
        <v>308</v>
      </c>
      <c r="C836" s="53">
        <f>1.5*3*3.28</f>
        <v>14.76</v>
      </c>
      <c r="D836" s="41" t="s">
        <v>297</v>
      </c>
      <c r="E836" s="54"/>
      <c r="F836" s="53">
        <f t="shared" si="26"/>
        <v>0</v>
      </c>
      <c r="G836" s="138"/>
      <c r="H836" s="139"/>
    </row>
    <row r="837" spans="1:8" outlineLevel="1" x14ac:dyDescent="0.25">
      <c r="A837" s="134"/>
      <c r="B837" s="41" t="s">
        <v>299</v>
      </c>
      <c r="C837" s="53">
        <v>1</v>
      </c>
      <c r="D837" s="41" t="s">
        <v>8</v>
      </c>
      <c r="E837" s="54"/>
      <c r="F837" s="53">
        <f t="shared" si="26"/>
        <v>0</v>
      </c>
      <c r="G837" s="117" t="s">
        <v>261</v>
      </c>
      <c r="H837" s="123"/>
    </row>
    <row r="838" spans="1:8" ht="15.6" outlineLevel="1" x14ac:dyDescent="0.3">
      <c r="A838" s="134"/>
      <c r="B838" s="140"/>
      <c r="C838" s="141"/>
      <c r="D838" s="131"/>
      <c r="E838" s="46"/>
      <c r="F838" s="133"/>
      <c r="G838" s="59">
        <f>SUM(F829:F837)</f>
        <v>38801.825737682462</v>
      </c>
      <c r="H838" s="59" t="s">
        <v>48</v>
      </c>
    </row>
    <row r="839" spans="1:8" outlineLevel="1" x14ac:dyDescent="0.25">
      <c r="A839" s="96"/>
      <c r="B839" s="41"/>
      <c r="E839" s="46"/>
      <c r="G839" s="58"/>
      <c r="H839" s="41"/>
    </row>
    <row r="840" spans="1:8" ht="15.6" outlineLevel="1" x14ac:dyDescent="0.3">
      <c r="A840" s="90">
        <f>0.01+A828</f>
        <v>10.149999999999997</v>
      </c>
      <c r="B840" s="3" t="s">
        <v>309</v>
      </c>
      <c r="C840" s="8"/>
      <c r="E840" s="46"/>
      <c r="F840" s="8"/>
      <c r="G840" s="133"/>
      <c r="H840" s="41"/>
    </row>
    <row r="841" spans="1:8" ht="15.6" outlineLevel="1" x14ac:dyDescent="0.3">
      <c r="A841" s="135"/>
      <c r="B841" s="41" t="s">
        <v>310</v>
      </c>
      <c r="C841" s="53">
        <f>3.5*1.5*3.7</f>
        <v>19.425000000000001</v>
      </c>
      <c r="D841" s="41" t="s">
        <v>304</v>
      </c>
      <c r="E841" s="54">
        <f>+'[2]MO MAY23'!$E$11</f>
        <v>1791.6799999999998</v>
      </c>
      <c r="F841" s="54">
        <f t="shared" ref="F841:F851" si="27">C841*E841</f>
        <v>34803.383999999998</v>
      </c>
      <c r="G841" s="133"/>
      <c r="H841" s="133"/>
    </row>
    <row r="842" spans="1:8" ht="15.6" outlineLevel="1" x14ac:dyDescent="0.3">
      <c r="A842" s="135"/>
      <c r="B842" s="41" t="s">
        <v>291</v>
      </c>
      <c r="C842" s="119">
        <f>C841*1.3</f>
        <v>25.252500000000001</v>
      </c>
      <c r="D842" s="41" t="s">
        <v>304</v>
      </c>
      <c r="E842" s="54">
        <f>+'[2]MO MAY23'!$E$14</f>
        <v>440</v>
      </c>
      <c r="F842" s="54">
        <f t="shared" si="27"/>
        <v>11111.1</v>
      </c>
      <c r="G842" s="133"/>
      <c r="H842" s="133"/>
    </row>
    <row r="843" spans="1:8" outlineLevel="1" x14ac:dyDescent="0.25">
      <c r="A843" s="133"/>
      <c r="B843" s="41" t="s">
        <v>305</v>
      </c>
      <c r="C843" s="119">
        <f>3.45*1.5*0.15</f>
        <v>0.77625000000000011</v>
      </c>
      <c r="D843" s="41" t="s">
        <v>304</v>
      </c>
      <c r="E843" s="54">
        <f>+$G$590</f>
        <v>17058.640972346977</v>
      </c>
      <c r="F843" s="54">
        <f t="shared" si="27"/>
        <v>13241.770054784343</v>
      </c>
      <c r="G843" s="133"/>
      <c r="H843" s="133"/>
    </row>
    <row r="844" spans="1:8" outlineLevel="1" x14ac:dyDescent="0.25">
      <c r="A844" s="134"/>
      <c r="B844" s="41" t="s">
        <v>306</v>
      </c>
      <c r="C844" s="119">
        <f>+C843/0.15*0.12</f>
        <v>0.62100000000000011</v>
      </c>
      <c r="D844" s="41" t="s">
        <v>304</v>
      </c>
      <c r="E844" s="54">
        <f>+$E$843</f>
        <v>17058.640972346977</v>
      </c>
      <c r="F844" s="54">
        <f t="shared" si="27"/>
        <v>10593.416043827474</v>
      </c>
      <c r="G844" s="133"/>
      <c r="H844" s="133"/>
    </row>
    <row r="845" spans="1:8" outlineLevel="1" x14ac:dyDescent="0.25">
      <c r="A845" s="134"/>
      <c r="B845" s="41" t="s">
        <v>311</v>
      </c>
      <c r="C845" s="53">
        <f>1.5*2*3+3*2*2</f>
        <v>21</v>
      </c>
      <c r="D845" s="41" t="s">
        <v>21</v>
      </c>
      <c r="E845" s="54">
        <f>+$G$752</f>
        <v>2089.9135941655486</v>
      </c>
      <c r="F845" s="54">
        <f t="shared" si="27"/>
        <v>43888.185477476523</v>
      </c>
      <c r="G845" s="133"/>
      <c r="H845" s="133"/>
    </row>
    <row r="846" spans="1:8" outlineLevel="1" x14ac:dyDescent="0.25">
      <c r="A846" s="134"/>
      <c r="B846" s="41" t="s">
        <v>295</v>
      </c>
      <c r="C846" s="53">
        <f>+(3+1.2)*2*2</f>
        <v>16.8</v>
      </c>
      <c r="D846" s="41" t="s">
        <v>81</v>
      </c>
      <c r="E846" s="46">
        <f>+$E$834</f>
        <v>791.4665195</v>
      </c>
      <c r="F846" s="54">
        <f t="shared" si="27"/>
        <v>13296.6375276</v>
      </c>
      <c r="G846" s="133"/>
      <c r="H846" s="133"/>
    </row>
    <row r="847" spans="1:8" outlineLevel="1" x14ac:dyDescent="0.25">
      <c r="A847" s="134"/>
      <c r="B847" s="71" t="s">
        <v>312</v>
      </c>
      <c r="C847" s="53">
        <v>1</v>
      </c>
      <c r="D847" s="41" t="s">
        <v>8</v>
      </c>
      <c r="E847" s="54"/>
      <c r="F847" s="54">
        <f t="shared" si="27"/>
        <v>0</v>
      </c>
      <c r="G847" s="142" t="s">
        <v>298</v>
      </c>
      <c r="H847" s="143"/>
    </row>
    <row r="848" spans="1:8" ht="14.25" customHeight="1" outlineLevel="1" x14ac:dyDescent="0.25">
      <c r="A848" s="134"/>
      <c r="B848" s="71" t="s">
        <v>313</v>
      </c>
      <c r="C848" s="53">
        <v>6</v>
      </c>
      <c r="D848" s="41" t="s">
        <v>8</v>
      </c>
      <c r="E848" s="54"/>
      <c r="F848" s="54">
        <f t="shared" si="27"/>
        <v>0</v>
      </c>
      <c r="G848" s="144"/>
      <c r="H848" s="145"/>
    </row>
    <row r="849" spans="1:8" outlineLevel="1" x14ac:dyDescent="0.25">
      <c r="A849" s="134"/>
      <c r="B849" s="71" t="s">
        <v>314</v>
      </c>
      <c r="C849" s="53">
        <v>4</v>
      </c>
      <c r="D849" s="41" t="s">
        <v>297</v>
      </c>
      <c r="E849" s="54"/>
      <c r="F849" s="54">
        <f t="shared" si="27"/>
        <v>0</v>
      </c>
      <c r="G849" s="144"/>
      <c r="H849" s="145"/>
    </row>
    <row r="850" spans="1:8" outlineLevel="1" x14ac:dyDescent="0.25">
      <c r="A850" s="134"/>
      <c r="B850" s="71" t="s">
        <v>308</v>
      </c>
      <c r="C850" s="53">
        <v>6</v>
      </c>
      <c r="D850" s="41" t="s">
        <v>297</v>
      </c>
      <c r="E850" s="54"/>
      <c r="F850" s="54">
        <f t="shared" si="27"/>
        <v>0</v>
      </c>
      <c r="G850" s="146"/>
      <c r="H850" s="147"/>
    </row>
    <row r="851" spans="1:8" outlineLevel="1" x14ac:dyDescent="0.25">
      <c r="A851" s="134"/>
      <c r="B851" s="71" t="s">
        <v>299</v>
      </c>
      <c r="C851" s="53">
        <v>2</v>
      </c>
      <c r="D851" s="41" t="s">
        <v>8</v>
      </c>
      <c r="E851" s="54"/>
      <c r="F851" s="53">
        <f t="shared" si="27"/>
        <v>0</v>
      </c>
      <c r="G851" s="148" t="s">
        <v>261</v>
      </c>
      <c r="H851" s="118"/>
    </row>
    <row r="852" spans="1:8" ht="15.6" outlineLevel="1" x14ac:dyDescent="0.3">
      <c r="A852" s="134"/>
      <c r="B852" s="140"/>
      <c r="C852" s="141"/>
      <c r="D852" s="131"/>
      <c r="E852" s="46"/>
      <c r="F852" s="133"/>
      <c r="G852" s="59">
        <f>SUM(F841:F851)</f>
        <v>126934.49310368834</v>
      </c>
      <c r="H852" s="59" t="s">
        <v>48</v>
      </c>
    </row>
    <row r="853" spans="1:8" outlineLevel="1" x14ac:dyDescent="0.25">
      <c r="A853" s="96"/>
      <c r="B853" s="41"/>
      <c r="E853" s="46"/>
      <c r="G853" s="58"/>
      <c r="H853" s="41"/>
    </row>
    <row r="854" spans="1:8" ht="15.6" outlineLevel="1" x14ac:dyDescent="0.3">
      <c r="A854" s="90">
        <f>0.01+A840</f>
        <v>10.159999999999997</v>
      </c>
      <c r="B854" s="3" t="s">
        <v>309</v>
      </c>
      <c r="C854" s="8"/>
      <c r="E854" s="46"/>
      <c r="F854" s="8"/>
      <c r="G854" s="133"/>
      <c r="H854" s="41"/>
    </row>
    <row r="855" spans="1:8" ht="15.6" outlineLevel="1" x14ac:dyDescent="0.3">
      <c r="A855" s="135"/>
      <c r="B855" s="41" t="s">
        <v>310</v>
      </c>
      <c r="C855" s="53">
        <f>3.5*1.5*3.7</f>
        <v>19.425000000000001</v>
      </c>
      <c r="D855" s="41" t="s">
        <v>304</v>
      </c>
      <c r="E855" s="54">
        <f>+'[2]MO MAY23'!$E$11</f>
        <v>1791.6799999999998</v>
      </c>
      <c r="F855" s="53">
        <f t="shared" ref="F855:F863" si="28">C855*E855</f>
        <v>34803.383999999998</v>
      </c>
      <c r="G855" s="133"/>
      <c r="H855" s="133"/>
    </row>
    <row r="856" spans="1:8" ht="15.6" outlineLevel="1" x14ac:dyDescent="0.3">
      <c r="A856" s="135"/>
      <c r="B856" s="41" t="s">
        <v>291</v>
      </c>
      <c r="C856" s="119">
        <f>C855*1.3</f>
        <v>25.252500000000001</v>
      </c>
      <c r="D856" s="41" t="s">
        <v>304</v>
      </c>
      <c r="E856" s="54">
        <f>+'[2]MO MAY23'!$E$14</f>
        <v>440</v>
      </c>
      <c r="F856" s="53">
        <f t="shared" si="28"/>
        <v>11111.1</v>
      </c>
      <c r="G856" s="133"/>
      <c r="H856" s="133"/>
    </row>
    <row r="857" spans="1:8" outlineLevel="1" x14ac:dyDescent="0.25">
      <c r="A857" s="133"/>
      <c r="B857" s="41" t="s">
        <v>305</v>
      </c>
      <c r="C857" s="119">
        <f>3.45*1.5*0.15</f>
        <v>0.77625000000000011</v>
      </c>
      <c r="D857" s="41" t="s">
        <v>304</v>
      </c>
      <c r="E857" s="54">
        <f>+$E$843</f>
        <v>17058.640972346977</v>
      </c>
      <c r="F857" s="53">
        <f t="shared" si="28"/>
        <v>13241.770054784343</v>
      </c>
      <c r="G857" s="133"/>
      <c r="H857" s="133"/>
    </row>
    <row r="858" spans="1:8" outlineLevel="1" x14ac:dyDescent="0.25">
      <c r="A858" s="134"/>
      <c r="B858" s="41" t="s">
        <v>306</v>
      </c>
      <c r="C858" s="119">
        <f>+C857/0.15*0.12</f>
        <v>0.62100000000000011</v>
      </c>
      <c r="D858" s="41" t="s">
        <v>304</v>
      </c>
      <c r="E858" s="54">
        <f>+$E$857</f>
        <v>17058.640972346977</v>
      </c>
      <c r="F858" s="53">
        <f t="shared" si="28"/>
        <v>10593.416043827474</v>
      </c>
      <c r="G858" s="133"/>
      <c r="H858" s="133"/>
    </row>
    <row r="859" spans="1:8" outlineLevel="1" x14ac:dyDescent="0.25">
      <c r="A859" s="134"/>
      <c r="B859" s="41" t="s">
        <v>311</v>
      </c>
      <c r="C859" s="53">
        <f>1.5*2*3+3*2*2</f>
        <v>21</v>
      </c>
      <c r="D859" s="41" t="s">
        <v>21</v>
      </c>
      <c r="E859" s="54">
        <f>+$E$845</f>
        <v>2089.9135941655486</v>
      </c>
      <c r="F859" s="53">
        <f t="shared" si="28"/>
        <v>43888.185477476523</v>
      </c>
      <c r="G859" s="133"/>
      <c r="H859" s="133"/>
    </row>
    <row r="860" spans="1:8" outlineLevel="1" x14ac:dyDescent="0.25">
      <c r="A860" s="134"/>
      <c r="B860" s="41" t="s">
        <v>295</v>
      </c>
      <c r="C860" s="53">
        <f>+(3+1.2)*2*2</f>
        <v>16.8</v>
      </c>
      <c r="D860" s="41" t="s">
        <v>81</v>
      </c>
      <c r="E860" s="46">
        <f>+$E$846</f>
        <v>791.4665195</v>
      </c>
      <c r="F860" s="53">
        <f t="shared" si="28"/>
        <v>13296.6375276</v>
      </c>
      <c r="G860" s="133"/>
      <c r="H860" s="133"/>
    </row>
    <row r="861" spans="1:8" outlineLevel="1" x14ac:dyDescent="0.25">
      <c r="A861" s="134"/>
      <c r="B861" s="71" t="s">
        <v>307</v>
      </c>
      <c r="C861" s="53">
        <v>3</v>
      </c>
      <c r="D861" s="41" t="s">
        <v>8</v>
      </c>
      <c r="E861" s="54"/>
      <c r="F861" s="53">
        <f t="shared" si="28"/>
        <v>0</v>
      </c>
      <c r="G861" s="149" t="s">
        <v>298</v>
      </c>
      <c r="H861" s="150"/>
    </row>
    <row r="862" spans="1:8" outlineLevel="1" x14ac:dyDescent="0.25">
      <c r="A862" s="134"/>
      <c r="B862" s="71" t="s">
        <v>308</v>
      </c>
      <c r="C862" s="53">
        <f>1.5*3*3.28</f>
        <v>14.76</v>
      </c>
      <c r="D862" s="41" t="s">
        <v>297</v>
      </c>
      <c r="E862" s="54"/>
      <c r="F862" s="53">
        <f t="shared" si="28"/>
        <v>0</v>
      </c>
      <c r="G862" s="151"/>
      <c r="H862" s="152"/>
    </row>
    <row r="863" spans="1:8" outlineLevel="1" x14ac:dyDescent="0.25">
      <c r="A863" s="134"/>
      <c r="B863" s="71" t="s">
        <v>299</v>
      </c>
      <c r="C863" s="53">
        <v>2</v>
      </c>
      <c r="D863" s="41" t="s">
        <v>8</v>
      </c>
      <c r="E863" s="54"/>
      <c r="F863" s="53">
        <f t="shared" si="28"/>
        <v>0</v>
      </c>
      <c r="G863" s="117" t="s">
        <v>261</v>
      </c>
      <c r="H863" s="123"/>
    </row>
    <row r="864" spans="1:8" ht="15.6" outlineLevel="1" x14ac:dyDescent="0.3">
      <c r="A864" s="134"/>
      <c r="B864" s="140"/>
      <c r="C864" s="141"/>
      <c r="D864" s="131"/>
      <c r="E864" s="46"/>
      <c r="F864" s="133"/>
      <c r="G864" s="39">
        <f>SUM(F855:F863)</f>
        <v>126934.49310368834</v>
      </c>
      <c r="H864" s="59" t="s">
        <v>48</v>
      </c>
    </row>
    <row r="865" spans="1:8" outlineLevel="1" x14ac:dyDescent="0.25">
      <c r="A865" s="96"/>
      <c r="B865" s="41"/>
      <c r="E865" s="46"/>
      <c r="G865" s="58"/>
      <c r="H865" s="41"/>
    </row>
    <row r="866" spans="1:8" ht="15.6" x14ac:dyDescent="0.3">
      <c r="A866" s="90">
        <f>0.01+A854</f>
        <v>10.169999999999996</v>
      </c>
      <c r="B866" s="3" t="s">
        <v>315</v>
      </c>
      <c r="C866" s="8"/>
      <c r="E866" s="46"/>
      <c r="F866" s="8"/>
      <c r="G866" s="133"/>
      <c r="H866" s="41"/>
    </row>
    <row r="867" spans="1:8" ht="15.6" x14ac:dyDescent="0.3">
      <c r="A867" s="135"/>
      <c r="B867" s="41" t="s">
        <v>316</v>
      </c>
      <c r="C867" s="53">
        <v>1</v>
      </c>
      <c r="D867" s="41" t="s">
        <v>21</v>
      </c>
      <c r="E867" s="54">
        <f>+$G$655</f>
        <v>1396.8325582137502</v>
      </c>
      <c r="F867" s="53">
        <f>C867*E867</f>
        <v>1396.8325582137502</v>
      </c>
      <c r="G867" s="133"/>
      <c r="H867" s="133"/>
    </row>
    <row r="868" spans="1:8" ht="15.6" x14ac:dyDescent="0.3">
      <c r="A868" s="135"/>
      <c r="B868" s="41" t="s">
        <v>317</v>
      </c>
      <c r="C868" s="119">
        <v>1</v>
      </c>
      <c r="D868" s="41" t="s">
        <v>21</v>
      </c>
      <c r="E868" s="54">
        <f>+$G$1037</f>
        <v>999.85325000000012</v>
      </c>
      <c r="F868" s="53">
        <f>C868*E868</f>
        <v>999.85325000000012</v>
      </c>
      <c r="G868" s="133"/>
      <c r="H868" s="133"/>
    </row>
    <row r="869" spans="1:8" x14ac:dyDescent="0.25">
      <c r="A869" s="133"/>
      <c r="B869" s="41" t="s">
        <v>259</v>
      </c>
      <c r="C869" s="119">
        <v>4</v>
      </c>
      <c r="D869" s="41" t="s">
        <v>13</v>
      </c>
      <c r="E869" s="54">
        <f>+$G$1045</f>
        <v>213.77894430000001</v>
      </c>
      <c r="F869" s="53">
        <f>C869*E869</f>
        <v>855.11577720000003</v>
      </c>
      <c r="G869" s="133"/>
      <c r="H869" s="133"/>
    </row>
    <row r="870" spans="1:8" x14ac:dyDescent="0.25">
      <c r="A870" s="134"/>
      <c r="B870" s="41" t="s">
        <v>318</v>
      </c>
      <c r="C870" s="119">
        <v>4</v>
      </c>
      <c r="D870" s="41" t="s">
        <v>13</v>
      </c>
      <c r="E870" s="54">
        <f>+$G$959</f>
        <v>258.20320822500003</v>
      </c>
      <c r="F870" s="53">
        <f>C870*E870</f>
        <v>1032.8128329000001</v>
      </c>
      <c r="G870" s="133"/>
      <c r="H870" s="133"/>
    </row>
    <row r="871" spans="1:8" ht="15.6" x14ac:dyDescent="0.3">
      <c r="A871" s="134"/>
      <c r="B871" s="140"/>
      <c r="C871" s="141"/>
      <c r="D871" s="131"/>
      <c r="E871" s="46"/>
      <c r="F871" s="133"/>
      <c r="G871" s="59">
        <f>SUM(F867:F870)</f>
        <v>4284.6144183137512</v>
      </c>
      <c r="H871" s="59" t="s">
        <v>48</v>
      </c>
    </row>
    <row r="872" spans="1:8" x14ac:dyDescent="0.25">
      <c r="A872" s="96"/>
      <c r="B872" s="41"/>
      <c r="E872" s="46"/>
      <c r="G872" s="58"/>
      <c r="H872" s="41"/>
    </row>
    <row r="873" spans="1:8" ht="15.6" x14ac:dyDescent="0.3">
      <c r="A873" s="20">
        <f>+A670+1</f>
        <v>11</v>
      </c>
      <c r="B873" s="3" t="s">
        <v>319</v>
      </c>
      <c r="C873" s="8"/>
      <c r="E873" s="46"/>
      <c r="F873" s="8"/>
      <c r="G873" s="58"/>
    </row>
    <row r="874" spans="1:8" x14ac:dyDescent="0.25">
      <c r="A874" s="90"/>
      <c r="B874" s="41"/>
      <c r="C874" s="8"/>
      <c r="E874" s="46"/>
      <c r="F874" s="8"/>
      <c r="G874" s="58"/>
    </row>
    <row r="875" spans="1:8" ht="15.6" x14ac:dyDescent="0.3">
      <c r="A875" s="90">
        <f>+A873+0.01</f>
        <v>11.01</v>
      </c>
      <c r="B875" s="3" t="s">
        <v>320</v>
      </c>
      <c r="C875" s="8"/>
      <c r="E875" s="46"/>
      <c r="F875" s="8"/>
      <c r="G875" s="58"/>
    </row>
    <row r="876" spans="1:8" x14ac:dyDescent="0.25">
      <c r="A876" s="90"/>
      <c r="B876" s="41" t="s">
        <v>321</v>
      </c>
      <c r="C876" s="53">
        <v>5.0000000000000001E-3</v>
      </c>
      <c r="D876" s="41" t="s">
        <v>54</v>
      </c>
      <c r="E876" s="54">
        <f>$G$91</f>
        <v>6759.25</v>
      </c>
      <c r="F876" s="53">
        <f>E876*C876</f>
        <v>33.796250000000001</v>
      </c>
      <c r="G876" s="58"/>
    </row>
    <row r="877" spans="1:8" x14ac:dyDescent="0.25">
      <c r="A877" s="90"/>
      <c r="B877" s="41" t="s">
        <v>322</v>
      </c>
      <c r="C877" s="53">
        <v>1</v>
      </c>
      <c r="D877" s="41" t="s">
        <v>81</v>
      </c>
      <c r="E877" s="54">
        <f>+'[1]MO MAY25'!$N$147</f>
        <v>74.75</v>
      </c>
      <c r="F877" s="53">
        <f>E877*C877</f>
        <v>74.75</v>
      </c>
      <c r="G877" s="58"/>
    </row>
    <row r="878" spans="1:8" x14ac:dyDescent="0.25">
      <c r="A878" s="90"/>
      <c r="B878" s="41" t="s">
        <v>67</v>
      </c>
      <c r="C878" s="53">
        <v>10</v>
      </c>
      <c r="D878" s="41" t="s">
        <v>34</v>
      </c>
      <c r="E878" s="54">
        <f>SUM(F876:F877)</f>
        <v>108.54625</v>
      </c>
      <c r="F878" s="53">
        <f>E878*C878/100</f>
        <v>10.854625</v>
      </c>
      <c r="G878" s="58"/>
      <c r="H878" s="41"/>
    </row>
    <row r="879" spans="1:8" x14ac:dyDescent="0.25">
      <c r="A879" s="90"/>
      <c r="B879" s="41" t="s">
        <v>283</v>
      </c>
      <c r="C879" s="53">
        <v>0.6</v>
      </c>
      <c r="D879" s="41" t="s">
        <v>150</v>
      </c>
      <c r="E879" s="54">
        <f>+'[1]MO MAY25'!$N$512</f>
        <v>155.25</v>
      </c>
      <c r="F879" s="53">
        <f>E879*C879</f>
        <v>93.149999999999991</v>
      </c>
      <c r="G879" s="58"/>
    </row>
    <row r="880" spans="1:8" ht="15.6" x14ac:dyDescent="0.3">
      <c r="A880" s="90"/>
      <c r="B880" s="41"/>
      <c r="C880" s="8"/>
      <c r="E880" s="46"/>
      <c r="F880" s="8"/>
      <c r="G880" s="59">
        <f>SUM(F876:F879)</f>
        <v>212.55087499999999</v>
      </c>
      <c r="H880" s="3" t="s">
        <v>150</v>
      </c>
    </row>
    <row r="881" spans="1:8" x14ac:dyDescent="0.25">
      <c r="A881" s="90"/>
      <c r="B881" s="41"/>
      <c r="C881" s="8"/>
      <c r="E881" s="46"/>
      <c r="F881" s="8"/>
      <c r="G881" s="58"/>
    </row>
    <row r="882" spans="1:8" ht="15.6" x14ac:dyDescent="0.3">
      <c r="A882" s="90">
        <f>+A875+0.01</f>
        <v>11.02</v>
      </c>
      <c r="B882" s="3" t="s">
        <v>323</v>
      </c>
      <c r="C882" s="8"/>
      <c r="E882" s="46"/>
      <c r="F882" s="8"/>
      <c r="G882" s="58"/>
    </row>
    <row r="883" spans="1:8" x14ac:dyDescent="0.25">
      <c r="A883" s="90"/>
      <c r="B883" s="41" t="s">
        <v>321</v>
      </c>
      <c r="C883" s="53">
        <v>5.0000000000000001E-3</v>
      </c>
      <c r="D883" s="41" t="s">
        <v>54</v>
      </c>
      <c r="E883" s="54">
        <f>$G$91</f>
        <v>6759.25</v>
      </c>
      <c r="F883" s="53">
        <f>E883*C883</f>
        <v>33.796250000000001</v>
      </c>
      <c r="G883" s="58"/>
    </row>
    <row r="884" spans="1:8" x14ac:dyDescent="0.25">
      <c r="A884" s="90"/>
      <c r="B884" s="41" t="s">
        <v>322</v>
      </c>
      <c r="C884" s="53">
        <v>1</v>
      </c>
      <c r="D884" s="41" t="s">
        <v>81</v>
      </c>
      <c r="E884" s="54">
        <f>+'[1]MO MAY25'!$N$147</f>
        <v>74.75</v>
      </c>
      <c r="F884" s="53">
        <f>E884*C884</f>
        <v>74.75</v>
      </c>
      <c r="G884" s="58"/>
    </row>
    <row r="885" spans="1:8" x14ac:dyDescent="0.25">
      <c r="A885" s="90"/>
      <c r="B885" s="41" t="s">
        <v>67</v>
      </c>
      <c r="C885" s="53">
        <v>10</v>
      </c>
      <c r="D885" s="41" t="s">
        <v>34</v>
      </c>
      <c r="E885" s="54">
        <f>SUM(F883:F884)</f>
        <v>108.54625</v>
      </c>
      <c r="F885" s="53">
        <f>E885*C885/100</f>
        <v>10.854625</v>
      </c>
      <c r="G885" s="58"/>
      <c r="H885" s="41"/>
    </row>
    <row r="886" spans="1:8" x14ac:dyDescent="0.25">
      <c r="A886" s="90"/>
      <c r="B886" s="41" t="s">
        <v>283</v>
      </c>
      <c r="C886" s="53">
        <v>0.5</v>
      </c>
      <c r="D886" s="41" t="s">
        <v>81</v>
      </c>
      <c r="E886" s="54">
        <f>+'[1]MO MAY25'!$N$512</f>
        <v>155.25</v>
      </c>
      <c r="F886" s="53">
        <f>E886*C886</f>
        <v>77.625</v>
      </c>
      <c r="G886" s="58"/>
    </row>
    <row r="887" spans="1:8" ht="15.6" x14ac:dyDescent="0.3">
      <c r="A887" s="90"/>
      <c r="B887" s="41"/>
      <c r="C887" s="8"/>
      <c r="E887" s="46"/>
      <c r="F887" s="8"/>
      <c r="G887" s="59">
        <f>SUM(F883:F886)</f>
        <v>197.02587499999998</v>
      </c>
      <c r="H887" s="3" t="s">
        <v>141</v>
      </c>
    </row>
    <row r="888" spans="1:8" ht="15.6" x14ac:dyDescent="0.3">
      <c r="A888" s="90">
        <f>0.01+A882</f>
        <v>11.03</v>
      </c>
      <c r="B888" s="3" t="s">
        <v>324</v>
      </c>
      <c r="C888" s="8"/>
      <c r="E888" s="46"/>
      <c r="F888" s="8"/>
      <c r="G888" s="58"/>
    </row>
    <row r="889" spans="1:8" x14ac:dyDescent="0.25">
      <c r="A889" s="90"/>
      <c r="B889" s="41" t="s">
        <v>325</v>
      </c>
      <c r="C889" s="53">
        <v>0.03</v>
      </c>
      <c r="D889" s="41" t="s">
        <v>54</v>
      </c>
      <c r="E889" s="54">
        <f>$G$73</f>
        <v>11656.8915</v>
      </c>
      <c r="F889" s="53">
        <f>E889*C889</f>
        <v>349.70674499999996</v>
      </c>
      <c r="G889" s="58"/>
    </row>
    <row r="890" spans="1:8" x14ac:dyDescent="0.25">
      <c r="A890" s="90"/>
      <c r="B890" s="41" t="s">
        <v>326</v>
      </c>
      <c r="C890" s="53">
        <v>0.08</v>
      </c>
      <c r="D890" s="41" t="s">
        <v>327</v>
      </c>
      <c r="E890" s="54">
        <f>+'[1]Lista de precios MAY25'!$E$156</f>
        <v>55.8</v>
      </c>
      <c r="F890" s="53">
        <f>E890*C890</f>
        <v>4.4639999999999995</v>
      </c>
      <c r="G890" s="58"/>
    </row>
    <row r="891" spans="1:8" x14ac:dyDescent="0.25">
      <c r="A891" s="90"/>
      <c r="B891" s="41" t="s">
        <v>67</v>
      </c>
      <c r="C891" s="53">
        <v>5</v>
      </c>
      <c r="D891" s="41" t="s">
        <v>34</v>
      </c>
      <c r="E891" s="46">
        <f>SUM(F889:F890)</f>
        <v>354.17074499999995</v>
      </c>
      <c r="F891" s="53">
        <f>E891*C891/100</f>
        <v>17.708537249999996</v>
      </c>
      <c r="G891" s="58"/>
    </row>
    <row r="892" spans="1:8" x14ac:dyDescent="0.25">
      <c r="A892" s="16"/>
      <c r="B892" s="41" t="s">
        <v>84</v>
      </c>
      <c r="C892" s="53">
        <v>1</v>
      </c>
      <c r="D892" s="41" t="s">
        <v>81</v>
      </c>
      <c r="E892" s="54">
        <f>+'[1]MO MAY25'!N151+'[1]MO MAY25'!N150</f>
        <v>264.5</v>
      </c>
      <c r="F892" s="53">
        <f>E892*C892</f>
        <v>264.5</v>
      </c>
      <c r="G892" s="58"/>
    </row>
    <row r="893" spans="1:8" x14ac:dyDescent="0.25">
      <c r="A893" s="16"/>
      <c r="B893" s="41" t="s">
        <v>328</v>
      </c>
      <c r="C893" s="53">
        <v>7</v>
      </c>
      <c r="D893" s="41" t="s">
        <v>34</v>
      </c>
      <c r="E893" s="46">
        <f>SUM(F892)</f>
        <v>264.5</v>
      </c>
      <c r="F893" s="53">
        <f>E893*C893/100</f>
        <v>18.515000000000001</v>
      </c>
      <c r="G893" s="58"/>
    </row>
    <row r="894" spans="1:8" x14ac:dyDescent="0.25">
      <c r="A894" s="90"/>
      <c r="B894" s="41" t="s">
        <v>278</v>
      </c>
      <c r="C894" s="53">
        <v>0.5</v>
      </c>
      <c r="D894" s="41" t="s">
        <v>81</v>
      </c>
      <c r="E894" s="54">
        <f>+'[1]MO MAY25'!$N$512</f>
        <v>155.25</v>
      </c>
      <c r="F894" s="53">
        <f>E894*C894</f>
        <v>77.625</v>
      </c>
      <c r="G894" s="58"/>
      <c r="H894" s="41"/>
    </row>
    <row r="895" spans="1:8" ht="15.6" x14ac:dyDescent="0.3">
      <c r="A895" s="90"/>
      <c r="B895" s="41"/>
      <c r="C895" s="8"/>
      <c r="E895" s="46"/>
      <c r="F895" s="8"/>
      <c r="G895" s="59">
        <f>SUM(F889:F894)</f>
        <v>732.51928224999995</v>
      </c>
      <c r="H895" s="3" t="s">
        <v>141</v>
      </c>
    </row>
    <row r="896" spans="1:8" x14ac:dyDescent="0.25">
      <c r="A896" s="90"/>
      <c r="B896" s="41"/>
      <c r="C896" s="8"/>
      <c r="E896" s="46"/>
      <c r="F896" s="8"/>
      <c r="G896" s="58"/>
      <c r="H896" s="41"/>
    </row>
    <row r="897" spans="1:8" ht="15.6" x14ac:dyDescent="0.3">
      <c r="A897" s="90">
        <f>0.01+A888</f>
        <v>11.04</v>
      </c>
      <c r="B897" s="3" t="s">
        <v>329</v>
      </c>
      <c r="C897" s="8"/>
      <c r="E897" s="46"/>
      <c r="F897" s="8"/>
      <c r="G897" s="58"/>
      <c r="H897" s="41"/>
    </row>
    <row r="898" spans="1:8" x14ac:dyDescent="0.25">
      <c r="A898" s="90"/>
      <c r="B898" s="41" t="s">
        <v>325</v>
      </c>
      <c r="C898" s="53">
        <v>0.03</v>
      </c>
      <c r="D898" s="41" t="s">
        <v>54</v>
      </c>
      <c r="E898" s="77">
        <f>+$G$73</f>
        <v>11656.8915</v>
      </c>
      <c r="F898" s="53">
        <f>E898*C898</f>
        <v>349.70674499999996</v>
      </c>
      <c r="G898" s="58"/>
      <c r="H898" s="41"/>
    </row>
    <row r="899" spans="1:8" x14ac:dyDescent="0.25">
      <c r="A899" s="90"/>
      <c r="B899" s="41" t="s">
        <v>326</v>
      </c>
      <c r="C899" s="53">
        <f>+C890*2</f>
        <v>0.16</v>
      </c>
      <c r="D899" s="41" t="s">
        <v>327</v>
      </c>
      <c r="E899" s="54">
        <f>+'[1]Lista de precios MAY25'!$E$156</f>
        <v>55.8</v>
      </c>
      <c r="F899" s="53">
        <f>E899*C899</f>
        <v>8.927999999999999</v>
      </c>
      <c r="G899" s="58"/>
      <c r="H899" s="41"/>
    </row>
    <row r="900" spans="1:8" x14ac:dyDescent="0.25">
      <c r="A900" s="90"/>
      <c r="B900" s="41" t="s">
        <v>67</v>
      </c>
      <c r="C900" s="53">
        <v>5</v>
      </c>
      <c r="D900" s="41" t="s">
        <v>34</v>
      </c>
      <c r="E900" s="46">
        <f>SUM(F898:F899)</f>
        <v>358.63474499999995</v>
      </c>
      <c r="F900" s="53">
        <f>E900*C900/100</f>
        <v>17.931737249999998</v>
      </c>
      <c r="G900" s="58"/>
      <c r="H900" s="41"/>
    </row>
    <row r="901" spans="1:8" x14ac:dyDescent="0.25">
      <c r="A901" s="16"/>
      <c r="B901" s="41" t="s">
        <v>84</v>
      </c>
      <c r="C901" s="53">
        <v>1</v>
      </c>
      <c r="D901" s="41" t="s">
        <v>81</v>
      </c>
      <c r="E901" s="54">
        <f>+'[1]MO MAY25'!N151+'[1]MO MAY25'!N150</f>
        <v>264.5</v>
      </c>
      <c r="F901" s="53">
        <f>E901*C901</f>
        <v>264.5</v>
      </c>
      <c r="G901" s="58"/>
      <c r="H901" s="41"/>
    </row>
    <row r="902" spans="1:8" x14ac:dyDescent="0.25">
      <c r="A902" s="16"/>
      <c r="B902" s="41" t="s">
        <v>328</v>
      </c>
      <c r="C902" s="53">
        <v>7</v>
      </c>
      <c r="D902" s="41" t="s">
        <v>34</v>
      </c>
      <c r="E902" s="46">
        <f>SUM(F901)</f>
        <v>264.5</v>
      </c>
      <c r="F902" s="53">
        <f>E902*C902/100</f>
        <v>18.515000000000001</v>
      </c>
      <c r="G902" s="58"/>
    </row>
    <row r="903" spans="1:8" x14ac:dyDescent="0.25">
      <c r="A903" s="90"/>
      <c r="B903" s="41" t="s">
        <v>278</v>
      </c>
      <c r="C903" s="53">
        <v>0.5</v>
      </c>
      <c r="D903" s="41" t="s">
        <v>81</v>
      </c>
      <c r="E903" s="54">
        <f>+'[1]MO MAY25'!$N$512</f>
        <v>155.25</v>
      </c>
      <c r="F903" s="53">
        <f>E903*C903</f>
        <v>77.625</v>
      </c>
      <c r="G903" s="58"/>
    </row>
    <row r="904" spans="1:8" ht="15.6" x14ac:dyDescent="0.3">
      <c r="A904" s="90"/>
      <c r="B904" s="41"/>
      <c r="C904" s="8"/>
      <c r="E904" s="46"/>
      <c r="F904" s="8"/>
      <c r="G904" s="59">
        <f>SUM(F898:F903)</f>
        <v>737.20648224999991</v>
      </c>
      <c r="H904" s="3" t="s">
        <v>141</v>
      </c>
    </row>
    <row r="905" spans="1:8" ht="15.6" x14ac:dyDescent="0.3">
      <c r="A905" s="90"/>
      <c r="B905" s="41"/>
      <c r="C905" s="8"/>
      <c r="E905" s="46"/>
      <c r="F905" s="8"/>
      <c r="G905" s="59">
        <f>+G904+C898*F82</f>
        <v>737.20648224999991</v>
      </c>
      <c r="H905" s="3" t="s">
        <v>141</v>
      </c>
    </row>
    <row r="906" spans="1:8" ht="15.6" x14ac:dyDescent="0.3">
      <c r="A906" s="90">
        <f>0.01+A897</f>
        <v>11.049999999999999</v>
      </c>
      <c r="B906" s="3" t="s">
        <v>330</v>
      </c>
      <c r="C906" s="8"/>
      <c r="E906" s="46"/>
      <c r="F906" s="8"/>
      <c r="G906" s="58"/>
      <c r="H906" s="41"/>
    </row>
    <row r="907" spans="1:8" x14ac:dyDescent="0.25">
      <c r="A907" s="90"/>
      <c r="B907" s="41" t="s">
        <v>325</v>
      </c>
      <c r="C907" s="53">
        <v>2.5000000000000001E-2</v>
      </c>
      <c r="D907" s="41" t="s">
        <v>54</v>
      </c>
      <c r="E907" s="54">
        <f>$G$73</f>
        <v>11656.8915</v>
      </c>
      <c r="F907" s="53">
        <f>E907*C907</f>
        <v>291.42228749999998</v>
      </c>
      <c r="G907" s="58"/>
      <c r="H907" s="41"/>
    </row>
    <row r="908" spans="1:8" x14ac:dyDescent="0.25">
      <c r="A908" s="90"/>
      <c r="B908" s="41" t="s">
        <v>326</v>
      </c>
      <c r="C908" s="53">
        <v>0.16</v>
      </c>
      <c r="D908" s="41" t="s">
        <v>327</v>
      </c>
      <c r="E908" s="54">
        <f>+'[1]Lista de precios MAY25'!$E$156</f>
        <v>55.8</v>
      </c>
      <c r="F908" s="53">
        <f>E908*C908</f>
        <v>8.927999999999999</v>
      </c>
      <c r="G908" s="58"/>
      <c r="H908" s="41"/>
    </row>
    <row r="909" spans="1:8" x14ac:dyDescent="0.25">
      <c r="A909" s="90"/>
      <c r="B909" s="41" t="s">
        <v>67</v>
      </c>
      <c r="C909" s="53">
        <v>5</v>
      </c>
      <c r="D909" s="41" t="s">
        <v>34</v>
      </c>
      <c r="E909" s="46">
        <f>SUM(F907:F908)</f>
        <v>300.35028749999998</v>
      </c>
      <c r="F909" s="53">
        <f>E909*C909/100</f>
        <v>15.017514374999998</v>
      </c>
      <c r="G909" s="58"/>
      <c r="H909" s="41"/>
    </row>
    <row r="910" spans="1:8" x14ac:dyDescent="0.25">
      <c r="A910" s="90"/>
      <c r="B910" s="41" t="s">
        <v>84</v>
      </c>
      <c r="C910" s="53">
        <v>1</v>
      </c>
      <c r="D910" s="41" t="s">
        <v>81</v>
      </c>
      <c r="E910" s="54">
        <f>+'[1]MO MAY25'!N152</f>
        <v>304.75</v>
      </c>
      <c r="F910" s="53">
        <f>E910*C910</f>
        <v>304.75</v>
      </c>
      <c r="G910" s="58"/>
      <c r="H910" s="41"/>
    </row>
    <row r="911" spans="1:8" x14ac:dyDescent="0.25">
      <c r="A911" s="16"/>
      <c r="B911" s="41" t="s">
        <v>328</v>
      </c>
      <c r="C911" s="53">
        <v>7</v>
      </c>
      <c r="D911" s="41" t="s">
        <v>34</v>
      </c>
      <c r="E911" s="46">
        <f>SUM(F910)</f>
        <v>304.75</v>
      </c>
      <c r="F911" s="53">
        <f>E911*C911/100</f>
        <v>21.3325</v>
      </c>
      <c r="G911" s="58"/>
    </row>
    <row r="912" spans="1:8" x14ac:dyDescent="0.25">
      <c r="A912" s="90"/>
      <c r="B912" s="41" t="s">
        <v>278</v>
      </c>
      <c r="C912" s="53">
        <v>0.7</v>
      </c>
      <c r="D912" s="41" t="s">
        <v>81</v>
      </c>
      <c r="E912" s="54">
        <f>+'[1]MO MAY25'!$N$512</f>
        <v>155.25</v>
      </c>
      <c r="F912" s="53">
        <f>E912*C912</f>
        <v>108.675</v>
      </c>
      <c r="G912" s="58"/>
    </row>
    <row r="913" spans="1:9" ht="15.6" x14ac:dyDescent="0.3">
      <c r="A913" s="90"/>
      <c r="B913" s="41"/>
      <c r="C913" s="8"/>
      <c r="E913" s="46"/>
      <c r="F913" s="8"/>
      <c r="G913" s="59">
        <f>SUM(F907:F912)</f>
        <v>750.12530187499988</v>
      </c>
      <c r="H913" s="3" t="s">
        <v>141</v>
      </c>
    </row>
    <row r="914" spans="1:9" x14ac:dyDescent="0.25">
      <c r="A914" s="90"/>
      <c r="B914" s="41"/>
      <c r="C914" s="8"/>
      <c r="E914" s="46"/>
      <c r="F914" s="8"/>
      <c r="G914" s="58"/>
    </row>
    <row r="915" spans="1:9" ht="15.6" x14ac:dyDescent="0.3">
      <c r="A915" s="90">
        <f>0.01+A906</f>
        <v>11.059999999999999</v>
      </c>
      <c r="B915" s="3" t="s">
        <v>331</v>
      </c>
      <c r="C915" s="8"/>
      <c r="E915" s="46"/>
      <c r="F915" s="8"/>
      <c r="G915" s="58"/>
    </row>
    <row r="916" spans="1:9" x14ac:dyDescent="0.25">
      <c r="A916" s="90"/>
      <c r="B916" s="41" t="s">
        <v>325</v>
      </c>
      <c r="C916" s="53">
        <v>0.03</v>
      </c>
      <c r="D916" s="41" t="s">
        <v>54</v>
      </c>
      <c r="E916" s="54">
        <f>$G$73</f>
        <v>11656.8915</v>
      </c>
      <c r="F916" s="53">
        <f>E916*C916</f>
        <v>349.70674499999996</v>
      </c>
      <c r="G916" s="58"/>
    </row>
    <row r="917" spans="1:9" x14ac:dyDescent="0.25">
      <c r="A917" s="90"/>
      <c r="B917" s="41" t="s">
        <v>326</v>
      </c>
      <c r="C917" s="53">
        <v>0.32</v>
      </c>
      <c r="D917" s="41" t="s">
        <v>327</v>
      </c>
      <c r="E917" s="54">
        <f>+'[1]Lista de precios MAY25'!$E$156</f>
        <v>55.8</v>
      </c>
      <c r="F917" s="53">
        <f>E917*C917</f>
        <v>17.855999999999998</v>
      </c>
      <c r="G917" s="58"/>
    </row>
    <row r="918" spans="1:9" x14ac:dyDescent="0.25">
      <c r="A918" s="90"/>
      <c r="B918" s="41" t="s">
        <v>67</v>
      </c>
      <c r="C918" s="53">
        <v>10</v>
      </c>
      <c r="D918" s="41" t="s">
        <v>34</v>
      </c>
      <c r="E918" s="46">
        <f>SUM(F916:F917)</f>
        <v>367.56274499999995</v>
      </c>
      <c r="F918" s="53">
        <f>E918*C918/100</f>
        <v>36.756274499999996</v>
      </c>
      <c r="G918" s="58"/>
    </row>
    <row r="919" spans="1:9" x14ac:dyDescent="0.25">
      <c r="A919" s="90"/>
      <c r="B919" s="41" t="s">
        <v>84</v>
      </c>
      <c r="C919" s="53">
        <v>1</v>
      </c>
      <c r="D919" s="41" t="s">
        <v>81</v>
      </c>
      <c r="E919" s="54">
        <f>+'[1]MO MAY25'!N154</f>
        <v>253</v>
      </c>
      <c r="F919" s="53">
        <f>E919*C919</f>
        <v>253</v>
      </c>
      <c r="G919" s="58"/>
    </row>
    <row r="920" spans="1:9" x14ac:dyDescent="0.25">
      <c r="A920" s="16"/>
      <c r="B920" s="41" t="s">
        <v>328</v>
      </c>
      <c r="C920" s="53">
        <v>7</v>
      </c>
      <c r="D920" s="41" t="s">
        <v>34</v>
      </c>
      <c r="E920" s="46">
        <f>SUM(F919)</f>
        <v>253</v>
      </c>
      <c r="F920" s="53">
        <f>E920*C920/100</f>
        <v>17.71</v>
      </c>
      <c r="G920" s="58"/>
    </row>
    <row r="921" spans="1:9" x14ac:dyDescent="0.25">
      <c r="A921" s="90"/>
      <c r="B921" s="41" t="s">
        <v>278</v>
      </c>
      <c r="C921" s="53">
        <v>0.75</v>
      </c>
      <c r="D921" s="41" t="s">
        <v>81</v>
      </c>
      <c r="E921" s="54">
        <f>+'[1]MO MAY25'!$N$512</f>
        <v>155.25</v>
      </c>
      <c r="F921" s="53">
        <f>E921*C921</f>
        <v>116.4375</v>
      </c>
      <c r="G921" s="58"/>
    </row>
    <row r="922" spans="1:9" ht="15.6" x14ac:dyDescent="0.3">
      <c r="A922" s="90"/>
      <c r="B922" s="41"/>
      <c r="C922" s="8"/>
      <c r="E922" s="46"/>
      <c r="F922" s="8"/>
      <c r="G922" s="59">
        <f>SUM(F916:F921)</f>
        <v>791.4665195</v>
      </c>
      <c r="H922" s="3" t="s">
        <v>141</v>
      </c>
      <c r="I922" s="21"/>
    </row>
    <row r="923" spans="1:9" x14ac:dyDescent="0.25">
      <c r="A923" s="90"/>
      <c r="B923" s="41"/>
      <c r="C923" s="8"/>
      <c r="E923" s="46"/>
      <c r="F923" s="8"/>
      <c r="G923" s="58"/>
    </row>
    <row r="924" spans="1:9" ht="15.6" x14ac:dyDescent="0.3">
      <c r="A924" s="90">
        <f>0.01+A915</f>
        <v>11.069999999999999</v>
      </c>
      <c r="B924" s="3" t="s">
        <v>332</v>
      </c>
      <c r="C924" s="8"/>
      <c r="E924" s="46"/>
      <c r="F924" s="8"/>
      <c r="G924" s="58"/>
    </row>
    <row r="925" spans="1:9" x14ac:dyDescent="0.25">
      <c r="A925" s="90"/>
      <c r="B925" s="41" t="s">
        <v>325</v>
      </c>
      <c r="C925" s="53">
        <v>0.03</v>
      </c>
      <c r="D925" s="41" t="s">
        <v>54</v>
      </c>
      <c r="E925" s="54">
        <f>+$G$73</f>
        <v>11656.8915</v>
      </c>
      <c r="F925" s="53">
        <f>E925*C925</f>
        <v>349.70674499999996</v>
      </c>
      <c r="G925" s="58"/>
    </row>
    <row r="926" spans="1:9" x14ac:dyDescent="0.25">
      <c r="A926" s="90"/>
      <c r="B926" s="41" t="s">
        <v>326</v>
      </c>
      <c r="C926" s="53">
        <v>0.32</v>
      </c>
      <c r="D926" s="41" t="s">
        <v>327</v>
      </c>
      <c r="E926" s="54">
        <f>+'[1]Lista de precios MAY25'!$E$156</f>
        <v>55.8</v>
      </c>
      <c r="F926" s="53">
        <f>E926*C926</f>
        <v>17.855999999999998</v>
      </c>
      <c r="G926" s="58"/>
    </row>
    <row r="927" spans="1:9" x14ac:dyDescent="0.25">
      <c r="A927" s="90"/>
      <c r="B927" s="41" t="s">
        <v>67</v>
      </c>
      <c r="C927" s="53">
        <v>10</v>
      </c>
      <c r="D927" s="41" t="s">
        <v>34</v>
      </c>
      <c r="E927" s="46">
        <f>SUM(F925:F926)</f>
        <v>367.56274499999995</v>
      </c>
      <c r="F927" s="53">
        <f>E927*C927/100</f>
        <v>36.756274499999996</v>
      </c>
      <c r="G927" s="58"/>
    </row>
    <row r="928" spans="1:9" x14ac:dyDescent="0.25">
      <c r="A928" s="90"/>
      <c r="B928" s="41" t="s">
        <v>84</v>
      </c>
      <c r="C928" s="53">
        <v>1</v>
      </c>
      <c r="D928" s="41" t="s">
        <v>81</v>
      </c>
      <c r="E928" s="54">
        <f>+'[1]MO MAY25'!N154*2</f>
        <v>506</v>
      </c>
      <c r="F928" s="53">
        <f>E928*C928</f>
        <v>506</v>
      </c>
      <c r="G928" s="58"/>
    </row>
    <row r="929" spans="1:9" x14ac:dyDescent="0.25">
      <c r="A929" s="16"/>
      <c r="B929" s="41" t="s">
        <v>328</v>
      </c>
      <c r="C929" s="53">
        <v>7</v>
      </c>
      <c r="D929" s="41" t="s">
        <v>34</v>
      </c>
      <c r="E929" s="46">
        <f>SUM(F928)</f>
        <v>506</v>
      </c>
      <c r="F929" s="53">
        <f>E929*C929/100</f>
        <v>35.42</v>
      </c>
      <c r="G929" s="58"/>
    </row>
    <row r="930" spans="1:9" x14ac:dyDescent="0.25">
      <c r="A930" s="90"/>
      <c r="B930" s="41" t="s">
        <v>278</v>
      </c>
      <c r="C930" s="53">
        <v>1</v>
      </c>
      <c r="D930" s="41" t="s">
        <v>81</v>
      </c>
      <c r="E930" s="54">
        <f>+'[1]MO MAY25'!$N$512</f>
        <v>155.25</v>
      </c>
      <c r="F930" s="53">
        <f>E930*C930</f>
        <v>155.25</v>
      </c>
      <c r="G930" s="58"/>
    </row>
    <row r="931" spans="1:9" ht="15.6" x14ac:dyDescent="0.3">
      <c r="A931" s="90"/>
      <c r="B931" s="41"/>
      <c r="C931" s="8"/>
      <c r="E931" s="46"/>
      <c r="F931" s="8"/>
      <c r="G931" s="59">
        <f>SUM(F925:F930)</f>
        <v>1100.9890194999998</v>
      </c>
      <c r="H931" s="3" t="s">
        <v>141</v>
      </c>
    </row>
    <row r="932" spans="1:9" x14ac:dyDescent="0.25">
      <c r="A932" s="90"/>
      <c r="B932" s="41"/>
      <c r="C932" s="8"/>
      <c r="E932" s="46"/>
      <c r="F932" s="8"/>
      <c r="G932" s="58"/>
    </row>
    <row r="933" spans="1:9" ht="15.6" x14ac:dyDescent="0.3">
      <c r="A933" s="90">
        <f>0.01+A924</f>
        <v>11.079999999999998</v>
      </c>
      <c r="B933" s="3" t="s">
        <v>333</v>
      </c>
      <c r="C933" s="8"/>
      <c r="E933" s="46"/>
      <c r="F933" s="8"/>
      <c r="G933" s="58"/>
      <c r="H933" s="41"/>
      <c r="I933" s="19"/>
    </row>
    <row r="934" spans="1:9" x14ac:dyDescent="0.25">
      <c r="A934" s="90"/>
      <c r="B934" s="41" t="s">
        <v>325</v>
      </c>
      <c r="C934" s="53">
        <v>0.02</v>
      </c>
      <c r="D934" s="41" t="s">
        <v>54</v>
      </c>
      <c r="E934" s="54">
        <f>+$G$73</f>
        <v>11656.8915</v>
      </c>
      <c r="F934" s="53">
        <f>E934*C934</f>
        <v>233.13783000000001</v>
      </c>
      <c r="G934" s="58"/>
      <c r="H934" s="41"/>
      <c r="I934" s="19"/>
    </row>
    <row r="935" spans="1:9" x14ac:dyDescent="0.25">
      <c r="A935" s="90"/>
      <c r="B935" s="41" t="s">
        <v>326</v>
      </c>
      <c r="C935" s="53">
        <v>0.08</v>
      </c>
      <c r="D935" s="41" t="s">
        <v>327</v>
      </c>
      <c r="E935" s="54">
        <f>+'[1]Lista de precios MAY25'!$E$156</f>
        <v>55.8</v>
      </c>
      <c r="F935" s="53">
        <f>E935*C935</f>
        <v>4.4639999999999995</v>
      </c>
      <c r="G935" s="58"/>
      <c r="H935" s="41"/>
      <c r="I935" s="19"/>
    </row>
    <row r="936" spans="1:9" x14ac:dyDescent="0.25">
      <c r="A936" s="90"/>
      <c r="B936" s="41" t="s">
        <v>67</v>
      </c>
      <c r="C936" s="53">
        <v>5</v>
      </c>
      <c r="D936" s="41" t="s">
        <v>34</v>
      </c>
      <c r="E936" s="54">
        <f>SUM(F934:F935)</f>
        <v>237.60183000000001</v>
      </c>
      <c r="F936" s="53">
        <f>E936*C936/100</f>
        <v>11.880091500000001</v>
      </c>
      <c r="G936" s="58"/>
      <c r="H936" s="41"/>
      <c r="I936" s="19"/>
    </row>
    <row r="937" spans="1:9" x14ac:dyDescent="0.25">
      <c r="A937" s="16"/>
      <c r="B937" s="41" t="s">
        <v>84</v>
      </c>
      <c r="C937" s="53">
        <v>1</v>
      </c>
      <c r="D937" s="41" t="s">
        <v>81</v>
      </c>
      <c r="E937" s="54">
        <f>+'[1]MO MAY25'!N150</f>
        <v>126.5</v>
      </c>
      <c r="F937" s="53">
        <f>E937*C937</f>
        <v>126.5</v>
      </c>
      <c r="G937" s="58"/>
      <c r="H937" s="41"/>
      <c r="I937" s="19"/>
    </row>
    <row r="938" spans="1:9" x14ac:dyDescent="0.25">
      <c r="A938" s="16"/>
      <c r="B938" s="41" t="s">
        <v>328</v>
      </c>
      <c r="C938" s="53">
        <v>7</v>
      </c>
      <c r="D938" s="41" t="s">
        <v>34</v>
      </c>
      <c r="E938" s="46">
        <f>SUM(F937)</f>
        <v>126.5</v>
      </c>
      <c r="F938" s="53">
        <f>E938*C938/100</f>
        <v>8.8550000000000004</v>
      </c>
      <c r="G938" s="58"/>
      <c r="I938" s="19"/>
    </row>
    <row r="939" spans="1:9" x14ac:dyDescent="0.25">
      <c r="A939" s="90"/>
      <c r="B939" s="41" t="s">
        <v>278</v>
      </c>
      <c r="C939" s="53">
        <v>1</v>
      </c>
      <c r="D939" s="41" t="s">
        <v>81</v>
      </c>
      <c r="E939" s="54">
        <f>+'[1]MO MAY25'!$N$512</f>
        <v>155.25</v>
      </c>
      <c r="F939" s="53">
        <f>E939*C939</f>
        <v>155.25</v>
      </c>
      <c r="G939" s="58"/>
      <c r="I939" s="19"/>
    </row>
    <row r="940" spans="1:9" ht="15.6" x14ac:dyDescent="0.3">
      <c r="A940" s="90"/>
      <c r="B940" s="41"/>
      <c r="C940" s="8"/>
      <c r="E940" s="46"/>
      <c r="F940" s="8"/>
      <c r="G940" s="59">
        <f>SUM(F934:F939)</f>
        <v>540.08692150000002</v>
      </c>
      <c r="H940" s="3" t="s">
        <v>141</v>
      </c>
      <c r="I940" s="19"/>
    </row>
    <row r="941" spans="1:9" x14ac:dyDescent="0.25">
      <c r="A941" s="90"/>
      <c r="B941" s="41"/>
      <c r="C941" s="8"/>
      <c r="E941" s="46"/>
      <c r="F941" s="8"/>
      <c r="G941" s="58"/>
      <c r="I941" s="153"/>
    </row>
    <row r="942" spans="1:9" ht="15.6" x14ac:dyDescent="0.3">
      <c r="A942" s="90">
        <f>0.01+A933</f>
        <v>11.089999999999998</v>
      </c>
      <c r="B942" s="3" t="s">
        <v>334</v>
      </c>
      <c r="C942" s="8"/>
      <c r="E942" s="46"/>
      <c r="F942" s="8"/>
      <c r="G942" s="58"/>
      <c r="H942" s="41"/>
      <c r="I942" s="19"/>
    </row>
    <row r="943" spans="1:9" x14ac:dyDescent="0.25">
      <c r="A943" s="90"/>
      <c r="B943" s="41" t="s">
        <v>335</v>
      </c>
      <c r="C943" s="53">
        <f>28/70</f>
        <v>0.4</v>
      </c>
      <c r="D943" s="41" t="s">
        <v>336</v>
      </c>
      <c r="E943" s="54">
        <f>+'[1]Lista de precios MAY25'!$E$29</f>
        <v>240</v>
      </c>
      <c r="F943" s="53">
        <f>E943*C943</f>
        <v>96</v>
      </c>
      <c r="G943" s="58"/>
      <c r="H943" s="41"/>
      <c r="I943" s="19"/>
    </row>
    <row r="944" spans="1:9" x14ac:dyDescent="0.25">
      <c r="A944" s="90"/>
      <c r="B944" s="41" t="s">
        <v>337</v>
      </c>
      <c r="C944" s="53">
        <f>1</f>
        <v>1</v>
      </c>
      <c r="D944" s="41" t="s">
        <v>81</v>
      </c>
      <c r="E944" s="54">
        <f>+'[1]MO MAY25'!$N$153</f>
        <v>230</v>
      </c>
      <c r="F944" s="53">
        <f>E944*C944</f>
        <v>230</v>
      </c>
      <c r="G944" s="58"/>
      <c r="H944" s="41"/>
      <c r="I944" s="19"/>
    </row>
    <row r="945" spans="1:9" x14ac:dyDescent="0.25">
      <c r="A945" s="90"/>
      <c r="B945" s="41" t="s">
        <v>338</v>
      </c>
      <c r="C945" s="53">
        <v>0.03</v>
      </c>
      <c r="D945" s="41" t="s">
        <v>54</v>
      </c>
      <c r="E945" s="54">
        <f>+$G$73</f>
        <v>11656.8915</v>
      </c>
      <c r="F945" s="53">
        <f>E945*C945</f>
        <v>349.70674499999996</v>
      </c>
      <c r="G945" s="58"/>
      <c r="H945" s="41"/>
      <c r="I945" s="19"/>
    </row>
    <row r="946" spans="1:9" x14ac:dyDescent="0.25">
      <c r="A946" s="90"/>
      <c r="B946" s="41" t="s">
        <v>326</v>
      </c>
      <c r="C946" s="53">
        <v>0.08</v>
      </c>
      <c r="D946" s="41" t="s">
        <v>327</v>
      </c>
      <c r="E946" s="61">
        <f>+'[1]Lista de precios MAY25'!$E$200</f>
        <v>389.55</v>
      </c>
      <c r="F946" s="53">
        <f>E946*C946</f>
        <v>31.164000000000001</v>
      </c>
      <c r="G946" s="58"/>
      <c r="H946" s="41"/>
      <c r="I946" s="19"/>
    </row>
    <row r="947" spans="1:9" x14ac:dyDescent="0.25">
      <c r="A947" s="90"/>
      <c r="B947" s="41" t="s">
        <v>67</v>
      </c>
      <c r="C947" s="53">
        <v>10</v>
      </c>
      <c r="D947" s="41" t="s">
        <v>34</v>
      </c>
      <c r="E947" s="54">
        <f>SUM(F945:F946)</f>
        <v>380.87074499999994</v>
      </c>
      <c r="F947" s="53">
        <f>E947*C947/100</f>
        <v>38.087074499999993</v>
      </c>
      <c r="G947" s="58"/>
      <c r="H947" s="41"/>
      <c r="I947" s="19"/>
    </row>
    <row r="948" spans="1:9" x14ac:dyDescent="0.25">
      <c r="A948" s="16"/>
      <c r="B948" s="41" t="s">
        <v>84</v>
      </c>
      <c r="C948" s="53">
        <v>1</v>
      </c>
      <c r="D948" s="41" t="s">
        <v>81</v>
      </c>
      <c r="E948" s="54">
        <f>+'[1]MO MAY25'!N150+'[1]MO MAY25'!N151</f>
        <v>264.5</v>
      </c>
      <c r="F948" s="53">
        <f>E948*C948</f>
        <v>264.5</v>
      </c>
      <c r="G948" s="58"/>
      <c r="H948" s="41"/>
      <c r="I948" s="19"/>
    </row>
    <row r="949" spans="1:9" x14ac:dyDescent="0.25">
      <c r="A949" s="16"/>
      <c r="B949" s="41" t="s">
        <v>328</v>
      </c>
      <c r="C949" s="53">
        <v>7</v>
      </c>
      <c r="D949" s="41" t="s">
        <v>34</v>
      </c>
      <c r="E949" s="46">
        <f>SUM(F948)</f>
        <v>264.5</v>
      </c>
      <c r="F949" s="53">
        <f>E949*C949/100</f>
        <v>18.515000000000001</v>
      </c>
      <c r="G949" s="58"/>
      <c r="I949" s="19"/>
    </row>
    <row r="950" spans="1:9" x14ac:dyDescent="0.25">
      <c r="A950" s="90"/>
      <c r="B950" s="41" t="s">
        <v>278</v>
      </c>
      <c r="C950" s="53">
        <v>0.65</v>
      </c>
      <c r="D950" s="41" t="s">
        <v>81</v>
      </c>
      <c r="E950" s="54">
        <f>+'[1]MO MAY25'!$N$512</f>
        <v>155.25</v>
      </c>
      <c r="F950" s="53">
        <f>E950*C950</f>
        <v>100.91250000000001</v>
      </c>
      <c r="G950" s="58"/>
      <c r="I950" s="19"/>
    </row>
    <row r="951" spans="1:9" ht="15.6" x14ac:dyDescent="0.3">
      <c r="A951" s="90"/>
      <c r="B951" s="41"/>
      <c r="C951" s="8"/>
      <c r="E951" s="46"/>
      <c r="F951" s="8"/>
      <c r="G951" s="59">
        <f>SUM(F943:F950)</f>
        <v>1128.8853194999999</v>
      </c>
      <c r="H951" s="3" t="s">
        <v>141</v>
      </c>
      <c r="I951" s="19"/>
    </row>
    <row r="952" spans="1:9" x14ac:dyDescent="0.25">
      <c r="A952" s="90"/>
      <c r="B952" s="41"/>
      <c r="C952" s="8"/>
      <c r="E952" s="46"/>
      <c r="F952" s="8"/>
      <c r="G952" s="58"/>
      <c r="I952" s="153"/>
    </row>
    <row r="953" spans="1:9" ht="15.6" x14ac:dyDescent="0.3">
      <c r="A953" s="90">
        <f>+A942+0.01</f>
        <v>11.099999999999998</v>
      </c>
      <c r="B953" s="3" t="s">
        <v>339</v>
      </c>
      <c r="C953" s="8"/>
      <c r="E953" s="46"/>
      <c r="F953" s="8"/>
      <c r="G953" s="58"/>
      <c r="H953" s="41"/>
    </row>
    <row r="954" spans="1:9" x14ac:dyDescent="0.25">
      <c r="A954" s="90"/>
      <c r="B954" s="41" t="s">
        <v>337</v>
      </c>
      <c r="C954" s="154">
        <f>0.003</f>
        <v>3.0000000000000001E-3</v>
      </c>
      <c r="D954" s="41" t="s">
        <v>54</v>
      </c>
      <c r="E954" s="54">
        <f>+$G$73</f>
        <v>11656.8915</v>
      </c>
      <c r="F954" s="53">
        <f>E954*C954</f>
        <v>34.970674500000001</v>
      </c>
      <c r="G954" s="58"/>
      <c r="H954" s="41"/>
    </row>
    <row r="955" spans="1:9" x14ac:dyDescent="0.25">
      <c r="A955" s="90"/>
      <c r="B955" s="41" t="s">
        <v>340</v>
      </c>
      <c r="C955" s="53">
        <v>0.1</v>
      </c>
      <c r="D955" s="41" t="s">
        <v>327</v>
      </c>
      <c r="E955" s="54">
        <f>+'[1]Lista de precios MAY25'!$E$156</f>
        <v>55.8</v>
      </c>
      <c r="F955" s="53">
        <f>E955*C955</f>
        <v>5.58</v>
      </c>
      <c r="G955" s="58"/>
      <c r="H955" s="41"/>
    </row>
    <row r="956" spans="1:9" x14ac:dyDescent="0.25">
      <c r="A956" s="90"/>
      <c r="B956" s="41" t="s">
        <v>67</v>
      </c>
      <c r="C956" s="53">
        <v>5</v>
      </c>
      <c r="D956" s="41" t="s">
        <v>34</v>
      </c>
      <c r="E956" s="46">
        <f>SUM(F954:F955)</f>
        <v>40.5506745</v>
      </c>
      <c r="F956" s="53">
        <f>E956*C956/100</f>
        <v>2.0275337250000001</v>
      </c>
      <c r="G956" s="58"/>
      <c r="H956" s="41"/>
    </row>
    <row r="957" spans="1:9" x14ac:dyDescent="0.25">
      <c r="A957" s="90"/>
      <c r="B957" s="41" t="s">
        <v>84</v>
      </c>
      <c r="C957" s="53">
        <f>5/5</f>
        <v>1</v>
      </c>
      <c r="D957" s="41" t="s">
        <v>150</v>
      </c>
      <c r="E957" s="54">
        <f>+'[1]MO MAY25'!N171</f>
        <v>138</v>
      </c>
      <c r="F957" s="53">
        <f>E957*C957</f>
        <v>138</v>
      </c>
      <c r="G957" s="58"/>
    </row>
    <row r="958" spans="1:9" x14ac:dyDescent="0.25">
      <c r="A958" s="90"/>
      <c r="B958" s="41" t="s">
        <v>278</v>
      </c>
      <c r="C958" s="53">
        <v>0.5</v>
      </c>
      <c r="D958" s="41" t="s">
        <v>150</v>
      </c>
      <c r="E958" s="54">
        <f>+'[1]MO MAY25'!$N$512</f>
        <v>155.25</v>
      </c>
      <c r="F958" s="53">
        <f>E958*C958</f>
        <v>77.625</v>
      </c>
      <c r="G958" s="58"/>
      <c r="H958" s="41"/>
    </row>
    <row r="959" spans="1:9" ht="15.6" x14ac:dyDescent="0.3">
      <c r="A959" s="90"/>
      <c r="B959" s="41"/>
      <c r="C959" s="8"/>
      <c r="E959" s="46"/>
      <c r="F959" s="8"/>
      <c r="G959" s="59">
        <f>SUM(F954:F958)</f>
        <v>258.20320822500003</v>
      </c>
      <c r="H959" s="3" t="s">
        <v>19</v>
      </c>
    </row>
    <row r="960" spans="1:9" x14ac:dyDescent="0.25">
      <c r="A960" s="90"/>
      <c r="B960" s="41"/>
      <c r="C960" s="8"/>
      <c r="E960" s="46"/>
      <c r="F960" s="8"/>
      <c r="G960" s="58"/>
      <c r="H960" s="41"/>
    </row>
    <row r="961" spans="1:8" ht="15.6" x14ac:dyDescent="0.3">
      <c r="A961" s="90">
        <f>+A953+0.01</f>
        <v>11.109999999999998</v>
      </c>
      <c r="B961" s="3" t="s">
        <v>341</v>
      </c>
      <c r="C961" s="8"/>
      <c r="E961" s="46"/>
      <c r="F961" s="8"/>
      <c r="G961" s="58"/>
      <c r="H961" s="41"/>
    </row>
    <row r="962" spans="1:8" x14ac:dyDescent="0.25">
      <c r="A962" s="90"/>
      <c r="B962" s="41" t="s">
        <v>342</v>
      </c>
      <c r="C962" s="154">
        <f>0.003</f>
        <v>3.0000000000000001E-3</v>
      </c>
      <c r="D962" s="41" t="s">
        <v>54</v>
      </c>
      <c r="E962" s="54">
        <f>+$G$73</f>
        <v>11656.8915</v>
      </c>
      <c r="F962" s="53">
        <f>E962*C962</f>
        <v>34.970674500000001</v>
      </c>
      <c r="G962" s="58"/>
      <c r="H962" s="41"/>
    </row>
    <row r="963" spans="1:8" x14ac:dyDescent="0.25">
      <c r="A963" s="90"/>
      <c r="B963" s="41" t="s">
        <v>340</v>
      </c>
      <c r="C963" s="53">
        <v>0.1</v>
      </c>
      <c r="D963" s="41" t="s">
        <v>327</v>
      </c>
      <c r="E963" s="54">
        <f>+'[1]Lista de precios MAY25'!$E$156</f>
        <v>55.8</v>
      </c>
      <c r="F963" s="53">
        <f>E963*C963</f>
        <v>5.58</v>
      </c>
      <c r="G963" s="58"/>
      <c r="H963" s="41"/>
    </row>
    <row r="964" spans="1:8" x14ac:dyDescent="0.25">
      <c r="A964" s="90"/>
      <c r="B964" s="41" t="s">
        <v>67</v>
      </c>
      <c r="C964" s="53">
        <v>5</v>
      </c>
      <c r="D964" s="41" t="s">
        <v>34</v>
      </c>
      <c r="E964" s="46">
        <f>SUM(F962:F963)</f>
        <v>40.5506745</v>
      </c>
      <c r="F964" s="53">
        <f>E964*C964/100</f>
        <v>2.0275337250000001</v>
      </c>
      <c r="G964" s="58"/>
      <c r="H964" s="41"/>
    </row>
    <row r="965" spans="1:8" x14ac:dyDescent="0.25">
      <c r="A965" s="90"/>
      <c r="B965" s="41" t="s">
        <v>84</v>
      </c>
      <c r="C965" s="53">
        <f>5/5</f>
        <v>1</v>
      </c>
      <c r="D965" s="41" t="s">
        <v>150</v>
      </c>
      <c r="E965" s="54">
        <f>+'[1]MO MAY25'!N171</f>
        <v>138</v>
      </c>
      <c r="F965" s="53">
        <f>E965*C965</f>
        <v>138</v>
      </c>
      <c r="G965" s="58"/>
    </row>
    <row r="966" spans="1:8" x14ac:dyDescent="0.25">
      <c r="A966" s="90"/>
      <c r="B966" s="41" t="s">
        <v>278</v>
      </c>
      <c r="C966" s="53">
        <v>0.5</v>
      </c>
      <c r="D966" s="41" t="s">
        <v>150</v>
      </c>
      <c r="E966" s="54">
        <f>+'[1]MO MAY25'!$N$512</f>
        <v>155.25</v>
      </c>
      <c r="F966" s="53">
        <f>E966*C966</f>
        <v>77.625</v>
      </c>
      <c r="G966" s="58"/>
      <c r="H966" s="41"/>
    </row>
    <row r="967" spans="1:8" ht="15.6" x14ac:dyDescent="0.3">
      <c r="A967" s="90"/>
      <c r="B967" s="41"/>
      <c r="C967" s="8"/>
      <c r="E967" s="46"/>
      <c r="F967" s="8"/>
      <c r="G967" s="59">
        <f>SUM(F962:F966)</f>
        <v>258.20320822500003</v>
      </c>
      <c r="H967" s="3" t="s">
        <v>19</v>
      </c>
    </row>
    <row r="968" spans="1:8" x14ac:dyDescent="0.25">
      <c r="A968" s="90"/>
      <c r="B968" s="41"/>
      <c r="C968" s="8"/>
      <c r="E968" s="46"/>
      <c r="F968" s="8"/>
      <c r="G968" s="58"/>
      <c r="H968" s="41"/>
    </row>
    <row r="969" spans="1:8" ht="15.6" x14ac:dyDescent="0.3">
      <c r="A969" s="90">
        <f>+A961+0.01</f>
        <v>11.119999999999997</v>
      </c>
      <c r="B969" s="3" t="s">
        <v>343</v>
      </c>
      <c r="C969" s="8"/>
      <c r="E969" s="46"/>
      <c r="F969" s="8"/>
      <c r="G969" s="58"/>
      <c r="H969" s="41"/>
    </row>
    <row r="970" spans="1:8" x14ac:dyDescent="0.25">
      <c r="A970" s="90"/>
      <c r="B970" s="41" t="s">
        <v>342</v>
      </c>
      <c r="C970" s="154">
        <f>0.003</f>
        <v>3.0000000000000001E-3</v>
      </c>
      <c r="D970" s="41" t="s">
        <v>54</v>
      </c>
      <c r="E970" s="54">
        <f>+$G$73</f>
        <v>11656.8915</v>
      </c>
      <c r="F970" s="53">
        <f>E970*C970</f>
        <v>34.970674500000001</v>
      </c>
      <c r="G970" s="58"/>
      <c r="H970" s="41"/>
    </row>
    <row r="971" spans="1:8" x14ac:dyDescent="0.25">
      <c r="A971" s="90"/>
      <c r="B971" s="41" t="s">
        <v>340</v>
      </c>
      <c r="C971" s="53">
        <v>0.1</v>
      </c>
      <c r="D971" s="41" t="s">
        <v>327</v>
      </c>
      <c r="E971" s="54">
        <f>+'[1]Lista de precios MAY25'!$E$156</f>
        <v>55.8</v>
      </c>
      <c r="F971" s="53">
        <f>E971*C971</f>
        <v>5.58</v>
      </c>
      <c r="G971" s="58"/>
      <c r="H971" s="41"/>
    </row>
    <row r="972" spans="1:8" x14ac:dyDescent="0.25">
      <c r="A972" s="90"/>
      <c r="B972" s="41" t="s">
        <v>67</v>
      </c>
      <c r="C972" s="53">
        <v>5</v>
      </c>
      <c r="D972" s="41" t="s">
        <v>34</v>
      </c>
      <c r="E972" s="46">
        <f>SUM(F970:F971)</f>
        <v>40.5506745</v>
      </c>
      <c r="F972" s="53">
        <f>E972*C972/100</f>
        <v>2.0275337250000001</v>
      </c>
      <c r="G972" s="58"/>
      <c r="H972" s="41"/>
    </row>
    <row r="973" spans="1:8" x14ac:dyDescent="0.25">
      <c r="A973" s="90"/>
      <c r="B973" s="41" t="s">
        <v>84</v>
      </c>
      <c r="C973" s="53">
        <f>5/5</f>
        <v>1</v>
      </c>
      <c r="D973" s="41" t="s">
        <v>150</v>
      </c>
      <c r="E973" s="54">
        <f>+'[1]MO MAY25'!N171*2</f>
        <v>276</v>
      </c>
      <c r="F973" s="53">
        <f>E973*C973</f>
        <v>276</v>
      </c>
      <c r="G973" s="58"/>
    </row>
    <row r="974" spans="1:8" x14ac:dyDescent="0.25">
      <c r="A974" s="90"/>
      <c r="B974" s="41" t="s">
        <v>278</v>
      </c>
      <c r="C974" s="53">
        <v>0.5</v>
      </c>
      <c r="D974" s="41" t="s">
        <v>150</v>
      </c>
      <c r="E974" s="54">
        <f>+'[1]MO MAY25'!$N$512</f>
        <v>155.25</v>
      </c>
      <c r="F974" s="53">
        <f>E974*C974</f>
        <v>77.625</v>
      </c>
      <c r="G974" s="58"/>
      <c r="H974" s="41"/>
    </row>
    <row r="975" spans="1:8" ht="16.5" customHeight="1" x14ac:dyDescent="0.3">
      <c r="A975" s="90"/>
      <c r="B975" s="41"/>
      <c r="C975" s="8"/>
      <c r="E975" s="46"/>
      <c r="F975" s="8"/>
      <c r="G975" s="59">
        <f>SUM(F970:F974)</f>
        <v>396.20320822500003</v>
      </c>
      <c r="H975" s="3" t="s">
        <v>19</v>
      </c>
    </row>
    <row r="976" spans="1:8" ht="15.6" x14ac:dyDescent="0.3">
      <c r="A976" s="90">
        <f>+A968+0.01</f>
        <v>0.01</v>
      </c>
      <c r="B976" s="3" t="s">
        <v>344</v>
      </c>
      <c r="C976" s="8"/>
      <c r="E976" s="46"/>
      <c r="F976" s="8"/>
      <c r="G976" s="58"/>
      <c r="H976" s="41"/>
    </row>
    <row r="977" spans="1:8" x14ac:dyDescent="0.25">
      <c r="A977" s="90"/>
      <c r="B977" s="41" t="s">
        <v>342</v>
      </c>
      <c r="C977" s="154"/>
      <c r="D977" s="41" t="s">
        <v>54</v>
      </c>
      <c r="E977" s="54">
        <f>+$G$73</f>
        <v>11656.8915</v>
      </c>
      <c r="F977" s="53">
        <f>E977*C977</f>
        <v>0</v>
      </c>
      <c r="G977" s="58"/>
      <c r="H977" s="41"/>
    </row>
    <row r="978" spans="1:8" x14ac:dyDescent="0.25">
      <c r="A978" s="90"/>
      <c r="B978" s="41" t="s">
        <v>340</v>
      </c>
      <c r="C978" s="53">
        <v>0.1</v>
      </c>
      <c r="D978" s="41" t="s">
        <v>327</v>
      </c>
      <c r="E978" s="54">
        <f>+'[1]Lista de precios MAY25'!$E$156</f>
        <v>55.8</v>
      </c>
      <c r="F978" s="53">
        <f>E978*C978</f>
        <v>5.58</v>
      </c>
      <c r="G978" s="58"/>
      <c r="H978" s="41"/>
    </row>
    <row r="979" spans="1:8" x14ac:dyDescent="0.25">
      <c r="A979" s="90"/>
      <c r="B979" s="41" t="s">
        <v>67</v>
      </c>
      <c r="C979" s="53">
        <v>5</v>
      </c>
      <c r="D979" s="41" t="s">
        <v>34</v>
      </c>
      <c r="E979" s="46">
        <f>SUM(F977:F978)</f>
        <v>5.58</v>
      </c>
      <c r="F979" s="53">
        <f>E979*C979/100</f>
        <v>0.27899999999999997</v>
      </c>
      <c r="G979" s="58"/>
      <c r="H979" s="41"/>
    </row>
    <row r="980" spans="1:8" x14ac:dyDescent="0.25">
      <c r="A980" s="90"/>
      <c r="B980" s="41" t="s">
        <v>84</v>
      </c>
      <c r="C980" s="53">
        <f>5/5</f>
        <v>1</v>
      </c>
      <c r="D980" s="41" t="s">
        <v>150</v>
      </c>
      <c r="E980" s="54">
        <f>+'[1]MO MAY25'!N167</f>
        <v>264.5</v>
      </c>
      <c r="F980" s="53">
        <f>E980*C980</f>
        <v>264.5</v>
      </c>
      <c r="G980" s="58"/>
    </row>
    <row r="981" spans="1:8" x14ac:dyDescent="0.25">
      <c r="A981" s="90"/>
      <c r="B981" s="41" t="s">
        <v>278</v>
      </c>
      <c r="C981" s="53">
        <v>0.5</v>
      </c>
      <c r="D981" s="41" t="s">
        <v>150</v>
      </c>
      <c r="E981" s="54">
        <f>+'[1]MO MAY25'!$N$512</f>
        <v>155.25</v>
      </c>
      <c r="F981" s="53">
        <f>E981*C981</f>
        <v>77.625</v>
      </c>
      <c r="G981" s="58"/>
      <c r="H981" s="41"/>
    </row>
    <row r="982" spans="1:8" ht="15.6" x14ac:dyDescent="0.3">
      <c r="A982" s="90"/>
      <c r="B982" s="41"/>
      <c r="C982" s="8"/>
      <c r="E982" s="46"/>
      <c r="F982" s="8"/>
      <c r="G982" s="39">
        <f>SUM(F977:F981)</f>
        <v>347.98399999999998</v>
      </c>
      <c r="H982" s="3" t="s">
        <v>19</v>
      </c>
    </row>
    <row r="983" spans="1:8" ht="15.6" x14ac:dyDescent="0.3">
      <c r="A983" s="90">
        <f>+A969+0.01</f>
        <v>11.129999999999997</v>
      </c>
      <c r="B983" s="3" t="s">
        <v>345</v>
      </c>
      <c r="C983" s="8"/>
      <c r="E983" s="46"/>
      <c r="F983" s="8"/>
      <c r="G983" s="58"/>
      <c r="H983" s="41"/>
    </row>
    <row r="984" spans="1:8" x14ac:dyDescent="0.25">
      <c r="A984" s="90"/>
      <c r="B984" s="41" t="s">
        <v>342</v>
      </c>
      <c r="C984" s="155">
        <v>1.0999999999999999E-2</v>
      </c>
      <c r="D984" s="41" t="s">
        <v>54</v>
      </c>
      <c r="E984" s="54">
        <f>+$G$73</f>
        <v>11656.8915</v>
      </c>
      <c r="F984" s="53">
        <f>E984*C984</f>
        <v>128.22580649999998</v>
      </c>
      <c r="G984" s="58"/>
    </row>
    <row r="985" spans="1:8" x14ac:dyDescent="0.25">
      <c r="A985" s="90"/>
      <c r="B985" s="41" t="s">
        <v>340</v>
      </c>
      <c r="C985" s="53">
        <v>0.2</v>
      </c>
      <c r="D985" s="41" t="s">
        <v>327</v>
      </c>
      <c r="E985" s="54">
        <f>+'[1]Lista de precios MAY25'!$E$156</f>
        <v>55.8</v>
      </c>
      <c r="F985" s="53">
        <f>E985*C985</f>
        <v>11.16</v>
      </c>
      <c r="G985" s="58"/>
    </row>
    <row r="986" spans="1:8" x14ac:dyDescent="0.25">
      <c r="A986" s="90"/>
      <c r="B986" s="41" t="s">
        <v>67</v>
      </c>
      <c r="C986" s="53">
        <v>10</v>
      </c>
      <c r="D986" s="41" t="s">
        <v>34</v>
      </c>
      <c r="E986" s="46">
        <f>SUM(F984:F985)</f>
        <v>139.38580649999997</v>
      </c>
      <c r="F986" s="53">
        <f>E986*C986/100</f>
        <v>13.938580649999997</v>
      </c>
      <c r="G986" s="58"/>
    </row>
    <row r="987" spans="1:8" x14ac:dyDescent="0.25">
      <c r="A987" s="90"/>
      <c r="B987" s="41" t="s">
        <v>278</v>
      </c>
      <c r="C987" s="53">
        <v>0.5</v>
      </c>
      <c r="D987" s="41" t="s">
        <v>150</v>
      </c>
      <c r="E987" s="54">
        <f>+'[1]MO MAY25'!$N$512</f>
        <v>155.25</v>
      </c>
      <c r="F987" s="53">
        <f>E987*C987</f>
        <v>77.625</v>
      </c>
      <c r="G987" s="58"/>
    </row>
    <row r="988" spans="1:8" x14ac:dyDescent="0.25">
      <c r="A988" s="90"/>
      <c r="B988" s="41" t="s">
        <v>84</v>
      </c>
      <c r="C988" s="53">
        <v>1</v>
      </c>
      <c r="D988" s="41" t="s">
        <v>150</v>
      </c>
      <c r="E988" s="54">
        <f>+'[1]MO MAY25'!N172</f>
        <v>115</v>
      </c>
      <c r="F988" s="53">
        <f>E988*C988</f>
        <v>115</v>
      </c>
      <c r="G988" s="58"/>
    </row>
    <row r="989" spans="1:8" ht="15.6" x14ac:dyDescent="0.3">
      <c r="A989" s="90"/>
      <c r="B989" s="41"/>
      <c r="C989" s="8"/>
      <c r="E989" s="46"/>
      <c r="F989" s="8"/>
      <c r="G989" s="59">
        <f>SUM(F984:F988)</f>
        <v>345.94938715000001</v>
      </c>
      <c r="H989" s="3" t="s">
        <v>19</v>
      </c>
    </row>
    <row r="990" spans="1:8" x14ac:dyDescent="0.25">
      <c r="A990" s="90"/>
      <c r="B990" s="41"/>
      <c r="C990" s="8"/>
      <c r="E990" s="46"/>
      <c r="F990" s="8"/>
      <c r="G990" s="58"/>
    </row>
    <row r="991" spans="1:8" ht="15.6" x14ac:dyDescent="0.3">
      <c r="A991" s="90">
        <f>+A983+0.01</f>
        <v>11.139999999999997</v>
      </c>
      <c r="B991" s="3" t="s">
        <v>346</v>
      </c>
      <c r="C991" s="8"/>
      <c r="E991" s="46"/>
      <c r="F991" s="8"/>
      <c r="G991" s="58"/>
      <c r="H991" s="41"/>
    </row>
    <row r="992" spans="1:8" x14ac:dyDescent="0.25">
      <c r="A992" s="90"/>
      <c r="B992" s="41" t="s">
        <v>342</v>
      </c>
      <c r="C992" s="155">
        <v>1.0999999999999999E-2</v>
      </c>
      <c r="D992" s="41" t="s">
        <v>54</v>
      </c>
      <c r="E992" s="54">
        <f>+$G$73</f>
        <v>11656.8915</v>
      </c>
      <c r="F992" s="53">
        <f>E992*C992</f>
        <v>128.22580649999998</v>
      </c>
      <c r="G992" s="58"/>
    </row>
    <row r="993" spans="1:10" x14ac:dyDescent="0.25">
      <c r="A993" s="90"/>
      <c r="B993" s="41" t="s">
        <v>340</v>
      </c>
      <c r="C993" s="53">
        <v>0.2</v>
      </c>
      <c r="D993" s="41" t="s">
        <v>327</v>
      </c>
      <c r="E993" s="54">
        <f>+'[1]Lista de precios MAY25'!$E$156</f>
        <v>55.8</v>
      </c>
      <c r="F993" s="53">
        <f>E993*C993</f>
        <v>11.16</v>
      </c>
      <c r="G993" s="58"/>
    </row>
    <row r="994" spans="1:10" x14ac:dyDescent="0.25">
      <c r="A994" s="90"/>
      <c r="B994" s="41" t="s">
        <v>67</v>
      </c>
      <c r="C994" s="53">
        <v>10</v>
      </c>
      <c r="D994" s="41" t="s">
        <v>34</v>
      </c>
      <c r="E994" s="46">
        <f>SUM(F992:F993)</f>
        <v>139.38580649999997</v>
      </c>
      <c r="F994" s="53">
        <f>E994*C994/100</f>
        <v>13.938580649999997</v>
      </c>
      <c r="G994" s="58"/>
    </row>
    <row r="995" spans="1:10" x14ac:dyDescent="0.25">
      <c r="A995" s="90"/>
      <c r="B995" s="41" t="s">
        <v>278</v>
      </c>
      <c r="C995" s="53">
        <v>0.5</v>
      </c>
      <c r="D995" s="41" t="s">
        <v>150</v>
      </c>
      <c r="E995" s="54">
        <f>+'[1]MO MAY25'!$N$512</f>
        <v>155.25</v>
      </c>
      <c r="F995" s="53">
        <f>E995*C995</f>
        <v>77.625</v>
      </c>
      <c r="G995" s="58"/>
    </row>
    <row r="996" spans="1:10" x14ac:dyDescent="0.25">
      <c r="A996" s="90"/>
      <c r="B996" s="41" t="s">
        <v>84</v>
      </c>
      <c r="C996" s="53">
        <v>1</v>
      </c>
      <c r="D996" s="41" t="s">
        <v>150</v>
      </c>
      <c r="E996" s="54">
        <f>+'[1]MO MAY25'!N172*2</f>
        <v>230</v>
      </c>
      <c r="F996" s="53">
        <f>E996*C996</f>
        <v>230</v>
      </c>
      <c r="G996" s="58"/>
    </row>
    <row r="997" spans="1:10" ht="15.6" x14ac:dyDescent="0.3">
      <c r="A997" s="90"/>
      <c r="B997" s="41"/>
      <c r="C997" s="8"/>
      <c r="E997" s="46"/>
      <c r="F997" s="8"/>
      <c r="G997" s="59">
        <f>SUM(F992:F996)</f>
        <v>460.94938715000001</v>
      </c>
      <c r="H997" s="3" t="s">
        <v>19</v>
      </c>
      <c r="J997" s="55"/>
    </row>
    <row r="998" spans="1:10" x14ac:dyDescent="0.25">
      <c r="A998" s="90"/>
      <c r="B998" s="41"/>
      <c r="C998" s="8"/>
      <c r="E998" s="46"/>
      <c r="F998" s="8"/>
      <c r="G998" s="58"/>
      <c r="H998" s="41"/>
      <c r="J998" s="55"/>
    </row>
    <row r="999" spans="1:10" ht="15.6" x14ac:dyDescent="0.3">
      <c r="A999" s="90">
        <f>+A991+0.01</f>
        <v>11.149999999999997</v>
      </c>
      <c r="B999" s="3" t="s">
        <v>347</v>
      </c>
      <c r="C999" s="8"/>
      <c r="E999" s="46"/>
      <c r="F999" s="8"/>
      <c r="G999" s="58"/>
      <c r="H999" s="41"/>
      <c r="J999" s="55"/>
    </row>
    <row r="1000" spans="1:10" x14ac:dyDescent="0.25">
      <c r="A1000" s="90"/>
      <c r="B1000" s="41" t="s">
        <v>342</v>
      </c>
      <c r="C1000" s="155">
        <f>0.011*2</f>
        <v>2.1999999999999999E-2</v>
      </c>
      <c r="D1000" s="41" t="s">
        <v>54</v>
      </c>
      <c r="E1000" s="54">
        <f>+$G$73</f>
        <v>11656.8915</v>
      </c>
      <c r="F1000" s="53">
        <f>E1000*C1000</f>
        <v>256.45161299999995</v>
      </c>
      <c r="G1000" s="58"/>
    </row>
    <row r="1001" spans="1:10" x14ac:dyDescent="0.25">
      <c r="A1001" s="90"/>
      <c r="B1001" s="41" t="s">
        <v>340</v>
      </c>
      <c r="C1001" s="53">
        <v>0.2</v>
      </c>
      <c r="D1001" s="41" t="s">
        <v>327</v>
      </c>
      <c r="E1001" s="54">
        <f>+'[1]Lista de precios MAY25'!$E$156</f>
        <v>55.8</v>
      </c>
      <c r="F1001" s="53">
        <f>E1001*C1001</f>
        <v>11.16</v>
      </c>
      <c r="G1001" s="58"/>
    </row>
    <row r="1002" spans="1:10" x14ac:dyDescent="0.25">
      <c r="A1002" s="90"/>
      <c r="B1002" s="41" t="s">
        <v>67</v>
      </c>
      <c r="C1002" s="53">
        <v>15</v>
      </c>
      <c r="D1002" s="41" t="s">
        <v>34</v>
      </c>
      <c r="E1002" s="46">
        <f>SUM(F1000:F1001)</f>
        <v>267.61161299999998</v>
      </c>
      <c r="F1002" s="53">
        <f>E1002*C1002/100</f>
        <v>40.141741949999997</v>
      </c>
      <c r="G1002" s="58"/>
    </row>
    <row r="1003" spans="1:10" x14ac:dyDescent="0.25">
      <c r="A1003" s="90"/>
      <c r="B1003" s="41" t="s">
        <v>278</v>
      </c>
      <c r="C1003" s="53">
        <v>0.5</v>
      </c>
      <c r="D1003" s="41" t="s">
        <v>150</v>
      </c>
      <c r="E1003" s="54">
        <f>+'[1]MO MAY25'!$N$512</f>
        <v>155.25</v>
      </c>
      <c r="F1003" s="53">
        <f>E1003*C1003</f>
        <v>77.625</v>
      </c>
      <c r="G1003" s="58"/>
      <c r="J1003" s="55"/>
    </row>
    <row r="1004" spans="1:10" x14ac:dyDescent="0.25">
      <c r="A1004" s="90"/>
      <c r="B1004" s="41" t="s">
        <v>84</v>
      </c>
      <c r="C1004" s="53">
        <v>1</v>
      </c>
      <c r="D1004" s="41" t="s">
        <v>150</v>
      </c>
      <c r="E1004" s="54">
        <f>+'[1]MO MAY25'!N152</f>
        <v>304.75</v>
      </c>
      <c r="F1004" s="53">
        <f>E1004*C1004</f>
        <v>304.75</v>
      </c>
      <c r="G1004" s="58"/>
    </row>
    <row r="1005" spans="1:10" ht="15.6" x14ac:dyDescent="0.3">
      <c r="A1005" s="90"/>
      <c r="B1005" s="41"/>
      <c r="C1005" s="8"/>
      <c r="E1005" s="46"/>
      <c r="F1005" s="8"/>
      <c r="G1005" s="59">
        <f>SUM(F1000:F1004)</f>
        <v>690.1283549499999</v>
      </c>
      <c r="H1005" s="3" t="s">
        <v>19</v>
      </c>
    </row>
    <row r="1006" spans="1:10" x14ac:dyDescent="0.25">
      <c r="A1006" s="90"/>
      <c r="B1006" s="41"/>
      <c r="C1006" s="8"/>
      <c r="E1006" s="46"/>
      <c r="F1006" s="8"/>
      <c r="G1006" s="58"/>
      <c r="H1006" s="41"/>
    </row>
    <row r="1007" spans="1:10" ht="15.6" x14ac:dyDescent="0.3">
      <c r="A1007" s="90">
        <f>+A999+0.01</f>
        <v>11.159999999999997</v>
      </c>
      <c r="B1007" s="3" t="s">
        <v>348</v>
      </c>
      <c r="C1007" s="8"/>
      <c r="E1007" s="46"/>
      <c r="F1007" s="8"/>
      <c r="G1007" s="58"/>
      <c r="H1007" s="41"/>
    </row>
    <row r="1008" spans="1:10" x14ac:dyDescent="0.25">
      <c r="A1008" s="90"/>
      <c r="B1008" s="41" t="s">
        <v>342</v>
      </c>
      <c r="C1008" s="155">
        <f>0.03*0.6</f>
        <v>1.7999999999999999E-2</v>
      </c>
      <c r="D1008" s="41" t="s">
        <v>54</v>
      </c>
      <c r="E1008" s="54">
        <f>+$G$73</f>
        <v>11656.8915</v>
      </c>
      <c r="F1008" s="53">
        <f>E1008*C1008</f>
        <v>209.82404699999998</v>
      </c>
      <c r="G1008" s="58"/>
    </row>
    <row r="1009" spans="1:10" x14ac:dyDescent="0.25">
      <c r="A1009" s="90"/>
      <c r="B1009" s="41" t="s">
        <v>340</v>
      </c>
      <c r="C1009" s="53">
        <v>0.2</v>
      </c>
      <c r="D1009" s="41" t="s">
        <v>327</v>
      </c>
      <c r="E1009" s="54">
        <f>+'[1]Lista de precios MAY25'!$E$156</f>
        <v>55.8</v>
      </c>
      <c r="F1009" s="53">
        <f>E1009*C1009</f>
        <v>11.16</v>
      </c>
      <c r="G1009" s="58"/>
      <c r="J1009" s="55"/>
    </row>
    <row r="1010" spans="1:10" x14ac:dyDescent="0.25">
      <c r="A1010" s="90"/>
      <c r="B1010" s="41" t="s">
        <v>67</v>
      </c>
      <c r="C1010" s="53">
        <v>15</v>
      </c>
      <c r="D1010" s="41" t="s">
        <v>34</v>
      </c>
      <c r="E1010" s="46">
        <f>SUM(F1008:F1009)</f>
        <v>220.98404699999998</v>
      </c>
      <c r="F1010" s="53">
        <f>E1010*C1010/100</f>
        <v>33.147607049999998</v>
      </c>
      <c r="G1010" s="58"/>
      <c r="J1010" s="55"/>
    </row>
    <row r="1011" spans="1:10" x14ac:dyDescent="0.25">
      <c r="A1011" s="90"/>
      <c r="B1011" s="41" t="s">
        <v>84</v>
      </c>
      <c r="C1011" s="53">
        <v>1.6</v>
      </c>
      <c r="D1011" s="41" t="s">
        <v>150</v>
      </c>
      <c r="E1011" s="54">
        <f>+E1004</f>
        <v>304.75</v>
      </c>
      <c r="F1011" s="53">
        <f>E1011*C1011</f>
        <v>487.6</v>
      </c>
      <c r="G1011" s="58"/>
      <c r="J1011" s="55"/>
    </row>
    <row r="1012" spans="1:10" ht="15.6" x14ac:dyDescent="0.3">
      <c r="A1012" s="90"/>
      <c r="B1012" s="41"/>
      <c r="C1012" s="8"/>
      <c r="E1012" s="46"/>
      <c r="F1012" s="8"/>
      <c r="G1012" s="59">
        <f>SUM(F1008:F1011)</f>
        <v>741.73165404999997</v>
      </c>
      <c r="H1012" s="3" t="s">
        <v>19</v>
      </c>
    </row>
    <row r="1013" spans="1:10" ht="15.6" x14ac:dyDescent="0.3">
      <c r="A1013" s="90">
        <f>+A1005+0.01</f>
        <v>0.01</v>
      </c>
      <c r="B1013" s="3" t="s">
        <v>349</v>
      </c>
      <c r="C1013" s="8"/>
      <c r="E1013" s="46"/>
      <c r="F1013" s="8"/>
      <c r="G1013" s="58"/>
      <c r="H1013" s="41"/>
    </row>
    <row r="1014" spans="1:10" x14ac:dyDescent="0.25">
      <c r="A1014" s="90"/>
      <c r="B1014" s="41" t="s">
        <v>350</v>
      </c>
      <c r="C1014" s="155">
        <v>0.2</v>
      </c>
      <c r="D1014" s="41" t="s">
        <v>81</v>
      </c>
      <c r="E1014" s="54">
        <f>+G789</f>
        <v>4578.7535945301006</v>
      </c>
      <c r="F1014" s="53">
        <f>E1014*C1014</f>
        <v>915.75071890602021</v>
      </c>
      <c r="G1014" s="58"/>
    </row>
    <row r="1015" spans="1:10" x14ac:dyDescent="0.25">
      <c r="A1015" s="90"/>
      <c r="B1015" s="41" t="s">
        <v>351</v>
      </c>
      <c r="C1015" s="155">
        <f>0.17*0.2</f>
        <v>3.4000000000000002E-2</v>
      </c>
      <c r="D1015" s="41" t="s">
        <v>54</v>
      </c>
      <c r="E1015" s="54">
        <f>+$G$73</f>
        <v>11656.8915</v>
      </c>
      <c r="F1015" s="53">
        <f>E1015*C1015</f>
        <v>396.33431100000001</v>
      </c>
      <c r="G1015" s="58"/>
    </row>
    <row r="1016" spans="1:10" x14ac:dyDescent="0.25">
      <c r="A1016" s="90"/>
      <c r="B1016" s="41" t="s">
        <v>352</v>
      </c>
      <c r="C1016" s="155">
        <f>0.3*0.05</f>
        <v>1.4999999999999999E-2</v>
      </c>
      <c r="D1016" s="41" t="s">
        <v>54</v>
      </c>
      <c r="E1016" s="54">
        <f>+G655/0.1*0.05</f>
        <v>698.41627910687509</v>
      </c>
      <c r="F1016" s="53">
        <f>E1016*C1016</f>
        <v>10.476244186603125</v>
      </c>
      <c r="G1016" s="58"/>
    </row>
    <row r="1017" spans="1:10" x14ac:dyDescent="0.25">
      <c r="A1017" s="90"/>
      <c r="B1017" s="41" t="s">
        <v>353</v>
      </c>
      <c r="C1017" s="53">
        <v>2</v>
      </c>
      <c r="D1017" s="41" t="s">
        <v>354</v>
      </c>
      <c r="E1017" s="54">
        <f>+G1012</f>
        <v>741.73165404999997</v>
      </c>
      <c r="F1017" s="53">
        <f>E1017*C1017</f>
        <v>1483.4633080999999</v>
      </c>
      <c r="G1017" s="58"/>
      <c r="J1017" s="55"/>
    </row>
    <row r="1018" spans="1:10" ht="15.6" x14ac:dyDescent="0.3">
      <c r="A1018" s="90"/>
      <c r="B1018" s="41"/>
      <c r="C1018" s="8"/>
      <c r="E1018" s="46"/>
      <c r="F1018" s="8"/>
      <c r="G1018" s="39">
        <f>SUM(F1014:F1017)</f>
        <v>2806.0245821926233</v>
      </c>
      <c r="H1018" s="3" t="s">
        <v>19</v>
      </c>
    </row>
    <row r="1019" spans="1:10" ht="15.6" x14ac:dyDescent="0.3">
      <c r="A1019" s="20">
        <f>+A873+1</f>
        <v>12</v>
      </c>
      <c r="B1019" s="3" t="s">
        <v>355</v>
      </c>
      <c r="E1019" s="46"/>
      <c r="G1019" s="58"/>
      <c r="H1019" s="41"/>
    </row>
    <row r="1020" spans="1:10" x14ac:dyDescent="0.25">
      <c r="A1020" s="90"/>
      <c r="B1020" s="41"/>
      <c r="E1020" s="46"/>
      <c r="G1020" s="58"/>
      <c r="H1020" s="41"/>
    </row>
    <row r="1021" spans="1:10" ht="15.6" x14ac:dyDescent="0.3">
      <c r="A1021" s="90">
        <f>0.01+A1019</f>
        <v>12.01</v>
      </c>
      <c r="B1021" s="3" t="s">
        <v>356</v>
      </c>
      <c r="E1021" s="46"/>
      <c r="G1021" s="58"/>
      <c r="J1021" s="55"/>
    </row>
    <row r="1022" spans="1:10" x14ac:dyDescent="0.25">
      <c r="A1022" s="90"/>
      <c r="B1022" s="41" t="s">
        <v>357</v>
      </c>
      <c r="C1022" s="53">
        <v>0.06</v>
      </c>
      <c r="D1022" s="41" t="s">
        <v>54</v>
      </c>
      <c r="E1022" s="54">
        <f>+'[1]Lista de precios MAY25'!$E$40*1.07</f>
        <v>9813.9911009999996</v>
      </c>
      <c r="F1022" s="53">
        <f>ROUND((C1022*E1022),2)</f>
        <v>588.84</v>
      </c>
      <c r="G1022" s="58"/>
    </row>
    <row r="1023" spans="1:10" x14ac:dyDescent="0.25">
      <c r="A1023" s="90"/>
      <c r="B1023" s="41" t="s">
        <v>358</v>
      </c>
      <c r="C1023" s="53">
        <v>0.05</v>
      </c>
      <c r="D1023" s="41" t="s">
        <v>52</v>
      </c>
      <c r="E1023" s="54">
        <f>+'[1]Lista de precios MAY25'!$E$33</f>
        <v>540.75</v>
      </c>
      <c r="F1023" s="53">
        <f>+E1023*C1023</f>
        <v>27.037500000000001</v>
      </c>
      <c r="G1023" s="58"/>
    </row>
    <row r="1024" spans="1:10" x14ac:dyDescent="0.25">
      <c r="A1024" s="90"/>
      <c r="B1024" s="41" t="s">
        <v>340</v>
      </c>
      <c r="C1024" s="53">
        <v>0.1</v>
      </c>
      <c r="D1024" s="41" t="s">
        <v>327</v>
      </c>
      <c r="E1024" s="54">
        <f>+'[1]Lista de precios MAY25'!$E$156</f>
        <v>55.8</v>
      </c>
      <c r="F1024" s="53">
        <f>ROUND((C1024*E1024),2)</f>
        <v>5.58</v>
      </c>
      <c r="G1024" s="58"/>
    </row>
    <row r="1025" spans="1:10" x14ac:dyDescent="0.25">
      <c r="A1025" s="16"/>
      <c r="B1025" s="41" t="s">
        <v>67</v>
      </c>
      <c r="C1025" s="53">
        <v>10</v>
      </c>
      <c r="D1025" s="41" t="s">
        <v>34</v>
      </c>
      <c r="E1025" s="46">
        <f>SUM(F1022:F1024)</f>
        <v>621.4575000000001</v>
      </c>
      <c r="F1025" s="53">
        <f>+E1025*C1025/100</f>
        <v>62.145750000000007</v>
      </c>
      <c r="G1025" s="58"/>
    </row>
    <row r="1026" spans="1:10" x14ac:dyDescent="0.25">
      <c r="A1026" s="16"/>
      <c r="B1026" s="41" t="s">
        <v>328</v>
      </c>
      <c r="C1026" s="53">
        <v>10</v>
      </c>
      <c r="D1026" s="41" t="s">
        <v>34</v>
      </c>
      <c r="E1026" s="46">
        <f>SUM(F1027)</f>
        <v>322</v>
      </c>
      <c r="F1026" s="53">
        <f>E1026*C1026/100</f>
        <v>32.200000000000003</v>
      </c>
      <c r="G1026" s="58"/>
    </row>
    <row r="1027" spans="1:10" x14ac:dyDescent="0.25">
      <c r="A1027" s="90"/>
      <c r="B1027" s="41" t="s">
        <v>84</v>
      </c>
      <c r="C1027" s="53">
        <v>1</v>
      </c>
      <c r="D1027" s="41" t="s">
        <v>81</v>
      </c>
      <c r="E1027" s="54">
        <f>+'[1]MO MAY25'!N163</f>
        <v>322</v>
      </c>
      <c r="F1027" s="53">
        <f>ROUND((C1027*E1027),2)</f>
        <v>322</v>
      </c>
      <c r="G1027" s="58"/>
      <c r="J1027" s="55"/>
    </row>
    <row r="1028" spans="1:10" ht="15.6" x14ac:dyDescent="0.3">
      <c r="A1028" s="90"/>
      <c r="B1028" s="41"/>
      <c r="E1028" s="46"/>
      <c r="G1028" s="114">
        <f>SUM(F1022:F1027)</f>
        <v>1037.8032500000002</v>
      </c>
      <c r="H1028" s="115" t="s">
        <v>141</v>
      </c>
      <c r="J1028" s="55"/>
    </row>
    <row r="1029" spans="1:10" x14ac:dyDescent="0.25">
      <c r="A1029" s="90"/>
      <c r="B1029" s="41"/>
      <c r="E1029" s="46"/>
      <c r="G1029" s="58"/>
      <c r="H1029" s="41"/>
      <c r="J1029" s="55"/>
    </row>
    <row r="1030" spans="1:10" ht="15.6" x14ac:dyDescent="0.3">
      <c r="A1030" s="90">
        <f>+A1021+0.01</f>
        <v>12.02</v>
      </c>
      <c r="B1030" s="3" t="s">
        <v>359</v>
      </c>
      <c r="E1030" s="46"/>
      <c r="G1030" s="58"/>
    </row>
    <row r="1031" spans="1:10" x14ac:dyDescent="0.25">
      <c r="A1031" s="90"/>
      <c r="B1031" s="41" t="s">
        <v>357</v>
      </c>
      <c r="C1031" s="53">
        <v>0.06</v>
      </c>
      <c r="D1031" s="41" t="s">
        <v>54</v>
      </c>
      <c r="E1031" s="54">
        <f>+'[1]Lista de precios MAY25'!$E$40*1.07</f>
        <v>9813.9911009999996</v>
      </c>
      <c r="F1031" s="53">
        <f>ROUND((C1031*E1031),2)</f>
        <v>588.84</v>
      </c>
      <c r="G1031" s="58"/>
    </row>
    <row r="1032" spans="1:10" x14ac:dyDescent="0.25">
      <c r="A1032" s="90"/>
      <c r="B1032" s="41" t="s">
        <v>358</v>
      </c>
      <c r="C1032" s="53">
        <v>0.05</v>
      </c>
      <c r="D1032" s="41" t="s">
        <v>52</v>
      </c>
      <c r="E1032" s="54">
        <f>+'[1]Lista de precios MAY25'!$E$33</f>
        <v>540.75</v>
      </c>
      <c r="F1032" s="53">
        <f>+E1032*C1032</f>
        <v>27.037500000000001</v>
      </c>
      <c r="G1032" s="58"/>
    </row>
    <row r="1033" spans="1:10" x14ac:dyDescent="0.25">
      <c r="A1033" s="90"/>
      <c r="B1033" s="41" t="s">
        <v>340</v>
      </c>
      <c r="C1033" s="53">
        <v>0.1</v>
      </c>
      <c r="D1033" s="41" t="s">
        <v>327</v>
      </c>
      <c r="E1033" s="54">
        <f>+'[1]Lista de precios MAY25'!$E$156</f>
        <v>55.8</v>
      </c>
      <c r="F1033" s="53">
        <f>ROUND((C1033*E1033),2)</f>
        <v>5.58</v>
      </c>
      <c r="G1033" s="58"/>
      <c r="J1033" s="55"/>
    </row>
    <row r="1034" spans="1:10" x14ac:dyDescent="0.25">
      <c r="A1034" s="16"/>
      <c r="B1034" s="41" t="s">
        <v>67</v>
      </c>
      <c r="C1034" s="53">
        <v>10</v>
      </c>
      <c r="D1034" s="41" t="s">
        <v>34</v>
      </c>
      <c r="E1034" s="46">
        <f>SUM(F1031:F1033)</f>
        <v>621.4575000000001</v>
      </c>
      <c r="F1034" s="53">
        <f>+E1034*C1034/100</f>
        <v>62.145750000000007</v>
      </c>
      <c r="G1034" s="58"/>
    </row>
    <row r="1035" spans="1:10" x14ac:dyDescent="0.25">
      <c r="A1035" s="16"/>
      <c r="B1035" s="41" t="s">
        <v>328</v>
      </c>
      <c r="C1035" s="53">
        <v>10</v>
      </c>
      <c r="D1035" s="41" t="s">
        <v>34</v>
      </c>
      <c r="E1035" s="46">
        <f>SUM(F1036)</f>
        <v>287.5</v>
      </c>
      <c r="F1035" s="53">
        <f>E1035*C1035/100</f>
        <v>28.75</v>
      </c>
      <c r="G1035" s="58"/>
    </row>
    <row r="1036" spans="1:10" x14ac:dyDescent="0.25">
      <c r="A1036" s="90"/>
      <c r="B1036" s="41" t="s">
        <v>84</v>
      </c>
      <c r="C1036" s="53">
        <v>1</v>
      </c>
      <c r="D1036" s="41" t="s">
        <v>81</v>
      </c>
      <c r="E1036" s="54">
        <f>+'[1]MO MAY25'!N162</f>
        <v>287.5</v>
      </c>
      <c r="F1036" s="53">
        <f>ROUND((C1036*E1036),2)</f>
        <v>287.5</v>
      </c>
      <c r="G1036" s="58"/>
    </row>
    <row r="1037" spans="1:10" ht="15.6" x14ac:dyDescent="0.3">
      <c r="A1037" s="90"/>
      <c r="B1037" s="41"/>
      <c r="E1037" s="46"/>
      <c r="G1037" s="59">
        <f>SUM(F1031:F1036)</f>
        <v>999.85325000000012</v>
      </c>
      <c r="H1037" s="3" t="s">
        <v>141</v>
      </c>
    </row>
    <row r="1038" spans="1:10" x14ac:dyDescent="0.25">
      <c r="A1038" s="90"/>
      <c r="B1038" s="41"/>
      <c r="E1038" s="46"/>
      <c r="G1038" s="58"/>
      <c r="H1038" s="41"/>
    </row>
    <row r="1039" spans="1:10" ht="15.6" x14ac:dyDescent="0.3">
      <c r="A1039" s="90">
        <f>+A1030+0.01</f>
        <v>12.03</v>
      </c>
      <c r="B1039" s="3" t="s">
        <v>360</v>
      </c>
      <c r="C1039" s="92"/>
      <c r="E1039" s="46"/>
      <c r="F1039" s="92"/>
      <c r="G1039" s="58"/>
      <c r="H1039" s="41"/>
      <c r="J1039" s="55"/>
    </row>
    <row r="1040" spans="1:10" x14ac:dyDescent="0.25">
      <c r="A1040" s="90"/>
      <c r="B1040" s="41" t="s">
        <v>342</v>
      </c>
      <c r="C1040" s="156">
        <f>0.004</f>
        <v>4.0000000000000001E-3</v>
      </c>
      <c r="D1040" s="41" t="s">
        <v>54</v>
      </c>
      <c r="E1040" s="54">
        <f>+$G$73</f>
        <v>11656.8915</v>
      </c>
      <c r="F1040" s="91">
        <f>E1040*C1040</f>
        <v>46.627566000000002</v>
      </c>
      <c r="G1040" s="58"/>
      <c r="H1040" s="41"/>
      <c r="J1040" s="55"/>
    </row>
    <row r="1041" spans="1:10" x14ac:dyDescent="0.25">
      <c r="A1041" s="90"/>
      <c r="B1041" s="41" t="s">
        <v>340</v>
      </c>
      <c r="C1041" s="91">
        <f>0.8/3.6</f>
        <v>0.22222222222222224</v>
      </c>
      <c r="D1041" s="41" t="s">
        <v>327</v>
      </c>
      <c r="E1041" s="54">
        <f>+'[1]Lista de precios MAY25'!$E$156</f>
        <v>55.8</v>
      </c>
      <c r="F1041" s="91">
        <f>E1041*C1041</f>
        <v>12.4</v>
      </c>
      <c r="G1041" s="58"/>
      <c r="H1041" s="41"/>
      <c r="J1041" s="55"/>
    </row>
    <row r="1042" spans="1:10" x14ac:dyDescent="0.25">
      <c r="A1042" s="90"/>
      <c r="B1042" s="41" t="s">
        <v>67</v>
      </c>
      <c r="C1042" s="91">
        <v>5</v>
      </c>
      <c r="D1042" s="41" t="s">
        <v>34</v>
      </c>
      <c r="E1042" s="46">
        <f>SUM(F1040:F1041)</f>
        <v>59.027566</v>
      </c>
      <c r="F1042" s="91">
        <f>E1042*C1042/100</f>
        <v>2.9513783</v>
      </c>
      <c r="G1042" s="58"/>
      <c r="H1042" s="41"/>
    </row>
    <row r="1043" spans="1:10" x14ac:dyDescent="0.25">
      <c r="A1043" s="90"/>
      <c r="B1043" s="41" t="s">
        <v>84</v>
      </c>
      <c r="C1043" s="91">
        <f>5/5</f>
        <v>1</v>
      </c>
      <c r="D1043" s="41" t="s">
        <v>150</v>
      </c>
      <c r="E1043" s="54">
        <f>+'[1]MO MAY25'!$N$177</f>
        <v>138</v>
      </c>
      <c r="F1043" s="91">
        <f>E1043*C1043</f>
        <v>138</v>
      </c>
      <c r="G1043" s="58"/>
    </row>
    <row r="1044" spans="1:10" x14ac:dyDescent="0.25">
      <c r="A1044" s="16"/>
      <c r="B1044" s="41" t="s">
        <v>328</v>
      </c>
      <c r="C1044" s="53">
        <v>10</v>
      </c>
      <c r="D1044" s="41" t="s">
        <v>34</v>
      </c>
      <c r="E1044" s="46">
        <f>SUM(F1043)</f>
        <v>138</v>
      </c>
      <c r="F1044" s="53">
        <f>E1044*C1044/100</f>
        <v>13.8</v>
      </c>
      <c r="G1044" s="58"/>
    </row>
    <row r="1045" spans="1:10" ht="15.6" x14ac:dyDescent="0.3">
      <c r="A1045" s="90"/>
      <c r="B1045" s="41"/>
      <c r="C1045" s="92"/>
      <c r="E1045" s="46"/>
      <c r="F1045" s="92"/>
      <c r="G1045" s="59">
        <f>SUM(F1040:F1044)</f>
        <v>213.77894430000001</v>
      </c>
      <c r="H1045" s="3" t="s">
        <v>19</v>
      </c>
      <c r="J1045" s="157"/>
    </row>
    <row r="1046" spans="1:10" x14ac:dyDescent="0.25">
      <c r="A1046" s="90"/>
      <c r="B1046" s="41"/>
      <c r="C1046" s="92"/>
      <c r="E1046" s="46"/>
      <c r="F1046" s="92"/>
      <c r="G1046" s="58"/>
      <c r="H1046" s="41"/>
    </row>
    <row r="1047" spans="1:10" ht="15.6" x14ac:dyDescent="0.3">
      <c r="A1047" s="90">
        <f>+A1039+0.01</f>
        <v>12.04</v>
      </c>
      <c r="B1047" s="3" t="s">
        <v>361</v>
      </c>
      <c r="E1047" s="46"/>
      <c r="G1047" s="58"/>
      <c r="I1047" s="153"/>
    </row>
    <row r="1048" spans="1:10" x14ac:dyDescent="0.25">
      <c r="A1048" s="90"/>
      <c r="B1048" s="41" t="s">
        <v>357</v>
      </c>
      <c r="C1048" s="53">
        <f>1*1*0.1</f>
        <v>0.1</v>
      </c>
      <c r="D1048" s="41" t="s">
        <v>54</v>
      </c>
      <c r="E1048" s="54">
        <f>+'[1]Lista de precios MAY25'!$E$40*1.07</f>
        <v>9813.9911009999996</v>
      </c>
      <c r="F1048" s="53">
        <f>ROUND((C1048*E1048),2)</f>
        <v>981.4</v>
      </c>
      <c r="G1048" s="58"/>
      <c r="I1048" s="153"/>
    </row>
    <row r="1049" spans="1:10" x14ac:dyDescent="0.25">
      <c r="A1049" s="90"/>
      <c r="B1049" s="41" t="s">
        <v>358</v>
      </c>
      <c r="C1049" s="53">
        <v>0.05</v>
      </c>
      <c r="D1049" s="41" t="s">
        <v>52</v>
      </c>
      <c r="E1049" s="54">
        <f>+$E$1032</f>
        <v>540.75</v>
      </c>
      <c r="F1049" s="53">
        <f>+E1049*C1049</f>
        <v>27.037500000000001</v>
      </c>
      <c r="G1049" s="58"/>
      <c r="I1049" s="153"/>
    </row>
    <row r="1050" spans="1:10" x14ac:dyDescent="0.25">
      <c r="A1050" s="90"/>
      <c r="B1050" s="41" t="s">
        <v>340</v>
      </c>
      <c r="C1050" s="53">
        <f>(1*2*12)/12</f>
        <v>2</v>
      </c>
      <c r="D1050" s="41" t="s">
        <v>327</v>
      </c>
      <c r="E1050" s="54">
        <f>+'[1]Lista de precios MAY25'!$E$156</f>
        <v>55.8</v>
      </c>
      <c r="F1050" s="53">
        <f>ROUND((C1050*E1050),2)</f>
        <v>111.6</v>
      </c>
      <c r="G1050" s="58"/>
      <c r="I1050" s="153"/>
    </row>
    <row r="1051" spans="1:10" x14ac:dyDescent="0.25">
      <c r="A1051" s="16"/>
      <c r="B1051" s="41" t="s">
        <v>67</v>
      </c>
      <c r="C1051" s="53">
        <v>10</v>
      </c>
      <c r="D1051" s="41" t="s">
        <v>34</v>
      </c>
      <c r="E1051" s="46">
        <f>SUM(F1048:F1050)</f>
        <v>1120.0374999999999</v>
      </c>
      <c r="F1051" s="53">
        <f>+E1051*C1051/100</f>
        <v>112.00375</v>
      </c>
      <c r="G1051" s="58"/>
      <c r="I1051" s="153"/>
      <c r="J1051" s="55"/>
    </row>
    <row r="1052" spans="1:10" x14ac:dyDescent="0.25">
      <c r="A1052" s="16"/>
      <c r="B1052" s="41" t="s">
        <v>328</v>
      </c>
      <c r="C1052" s="53">
        <v>10</v>
      </c>
      <c r="D1052" s="41" t="s">
        <v>34</v>
      </c>
      <c r="E1052" s="46">
        <f>SUM(F1053)</f>
        <v>1000</v>
      </c>
      <c r="F1052" s="53">
        <f>E1052*C1052/100</f>
        <v>100</v>
      </c>
      <c r="G1052" s="58"/>
      <c r="I1052" s="153"/>
      <c r="J1052" s="55"/>
    </row>
    <row r="1053" spans="1:10" x14ac:dyDescent="0.25">
      <c r="A1053" s="90"/>
      <c r="B1053" s="41" t="s">
        <v>84</v>
      </c>
      <c r="C1053" s="53">
        <v>4</v>
      </c>
      <c r="D1053" s="41" t="s">
        <v>150</v>
      </c>
      <c r="E1053" s="54">
        <v>250</v>
      </c>
      <c r="F1053" s="53">
        <f>ROUND((C1053*E1053),2)</f>
        <v>1000</v>
      </c>
      <c r="G1053" s="58"/>
      <c r="I1053" s="153"/>
      <c r="J1053" s="55"/>
    </row>
    <row r="1054" spans="1:10" ht="15.6" x14ac:dyDescent="0.3">
      <c r="A1054" s="90"/>
      <c r="B1054" s="41"/>
      <c r="E1054" s="46"/>
      <c r="G1054" s="59">
        <f>SUM(F1048:F1053)</f>
        <v>2332.0412500000002</v>
      </c>
      <c r="H1054" s="3" t="s">
        <v>141</v>
      </c>
      <c r="I1054" s="153"/>
    </row>
    <row r="1055" spans="1:10" x14ac:dyDescent="0.25">
      <c r="A1055" s="90"/>
      <c r="B1055" s="41"/>
      <c r="C1055" s="92"/>
      <c r="E1055" s="46"/>
      <c r="F1055" s="92"/>
      <c r="G1055" s="58"/>
      <c r="H1055" s="41"/>
      <c r="I1055" s="153"/>
    </row>
    <row r="1056" spans="1:10" ht="15.6" x14ac:dyDescent="0.3">
      <c r="A1056" s="90">
        <f>+A1047+0.01</f>
        <v>12.049999999999999</v>
      </c>
      <c r="B1056" s="3" t="s">
        <v>362</v>
      </c>
      <c r="C1056" s="92"/>
      <c r="E1056" s="46"/>
      <c r="F1056" s="92"/>
      <c r="G1056" s="58"/>
      <c r="H1056" s="41"/>
    </row>
    <row r="1057" spans="1:10" x14ac:dyDescent="0.25">
      <c r="A1057" s="90"/>
      <c r="B1057" s="41" t="s">
        <v>363</v>
      </c>
      <c r="C1057" s="156">
        <v>0.6</v>
      </c>
      <c r="D1057" s="41" t="s">
        <v>81</v>
      </c>
      <c r="E1057" s="54">
        <f>+$G$922</f>
        <v>791.4665195</v>
      </c>
      <c r="F1057" s="91">
        <f>E1057*C1057</f>
        <v>474.87991169999998</v>
      </c>
      <c r="G1057" s="58"/>
      <c r="H1057" s="41"/>
      <c r="J1057" s="55"/>
    </row>
    <row r="1058" spans="1:10" x14ac:dyDescent="0.25">
      <c r="A1058" s="90"/>
      <c r="B1058" s="41" t="s">
        <v>364</v>
      </c>
      <c r="C1058" s="91">
        <v>1</v>
      </c>
      <c r="D1058" s="41" t="s">
        <v>184</v>
      </c>
      <c r="E1058" s="54">
        <f>+$G$997</f>
        <v>460.94938715000001</v>
      </c>
      <c r="F1058" s="91">
        <f>E1058*C1058</f>
        <v>460.94938715000001</v>
      </c>
      <c r="G1058" s="58"/>
      <c r="H1058" s="41"/>
    </row>
    <row r="1059" spans="1:10" x14ac:dyDescent="0.25">
      <c r="A1059" s="90"/>
      <c r="B1059" s="41" t="s">
        <v>318</v>
      </c>
      <c r="C1059" s="91">
        <v>2</v>
      </c>
      <c r="D1059" s="41" t="s">
        <v>184</v>
      </c>
      <c r="E1059" s="54">
        <f>+$G$975</f>
        <v>396.20320822500003</v>
      </c>
      <c r="F1059" s="91">
        <f>E1059*C1059</f>
        <v>792.40641645000005</v>
      </c>
      <c r="G1059" s="58"/>
      <c r="H1059" s="41"/>
    </row>
    <row r="1060" spans="1:10" ht="15.6" x14ac:dyDescent="0.3">
      <c r="A1060" s="90"/>
      <c r="B1060" s="41"/>
      <c r="C1060" s="91"/>
      <c r="D1060" s="41"/>
      <c r="E1060" s="54"/>
      <c r="F1060" s="91"/>
      <c r="G1060" s="39">
        <f>SUM(F1057:F1059)</f>
        <v>1728.2357153</v>
      </c>
      <c r="H1060" s="3" t="s">
        <v>19</v>
      </c>
    </row>
    <row r="1061" spans="1:10" x14ac:dyDescent="0.25">
      <c r="A1061" s="90"/>
      <c r="B1061" s="41"/>
      <c r="C1061" s="91"/>
      <c r="D1061" s="41"/>
      <c r="E1061" s="54"/>
      <c r="F1061" s="91"/>
      <c r="G1061" s="58"/>
      <c r="H1061" s="41"/>
    </row>
    <row r="1062" spans="1:10" ht="15.6" x14ac:dyDescent="0.3">
      <c r="A1062" s="90">
        <f>+A1056+0.01</f>
        <v>12.059999999999999</v>
      </c>
      <c r="B1062" s="3" t="s">
        <v>365</v>
      </c>
      <c r="C1062" s="92"/>
      <c r="E1062" s="46"/>
      <c r="F1062" s="92"/>
      <c r="G1062" s="58"/>
      <c r="H1062" s="41"/>
    </row>
    <row r="1063" spans="1:10" x14ac:dyDescent="0.25">
      <c r="A1063" s="90"/>
      <c r="B1063" s="41" t="s">
        <v>366</v>
      </c>
      <c r="C1063" s="156">
        <v>1</v>
      </c>
      <c r="D1063" s="41" t="s">
        <v>81</v>
      </c>
      <c r="E1063" s="54"/>
      <c r="F1063" s="91">
        <f>E1063*C1063</f>
        <v>0</v>
      </c>
      <c r="G1063" s="58" t="s">
        <v>367</v>
      </c>
      <c r="H1063" s="41"/>
    </row>
    <row r="1064" spans="1:10" x14ac:dyDescent="0.25">
      <c r="A1064" s="90"/>
      <c r="B1064" s="41" t="s">
        <v>368</v>
      </c>
      <c r="C1064" s="91">
        <v>1</v>
      </c>
      <c r="D1064" s="41" t="s">
        <v>81</v>
      </c>
      <c r="E1064" s="54">
        <f>800*1.18*1.1</f>
        <v>1038.4000000000001</v>
      </c>
      <c r="F1064" s="91">
        <f>E1064*C1064</f>
        <v>1038.4000000000001</v>
      </c>
      <c r="G1064" s="58" t="s">
        <v>369</v>
      </c>
      <c r="H1064" s="41"/>
      <c r="I1064" s="158"/>
    </row>
    <row r="1065" spans="1:10" x14ac:dyDescent="0.25">
      <c r="A1065" s="90"/>
      <c r="B1065" s="41" t="s">
        <v>370</v>
      </c>
      <c r="C1065" s="91">
        <v>15</v>
      </c>
      <c r="D1065" s="41" t="s">
        <v>34</v>
      </c>
      <c r="E1065" s="46">
        <f>SUM(F1063:F1064)*0.1</f>
        <v>103.84000000000002</v>
      </c>
      <c r="F1065" s="91">
        <f>E1065*C1065/100</f>
        <v>15.576000000000004</v>
      </c>
      <c r="G1065" s="58"/>
      <c r="H1065" s="41"/>
    </row>
    <row r="1066" spans="1:10" x14ac:dyDescent="0.25">
      <c r="A1066" s="90"/>
      <c r="B1066" s="41" t="s">
        <v>371</v>
      </c>
      <c r="C1066" s="91">
        <v>1</v>
      </c>
      <c r="D1066" s="41" t="s">
        <v>81</v>
      </c>
      <c r="E1066" s="54">
        <v>150</v>
      </c>
      <c r="F1066" s="91">
        <f>E1066*C1066</f>
        <v>150</v>
      </c>
      <c r="G1066" s="58" t="s">
        <v>372</v>
      </c>
    </row>
    <row r="1067" spans="1:10" x14ac:dyDescent="0.25">
      <c r="A1067" s="90"/>
      <c r="B1067" s="41" t="s">
        <v>373</v>
      </c>
      <c r="C1067" s="91">
        <v>0.25</v>
      </c>
      <c r="D1067" s="41" t="s">
        <v>150</v>
      </c>
      <c r="E1067" s="54">
        <f>+E1068*1.05</f>
        <v>549.41250000000002</v>
      </c>
      <c r="F1067" s="91">
        <f>E1067*C1067</f>
        <v>137.35312500000001</v>
      </c>
      <c r="G1067" s="58"/>
    </row>
    <row r="1068" spans="1:10" x14ac:dyDescent="0.25">
      <c r="A1068" s="16"/>
      <c r="B1068" s="41" t="s">
        <v>374</v>
      </c>
      <c r="C1068" s="53">
        <v>1</v>
      </c>
      <c r="D1068" s="41" t="s">
        <v>81</v>
      </c>
      <c r="E1068" s="46">
        <f>+'[1]MO MAY25'!$N$367</f>
        <v>523.25</v>
      </c>
      <c r="F1068" s="91">
        <f>E1068*C1068</f>
        <v>523.25</v>
      </c>
      <c r="G1068" s="58"/>
    </row>
    <row r="1069" spans="1:10" ht="15.6" x14ac:dyDescent="0.3">
      <c r="A1069" s="90"/>
      <c r="B1069" s="41"/>
      <c r="C1069" s="92"/>
      <c r="E1069" s="46"/>
      <c r="F1069" s="92"/>
      <c r="G1069" s="39">
        <f>SUM(F1063:F1068)</f>
        <v>1864.5791250000002</v>
      </c>
      <c r="H1069" s="3" t="s">
        <v>141</v>
      </c>
    </row>
    <row r="1070" spans="1:10" x14ac:dyDescent="0.25">
      <c r="A1070" s="90"/>
      <c r="B1070" s="41"/>
      <c r="C1070" s="92"/>
      <c r="E1070" s="46"/>
      <c r="F1070" s="92"/>
      <c r="G1070" s="58"/>
      <c r="H1070" s="41"/>
    </row>
    <row r="1071" spans="1:10" ht="15.6" x14ac:dyDescent="0.3">
      <c r="A1071" s="90">
        <f>+A1062+0.01</f>
        <v>12.069999999999999</v>
      </c>
      <c r="B1071" s="3" t="s">
        <v>375</v>
      </c>
      <c r="C1071" s="92"/>
      <c r="E1071" s="46"/>
      <c r="F1071" s="92"/>
      <c r="G1071" s="58"/>
      <c r="H1071" s="41"/>
      <c r="I1071" s="153">
        <v>350</v>
      </c>
      <c r="J1071" s="2">
        <f>4200/66.03</f>
        <v>63.607451158564288</v>
      </c>
    </row>
    <row r="1072" spans="1:10" x14ac:dyDescent="0.25">
      <c r="A1072" s="90"/>
      <c r="B1072" s="41" t="s">
        <v>376</v>
      </c>
      <c r="C1072" s="156">
        <v>1</v>
      </c>
      <c r="D1072" s="41" t="s">
        <v>81</v>
      </c>
      <c r="E1072" s="54">
        <v>1522.5</v>
      </c>
      <c r="F1072" s="91">
        <f>E1072*C1072</f>
        <v>1522.5</v>
      </c>
      <c r="G1072" s="58" t="s">
        <v>377</v>
      </c>
      <c r="H1072" s="41"/>
      <c r="I1072" s="153">
        <f>66.03/4200</f>
        <v>1.572142857142857E-2</v>
      </c>
      <c r="J1072" s="40">
        <f>+J1071*350*1.18</f>
        <v>26269.877328487051</v>
      </c>
    </row>
    <row r="1073" spans="1:9" x14ac:dyDescent="0.25">
      <c r="A1073" s="90"/>
      <c r="B1073" s="41" t="s">
        <v>378</v>
      </c>
      <c r="C1073" s="91">
        <v>0.03</v>
      </c>
      <c r="D1073" s="41" t="s">
        <v>304</v>
      </c>
      <c r="E1073" s="54">
        <f>+$G$63</f>
        <v>11634.23</v>
      </c>
      <c r="F1073" s="91">
        <f>E1073*C1073</f>
        <v>349.02689999999996</v>
      </c>
      <c r="G1073" s="58"/>
      <c r="H1073" s="41"/>
      <c r="I1073" s="153"/>
    </row>
    <row r="1074" spans="1:9" x14ac:dyDescent="0.25">
      <c r="A1074" s="90"/>
      <c r="B1074" s="41" t="s">
        <v>370</v>
      </c>
      <c r="C1074" s="91">
        <v>15</v>
      </c>
      <c r="D1074" s="41" t="s">
        <v>34</v>
      </c>
      <c r="E1074" s="46">
        <f>SUM(F1072:F1073)</f>
        <v>1871.5268999999998</v>
      </c>
      <c r="F1074" s="91">
        <f>E1074*C1074/100</f>
        <v>280.72903499999995</v>
      </c>
      <c r="G1074" s="58"/>
      <c r="H1074" s="41"/>
      <c r="I1074" s="153"/>
    </row>
    <row r="1075" spans="1:9" x14ac:dyDescent="0.25">
      <c r="A1075" s="16"/>
      <c r="B1075" s="41" t="s">
        <v>374</v>
      </c>
      <c r="C1075" s="53">
        <v>1</v>
      </c>
      <c r="D1075" s="41" t="s">
        <v>81</v>
      </c>
      <c r="E1075" s="46">
        <f>+'[1]MO MAY25'!$N$367</f>
        <v>523.25</v>
      </c>
      <c r="F1075" s="91">
        <f>E1075*C1075</f>
        <v>523.25</v>
      </c>
      <c r="G1075" s="58"/>
      <c r="I1075" s="153"/>
    </row>
    <row r="1076" spans="1:9" x14ac:dyDescent="0.25">
      <c r="A1076" s="16"/>
      <c r="B1076" s="41" t="s">
        <v>379</v>
      </c>
      <c r="C1076" s="53">
        <v>0.25</v>
      </c>
      <c r="D1076" s="41" t="s">
        <v>81</v>
      </c>
      <c r="E1076" s="46">
        <v>539.54999999999995</v>
      </c>
      <c r="F1076" s="91">
        <f>E1076*C1076</f>
        <v>134.88749999999999</v>
      </c>
      <c r="G1076" s="58"/>
      <c r="I1076" s="153"/>
    </row>
    <row r="1077" spans="1:9" x14ac:dyDescent="0.25">
      <c r="A1077" s="90"/>
      <c r="B1077" s="41" t="s">
        <v>380</v>
      </c>
      <c r="C1077" s="156">
        <v>1</v>
      </c>
      <c r="D1077" s="41" t="s">
        <v>81</v>
      </c>
      <c r="E1077" s="61">
        <v>90</v>
      </c>
      <c r="F1077" s="91">
        <f>E1077*C1077</f>
        <v>90</v>
      </c>
      <c r="G1077" s="58"/>
      <c r="H1077" s="41"/>
      <c r="I1077" s="153">
        <f>66.03*4200</f>
        <v>277326</v>
      </c>
    </row>
    <row r="1078" spans="1:9" ht="15.6" x14ac:dyDescent="0.3">
      <c r="A1078" s="90"/>
      <c r="B1078" s="41"/>
      <c r="C1078" s="92"/>
      <c r="E1078" s="46"/>
      <c r="F1078" s="92"/>
      <c r="G1078" s="159">
        <f>SUM(F1072:F1077)</f>
        <v>2900.3934349999995</v>
      </c>
      <c r="H1078" s="115" t="s">
        <v>141</v>
      </c>
      <c r="I1078" s="153">
        <f>+I1077/350</f>
        <v>792.36</v>
      </c>
    </row>
    <row r="1079" spans="1:9" ht="15.6" x14ac:dyDescent="0.3">
      <c r="A1079" s="90">
        <f>+A1071+0.01</f>
        <v>12.079999999999998</v>
      </c>
      <c r="B1079" s="3" t="s">
        <v>381</v>
      </c>
      <c r="C1079" s="92"/>
      <c r="E1079" s="46"/>
      <c r="F1079" s="92"/>
      <c r="G1079" s="58"/>
      <c r="H1079" s="41"/>
    </row>
    <row r="1080" spans="1:9" x14ac:dyDescent="0.25">
      <c r="A1080" s="90"/>
      <c r="B1080" s="41" t="s">
        <v>382</v>
      </c>
      <c r="C1080" s="156">
        <v>1</v>
      </c>
      <c r="D1080" s="41" t="s">
        <v>150</v>
      </c>
      <c r="E1080" s="54">
        <f>+'[1]Lista de precios MAY25'!$E$154</f>
        <v>656.23635000000002</v>
      </c>
      <c r="F1080" s="91">
        <f>E1080*C1080</f>
        <v>656.23635000000002</v>
      </c>
      <c r="G1080" s="58"/>
      <c r="H1080" s="41"/>
    </row>
    <row r="1081" spans="1:9" x14ac:dyDescent="0.25">
      <c r="A1081" s="90"/>
      <c r="B1081" s="41" t="s">
        <v>370</v>
      </c>
      <c r="C1081" s="91">
        <v>10</v>
      </c>
      <c r="D1081" s="41" t="s">
        <v>34</v>
      </c>
      <c r="E1081" s="46">
        <f>SUM(F1080:F1080)</f>
        <v>656.23635000000002</v>
      </c>
      <c r="F1081" s="91">
        <f>E1081*C1081/100</f>
        <v>65.623635000000007</v>
      </c>
      <c r="G1081" s="58"/>
      <c r="H1081" s="41"/>
    </row>
    <row r="1082" spans="1:9" x14ac:dyDescent="0.25">
      <c r="A1082" s="16"/>
      <c r="B1082" s="41" t="s">
        <v>383</v>
      </c>
      <c r="C1082" s="53">
        <v>1</v>
      </c>
      <c r="D1082" s="41" t="s">
        <v>81</v>
      </c>
      <c r="E1082" s="46">
        <f>+'[1]MO MAY25'!N370</f>
        <v>345</v>
      </c>
      <c r="F1082" s="91">
        <f>E1082*C1082</f>
        <v>345</v>
      </c>
      <c r="G1082" s="58"/>
    </row>
    <row r="1083" spans="1:9" ht="15.6" x14ac:dyDescent="0.3">
      <c r="A1083" s="90"/>
      <c r="B1083" s="41"/>
      <c r="C1083" s="92"/>
      <c r="E1083" s="46"/>
      <c r="F1083" s="92"/>
      <c r="G1083" s="59">
        <f>SUM(F1080:F1082)</f>
        <v>1066.8599850000001</v>
      </c>
      <c r="H1083" s="3" t="s">
        <v>19</v>
      </c>
    </row>
    <row r="1084" spans="1:9" x14ac:dyDescent="0.25">
      <c r="A1084" s="90"/>
      <c r="B1084" s="41"/>
      <c r="C1084" s="92"/>
      <c r="E1084" s="46"/>
      <c r="F1084" s="92"/>
      <c r="G1084" s="58"/>
      <c r="H1084" s="41"/>
    </row>
    <row r="1085" spans="1:9" ht="15.6" x14ac:dyDescent="0.3">
      <c r="A1085" s="90">
        <f>+A1079+0.01</f>
        <v>12.089999999999998</v>
      </c>
      <c r="B1085" s="3" t="s">
        <v>384</v>
      </c>
      <c r="C1085" s="92"/>
      <c r="E1085" s="46"/>
      <c r="F1085" s="92"/>
      <c r="G1085" s="58"/>
      <c r="H1085" s="41"/>
    </row>
    <row r="1086" spans="1:9" x14ac:dyDescent="0.25">
      <c r="A1086" s="90"/>
      <c r="B1086" s="41" t="s">
        <v>385</v>
      </c>
      <c r="C1086" s="156">
        <v>0.12</v>
      </c>
      <c r="D1086" s="41" t="s">
        <v>386</v>
      </c>
      <c r="E1086" s="61">
        <f>+'[1]Lista de precios MAY25'!$E$177</f>
        <v>2729.5170000000003</v>
      </c>
      <c r="F1086" s="91">
        <f>E1086*C1086</f>
        <v>327.54204000000004</v>
      </c>
      <c r="G1086" s="58"/>
      <c r="H1086" s="41"/>
    </row>
    <row r="1087" spans="1:9" x14ac:dyDescent="0.25">
      <c r="A1087" s="90"/>
      <c r="B1087" s="41" t="s">
        <v>387</v>
      </c>
      <c r="C1087" s="91">
        <v>1</v>
      </c>
      <c r="D1087" s="41" t="s">
        <v>81</v>
      </c>
      <c r="E1087" s="54">
        <f>+'[1]Lista de precios MAY25'!$E$181</f>
        <v>72</v>
      </c>
      <c r="F1087" s="91">
        <f>E1087*C1087</f>
        <v>72</v>
      </c>
      <c r="G1087" s="58"/>
      <c r="H1087" s="41"/>
    </row>
    <row r="1088" spans="1:9" x14ac:dyDescent="0.25">
      <c r="A1088" s="90"/>
      <c r="B1088" s="41" t="s">
        <v>388</v>
      </c>
      <c r="C1088" s="91">
        <v>10</v>
      </c>
      <c r="D1088" s="41" t="s">
        <v>34</v>
      </c>
      <c r="E1088" s="46">
        <f>SUM(F1089)</f>
        <v>275</v>
      </c>
      <c r="F1088" s="91">
        <f>E1088*C1088/100</f>
        <v>27.5</v>
      </c>
      <c r="G1088" s="58"/>
      <c r="H1088" s="41"/>
    </row>
    <row r="1089" spans="1:8" x14ac:dyDescent="0.25">
      <c r="A1089" s="90"/>
      <c r="B1089" s="41" t="s">
        <v>84</v>
      </c>
      <c r="C1089" s="91">
        <v>1</v>
      </c>
      <c r="D1089" s="41" t="s">
        <v>81</v>
      </c>
      <c r="E1089" s="54">
        <v>275</v>
      </c>
      <c r="F1089" s="91">
        <f>E1089*C1089</f>
        <v>275</v>
      </c>
      <c r="G1089" s="58"/>
    </row>
    <row r="1090" spans="1:8" ht="15.6" x14ac:dyDescent="0.3">
      <c r="A1090" s="90"/>
      <c r="B1090" s="41"/>
      <c r="C1090" s="92"/>
      <c r="E1090" s="46"/>
      <c r="F1090" s="92"/>
      <c r="G1090" s="59">
        <f>SUM(F1086:F1089)</f>
        <v>702.04204000000004</v>
      </c>
      <c r="H1090" s="3" t="s">
        <v>141</v>
      </c>
    </row>
    <row r="1091" spans="1:8" x14ac:dyDescent="0.25">
      <c r="A1091" s="90"/>
      <c r="B1091" s="41"/>
      <c r="E1091" s="46"/>
      <c r="G1091" s="58"/>
      <c r="H1091" s="41"/>
    </row>
    <row r="1092" spans="1:8" ht="15.6" x14ac:dyDescent="0.3">
      <c r="A1092" s="90">
        <f>+A1085+0.01</f>
        <v>12.099999999999998</v>
      </c>
      <c r="B1092" s="3" t="s">
        <v>389</v>
      </c>
      <c r="C1092" s="92"/>
      <c r="E1092" s="46"/>
      <c r="F1092" s="92"/>
      <c r="G1092" s="58"/>
      <c r="H1092" s="41"/>
    </row>
    <row r="1093" spans="1:8" x14ac:dyDescent="0.25">
      <c r="A1093" s="90"/>
      <c r="B1093" s="41" t="s">
        <v>390</v>
      </c>
      <c r="C1093" s="156">
        <f>1/7</f>
        <v>0.14285714285714285</v>
      </c>
      <c r="D1093" s="41" t="s">
        <v>391</v>
      </c>
      <c r="E1093" s="54">
        <f>+'[1]Lista de precios MAY25'!$E$179</f>
        <v>3629.7200000000003</v>
      </c>
      <c r="F1093" s="91">
        <f>E1093*C1093</f>
        <v>518.53142857142859</v>
      </c>
      <c r="G1093" s="58"/>
      <c r="H1093" s="41"/>
    </row>
    <row r="1094" spans="1:8" x14ac:dyDescent="0.25">
      <c r="A1094" s="90"/>
      <c r="B1094" s="41" t="s">
        <v>388</v>
      </c>
      <c r="C1094" s="91">
        <v>15</v>
      </c>
      <c r="D1094" s="41" t="s">
        <v>34</v>
      </c>
      <c r="E1094" s="46">
        <f>SUM(F1095)</f>
        <v>72</v>
      </c>
      <c r="F1094" s="91">
        <f>E1094*C1094/100</f>
        <v>10.8</v>
      </c>
      <c r="G1094" s="58"/>
      <c r="H1094" s="41"/>
    </row>
    <row r="1095" spans="1:8" x14ac:dyDescent="0.25">
      <c r="A1095" s="90"/>
      <c r="B1095" s="41" t="s">
        <v>387</v>
      </c>
      <c r="C1095" s="91">
        <v>1</v>
      </c>
      <c r="D1095" s="41" t="s">
        <v>81</v>
      </c>
      <c r="E1095" s="54">
        <f>+'[1]Lista de precios MAY25'!$E$181</f>
        <v>72</v>
      </c>
      <c r="F1095" s="91">
        <f>E1095*C1095</f>
        <v>72</v>
      </c>
      <c r="G1095" s="160" t="s">
        <v>392</v>
      </c>
      <c r="H1095" s="41"/>
    </row>
    <row r="1096" spans="1:8" x14ac:dyDescent="0.25">
      <c r="A1096" s="90"/>
      <c r="B1096" s="41" t="s">
        <v>84</v>
      </c>
      <c r="C1096" s="91">
        <v>1</v>
      </c>
      <c r="D1096" s="41" t="s">
        <v>81</v>
      </c>
      <c r="E1096" s="54">
        <f>+'[1]MO MAY25'!N252*1.05</f>
        <v>126.78750000000001</v>
      </c>
      <c r="F1096" s="91">
        <f>E1096*C1096</f>
        <v>126.78750000000001</v>
      </c>
      <c r="G1096" s="58"/>
    </row>
    <row r="1097" spans="1:8" ht="15.6" x14ac:dyDescent="0.3">
      <c r="A1097" s="90"/>
      <c r="B1097" s="41"/>
      <c r="C1097" s="92"/>
      <c r="E1097" s="46"/>
      <c r="F1097" s="92"/>
      <c r="G1097" s="59">
        <f>SUM(F1093:F1096)</f>
        <v>728.11892857142857</v>
      </c>
      <c r="H1097" s="3" t="s">
        <v>141</v>
      </c>
    </row>
    <row r="1098" spans="1:8" x14ac:dyDescent="0.25">
      <c r="A1098" s="90"/>
      <c r="B1098" s="41"/>
      <c r="E1098" s="46"/>
      <c r="G1098" s="58"/>
      <c r="H1098" s="41"/>
    </row>
    <row r="1099" spans="1:8" ht="15.6" x14ac:dyDescent="0.3">
      <c r="A1099" s="90"/>
      <c r="B1099" s="3" t="s">
        <v>393</v>
      </c>
      <c r="C1099" s="92"/>
      <c r="E1099" s="46"/>
      <c r="G1099" s="58"/>
      <c r="H1099" s="41"/>
    </row>
    <row r="1100" spans="1:8" x14ac:dyDescent="0.25">
      <c r="A1100" s="90"/>
      <c r="B1100" s="41" t="s">
        <v>394</v>
      </c>
      <c r="C1100" s="156">
        <v>0.125</v>
      </c>
      <c r="D1100" s="41" t="s">
        <v>81</v>
      </c>
      <c r="E1100" s="91">
        <f>13561.25*1.18/5</f>
        <v>3200.4549999999999</v>
      </c>
      <c r="F1100" s="91">
        <f t="shared" ref="F1100:F1101" si="29">E1100*C1100</f>
        <v>400.05687499999999</v>
      </c>
      <c r="G1100" s="161"/>
      <c r="H1100" s="162"/>
    </row>
    <row r="1101" spans="1:8" x14ac:dyDescent="0.25">
      <c r="A1101" s="90"/>
      <c r="B1101" s="41" t="s">
        <v>387</v>
      </c>
      <c r="C1101" s="91">
        <v>1</v>
      </c>
      <c r="D1101" s="41" t="s">
        <v>81</v>
      </c>
      <c r="E1101" s="46">
        <f>SUM(F1102)</f>
        <v>35</v>
      </c>
      <c r="F1101" s="91">
        <f t="shared" si="29"/>
        <v>35</v>
      </c>
      <c r="G1101" s="161"/>
      <c r="H1101" s="162"/>
    </row>
    <row r="1102" spans="1:8" x14ac:dyDescent="0.25">
      <c r="A1102" s="90"/>
      <c r="B1102" s="41" t="s">
        <v>388</v>
      </c>
      <c r="C1102" s="91">
        <v>10</v>
      </c>
      <c r="D1102" s="41" t="s">
        <v>34</v>
      </c>
      <c r="E1102" s="92">
        <f>SUM(F1103)</f>
        <v>350</v>
      </c>
      <c r="F1102" s="91">
        <f>E1102*C1102/100</f>
        <v>35</v>
      </c>
      <c r="G1102" s="161"/>
      <c r="H1102" s="162"/>
    </row>
    <row r="1103" spans="1:8" x14ac:dyDescent="0.25">
      <c r="A1103" s="90"/>
      <c r="B1103" s="41" t="s">
        <v>84</v>
      </c>
      <c r="C1103" s="91">
        <v>1</v>
      </c>
      <c r="D1103" s="41" t="s">
        <v>81</v>
      </c>
      <c r="E1103" s="46">
        <v>350</v>
      </c>
      <c r="F1103" s="91">
        <f t="shared" ref="F1103" si="30">E1103*C1103</f>
        <v>350</v>
      </c>
      <c r="G1103" s="161"/>
      <c r="H1103" s="163"/>
    </row>
    <row r="1104" spans="1:8" x14ac:dyDescent="0.25">
      <c r="A1104" s="90"/>
      <c r="B1104" s="41"/>
      <c r="E1104" s="92"/>
      <c r="F1104" s="92"/>
      <c r="G1104" s="164">
        <f>SUM(F1100:F1103)</f>
        <v>820.05687499999999</v>
      </c>
      <c r="H1104" s="165" t="s">
        <v>141</v>
      </c>
    </row>
    <row r="1105" spans="1:9" x14ac:dyDescent="0.25">
      <c r="A1105" s="90"/>
      <c r="B1105" s="41"/>
      <c r="E1105" s="92">
        <v>900</v>
      </c>
      <c r="F1105" s="92"/>
      <c r="G1105" s="166"/>
      <c r="H1105" s="165"/>
    </row>
    <row r="1106" spans="1:9" ht="15.6" x14ac:dyDescent="0.3">
      <c r="A1106" s="90"/>
      <c r="B1106" s="3" t="s">
        <v>395</v>
      </c>
      <c r="C1106" s="92"/>
      <c r="E1106" s="46"/>
      <c r="G1106" s="58"/>
      <c r="H1106" s="41"/>
    </row>
    <row r="1107" spans="1:9" x14ac:dyDescent="0.25">
      <c r="A1107" s="90"/>
      <c r="B1107" s="41" t="s">
        <v>396</v>
      </c>
      <c r="C1107" s="156">
        <v>20</v>
      </c>
      <c r="D1107" s="41" t="s">
        <v>397</v>
      </c>
      <c r="E1107" s="91">
        <f>112*59.15*1.1</f>
        <v>7287.2800000000007</v>
      </c>
      <c r="F1107" s="91">
        <f t="shared" ref="F1107:F1115" si="31">E1107*C1107</f>
        <v>145745.60000000001</v>
      </c>
      <c r="G1107" s="161"/>
      <c r="H1107" s="162"/>
    </row>
    <row r="1108" spans="1:9" x14ac:dyDescent="0.25">
      <c r="A1108" s="90"/>
      <c r="B1108" s="41" t="s">
        <v>398</v>
      </c>
      <c r="C1108" s="91">
        <v>33</v>
      </c>
      <c r="D1108" s="41" t="s">
        <v>397</v>
      </c>
      <c r="E1108" s="91">
        <f>156*59.15*1.18</f>
        <v>10888.331999999999</v>
      </c>
      <c r="F1108" s="91">
        <f t="shared" si="31"/>
        <v>359314.95599999995</v>
      </c>
      <c r="G1108" s="161"/>
      <c r="H1108" s="162"/>
    </row>
    <row r="1109" spans="1:9" x14ac:dyDescent="0.25">
      <c r="A1109" s="90"/>
      <c r="B1109" s="41" t="s">
        <v>399</v>
      </c>
      <c r="C1109" s="91">
        <v>57</v>
      </c>
      <c r="D1109" s="41" t="s">
        <v>397</v>
      </c>
      <c r="E1109" s="92">
        <f>167*59.15*1.18</f>
        <v>11656.098999999998</v>
      </c>
      <c r="F1109" s="91">
        <f t="shared" si="31"/>
        <v>664397.64299999992</v>
      </c>
      <c r="G1109" s="161"/>
      <c r="H1109" s="162"/>
      <c r="I1109" s="40"/>
    </row>
    <row r="1110" spans="1:9" x14ac:dyDescent="0.25">
      <c r="A1110" s="90"/>
      <c r="B1110" s="41" t="s">
        <v>400</v>
      </c>
      <c r="C1110" s="91">
        <v>10</v>
      </c>
      <c r="D1110" s="41" t="s">
        <v>81</v>
      </c>
      <c r="E1110" s="92">
        <f>178*59.15*1.18</f>
        <v>12423.865999999998</v>
      </c>
      <c r="F1110" s="91">
        <f t="shared" si="31"/>
        <v>124238.65999999997</v>
      </c>
      <c r="G1110" s="161"/>
      <c r="H1110" s="162"/>
    </row>
    <row r="1111" spans="1:9" x14ac:dyDescent="0.25">
      <c r="A1111" s="90"/>
      <c r="B1111" s="41" t="s">
        <v>401</v>
      </c>
      <c r="C1111" s="91">
        <v>1</v>
      </c>
      <c r="D1111" s="41" t="s">
        <v>81</v>
      </c>
      <c r="E1111" s="92">
        <f>SUM(F1107:F1110)*0.05</f>
        <v>64684.842949999998</v>
      </c>
      <c r="F1111" s="91">
        <f t="shared" si="31"/>
        <v>64684.842949999998</v>
      </c>
      <c r="G1111" s="161"/>
      <c r="H1111" s="162"/>
    </row>
    <row r="1112" spans="1:9" x14ac:dyDescent="0.25">
      <c r="A1112" s="90"/>
      <c r="B1112" s="41" t="s">
        <v>370</v>
      </c>
      <c r="C1112" s="91">
        <v>5</v>
      </c>
      <c r="D1112" s="41" t="s">
        <v>34</v>
      </c>
      <c r="E1112" s="91">
        <f>SUM(F1107:F1111)/100</f>
        <v>13583.817019499998</v>
      </c>
      <c r="F1112" s="91">
        <f t="shared" si="31"/>
        <v>67919.085097499992</v>
      </c>
      <c r="G1112" s="161"/>
      <c r="H1112" s="163"/>
    </row>
    <row r="1113" spans="1:9" x14ac:dyDescent="0.25">
      <c r="A1113" s="90"/>
      <c r="B1113" s="41" t="s">
        <v>84</v>
      </c>
      <c r="C1113" s="91">
        <f>+E1105</f>
        <v>900</v>
      </c>
      <c r="D1113" s="41" t="s">
        <v>81</v>
      </c>
      <c r="E1113" s="91">
        <v>350</v>
      </c>
      <c r="F1113" s="91">
        <f t="shared" si="31"/>
        <v>315000</v>
      </c>
      <c r="G1113" s="161"/>
      <c r="H1113" s="163"/>
    </row>
    <row r="1114" spans="1:9" x14ac:dyDescent="0.25">
      <c r="A1114" s="90"/>
      <c r="B1114" s="41" t="s">
        <v>402</v>
      </c>
      <c r="C1114" s="91">
        <v>5</v>
      </c>
      <c r="D1114" s="41" t="s">
        <v>34</v>
      </c>
      <c r="E1114" s="91">
        <f>SUM(F1107:F1111)/100</f>
        <v>13583.817019499998</v>
      </c>
      <c r="F1114" s="91">
        <f t="shared" si="31"/>
        <v>67919.085097499992</v>
      </c>
      <c r="G1114" s="161"/>
      <c r="H1114" s="163"/>
    </row>
    <row r="1115" spans="1:9" x14ac:dyDescent="0.25">
      <c r="A1115" s="90"/>
      <c r="B1115" s="41" t="s">
        <v>283</v>
      </c>
      <c r="C1115" s="91">
        <v>32</v>
      </c>
      <c r="D1115" s="41" t="s">
        <v>81</v>
      </c>
      <c r="E1115" s="91">
        <f>+'[1]MO MAY25'!$N$512</f>
        <v>155.25</v>
      </c>
      <c r="F1115" s="91">
        <f t="shared" si="31"/>
        <v>4968</v>
      </c>
      <c r="G1115" s="161"/>
      <c r="H1115" s="163"/>
    </row>
    <row r="1116" spans="1:9" x14ac:dyDescent="0.25">
      <c r="A1116" s="90"/>
      <c r="B1116" s="41"/>
      <c r="E1116" s="92"/>
      <c r="F1116" s="92"/>
      <c r="G1116" s="164">
        <f>SUM(F1107:F1115)/E1105</f>
        <v>2015.764302383333</v>
      </c>
      <c r="H1116" s="165" t="s">
        <v>141</v>
      </c>
    </row>
    <row r="1117" spans="1:9" x14ac:dyDescent="0.25">
      <c r="A1117" s="90"/>
      <c r="B1117" s="41"/>
      <c r="E1117" s="92"/>
      <c r="F1117" s="92"/>
      <c r="G1117" s="164"/>
      <c r="H1117" s="165"/>
    </row>
    <row r="1118" spans="1:9" ht="15.6" x14ac:dyDescent="0.3">
      <c r="A1118" s="90"/>
      <c r="B1118" s="3" t="s">
        <v>403</v>
      </c>
      <c r="C1118" s="92"/>
      <c r="E1118" s="167">
        <v>900</v>
      </c>
      <c r="G1118" s="58"/>
      <c r="H1118" s="41"/>
    </row>
    <row r="1119" spans="1:9" x14ac:dyDescent="0.25">
      <c r="A1119" s="90"/>
      <c r="B1119" s="41" t="s">
        <v>396</v>
      </c>
      <c r="C1119" s="156">
        <v>20</v>
      </c>
      <c r="D1119" s="41" t="s">
        <v>397</v>
      </c>
      <c r="E1119" s="91">
        <f>112*59.15*1.1</f>
        <v>7287.2800000000007</v>
      </c>
      <c r="F1119" s="91">
        <f t="shared" ref="F1119:F1127" si="32">E1119*C1119</f>
        <v>145745.60000000001</v>
      </c>
      <c r="G1119" s="161"/>
      <c r="H1119" s="162"/>
    </row>
    <row r="1120" spans="1:9" x14ac:dyDescent="0.25">
      <c r="A1120" s="90"/>
      <c r="B1120" s="41" t="s">
        <v>398</v>
      </c>
      <c r="C1120" s="91">
        <v>33</v>
      </c>
      <c r="D1120" s="41" t="s">
        <v>397</v>
      </c>
      <c r="E1120" s="91">
        <f>156*59.15*1.18</f>
        <v>10888.331999999999</v>
      </c>
      <c r="F1120" s="91">
        <f t="shared" si="32"/>
        <v>359314.95599999995</v>
      </c>
      <c r="G1120" s="161"/>
      <c r="H1120" s="162"/>
    </row>
    <row r="1121" spans="1:9" x14ac:dyDescent="0.25">
      <c r="A1121" s="90"/>
      <c r="B1121" s="41" t="s">
        <v>399</v>
      </c>
      <c r="C1121" s="91">
        <f>57*0.5</f>
        <v>28.5</v>
      </c>
      <c r="D1121" s="41" t="s">
        <v>397</v>
      </c>
      <c r="E1121" s="92">
        <f>167*59.15*1.18</f>
        <v>11656.098999999998</v>
      </c>
      <c r="F1121" s="91">
        <f t="shared" si="32"/>
        <v>332198.82149999996</v>
      </c>
      <c r="G1121" s="161"/>
      <c r="H1121" s="162"/>
      <c r="I1121" s="40"/>
    </row>
    <row r="1122" spans="1:9" x14ac:dyDescent="0.25">
      <c r="A1122" s="90"/>
      <c r="B1122" s="41" t="s">
        <v>400</v>
      </c>
      <c r="C1122" s="91"/>
      <c r="D1122" s="41" t="s">
        <v>81</v>
      </c>
      <c r="E1122" s="92">
        <f>178*59.15*1.18</f>
        <v>12423.865999999998</v>
      </c>
      <c r="F1122" s="91">
        <f t="shared" si="32"/>
        <v>0</v>
      </c>
      <c r="G1122" s="161"/>
      <c r="H1122" s="162"/>
    </row>
    <row r="1123" spans="1:9" x14ac:dyDescent="0.25">
      <c r="A1123" s="90"/>
      <c r="B1123" s="41" t="s">
        <v>401</v>
      </c>
      <c r="C1123" s="91">
        <v>1</v>
      </c>
      <c r="D1123" s="41" t="s">
        <v>81</v>
      </c>
      <c r="E1123" s="92">
        <f>SUM(F1119:F1122)*0.05</f>
        <v>41862.968874999999</v>
      </c>
      <c r="F1123" s="91">
        <f t="shared" si="32"/>
        <v>41862.968874999999</v>
      </c>
      <c r="G1123" s="161"/>
      <c r="H1123" s="162"/>
    </row>
    <row r="1124" spans="1:9" x14ac:dyDescent="0.25">
      <c r="A1124" s="90"/>
      <c r="B1124" s="41" t="s">
        <v>370</v>
      </c>
      <c r="C1124" s="91">
        <v>5</v>
      </c>
      <c r="D1124" s="41" t="s">
        <v>34</v>
      </c>
      <c r="E1124" s="91">
        <f>SUM(F1119:F1123)/100</f>
        <v>8791.2234637500005</v>
      </c>
      <c r="F1124" s="91">
        <f t="shared" si="32"/>
        <v>43956.117318750003</v>
      </c>
      <c r="G1124" s="161"/>
      <c r="H1124" s="163"/>
    </row>
    <row r="1125" spans="1:9" x14ac:dyDescent="0.25">
      <c r="A1125" s="90"/>
      <c r="B1125" s="41" t="s">
        <v>84</v>
      </c>
      <c r="C1125" s="91">
        <v>900</v>
      </c>
      <c r="D1125" s="41" t="s">
        <v>81</v>
      </c>
      <c r="E1125" s="91">
        <v>300</v>
      </c>
      <c r="F1125" s="91">
        <f t="shared" si="32"/>
        <v>270000</v>
      </c>
      <c r="G1125" s="161"/>
      <c r="H1125" s="163"/>
    </row>
    <row r="1126" spans="1:9" x14ac:dyDescent="0.25">
      <c r="A1126" s="90"/>
      <c r="B1126" s="41" t="s">
        <v>402</v>
      </c>
      <c r="C1126" s="91">
        <v>5</v>
      </c>
      <c r="D1126" s="41" t="s">
        <v>34</v>
      </c>
      <c r="E1126" s="91">
        <f>SUM(F1119:F1123)/100</f>
        <v>8791.2234637500005</v>
      </c>
      <c r="F1126" s="91">
        <f t="shared" si="32"/>
        <v>43956.117318750003</v>
      </c>
      <c r="G1126" s="161"/>
      <c r="H1126" s="163"/>
    </row>
    <row r="1127" spans="1:9" x14ac:dyDescent="0.25">
      <c r="A1127" s="90"/>
      <c r="B1127" s="41" t="s">
        <v>283</v>
      </c>
      <c r="C1127" s="91"/>
      <c r="D1127" s="41" t="s">
        <v>81</v>
      </c>
      <c r="E1127" s="91">
        <f>+'[1]MO MAY25'!$N$512</f>
        <v>155.25</v>
      </c>
      <c r="F1127" s="91">
        <f t="shared" si="32"/>
        <v>0</v>
      </c>
      <c r="G1127" s="161"/>
      <c r="H1127" s="163"/>
    </row>
    <row r="1128" spans="1:9" x14ac:dyDescent="0.25">
      <c r="A1128" s="90"/>
      <c r="B1128" s="41"/>
      <c r="E1128" s="92"/>
      <c r="F1128" s="92"/>
      <c r="G1128" s="164">
        <f>SUM(F1119:F1127)/E1118</f>
        <v>1374.4828677916666</v>
      </c>
      <c r="H1128" s="165" t="s">
        <v>141</v>
      </c>
    </row>
    <row r="1129" spans="1:9" x14ac:dyDescent="0.25">
      <c r="A1129" s="90"/>
      <c r="B1129" s="41"/>
      <c r="E1129" s="46"/>
      <c r="G1129" s="58"/>
      <c r="H1129" s="41"/>
    </row>
    <row r="1130" spans="1:9" ht="15.6" x14ac:dyDescent="0.3">
      <c r="A1130" s="20">
        <f>+A1019+1</f>
        <v>13</v>
      </c>
      <c r="B1130" s="3" t="s">
        <v>404</v>
      </c>
      <c r="C1130" s="8"/>
      <c r="E1130" s="46"/>
      <c r="F1130" s="8"/>
      <c r="G1130" s="58"/>
    </row>
    <row r="1131" spans="1:9" x14ac:dyDescent="0.25">
      <c r="A1131" s="90"/>
      <c r="B1131" s="41"/>
      <c r="C1131" s="8"/>
      <c r="E1131" s="46"/>
      <c r="F1131" s="8"/>
      <c r="G1131" s="58"/>
      <c r="H1131" s="41"/>
    </row>
    <row r="1132" spans="1:9" ht="15.6" x14ac:dyDescent="0.3">
      <c r="A1132" s="90">
        <f>0.01+A1130</f>
        <v>13.01</v>
      </c>
      <c r="B1132" s="3" t="s">
        <v>405</v>
      </c>
      <c r="C1132" s="8"/>
      <c r="E1132" s="46"/>
      <c r="F1132" s="8"/>
      <c r="G1132" s="58"/>
      <c r="I1132" s="153"/>
    </row>
    <row r="1133" spans="1:9" x14ac:dyDescent="0.25">
      <c r="A1133" s="90"/>
      <c r="B1133" s="41" t="s">
        <v>406</v>
      </c>
      <c r="C1133" s="53">
        <v>1</v>
      </c>
      <c r="D1133" s="41" t="s">
        <v>81</v>
      </c>
      <c r="E1133" s="54"/>
      <c r="F1133" s="53">
        <f>E1133*C1133</f>
        <v>0</v>
      </c>
      <c r="G1133" s="58"/>
      <c r="I1133" s="53"/>
    </row>
    <row r="1134" spans="1:9" x14ac:dyDescent="0.25">
      <c r="A1134" s="90"/>
      <c r="B1134" s="41" t="s">
        <v>407</v>
      </c>
      <c r="C1134" s="53">
        <v>0.05</v>
      </c>
      <c r="D1134" s="41" t="s">
        <v>54</v>
      </c>
      <c r="E1134" s="54">
        <f>+$E$1147</f>
        <v>9859.73</v>
      </c>
      <c r="F1134" s="53">
        <f>E1134*C1134</f>
        <v>492.98649999999998</v>
      </c>
      <c r="G1134" s="58"/>
      <c r="I1134" s="153"/>
    </row>
    <row r="1135" spans="1:9" x14ac:dyDescent="0.25">
      <c r="A1135" s="90"/>
      <c r="B1135" s="41" t="s">
        <v>408</v>
      </c>
      <c r="C1135" s="53">
        <v>0.13</v>
      </c>
      <c r="D1135" s="41" t="s">
        <v>409</v>
      </c>
      <c r="E1135" s="54">
        <f>+'[1]Lista de precios MAY25'!$E$138</f>
        <v>1350</v>
      </c>
      <c r="F1135" s="53">
        <f>E1135*C1135</f>
        <v>175.5</v>
      </c>
      <c r="G1135" s="58"/>
      <c r="H1135" s="41"/>
      <c r="I1135" s="153"/>
    </row>
    <row r="1136" spans="1:9" x14ac:dyDescent="0.25">
      <c r="A1136" s="90"/>
      <c r="B1136" s="41" t="s">
        <v>410</v>
      </c>
      <c r="C1136" s="53">
        <v>8</v>
      </c>
      <c r="D1136" s="41" t="s">
        <v>82</v>
      </c>
      <c r="E1136" s="54">
        <f>+$G$95</f>
        <v>15.807777777777778</v>
      </c>
      <c r="F1136" s="53">
        <f>E1136*C1136</f>
        <v>126.46222222222222</v>
      </c>
      <c r="G1136" s="58"/>
      <c r="I1136" s="153"/>
    </row>
    <row r="1137" spans="1:9" x14ac:dyDescent="0.25">
      <c r="A1137" s="90"/>
      <c r="B1137" s="41" t="s">
        <v>411</v>
      </c>
      <c r="C1137" s="53">
        <v>0.05</v>
      </c>
      <c r="D1137" s="41" t="s">
        <v>82</v>
      </c>
      <c r="E1137" s="54">
        <f>+'[1]Lista de precios MAY25'!$E$141</f>
        <v>80.850000000000009</v>
      </c>
      <c r="F1137" s="53">
        <f>E1137*C1137</f>
        <v>4.0425000000000004</v>
      </c>
      <c r="G1137" s="58"/>
      <c r="H1137" s="41"/>
      <c r="I1137" s="153"/>
    </row>
    <row r="1138" spans="1:9" x14ac:dyDescent="0.25">
      <c r="A1138" s="90"/>
      <c r="B1138" s="41" t="s">
        <v>67</v>
      </c>
      <c r="C1138" s="53">
        <v>10</v>
      </c>
      <c r="D1138" s="41" t="s">
        <v>34</v>
      </c>
      <c r="E1138" s="54">
        <f>SUM(F1133:F1137)</f>
        <v>798.99122222222218</v>
      </c>
      <c r="F1138" s="53">
        <f>E1138*C1138/100</f>
        <v>79.899122222222218</v>
      </c>
      <c r="G1138" s="58"/>
      <c r="I1138" s="53"/>
    </row>
    <row r="1139" spans="1:9" x14ac:dyDescent="0.25">
      <c r="A1139" s="16"/>
      <c r="B1139" s="41" t="s">
        <v>412</v>
      </c>
      <c r="C1139" s="53">
        <v>0.5</v>
      </c>
      <c r="D1139" s="41" t="s">
        <v>150</v>
      </c>
      <c r="E1139" s="54">
        <f>+'[1]MO MAY25'!$N$589</f>
        <v>80.5</v>
      </c>
      <c r="F1139" s="53">
        <f>E1139*C1139</f>
        <v>40.25</v>
      </c>
      <c r="G1139" s="58"/>
      <c r="I1139" s="153"/>
    </row>
    <row r="1140" spans="1:9" x14ac:dyDescent="0.25">
      <c r="A1140" s="90"/>
      <c r="B1140" s="41" t="s">
        <v>413</v>
      </c>
      <c r="C1140" s="53">
        <v>1</v>
      </c>
      <c r="D1140" s="41" t="s">
        <v>81</v>
      </c>
      <c r="E1140" s="54">
        <f>+'[1]MO MAY25'!$N$561</f>
        <v>690</v>
      </c>
      <c r="F1140" s="53">
        <f>E1140*C1140</f>
        <v>690</v>
      </c>
      <c r="G1140" s="58"/>
      <c r="I1140" s="153"/>
    </row>
    <row r="1141" spans="1:9" x14ac:dyDescent="0.25">
      <c r="A1141" s="90"/>
      <c r="B1141" s="41" t="s">
        <v>414</v>
      </c>
      <c r="C1141" s="53">
        <v>1</v>
      </c>
      <c r="D1141" s="41" t="s">
        <v>81</v>
      </c>
      <c r="E1141" s="54">
        <f>+'[1]MO MAY25'!$N$417</f>
        <v>391</v>
      </c>
      <c r="F1141" s="53">
        <f>E1141*C1141</f>
        <v>391</v>
      </c>
      <c r="G1141" s="58"/>
      <c r="I1141" s="153"/>
    </row>
    <row r="1142" spans="1:9" x14ac:dyDescent="0.25">
      <c r="A1142" s="90"/>
      <c r="B1142" s="41" t="s">
        <v>415</v>
      </c>
      <c r="C1142" s="53">
        <v>1</v>
      </c>
      <c r="D1142" s="41" t="s">
        <v>81</v>
      </c>
      <c r="E1142" s="54">
        <f>+'[1]MO MAY25'!$N$425</f>
        <v>310.5</v>
      </c>
      <c r="F1142" s="53">
        <f>E1142*C1142</f>
        <v>310.5</v>
      </c>
      <c r="G1142" s="58"/>
      <c r="I1142" s="153"/>
    </row>
    <row r="1143" spans="1:9" ht="15.6" x14ac:dyDescent="0.3">
      <c r="A1143" s="90"/>
      <c r="B1143" s="41"/>
      <c r="C1143" s="53"/>
      <c r="D1143" s="41"/>
      <c r="E1143" s="54"/>
      <c r="F1143" s="53"/>
      <c r="G1143" s="39">
        <f>SUM(F1133:F1142)</f>
        <v>2310.6403444444445</v>
      </c>
      <c r="H1143" s="3" t="s">
        <v>141</v>
      </c>
      <c r="I1143" s="58"/>
    </row>
    <row r="1144" spans="1:9" x14ac:dyDescent="0.25">
      <c r="A1144" s="90"/>
      <c r="B1144" s="41"/>
      <c r="C1144" s="8"/>
      <c r="E1144" s="46"/>
      <c r="F1144" s="8"/>
      <c r="G1144" s="58"/>
      <c r="H1144" s="41"/>
      <c r="I1144" s="153"/>
    </row>
    <row r="1145" spans="1:9" ht="15.6" x14ac:dyDescent="0.3">
      <c r="A1145" s="90">
        <f>0.01+A1132</f>
        <v>13.02</v>
      </c>
      <c r="B1145" s="3" t="s">
        <v>416</v>
      </c>
      <c r="C1145" s="8"/>
      <c r="E1145" s="46"/>
      <c r="F1145" s="8"/>
      <c r="G1145" s="58"/>
      <c r="I1145" s="153"/>
    </row>
    <row r="1146" spans="1:9" x14ac:dyDescent="0.25">
      <c r="A1146" s="90"/>
      <c r="B1146" s="41" t="s">
        <v>417</v>
      </c>
      <c r="C1146" s="53">
        <v>1</v>
      </c>
      <c r="D1146" s="41" t="s">
        <v>81</v>
      </c>
      <c r="E1146" s="54"/>
      <c r="F1146" s="53">
        <f>E1146*C1146</f>
        <v>0</v>
      </c>
      <c r="G1146" s="58"/>
      <c r="I1146" s="53"/>
    </row>
    <row r="1147" spans="1:9" x14ac:dyDescent="0.25">
      <c r="A1147" s="90"/>
      <c r="B1147" s="41" t="s">
        <v>407</v>
      </c>
      <c r="C1147" s="53">
        <v>0.05</v>
      </c>
      <c r="D1147" s="41" t="s">
        <v>54</v>
      </c>
      <c r="E1147" s="54">
        <f>+$G$55</f>
        <v>9859.73</v>
      </c>
      <c r="F1147" s="53">
        <f>E1147*C1147</f>
        <v>492.98649999999998</v>
      </c>
      <c r="G1147" s="58"/>
      <c r="I1147" s="153"/>
    </row>
    <row r="1148" spans="1:9" x14ac:dyDescent="0.25">
      <c r="A1148" s="90"/>
      <c r="B1148" s="41" t="s">
        <v>408</v>
      </c>
      <c r="C1148" s="53">
        <v>0.13</v>
      </c>
      <c r="D1148" s="41" t="s">
        <v>409</v>
      </c>
      <c r="E1148" s="54">
        <f>+$E$1135</f>
        <v>1350</v>
      </c>
      <c r="F1148" s="53">
        <f>E1148*C1148</f>
        <v>175.5</v>
      </c>
      <c r="G1148" s="58"/>
      <c r="H1148" s="41"/>
      <c r="I1148" s="153"/>
    </row>
    <row r="1149" spans="1:9" x14ac:dyDescent="0.25">
      <c r="A1149" s="90"/>
      <c r="B1149" s="41" t="s">
        <v>410</v>
      </c>
      <c r="C1149" s="53">
        <v>8</v>
      </c>
      <c r="D1149" s="41" t="s">
        <v>82</v>
      </c>
      <c r="E1149" s="54">
        <f>+$G$95</f>
        <v>15.807777777777778</v>
      </c>
      <c r="F1149" s="53">
        <f>E1149*C1149</f>
        <v>126.46222222222222</v>
      </c>
      <c r="G1149" s="58"/>
      <c r="I1149" s="153"/>
    </row>
    <row r="1150" spans="1:9" x14ac:dyDescent="0.25">
      <c r="A1150" s="90"/>
      <c r="B1150" s="41" t="s">
        <v>411</v>
      </c>
      <c r="C1150" s="53">
        <v>0.05</v>
      </c>
      <c r="D1150" s="41" t="s">
        <v>82</v>
      </c>
      <c r="E1150" s="54">
        <f>+$E$1137</f>
        <v>80.850000000000009</v>
      </c>
      <c r="F1150" s="53">
        <f>E1150*C1150</f>
        <v>4.0425000000000004</v>
      </c>
      <c r="G1150" s="58"/>
      <c r="H1150" s="41"/>
      <c r="I1150" s="153"/>
    </row>
    <row r="1151" spans="1:9" x14ac:dyDescent="0.25">
      <c r="A1151" s="90"/>
      <c r="B1151" s="41" t="s">
        <v>67</v>
      </c>
      <c r="C1151" s="53">
        <v>10</v>
      </c>
      <c r="D1151" s="41" t="s">
        <v>34</v>
      </c>
      <c r="E1151" s="54">
        <f>SUM(F1146:F1150)</f>
        <v>798.99122222222218</v>
      </c>
      <c r="F1151" s="53">
        <f>E1151*C1151/100</f>
        <v>79.899122222222218</v>
      </c>
      <c r="G1151" s="58"/>
      <c r="I1151" s="53"/>
    </row>
    <row r="1152" spans="1:9" x14ac:dyDescent="0.25">
      <c r="A1152" s="16"/>
      <c r="B1152" s="41" t="s">
        <v>412</v>
      </c>
      <c r="C1152" s="53">
        <v>0.5</v>
      </c>
      <c r="D1152" s="41" t="s">
        <v>150</v>
      </c>
      <c r="E1152" s="54">
        <f>+$E$1139</f>
        <v>80.5</v>
      </c>
      <c r="F1152" s="53">
        <f>E1152*C1152</f>
        <v>40.25</v>
      </c>
      <c r="G1152" s="58"/>
      <c r="I1152" s="153"/>
    </row>
    <row r="1153" spans="1:9" x14ac:dyDescent="0.25">
      <c r="A1153" s="90"/>
      <c r="B1153" s="41" t="s">
        <v>413</v>
      </c>
      <c r="C1153" s="53">
        <v>1</v>
      </c>
      <c r="D1153" s="41" t="s">
        <v>81</v>
      </c>
      <c r="E1153" s="54">
        <f>+$E$1140</f>
        <v>690</v>
      </c>
      <c r="F1153" s="53">
        <f>E1153*C1153</f>
        <v>690</v>
      </c>
      <c r="G1153" s="58"/>
      <c r="I1153" s="153"/>
    </row>
    <row r="1154" spans="1:9" x14ac:dyDescent="0.25">
      <c r="A1154" s="90"/>
      <c r="B1154" s="41" t="s">
        <v>415</v>
      </c>
      <c r="C1154" s="53">
        <v>1</v>
      </c>
      <c r="D1154" s="41" t="s">
        <v>81</v>
      </c>
      <c r="E1154" s="54">
        <f>+$E$1142</f>
        <v>310.5</v>
      </c>
      <c r="F1154" s="53">
        <f>E1154*C1154</f>
        <v>310.5</v>
      </c>
      <c r="G1154" s="58"/>
      <c r="I1154" s="153"/>
    </row>
    <row r="1155" spans="1:9" ht="15.6" x14ac:dyDescent="0.3">
      <c r="A1155" s="90"/>
      <c r="B1155" s="41"/>
      <c r="C1155" s="53"/>
      <c r="D1155" s="41"/>
      <c r="E1155" s="54"/>
      <c r="F1155" s="53"/>
      <c r="G1155" s="59">
        <f>SUM(F1146:F1154)</f>
        <v>1919.6403444444445</v>
      </c>
      <c r="H1155" s="3" t="s">
        <v>141</v>
      </c>
      <c r="I1155" s="58"/>
    </row>
    <row r="1156" spans="1:9" x14ac:dyDescent="0.25">
      <c r="A1156" s="90"/>
      <c r="B1156" s="41"/>
      <c r="C1156" s="8"/>
      <c r="E1156" s="46"/>
      <c r="F1156" s="8"/>
      <c r="G1156" s="58"/>
      <c r="H1156" s="41"/>
      <c r="I1156" s="153"/>
    </row>
    <row r="1157" spans="1:9" ht="15.6" x14ac:dyDescent="0.3">
      <c r="A1157" s="90">
        <f>+A1145+0.01</f>
        <v>13.03</v>
      </c>
      <c r="B1157" s="3" t="s">
        <v>418</v>
      </c>
      <c r="C1157" s="8"/>
      <c r="E1157" s="46"/>
      <c r="F1157" s="8"/>
      <c r="G1157" s="58"/>
      <c r="I1157" s="153"/>
    </row>
    <row r="1158" spans="1:9" x14ac:dyDescent="0.25">
      <c r="A1158" s="90"/>
      <c r="B1158" s="41" t="s">
        <v>419</v>
      </c>
      <c r="C1158" s="53">
        <v>1</v>
      </c>
      <c r="D1158" s="41" t="s">
        <v>81</v>
      </c>
      <c r="E1158" s="54"/>
      <c r="F1158" s="53">
        <f>E1158*C1158</f>
        <v>0</v>
      </c>
      <c r="G1158" s="58"/>
      <c r="I1158" s="53"/>
    </row>
    <row r="1159" spans="1:9" x14ac:dyDescent="0.25">
      <c r="A1159" s="90"/>
      <c r="B1159" s="41" t="s">
        <v>407</v>
      </c>
      <c r="C1159" s="53">
        <v>0.05</v>
      </c>
      <c r="D1159" s="41" t="s">
        <v>54</v>
      </c>
      <c r="E1159" s="54">
        <f>+$E$1147</f>
        <v>9859.73</v>
      </c>
      <c r="F1159" s="53">
        <f>E1159*C1159</f>
        <v>492.98649999999998</v>
      </c>
      <c r="G1159" s="58"/>
      <c r="I1159" s="153"/>
    </row>
    <row r="1160" spans="1:9" x14ac:dyDescent="0.25">
      <c r="A1160" s="90"/>
      <c r="B1160" s="41" t="s">
        <v>408</v>
      </c>
      <c r="C1160" s="53">
        <v>0.13</v>
      </c>
      <c r="D1160" s="41" t="s">
        <v>409</v>
      </c>
      <c r="E1160" s="54">
        <f>+$E$1148</f>
        <v>1350</v>
      </c>
      <c r="F1160" s="53">
        <f>E1160*C1160</f>
        <v>175.5</v>
      </c>
      <c r="G1160" s="58"/>
      <c r="H1160" s="41"/>
      <c r="I1160" s="153"/>
    </row>
    <row r="1161" spans="1:9" x14ac:dyDescent="0.25">
      <c r="A1161" s="90"/>
      <c r="B1161" s="41" t="s">
        <v>410</v>
      </c>
      <c r="C1161" s="53">
        <v>8</v>
      </c>
      <c r="D1161" s="41" t="s">
        <v>82</v>
      </c>
      <c r="E1161" s="54">
        <f>+$G$95</f>
        <v>15.807777777777778</v>
      </c>
      <c r="F1161" s="53">
        <f>E1161*C1161</f>
        <v>126.46222222222222</v>
      </c>
      <c r="G1161" s="58"/>
      <c r="I1161" s="153"/>
    </row>
    <row r="1162" spans="1:9" x14ac:dyDescent="0.25">
      <c r="A1162" s="90"/>
      <c r="B1162" s="41" t="s">
        <v>411</v>
      </c>
      <c r="C1162" s="53">
        <v>0.05</v>
      </c>
      <c r="D1162" s="41" t="s">
        <v>82</v>
      </c>
      <c r="E1162" s="54">
        <f>+$E$1150</f>
        <v>80.850000000000009</v>
      </c>
      <c r="F1162" s="53">
        <f>E1162*C1162</f>
        <v>4.0425000000000004</v>
      </c>
      <c r="G1162" s="58"/>
      <c r="H1162" s="41"/>
      <c r="I1162" s="153"/>
    </row>
    <row r="1163" spans="1:9" x14ac:dyDescent="0.25">
      <c r="A1163" s="90"/>
      <c r="B1163" s="41" t="s">
        <v>67</v>
      </c>
      <c r="C1163" s="53">
        <v>10</v>
      </c>
      <c r="D1163" s="41" t="s">
        <v>34</v>
      </c>
      <c r="E1163" s="54">
        <f>SUM(F1158:F1162)</f>
        <v>798.99122222222218</v>
      </c>
      <c r="F1163" s="53">
        <f>E1163*C1163/100</f>
        <v>79.899122222222218</v>
      </c>
      <c r="G1163" s="58"/>
      <c r="I1163" s="53"/>
    </row>
    <row r="1164" spans="1:9" x14ac:dyDescent="0.25">
      <c r="A1164" s="16"/>
      <c r="B1164" s="41" t="s">
        <v>412</v>
      </c>
      <c r="C1164" s="53">
        <v>0.5</v>
      </c>
      <c r="D1164" s="41" t="s">
        <v>150</v>
      </c>
      <c r="E1164" s="54">
        <f>+$E$1152</f>
        <v>80.5</v>
      </c>
      <c r="F1164" s="53">
        <f>E1164*C1164</f>
        <v>40.25</v>
      </c>
      <c r="G1164" s="58"/>
      <c r="I1164" s="153"/>
    </row>
    <row r="1165" spans="1:9" x14ac:dyDescent="0.25">
      <c r="A1165" s="90"/>
      <c r="B1165" s="41" t="s">
        <v>413</v>
      </c>
      <c r="C1165" s="53">
        <v>1</v>
      </c>
      <c r="D1165" s="41" t="s">
        <v>81</v>
      </c>
      <c r="E1165" s="54">
        <f>+$E$1153</f>
        <v>690</v>
      </c>
      <c r="F1165" s="53">
        <f>E1165*C1165</f>
        <v>690</v>
      </c>
      <c r="G1165" s="58"/>
      <c r="I1165" s="153"/>
    </row>
    <row r="1166" spans="1:9" x14ac:dyDescent="0.25">
      <c r="A1166" s="90"/>
      <c r="B1166" s="41" t="s">
        <v>415</v>
      </c>
      <c r="C1166" s="53">
        <v>1</v>
      </c>
      <c r="D1166" s="41" t="s">
        <v>81</v>
      </c>
      <c r="E1166" s="54">
        <f>+$E$1154</f>
        <v>310.5</v>
      </c>
      <c r="F1166" s="53">
        <f>E1166*C1166</f>
        <v>310.5</v>
      </c>
      <c r="G1166" s="58"/>
      <c r="I1166" s="153"/>
    </row>
    <row r="1167" spans="1:9" ht="15.6" x14ac:dyDescent="0.3">
      <c r="A1167" s="90"/>
      <c r="B1167" s="41"/>
      <c r="C1167" s="53"/>
      <c r="D1167" s="41"/>
      <c r="E1167" s="54"/>
      <c r="F1167" s="53"/>
      <c r="G1167" s="59">
        <f>SUM(F1158:F1166)</f>
        <v>1919.6403444444445</v>
      </c>
      <c r="H1167" s="3" t="s">
        <v>141</v>
      </c>
      <c r="I1167" s="58"/>
    </row>
    <row r="1168" spans="1:9" x14ac:dyDescent="0.25">
      <c r="A1168" s="90"/>
      <c r="B1168" s="41"/>
      <c r="C1168" s="8"/>
      <c r="E1168" s="46"/>
      <c r="F1168" s="8"/>
      <c r="G1168" s="58"/>
      <c r="H1168" s="41"/>
      <c r="I1168" s="153"/>
    </row>
    <row r="1169" spans="1:9" ht="15.6" x14ac:dyDescent="0.3">
      <c r="A1169" s="90">
        <f>0.01+A1157</f>
        <v>13.04</v>
      </c>
      <c r="B1169" s="3" t="s">
        <v>420</v>
      </c>
      <c r="C1169" s="8"/>
      <c r="E1169" s="46"/>
      <c r="F1169" s="8"/>
      <c r="G1169" s="58"/>
      <c r="I1169" s="153"/>
    </row>
    <row r="1170" spans="1:9" x14ac:dyDescent="0.25">
      <c r="A1170" s="90"/>
      <c r="B1170" s="41" t="s">
        <v>421</v>
      </c>
      <c r="C1170" s="53">
        <v>1</v>
      </c>
      <c r="D1170" s="41" t="s">
        <v>81</v>
      </c>
      <c r="E1170" s="54"/>
      <c r="F1170" s="53">
        <f>E1170*C1170</f>
        <v>0</v>
      </c>
      <c r="G1170" s="58"/>
      <c r="I1170" s="53"/>
    </row>
    <row r="1171" spans="1:9" x14ac:dyDescent="0.25">
      <c r="A1171" s="90"/>
      <c r="B1171" s="41" t="s">
        <v>407</v>
      </c>
      <c r="C1171" s="53">
        <v>0.05</v>
      </c>
      <c r="D1171" s="41" t="s">
        <v>54</v>
      </c>
      <c r="E1171" s="54">
        <f>+$G$55</f>
        <v>9859.73</v>
      </c>
      <c r="F1171" s="53">
        <f>E1171*C1171</f>
        <v>492.98649999999998</v>
      </c>
      <c r="G1171" s="58"/>
      <c r="I1171" s="153"/>
    </row>
    <row r="1172" spans="1:9" x14ac:dyDescent="0.25">
      <c r="A1172" s="90"/>
      <c r="B1172" s="41" t="s">
        <v>408</v>
      </c>
      <c r="C1172" s="53">
        <v>0.13</v>
      </c>
      <c r="D1172" s="41" t="s">
        <v>409</v>
      </c>
      <c r="E1172" s="54">
        <f>+$E$1160</f>
        <v>1350</v>
      </c>
      <c r="F1172" s="53">
        <f>E1172*C1172</f>
        <v>175.5</v>
      </c>
      <c r="G1172" s="58"/>
      <c r="H1172" s="41"/>
      <c r="I1172" s="153"/>
    </row>
    <row r="1173" spans="1:9" x14ac:dyDescent="0.25">
      <c r="A1173" s="90"/>
      <c r="B1173" s="41" t="s">
        <v>410</v>
      </c>
      <c r="C1173" s="53">
        <v>8</v>
      </c>
      <c r="D1173" s="41" t="s">
        <v>82</v>
      </c>
      <c r="E1173" s="54">
        <f>+$G$95</f>
        <v>15.807777777777778</v>
      </c>
      <c r="F1173" s="53">
        <f>E1173*C1173</f>
        <v>126.46222222222222</v>
      </c>
      <c r="G1173" s="58"/>
      <c r="I1173" s="153"/>
    </row>
    <row r="1174" spans="1:9" x14ac:dyDescent="0.25">
      <c r="A1174" s="90"/>
      <c r="B1174" s="41" t="s">
        <v>411</v>
      </c>
      <c r="C1174" s="53">
        <v>0.05</v>
      </c>
      <c r="D1174" s="41" t="s">
        <v>82</v>
      </c>
      <c r="E1174" s="54">
        <f>+$E$1162</f>
        <v>80.850000000000009</v>
      </c>
      <c r="F1174" s="53">
        <f>E1174*C1174</f>
        <v>4.0425000000000004</v>
      </c>
      <c r="G1174" s="58"/>
      <c r="H1174" s="41"/>
      <c r="I1174" s="153"/>
    </row>
    <row r="1175" spans="1:9" x14ac:dyDescent="0.25">
      <c r="A1175" s="90"/>
      <c r="B1175" s="41" t="s">
        <v>67</v>
      </c>
      <c r="C1175" s="53">
        <v>10</v>
      </c>
      <c r="D1175" s="41" t="s">
        <v>34</v>
      </c>
      <c r="E1175" s="54">
        <f>SUM(F1170:F1174)</f>
        <v>798.99122222222218</v>
      </c>
      <c r="F1175" s="53">
        <f>E1175*C1175/100</f>
        <v>79.899122222222218</v>
      </c>
      <c r="G1175" s="58"/>
      <c r="I1175" s="53"/>
    </row>
    <row r="1176" spans="1:9" x14ac:dyDescent="0.25">
      <c r="A1176" s="16"/>
      <c r="B1176" s="41" t="s">
        <v>412</v>
      </c>
      <c r="C1176" s="53">
        <v>0.5</v>
      </c>
      <c r="D1176" s="41" t="s">
        <v>150</v>
      </c>
      <c r="E1176" s="54">
        <f>+$E$1164</f>
        <v>80.5</v>
      </c>
      <c r="F1176" s="53">
        <f>E1176*C1176</f>
        <v>40.25</v>
      </c>
      <c r="G1176" s="58"/>
      <c r="I1176" s="153"/>
    </row>
    <row r="1177" spans="1:9" x14ac:dyDescent="0.25">
      <c r="A1177" s="90"/>
      <c r="B1177" s="41" t="s">
        <v>413</v>
      </c>
      <c r="C1177" s="53">
        <v>1</v>
      </c>
      <c r="D1177" s="41" t="s">
        <v>81</v>
      </c>
      <c r="E1177" s="54">
        <f>+$E$1165</f>
        <v>690</v>
      </c>
      <c r="F1177" s="53">
        <f>E1177*C1177</f>
        <v>690</v>
      </c>
      <c r="G1177" s="58"/>
      <c r="I1177" s="153"/>
    </row>
    <row r="1178" spans="1:9" x14ac:dyDescent="0.25">
      <c r="A1178" s="90"/>
      <c r="B1178" s="41" t="s">
        <v>415</v>
      </c>
      <c r="C1178" s="53">
        <v>1</v>
      </c>
      <c r="D1178" s="41" t="s">
        <v>81</v>
      </c>
      <c r="E1178" s="54">
        <f>+$E$1166</f>
        <v>310.5</v>
      </c>
      <c r="F1178" s="53">
        <f>E1178*C1178</f>
        <v>310.5</v>
      </c>
      <c r="G1178" s="58"/>
      <c r="I1178" s="153"/>
    </row>
    <row r="1179" spans="1:9" ht="15.6" x14ac:dyDescent="0.3">
      <c r="A1179" s="90"/>
      <c r="B1179" s="41"/>
      <c r="C1179" s="53"/>
      <c r="D1179" s="41"/>
      <c r="E1179" s="54"/>
      <c r="F1179" s="53"/>
      <c r="G1179" s="59">
        <f>SUM(F1170:F1178)</f>
        <v>1919.6403444444445</v>
      </c>
      <c r="H1179" s="3" t="s">
        <v>141</v>
      </c>
      <c r="I1179" s="58"/>
    </row>
    <row r="1180" spans="1:9" x14ac:dyDescent="0.25">
      <c r="A1180" s="90"/>
      <c r="B1180" s="41"/>
      <c r="C1180" s="8"/>
      <c r="E1180" s="46"/>
      <c r="F1180" s="8"/>
      <c r="G1180" s="58"/>
      <c r="H1180" s="41"/>
      <c r="I1180" s="153"/>
    </row>
    <row r="1181" spans="1:9" ht="15.6" x14ac:dyDescent="0.3">
      <c r="A1181" s="90">
        <f>0.01+A1169</f>
        <v>13.049999999999999</v>
      </c>
      <c r="B1181" s="3" t="s">
        <v>422</v>
      </c>
      <c r="C1181" s="8"/>
      <c r="E1181" s="46"/>
      <c r="F1181" s="8"/>
      <c r="G1181" s="58"/>
      <c r="I1181" s="153"/>
    </row>
    <row r="1182" spans="1:9" x14ac:dyDescent="0.25">
      <c r="A1182" s="90"/>
      <c r="B1182" s="41" t="s">
        <v>423</v>
      </c>
      <c r="C1182" s="53">
        <v>1</v>
      </c>
      <c r="D1182" s="41" t="s">
        <v>81</v>
      </c>
      <c r="E1182" s="54">
        <f>+'[1]Lista de precios MAY25'!E85</f>
        <v>1791.2154166666667</v>
      </c>
      <c r="F1182" s="53">
        <f>E1182*C1182</f>
        <v>1791.2154166666667</v>
      </c>
      <c r="G1182" s="58"/>
      <c r="I1182" s="53"/>
    </row>
    <row r="1183" spans="1:9" x14ac:dyDescent="0.25">
      <c r="A1183" s="90"/>
      <c r="B1183" s="41" t="s">
        <v>407</v>
      </c>
      <c r="C1183" s="53">
        <v>0.05</v>
      </c>
      <c r="D1183" s="41" t="s">
        <v>54</v>
      </c>
      <c r="E1183" s="54">
        <f>+$G$55</f>
        <v>9859.73</v>
      </c>
      <c r="F1183" s="53">
        <f>E1183*C1183</f>
        <v>492.98649999999998</v>
      </c>
      <c r="G1183" s="58"/>
      <c r="H1183" s="2">
        <f>+E1182/60</f>
        <v>29.853590277777776</v>
      </c>
      <c r="I1183" s="153"/>
    </row>
    <row r="1184" spans="1:9" x14ac:dyDescent="0.25">
      <c r="A1184" s="90"/>
      <c r="B1184" s="41" t="s">
        <v>408</v>
      </c>
      <c r="C1184" s="53">
        <v>0.13</v>
      </c>
      <c r="D1184" s="41" t="s">
        <v>409</v>
      </c>
      <c r="E1184" s="54">
        <f>+$E$1172</f>
        <v>1350</v>
      </c>
      <c r="F1184" s="53">
        <f>E1184*C1184</f>
        <v>175.5</v>
      </c>
      <c r="G1184" s="58"/>
      <c r="H1184" s="41"/>
      <c r="I1184" s="153"/>
    </row>
    <row r="1185" spans="1:9" x14ac:dyDescent="0.25">
      <c r="A1185" s="90"/>
      <c r="B1185" s="41" t="s">
        <v>410</v>
      </c>
      <c r="C1185" s="53">
        <v>8</v>
      </c>
      <c r="D1185" s="41" t="s">
        <v>82</v>
      </c>
      <c r="E1185" s="54">
        <f>+$G$95</f>
        <v>15.807777777777778</v>
      </c>
      <c r="F1185" s="53">
        <f>E1185*C1185</f>
        <v>126.46222222222222</v>
      </c>
      <c r="G1185" s="58"/>
      <c r="I1185" s="153"/>
    </row>
    <row r="1186" spans="1:9" x14ac:dyDescent="0.25">
      <c r="A1186" s="90"/>
      <c r="B1186" s="41" t="s">
        <v>411</v>
      </c>
      <c r="C1186" s="53">
        <v>0.05</v>
      </c>
      <c r="D1186" s="41" t="s">
        <v>82</v>
      </c>
      <c r="E1186" s="54">
        <f>+$E$1174</f>
        <v>80.850000000000009</v>
      </c>
      <c r="F1186" s="53">
        <f>E1186*C1186</f>
        <v>4.0425000000000004</v>
      </c>
      <c r="G1186" s="58"/>
      <c r="H1186" s="41"/>
      <c r="I1186" s="153"/>
    </row>
    <row r="1187" spans="1:9" x14ac:dyDescent="0.25">
      <c r="A1187" s="90"/>
      <c r="B1187" s="41" t="s">
        <v>67</v>
      </c>
      <c r="C1187" s="53">
        <v>10</v>
      </c>
      <c r="D1187" s="41" t="s">
        <v>34</v>
      </c>
      <c r="E1187" s="54">
        <f>SUM(F1182:F1186)</f>
        <v>2590.2066388888893</v>
      </c>
      <c r="F1187" s="53">
        <f>E1187*C1187/100</f>
        <v>259.02066388888892</v>
      </c>
      <c r="G1187" s="58"/>
      <c r="I1187" s="53"/>
    </row>
    <row r="1188" spans="1:9" x14ac:dyDescent="0.25">
      <c r="A1188" s="16"/>
      <c r="B1188" s="41" t="s">
        <v>412</v>
      </c>
      <c r="C1188" s="53">
        <v>0.5</v>
      </c>
      <c r="D1188" s="41" t="s">
        <v>150</v>
      </c>
      <c r="E1188" s="54">
        <f>+$E$1176</f>
        <v>80.5</v>
      </c>
      <c r="F1188" s="53">
        <f>E1188*C1188</f>
        <v>40.25</v>
      </c>
      <c r="G1188" s="58"/>
      <c r="I1188" s="153"/>
    </row>
    <row r="1189" spans="1:9" x14ac:dyDescent="0.25">
      <c r="A1189" s="90"/>
      <c r="B1189" s="41" t="s">
        <v>413</v>
      </c>
      <c r="C1189" s="53">
        <v>1</v>
      </c>
      <c r="D1189" s="41" t="s">
        <v>81</v>
      </c>
      <c r="E1189" s="54">
        <f>+$E$1177</f>
        <v>690</v>
      </c>
      <c r="F1189" s="53">
        <f>E1189*C1189</f>
        <v>690</v>
      </c>
      <c r="G1189" s="58"/>
      <c r="I1189" s="153"/>
    </row>
    <row r="1190" spans="1:9" x14ac:dyDescent="0.25">
      <c r="A1190" s="90"/>
      <c r="B1190" s="41" t="s">
        <v>122</v>
      </c>
      <c r="C1190" s="53">
        <v>1</v>
      </c>
      <c r="D1190" s="41" t="s">
        <v>81</v>
      </c>
      <c r="E1190" s="54">
        <f>17500/250</f>
        <v>70</v>
      </c>
      <c r="F1190" s="53">
        <f>E1190*C1190</f>
        <v>70</v>
      </c>
      <c r="G1190" s="58"/>
      <c r="I1190" s="153"/>
    </row>
    <row r="1191" spans="1:9" x14ac:dyDescent="0.25">
      <c r="A1191" s="90"/>
      <c r="B1191" s="41" t="s">
        <v>415</v>
      </c>
      <c r="C1191" s="53">
        <v>1</v>
      </c>
      <c r="D1191" s="41" t="s">
        <v>81</v>
      </c>
      <c r="E1191" s="54">
        <f>+'[1]MO MAY25'!$N$417+'[1]MO MAY25'!N425</f>
        <v>701.5</v>
      </c>
      <c r="F1191" s="53">
        <f>E1191*C1191</f>
        <v>701.5</v>
      </c>
      <c r="G1191" s="58"/>
      <c r="I1191" s="153"/>
    </row>
    <row r="1192" spans="1:9" ht="15.6" x14ac:dyDescent="0.3">
      <c r="A1192" s="90"/>
      <c r="B1192" s="41"/>
      <c r="C1192" s="53"/>
      <c r="D1192" s="41"/>
      <c r="E1192" s="54"/>
      <c r="F1192" s="53"/>
      <c r="G1192" s="84">
        <f>SUM(F1182:F1191)</f>
        <v>4350.9773027777783</v>
      </c>
      <c r="H1192" s="83" t="s">
        <v>141</v>
      </c>
      <c r="I1192" s="58"/>
    </row>
    <row r="1193" spans="1:9" x14ac:dyDescent="0.25">
      <c r="A1193" s="90"/>
      <c r="B1193" s="41"/>
      <c r="C1193" s="8"/>
      <c r="E1193" s="46"/>
      <c r="F1193" s="8"/>
      <c r="G1193" s="58"/>
      <c r="H1193" s="41"/>
      <c r="I1193" s="153"/>
    </row>
    <row r="1194" spans="1:9" ht="15.6" x14ac:dyDescent="0.3">
      <c r="A1194" s="90">
        <f>+A1181+0.01</f>
        <v>13.059999999999999</v>
      </c>
      <c r="B1194" s="3" t="s">
        <v>424</v>
      </c>
      <c r="C1194" s="8"/>
      <c r="E1194" s="46"/>
      <c r="F1194" s="8"/>
      <c r="G1194" s="58"/>
      <c r="I1194" s="153"/>
    </row>
    <row r="1195" spans="1:9" x14ac:dyDescent="0.25">
      <c r="A1195" s="90"/>
      <c r="B1195" s="41" t="s">
        <v>424</v>
      </c>
      <c r="C1195" s="53">
        <v>1</v>
      </c>
      <c r="D1195" s="41" t="s">
        <v>81</v>
      </c>
      <c r="E1195" s="54"/>
      <c r="F1195" s="53">
        <f>E1195*C1195</f>
        <v>0</v>
      </c>
      <c r="G1195" s="58"/>
      <c r="H1195" s="40"/>
      <c r="I1195" s="153"/>
    </row>
    <row r="1196" spans="1:9" x14ac:dyDescent="0.25">
      <c r="A1196" s="90"/>
      <c r="B1196" s="41" t="s">
        <v>407</v>
      </c>
      <c r="C1196" s="53">
        <v>0.05</v>
      </c>
      <c r="D1196" s="41" t="s">
        <v>54</v>
      </c>
      <c r="E1196" s="54">
        <f>+$G$55</f>
        <v>9859.73</v>
      </c>
      <c r="F1196" s="53">
        <f>E1196*C1196</f>
        <v>492.98649999999998</v>
      </c>
      <c r="G1196" s="58"/>
      <c r="H1196" s="40"/>
      <c r="I1196" s="153"/>
    </row>
    <row r="1197" spans="1:9" x14ac:dyDescent="0.25">
      <c r="A1197" s="90"/>
      <c r="B1197" s="41" t="s">
        <v>408</v>
      </c>
      <c r="C1197" s="53">
        <v>0.13</v>
      </c>
      <c r="D1197" s="41" t="s">
        <v>409</v>
      </c>
      <c r="E1197" s="54">
        <f>+'[1]Lista de precios MAY25'!$E$138</f>
        <v>1350</v>
      </c>
      <c r="F1197" s="53">
        <f>E1197*C1197</f>
        <v>175.5</v>
      </c>
      <c r="G1197" s="58"/>
      <c r="H1197" s="40"/>
      <c r="I1197" s="153"/>
    </row>
    <row r="1198" spans="1:9" x14ac:dyDescent="0.25">
      <c r="A1198" s="90"/>
      <c r="B1198" s="41" t="s">
        <v>410</v>
      </c>
      <c r="C1198" s="53">
        <v>8</v>
      </c>
      <c r="D1198" s="41" t="s">
        <v>82</v>
      </c>
      <c r="E1198" s="54">
        <f>+$G$95</f>
        <v>15.807777777777778</v>
      </c>
      <c r="F1198" s="53">
        <f>E1198*C1198</f>
        <v>126.46222222222222</v>
      </c>
      <c r="G1198" s="58"/>
      <c r="H1198" s="40"/>
      <c r="I1198" s="153"/>
    </row>
    <row r="1199" spans="1:9" x14ac:dyDescent="0.25">
      <c r="A1199" s="90"/>
      <c r="B1199" s="41" t="s">
        <v>411</v>
      </c>
      <c r="C1199" s="53">
        <v>0.05</v>
      </c>
      <c r="D1199" s="41" t="s">
        <v>82</v>
      </c>
      <c r="E1199" s="54">
        <f>+'[1]Lista de precios MAY25'!$E$141</f>
        <v>80.850000000000009</v>
      </c>
      <c r="F1199" s="53">
        <f>E1199*C1199</f>
        <v>4.0425000000000004</v>
      </c>
      <c r="G1199" s="58"/>
      <c r="H1199" s="40"/>
      <c r="I1199" s="153"/>
    </row>
    <row r="1200" spans="1:9" x14ac:dyDescent="0.25">
      <c r="A1200" s="90"/>
      <c r="B1200" s="41" t="s">
        <v>67</v>
      </c>
      <c r="C1200" s="53">
        <v>10</v>
      </c>
      <c r="D1200" s="41" t="s">
        <v>34</v>
      </c>
      <c r="E1200" s="54">
        <f>SUM(F1195:F1199)</f>
        <v>798.99122222222218</v>
      </c>
      <c r="F1200" s="53">
        <f>E1200*C1200/100</f>
        <v>79.899122222222218</v>
      </c>
      <c r="G1200" s="58"/>
      <c r="H1200" s="40"/>
      <c r="I1200" s="53"/>
    </row>
    <row r="1201" spans="1:9" x14ac:dyDescent="0.25">
      <c r="A1201" s="16"/>
      <c r="B1201" s="41" t="s">
        <v>412</v>
      </c>
      <c r="C1201" s="53">
        <v>0.5</v>
      </c>
      <c r="D1201" s="41" t="s">
        <v>150</v>
      </c>
      <c r="E1201" s="168">
        <f>+'[1]MO MAY25'!$N$589</f>
        <v>80.5</v>
      </c>
      <c r="F1201" s="53">
        <f>E1201*C1201</f>
        <v>40.25</v>
      </c>
      <c r="G1201" s="58"/>
      <c r="H1201" s="40"/>
      <c r="I1201" s="153"/>
    </row>
    <row r="1202" spans="1:9" x14ac:dyDescent="0.25">
      <c r="A1202" s="90"/>
      <c r="B1202" s="41" t="s">
        <v>413</v>
      </c>
      <c r="C1202" s="53">
        <v>1</v>
      </c>
      <c r="D1202" s="41" t="s">
        <v>81</v>
      </c>
      <c r="E1202" s="54">
        <f>+'[1]MO MAY25'!$N$561</f>
        <v>690</v>
      </c>
      <c r="F1202" s="53">
        <f>E1202*C1202</f>
        <v>690</v>
      </c>
      <c r="G1202" s="58"/>
      <c r="H1202" s="40"/>
      <c r="I1202" s="153"/>
    </row>
    <row r="1203" spans="1:9" x14ac:dyDescent="0.25">
      <c r="A1203" s="90"/>
      <c r="B1203" s="41" t="s">
        <v>122</v>
      </c>
      <c r="C1203" s="53">
        <v>1</v>
      </c>
      <c r="D1203" s="41" t="s">
        <v>81</v>
      </c>
      <c r="E1203" s="54">
        <f>17500/250</f>
        <v>70</v>
      </c>
      <c r="F1203" s="53">
        <f>E1203*C1203</f>
        <v>70</v>
      </c>
      <c r="G1203" s="58"/>
      <c r="H1203" s="40"/>
      <c r="I1203" s="153"/>
    </row>
    <row r="1204" spans="1:9" x14ac:dyDescent="0.25">
      <c r="A1204" s="90"/>
      <c r="B1204" s="41" t="s">
        <v>415</v>
      </c>
      <c r="C1204" s="53">
        <v>1</v>
      </c>
      <c r="D1204" s="41" t="s">
        <v>81</v>
      </c>
      <c r="E1204" s="54">
        <f>+'[1]MO MAY25'!N417+'[1]MO MAY25'!N425</f>
        <v>701.5</v>
      </c>
      <c r="F1204" s="53">
        <f>E1204*C1204</f>
        <v>701.5</v>
      </c>
      <c r="G1204" s="58"/>
      <c r="H1204" s="40"/>
      <c r="I1204" s="153"/>
    </row>
    <row r="1205" spans="1:9" ht="15.6" x14ac:dyDescent="0.3">
      <c r="A1205" s="90"/>
      <c r="B1205" s="41"/>
      <c r="C1205" s="53"/>
      <c r="D1205" s="41"/>
      <c r="E1205" s="54"/>
      <c r="F1205" s="53"/>
      <c r="G1205" s="56">
        <f>SUM(F1195:F1204)</f>
        <v>2380.6403444444445</v>
      </c>
      <c r="H1205" s="57" t="s">
        <v>141</v>
      </c>
      <c r="I1205" s="58"/>
    </row>
    <row r="1206" spans="1:9" ht="15.6" x14ac:dyDescent="0.3">
      <c r="A1206" s="90"/>
      <c r="B1206" s="41"/>
      <c r="C1206" s="8"/>
      <c r="E1206" s="46"/>
      <c r="F1206" s="8"/>
      <c r="G1206" s="47">
        <f>SUM(F1195:F1204)+(F1202+F1204+F1201)*0.1</f>
        <v>2523.8153444444447</v>
      </c>
      <c r="H1206" s="57" t="s">
        <v>141</v>
      </c>
      <c r="I1206" s="153" t="s">
        <v>425</v>
      </c>
    </row>
    <row r="1207" spans="1:9" ht="15.6" x14ac:dyDescent="0.3">
      <c r="A1207" s="90">
        <f>0.01+A1194</f>
        <v>13.069999999999999</v>
      </c>
      <c r="B1207" s="3" t="s">
        <v>426</v>
      </c>
      <c r="C1207" s="8"/>
      <c r="E1207" s="46"/>
      <c r="F1207" s="8"/>
      <c r="G1207" s="58"/>
      <c r="I1207" s="153"/>
    </row>
    <row r="1208" spans="1:9" x14ac:dyDescent="0.25">
      <c r="A1208" s="90"/>
      <c r="B1208" s="41" t="s">
        <v>427</v>
      </c>
      <c r="C1208" s="53">
        <v>1</v>
      </c>
      <c r="D1208" s="41" t="s">
        <v>81</v>
      </c>
      <c r="E1208" s="54">
        <f>1010*1.18*1.1</f>
        <v>1310.98</v>
      </c>
      <c r="F1208" s="53">
        <f>E1208*C1208</f>
        <v>1310.98</v>
      </c>
      <c r="G1208" s="58"/>
      <c r="H1208" s="2">
        <f>+E1208/60</f>
        <v>21.849666666666668</v>
      </c>
      <c r="I1208" s="153"/>
    </row>
    <row r="1209" spans="1:9" x14ac:dyDescent="0.25">
      <c r="A1209" s="90"/>
      <c r="B1209" s="41" t="s">
        <v>407</v>
      </c>
      <c r="C1209" s="53">
        <v>0.05</v>
      </c>
      <c r="D1209" s="41" t="s">
        <v>54</v>
      </c>
      <c r="E1209" s="54">
        <f>+$G$55</f>
        <v>9859.73</v>
      </c>
      <c r="F1209" s="53">
        <f>E1209*C1209</f>
        <v>492.98649999999998</v>
      </c>
      <c r="G1209" s="58"/>
      <c r="I1209" s="153"/>
    </row>
    <row r="1210" spans="1:9" x14ac:dyDescent="0.25">
      <c r="A1210" s="90"/>
      <c r="B1210" s="41" t="s">
        <v>408</v>
      </c>
      <c r="C1210" s="53">
        <v>0.13</v>
      </c>
      <c r="D1210" s="41" t="s">
        <v>409</v>
      </c>
      <c r="E1210" s="54">
        <f>+'[1]Lista de precios MAY25'!$E$139</f>
        <v>556.95999999999992</v>
      </c>
      <c r="F1210" s="53">
        <f>E1210*C1210</f>
        <v>72.404799999999994</v>
      </c>
      <c r="G1210" s="58"/>
      <c r="H1210" s="41"/>
      <c r="I1210" s="153"/>
    </row>
    <row r="1211" spans="1:9" x14ac:dyDescent="0.25">
      <c r="A1211" s="90"/>
      <c r="B1211" s="41" t="s">
        <v>410</v>
      </c>
      <c r="C1211" s="53">
        <v>8</v>
      </c>
      <c r="D1211" s="41" t="s">
        <v>82</v>
      </c>
      <c r="E1211" s="54">
        <f>+$G$95</f>
        <v>15.807777777777778</v>
      </c>
      <c r="F1211" s="53">
        <f>E1211*C1211</f>
        <v>126.46222222222222</v>
      </c>
      <c r="G1211" s="58"/>
      <c r="I1211" s="153"/>
    </row>
    <row r="1212" spans="1:9" x14ac:dyDescent="0.25">
      <c r="A1212" s="90"/>
      <c r="B1212" s="41" t="s">
        <v>411</v>
      </c>
      <c r="C1212" s="53">
        <v>0.05</v>
      </c>
      <c r="D1212" s="41" t="s">
        <v>82</v>
      </c>
      <c r="E1212" s="54">
        <f>+'[1]Lista de precios MAY25'!$E$141</f>
        <v>80.850000000000009</v>
      </c>
      <c r="F1212" s="53">
        <f>E1212*C1212</f>
        <v>4.0425000000000004</v>
      </c>
      <c r="G1212" s="58"/>
      <c r="H1212" s="41"/>
      <c r="I1212" s="153"/>
    </row>
    <row r="1213" spans="1:9" x14ac:dyDescent="0.25">
      <c r="A1213" s="90"/>
      <c r="B1213" s="41" t="s">
        <v>67</v>
      </c>
      <c r="C1213" s="53">
        <v>10</v>
      </c>
      <c r="D1213" s="41" t="s">
        <v>34</v>
      </c>
      <c r="E1213" s="54">
        <f>SUM(F1208:F1212)</f>
        <v>2006.8760222222222</v>
      </c>
      <c r="F1213" s="53">
        <f>E1213*C1213/100</f>
        <v>200.68760222222224</v>
      </c>
      <c r="G1213" s="58"/>
      <c r="I1213" s="169">
        <f>1010*1.18*1.1/58</f>
        <v>22.603103448275863</v>
      </c>
    </row>
    <row r="1214" spans="1:9" x14ac:dyDescent="0.25">
      <c r="A1214" s="16"/>
      <c r="B1214" s="41" t="s">
        <v>412</v>
      </c>
      <c r="C1214" s="53">
        <v>0.5</v>
      </c>
      <c r="D1214" s="41" t="s">
        <v>150</v>
      </c>
      <c r="E1214" s="168">
        <f>+'[1]MO MAY25'!$N$589</f>
        <v>80.5</v>
      </c>
      <c r="F1214" s="53">
        <f>E1214*C1214</f>
        <v>40.25</v>
      </c>
      <c r="G1214" s="58"/>
      <c r="I1214" s="153"/>
    </row>
    <row r="1215" spans="1:9" x14ac:dyDescent="0.25">
      <c r="A1215" s="90"/>
      <c r="B1215" s="41" t="s">
        <v>413</v>
      </c>
      <c r="C1215" s="53">
        <v>1</v>
      </c>
      <c r="D1215" s="41" t="s">
        <v>81</v>
      </c>
      <c r="E1215" s="54">
        <f>+'[1]MO MAY25'!$N$561</f>
        <v>690</v>
      </c>
      <c r="F1215" s="53">
        <f>E1215*C1215</f>
        <v>690</v>
      </c>
      <c r="G1215" s="58"/>
      <c r="I1215" s="153"/>
    </row>
    <row r="1216" spans="1:9" x14ac:dyDescent="0.25">
      <c r="A1216" s="90"/>
      <c r="B1216" s="41" t="s">
        <v>122</v>
      </c>
      <c r="C1216" s="53">
        <v>1</v>
      </c>
      <c r="D1216" s="41" t="s">
        <v>81</v>
      </c>
      <c r="E1216" s="54">
        <v>70</v>
      </c>
      <c r="F1216" s="53">
        <f>E1216*C1216</f>
        <v>70</v>
      </c>
      <c r="G1216" s="58"/>
      <c r="I1216" s="153"/>
    </row>
    <row r="1217" spans="1:9" x14ac:dyDescent="0.25">
      <c r="A1217" s="90"/>
      <c r="B1217" s="41" t="s">
        <v>415</v>
      </c>
      <c r="C1217" s="53">
        <v>1</v>
      </c>
      <c r="D1217" s="41" t="s">
        <v>81</v>
      </c>
      <c r="E1217" s="54">
        <f>+'[1]MO MAY25'!N425</f>
        <v>310.5</v>
      </c>
      <c r="F1217" s="53">
        <f t="shared" ref="F1217:F1218" si="33">E1217*C1217</f>
        <v>310.5</v>
      </c>
      <c r="G1217" s="58"/>
      <c r="I1217" s="153"/>
    </row>
    <row r="1218" spans="1:9" x14ac:dyDescent="0.25">
      <c r="A1218" s="90"/>
      <c r="B1218" s="41" t="s">
        <v>428</v>
      </c>
      <c r="C1218" s="53">
        <v>1</v>
      </c>
      <c r="D1218" s="41" t="s">
        <v>81</v>
      </c>
      <c r="E1218" s="54">
        <f>+'[1]MO MAY25'!$N$417</f>
        <v>391</v>
      </c>
      <c r="F1218" s="53">
        <f t="shared" si="33"/>
        <v>391</v>
      </c>
      <c r="G1218" s="58"/>
      <c r="I1218" s="153"/>
    </row>
    <row r="1219" spans="1:9" ht="15.6" x14ac:dyDescent="0.3">
      <c r="A1219" s="90"/>
      <c r="B1219" s="41"/>
      <c r="C1219" s="53"/>
      <c r="D1219" s="41"/>
      <c r="E1219" s="54"/>
      <c r="F1219" s="53"/>
      <c r="G1219" s="114">
        <f>SUM(F1208:F1218)</f>
        <v>3709.3136244444445</v>
      </c>
      <c r="H1219" s="115" t="s">
        <v>141</v>
      </c>
      <c r="I1219" s="58"/>
    </row>
    <row r="1220" spans="1:9" ht="15.6" x14ac:dyDescent="0.3">
      <c r="A1220" s="90"/>
      <c r="C1220" s="8"/>
      <c r="E1220" s="46"/>
      <c r="F1220" s="8"/>
      <c r="G1220" s="159">
        <f>SUM(F1208:F1218)+(F1215+F1216+F1218)*0.1</f>
        <v>3824.4136244444444</v>
      </c>
      <c r="H1220" s="115" t="s">
        <v>141</v>
      </c>
      <c r="I1220" s="153"/>
    </row>
    <row r="1221" spans="1:9" ht="15.6" x14ac:dyDescent="0.3">
      <c r="A1221" s="90"/>
      <c r="B1221" s="3" t="s">
        <v>429</v>
      </c>
      <c r="C1221" s="8"/>
      <c r="E1221" s="46"/>
      <c r="F1221" s="8"/>
      <c r="G1221" s="58"/>
      <c r="I1221" s="153"/>
    </row>
    <row r="1222" spans="1:9" x14ac:dyDescent="0.25">
      <c r="A1222" s="90">
        <f>0.01+A1207</f>
        <v>13.079999999999998</v>
      </c>
      <c r="B1222" s="41" t="s">
        <v>430</v>
      </c>
      <c r="C1222" s="53">
        <v>1</v>
      </c>
      <c r="D1222" s="41" t="s">
        <v>81</v>
      </c>
      <c r="E1222" s="54"/>
      <c r="F1222" s="53">
        <f>E1222*C1222</f>
        <v>0</v>
      </c>
      <c r="G1222" s="58"/>
      <c r="I1222" s="153"/>
    </row>
    <row r="1223" spans="1:9" x14ac:dyDescent="0.25">
      <c r="A1223" s="90"/>
      <c r="B1223" s="41" t="s">
        <v>407</v>
      </c>
      <c r="C1223" s="53">
        <v>0.05</v>
      </c>
      <c r="D1223" s="41" t="s">
        <v>54</v>
      </c>
      <c r="E1223" s="54">
        <f>+$G$55</f>
        <v>9859.73</v>
      </c>
      <c r="F1223" s="53">
        <f>E1223*C1223</f>
        <v>492.98649999999998</v>
      </c>
      <c r="G1223" s="58"/>
      <c r="I1223" s="153"/>
    </row>
    <row r="1224" spans="1:9" x14ac:dyDescent="0.25">
      <c r="A1224" s="90"/>
      <c r="B1224" s="41" t="s">
        <v>408</v>
      </c>
      <c r="C1224" s="53">
        <v>0.13</v>
      </c>
      <c r="D1224" s="41" t="s">
        <v>409</v>
      </c>
      <c r="E1224" s="54">
        <f>+$E$1210</f>
        <v>556.95999999999992</v>
      </c>
      <c r="F1224" s="53">
        <f>E1224*C1224</f>
        <v>72.404799999999994</v>
      </c>
      <c r="G1224" s="58"/>
      <c r="H1224" s="41"/>
      <c r="I1224" s="153"/>
    </row>
    <row r="1225" spans="1:9" x14ac:dyDescent="0.25">
      <c r="A1225" s="90"/>
      <c r="B1225" s="41" t="s">
        <v>410</v>
      </c>
      <c r="C1225" s="53">
        <v>8</v>
      </c>
      <c r="D1225" s="41" t="s">
        <v>82</v>
      </c>
      <c r="E1225" s="54">
        <f>+$G$95</f>
        <v>15.807777777777778</v>
      </c>
      <c r="F1225" s="53">
        <f>E1225*C1225</f>
        <v>126.46222222222222</v>
      </c>
      <c r="G1225" s="58"/>
      <c r="I1225" s="153"/>
    </row>
    <row r="1226" spans="1:9" x14ac:dyDescent="0.25">
      <c r="A1226" s="90"/>
      <c r="B1226" s="41" t="s">
        <v>411</v>
      </c>
      <c r="C1226" s="53">
        <v>0.05</v>
      </c>
      <c r="D1226" s="41" t="s">
        <v>82</v>
      </c>
      <c r="E1226" s="54">
        <f>+$E$1212</f>
        <v>80.850000000000009</v>
      </c>
      <c r="F1226" s="53">
        <f>E1226*C1226</f>
        <v>4.0425000000000004</v>
      </c>
      <c r="G1226" s="58"/>
      <c r="H1226" s="41"/>
      <c r="I1226" s="153"/>
    </row>
    <row r="1227" spans="1:9" x14ac:dyDescent="0.25">
      <c r="A1227" s="90"/>
      <c r="B1227" s="41" t="s">
        <v>67</v>
      </c>
      <c r="C1227" s="53">
        <v>10</v>
      </c>
      <c r="D1227" s="41" t="s">
        <v>34</v>
      </c>
      <c r="E1227" s="54">
        <f>SUM(F1222:F1226)</f>
        <v>695.8960222222222</v>
      </c>
      <c r="F1227" s="53">
        <f>E1227*C1227/100</f>
        <v>69.589602222222226</v>
      </c>
      <c r="G1227" s="58"/>
      <c r="I1227" s="53"/>
    </row>
    <row r="1228" spans="1:9" x14ac:dyDescent="0.25">
      <c r="A1228" s="90"/>
      <c r="B1228" s="41" t="s">
        <v>412</v>
      </c>
      <c r="C1228" s="53">
        <v>0.5</v>
      </c>
      <c r="D1228" s="41" t="s">
        <v>150</v>
      </c>
      <c r="E1228" s="54">
        <f>+$E$1214</f>
        <v>80.5</v>
      </c>
      <c r="F1228" s="53">
        <f>E1228*C1228</f>
        <v>40.25</v>
      </c>
      <c r="G1228" s="58"/>
      <c r="I1228" s="153"/>
    </row>
    <row r="1229" spans="1:9" x14ac:dyDescent="0.25">
      <c r="A1229" s="16"/>
      <c r="B1229" s="41" t="s">
        <v>413</v>
      </c>
      <c r="C1229" s="53">
        <v>1</v>
      </c>
      <c r="D1229" s="41" t="s">
        <v>81</v>
      </c>
      <c r="E1229" s="54">
        <f>+$E$1215</f>
        <v>690</v>
      </c>
      <c r="F1229" s="53">
        <f>E1229*C1229</f>
        <v>690</v>
      </c>
      <c r="G1229" s="58"/>
      <c r="I1229" s="153"/>
    </row>
    <row r="1230" spans="1:9" x14ac:dyDescent="0.25">
      <c r="A1230" s="90"/>
      <c r="B1230" s="41" t="s">
        <v>415</v>
      </c>
      <c r="C1230" s="53">
        <v>1</v>
      </c>
      <c r="D1230" s="41" t="s">
        <v>81</v>
      </c>
      <c r="E1230" s="54">
        <f>+$E$1218</f>
        <v>391</v>
      </c>
      <c r="F1230" s="53">
        <f>E1230*C1230</f>
        <v>391</v>
      </c>
      <c r="G1230" s="58"/>
      <c r="I1230" s="153"/>
    </row>
    <row r="1231" spans="1:9" ht="15" customHeight="1" x14ac:dyDescent="0.3">
      <c r="A1231" s="90"/>
      <c r="C1231" s="8"/>
      <c r="E1231" s="46"/>
      <c r="F1231" s="8"/>
      <c r="G1231" s="59">
        <f>SUM(F1222:F1230)</f>
        <v>1886.7356244444445</v>
      </c>
      <c r="H1231" s="3" t="s">
        <v>141</v>
      </c>
      <c r="I1231" s="153"/>
    </row>
    <row r="1232" spans="1:9" ht="15" customHeight="1" x14ac:dyDescent="0.3">
      <c r="A1232" s="90"/>
      <c r="C1232" s="8"/>
      <c r="E1232" s="46"/>
      <c r="F1232" s="8"/>
      <c r="G1232" s="59"/>
      <c r="H1232" s="3"/>
      <c r="I1232" s="153"/>
    </row>
    <row r="1233" spans="1:8" ht="15.6" x14ac:dyDescent="0.3">
      <c r="A1233" s="90"/>
      <c r="B1233" s="3" t="s">
        <v>431</v>
      </c>
      <c r="C1233" s="8"/>
      <c r="E1233" s="46"/>
      <c r="F1233" s="8"/>
      <c r="G1233" s="58"/>
    </row>
    <row r="1234" spans="1:8" x14ac:dyDescent="0.25">
      <c r="A1234" s="90">
        <f>+A1222+0.01</f>
        <v>13.089999999999998</v>
      </c>
      <c r="B1234" s="41" t="s">
        <v>432</v>
      </c>
      <c r="C1234" s="53">
        <v>1</v>
      </c>
      <c r="D1234" s="41" t="s">
        <v>81</v>
      </c>
      <c r="E1234" s="54">
        <f>1811.19</f>
        <v>1811.19</v>
      </c>
      <c r="F1234" s="53">
        <f t="shared" ref="F1234:F1239" si="34">E1234*C1234</f>
        <v>1811.19</v>
      </c>
      <c r="G1234" s="58"/>
    </row>
    <row r="1235" spans="1:8" x14ac:dyDescent="0.25">
      <c r="A1235" s="90"/>
      <c r="B1235" s="41" t="s">
        <v>433</v>
      </c>
      <c r="C1235" s="53">
        <v>1</v>
      </c>
      <c r="D1235" s="41" t="s">
        <v>81</v>
      </c>
      <c r="E1235" s="54">
        <f>+G655</f>
        <v>1396.8325582137502</v>
      </c>
      <c r="F1235" s="53">
        <f t="shared" si="34"/>
        <v>1396.8325582137502</v>
      </c>
      <c r="G1235" s="58"/>
    </row>
    <row r="1236" spans="1:8" x14ac:dyDescent="0.25">
      <c r="A1236" s="90"/>
      <c r="B1236" s="41" t="s">
        <v>407</v>
      </c>
      <c r="C1236" s="53">
        <v>0.05</v>
      </c>
      <c r="D1236" s="41" t="s">
        <v>54</v>
      </c>
      <c r="E1236" s="54">
        <f>+$G$55</f>
        <v>9859.73</v>
      </c>
      <c r="F1236" s="53">
        <f t="shared" si="34"/>
        <v>492.98649999999998</v>
      </c>
      <c r="G1236" s="58"/>
    </row>
    <row r="1237" spans="1:8" x14ac:dyDescent="0.25">
      <c r="A1237" s="90"/>
      <c r="B1237" s="41" t="s">
        <v>408</v>
      </c>
      <c r="C1237" s="53">
        <v>0.13</v>
      </c>
      <c r="D1237" s="41" t="s">
        <v>409</v>
      </c>
      <c r="E1237" s="54">
        <f>+$E$1224</f>
        <v>556.95999999999992</v>
      </c>
      <c r="F1237" s="53">
        <f t="shared" si="34"/>
        <v>72.404799999999994</v>
      </c>
      <c r="G1237" s="58"/>
      <c r="H1237" s="41"/>
    </row>
    <row r="1238" spans="1:8" x14ac:dyDescent="0.25">
      <c r="A1238" s="90"/>
      <c r="B1238" s="41" t="s">
        <v>410</v>
      </c>
      <c r="C1238" s="53">
        <v>6.5</v>
      </c>
      <c r="D1238" s="41" t="s">
        <v>82</v>
      </c>
      <c r="E1238" s="54">
        <f>+$G$95</f>
        <v>15.807777777777778</v>
      </c>
      <c r="F1238" s="53">
        <f t="shared" si="34"/>
        <v>102.75055555555555</v>
      </c>
      <c r="G1238" s="58"/>
    </row>
    <row r="1239" spans="1:8" x14ac:dyDescent="0.25">
      <c r="A1239" s="90"/>
      <c r="B1239" s="41" t="s">
        <v>411</v>
      </c>
      <c r="C1239" s="53">
        <v>0.05</v>
      </c>
      <c r="D1239" s="41" t="s">
        <v>82</v>
      </c>
      <c r="E1239" s="54">
        <f>+$E$1226</f>
        <v>80.850000000000009</v>
      </c>
      <c r="F1239" s="53">
        <f t="shared" si="34"/>
        <v>4.0425000000000004</v>
      </c>
      <c r="G1239" s="58"/>
      <c r="H1239" s="41"/>
    </row>
    <row r="1240" spans="1:8" x14ac:dyDescent="0.25">
      <c r="A1240" s="90"/>
      <c r="B1240" s="41" t="s">
        <v>67</v>
      </c>
      <c r="C1240" s="53">
        <v>10</v>
      </c>
      <c r="D1240" s="41" t="s">
        <v>34</v>
      </c>
      <c r="E1240" s="54">
        <f>SUM(F1234:F1238)</f>
        <v>3876.1644137693052</v>
      </c>
      <c r="F1240" s="53">
        <f>E1240*C1240/100</f>
        <v>387.61644137693054</v>
      </c>
      <c r="G1240" s="58"/>
    </row>
    <row r="1241" spans="1:8" x14ac:dyDescent="0.25">
      <c r="A1241" s="90"/>
      <c r="B1241" s="41" t="s">
        <v>412</v>
      </c>
      <c r="C1241" s="53">
        <v>1</v>
      </c>
      <c r="D1241" s="41" t="s">
        <v>150</v>
      </c>
      <c r="E1241" s="54">
        <f>+$E$1228*4</f>
        <v>322</v>
      </c>
      <c r="F1241" s="53">
        <f>E1241*C1241</f>
        <v>322</v>
      </c>
      <c r="G1241" s="58"/>
    </row>
    <row r="1242" spans="1:8" x14ac:dyDescent="0.25">
      <c r="A1242" s="16"/>
      <c r="B1242" s="41" t="s">
        <v>434</v>
      </c>
      <c r="C1242" s="53">
        <v>1</v>
      </c>
      <c r="D1242" s="41" t="s">
        <v>81</v>
      </c>
      <c r="E1242" s="54">
        <f>+'[1]MO MAY25'!$N$562*1.15</f>
        <v>859.62499999999989</v>
      </c>
      <c r="F1242" s="53">
        <f>E1242*C1242</f>
        <v>859.62499999999989</v>
      </c>
      <c r="G1242" s="58"/>
    </row>
    <row r="1243" spans="1:8" x14ac:dyDescent="0.25">
      <c r="A1243" s="90"/>
      <c r="B1243" s="41" t="s">
        <v>435</v>
      </c>
      <c r="C1243" s="53">
        <v>1</v>
      </c>
      <c r="D1243" s="41" t="s">
        <v>81</v>
      </c>
      <c r="E1243" s="54"/>
      <c r="F1243" s="53">
        <f>E1243*C1243</f>
        <v>0</v>
      </c>
      <c r="G1243" s="58"/>
    </row>
    <row r="1244" spans="1:8" ht="15.6" x14ac:dyDescent="0.3">
      <c r="A1244" s="90"/>
      <c r="B1244" s="41"/>
      <c r="C1244" s="53"/>
      <c r="D1244" s="41"/>
      <c r="E1244" s="54"/>
      <c r="F1244" s="53"/>
      <c r="G1244" s="114">
        <f>SUM(F1234:F1243)</f>
        <v>5449.4483551462354</v>
      </c>
      <c r="H1244" s="115" t="s">
        <v>141</v>
      </c>
    </row>
    <row r="1245" spans="1:8" x14ac:dyDescent="0.25">
      <c r="A1245" s="90"/>
      <c r="B1245" s="41"/>
      <c r="C1245" s="53"/>
      <c r="D1245" s="41"/>
      <c r="E1245" s="54"/>
      <c r="F1245" s="53"/>
      <c r="G1245" s="58"/>
    </row>
    <row r="1246" spans="1:8" ht="15.6" x14ac:dyDescent="0.3">
      <c r="A1246" s="90"/>
      <c r="B1246" s="3" t="s">
        <v>436</v>
      </c>
      <c r="C1246" s="8"/>
      <c r="E1246" s="46"/>
      <c r="F1246" s="8"/>
      <c r="G1246" s="58"/>
    </row>
    <row r="1247" spans="1:8" x14ac:dyDescent="0.25">
      <c r="A1247" s="90">
        <f>0.01+A1234</f>
        <v>13.099999999999998</v>
      </c>
      <c r="B1247" s="41" t="s">
        <v>437</v>
      </c>
      <c r="C1247" s="53">
        <v>1</v>
      </c>
      <c r="D1247" s="41" t="s">
        <v>81</v>
      </c>
      <c r="E1247" s="54"/>
      <c r="F1247" s="53">
        <f>E1247*C1247</f>
        <v>0</v>
      </c>
      <c r="G1247" s="58"/>
    </row>
    <row r="1248" spans="1:8" x14ac:dyDescent="0.25">
      <c r="A1248" s="90"/>
      <c r="B1248" s="41" t="s">
        <v>407</v>
      </c>
      <c r="C1248" s="53">
        <v>0.05</v>
      </c>
      <c r="D1248" s="41" t="s">
        <v>54</v>
      </c>
      <c r="E1248" s="54">
        <f>+$G$55</f>
        <v>9859.73</v>
      </c>
      <c r="F1248" s="53">
        <f>E1248*C1248</f>
        <v>492.98649999999998</v>
      </c>
      <c r="G1248" s="58"/>
    </row>
    <row r="1249" spans="1:8" x14ac:dyDescent="0.25">
      <c r="A1249" s="90"/>
      <c r="B1249" s="41" t="s">
        <v>408</v>
      </c>
      <c r="C1249" s="53">
        <v>0.13</v>
      </c>
      <c r="D1249" s="41" t="s">
        <v>409</v>
      </c>
      <c r="E1249" s="54">
        <f>+$E$1237</f>
        <v>556.95999999999992</v>
      </c>
      <c r="F1249" s="53">
        <f>E1249*C1249</f>
        <v>72.404799999999994</v>
      </c>
      <c r="G1249" s="58"/>
      <c r="H1249" s="41"/>
    </row>
    <row r="1250" spans="1:8" x14ac:dyDescent="0.25">
      <c r="A1250" s="90"/>
      <c r="B1250" s="41" t="s">
        <v>410</v>
      </c>
      <c r="C1250" s="53">
        <v>6.5</v>
      </c>
      <c r="D1250" s="41" t="s">
        <v>82</v>
      </c>
      <c r="E1250" s="54">
        <f>+$G$95</f>
        <v>15.807777777777778</v>
      </c>
      <c r="F1250" s="53">
        <f>E1250*C1250</f>
        <v>102.75055555555555</v>
      </c>
      <c r="G1250" s="58"/>
    </row>
    <row r="1251" spans="1:8" x14ac:dyDescent="0.25">
      <c r="A1251" s="90"/>
      <c r="B1251" s="41" t="s">
        <v>411</v>
      </c>
      <c r="C1251" s="53">
        <v>0.05</v>
      </c>
      <c r="D1251" s="41" t="s">
        <v>82</v>
      </c>
      <c r="E1251" s="54">
        <f>+$E$1239</f>
        <v>80.850000000000009</v>
      </c>
      <c r="F1251" s="53">
        <f>E1251*C1251</f>
        <v>4.0425000000000004</v>
      </c>
      <c r="G1251" s="58"/>
      <c r="H1251" s="41"/>
    </row>
    <row r="1252" spans="1:8" x14ac:dyDescent="0.25">
      <c r="A1252" s="90"/>
      <c r="B1252" s="41" t="s">
        <v>67</v>
      </c>
      <c r="C1252" s="53">
        <v>10</v>
      </c>
      <c r="D1252" s="41" t="s">
        <v>34</v>
      </c>
      <c r="E1252" s="54">
        <f>SUM(F1247:F1250)</f>
        <v>668.14185555555559</v>
      </c>
      <c r="F1252" s="53">
        <f>E1252*C1252/100</f>
        <v>66.814185555555554</v>
      </c>
      <c r="G1252" s="58"/>
    </row>
    <row r="1253" spans="1:8" x14ac:dyDescent="0.25">
      <c r="A1253" s="90"/>
      <c r="B1253" s="41" t="s">
        <v>412</v>
      </c>
      <c r="C1253" s="53">
        <v>0.4</v>
      </c>
      <c r="D1253" s="41" t="s">
        <v>150</v>
      </c>
      <c r="E1253" s="54">
        <f>+$E$1241</f>
        <v>322</v>
      </c>
      <c r="F1253" s="53">
        <f>E1253*C1253</f>
        <v>128.80000000000001</v>
      </c>
      <c r="G1253" s="58"/>
    </row>
    <row r="1254" spans="1:8" x14ac:dyDescent="0.25">
      <c r="A1254" s="16"/>
      <c r="B1254" s="41" t="s">
        <v>434</v>
      </c>
      <c r="C1254" s="53">
        <v>1</v>
      </c>
      <c r="D1254" s="41" t="s">
        <v>81</v>
      </c>
      <c r="E1254" s="54">
        <f>+$E$1242</f>
        <v>859.62499999999989</v>
      </c>
      <c r="F1254" s="53">
        <f>E1254*C1254</f>
        <v>859.62499999999989</v>
      </c>
      <c r="G1254" s="58"/>
    </row>
    <row r="1255" spans="1:8" x14ac:dyDescent="0.25">
      <c r="A1255" s="90"/>
      <c r="B1255" s="41" t="s">
        <v>435</v>
      </c>
      <c r="C1255" s="53">
        <v>1</v>
      </c>
      <c r="D1255" s="41" t="s">
        <v>81</v>
      </c>
      <c r="E1255" s="54"/>
      <c r="F1255" s="53">
        <f>E1255*C1255</f>
        <v>0</v>
      </c>
      <c r="G1255" s="58"/>
    </row>
    <row r="1256" spans="1:8" ht="15.6" x14ac:dyDescent="0.3">
      <c r="A1256" s="90"/>
      <c r="B1256" s="41"/>
      <c r="C1256" s="53"/>
      <c r="D1256" s="41"/>
      <c r="E1256" s="54"/>
      <c r="F1256" s="53"/>
      <c r="G1256" s="59">
        <f>SUM(F1247:F1255)</f>
        <v>1727.4235411111113</v>
      </c>
      <c r="H1256" s="3" t="s">
        <v>141</v>
      </c>
    </row>
    <row r="1257" spans="1:8" x14ac:dyDescent="0.25">
      <c r="A1257" s="90"/>
      <c r="B1257" s="41"/>
      <c r="C1257" s="53"/>
      <c r="D1257" s="41"/>
      <c r="E1257" s="54"/>
      <c r="F1257" s="53"/>
      <c r="G1257" s="58"/>
    </row>
    <row r="1258" spans="1:8" ht="15.6" x14ac:dyDescent="0.3">
      <c r="A1258" s="90"/>
      <c r="B1258" s="3" t="s">
        <v>438</v>
      </c>
      <c r="C1258" s="8"/>
      <c r="E1258" s="46"/>
      <c r="F1258" s="8"/>
      <c r="G1258" s="58"/>
    </row>
    <row r="1259" spans="1:8" x14ac:dyDescent="0.25">
      <c r="A1259" s="90">
        <f>0.01+A1247</f>
        <v>13.109999999999998</v>
      </c>
      <c r="B1259" s="41" t="s">
        <v>439</v>
      </c>
      <c r="C1259" s="53">
        <v>1</v>
      </c>
      <c r="D1259" s="41" t="s">
        <v>81</v>
      </c>
      <c r="E1259" s="54"/>
      <c r="F1259" s="53">
        <f>E1259*C1259</f>
        <v>0</v>
      </c>
      <c r="G1259" s="58"/>
    </row>
    <row r="1260" spans="1:8" x14ac:dyDescent="0.25">
      <c r="A1260" s="90"/>
      <c r="B1260" s="41" t="s">
        <v>407</v>
      </c>
      <c r="C1260" s="53">
        <v>0.05</v>
      </c>
      <c r="D1260" s="41" t="s">
        <v>54</v>
      </c>
      <c r="E1260" s="54">
        <f>+$G$55</f>
        <v>9859.73</v>
      </c>
      <c r="F1260" s="53">
        <f>E1260*C1260</f>
        <v>492.98649999999998</v>
      </c>
      <c r="G1260" s="58"/>
    </row>
    <row r="1261" spans="1:8" x14ac:dyDescent="0.25">
      <c r="A1261" s="90"/>
      <c r="B1261" s="41" t="s">
        <v>408</v>
      </c>
      <c r="C1261" s="53">
        <v>0.13</v>
      </c>
      <c r="D1261" s="41" t="s">
        <v>409</v>
      </c>
      <c r="E1261" s="54">
        <f>+$E$1249</f>
        <v>556.95999999999992</v>
      </c>
      <c r="F1261" s="53">
        <f>E1261*C1261</f>
        <v>72.404799999999994</v>
      </c>
      <c r="G1261" s="58"/>
      <c r="H1261" s="41"/>
    </row>
    <row r="1262" spans="1:8" x14ac:dyDescent="0.25">
      <c r="A1262" s="90"/>
      <c r="B1262" s="41" t="s">
        <v>411</v>
      </c>
      <c r="C1262" s="53">
        <v>0.05</v>
      </c>
      <c r="D1262" s="41" t="s">
        <v>82</v>
      </c>
      <c r="E1262" s="54">
        <f>+$E$1251</f>
        <v>80.850000000000009</v>
      </c>
      <c r="F1262" s="53">
        <f>E1262*C1262</f>
        <v>4.0425000000000004</v>
      </c>
      <c r="G1262" s="58"/>
      <c r="H1262" s="41"/>
    </row>
    <row r="1263" spans="1:8" x14ac:dyDescent="0.25">
      <c r="A1263" s="90"/>
      <c r="B1263" s="41" t="s">
        <v>410</v>
      </c>
      <c r="C1263" s="53">
        <v>6.5</v>
      </c>
      <c r="D1263" s="41" t="s">
        <v>82</v>
      </c>
      <c r="E1263" s="54">
        <f>+$G$95</f>
        <v>15.807777777777778</v>
      </c>
      <c r="F1263" s="53">
        <f>E1263*C1263</f>
        <v>102.75055555555555</v>
      </c>
      <c r="G1263" s="58"/>
    </row>
    <row r="1264" spans="1:8" x14ac:dyDescent="0.25">
      <c r="A1264" s="90"/>
      <c r="B1264" s="41" t="s">
        <v>67</v>
      </c>
      <c r="C1264" s="53">
        <v>10</v>
      </c>
      <c r="D1264" s="41" t="s">
        <v>34</v>
      </c>
      <c r="E1264" s="54">
        <f>SUM(F1259:F1263)</f>
        <v>672.18435555555561</v>
      </c>
      <c r="F1264" s="53">
        <f>E1264*C1264/100</f>
        <v>67.218435555555558</v>
      </c>
      <c r="G1264" s="58"/>
    </row>
    <row r="1265" spans="1:9" x14ac:dyDescent="0.25">
      <c r="A1265" s="90"/>
      <c r="B1265" s="41" t="s">
        <v>412</v>
      </c>
      <c r="C1265" s="53">
        <v>0.4</v>
      </c>
      <c r="D1265" s="41" t="s">
        <v>150</v>
      </c>
      <c r="E1265" s="54">
        <f>+$E$1253</f>
        <v>322</v>
      </c>
      <c r="F1265" s="53">
        <f>E1265*C1265</f>
        <v>128.80000000000001</v>
      </c>
      <c r="G1265" s="58"/>
    </row>
    <row r="1266" spans="1:9" x14ac:dyDescent="0.25">
      <c r="A1266" s="16"/>
      <c r="B1266" s="41" t="s">
        <v>440</v>
      </c>
      <c r="C1266" s="53">
        <v>1</v>
      </c>
      <c r="D1266" s="41" t="s">
        <v>81</v>
      </c>
      <c r="E1266" s="54"/>
      <c r="F1266" s="53">
        <f>E1266*C1266</f>
        <v>0</v>
      </c>
      <c r="G1266" s="58"/>
    </row>
    <row r="1267" spans="1:9" x14ac:dyDescent="0.25">
      <c r="A1267" s="90"/>
      <c r="B1267" s="41" t="s">
        <v>435</v>
      </c>
      <c r="C1267" s="53">
        <v>1</v>
      </c>
      <c r="D1267" s="41" t="s">
        <v>81</v>
      </c>
      <c r="E1267" s="54"/>
      <c r="F1267" s="53">
        <f>E1267*C1267</f>
        <v>0</v>
      </c>
      <c r="G1267" s="58"/>
    </row>
    <row r="1268" spans="1:9" ht="15.6" x14ac:dyDescent="0.3">
      <c r="A1268" s="90"/>
      <c r="B1268" s="41"/>
      <c r="C1268" s="53"/>
      <c r="D1268" s="41"/>
      <c r="E1268" s="54"/>
      <c r="F1268" s="53"/>
      <c r="G1268" s="59">
        <f>SUM(F1259:F1267)</f>
        <v>868.20279111111108</v>
      </c>
      <c r="H1268" s="3" t="s">
        <v>141</v>
      </c>
    </row>
    <row r="1269" spans="1:9" ht="15.6" x14ac:dyDescent="0.3">
      <c r="A1269" s="90"/>
      <c r="B1269" s="41"/>
      <c r="C1269" s="53"/>
      <c r="D1269" s="41"/>
      <c r="E1269" s="54"/>
      <c r="F1269" s="53"/>
      <c r="G1269" s="59"/>
      <c r="H1269" s="21"/>
    </row>
    <row r="1270" spans="1:9" ht="15.6" x14ac:dyDescent="0.3">
      <c r="A1270" s="90"/>
      <c r="B1270" s="3" t="s">
        <v>441</v>
      </c>
      <c r="C1270" s="8"/>
      <c r="E1270" s="46"/>
      <c r="F1270" s="8"/>
      <c r="G1270" s="58"/>
    </row>
    <row r="1271" spans="1:9" x14ac:dyDescent="0.25">
      <c r="A1271" s="90">
        <f>0.01+A1259</f>
        <v>13.119999999999997</v>
      </c>
      <c r="B1271" s="41" t="s">
        <v>442</v>
      </c>
      <c r="C1271" s="53">
        <v>1</v>
      </c>
      <c r="D1271" s="41" t="s">
        <v>81</v>
      </c>
      <c r="E1271" s="54"/>
      <c r="F1271" s="53">
        <f>E1271*C1271</f>
        <v>0</v>
      </c>
      <c r="G1271" s="160" t="s">
        <v>443</v>
      </c>
    </row>
    <row r="1272" spans="1:9" x14ac:dyDescent="0.25">
      <c r="A1272" s="90"/>
      <c r="B1272" s="41" t="s">
        <v>407</v>
      </c>
      <c r="C1272" s="53">
        <v>0.05</v>
      </c>
      <c r="D1272" s="41" t="s">
        <v>54</v>
      </c>
      <c r="E1272" s="54">
        <f>+$G$55</f>
        <v>9859.73</v>
      </c>
      <c r="F1272" s="53">
        <f>E1272*C1272</f>
        <v>492.98649999999998</v>
      </c>
      <c r="G1272" s="58"/>
      <c r="I1272" s="40"/>
    </row>
    <row r="1273" spans="1:9" x14ac:dyDescent="0.25">
      <c r="A1273" s="90"/>
      <c r="B1273" s="41" t="s">
        <v>444</v>
      </c>
      <c r="C1273" s="53">
        <v>0.13</v>
      </c>
      <c r="D1273" s="41" t="s">
        <v>409</v>
      </c>
      <c r="E1273" s="54">
        <f>+'[1]Lista de precios MAY25'!$E$137</f>
        <v>3658.4719999999998</v>
      </c>
      <c r="F1273" s="53">
        <f>E1273*C1273</f>
        <v>475.60136</v>
      </c>
      <c r="G1273" s="58"/>
      <c r="H1273" s="41"/>
    </row>
    <row r="1274" spans="1:9" x14ac:dyDescent="0.25">
      <c r="A1274" s="90"/>
      <c r="B1274" s="41" t="s">
        <v>411</v>
      </c>
      <c r="C1274" s="53">
        <v>1</v>
      </c>
      <c r="D1274" s="41" t="s">
        <v>82</v>
      </c>
      <c r="E1274" s="54">
        <f>+$E$1262</f>
        <v>80.850000000000009</v>
      </c>
      <c r="F1274" s="53">
        <f>E1274*C1274</f>
        <v>80.850000000000009</v>
      </c>
      <c r="G1274" s="58"/>
      <c r="H1274" s="41"/>
    </row>
    <row r="1275" spans="1:9" x14ac:dyDescent="0.25">
      <c r="A1275" s="90"/>
      <c r="B1275" s="41" t="s">
        <v>445</v>
      </c>
      <c r="C1275" s="53">
        <f>+C1289</f>
        <v>0.125</v>
      </c>
      <c r="D1275" s="41" t="str">
        <f>+D1273</f>
        <v>Fd</v>
      </c>
      <c r="E1275" s="54">
        <f>+'[1]Lista de precios MAY25'!$E$144</f>
        <v>3135.0270679999999</v>
      </c>
      <c r="F1275" s="53">
        <f>E1275*C1275</f>
        <v>391.87838349999998</v>
      </c>
      <c r="G1275" s="58"/>
    </row>
    <row r="1276" spans="1:9" x14ac:dyDescent="0.25">
      <c r="A1276" s="90"/>
      <c r="B1276" s="41" t="s">
        <v>67</v>
      </c>
      <c r="C1276" s="53">
        <v>10</v>
      </c>
      <c r="D1276" s="41" t="s">
        <v>34</v>
      </c>
      <c r="E1276" s="54">
        <f>SUM(F1271:F1275)</f>
        <v>1441.3162434999999</v>
      </c>
      <c r="F1276" s="53">
        <f>E1276*C1276/100</f>
        <v>144.13162434999998</v>
      </c>
      <c r="G1276" s="58"/>
    </row>
    <row r="1277" spans="1:9" x14ac:dyDescent="0.25">
      <c r="A1277" s="90"/>
      <c r="B1277" s="41" t="s">
        <v>412</v>
      </c>
      <c r="C1277" s="53">
        <v>0.6</v>
      </c>
      <c r="D1277" s="41" t="s">
        <v>150</v>
      </c>
      <c r="E1277" s="54">
        <f>+$E$1265</f>
        <v>322</v>
      </c>
      <c r="F1277" s="53">
        <f>E1277*C1277</f>
        <v>193.2</v>
      </c>
      <c r="G1277" s="58"/>
    </row>
    <row r="1278" spans="1:9" x14ac:dyDescent="0.25">
      <c r="A1278" s="16"/>
      <c r="B1278" s="41" t="s">
        <v>446</v>
      </c>
      <c r="C1278" s="53">
        <v>1</v>
      </c>
      <c r="D1278" s="41" t="s">
        <v>81</v>
      </c>
      <c r="E1278" s="54"/>
      <c r="F1278" s="53">
        <f>E1278*C1278</f>
        <v>0</v>
      </c>
      <c r="G1278" s="58"/>
    </row>
    <row r="1279" spans="1:9" x14ac:dyDescent="0.25">
      <c r="A1279" s="90"/>
      <c r="B1279" s="41" t="s">
        <v>447</v>
      </c>
      <c r="C1279" s="53">
        <v>1</v>
      </c>
      <c r="D1279" s="41" t="s">
        <v>81</v>
      </c>
      <c r="E1279" s="54"/>
      <c r="F1279" s="53">
        <f>E1279*C1279</f>
        <v>0</v>
      </c>
      <c r="G1279" s="58"/>
    </row>
    <row r="1280" spans="1:9" x14ac:dyDescent="0.25">
      <c r="A1280" s="90"/>
      <c r="B1280" s="41" t="s">
        <v>448</v>
      </c>
      <c r="C1280" s="53">
        <f>+C1279</f>
        <v>1</v>
      </c>
      <c r="D1280" s="41" t="s">
        <v>81</v>
      </c>
      <c r="E1280" s="54"/>
      <c r="F1280" s="53">
        <f>E1280*C1280</f>
        <v>0</v>
      </c>
      <c r="G1280" s="58"/>
    </row>
    <row r="1281" spans="1:8" x14ac:dyDescent="0.25">
      <c r="A1281" s="90"/>
      <c r="B1281" s="41" t="s">
        <v>449</v>
      </c>
      <c r="C1281" s="53">
        <v>1</v>
      </c>
      <c r="D1281" s="41" t="s">
        <v>81</v>
      </c>
      <c r="E1281" s="54">
        <f>2.35*57*1.18</f>
        <v>158.06100000000001</v>
      </c>
      <c r="F1281" s="53">
        <f>E1281*C1281</f>
        <v>158.06100000000001</v>
      </c>
      <c r="G1281" s="117" t="s">
        <v>450</v>
      </c>
      <c r="H1281" s="123"/>
    </row>
    <row r="1282" spans="1:8" ht="15.6" x14ac:dyDescent="0.3">
      <c r="A1282" s="90"/>
      <c r="B1282" s="41"/>
      <c r="C1282" s="53"/>
      <c r="D1282" s="41"/>
      <c r="E1282" s="54"/>
      <c r="F1282" s="53"/>
      <c r="G1282" s="59">
        <f>SUM(F1271:F1281)</f>
        <v>1936.7088678499999</v>
      </c>
      <c r="H1282" s="3" t="s">
        <v>141</v>
      </c>
    </row>
    <row r="1283" spans="1:8" ht="15.6" x14ac:dyDescent="0.3">
      <c r="A1283" s="90"/>
      <c r="B1283" s="41"/>
      <c r="C1283" s="53"/>
      <c r="D1283" s="41"/>
      <c r="E1283" s="54"/>
      <c r="F1283" s="53"/>
      <c r="G1283" s="59"/>
      <c r="H1283" s="21"/>
    </row>
    <row r="1284" spans="1:8" ht="15.6" x14ac:dyDescent="0.3">
      <c r="A1284" s="90"/>
      <c r="B1284" s="3" t="s">
        <v>451</v>
      </c>
      <c r="C1284" s="8"/>
      <c r="E1284" s="46"/>
      <c r="F1284" s="8"/>
      <c r="G1284" s="58"/>
    </row>
    <row r="1285" spans="1:8" x14ac:dyDescent="0.25">
      <c r="A1285" s="90">
        <f>0.01+A1271</f>
        <v>13.129999999999997</v>
      </c>
      <c r="B1285" s="41" t="s">
        <v>452</v>
      </c>
      <c r="C1285" s="53">
        <v>1</v>
      </c>
      <c r="D1285" s="41" t="s">
        <v>81</v>
      </c>
      <c r="E1285" s="54"/>
      <c r="F1285" s="53">
        <f>E1285*C1285</f>
        <v>0</v>
      </c>
      <c r="G1285" s="58"/>
    </row>
    <row r="1286" spans="1:8" x14ac:dyDescent="0.25">
      <c r="A1286" s="90"/>
      <c r="B1286" s="41" t="s">
        <v>407</v>
      </c>
      <c r="C1286" s="53">
        <v>0.05</v>
      </c>
      <c r="D1286" s="41" t="s">
        <v>54</v>
      </c>
      <c r="E1286" s="54">
        <f>+$G$55</f>
        <v>9859.73</v>
      </c>
      <c r="F1286" s="53">
        <f>E1286*C1286</f>
        <v>492.98649999999998</v>
      </c>
      <c r="G1286" s="58"/>
    </row>
    <row r="1287" spans="1:8" x14ac:dyDescent="0.25">
      <c r="A1287" s="90"/>
      <c r="B1287" s="41" t="s">
        <v>453</v>
      </c>
      <c r="C1287" s="53">
        <v>0.13</v>
      </c>
      <c r="D1287" s="41" t="s">
        <v>409</v>
      </c>
      <c r="E1287" s="54">
        <f>+'[1]Lista de precios MAY25'!$E$137</f>
        <v>3658.4719999999998</v>
      </c>
      <c r="F1287" s="53">
        <f>E1287*C1287</f>
        <v>475.60136</v>
      </c>
      <c r="G1287" s="58"/>
      <c r="H1287" s="41"/>
    </row>
    <row r="1288" spans="1:8" x14ac:dyDescent="0.25">
      <c r="A1288" s="90"/>
      <c r="B1288" s="41" t="s">
        <v>411</v>
      </c>
      <c r="C1288" s="53">
        <v>1</v>
      </c>
      <c r="D1288" s="41" t="s">
        <v>82</v>
      </c>
      <c r="E1288" s="54">
        <f>+$E1274</f>
        <v>80.850000000000009</v>
      </c>
      <c r="F1288" s="53">
        <f>E1288*C1288</f>
        <v>80.850000000000009</v>
      </c>
      <c r="G1288" s="58"/>
      <c r="H1288" s="41"/>
    </row>
    <row r="1289" spans="1:8" x14ac:dyDescent="0.25">
      <c r="A1289" s="90"/>
      <c r="B1289" s="41" t="s">
        <v>410</v>
      </c>
      <c r="C1289" s="170">
        <f>1/8</f>
        <v>0.125</v>
      </c>
      <c r="D1289" s="41" t="s">
        <v>409</v>
      </c>
      <c r="E1289" s="54">
        <f>+$G$95</f>
        <v>15.807777777777778</v>
      </c>
      <c r="F1289" s="53">
        <f>E1289*C1289</f>
        <v>1.9759722222222222</v>
      </c>
      <c r="G1289" s="58"/>
    </row>
    <row r="1290" spans="1:8" x14ac:dyDescent="0.25">
      <c r="A1290" s="90"/>
      <c r="B1290" s="41" t="s">
        <v>67</v>
      </c>
      <c r="C1290" s="53">
        <v>10</v>
      </c>
      <c r="D1290" s="41" t="s">
        <v>34</v>
      </c>
      <c r="E1290" s="54">
        <f>SUM(F1285:F1289)</f>
        <v>1051.4138322222223</v>
      </c>
      <c r="F1290" s="53">
        <f>E1290*C1290/100</f>
        <v>105.14138322222223</v>
      </c>
      <c r="G1290" s="58"/>
    </row>
    <row r="1291" spans="1:8" x14ac:dyDescent="0.25">
      <c r="A1291" s="90"/>
      <c r="B1291" s="41" t="s">
        <v>412</v>
      </c>
      <c r="C1291" s="53">
        <v>0.6</v>
      </c>
      <c r="D1291" s="41" t="s">
        <v>150</v>
      </c>
      <c r="E1291" s="54">
        <f>+$E$1277</f>
        <v>322</v>
      </c>
      <c r="F1291" s="53">
        <f>E1291*C1291</f>
        <v>193.2</v>
      </c>
      <c r="G1291" s="58"/>
    </row>
    <row r="1292" spans="1:8" x14ac:dyDescent="0.25">
      <c r="A1292" s="16"/>
      <c r="B1292" s="41" t="s">
        <v>446</v>
      </c>
      <c r="C1292" s="53">
        <v>1</v>
      </c>
      <c r="D1292" s="41" t="s">
        <v>81</v>
      </c>
      <c r="E1292" s="54"/>
      <c r="F1292" s="53">
        <f>E1292*C1292</f>
        <v>0</v>
      </c>
      <c r="G1292" s="58"/>
    </row>
    <row r="1293" spans="1:8" x14ac:dyDescent="0.25">
      <c r="A1293" s="90"/>
      <c r="B1293" s="41" t="s">
        <v>435</v>
      </c>
      <c r="C1293" s="53">
        <v>1</v>
      </c>
      <c r="D1293" s="41" t="s">
        <v>81</v>
      </c>
      <c r="E1293" s="54"/>
      <c r="F1293" s="53">
        <f>E1293*C1293</f>
        <v>0</v>
      </c>
      <c r="G1293" s="58"/>
    </row>
    <row r="1294" spans="1:8" x14ac:dyDescent="0.25">
      <c r="A1294" s="90"/>
      <c r="B1294" s="41" t="s">
        <v>449</v>
      </c>
      <c r="C1294" s="53">
        <v>1</v>
      </c>
      <c r="D1294" s="41" t="s">
        <v>81</v>
      </c>
      <c r="E1294" s="54">
        <f>2.35*57*1.18</f>
        <v>158.06100000000001</v>
      </c>
      <c r="F1294" s="53">
        <f>E1294*C1294</f>
        <v>158.06100000000001</v>
      </c>
      <c r="G1294" s="58"/>
    </row>
    <row r="1295" spans="1:8" ht="15.6" x14ac:dyDescent="0.3">
      <c r="A1295" s="90"/>
      <c r="B1295" s="41"/>
      <c r="C1295" s="53"/>
      <c r="D1295" s="41"/>
      <c r="E1295" s="54"/>
      <c r="F1295" s="53"/>
      <c r="G1295" s="59">
        <f>SUM(F1285:F1294)</f>
        <v>1507.8162154444444</v>
      </c>
      <c r="H1295" s="3" t="s">
        <v>141</v>
      </c>
    </row>
    <row r="1296" spans="1:8" ht="15.6" x14ac:dyDescent="0.3">
      <c r="A1296" s="90"/>
      <c r="B1296" s="3" t="s">
        <v>454</v>
      </c>
      <c r="C1296" s="8"/>
      <c r="E1296" s="46"/>
      <c r="F1296" s="8"/>
      <c r="G1296" s="58"/>
      <c r="H1296" s="41"/>
    </row>
    <row r="1297" spans="1:8" x14ac:dyDescent="0.25">
      <c r="A1297" s="90">
        <f>+A1285+0.01</f>
        <v>13.139999999999997</v>
      </c>
      <c r="B1297" s="41" t="s">
        <v>455</v>
      </c>
      <c r="C1297" s="53">
        <v>1</v>
      </c>
      <c r="D1297" s="41" t="s">
        <v>81</v>
      </c>
      <c r="E1297" s="54">
        <f>25*60.35</f>
        <v>1508.75</v>
      </c>
      <c r="F1297" s="53">
        <f>E1297*C1297</f>
        <v>1508.75</v>
      </c>
      <c r="G1297" s="117" t="s">
        <v>456</v>
      </c>
      <c r="H1297" s="118"/>
    </row>
    <row r="1298" spans="1:8" x14ac:dyDescent="0.25">
      <c r="A1298" s="90"/>
      <c r="B1298" s="41" t="s">
        <v>457</v>
      </c>
      <c r="C1298" s="53">
        <v>0.05</v>
      </c>
      <c r="D1298" s="41" t="s">
        <v>54</v>
      </c>
      <c r="E1298" s="54">
        <f>+$G$55</f>
        <v>9859.73</v>
      </c>
      <c r="F1298" s="53">
        <f>E1298*C1298</f>
        <v>492.98649999999998</v>
      </c>
      <c r="G1298" s="58"/>
      <c r="H1298" s="41"/>
    </row>
    <row r="1299" spans="1:8" x14ac:dyDescent="0.25">
      <c r="A1299" s="90"/>
      <c r="B1299" s="41" t="s">
        <v>408</v>
      </c>
      <c r="C1299" s="53">
        <v>0.13</v>
      </c>
      <c r="D1299" s="41" t="s">
        <v>409</v>
      </c>
      <c r="E1299" s="54">
        <f>+'[1]Lista de precios MAY25'!$E$138</f>
        <v>1350</v>
      </c>
      <c r="F1299" s="53">
        <f>E1299*C1299</f>
        <v>175.5</v>
      </c>
      <c r="G1299" s="58"/>
      <c r="H1299" s="41"/>
    </row>
    <row r="1300" spans="1:8" x14ac:dyDescent="0.25">
      <c r="A1300" s="90"/>
      <c r="B1300" s="41" t="s">
        <v>458</v>
      </c>
      <c r="C1300" s="53">
        <f>1/15</f>
        <v>6.6666666666666666E-2</v>
      </c>
      <c r="D1300" s="41" t="s">
        <v>82</v>
      </c>
      <c r="E1300" s="54">
        <f>+'[1]Lista de precios MAY25'!$E$144</f>
        <v>3135.0270679999999</v>
      </c>
      <c r="F1300" s="53">
        <f>E1300*C1300</f>
        <v>209.00180453333331</v>
      </c>
      <c r="G1300" s="58"/>
      <c r="H1300" s="41"/>
    </row>
    <row r="1301" spans="1:8" x14ac:dyDescent="0.25">
      <c r="A1301" s="90"/>
      <c r="B1301" s="41" t="s">
        <v>411</v>
      </c>
      <c r="C1301" s="53">
        <v>0.05</v>
      </c>
      <c r="D1301" s="41" t="s">
        <v>82</v>
      </c>
      <c r="E1301" s="54">
        <f>+'[1]Lista de precios MAY25'!$E$141</f>
        <v>80.850000000000009</v>
      </c>
      <c r="F1301" s="53">
        <f>E1301*C1301</f>
        <v>4.0425000000000004</v>
      </c>
      <c r="G1301" s="58"/>
      <c r="H1301" s="41"/>
    </row>
    <row r="1302" spans="1:8" x14ac:dyDescent="0.25">
      <c r="A1302" s="90"/>
      <c r="B1302" s="41" t="s">
        <v>268</v>
      </c>
      <c r="C1302" s="53">
        <v>10</v>
      </c>
      <c r="D1302" s="41" t="s">
        <v>34</v>
      </c>
      <c r="E1302" s="46">
        <f>SUM(F1297:F1301)</f>
        <v>2390.2808045333331</v>
      </c>
      <c r="F1302" s="53">
        <f>E1302*C1302/100</f>
        <v>239.0280804533333</v>
      </c>
      <c r="G1302" s="58"/>
      <c r="H1302" s="41"/>
    </row>
    <row r="1303" spans="1:8" x14ac:dyDescent="0.25">
      <c r="A1303" s="90"/>
      <c r="B1303" s="41" t="s">
        <v>459</v>
      </c>
      <c r="C1303" s="53">
        <v>0.4</v>
      </c>
      <c r="D1303" s="41" t="s">
        <v>150</v>
      </c>
      <c r="E1303" s="54">
        <f>+'[1]MO MAY25'!$N$588*1.5</f>
        <v>60.375</v>
      </c>
      <c r="F1303" s="53">
        <f>E1303*C1303</f>
        <v>24.150000000000002</v>
      </c>
      <c r="G1303" s="58"/>
      <c r="H1303" s="41"/>
    </row>
    <row r="1304" spans="1:8" x14ac:dyDescent="0.25">
      <c r="A1304" s="90"/>
      <c r="B1304" s="41" t="s">
        <v>460</v>
      </c>
      <c r="C1304" s="53">
        <v>1</v>
      </c>
      <c r="D1304" s="41" t="s">
        <v>81</v>
      </c>
      <c r="E1304" s="54">
        <f>+'[1]MO MAY25'!$N$427</f>
        <v>155.25</v>
      </c>
      <c r="F1304" s="53">
        <f>E1304*C1304</f>
        <v>155.25</v>
      </c>
      <c r="G1304" s="58"/>
      <c r="H1304" s="41"/>
    </row>
    <row r="1305" spans="1:8" x14ac:dyDescent="0.25">
      <c r="A1305" s="90"/>
      <c r="B1305" s="41" t="s">
        <v>271</v>
      </c>
      <c r="C1305" s="53">
        <v>1</v>
      </c>
      <c r="D1305" s="41" t="s">
        <v>81</v>
      </c>
      <c r="E1305" s="54">
        <f>+'[1]MO MAY25'!$N$572</f>
        <v>632.5</v>
      </c>
      <c r="F1305" s="53">
        <f>E1305*C1305</f>
        <v>632.5</v>
      </c>
      <c r="G1305" s="58"/>
      <c r="H1305" s="41"/>
    </row>
    <row r="1306" spans="1:8" ht="15.6" x14ac:dyDescent="0.3">
      <c r="A1306" s="90"/>
      <c r="B1306" s="41"/>
      <c r="C1306" s="8"/>
      <c r="E1306" s="46"/>
      <c r="F1306" s="8"/>
      <c r="G1306" s="114">
        <f>SUM(F1297:F1305)</f>
        <v>3441.2088849866664</v>
      </c>
      <c r="H1306" s="115" t="s">
        <v>141</v>
      </c>
    </row>
    <row r="1307" spans="1:8" ht="15.6" x14ac:dyDescent="0.3">
      <c r="A1307" s="90"/>
      <c r="B1307" s="41"/>
      <c r="C1307" s="8"/>
      <c r="E1307" s="46"/>
      <c r="F1307" s="8"/>
      <c r="G1307" s="159">
        <f>SUM(F1297:F1305)+(F1303+F1304+F1305)*0.1</f>
        <v>3522.3988849866664</v>
      </c>
      <c r="H1307" s="115" t="s">
        <v>141</v>
      </c>
    </row>
    <row r="1308" spans="1:8" ht="15.6" x14ac:dyDescent="0.3">
      <c r="A1308" s="90"/>
      <c r="B1308" s="3" t="s">
        <v>461</v>
      </c>
      <c r="C1308" s="8"/>
      <c r="E1308" s="46"/>
      <c r="F1308" s="8"/>
      <c r="G1308" s="58"/>
      <c r="H1308" s="41"/>
    </row>
    <row r="1309" spans="1:8" x14ac:dyDescent="0.25">
      <c r="A1309" s="90">
        <f>+A1297+0.01</f>
        <v>13.149999999999997</v>
      </c>
      <c r="B1309" s="41" t="s">
        <v>462</v>
      </c>
      <c r="C1309" s="53">
        <v>1</v>
      </c>
      <c r="D1309" s="41" t="s">
        <v>81</v>
      </c>
      <c r="E1309" s="54"/>
      <c r="F1309" s="53">
        <f>E1309*C1309</f>
        <v>0</v>
      </c>
      <c r="G1309" s="58"/>
      <c r="H1309" s="41"/>
    </row>
    <row r="1310" spans="1:8" x14ac:dyDescent="0.25">
      <c r="A1310" s="90"/>
      <c r="B1310" s="41" t="s">
        <v>457</v>
      </c>
      <c r="C1310" s="53">
        <v>0.05</v>
      </c>
      <c r="D1310" s="41" t="s">
        <v>54</v>
      </c>
      <c r="E1310" s="54">
        <f>+$G$55</f>
        <v>9859.73</v>
      </c>
      <c r="F1310" s="53">
        <f>E1310*C1310</f>
        <v>492.98649999999998</v>
      </c>
      <c r="G1310" s="58"/>
      <c r="H1310" s="41"/>
    </row>
    <row r="1311" spans="1:8" x14ac:dyDescent="0.25">
      <c r="A1311" s="90"/>
      <c r="B1311" s="41" t="s">
        <v>408</v>
      </c>
      <c r="C1311" s="53">
        <v>0.13</v>
      </c>
      <c r="D1311" s="41" t="s">
        <v>409</v>
      </c>
      <c r="E1311" s="54">
        <f>+$E$1299</f>
        <v>1350</v>
      </c>
      <c r="F1311" s="53">
        <f>E1311*C1311</f>
        <v>175.5</v>
      </c>
      <c r="G1311" s="58"/>
      <c r="H1311" s="41"/>
    </row>
    <row r="1312" spans="1:8" x14ac:dyDescent="0.25">
      <c r="A1312" s="90"/>
      <c r="B1312" s="41" t="s">
        <v>458</v>
      </c>
      <c r="C1312" s="53">
        <f>1/15</f>
        <v>6.6666666666666666E-2</v>
      </c>
      <c r="D1312" s="41" t="s">
        <v>82</v>
      </c>
      <c r="E1312" s="54">
        <f>+$E$1300</f>
        <v>3135.0270679999999</v>
      </c>
      <c r="F1312" s="53">
        <f>E1312*C1312</f>
        <v>209.00180453333331</v>
      </c>
      <c r="G1312" s="58"/>
      <c r="H1312" s="41"/>
    </row>
    <row r="1313" spans="1:8" x14ac:dyDescent="0.25">
      <c r="A1313" s="90"/>
      <c r="B1313" s="41" t="s">
        <v>411</v>
      </c>
      <c r="C1313" s="53">
        <v>0.05</v>
      </c>
      <c r="D1313" s="41" t="s">
        <v>82</v>
      </c>
      <c r="E1313" s="54">
        <f>+$E$1301</f>
        <v>80.850000000000009</v>
      </c>
      <c r="F1313" s="53">
        <f>E1313*C1313</f>
        <v>4.0425000000000004</v>
      </c>
      <c r="G1313" s="58"/>
      <c r="H1313" s="41"/>
    </row>
    <row r="1314" spans="1:8" x14ac:dyDescent="0.25">
      <c r="A1314" s="90"/>
      <c r="B1314" s="41" t="s">
        <v>268</v>
      </c>
      <c r="C1314" s="53">
        <v>7</v>
      </c>
      <c r="D1314" s="41" t="s">
        <v>34</v>
      </c>
      <c r="E1314" s="46">
        <f>SUM(F1309:F1313)</f>
        <v>881.53080453333337</v>
      </c>
      <c r="F1314" s="53">
        <f>E1314*C1314/100</f>
        <v>61.707156317333336</v>
      </c>
      <c r="G1314" s="58"/>
      <c r="H1314" s="41"/>
    </row>
    <row r="1315" spans="1:8" x14ac:dyDescent="0.25">
      <c r="A1315" s="90"/>
      <c r="B1315" s="41" t="s">
        <v>459</v>
      </c>
      <c r="C1315" s="53">
        <v>0.4</v>
      </c>
      <c r="D1315" s="41" t="s">
        <v>150</v>
      </c>
      <c r="E1315" s="54">
        <f>+'[1]MO MAY25'!$N$588*1.5</f>
        <v>60.375</v>
      </c>
      <c r="F1315" s="53">
        <f>E1315*C1315</f>
        <v>24.150000000000002</v>
      </c>
      <c r="G1315" s="58"/>
      <c r="H1315" s="41"/>
    </row>
    <row r="1316" spans="1:8" x14ac:dyDescent="0.25">
      <c r="A1316" s="90"/>
      <c r="B1316" s="41" t="s">
        <v>460</v>
      </c>
      <c r="C1316" s="53">
        <v>1</v>
      </c>
      <c r="D1316" s="41" t="s">
        <v>81</v>
      </c>
      <c r="E1316" s="54"/>
      <c r="F1316" s="53">
        <f>E1316*C1316</f>
        <v>0</v>
      </c>
      <c r="G1316" s="58"/>
      <c r="H1316" s="41"/>
    </row>
    <row r="1317" spans="1:8" x14ac:dyDescent="0.25">
      <c r="A1317" s="90"/>
      <c r="B1317" s="41" t="s">
        <v>271</v>
      </c>
      <c r="C1317" s="53">
        <v>1</v>
      </c>
      <c r="D1317" s="41" t="s">
        <v>81</v>
      </c>
      <c r="E1317" s="54"/>
      <c r="F1317" s="53">
        <f>E1317*C1317</f>
        <v>0</v>
      </c>
      <c r="G1317" s="58"/>
      <c r="H1317" s="41"/>
    </row>
    <row r="1318" spans="1:8" ht="15.6" x14ac:dyDescent="0.3">
      <c r="A1318" s="90"/>
      <c r="B1318" s="41"/>
      <c r="C1318" s="8"/>
      <c r="E1318" s="46"/>
      <c r="F1318" s="8"/>
      <c r="G1318" s="59">
        <f>SUM(F1309:F1317)</f>
        <v>967.38796085066667</v>
      </c>
      <c r="H1318" s="3" t="s">
        <v>141</v>
      </c>
    </row>
    <row r="1319" spans="1:8" x14ac:dyDescent="0.25">
      <c r="A1319" s="90"/>
      <c r="B1319" s="41"/>
      <c r="C1319" s="8"/>
      <c r="E1319" s="46"/>
      <c r="F1319" s="8"/>
      <c r="G1319" s="58"/>
      <c r="H1319" s="41"/>
    </row>
    <row r="1320" spans="1:8" ht="15.6" x14ac:dyDescent="0.3">
      <c r="A1320" s="90"/>
      <c r="B1320" s="3" t="s">
        <v>463</v>
      </c>
      <c r="C1320" s="8"/>
      <c r="E1320" s="46"/>
      <c r="F1320" s="8"/>
      <c r="G1320" s="58"/>
      <c r="H1320" s="41"/>
    </row>
    <row r="1321" spans="1:8" x14ac:dyDescent="0.25">
      <c r="A1321" s="90">
        <f>+A1309+0.01</f>
        <v>13.159999999999997</v>
      </c>
      <c r="B1321" s="41" t="s">
        <v>462</v>
      </c>
      <c r="C1321" s="53">
        <v>1</v>
      </c>
      <c r="D1321" s="41" t="s">
        <v>81</v>
      </c>
      <c r="E1321" s="54">
        <f>35*57.5</f>
        <v>2012.5</v>
      </c>
      <c r="F1321" s="53">
        <f>E1321*C1321</f>
        <v>2012.5</v>
      </c>
      <c r="G1321" s="58" t="s">
        <v>464</v>
      </c>
      <c r="H1321" s="41"/>
    </row>
    <row r="1322" spans="1:8" x14ac:dyDescent="0.25">
      <c r="A1322" s="90"/>
      <c r="B1322" s="41" t="s">
        <v>457</v>
      </c>
      <c r="C1322" s="53">
        <v>0.05</v>
      </c>
      <c r="D1322" s="41" t="s">
        <v>54</v>
      </c>
      <c r="E1322" s="54">
        <f>+$G$55</f>
        <v>9859.73</v>
      </c>
      <c r="F1322" s="53">
        <f>E1322*C1322</f>
        <v>492.98649999999998</v>
      </c>
      <c r="G1322" s="58"/>
      <c r="H1322" s="41"/>
    </row>
    <row r="1323" spans="1:8" x14ac:dyDescent="0.25">
      <c r="A1323" s="90"/>
      <c r="B1323" s="41" t="s">
        <v>408</v>
      </c>
      <c r="C1323" s="53">
        <v>0.13</v>
      </c>
      <c r="D1323" s="41" t="s">
        <v>409</v>
      </c>
      <c r="E1323" s="54">
        <f>+$E$1311</f>
        <v>1350</v>
      </c>
      <c r="F1323" s="53">
        <f>E1323*C1323</f>
        <v>175.5</v>
      </c>
      <c r="G1323" s="58"/>
      <c r="H1323" s="41"/>
    </row>
    <row r="1324" spans="1:8" x14ac:dyDescent="0.25">
      <c r="A1324" s="90"/>
      <c r="B1324" s="41" t="s">
        <v>458</v>
      </c>
      <c r="C1324" s="53">
        <f>1/15</f>
        <v>6.6666666666666666E-2</v>
      </c>
      <c r="D1324" s="41" t="s">
        <v>82</v>
      </c>
      <c r="E1324" s="54">
        <f>+$E$1312</f>
        <v>3135.0270679999999</v>
      </c>
      <c r="F1324" s="53">
        <f>E1324*C1324</f>
        <v>209.00180453333331</v>
      </c>
      <c r="G1324" s="58"/>
      <c r="H1324" s="41"/>
    </row>
    <row r="1325" spans="1:8" x14ac:dyDescent="0.25">
      <c r="A1325" s="90"/>
      <c r="B1325" s="41" t="s">
        <v>411</v>
      </c>
      <c r="C1325" s="53">
        <v>0.05</v>
      </c>
      <c r="D1325" s="41" t="s">
        <v>82</v>
      </c>
      <c r="E1325" s="54">
        <f>+$E$1313</f>
        <v>80.850000000000009</v>
      </c>
      <c r="F1325" s="53">
        <f>E1325*C1325</f>
        <v>4.0425000000000004</v>
      </c>
      <c r="G1325" s="58"/>
      <c r="H1325" s="41"/>
    </row>
    <row r="1326" spans="1:8" x14ac:dyDescent="0.25">
      <c r="A1326" s="90"/>
      <c r="B1326" s="41" t="s">
        <v>268</v>
      </c>
      <c r="C1326" s="53">
        <v>10</v>
      </c>
      <c r="D1326" s="41" t="s">
        <v>34</v>
      </c>
      <c r="E1326" s="46">
        <f>SUM(F1321:F1325)</f>
        <v>2894.0308045333331</v>
      </c>
      <c r="F1326" s="53">
        <f>E1326*C1326/100</f>
        <v>289.4030804533333</v>
      </c>
      <c r="G1326" s="58"/>
      <c r="H1326" s="41"/>
    </row>
    <row r="1327" spans="1:8" x14ac:dyDescent="0.25">
      <c r="A1327" s="90"/>
      <c r="B1327" s="41" t="s">
        <v>459</v>
      </c>
      <c r="C1327" s="53">
        <v>0.4</v>
      </c>
      <c r="D1327" s="41" t="s">
        <v>150</v>
      </c>
      <c r="E1327" s="54">
        <f>+'[1]MO MAY25'!$N$583</f>
        <v>230</v>
      </c>
      <c r="F1327" s="53">
        <f>E1327*C1327</f>
        <v>92</v>
      </c>
      <c r="G1327" s="58"/>
      <c r="H1327" s="41"/>
    </row>
    <row r="1328" spans="1:8" x14ac:dyDescent="0.25">
      <c r="A1328" s="90"/>
      <c r="B1328" s="41" t="s">
        <v>460</v>
      </c>
      <c r="C1328" s="53">
        <v>1</v>
      </c>
      <c r="D1328" s="41" t="s">
        <v>81</v>
      </c>
      <c r="E1328" s="54">
        <f>+'[1]MO MAY25'!$N$427</f>
        <v>155.25</v>
      </c>
      <c r="F1328" s="53">
        <f>E1328*C1328</f>
        <v>155.25</v>
      </c>
      <c r="G1328" s="58"/>
      <c r="H1328" s="41"/>
    </row>
    <row r="1329" spans="1:8" x14ac:dyDescent="0.25">
      <c r="A1329" s="90"/>
      <c r="B1329" s="41" t="s">
        <v>271</v>
      </c>
      <c r="C1329" s="53">
        <v>1</v>
      </c>
      <c r="D1329" s="41" t="s">
        <v>81</v>
      </c>
      <c r="E1329" s="54">
        <f>+'[1]MO MAY25'!$N$572</f>
        <v>632.5</v>
      </c>
      <c r="F1329" s="53">
        <f>E1329*C1329</f>
        <v>632.5</v>
      </c>
      <c r="G1329" s="58"/>
      <c r="H1329" s="41"/>
    </row>
    <row r="1330" spans="1:8" ht="15.6" x14ac:dyDescent="0.3">
      <c r="A1330" s="90"/>
      <c r="B1330" s="41"/>
      <c r="C1330" s="8"/>
      <c r="E1330" s="46"/>
      <c r="F1330" s="8"/>
      <c r="G1330" s="47">
        <f>SUM(F1321:F1329)</f>
        <v>4063.1838849866663</v>
      </c>
      <c r="H1330" s="57" t="s">
        <v>141</v>
      </c>
    </row>
    <row r="1331" spans="1:8" ht="15.6" x14ac:dyDescent="0.3">
      <c r="A1331" s="90"/>
      <c r="B1331" s="41"/>
      <c r="C1331" s="8"/>
      <c r="E1331" s="46"/>
      <c r="F1331" s="8"/>
      <c r="G1331" s="47">
        <f>SUM(F1321:F1329)+(F1327+F1328+F1329)*0.1</f>
        <v>4151.1588849866666</v>
      </c>
      <c r="H1331" s="57" t="s">
        <v>141</v>
      </c>
    </row>
    <row r="1332" spans="1:8" ht="15.6" x14ac:dyDescent="0.3">
      <c r="A1332" s="90"/>
      <c r="B1332" s="3" t="s">
        <v>465</v>
      </c>
      <c r="C1332" s="8"/>
      <c r="E1332" s="46"/>
      <c r="F1332" s="8"/>
      <c r="G1332" s="58"/>
      <c r="H1332" s="41"/>
    </row>
    <row r="1333" spans="1:8" x14ac:dyDescent="0.25">
      <c r="A1333" s="90">
        <f>+A1321+0.01</f>
        <v>13.169999999999996</v>
      </c>
      <c r="B1333" s="41" t="s">
        <v>462</v>
      </c>
      <c r="C1333" s="53">
        <v>1</v>
      </c>
      <c r="D1333" s="41" t="s">
        <v>81</v>
      </c>
      <c r="E1333" s="54"/>
      <c r="F1333" s="53">
        <f>E1333*C1333</f>
        <v>0</v>
      </c>
      <c r="G1333" s="58"/>
      <c r="H1333" s="41"/>
    </row>
    <row r="1334" spans="1:8" x14ac:dyDescent="0.25">
      <c r="A1334" s="90"/>
      <c r="B1334" s="41" t="s">
        <v>457</v>
      </c>
      <c r="C1334" s="53">
        <v>0.05</v>
      </c>
      <c r="D1334" s="41" t="s">
        <v>54</v>
      </c>
      <c r="E1334" s="54">
        <f>+$G$55</f>
        <v>9859.73</v>
      </c>
      <c r="F1334" s="53">
        <f>E1334*C1334</f>
        <v>492.98649999999998</v>
      </c>
      <c r="G1334" s="58"/>
      <c r="H1334" s="41"/>
    </row>
    <row r="1335" spans="1:8" x14ac:dyDescent="0.25">
      <c r="A1335" s="90"/>
      <c r="B1335" s="41" t="s">
        <v>408</v>
      </c>
      <c r="C1335" s="53">
        <v>0.13</v>
      </c>
      <c r="D1335" s="41" t="s">
        <v>409</v>
      </c>
      <c r="E1335" s="54">
        <f>+$E$1323</f>
        <v>1350</v>
      </c>
      <c r="F1335" s="53">
        <f>E1335*C1335</f>
        <v>175.5</v>
      </c>
      <c r="G1335" s="58"/>
      <c r="H1335" s="41"/>
    </row>
    <row r="1336" spans="1:8" x14ac:dyDescent="0.25">
      <c r="A1336" s="90"/>
      <c r="B1336" s="41" t="s">
        <v>458</v>
      </c>
      <c r="C1336" s="53">
        <f>1/15</f>
        <v>6.6666666666666666E-2</v>
      </c>
      <c r="D1336" s="41" t="s">
        <v>82</v>
      </c>
      <c r="E1336" s="54">
        <f>+$E$1324</f>
        <v>3135.0270679999999</v>
      </c>
      <c r="F1336" s="53">
        <f>E1336*C1336</f>
        <v>209.00180453333331</v>
      </c>
      <c r="G1336" s="58"/>
      <c r="H1336" s="41"/>
    </row>
    <row r="1337" spans="1:8" x14ac:dyDescent="0.25">
      <c r="A1337" s="90"/>
      <c r="B1337" s="41" t="s">
        <v>411</v>
      </c>
      <c r="C1337" s="53">
        <v>0.05</v>
      </c>
      <c r="D1337" s="41" t="s">
        <v>82</v>
      </c>
      <c r="E1337" s="54">
        <f>+$E$1325</f>
        <v>80.850000000000009</v>
      </c>
      <c r="F1337" s="53">
        <f>E1337*C1337</f>
        <v>4.0425000000000004</v>
      </c>
      <c r="G1337" s="58"/>
      <c r="H1337" s="41"/>
    </row>
    <row r="1338" spans="1:8" x14ac:dyDescent="0.25">
      <c r="A1338" s="90"/>
      <c r="B1338" s="41" t="s">
        <v>268</v>
      </c>
      <c r="C1338" s="53">
        <v>7</v>
      </c>
      <c r="D1338" s="41" t="s">
        <v>34</v>
      </c>
      <c r="E1338" s="46">
        <f>SUM(F1333:F1337)</f>
        <v>881.53080453333337</v>
      </c>
      <c r="F1338" s="53">
        <f>E1338*C1338/100</f>
        <v>61.707156317333336</v>
      </c>
      <c r="G1338" s="58"/>
      <c r="H1338" s="41"/>
    </row>
    <row r="1339" spans="1:8" x14ac:dyDescent="0.25">
      <c r="A1339" s="90"/>
      <c r="B1339" s="41" t="s">
        <v>459</v>
      </c>
      <c r="C1339" s="53">
        <v>0.4</v>
      </c>
      <c r="D1339" s="41" t="s">
        <v>150</v>
      </c>
      <c r="E1339" s="54">
        <f>+$E$1327</f>
        <v>230</v>
      </c>
      <c r="F1339" s="53">
        <f>E1339*C1339</f>
        <v>92</v>
      </c>
      <c r="G1339" s="58"/>
      <c r="H1339" s="41"/>
    </row>
    <row r="1340" spans="1:8" x14ac:dyDescent="0.25">
      <c r="A1340" s="90"/>
      <c r="B1340" s="41" t="s">
        <v>460</v>
      </c>
      <c r="C1340" s="53">
        <v>1</v>
      </c>
      <c r="D1340" s="41" t="s">
        <v>81</v>
      </c>
      <c r="E1340" s="54">
        <f>+$E$1328</f>
        <v>155.25</v>
      </c>
      <c r="F1340" s="53">
        <f>E1340*C1340</f>
        <v>155.25</v>
      </c>
      <c r="G1340" s="58"/>
      <c r="H1340" s="41"/>
    </row>
    <row r="1341" spans="1:8" x14ac:dyDescent="0.25">
      <c r="A1341" s="90"/>
      <c r="B1341" s="41" t="s">
        <v>271</v>
      </c>
      <c r="C1341" s="53">
        <v>1</v>
      </c>
      <c r="D1341" s="41" t="s">
        <v>81</v>
      </c>
      <c r="E1341" s="54">
        <f>+$E$1329</f>
        <v>632.5</v>
      </c>
      <c r="F1341" s="53">
        <f>E1341*C1341</f>
        <v>632.5</v>
      </c>
      <c r="G1341" s="58"/>
      <c r="H1341" s="41"/>
    </row>
    <row r="1342" spans="1:8" ht="15.6" x14ac:dyDescent="0.3">
      <c r="A1342" s="90"/>
      <c r="B1342" s="41"/>
      <c r="C1342" s="8"/>
      <c r="E1342" s="46"/>
      <c r="F1342" s="8"/>
      <c r="G1342" s="59">
        <f>SUM(F1333:F1341)</f>
        <v>1822.9879608506667</v>
      </c>
      <c r="H1342" s="3" t="s">
        <v>141</v>
      </c>
    </row>
    <row r="1343" spans="1:8" x14ac:dyDescent="0.25">
      <c r="A1343" s="90"/>
      <c r="B1343" s="41"/>
      <c r="C1343" s="8"/>
      <c r="E1343" s="46"/>
      <c r="F1343" s="8"/>
      <c r="G1343" s="58"/>
      <c r="H1343" s="41"/>
    </row>
    <row r="1344" spans="1:8" ht="15.6" x14ac:dyDescent="0.3">
      <c r="A1344" s="90"/>
      <c r="B1344" s="3" t="s">
        <v>466</v>
      </c>
      <c r="C1344" s="8"/>
      <c r="E1344" s="46"/>
      <c r="F1344" s="8"/>
      <c r="G1344" s="58"/>
    </row>
    <row r="1345" spans="1:8" x14ac:dyDescent="0.25">
      <c r="A1345" s="90">
        <f>+A1321+0.01</f>
        <v>13.169999999999996</v>
      </c>
      <c r="B1345" s="41" t="s">
        <v>467</v>
      </c>
      <c r="C1345" s="53">
        <v>1</v>
      </c>
      <c r="D1345" s="41" t="s">
        <v>81</v>
      </c>
      <c r="E1345" s="54">
        <f>+$G$655</f>
        <v>1396.8325582137502</v>
      </c>
      <c r="F1345" s="53">
        <f>E1345*C1345</f>
        <v>1396.8325582137502</v>
      </c>
      <c r="G1345" s="58"/>
    </row>
    <row r="1346" spans="1:8" x14ac:dyDescent="0.25">
      <c r="A1346" s="90"/>
      <c r="B1346" s="41" t="s">
        <v>468</v>
      </c>
      <c r="C1346" s="53">
        <v>1</v>
      </c>
      <c r="D1346" s="41" t="s">
        <v>81</v>
      </c>
      <c r="E1346" s="54">
        <f>192.09*4</f>
        <v>768.36</v>
      </c>
      <c r="F1346" s="53">
        <f>E1346*C1346</f>
        <v>768.36</v>
      </c>
      <c r="G1346" s="117" t="s">
        <v>469</v>
      </c>
      <c r="H1346" s="118"/>
    </row>
    <row r="1347" spans="1:8" x14ac:dyDescent="0.25">
      <c r="A1347" s="90"/>
      <c r="B1347" s="41" t="s">
        <v>449</v>
      </c>
      <c r="C1347" s="53">
        <v>1</v>
      </c>
      <c r="D1347" s="41" t="s">
        <v>81</v>
      </c>
      <c r="E1347" s="54">
        <v>0</v>
      </c>
      <c r="F1347" s="53">
        <f>E1347*C1347</f>
        <v>0</v>
      </c>
      <c r="G1347" s="117" t="s">
        <v>450</v>
      </c>
      <c r="H1347" s="118"/>
    </row>
    <row r="1348" spans="1:8" x14ac:dyDescent="0.25">
      <c r="A1348" s="90"/>
      <c r="B1348" s="41" t="s">
        <v>470</v>
      </c>
      <c r="C1348" s="53">
        <v>0.1</v>
      </c>
      <c r="D1348" s="41" t="s">
        <v>54</v>
      </c>
      <c r="E1348" s="54">
        <f>+'[1]Lista de precios MAY25'!$E$19</f>
        <v>1700</v>
      </c>
      <c r="F1348" s="53">
        <f>E1348*C1348</f>
        <v>170</v>
      </c>
      <c r="G1348" s="58"/>
      <c r="H1348" s="41"/>
    </row>
    <row r="1349" spans="1:8" x14ac:dyDescent="0.25">
      <c r="A1349" s="90"/>
      <c r="B1349" s="41" t="s">
        <v>471</v>
      </c>
      <c r="C1349" s="53">
        <v>10</v>
      </c>
      <c r="D1349" s="41" t="s">
        <v>34</v>
      </c>
      <c r="E1349" s="54">
        <f>+$F$1350</f>
        <v>350</v>
      </c>
      <c r="F1349" s="53">
        <f>E1349*C1349/100</f>
        <v>35</v>
      </c>
      <c r="G1349" s="58"/>
    </row>
    <row r="1350" spans="1:8" x14ac:dyDescent="0.25">
      <c r="A1350" s="90"/>
      <c r="B1350" s="41" t="s">
        <v>472</v>
      </c>
      <c r="C1350" s="53">
        <v>1</v>
      </c>
      <c r="D1350" s="41" t="s">
        <v>8</v>
      </c>
      <c r="E1350" s="54">
        <v>350</v>
      </c>
      <c r="F1350" s="53">
        <f>E1350*C1350</f>
        <v>350</v>
      </c>
      <c r="G1350" s="117" t="s">
        <v>469</v>
      </c>
      <c r="H1350" s="123"/>
    </row>
    <row r="1351" spans="1:8" ht="15.6" x14ac:dyDescent="0.3">
      <c r="A1351" s="16"/>
      <c r="B1351" s="41"/>
      <c r="C1351" s="53"/>
      <c r="D1351" s="41"/>
      <c r="E1351" s="54"/>
      <c r="F1351" s="53"/>
      <c r="G1351" s="59">
        <f>SUM(F1345:F1350)</f>
        <v>2720.1925582137501</v>
      </c>
      <c r="H1351" s="3" t="s">
        <v>21</v>
      </c>
    </row>
    <row r="1352" spans="1:8" ht="15.6" x14ac:dyDescent="0.3">
      <c r="A1352" s="90"/>
      <c r="B1352" s="41"/>
      <c r="C1352" s="53"/>
      <c r="D1352" s="41"/>
      <c r="E1352" s="54"/>
      <c r="F1352" s="53"/>
      <c r="G1352" s="59"/>
      <c r="H1352" s="3"/>
    </row>
    <row r="1353" spans="1:8" ht="15.6" x14ac:dyDescent="0.3">
      <c r="A1353" s="90"/>
      <c r="B1353" s="3" t="s">
        <v>473</v>
      </c>
      <c r="C1353" s="8"/>
      <c r="E1353" s="46"/>
      <c r="F1353" s="8"/>
      <c r="G1353" s="58"/>
    </row>
    <row r="1354" spans="1:8" x14ac:dyDescent="0.25">
      <c r="A1354" s="90">
        <f>+A1345+0.01</f>
        <v>13.179999999999996</v>
      </c>
      <c r="B1354" s="41" t="s">
        <v>474</v>
      </c>
      <c r="C1354" s="53">
        <v>0.1</v>
      </c>
      <c r="D1354" s="41" t="s">
        <v>54</v>
      </c>
      <c r="E1354" s="54">
        <f>+$I$162</f>
        <v>972.40367041721527</v>
      </c>
      <c r="F1354" s="53">
        <f>E1354*C1354</f>
        <v>97.240367041721527</v>
      </c>
      <c r="G1354" s="58"/>
    </row>
    <row r="1355" spans="1:8" x14ac:dyDescent="0.25">
      <c r="A1355" s="90"/>
      <c r="B1355" s="41" t="s">
        <v>475</v>
      </c>
      <c r="C1355" s="53">
        <v>1</v>
      </c>
      <c r="D1355" s="41" t="s">
        <v>81</v>
      </c>
      <c r="E1355" s="54">
        <f>+'[1]Lista de precios MAY25'!$E$82</f>
        <v>0</v>
      </c>
      <c r="F1355" s="53">
        <f>E1355*C1355</f>
        <v>0</v>
      </c>
      <c r="G1355" s="171" t="s">
        <v>469</v>
      </c>
      <c r="H1355" s="41"/>
    </row>
    <row r="1356" spans="1:8" x14ac:dyDescent="0.25">
      <c r="A1356" s="90"/>
      <c r="B1356" s="41" t="s">
        <v>449</v>
      </c>
      <c r="C1356" s="53">
        <v>1</v>
      </c>
      <c r="D1356" s="41" t="s">
        <v>81</v>
      </c>
      <c r="E1356" s="54">
        <v>35</v>
      </c>
      <c r="F1356" s="53">
        <f>E1356*C1356</f>
        <v>35</v>
      </c>
      <c r="G1356" s="117" t="s">
        <v>450</v>
      </c>
      <c r="H1356" s="118"/>
    </row>
    <row r="1357" spans="1:8" x14ac:dyDescent="0.25">
      <c r="A1357" s="90"/>
      <c r="B1357" s="41" t="s">
        <v>470</v>
      </c>
      <c r="C1357" s="53">
        <v>0.1</v>
      </c>
      <c r="D1357" s="41" t="s">
        <v>54</v>
      </c>
      <c r="E1357" s="54">
        <f>+$E$1348</f>
        <v>1700</v>
      </c>
      <c r="F1357" s="53">
        <f>E1357*C1357</f>
        <v>170</v>
      </c>
      <c r="G1357" s="58"/>
      <c r="H1357" s="41"/>
    </row>
    <row r="1358" spans="1:8" x14ac:dyDescent="0.25">
      <c r="A1358" s="90"/>
      <c r="B1358" s="41" t="s">
        <v>471</v>
      </c>
      <c r="C1358" s="53">
        <v>10</v>
      </c>
      <c r="D1358" s="41" t="s">
        <v>34</v>
      </c>
      <c r="E1358" s="54">
        <f>+$F$1359</f>
        <v>517.5</v>
      </c>
      <c r="F1358" s="53">
        <f>E1358*C1358/100</f>
        <v>51.75</v>
      </c>
      <c r="G1358" s="58"/>
    </row>
    <row r="1359" spans="1:8" x14ac:dyDescent="0.25">
      <c r="A1359" s="90"/>
      <c r="B1359" s="41" t="s">
        <v>476</v>
      </c>
      <c r="C1359" s="53">
        <v>1</v>
      </c>
      <c r="D1359" s="41" t="s">
        <v>8</v>
      </c>
      <c r="E1359" s="54">
        <f>+'[1]MO MAY25'!N$626</f>
        <v>517.5</v>
      </c>
      <c r="F1359" s="53">
        <f>E1359*C1359</f>
        <v>517.5</v>
      </c>
      <c r="G1359" s="58"/>
    </row>
    <row r="1360" spans="1:8" ht="15.6" x14ac:dyDescent="0.3">
      <c r="A1360" s="16"/>
      <c r="B1360" s="41"/>
      <c r="C1360" s="53"/>
      <c r="D1360" s="41"/>
      <c r="E1360" s="54"/>
      <c r="F1360" s="53"/>
      <c r="G1360" s="59">
        <f>SUM(F1354:F1359)</f>
        <v>871.49036704172158</v>
      </c>
      <c r="H1360" s="3" t="s">
        <v>21</v>
      </c>
    </row>
    <row r="1361" spans="1:8" ht="15.6" x14ac:dyDescent="0.3">
      <c r="A1361" s="90"/>
      <c r="B1361" s="41"/>
      <c r="C1361" s="53"/>
      <c r="D1361" s="41"/>
      <c r="E1361" s="54"/>
      <c r="F1361" s="53"/>
      <c r="G1361" s="59"/>
      <c r="H1361" s="3"/>
    </row>
    <row r="1362" spans="1:8" ht="15.6" x14ac:dyDescent="0.3">
      <c r="A1362" s="90"/>
      <c r="B1362" s="3" t="s">
        <v>477</v>
      </c>
      <c r="C1362" s="8"/>
      <c r="E1362" s="46"/>
      <c r="F1362" s="8"/>
      <c r="G1362" s="58"/>
    </row>
    <row r="1363" spans="1:8" x14ac:dyDescent="0.25">
      <c r="A1363" s="90">
        <f>+A1354+0.01</f>
        <v>13.189999999999996</v>
      </c>
      <c r="B1363" s="41" t="s">
        <v>474</v>
      </c>
      <c r="C1363" s="53">
        <v>0.1</v>
      </c>
      <c r="D1363" s="41" t="s">
        <v>54</v>
      </c>
      <c r="E1363" s="54">
        <f>+$I$162</f>
        <v>972.40367041721527</v>
      </c>
      <c r="F1363" s="53">
        <f>E1363*C1363</f>
        <v>97.240367041721527</v>
      </c>
      <c r="G1363" s="58"/>
    </row>
    <row r="1364" spans="1:8" x14ac:dyDescent="0.25">
      <c r="A1364" s="90"/>
      <c r="B1364" s="41" t="s">
        <v>478</v>
      </c>
      <c r="C1364" s="53">
        <v>1</v>
      </c>
      <c r="D1364" s="41" t="s">
        <v>81</v>
      </c>
      <c r="E1364" s="54"/>
      <c r="F1364" s="53">
        <f>E1364*C1364</f>
        <v>0</v>
      </c>
      <c r="G1364" s="171" t="s">
        <v>469</v>
      </c>
      <c r="H1364" s="41"/>
    </row>
    <row r="1365" spans="1:8" x14ac:dyDescent="0.25">
      <c r="A1365" s="90"/>
      <c r="B1365" s="41" t="s">
        <v>449</v>
      </c>
      <c r="C1365" s="53">
        <v>1</v>
      </c>
      <c r="D1365" s="41" t="s">
        <v>81</v>
      </c>
      <c r="E1365" s="54">
        <v>35</v>
      </c>
      <c r="F1365" s="53">
        <f>E1365*C1365</f>
        <v>35</v>
      </c>
      <c r="G1365" s="117" t="s">
        <v>450</v>
      </c>
      <c r="H1365" s="118"/>
    </row>
    <row r="1366" spans="1:8" x14ac:dyDescent="0.25">
      <c r="A1366" s="90"/>
      <c r="B1366" s="41" t="s">
        <v>470</v>
      </c>
      <c r="C1366" s="53">
        <v>0.1</v>
      </c>
      <c r="D1366" s="41" t="s">
        <v>54</v>
      </c>
      <c r="E1366" s="54">
        <f>+$E$1357</f>
        <v>1700</v>
      </c>
      <c r="F1366" s="53">
        <f>E1366*C1366</f>
        <v>170</v>
      </c>
      <c r="G1366" s="58"/>
      <c r="H1366" s="41"/>
    </row>
    <row r="1367" spans="1:8" x14ac:dyDescent="0.25">
      <c r="A1367" s="90"/>
      <c r="B1367" s="41" t="s">
        <v>471</v>
      </c>
      <c r="C1367" s="53">
        <v>10</v>
      </c>
      <c r="D1367" s="41" t="s">
        <v>34</v>
      </c>
      <c r="E1367" s="54">
        <f>+$F$1359</f>
        <v>517.5</v>
      </c>
      <c r="F1367" s="53">
        <f>E1367*C1367/100</f>
        <v>51.75</v>
      </c>
      <c r="G1367" s="58"/>
    </row>
    <row r="1368" spans="1:8" x14ac:dyDescent="0.25">
      <c r="A1368" s="90"/>
      <c r="B1368" s="41" t="s">
        <v>476</v>
      </c>
      <c r="C1368" s="53">
        <v>1</v>
      </c>
      <c r="D1368" s="41" t="s">
        <v>8</v>
      </c>
      <c r="E1368" s="54">
        <f>+$E$1359</f>
        <v>517.5</v>
      </c>
      <c r="F1368" s="53">
        <f>E1368*C1368</f>
        <v>517.5</v>
      </c>
      <c r="G1368" s="58"/>
    </row>
    <row r="1369" spans="1:8" ht="15.6" x14ac:dyDescent="0.3">
      <c r="A1369" s="16"/>
      <c r="B1369" s="41"/>
      <c r="C1369" s="53"/>
      <c r="D1369" s="41"/>
      <c r="E1369" s="54"/>
      <c r="F1369" s="53"/>
      <c r="G1369" s="59">
        <f>SUM(F1363:F1368)</f>
        <v>871.49036704172158</v>
      </c>
      <c r="H1369" s="3" t="s">
        <v>21</v>
      </c>
    </row>
    <row r="1370" spans="1:8" ht="15.6" x14ac:dyDescent="0.3">
      <c r="A1370" s="90"/>
      <c r="B1370" s="3" t="s">
        <v>479</v>
      </c>
      <c r="C1370" s="8"/>
      <c r="E1370" s="46"/>
      <c r="F1370" s="8"/>
      <c r="G1370" s="58"/>
      <c r="H1370" s="41"/>
    </row>
    <row r="1371" spans="1:8" x14ac:dyDescent="0.25">
      <c r="A1371" s="90">
        <f>+A1354+0.01</f>
        <v>13.189999999999996</v>
      </c>
      <c r="B1371" s="41" t="s">
        <v>480</v>
      </c>
      <c r="C1371" s="53">
        <v>1</v>
      </c>
      <c r="D1371" s="41" t="s">
        <v>81</v>
      </c>
      <c r="E1371" s="54">
        <f>+'[1]Lista de precios MAY25'!$E$83</f>
        <v>1344.0671999999997</v>
      </c>
      <c r="F1371" s="53">
        <f>E1371*C1371</f>
        <v>1344.0671999999997</v>
      </c>
      <c r="G1371" s="58">
        <f>+E1371/58</f>
        <v>23.173572413793099</v>
      </c>
      <c r="H1371" s="41"/>
    </row>
    <row r="1372" spans="1:8" x14ac:dyDescent="0.25">
      <c r="A1372" s="90"/>
      <c r="B1372" s="41" t="s">
        <v>457</v>
      </c>
      <c r="C1372" s="53">
        <v>0.05</v>
      </c>
      <c r="D1372" s="41" t="s">
        <v>54</v>
      </c>
      <c r="E1372" s="54">
        <f>+$G$55</f>
        <v>9859.73</v>
      </c>
      <c r="F1372" s="53">
        <f>E1372*C1372</f>
        <v>492.98649999999998</v>
      </c>
      <c r="G1372" s="58"/>
      <c r="H1372" s="41"/>
    </row>
    <row r="1373" spans="1:8" x14ac:dyDescent="0.25">
      <c r="A1373" s="90"/>
      <c r="B1373" s="41" t="s">
        <v>408</v>
      </c>
      <c r="C1373" s="53">
        <v>0.13</v>
      </c>
      <c r="D1373" s="41" t="s">
        <v>409</v>
      </c>
      <c r="E1373" s="54">
        <f>+'[1]Lista de precios MAY25'!$E$138</f>
        <v>1350</v>
      </c>
      <c r="F1373" s="53">
        <f>E1373*C1373</f>
        <v>175.5</v>
      </c>
      <c r="G1373" s="58"/>
      <c r="H1373" s="41"/>
    </row>
    <row r="1374" spans="1:8" x14ac:dyDescent="0.25">
      <c r="A1374" s="90"/>
      <c r="B1374" s="41" t="s">
        <v>481</v>
      </c>
      <c r="C1374" s="53">
        <f>1/15</f>
        <v>6.6666666666666666E-2</v>
      </c>
      <c r="D1374" s="41" t="s">
        <v>82</v>
      </c>
      <c r="E1374" s="54">
        <f>+'[1]Lista de precios MAY25'!$E$144</f>
        <v>3135.0270679999999</v>
      </c>
      <c r="F1374" s="53">
        <f>E1374*C1374</f>
        <v>209.00180453333331</v>
      </c>
      <c r="G1374" s="58"/>
      <c r="H1374" s="41"/>
    </row>
    <row r="1375" spans="1:8" x14ac:dyDescent="0.25">
      <c r="A1375" s="90"/>
      <c r="B1375" s="41" t="s">
        <v>411</v>
      </c>
      <c r="C1375" s="53">
        <v>0.05</v>
      </c>
      <c r="D1375" s="41" t="s">
        <v>82</v>
      </c>
      <c r="E1375" s="54">
        <f>+'[1]Lista de precios MAY25'!$E$141</f>
        <v>80.850000000000009</v>
      </c>
      <c r="F1375" s="53">
        <f>E1375*C1375</f>
        <v>4.0425000000000004</v>
      </c>
      <c r="G1375" s="58"/>
      <c r="H1375" s="41"/>
    </row>
    <row r="1376" spans="1:8" x14ac:dyDescent="0.25">
      <c r="A1376" s="90"/>
      <c r="B1376" s="41" t="s">
        <v>268</v>
      </c>
      <c r="C1376" s="53">
        <v>10</v>
      </c>
      <c r="D1376" s="41" t="s">
        <v>34</v>
      </c>
      <c r="E1376" s="46">
        <f>SUM(F1371:F1375)</f>
        <v>2225.5980045333331</v>
      </c>
      <c r="F1376" s="53">
        <f>E1376*C1376/100</f>
        <v>222.55980045333331</v>
      </c>
      <c r="G1376" s="58"/>
      <c r="H1376" s="41"/>
    </row>
    <row r="1377" spans="1:8" x14ac:dyDescent="0.25">
      <c r="A1377" s="90"/>
      <c r="B1377" s="41" t="s">
        <v>459</v>
      </c>
      <c r="C1377" s="53">
        <v>0.4</v>
      </c>
      <c r="D1377" s="41" t="s">
        <v>150</v>
      </c>
      <c r="E1377" s="54">
        <f>+'[1]MO MAY25'!$N$587*1.1</f>
        <v>44.275000000000006</v>
      </c>
      <c r="F1377" s="53">
        <f>E1377*C1377</f>
        <v>17.710000000000004</v>
      </c>
      <c r="G1377" s="58"/>
      <c r="H1377" s="41"/>
    </row>
    <row r="1378" spans="1:8" x14ac:dyDescent="0.25">
      <c r="A1378" s="90"/>
      <c r="B1378" s="41" t="s">
        <v>271</v>
      </c>
      <c r="C1378" s="53">
        <v>1</v>
      </c>
      <c r="D1378" s="41" t="s">
        <v>81</v>
      </c>
      <c r="E1378" s="54">
        <f>+'[1]MO MAY25'!$N$572*1.1</f>
        <v>695.75</v>
      </c>
      <c r="F1378" s="53">
        <f>E1378*C1378</f>
        <v>695.75</v>
      </c>
      <c r="G1378" s="58"/>
      <c r="H1378" s="41"/>
    </row>
    <row r="1379" spans="1:8" x14ac:dyDescent="0.25">
      <c r="A1379" s="90"/>
      <c r="B1379" s="41" t="s">
        <v>482</v>
      </c>
      <c r="C1379" s="53">
        <v>1</v>
      </c>
      <c r="D1379" s="41" t="s">
        <v>81</v>
      </c>
      <c r="E1379" s="54">
        <f>1.35*1.18*55</f>
        <v>87.614999999999995</v>
      </c>
      <c r="F1379" s="53">
        <f>E1379*C1379</f>
        <v>87.614999999999995</v>
      </c>
      <c r="G1379" s="117" t="s">
        <v>483</v>
      </c>
      <c r="H1379" s="118"/>
    </row>
    <row r="1380" spans="1:8" x14ac:dyDescent="0.25">
      <c r="A1380" s="90"/>
      <c r="B1380" s="41" t="s">
        <v>460</v>
      </c>
      <c r="C1380" s="53">
        <v>1</v>
      </c>
      <c r="D1380" s="41" t="s">
        <v>81</v>
      </c>
      <c r="E1380" s="54">
        <f>+'[1]MO MAY25'!$N$427*1.1</f>
        <v>170.77500000000001</v>
      </c>
      <c r="F1380" s="53">
        <f t="shared" ref="F1380" si="35">E1380*C1380</f>
        <v>170.77500000000001</v>
      </c>
      <c r="G1380" s="58"/>
    </row>
    <row r="1381" spans="1:8" ht="15.6" x14ac:dyDescent="0.3">
      <c r="A1381" s="16"/>
      <c r="B1381" s="41"/>
      <c r="C1381" s="8"/>
      <c r="E1381" s="46"/>
      <c r="F1381" s="8"/>
      <c r="G1381" s="47">
        <f>SUM(F1371:F1380)</f>
        <v>3420.0078049866665</v>
      </c>
      <c r="H1381" s="57" t="s">
        <v>141</v>
      </c>
    </row>
    <row r="1382" spans="1:8" ht="15.6" x14ac:dyDescent="0.3">
      <c r="A1382" s="90"/>
      <c r="B1382" s="3" t="s">
        <v>484</v>
      </c>
      <c r="C1382" s="8"/>
      <c r="E1382" s="46"/>
      <c r="F1382" s="8"/>
      <c r="G1382" s="58"/>
      <c r="H1382" s="41"/>
    </row>
    <row r="1383" spans="1:8" x14ac:dyDescent="0.25">
      <c r="A1383" s="90">
        <f>+A1366+0.01</f>
        <v>0.01</v>
      </c>
      <c r="B1383" s="41" t="s">
        <v>485</v>
      </c>
      <c r="C1383" s="53">
        <v>1</v>
      </c>
      <c r="D1383" s="41" t="s">
        <v>81</v>
      </c>
      <c r="E1383" s="54"/>
      <c r="F1383" s="53">
        <f>E1383*C1383</f>
        <v>0</v>
      </c>
      <c r="G1383" s="58"/>
      <c r="H1383" s="41"/>
    </row>
    <row r="1384" spans="1:8" x14ac:dyDescent="0.25">
      <c r="A1384" s="90"/>
      <c r="B1384" s="41" t="s">
        <v>457</v>
      </c>
      <c r="C1384" s="53">
        <v>0.05</v>
      </c>
      <c r="D1384" s="41" t="s">
        <v>54</v>
      </c>
      <c r="E1384" s="54">
        <f>+$G$55</f>
        <v>9859.73</v>
      </c>
      <c r="F1384" s="53">
        <f>E1384*C1384</f>
        <v>492.98649999999998</v>
      </c>
      <c r="G1384" s="58"/>
      <c r="H1384" s="41"/>
    </row>
    <row r="1385" spans="1:8" x14ac:dyDescent="0.25">
      <c r="A1385" s="90"/>
      <c r="B1385" s="41" t="s">
        <v>408</v>
      </c>
      <c r="C1385" s="53">
        <v>0.13</v>
      </c>
      <c r="D1385" s="41" t="s">
        <v>409</v>
      </c>
      <c r="E1385" s="54">
        <f>+'[1]Lista de precios MAY25'!$E$138</f>
        <v>1350</v>
      </c>
      <c r="F1385" s="53">
        <f>E1385*C1385</f>
        <v>175.5</v>
      </c>
      <c r="G1385" s="58"/>
      <c r="H1385" s="41"/>
    </row>
    <row r="1386" spans="1:8" x14ac:dyDescent="0.25">
      <c r="A1386" s="90"/>
      <c r="B1386" s="41" t="s">
        <v>481</v>
      </c>
      <c r="C1386" s="53">
        <f>1/15</f>
        <v>6.6666666666666666E-2</v>
      </c>
      <c r="D1386" s="41" t="s">
        <v>82</v>
      </c>
      <c r="E1386" s="54">
        <f>+'[1]Lista de precios MAY25'!$E$144</f>
        <v>3135.0270679999999</v>
      </c>
      <c r="F1386" s="53">
        <f>E1386*C1386</f>
        <v>209.00180453333331</v>
      </c>
      <c r="G1386" s="58"/>
      <c r="H1386" s="41"/>
    </row>
    <row r="1387" spans="1:8" x14ac:dyDescent="0.25">
      <c r="A1387" s="90"/>
      <c r="B1387" s="41" t="s">
        <v>411</v>
      </c>
      <c r="C1387" s="53">
        <v>0.05</v>
      </c>
      <c r="D1387" s="41" t="s">
        <v>82</v>
      </c>
      <c r="E1387" s="54">
        <f>+'[1]Lista de precios MAY25'!$E$141</f>
        <v>80.850000000000009</v>
      </c>
      <c r="F1387" s="53">
        <f>E1387*C1387</f>
        <v>4.0425000000000004</v>
      </c>
      <c r="G1387" s="58"/>
      <c r="H1387" s="41"/>
    </row>
    <row r="1388" spans="1:8" x14ac:dyDescent="0.25">
      <c r="A1388" s="90"/>
      <c r="B1388" s="41" t="s">
        <v>268</v>
      </c>
      <c r="C1388" s="53">
        <v>10</v>
      </c>
      <c r="D1388" s="41" t="s">
        <v>34</v>
      </c>
      <c r="E1388" s="46">
        <f>SUM(F1383:F1387)</f>
        <v>881.53080453333337</v>
      </c>
      <c r="F1388" s="53">
        <f>E1388*C1388/100</f>
        <v>88.153080453333331</v>
      </c>
      <c r="G1388" s="58"/>
      <c r="H1388" s="41"/>
    </row>
    <row r="1389" spans="1:8" x14ac:dyDescent="0.25">
      <c r="A1389" s="90"/>
      <c r="B1389" s="41" t="s">
        <v>459</v>
      </c>
      <c r="C1389" s="53">
        <v>0.4</v>
      </c>
      <c r="D1389" s="41" t="s">
        <v>150</v>
      </c>
      <c r="E1389" s="54">
        <f>+'[1]MO MAY25'!N599*1.1</f>
        <v>18975</v>
      </c>
      <c r="F1389" s="53">
        <f>E1389*C1389</f>
        <v>7590</v>
      </c>
      <c r="G1389" s="58"/>
      <c r="H1389" s="41"/>
    </row>
    <row r="1390" spans="1:8" x14ac:dyDescent="0.25">
      <c r="A1390" s="90"/>
      <c r="B1390" s="41" t="s">
        <v>271</v>
      </c>
      <c r="C1390" s="53">
        <v>1</v>
      </c>
      <c r="D1390" s="41" t="s">
        <v>81</v>
      </c>
      <c r="E1390" s="54">
        <f>+'[1]MO MAY25'!$N$572*1.1</f>
        <v>695.75</v>
      </c>
      <c r="F1390" s="53">
        <f>E1390*C1390</f>
        <v>695.75</v>
      </c>
      <c r="G1390" s="58"/>
      <c r="H1390" s="41"/>
    </row>
    <row r="1391" spans="1:8" x14ac:dyDescent="0.25">
      <c r="A1391" s="90"/>
      <c r="B1391" s="41" t="s">
        <v>482</v>
      </c>
      <c r="C1391" s="53">
        <v>1</v>
      </c>
      <c r="D1391" s="41" t="s">
        <v>81</v>
      </c>
      <c r="E1391" s="54"/>
      <c r="F1391" s="53">
        <f>E1391*C1391</f>
        <v>0</v>
      </c>
      <c r="G1391" s="117" t="s">
        <v>483</v>
      </c>
      <c r="H1391" s="118"/>
    </row>
    <row r="1392" spans="1:8" x14ac:dyDescent="0.25">
      <c r="A1392" s="90"/>
      <c r="B1392" s="41" t="s">
        <v>460</v>
      </c>
      <c r="C1392" s="53">
        <v>1</v>
      </c>
      <c r="D1392" s="41" t="s">
        <v>81</v>
      </c>
      <c r="E1392" s="54">
        <f>+'[1]MO MAY25'!$N$427*1.1</f>
        <v>170.77500000000001</v>
      </c>
      <c r="F1392" s="53">
        <f t="shared" ref="F1392" si="36">E1392*C1392</f>
        <v>170.77500000000001</v>
      </c>
      <c r="G1392" s="58"/>
    </row>
    <row r="1393" spans="1:9" ht="15.6" x14ac:dyDescent="0.3">
      <c r="A1393" s="16"/>
      <c r="B1393" s="41"/>
      <c r="C1393" s="8"/>
      <c r="E1393" s="46"/>
      <c r="F1393" s="8"/>
      <c r="G1393" s="47">
        <f>SUM(F1383:F1392)</f>
        <v>9426.2088849866668</v>
      </c>
      <c r="H1393" s="57" t="s">
        <v>141</v>
      </c>
    </row>
    <row r="1394" spans="1:9" x14ac:dyDescent="0.25">
      <c r="A1394" s="90"/>
      <c r="B1394" s="41"/>
      <c r="C1394" s="8"/>
      <c r="E1394" s="46"/>
      <c r="F1394" s="8"/>
      <c r="G1394" s="58"/>
    </row>
    <row r="1395" spans="1:9" ht="15.6" x14ac:dyDescent="0.3">
      <c r="A1395" s="90"/>
      <c r="B1395" s="3" t="s">
        <v>486</v>
      </c>
      <c r="C1395" s="8"/>
      <c r="E1395" s="46"/>
      <c r="F1395" s="8"/>
      <c r="G1395" s="58"/>
    </row>
    <row r="1396" spans="1:9" x14ac:dyDescent="0.25">
      <c r="A1396" s="90">
        <f>+A1371+0.01</f>
        <v>13.199999999999996</v>
      </c>
      <c r="B1396" s="41" t="s">
        <v>487</v>
      </c>
      <c r="C1396" s="53">
        <v>1</v>
      </c>
      <c r="D1396" s="41" t="s">
        <v>81</v>
      </c>
      <c r="E1396" s="54">
        <f>1652.54*1.18</f>
        <v>1949.9971999999998</v>
      </c>
      <c r="F1396" s="53">
        <f t="shared" ref="F1396:F1403" si="37">E1396*C1396</f>
        <v>1949.9971999999998</v>
      </c>
      <c r="G1396" s="58"/>
    </row>
    <row r="1397" spans="1:9" x14ac:dyDescent="0.25">
      <c r="A1397" s="90"/>
      <c r="B1397" s="41" t="s">
        <v>407</v>
      </c>
      <c r="C1397" s="53">
        <v>5.2999999999999999E-2</v>
      </c>
      <c r="D1397" s="41" t="s">
        <v>54</v>
      </c>
      <c r="E1397" s="54">
        <f>+$G$55</f>
        <v>9859.73</v>
      </c>
      <c r="F1397" s="53">
        <f t="shared" si="37"/>
        <v>522.56569000000002</v>
      </c>
      <c r="G1397" s="58"/>
    </row>
    <row r="1398" spans="1:9" x14ac:dyDescent="0.25">
      <c r="A1398" s="90"/>
      <c r="B1398" s="41" t="s">
        <v>410</v>
      </c>
      <c r="C1398" s="53">
        <v>0.13</v>
      </c>
      <c r="D1398" s="41" t="s">
        <v>409</v>
      </c>
      <c r="E1398" s="54">
        <f>+'[1]Lista de precios MAY25'!$E$138</f>
        <v>1350</v>
      </c>
      <c r="F1398" s="53">
        <f t="shared" si="37"/>
        <v>175.5</v>
      </c>
      <c r="G1398" s="58"/>
      <c r="H1398" s="41"/>
    </row>
    <row r="1399" spans="1:9" x14ac:dyDescent="0.25">
      <c r="A1399" s="90"/>
      <c r="B1399" s="41" t="s">
        <v>67</v>
      </c>
      <c r="C1399" s="53">
        <v>15</v>
      </c>
      <c r="D1399" s="41" t="s">
        <v>34</v>
      </c>
      <c r="E1399" s="54">
        <f>SUM(F1396:F1398)/100</f>
        <v>26.480628899999996</v>
      </c>
      <c r="F1399" s="53">
        <f t="shared" si="37"/>
        <v>397.20943349999993</v>
      </c>
      <c r="G1399" s="58"/>
    </row>
    <row r="1400" spans="1:9" x14ac:dyDescent="0.25">
      <c r="A1400" s="90"/>
      <c r="B1400" s="41" t="s">
        <v>412</v>
      </c>
      <c r="C1400" s="53">
        <v>0.5</v>
      </c>
      <c r="D1400" s="41" t="s">
        <v>150</v>
      </c>
      <c r="E1400" s="54">
        <f>+'[1]MO MAY25'!$N$587*1.1</f>
        <v>44.275000000000006</v>
      </c>
      <c r="F1400" s="53">
        <f t="shared" si="37"/>
        <v>22.137500000000003</v>
      </c>
      <c r="G1400" s="58"/>
      <c r="H1400" s="41"/>
    </row>
    <row r="1401" spans="1:9" x14ac:dyDescent="0.25">
      <c r="A1401" s="90"/>
      <c r="B1401" s="41" t="s">
        <v>271</v>
      </c>
      <c r="C1401" s="53">
        <v>1</v>
      </c>
      <c r="D1401" s="41" t="s">
        <v>81</v>
      </c>
      <c r="E1401" s="54">
        <f>+'[1]MO MAY25'!$N$627</f>
        <v>805</v>
      </c>
      <c r="F1401" s="53">
        <f t="shared" si="37"/>
        <v>805</v>
      </c>
      <c r="G1401" s="58"/>
    </row>
    <row r="1402" spans="1:9" x14ac:dyDescent="0.25">
      <c r="A1402" s="90"/>
      <c r="B1402" s="41" t="s">
        <v>488</v>
      </c>
      <c r="C1402" s="53">
        <v>1</v>
      </c>
      <c r="D1402" s="41" t="s">
        <v>150</v>
      </c>
      <c r="E1402" s="54">
        <f>+'[1]MO MAY25'!N427*1.1</f>
        <v>170.77500000000001</v>
      </c>
      <c r="F1402" s="53">
        <f t="shared" si="37"/>
        <v>170.77500000000001</v>
      </c>
      <c r="G1402" s="58"/>
    </row>
    <row r="1403" spans="1:9" x14ac:dyDescent="0.25">
      <c r="A1403" s="16"/>
      <c r="B1403" s="41" t="s">
        <v>489</v>
      </c>
      <c r="C1403" s="53">
        <v>1</v>
      </c>
      <c r="D1403" s="41" t="s">
        <v>81</v>
      </c>
      <c r="E1403" s="54">
        <f>+I1403/40</f>
        <v>875</v>
      </c>
      <c r="F1403" s="53">
        <f t="shared" si="37"/>
        <v>875</v>
      </c>
      <c r="G1403" s="160" t="s">
        <v>483</v>
      </c>
      <c r="H1403" s="123"/>
      <c r="I1403" s="62">
        <v>35000</v>
      </c>
    </row>
    <row r="1404" spans="1:9" ht="15.6" x14ac:dyDescent="0.3">
      <c r="A1404" s="16"/>
      <c r="B1404" s="41"/>
      <c r="C1404" s="53"/>
      <c r="D1404" s="41"/>
      <c r="E1404" s="54"/>
      <c r="F1404" s="53"/>
      <c r="G1404" s="39">
        <f>SUM(F1396:F1403)</f>
        <v>4918.1848234999998</v>
      </c>
      <c r="H1404" s="3" t="s">
        <v>141</v>
      </c>
    </row>
    <row r="1405" spans="1:9" x14ac:dyDescent="0.25">
      <c r="A1405" s="90"/>
      <c r="B1405" s="41"/>
      <c r="C1405" s="53"/>
      <c r="D1405" s="41"/>
      <c r="E1405" s="54"/>
      <c r="F1405" s="53"/>
      <c r="G1405" s="58"/>
    </row>
    <row r="1406" spans="1:9" ht="15.6" x14ac:dyDescent="0.3">
      <c r="A1406" s="90"/>
      <c r="B1406" s="3" t="s">
        <v>490</v>
      </c>
      <c r="C1406" s="8"/>
      <c r="E1406" s="46"/>
      <c r="F1406" s="8"/>
      <c r="G1406" s="58"/>
    </row>
    <row r="1407" spans="1:9" x14ac:dyDescent="0.25">
      <c r="A1407" s="90">
        <f>+A1396+0.01</f>
        <v>13.209999999999996</v>
      </c>
      <c r="B1407" s="41" t="s">
        <v>491</v>
      </c>
      <c r="C1407" s="53">
        <v>0.05</v>
      </c>
      <c r="D1407" s="41" t="s">
        <v>54</v>
      </c>
      <c r="E1407" s="54">
        <f>+$G$73</f>
        <v>11656.8915</v>
      </c>
      <c r="F1407" s="53">
        <f>E1407*C1407</f>
        <v>582.84457499999996</v>
      </c>
      <c r="G1407" s="58"/>
    </row>
    <row r="1408" spans="1:9" x14ac:dyDescent="0.25">
      <c r="A1408" s="90"/>
      <c r="B1408" s="41" t="s">
        <v>358</v>
      </c>
      <c r="C1408" s="53">
        <v>0.04</v>
      </c>
      <c r="D1408" s="41" t="s">
        <v>492</v>
      </c>
      <c r="E1408" s="54">
        <f>+'[1]Lista de precios MAY25'!$E$33</f>
        <v>540.75</v>
      </c>
      <c r="F1408" s="53">
        <f>E1408*C1408</f>
        <v>21.63</v>
      </c>
      <c r="G1408" s="58"/>
    </row>
    <row r="1409" spans="1:8" x14ac:dyDescent="0.25">
      <c r="A1409" s="90"/>
      <c r="B1409" s="41" t="s">
        <v>340</v>
      </c>
      <c r="C1409" s="53">
        <v>0.2</v>
      </c>
      <c r="D1409" s="41" t="s">
        <v>327</v>
      </c>
      <c r="E1409" s="54">
        <f>+'[1]Lista de precios MAY25'!$E$200</f>
        <v>389.55</v>
      </c>
      <c r="F1409" s="53">
        <f>E1409*C1409</f>
        <v>77.910000000000011</v>
      </c>
      <c r="G1409" s="58"/>
      <c r="H1409" s="41"/>
    </row>
    <row r="1410" spans="1:8" x14ac:dyDescent="0.25">
      <c r="A1410" s="90"/>
      <c r="B1410" s="41" t="s">
        <v>67</v>
      </c>
      <c r="C1410" s="53">
        <v>5</v>
      </c>
      <c r="D1410" s="41" t="s">
        <v>34</v>
      </c>
      <c r="E1410" s="54">
        <f>SUM(F1407:F1409)</f>
        <v>682.38457499999993</v>
      </c>
      <c r="F1410" s="53">
        <f>E1410*C1410/100</f>
        <v>34.119228749999998</v>
      </c>
      <c r="G1410" s="58"/>
    </row>
    <row r="1411" spans="1:8" x14ac:dyDescent="0.25">
      <c r="A1411" s="90"/>
      <c r="B1411" s="41" t="s">
        <v>471</v>
      </c>
      <c r="C1411" s="53">
        <v>7</v>
      </c>
      <c r="D1411" s="41" t="s">
        <v>34</v>
      </c>
      <c r="E1411" s="54">
        <f>+$F$1412</f>
        <v>0</v>
      </c>
      <c r="F1411" s="53">
        <f>E1411*C1411/100</f>
        <v>0</v>
      </c>
      <c r="G1411" s="58"/>
    </row>
    <row r="1412" spans="1:8" x14ac:dyDescent="0.25">
      <c r="A1412" s="90"/>
      <c r="B1412" s="41" t="s">
        <v>493</v>
      </c>
      <c r="C1412" s="53">
        <v>1</v>
      </c>
      <c r="D1412" s="41" t="s">
        <v>81</v>
      </c>
      <c r="E1412" s="54"/>
      <c r="F1412" s="53">
        <f>E1412*C1412</f>
        <v>0</v>
      </c>
      <c r="G1412" s="58"/>
    </row>
    <row r="1413" spans="1:8" x14ac:dyDescent="0.25">
      <c r="A1413" s="16"/>
      <c r="B1413" s="41" t="s">
        <v>494</v>
      </c>
      <c r="C1413" s="53">
        <v>1</v>
      </c>
      <c r="D1413" s="41" t="s">
        <v>81</v>
      </c>
      <c r="E1413" s="54">
        <f>120*1.1</f>
        <v>132</v>
      </c>
      <c r="F1413" s="53">
        <f>E1413*C1413</f>
        <v>132</v>
      </c>
      <c r="G1413" s="58"/>
    </row>
    <row r="1414" spans="1:8" x14ac:dyDescent="0.25">
      <c r="A1414" s="90"/>
      <c r="B1414" s="41" t="s">
        <v>435</v>
      </c>
      <c r="C1414" s="53">
        <v>1</v>
      </c>
      <c r="D1414" s="41" t="s">
        <v>81</v>
      </c>
      <c r="E1414" s="54">
        <f>+'[1]Lista de precios MAY25'!$E$142</f>
        <v>312.5</v>
      </c>
      <c r="F1414" s="53">
        <f>E1414*C1414</f>
        <v>312.5</v>
      </c>
      <c r="G1414" s="58"/>
    </row>
    <row r="1415" spans="1:8" ht="15.6" x14ac:dyDescent="0.3">
      <c r="A1415" s="90"/>
      <c r="B1415" s="41"/>
      <c r="C1415" s="53"/>
      <c r="D1415" s="41"/>
      <c r="E1415" s="54"/>
      <c r="F1415" s="53"/>
      <c r="G1415" s="59">
        <f>SUM(F1407:F1414)</f>
        <v>1161.0038037499999</v>
      </c>
      <c r="H1415" s="3" t="s">
        <v>141</v>
      </c>
    </row>
    <row r="1416" spans="1:8" x14ac:dyDescent="0.25">
      <c r="A1416" s="90"/>
      <c r="B1416" s="41"/>
      <c r="C1416" s="53"/>
      <c r="D1416" s="41"/>
      <c r="E1416" s="54"/>
      <c r="F1416" s="53"/>
      <c r="G1416" s="58"/>
      <c r="H1416" s="41"/>
    </row>
    <row r="1417" spans="1:8" ht="15.6" x14ac:dyDescent="0.3">
      <c r="A1417" s="90"/>
      <c r="B1417" s="3" t="s">
        <v>495</v>
      </c>
      <c r="C1417" s="8"/>
      <c r="E1417" s="46"/>
      <c r="F1417" s="8"/>
      <c r="G1417" s="58"/>
    </row>
    <row r="1418" spans="1:8" x14ac:dyDescent="0.25">
      <c r="A1418" s="90">
        <f>0.01+A1407</f>
        <v>13.219999999999995</v>
      </c>
      <c r="B1418" s="41" t="s">
        <v>496</v>
      </c>
      <c r="C1418" s="53">
        <v>0.15</v>
      </c>
      <c r="D1418" s="41" t="s">
        <v>54</v>
      </c>
      <c r="E1418" s="54">
        <f>+'[1]Lista de precios MAY25'!$E$44</f>
        <v>9027</v>
      </c>
      <c r="F1418" s="53">
        <f>E1418*C1418</f>
        <v>1354.05</v>
      </c>
      <c r="G1418" s="58"/>
    </row>
    <row r="1419" spans="1:8" x14ac:dyDescent="0.25">
      <c r="A1419" s="90"/>
      <c r="B1419" s="41" t="s">
        <v>358</v>
      </c>
      <c r="C1419" s="53">
        <v>0.04</v>
      </c>
      <c r="D1419" s="41" t="s">
        <v>492</v>
      </c>
      <c r="E1419" s="54">
        <f>+$E$1408</f>
        <v>540.75</v>
      </c>
      <c r="F1419" s="53">
        <f>E1419*C1419</f>
        <v>21.63</v>
      </c>
      <c r="G1419" s="58"/>
    </row>
    <row r="1420" spans="1:8" x14ac:dyDescent="0.25">
      <c r="A1420" s="90"/>
      <c r="B1420" s="41" t="s">
        <v>340</v>
      </c>
      <c r="C1420" s="53">
        <v>0.2</v>
      </c>
      <c r="D1420" s="41" t="s">
        <v>327</v>
      </c>
      <c r="E1420" s="54">
        <f>+$E$1409</f>
        <v>389.55</v>
      </c>
      <c r="F1420" s="53">
        <f>E1420*C1420</f>
        <v>77.910000000000011</v>
      </c>
      <c r="G1420" s="58"/>
      <c r="H1420" s="41"/>
    </row>
    <row r="1421" spans="1:8" x14ac:dyDescent="0.25">
      <c r="A1421" s="90"/>
      <c r="B1421" s="41" t="s">
        <v>67</v>
      </c>
      <c r="C1421" s="53">
        <v>5</v>
      </c>
      <c r="D1421" s="41" t="s">
        <v>34</v>
      </c>
      <c r="E1421" s="54">
        <f>SUM(F1418:F1420)</f>
        <v>1453.5900000000001</v>
      </c>
      <c r="F1421" s="53">
        <f>E1421*C1421/100</f>
        <v>72.679500000000004</v>
      </c>
      <c r="G1421" s="58"/>
    </row>
    <row r="1422" spans="1:8" x14ac:dyDescent="0.25">
      <c r="A1422" s="90"/>
      <c r="B1422" s="41" t="s">
        <v>471</v>
      </c>
      <c r="C1422" s="53">
        <v>7</v>
      </c>
      <c r="D1422" s="41" t="s">
        <v>34</v>
      </c>
      <c r="E1422" s="54">
        <f>+$F$1423</f>
        <v>0</v>
      </c>
      <c r="F1422" s="53">
        <f>E1422*C1422/100</f>
        <v>0</v>
      </c>
      <c r="G1422" s="58"/>
    </row>
    <row r="1423" spans="1:8" x14ac:dyDescent="0.25">
      <c r="A1423" s="90"/>
      <c r="B1423" s="41" t="s">
        <v>497</v>
      </c>
      <c r="C1423" s="53">
        <v>1</v>
      </c>
      <c r="D1423" s="41" t="s">
        <v>81</v>
      </c>
      <c r="E1423" s="54"/>
      <c r="F1423" s="53">
        <f>E1423*C1423</f>
        <v>0</v>
      </c>
      <c r="G1423" s="58"/>
    </row>
    <row r="1424" spans="1:8" x14ac:dyDescent="0.25">
      <c r="A1424" s="16"/>
      <c r="B1424" s="41" t="s">
        <v>435</v>
      </c>
      <c r="C1424" s="53">
        <v>1</v>
      </c>
      <c r="D1424" s="41" t="s">
        <v>81</v>
      </c>
      <c r="E1424" s="54"/>
      <c r="F1424" s="53">
        <f>E1424*C1424</f>
        <v>0</v>
      </c>
      <c r="G1424" s="58"/>
    </row>
    <row r="1425" spans="1:8" ht="15.6" x14ac:dyDescent="0.3">
      <c r="A1425" s="90"/>
      <c r="B1425" s="41"/>
      <c r="C1425" s="53"/>
      <c r="D1425" s="41"/>
      <c r="E1425" s="54"/>
      <c r="F1425" s="53"/>
      <c r="G1425" s="59">
        <f>SUM(F1418:F1424)</f>
        <v>1526.2695000000001</v>
      </c>
      <c r="H1425" s="3" t="s">
        <v>141</v>
      </c>
    </row>
    <row r="1426" spans="1:8" x14ac:dyDescent="0.25">
      <c r="A1426" s="90"/>
      <c r="B1426" s="41"/>
      <c r="C1426" s="53"/>
      <c r="D1426" s="41"/>
      <c r="E1426" s="54"/>
      <c r="F1426" s="53"/>
      <c r="G1426" s="58"/>
      <c r="H1426" s="41"/>
    </row>
    <row r="1427" spans="1:8" x14ac:dyDescent="0.25">
      <c r="A1427" s="90"/>
      <c r="B1427" s="41"/>
      <c r="C1427" s="53"/>
      <c r="D1427" s="41"/>
      <c r="E1427" s="54"/>
      <c r="F1427" s="53"/>
      <c r="G1427" s="58"/>
    </row>
    <row r="1428" spans="1:8" ht="15.6" x14ac:dyDescent="0.3">
      <c r="A1428" s="90"/>
      <c r="B1428" s="3" t="s">
        <v>498</v>
      </c>
      <c r="C1428" s="65" t="s">
        <v>499</v>
      </c>
      <c r="D1428" s="21"/>
      <c r="E1428" s="68"/>
      <c r="F1428" s="8"/>
      <c r="G1428" s="58"/>
    </row>
    <row r="1429" spans="1:8" x14ac:dyDescent="0.25">
      <c r="A1429" s="90">
        <f>+A1418+0.01</f>
        <v>13.229999999999995</v>
      </c>
      <c r="B1429" s="41" t="s">
        <v>500</v>
      </c>
      <c r="C1429" s="53">
        <f>0.6*3.6*0.15</f>
        <v>0.32400000000000001</v>
      </c>
      <c r="D1429" s="41" t="s">
        <v>54</v>
      </c>
      <c r="E1429" s="54">
        <f>+'[1]Lista de precios MAY25'!$E$43</f>
        <v>8872.42</v>
      </c>
      <c r="F1429" s="53">
        <f>E1429*C1429</f>
        <v>2874.66408</v>
      </c>
      <c r="G1429" s="58"/>
    </row>
    <row r="1430" spans="1:8" x14ac:dyDescent="0.25">
      <c r="A1430" s="90"/>
      <c r="B1430" s="41" t="s">
        <v>340</v>
      </c>
      <c r="C1430" s="53">
        <f>(0.6*2+3.6*2)*3.28/10</f>
        <v>2.7551999999999999</v>
      </c>
      <c r="D1430" s="41" t="s">
        <v>327</v>
      </c>
      <c r="E1430" s="54">
        <f>+$E$1420</f>
        <v>389.55</v>
      </c>
      <c r="F1430" s="53">
        <f>E1430*C1430</f>
        <v>1073.2881600000001</v>
      </c>
      <c r="G1430" s="58"/>
      <c r="H1430" s="41"/>
    </row>
    <row r="1431" spans="1:8" x14ac:dyDescent="0.25">
      <c r="A1431" s="90"/>
      <c r="B1431" s="41" t="s">
        <v>501</v>
      </c>
      <c r="C1431" s="53">
        <f>0.6*3.6</f>
        <v>2.16</v>
      </c>
      <c r="D1431" s="41" t="s">
        <v>81</v>
      </c>
      <c r="E1431" s="54">
        <f>+'[1]Lista de precios MAY25'!$E$11</f>
        <v>495.51645305</v>
      </c>
      <c r="F1431" s="53">
        <f>E1431*C1431</f>
        <v>1070.315538588</v>
      </c>
      <c r="G1431" s="58"/>
      <c r="H1431" s="41"/>
    </row>
    <row r="1432" spans="1:8" x14ac:dyDescent="0.25">
      <c r="A1432" s="90"/>
      <c r="B1432" s="41" t="s">
        <v>411</v>
      </c>
      <c r="C1432" s="53">
        <v>0.05</v>
      </c>
      <c r="D1432" s="41" t="s">
        <v>82</v>
      </c>
      <c r="E1432" s="54">
        <f>+'[1]Lista de precios MAY25'!$E$141</f>
        <v>80.850000000000009</v>
      </c>
      <c r="F1432" s="53">
        <f>E1432*C1432</f>
        <v>4.0425000000000004</v>
      </c>
      <c r="G1432" s="58"/>
      <c r="H1432" s="41"/>
    </row>
    <row r="1433" spans="1:8" x14ac:dyDescent="0.25">
      <c r="A1433" s="90"/>
      <c r="B1433" s="41" t="s">
        <v>67</v>
      </c>
      <c r="C1433" s="53">
        <v>15</v>
      </c>
      <c r="D1433" s="41" t="s">
        <v>34</v>
      </c>
      <c r="E1433" s="54">
        <f>SUM(F1429:F1430)</f>
        <v>3947.9522400000001</v>
      </c>
      <c r="F1433" s="53">
        <f>E1433*C1433/100</f>
        <v>592.19283600000006</v>
      </c>
      <c r="G1433" s="58"/>
    </row>
    <row r="1434" spans="1:8" x14ac:dyDescent="0.25">
      <c r="A1434" s="90"/>
      <c r="B1434" s="41" t="s">
        <v>471</v>
      </c>
      <c r="C1434" s="53">
        <v>10</v>
      </c>
      <c r="D1434" s="41" t="s">
        <v>34</v>
      </c>
      <c r="E1434" s="54">
        <f>+$F$1435</f>
        <v>0</v>
      </c>
      <c r="F1434" s="53">
        <f>E1434*C1434/100</f>
        <v>0</v>
      </c>
      <c r="G1434" s="58"/>
    </row>
    <row r="1435" spans="1:8" x14ac:dyDescent="0.25">
      <c r="A1435" s="90"/>
      <c r="B1435" s="41" t="s">
        <v>502</v>
      </c>
      <c r="C1435" s="53">
        <v>3.6</v>
      </c>
      <c r="D1435" s="41" t="s">
        <v>150</v>
      </c>
      <c r="E1435" s="54"/>
      <c r="F1435" s="53">
        <f>E1435*C1435</f>
        <v>0</v>
      </c>
      <c r="G1435" s="58"/>
    </row>
    <row r="1436" spans="1:8" x14ac:dyDescent="0.25">
      <c r="A1436" s="16"/>
      <c r="B1436" s="41" t="s">
        <v>435</v>
      </c>
      <c r="C1436" s="53">
        <v>1</v>
      </c>
      <c r="D1436" s="41" t="s">
        <v>81</v>
      </c>
      <c r="E1436" s="54"/>
      <c r="F1436" s="53">
        <f>E1436*C1436</f>
        <v>0</v>
      </c>
      <c r="G1436" s="58"/>
    </row>
    <row r="1437" spans="1:8" ht="15.6" x14ac:dyDescent="0.3">
      <c r="A1437" s="90"/>
      <c r="B1437" s="41"/>
      <c r="C1437" s="53"/>
      <c r="D1437" s="41"/>
      <c r="E1437" s="54"/>
      <c r="F1437" s="53"/>
      <c r="G1437" s="59">
        <f>SUM(F1429:F1436)/C1435</f>
        <v>1559.5841984966667</v>
      </c>
      <c r="H1437" s="3" t="s">
        <v>19</v>
      </c>
    </row>
    <row r="1438" spans="1:8" x14ac:dyDescent="0.25">
      <c r="A1438" s="90"/>
      <c r="B1438" s="41"/>
      <c r="C1438" s="53"/>
      <c r="D1438" s="41"/>
      <c r="E1438" s="54"/>
      <c r="F1438" s="53"/>
      <c r="G1438" s="58"/>
    </row>
    <row r="1439" spans="1:8" ht="15.6" x14ac:dyDescent="0.3">
      <c r="A1439" s="90"/>
      <c r="B1439" s="3" t="s">
        <v>503</v>
      </c>
      <c r="C1439" s="8"/>
      <c r="E1439" s="46"/>
      <c r="F1439" s="8"/>
      <c r="G1439" s="58"/>
    </row>
    <row r="1440" spans="1:8" x14ac:dyDescent="0.25">
      <c r="A1440" s="90">
        <f>+A1429+0.01</f>
        <v>13.239999999999995</v>
      </c>
      <c r="B1440" s="41" t="s">
        <v>504</v>
      </c>
      <c r="C1440" s="8">
        <v>1</v>
      </c>
      <c r="D1440" s="2" t="s">
        <v>81</v>
      </c>
      <c r="E1440" s="46"/>
      <c r="F1440" s="53">
        <f>E1440*C1440</f>
        <v>0</v>
      </c>
      <c r="G1440" s="58"/>
    </row>
    <row r="1441" spans="1:8" x14ac:dyDescent="0.25">
      <c r="A1441" s="90"/>
      <c r="B1441" s="41" t="s">
        <v>496</v>
      </c>
      <c r="C1441" s="53">
        <f>1*1*0.15</f>
        <v>0.15</v>
      </c>
      <c r="D1441" s="41" t="s">
        <v>54</v>
      </c>
      <c r="E1441" s="54">
        <f>+$E$1418</f>
        <v>9027</v>
      </c>
      <c r="F1441" s="53">
        <f>E1441*C1441</f>
        <v>1354.05</v>
      </c>
      <c r="G1441" s="58"/>
    </row>
    <row r="1442" spans="1:8" x14ac:dyDescent="0.25">
      <c r="A1442" s="90"/>
      <c r="B1442" s="41" t="s">
        <v>340</v>
      </c>
      <c r="C1442" s="53">
        <f>3.1*3.28/10</f>
        <v>1.0167999999999999</v>
      </c>
      <c r="D1442" s="41" t="s">
        <v>327</v>
      </c>
      <c r="E1442" s="54">
        <f>+$E$1420</f>
        <v>389.55</v>
      </c>
      <c r="F1442" s="53">
        <f>E1442*C1442</f>
        <v>396.09443999999996</v>
      </c>
      <c r="G1442" s="58"/>
      <c r="H1442" s="41"/>
    </row>
    <row r="1443" spans="1:8" x14ac:dyDescent="0.25">
      <c r="A1443" s="90"/>
      <c r="B1443" s="41" t="s">
        <v>411</v>
      </c>
      <c r="C1443" s="53">
        <v>0.05</v>
      </c>
      <c r="D1443" s="41" t="s">
        <v>82</v>
      </c>
      <c r="E1443" s="54">
        <f>+'[1]Lista de precios MAY25'!$E$141</f>
        <v>80.850000000000009</v>
      </c>
      <c r="F1443" s="53">
        <f>E1443*C1443</f>
        <v>4.0425000000000004</v>
      </c>
      <c r="G1443" s="58"/>
      <c r="H1443" s="41"/>
    </row>
    <row r="1444" spans="1:8" x14ac:dyDescent="0.25">
      <c r="A1444" s="90"/>
      <c r="B1444" s="41" t="s">
        <v>67</v>
      </c>
      <c r="C1444" s="53">
        <v>10</v>
      </c>
      <c r="D1444" s="41" t="s">
        <v>34</v>
      </c>
      <c r="E1444" s="54">
        <f>SUM(F1440:F1442)</f>
        <v>1750.14444</v>
      </c>
      <c r="F1444" s="53">
        <f>E1444*C1444/100</f>
        <v>175.014444</v>
      </c>
      <c r="G1444" s="58"/>
    </row>
    <row r="1445" spans="1:8" x14ac:dyDescent="0.25">
      <c r="A1445" s="90"/>
      <c r="B1445" s="41" t="s">
        <v>471</v>
      </c>
      <c r="C1445" s="53">
        <v>10</v>
      </c>
      <c r="D1445" s="41" t="s">
        <v>34</v>
      </c>
      <c r="E1445" s="54">
        <f>+$F$1446</f>
        <v>0</v>
      </c>
      <c r="F1445" s="53">
        <f>E1445*C1445/100</f>
        <v>0</v>
      </c>
      <c r="G1445" s="58"/>
    </row>
    <row r="1446" spans="1:8" x14ac:dyDescent="0.25">
      <c r="A1446" s="90"/>
      <c r="B1446" s="41" t="s">
        <v>502</v>
      </c>
      <c r="C1446" s="53">
        <v>1</v>
      </c>
      <c r="D1446" s="41" t="s">
        <v>8</v>
      </c>
      <c r="E1446" s="54"/>
      <c r="F1446" s="53">
        <f>E1446*C1446</f>
        <v>0</v>
      </c>
      <c r="G1446" s="58"/>
    </row>
    <row r="1447" spans="1:8" x14ac:dyDescent="0.25">
      <c r="A1447" s="16"/>
      <c r="B1447" s="41" t="s">
        <v>435</v>
      </c>
      <c r="C1447" s="53">
        <v>1</v>
      </c>
      <c r="D1447" s="41" t="s">
        <v>81</v>
      </c>
      <c r="E1447" s="54"/>
      <c r="F1447" s="53">
        <f>E1447*C1447</f>
        <v>0</v>
      </c>
      <c r="G1447" s="58"/>
    </row>
    <row r="1448" spans="1:8" x14ac:dyDescent="0.25">
      <c r="A1448" s="90"/>
      <c r="B1448" s="41" t="s">
        <v>122</v>
      </c>
      <c r="C1448" s="53">
        <v>1</v>
      </c>
      <c r="D1448" s="41" t="s">
        <v>81</v>
      </c>
      <c r="E1448" s="54">
        <v>100</v>
      </c>
      <c r="F1448" s="53">
        <f>E1448*C1448</f>
        <v>100</v>
      </c>
      <c r="G1448" s="117" t="s">
        <v>505</v>
      </c>
      <c r="H1448" s="123"/>
    </row>
    <row r="1449" spans="1:8" ht="15.6" x14ac:dyDescent="0.3">
      <c r="A1449" s="90"/>
      <c r="B1449" s="41"/>
      <c r="C1449" s="53"/>
      <c r="D1449" s="41"/>
      <c r="E1449" s="54"/>
      <c r="F1449" s="53"/>
      <c r="G1449" s="59">
        <f>SUM(F1440:F1448)</f>
        <v>2029.201384</v>
      </c>
      <c r="H1449" s="3" t="s">
        <v>81</v>
      </c>
    </row>
    <row r="1450" spans="1:8" x14ac:dyDescent="0.25">
      <c r="A1450" s="90"/>
      <c r="B1450" s="41"/>
      <c r="C1450" s="53"/>
      <c r="D1450" s="41"/>
      <c r="E1450" s="54"/>
      <c r="F1450" s="53"/>
      <c r="G1450" s="58"/>
    </row>
    <row r="1451" spans="1:8" ht="15.6" x14ac:dyDescent="0.3">
      <c r="A1451" s="90"/>
      <c r="B1451" s="3" t="s">
        <v>506</v>
      </c>
      <c r="C1451" s="8"/>
      <c r="E1451" s="46"/>
      <c r="F1451" s="8"/>
      <c r="G1451" s="58"/>
    </row>
    <row r="1452" spans="1:8" x14ac:dyDescent="0.25">
      <c r="A1452" s="90">
        <f>+A1440+0.01</f>
        <v>13.249999999999995</v>
      </c>
      <c r="B1452" s="41" t="s">
        <v>507</v>
      </c>
      <c r="C1452" s="53">
        <v>1</v>
      </c>
      <c r="D1452" s="41" t="s">
        <v>150</v>
      </c>
      <c r="E1452" s="54"/>
      <c r="F1452" s="53">
        <f>E1452*C1452</f>
        <v>0</v>
      </c>
      <c r="G1452" s="117" t="s">
        <v>469</v>
      </c>
      <c r="H1452" s="123"/>
    </row>
    <row r="1453" spans="1:8" x14ac:dyDescent="0.25">
      <c r="A1453" s="90"/>
      <c r="B1453" s="41" t="s">
        <v>407</v>
      </c>
      <c r="C1453" s="53">
        <f>0.4*0.05</f>
        <v>2.0000000000000004E-2</v>
      </c>
      <c r="D1453" s="41" t="s">
        <v>54</v>
      </c>
      <c r="E1453" s="54">
        <f>+$G$55</f>
        <v>9859.73</v>
      </c>
      <c r="F1453" s="53">
        <f>E1453*C1453</f>
        <v>197.19460000000004</v>
      </c>
      <c r="G1453" s="58"/>
    </row>
    <row r="1454" spans="1:8" x14ac:dyDescent="0.25">
      <c r="A1454" s="90"/>
      <c r="B1454" s="41" t="s">
        <v>408</v>
      </c>
      <c r="C1454" s="53">
        <f>0.4*0.13</f>
        <v>5.2000000000000005E-2</v>
      </c>
      <c r="D1454" s="41" t="s">
        <v>409</v>
      </c>
      <c r="E1454" s="54">
        <f>+'[1]Lista de precios MAY25'!$E$137</f>
        <v>3658.4719999999998</v>
      </c>
      <c r="F1454" s="53">
        <f>E1454*C1454</f>
        <v>190.240544</v>
      </c>
      <c r="G1454" s="58"/>
      <c r="H1454" s="41"/>
    </row>
    <row r="1455" spans="1:8" x14ac:dyDescent="0.25">
      <c r="A1455" s="90"/>
      <c r="B1455" s="41" t="s">
        <v>411</v>
      </c>
      <c r="C1455" s="53">
        <f>0.05*0.4</f>
        <v>2.0000000000000004E-2</v>
      </c>
      <c r="D1455" s="41" t="s">
        <v>82</v>
      </c>
      <c r="E1455" s="54">
        <f>+$E$1432</f>
        <v>80.850000000000009</v>
      </c>
      <c r="F1455" s="53">
        <f>E1455*C1455</f>
        <v>1.6170000000000004</v>
      </c>
      <c r="G1455" s="58"/>
      <c r="H1455" s="41"/>
    </row>
    <row r="1456" spans="1:8" x14ac:dyDescent="0.25">
      <c r="A1456" s="90"/>
      <c r="B1456" s="41" t="s">
        <v>410</v>
      </c>
      <c r="C1456" s="53">
        <f>0.4*6.5</f>
        <v>2.6</v>
      </c>
      <c r="D1456" s="41" t="s">
        <v>82</v>
      </c>
      <c r="E1456" s="54">
        <f>+$G$95</f>
        <v>15.807777777777778</v>
      </c>
      <c r="F1456" s="53">
        <f>E1456*C1456</f>
        <v>41.100222222222222</v>
      </c>
      <c r="G1456" s="58"/>
    </row>
    <row r="1457" spans="1:8" x14ac:dyDescent="0.25">
      <c r="A1457" s="90"/>
      <c r="B1457" s="41" t="s">
        <v>67</v>
      </c>
      <c r="C1457" s="53">
        <v>15</v>
      </c>
      <c r="D1457" s="41" t="s">
        <v>34</v>
      </c>
      <c r="E1457" s="54">
        <f>SUM(F1452:F1456)</f>
        <v>430.15236622222227</v>
      </c>
      <c r="F1457" s="53">
        <f>E1457*C1457/100</f>
        <v>64.522854933333335</v>
      </c>
      <c r="G1457" s="58"/>
    </row>
    <row r="1458" spans="1:8" x14ac:dyDescent="0.25">
      <c r="A1458" s="90"/>
      <c r="B1458" s="41" t="s">
        <v>412</v>
      </c>
      <c r="C1458" s="53">
        <v>1</v>
      </c>
      <c r="D1458" s="41" t="s">
        <v>150</v>
      </c>
      <c r="E1458" s="54">
        <f>+'[1]MO MAY25'!$N$590</f>
        <v>80.5</v>
      </c>
      <c r="F1458" s="53">
        <f>E1458*C1458</f>
        <v>80.5</v>
      </c>
      <c r="G1458" s="58"/>
    </row>
    <row r="1459" spans="1:8" x14ac:dyDescent="0.25">
      <c r="A1459" s="16"/>
      <c r="B1459" s="41" t="s">
        <v>508</v>
      </c>
      <c r="C1459" s="53">
        <v>1</v>
      </c>
      <c r="D1459" s="41" t="s">
        <v>150</v>
      </c>
      <c r="E1459" s="54">
        <f>+$E$1471</f>
        <v>563.5</v>
      </c>
      <c r="F1459" s="53">
        <f>E1459*C1459</f>
        <v>563.5</v>
      </c>
      <c r="G1459" s="58"/>
    </row>
    <row r="1460" spans="1:8" x14ac:dyDescent="0.25">
      <c r="A1460" s="90"/>
      <c r="B1460" s="41" t="s">
        <v>435</v>
      </c>
      <c r="C1460" s="53">
        <v>1</v>
      </c>
      <c r="D1460" s="41" t="s">
        <v>150</v>
      </c>
      <c r="E1460" s="54">
        <f>+$E$1472</f>
        <v>341.55</v>
      </c>
      <c r="F1460" s="53">
        <f>E1460*C1460</f>
        <v>341.55</v>
      </c>
      <c r="G1460" s="58"/>
    </row>
    <row r="1461" spans="1:8" ht="15.6" x14ac:dyDescent="0.3">
      <c r="A1461" s="90"/>
      <c r="B1461" s="41"/>
      <c r="C1461" s="53"/>
      <c r="D1461" s="41"/>
      <c r="E1461" s="54"/>
      <c r="F1461" s="53"/>
      <c r="G1461" s="59">
        <f>SUM(F1452:F1460)</f>
        <v>1480.2252211555556</v>
      </c>
      <c r="H1461" s="3" t="s">
        <v>150</v>
      </c>
    </row>
    <row r="1462" spans="1:8" ht="15.6" x14ac:dyDescent="0.3">
      <c r="A1462" s="90"/>
      <c r="B1462" s="41"/>
      <c r="C1462" s="53"/>
      <c r="D1462" s="41"/>
      <c r="E1462" s="54"/>
      <c r="F1462" s="53"/>
      <c r="G1462" s="59"/>
      <c r="H1462" s="3"/>
    </row>
    <row r="1463" spans="1:8" ht="15.6" x14ac:dyDescent="0.3">
      <c r="A1463" s="90"/>
      <c r="B1463" s="3" t="s">
        <v>509</v>
      </c>
      <c r="C1463" s="8"/>
      <c r="E1463" s="46"/>
      <c r="F1463" s="8"/>
      <c r="G1463" s="58"/>
    </row>
    <row r="1464" spans="1:8" x14ac:dyDescent="0.25">
      <c r="A1464" s="90">
        <f>+A1452+0.01</f>
        <v>13.259999999999994</v>
      </c>
      <c r="B1464" s="41" t="s">
        <v>510</v>
      </c>
      <c r="C1464" s="53">
        <v>1</v>
      </c>
      <c r="D1464" s="41" t="s">
        <v>150</v>
      </c>
      <c r="E1464" s="54">
        <f>+'[1]Lista de precios MAY25'!E114</f>
        <v>1523.97</v>
      </c>
      <c r="F1464" s="53">
        <f>E1464*C1464</f>
        <v>1523.97</v>
      </c>
      <c r="G1464" s="58"/>
    </row>
    <row r="1465" spans="1:8" x14ac:dyDescent="0.25">
      <c r="A1465" s="90"/>
      <c r="B1465" s="41" t="s">
        <v>407</v>
      </c>
      <c r="C1465" s="53">
        <f>0.05*0.3</f>
        <v>1.4999999999999999E-2</v>
      </c>
      <c r="D1465" s="41" t="s">
        <v>54</v>
      </c>
      <c r="E1465" s="54">
        <f>+$G$55</f>
        <v>9859.73</v>
      </c>
      <c r="F1465" s="53">
        <f>E1465*C1465</f>
        <v>147.89595</v>
      </c>
      <c r="G1465" s="58"/>
    </row>
    <row r="1466" spans="1:8" x14ac:dyDescent="0.25">
      <c r="A1466" s="90"/>
      <c r="B1466" s="41" t="s">
        <v>408</v>
      </c>
      <c r="C1466" s="53">
        <f>0.3*0.13</f>
        <v>3.9E-2</v>
      </c>
      <c r="D1466" s="41" t="s">
        <v>409</v>
      </c>
      <c r="E1466" s="54">
        <f>+'[1]Lista de precios MAY25'!$E$138</f>
        <v>1350</v>
      </c>
      <c r="F1466" s="53">
        <f>E1466*C1466</f>
        <v>52.65</v>
      </c>
      <c r="G1466" s="58"/>
      <c r="H1466" s="41"/>
    </row>
    <row r="1467" spans="1:8" x14ac:dyDescent="0.25">
      <c r="A1467" s="90"/>
      <c r="B1467" s="41" t="s">
        <v>411</v>
      </c>
      <c r="C1467" s="53">
        <f>0.05*0.3</f>
        <v>1.4999999999999999E-2</v>
      </c>
      <c r="D1467" s="41" t="s">
        <v>82</v>
      </c>
      <c r="E1467" s="54">
        <f>+'[1]Lista de precios MAY25'!$E$141</f>
        <v>80.850000000000009</v>
      </c>
      <c r="F1467" s="53">
        <f>E1467*C1467</f>
        <v>1.21275</v>
      </c>
      <c r="G1467" s="58"/>
      <c r="H1467" s="41"/>
    </row>
    <row r="1468" spans="1:8" x14ac:dyDescent="0.25">
      <c r="A1468" s="90"/>
      <c r="B1468" s="41" t="s">
        <v>410</v>
      </c>
      <c r="C1468" s="53">
        <f>0.3*6.5</f>
        <v>1.95</v>
      </c>
      <c r="D1468" s="41" t="s">
        <v>82</v>
      </c>
      <c r="E1468" s="54">
        <f>+$G$95</f>
        <v>15.807777777777778</v>
      </c>
      <c r="F1468" s="53">
        <f>E1468*C1468</f>
        <v>30.825166666666668</v>
      </c>
      <c r="G1468" s="58"/>
    </row>
    <row r="1469" spans="1:8" x14ac:dyDescent="0.25">
      <c r="A1469" s="90"/>
      <c r="B1469" s="41" t="s">
        <v>67</v>
      </c>
      <c r="C1469" s="53">
        <v>10</v>
      </c>
      <c r="D1469" s="41" t="s">
        <v>34</v>
      </c>
      <c r="E1469" s="54">
        <f>SUM(F1464:F1468)</f>
        <v>1756.5538666666669</v>
      </c>
      <c r="F1469" s="53">
        <f>E1469*C1469/100</f>
        <v>175.65538666666669</v>
      </c>
      <c r="G1469" s="58"/>
    </row>
    <row r="1470" spans="1:8" x14ac:dyDescent="0.25">
      <c r="A1470" s="90"/>
      <c r="B1470" s="41" t="s">
        <v>412</v>
      </c>
      <c r="C1470" s="53">
        <v>1</v>
      </c>
      <c r="D1470" s="41" t="s">
        <v>150</v>
      </c>
      <c r="E1470" s="168">
        <f>+'[1]MO MAY25'!$N$589</f>
        <v>80.5</v>
      </c>
      <c r="F1470" s="53">
        <f>E1470*C1470</f>
        <v>80.5</v>
      </c>
      <c r="G1470" s="58"/>
    </row>
    <row r="1471" spans="1:8" x14ac:dyDescent="0.25">
      <c r="A1471" s="16"/>
      <c r="B1471" s="41" t="s">
        <v>508</v>
      </c>
      <c r="C1471" s="53">
        <v>1</v>
      </c>
      <c r="D1471" s="41" t="s">
        <v>150</v>
      </c>
      <c r="E1471" s="54">
        <f>+'[1]MO MAY25'!N567</f>
        <v>563.5</v>
      </c>
      <c r="F1471" s="53">
        <f>E1471*C1471</f>
        <v>563.5</v>
      </c>
      <c r="G1471" s="58"/>
    </row>
    <row r="1472" spans="1:8" x14ac:dyDescent="0.25">
      <c r="A1472" s="90"/>
      <c r="B1472" s="41" t="s">
        <v>435</v>
      </c>
      <c r="C1472" s="53">
        <f>0.3*0.6</f>
        <v>0.18</v>
      </c>
      <c r="D1472" s="41" t="s">
        <v>150</v>
      </c>
      <c r="E1472" s="54">
        <f>+'[1]MO MAY25'!$N$425*1.1</f>
        <v>341.55</v>
      </c>
      <c r="F1472" s="53">
        <f>E1472*C1472</f>
        <v>61.478999999999999</v>
      </c>
      <c r="G1472" s="58"/>
    </row>
    <row r="1473" spans="1:9" ht="15.6" x14ac:dyDescent="0.3">
      <c r="A1473" s="90"/>
      <c r="B1473" s="41"/>
      <c r="C1473" s="53"/>
      <c r="D1473" s="41"/>
      <c r="E1473" s="54"/>
      <c r="F1473" s="53"/>
      <c r="G1473" s="56">
        <f>SUM(F1464:F1472)</f>
        <v>2637.6882533333333</v>
      </c>
      <c r="H1473" s="57" t="s">
        <v>150</v>
      </c>
      <c r="I1473" s="55"/>
    </row>
    <row r="1474" spans="1:9" x14ac:dyDescent="0.25">
      <c r="A1474" s="90"/>
      <c r="B1474" s="41"/>
      <c r="C1474" s="53"/>
      <c r="D1474" s="41"/>
      <c r="E1474" s="54"/>
      <c r="F1474" s="53"/>
      <c r="G1474" s="58"/>
      <c r="H1474" s="41"/>
    </row>
    <row r="1475" spans="1:9" ht="15.6" x14ac:dyDescent="0.3">
      <c r="A1475" s="90"/>
      <c r="B1475" s="3" t="s">
        <v>511</v>
      </c>
      <c r="C1475" s="8"/>
      <c r="E1475" s="46"/>
      <c r="F1475" s="8"/>
      <c r="G1475" s="58"/>
    </row>
    <row r="1476" spans="1:9" x14ac:dyDescent="0.25">
      <c r="A1476" s="90">
        <f>+A1464+0.01</f>
        <v>13.269999999999994</v>
      </c>
      <c r="B1476" s="41" t="s">
        <v>512</v>
      </c>
      <c r="C1476" s="53">
        <v>1</v>
      </c>
      <c r="D1476" s="41" t="s">
        <v>150</v>
      </c>
      <c r="E1476" s="54">
        <f>1230*1.18*1.05*0.35*1.35+1000</f>
        <v>1720.0758249999999</v>
      </c>
      <c r="F1476" s="53">
        <f>E1476*C1476</f>
        <v>1720.0758249999999</v>
      </c>
      <c r="G1476" s="58"/>
    </row>
    <row r="1477" spans="1:9" x14ac:dyDescent="0.25">
      <c r="A1477" s="90"/>
      <c r="B1477" s="41" t="s">
        <v>513</v>
      </c>
      <c r="C1477" s="53">
        <f>0.4*0.05</f>
        <v>2.0000000000000004E-2</v>
      </c>
      <c r="D1477" s="41" t="s">
        <v>54</v>
      </c>
      <c r="E1477" s="54">
        <f>+$G$55</f>
        <v>9859.73</v>
      </c>
      <c r="F1477" s="53">
        <f>E1477*C1477</f>
        <v>197.19460000000004</v>
      </c>
      <c r="G1477" s="58"/>
    </row>
    <row r="1478" spans="1:9" x14ac:dyDescent="0.25">
      <c r="A1478" s="90"/>
      <c r="B1478" s="41" t="s">
        <v>408</v>
      </c>
      <c r="C1478" s="53">
        <f>0.4*0.13</f>
        <v>5.2000000000000005E-2</v>
      </c>
      <c r="D1478" s="41" t="s">
        <v>409</v>
      </c>
      <c r="E1478" s="54">
        <f>+'[1]Lista de precios MAY25'!$E$138</f>
        <v>1350</v>
      </c>
      <c r="F1478" s="53">
        <f>E1478*C1478</f>
        <v>70.2</v>
      </c>
      <c r="G1478" s="58"/>
      <c r="H1478" s="41"/>
    </row>
    <row r="1479" spans="1:9" x14ac:dyDescent="0.25">
      <c r="A1479" s="90"/>
      <c r="B1479" s="41" t="s">
        <v>411</v>
      </c>
      <c r="C1479" s="53">
        <f>0.05*0.4</f>
        <v>2.0000000000000004E-2</v>
      </c>
      <c r="D1479" s="41" t="s">
        <v>82</v>
      </c>
      <c r="E1479" s="54">
        <f>+'[1]Lista de precios MAY25'!$E$141</f>
        <v>80.850000000000009</v>
      </c>
      <c r="F1479" s="53">
        <f>E1479*C1479</f>
        <v>1.6170000000000004</v>
      </c>
      <c r="G1479" s="58"/>
      <c r="H1479" s="41"/>
    </row>
    <row r="1480" spans="1:9" x14ac:dyDescent="0.25">
      <c r="A1480" s="90"/>
      <c r="B1480" s="41" t="s">
        <v>410</v>
      </c>
      <c r="C1480" s="53">
        <f>0.4*6.5</f>
        <v>2.6</v>
      </c>
      <c r="D1480" s="41" t="s">
        <v>82</v>
      </c>
      <c r="E1480" s="54">
        <f>+$G$95</f>
        <v>15.807777777777778</v>
      </c>
      <c r="F1480" s="53">
        <f>E1480*C1480</f>
        <v>41.100222222222222</v>
      </c>
      <c r="G1480" s="58"/>
    </row>
    <row r="1481" spans="1:9" x14ac:dyDescent="0.25">
      <c r="A1481" s="90"/>
      <c r="B1481" s="41" t="s">
        <v>67</v>
      </c>
      <c r="C1481" s="53">
        <v>10</v>
      </c>
      <c r="D1481" s="41" t="s">
        <v>34</v>
      </c>
      <c r="E1481" s="54">
        <f>SUM(F1476:F1480)</f>
        <v>2030.1876472222223</v>
      </c>
      <c r="F1481" s="53">
        <f>E1481*C1481/100</f>
        <v>203.01876472222222</v>
      </c>
      <c r="G1481" s="58"/>
    </row>
    <row r="1482" spans="1:9" x14ac:dyDescent="0.25">
      <c r="A1482" s="90"/>
      <c r="B1482" s="41" t="s">
        <v>412</v>
      </c>
      <c r="C1482" s="53">
        <v>1</v>
      </c>
      <c r="D1482" s="41" t="s">
        <v>150</v>
      </c>
      <c r="E1482" s="168">
        <f>+'[1]MO MAY25'!$N$589</f>
        <v>80.5</v>
      </c>
      <c r="F1482" s="53">
        <f>E1482*C1482</f>
        <v>80.5</v>
      </c>
      <c r="G1482" s="58"/>
    </row>
    <row r="1483" spans="1:9" x14ac:dyDescent="0.25">
      <c r="A1483" s="16"/>
      <c r="B1483" s="41" t="s">
        <v>508</v>
      </c>
      <c r="C1483" s="53">
        <v>1</v>
      </c>
      <c r="D1483" s="41" t="s">
        <v>150</v>
      </c>
      <c r="E1483" s="54">
        <f>+'[1]MO MAY25'!$N$604</f>
        <v>1035</v>
      </c>
      <c r="F1483" s="53">
        <f>E1483*C1483</f>
        <v>1035</v>
      </c>
      <c r="G1483" s="58"/>
    </row>
    <row r="1484" spans="1:9" x14ac:dyDescent="0.25">
      <c r="A1484" s="90"/>
      <c r="B1484" s="41" t="s">
        <v>435</v>
      </c>
      <c r="C1484" s="53">
        <v>1</v>
      </c>
      <c r="D1484" s="41" t="s">
        <v>150</v>
      </c>
      <c r="E1484" s="54">
        <f>+'[1]MO MAY25'!$N$425*1.1</f>
        <v>341.55</v>
      </c>
      <c r="F1484" s="53">
        <f>E1484*C1484</f>
        <v>341.55</v>
      </c>
      <c r="G1484" s="58"/>
    </row>
    <row r="1485" spans="1:9" ht="15.6" x14ac:dyDescent="0.3">
      <c r="A1485" s="90"/>
      <c r="B1485" s="41"/>
      <c r="C1485" s="53"/>
      <c r="D1485" s="41"/>
      <c r="E1485" s="54"/>
      <c r="F1485" s="53"/>
      <c r="G1485" s="56">
        <f>SUM(F1476:F1484)</f>
        <v>3690.2564119444446</v>
      </c>
      <c r="H1485" s="57" t="s">
        <v>150</v>
      </c>
    </row>
    <row r="1486" spans="1:9" x14ac:dyDescent="0.25">
      <c r="A1486" s="90"/>
      <c r="B1486" s="41"/>
      <c r="C1486" s="53"/>
      <c r="D1486" s="41"/>
      <c r="E1486" s="54"/>
      <c r="F1486" s="53"/>
      <c r="G1486" s="58"/>
      <c r="H1486" s="41"/>
    </row>
    <row r="1487" spans="1:9" x14ac:dyDescent="0.25">
      <c r="A1487" s="90"/>
      <c r="B1487" s="41"/>
      <c r="C1487" s="53"/>
      <c r="D1487" s="41"/>
      <c r="E1487" s="54"/>
      <c r="F1487" s="53"/>
      <c r="G1487" s="58"/>
      <c r="H1487" s="41"/>
    </row>
    <row r="1488" spans="1:9" ht="15.6" x14ac:dyDescent="0.3">
      <c r="A1488" s="90"/>
      <c r="B1488" s="3" t="s">
        <v>514</v>
      </c>
      <c r="E1488" s="46"/>
      <c r="G1488" s="58"/>
    </row>
    <row r="1489" spans="1:8" x14ac:dyDescent="0.25">
      <c r="A1489" s="90">
        <f>+A1476+0.01</f>
        <v>13.279999999999994</v>
      </c>
      <c r="B1489" s="41" t="s">
        <v>515</v>
      </c>
      <c r="C1489" s="53">
        <v>1</v>
      </c>
      <c r="D1489" s="41" t="s">
        <v>150</v>
      </c>
      <c r="E1489" s="168">
        <f>+'[1]Lista de precios MAY25'!E116</f>
        <v>1523.97</v>
      </c>
      <c r="F1489" s="53">
        <f>E1489*C1489</f>
        <v>1523.97</v>
      </c>
      <c r="G1489" s="58"/>
    </row>
    <row r="1490" spans="1:8" x14ac:dyDescent="0.25">
      <c r="A1490" s="90"/>
      <c r="B1490" s="41" t="s">
        <v>516</v>
      </c>
      <c r="C1490" s="53">
        <f>0.15*0.3</f>
        <v>4.4999999999999998E-2</v>
      </c>
      <c r="D1490" s="41" t="s">
        <v>517</v>
      </c>
      <c r="E1490" s="168">
        <f>+'[1]Lista de precios MAY25'!E137</f>
        <v>3658.4719999999998</v>
      </c>
      <c r="F1490" s="53">
        <f>E1490*C1490</f>
        <v>164.63123999999999</v>
      </c>
      <c r="G1490" s="58"/>
    </row>
    <row r="1491" spans="1:8" x14ac:dyDescent="0.25">
      <c r="A1491" s="90"/>
      <c r="B1491" s="41" t="s">
        <v>518</v>
      </c>
      <c r="C1491" s="53">
        <f>5*0.3</f>
        <v>1.5</v>
      </c>
      <c r="D1491" s="41" t="s">
        <v>82</v>
      </c>
      <c r="E1491" s="168">
        <f>+$G$95</f>
        <v>15.807777777777778</v>
      </c>
      <c r="F1491" s="53">
        <f>E1491*C1491</f>
        <v>23.711666666666666</v>
      </c>
      <c r="G1491" s="58"/>
    </row>
    <row r="1492" spans="1:8" x14ac:dyDescent="0.25">
      <c r="A1492" s="90"/>
      <c r="B1492" s="41" t="s">
        <v>411</v>
      </c>
      <c r="C1492" s="53">
        <v>0.05</v>
      </c>
      <c r="D1492" s="41" t="s">
        <v>82</v>
      </c>
      <c r="E1492" s="54">
        <f>+'[1]Lista de precios MAY25'!$E$141</f>
        <v>80.850000000000009</v>
      </c>
      <c r="F1492" s="53">
        <f>E1492*C1492</f>
        <v>4.0425000000000004</v>
      </c>
      <c r="G1492" s="58"/>
    </row>
    <row r="1493" spans="1:8" ht="17.25" customHeight="1" x14ac:dyDescent="0.25">
      <c r="A1493" s="90"/>
      <c r="B1493" s="41" t="s">
        <v>268</v>
      </c>
      <c r="C1493" s="53">
        <v>10</v>
      </c>
      <c r="D1493" s="41" t="s">
        <v>34</v>
      </c>
      <c r="E1493" s="172">
        <f>SUM(F1489:F1492)</f>
        <v>1716.3554066666666</v>
      </c>
      <c r="F1493" s="53">
        <f>E1493*C1493/100</f>
        <v>171.63554066666663</v>
      </c>
      <c r="G1493" s="58"/>
    </row>
    <row r="1494" spans="1:8" x14ac:dyDescent="0.25">
      <c r="A1494" s="90"/>
      <c r="B1494" s="41" t="s">
        <v>459</v>
      </c>
      <c r="C1494" s="53">
        <v>1</v>
      </c>
      <c r="D1494" s="41" t="s">
        <v>184</v>
      </c>
      <c r="E1494" s="168">
        <f>+'[1]MO MAY25'!$N$589</f>
        <v>80.5</v>
      </c>
      <c r="F1494" s="53">
        <f>E1494*C1494</f>
        <v>80.5</v>
      </c>
      <c r="G1494" s="58"/>
    </row>
    <row r="1495" spans="1:8" x14ac:dyDescent="0.25">
      <c r="A1495" s="90"/>
      <c r="B1495" s="41" t="s">
        <v>271</v>
      </c>
      <c r="C1495" s="53">
        <v>1</v>
      </c>
      <c r="D1495" s="41" t="s">
        <v>81</v>
      </c>
      <c r="E1495" s="168">
        <f>+'[1]MO MAY25'!N606</f>
        <v>632.5</v>
      </c>
      <c r="F1495" s="53">
        <f>E1495*C1495</f>
        <v>632.5</v>
      </c>
      <c r="G1495" s="58"/>
    </row>
    <row r="1496" spans="1:8" ht="15.6" x14ac:dyDescent="0.3">
      <c r="A1496" s="90"/>
      <c r="B1496" s="41"/>
      <c r="D1496" s="41"/>
      <c r="E1496" s="46"/>
      <c r="G1496" s="47">
        <f>SUM(F1489:F1495)</f>
        <v>2600.9909473333332</v>
      </c>
      <c r="H1496" s="57" t="s">
        <v>19</v>
      </c>
    </row>
    <row r="1497" spans="1:8" ht="15.6" x14ac:dyDescent="0.3">
      <c r="A1497" s="90"/>
      <c r="B1497" s="3" t="s">
        <v>519</v>
      </c>
      <c r="C1497" s="8"/>
      <c r="E1497" s="46"/>
      <c r="F1497" s="8"/>
      <c r="G1497" s="58"/>
    </row>
    <row r="1498" spans="1:8" x14ac:dyDescent="0.25">
      <c r="A1498" s="90">
        <f>+A1489+0.01</f>
        <v>13.289999999999994</v>
      </c>
      <c r="B1498" s="41" t="s">
        <v>520</v>
      </c>
      <c r="C1498" s="53">
        <v>1</v>
      </c>
      <c r="D1498" s="41" t="s">
        <v>150</v>
      </c>
      <c r="E1498" s="54"/>
      <c r="F1498" s="53">
        <f>E1498*C1498</f>
        <v>0</v>
      </c>
      <c r="G1498" s="117" t="s">
        <v>469</v>
      </c>
      <c r="H1498" s="123"/>
    </row>
    <row r="1499" spans="1:8" x14ac:dyDescent="0.25">
      <c r="A1499" s="90"/>
      <c r="B1499" s="41" t="s">
        <v>407</v>
      </c>
      <c r="C1499" s="53">
        <v>0</v>
      </c>
      <c r="D1499" s="41" t="s">
        <v>54</v>
      </c>
      <c r="E1499" s="54">
        <f>+$G$55</f>
        <v>9859.73</v>
      </c>
      <c r="F1499" s="53">
        <f>E1499*C1499</f>
        <v>0</v>
      </c>
      <c r="G1499" s="58"/>
    </row>
    <row r="1500" spans="1:8" x14ac:dyDescent="0.25">
      <c r="A1500" s="90"/>
      <c r="B1500" s="41" t="s">
        <v>408</v>
      </c>
      <c r="C1500" s="53">
        <f>0.55*0.13</f>
        <v>7.1500000000000008E-2</v>
      </c>
      <c r="D1500" s="41" t="s">
        <v>409</v>
      </c>
      <c r="E1500" s="54">
        <f>+$E$1490</f>
        <v>3658.4719999999998</v>
      </c>
      <c r="F1500" s="53">
        <f>E1500*C1500</f>
        <v>261.58074800000003</v>
      </c>
      <c r="G1500" s="58"/>
      <c r="H1500" s="41"/>
    </row>
    <row r="1501" spans="1:8" x14ac:dyDescent="0.25">
      <c r="A1501" s="90"/>
      <c r="B1501" s="41" t="s">
        <v>411</v>
      </c>
      <c r="C1501" s="53">
        <f>0.05*0.55</f>
        <v>2.7500000000000004E-2</v>
      </c>
      <c r="D1501" s="41" t="s">
        <v>82</v>
      </c>
      <c r="E1501" s="54">
        <f>+$E$1492</f>
        <v>80.850000000000009</v>
      </c>
      <c r="F1501" s="53">
        <f>E1501*C1501</f>
        <v>2.2233750000000003</v>
      </c>
      <c r="G1501" s="58"/>
      <c r="H1501" s="41"/>
    </row>
    <row r="1502" spans="1:8" x14ac:dyDescent="0.25">
      <c r="A1502" s="90"/>
      <c r="B1502" s="41" t="s">
        <v>410</v>
      </c>
      <c r="C1502" s="53">
        <f>0.4*6.5</f>
        <v>2.6</v>
      </c>
      <c r="D1502" s="41" t="s">
        <v>82</v>
      </c>
      <c r="E1502" s="54">
        <f>+$G$95</f>
        <v>15.807777777777778</v>
      </c>
      <c r="F1502" s="53">
        <f>E1502*C1502</f>
        <v>41.100222222222222</v>
      </c>
      <c r="G1502" s="58"/>
    </row>
    <row r="1503" spans="1:8" x14ac:dyDescent="0.25">
      <c r="A1503" s="90"/>
      <c r="B1503" s="41" t="s">
        <v>67</v>
      </c>
      <c r="C1503" s="53">
        <v>10</v>
      </c>
      <c r="D1503" s="41" t="s">
        <v>34</v>
      </c>
      <c r="E1503" s="54">
        <f>SUM(F1498:F1502)</f>
        <v>304.90434522222222</v>
      </c>
      <c r="F1503" s="53">
        <f>E1503*C1503/100</f>
        <v>30.490434522222223</v>
      </c>
      <c r="G1503" s="58"/>
    </row>
    <row r="1504" spans="1:8" x14ac:dyDescent="0.25">
      <c r="A1504" s="90"/>
      <c r="B1504" s="41" t="s">
        <v>412</v>
      </c>
      <c r="C1504" s="53">
        <v>0.5</v>
      </c>
      <c r="D1504" s="41" t="s">
        <v>150</v>
      </c>
      <c r="E1504" s="168">
        <f>+$E$1494</f>
        <v>80.5</v>
      </c>
      <c r="F1504" s="53">
        <f>E1504*C1504</f>
        <v>40.25</v>
      </c>
      <c r="G1504" s="58"/>
    </row>
    <row r="1505" spans="1:8" x14ac:dyDescent="0.25">
      <c r="A1505" s="16"/>
      <c r="B1505" s="41" t="s">
        <v>508</v>
      </c>
      <c r="C1505" s="53">
        <v>1</v>
      </c>
      <c r="D1505" s="41" t="s">
        <v>150</v>
      </c>
      <c r="E1505" s="54">
        <f>+'[1]MO MAY25'!$N$563</f>
        <v>442.75</v>
      </c>
      <c r="F1505" s="53">
        <f>E1505*C1505</f>
        <v>442.75</v>
      </c>
      <c r="G1505" s="58"/>
    </row>
    <row r="1506" spans="1:8" x14ac:dyDescent="0.25">
      <c r="A1506" s="90"/>
      <c r="B1506" s="41" t="s">
        <v>435</v>
      </c>
      <c r="C1506" s="53">
        <v>1</v>
      </c>
      <c r="D1506" s="41" t="s">
        <v>150</v>
      </c>
      <c r="E1506" s="54">
        <f>+E1484</f>
        <v>341.55</v>
      </c>
      <c r="F1506" s="53">
        <f>E1506*C1506</f>
        <v>341.55</v>
      </c>
      <c r="G1506" s="58"/>
    </row>
    <row r="1507" spans="1:8" ht="15.6" x14ac:dyDescent="0.3">
      <c r="A1507" s="90"/>
      <c r="B1507" s="41"/>
      <c r="C1507" s="53"/>
      <c r="D1507" s="41"/>
      <c r="E1507" s="54"/>
      <c r="F1507" s="53"/>
      <c r="G1507" s="59">
        <f>SUM(F1498:F1506)</f>
        <v>1159.9447797444445</v>
      </c>
      <c r="H1507" s="3" t="s">
        <v>150</v>
      </c>
    </row>
    <row r="1508" spans="1:8" x14ac:dyDescent="0.25">
      <c r="A1508" s="90"/>
      <c r="B1508" s="41"/>
      <c r="C1508" s="53"/>
      <c r="D1508" s="41"/>
      <c r="E1508" s="54"/>
      <c r="F1508" s="53"/>
      <c r="G1508" s="58"/>
      <c r="H1508" s="41"/>
    </row>
    <row r="1509" spans="1:8" ht="15.6" x14ac:dyDescent="0.3">
      <c r="A1509" s="90"/>
      <c r="B1509" s="3" t="s">
        <v>521</v>
      </c>
      <c r="C1509" s="8"/>
      <c r="E1509" s="46"/>
      <c r="F1509" s="8"/>
      <c r="G1509" s="58"/>
    </row>
    <row r="1510" spans="1:8" x14ac:dyDescent="0.25">
      <c r="A1510" s="90">
        <f>+A1498+0.01</f>
        <v>13.299999999999994</v>
      </c>
      <c r="B1510" s="41" t="s">
        <v>520</v>
      </c>
      <c r="C1510" s="53">
        <v>1</v>
      </c>
      <c r="D1510" s="41" t="s">
        <v>150</v>
      </c>
      <c r="E1510" s="54">
        <f>+'[1]Lista de precios MAY25'!E117</f>
        <v>984.68639999999994</v>
      </c>
      <c r="F1510" s="53">
        <f>E1510*C1510</f>
        <v>984.68639999999994</v>
      </c>
      <c r="G1510" s="117" t="s">
        <v>469</v>
      </c>
      <c r="H1510" s="123"/>
    </row>
    <row r="1511" spans="1:8" x14ac:dyDescent="0.25">
      <c r="A1511" s="90"/>
      <c r="B1511" s="41" t="s">
        <v>407</v>
      </c>
      <c r="C1511" s="53">
        <v>0</v>
      </c>
      <c r="D1511" s="41" t="s">
        <v>54</v>
      </c>
      <c r="E1511" s="54">
        <f>+$G$55</f>
        <v>9859.73</v>
      </c>
      <c r="F1511" s="53">
        <f>E1511*C1511</f>
        <v>0</v>
      </c>
      <c r="G1511" s="58"/>
    </row>
    <row r="1512" spans="1:8" x14ac:dyDescent="0.25">
      <c r="A1512" s="90"/>
      <c r="B1512" s="41" t="s">
        <v>408</v>
      </c>
      <c r="C1512" s="53">
        <f>0.4*0.1</f>
        <v>4.0000000000000008E-2</v>
      </c>
      <c r="D1512" s="41" t="s">
        <v>409</v>
      </c>
      <c r="E1512" s="54">
        <f>+'[1]Lista de precios MAY25'!$E$138</f>
        <v>1350</v>
      </c>
      <c r="F1512" s="53">
        <f>E1512*C1512</f>
        <v>54.000000000000007</v>
      </c>
      <c r="G1512" s="58"/>
      <c r="H1512" s="41"/>
    </row>
    <row r="1513" spans="1:8" x14ac:dyDescent="0.25">
      <c r="A1513" s="90"/>
      <c r="B1513" s="41" t="s">
        <v>411</v>
      </c>
      <c r="C1513" s="53">
        <f>0.05*0.55</f>
        <v>2.7500000000000004E-2</v>
      </c>
      <c r="D1513" s="41" t="s">
        <v>82</v>
      </c>
      <c r="E1513" s="54">
        <f>+'[1]Lista de precios MAY25'!$E$141</f>
        <v>80.850000000000009</v>
      </c>
      <c r="F1513" s="53">
        <f>E1513*C1513</f>
        <v>2.2233750000000003</v>
      </c>
      <c r="G1513" s="58"/>
      <c r="H1513" s="41"/>
    </row>
    <row r="1514" spans="1:8" x14ac:dyDescent="0.25">
      <c r="A1514" s="90"/>
      <c r="B1514" s="41" t="s">
        <v>410</v>
      </c>
      <c r="C1514" s="53">
        <f>0.4*6.5</f>
        <v>2.6</v>
      </c>
      <c r="D1514" s="41" t="s">
        <v>82</v>
      </c>
      <c r="E1514" s="54">
        <f>+$G$95</f>
        <v>15.807777777777778</v>
      </c>
      <c r="F1514" s="53">
        <f>E1514*C1514</f>
        <v>41.100222222222222</v>
      </c>
      <c r="G1514" s="58"/>
    </row>
    <row r="1515" spans="1:8" x14ac:dyDescent="0.25">
      <c r="A1515" s="90"/>
      <c r="B1515" s="41" t="s">
        <v>67</v>
      </c>
      <c r="C1515" s="53">
        <v>10</v>
      </c>
      <c r="D1515" s="41" t="s">
        <v>34</v>
      </c>
      <c r="E1515" s="54">
        <f>SUM(F1510:F1514)</f>
        <v>1082.0099972222224</v>
      </c>
      <c r="F1515" s="53">
        <f>E1515*C1515/100</f>
        <v>108.20099972222224</v>
      </c>
      <c r="G1515" s="58"/>
    </row>
    <row r="1516" spans="1:8" x14ac:dyDescent="0.25">
      <c r="A1516" s="90"/>
      <c r="B1516" s="41" t="s">
        <v>412</v>
      </c>
      <c r="C1516" s="53">
        <v>0.5</v>
      </c>
      <c r="D1516" s="41" t="s">
        <v>150</v>
      </c>
      <c r="E1516" s="168">
        <f>+'[1]MO MAY25'!$N$589</f>
        <v>80.5</v>
      </c>
      <c r="F1516" s="53">
        <f>E1516*C1516</f>
        <v>40.25</v>
      </c>
      <c r="G1516" s="58"/>
    </row>
    <row r="1517" spans="1:8" x14ac:dyDescent="0.25">
      <c r="A1517" s="16"/>
      <c r="B1517" s="41" t="s">
        <v>508</v>
      </c>
      <c r="C1517" s="53">
        <v>1</v>
      </c>
      <c r="D1517" s="41" t="s">
        <v>150</v>
      </c>
      <c r="E1517" s="54">
        <f>+'[1]MO MAY25'!N598</f>
        <v>494.5</v>
      </c>
      <c r="F1517" s="53">
        <f>E1517*C1517</f>
        <v>494.5</v>
      </c>
      <c r="G1517" s="58"/>
    </row>
    <row r="1518" spans="1:8" x14ac:dyDescent="0.25">
      <c r="A1518" s="90"/>
      <c r="B1518" s="41" t="s">
        <v>435</v>
      </c>
      <c r="C1518" s="53">
        <v>1</v>
      </c>
      <c r="D1518" s="41" t="s">
        <v>150</v>
      </c>
      <c r="E1518" s="54">
        <f>+'[1]MO MAY25'!$N$425*1.1</f>
        <v>341.55</v>
      </c>
      <c r="F1518" s="53">
        <f>E1518*C1518</f>
        <v>341.55</v>
      </c>
      <c r="G1518" s="58"/>
    </row>
    <row r="1519" spans="1:8" ht="15.6" x14ac:dyDescent="0.3">
      <c r="A1519" s="90"/>
      <c r="B1519" s="41"/>
      <c r="C1519" s="53"/>
      <c r="D1519" s="41"/>
      <c r="E1519" s="54"/>
      <c r="F1519" s="53"/>
      <c r="G1519" s="56">
        <f>SUM(F1510:F1518)</f>
        <v>2066.5109969444447</v>
      </c>
      <c r="H1519" s="56" t="s">
        <v>150</v>
      </c>
    </row>
    <row r="1520" spans="1:8" x14ac:dyDescent="0.25">
      <c r="A1520" s="90"/>
      <c r="B1520" s="41"/>
      <c r="C1520" s="53"/>
      <c r="D1520" s="41"/>
      <c r="E1520" s="54"/>
      <c r="F1520" s="53"/>
      <c r="G1520" s="58"/>
      <c r="H1520" s="41"/>
    </row>
    <row r="1521" spans="1:10" ht="15.6" x14ac:dyDescent="0.3">
      <c r="A1521" s="90"/>
      <c r="B1521" s="3" t="s">
        <v>522</v>
      </c>
      <c r="C1521" s="8"/>
      <c r="E1521" s="46"/>
      <c r="F1521" s="8"/>
      <c r="G1521" s="58"/>
    </row>
    <row r="1522" spans="1:10" x14ac:dyDescent="0.25">
      <c r="A1522" s="90">
        <f>0.01+A1510</f>
        <v>13.309999999999993</v>
      </c>
      <c r="B1522" s="41" t="s">
        <v>523</v>
      </c>
      <c r="C1522" s="53">
        <v>1</v>
      </c>
      <c r="D1522" s="41" t="s">
        <v>150</v>
      </c>
      <c r="E1522" s="61">
        <v>1500</v>
      </c>
      <c r="F1522" s="53">
        <f>E1522*C1522</f>
        <v>1500</v>
      </c>
      <c r="G1522" s="160" t="s">
        <v>469</v>
      </c>
    </row>
    <row r="1523" spans="1:10" x14ac:dyDescent="0.25">
      <c r="A1523" s="90"/>
      <c r="B1523" s="41" t="s">
        <v>407</v>
      </c>
      <c r="C1523" s="53">
        <v>0</v>
      </c>
      <c r="D1523" s="41" t="s">
        <v>54</v>
      </c>
      <c r="E1523" s="54">
        <f>+$G$55</f>
        <v>9859.73</v>
      </c>
      <c r="F1523" s="53">
        <f>E1523*C1523</f>
        <v>0</v>
      </c>
      <c r="G1523" s="58"/>
    </row>
    <row r="1524" spans="1:10" x14ac:dyDescent="0.25">
      <c r="A1524" s="90"/>
      <c r="B1524" s="41" t="s">
        <v>408</v>
      </c>
      <c r="C1524" s="53">
        <f>0.55*0.13</f>
        <v>7.1500000000000008E-2</v>
      </c>
      <c r="D1524" s="41" t="s">
        <v>409</v>
      </c>
      <c r="E1524" s="54">
        <f>+$E$1512</f>
        <v>1350</v>
      </c>
      <c r="F1524" s="53">
        <f>E1524*C1524</f>
        <v>96.525000000000006</v>
      </c>
      <c r="G1524" s="58"/>
      <c r="H1524" s="41"/>
    </row>
    <row r="1525" spans="1:10" x14ac:dyDescent="0.25">
      <c r="A1525" s="90"/>
      <c r="B1525" s="41" t="s">
        <v>411</v>
      </c>
      <c r="C1525" s="53">
        <f>0.05*0.55</f>
        <v>2.7500000000000004E-2</v>
      </c>
      <c r="D1525" s="41" t="s">
        <v>82</v>
      </c>
      <c r="E1525" s="54">
        <f>+$E$1513</f>
        <v>80.850000000000009</v>
      </c>
      <c r="F1525" s="53">
        <f>E1525*C1525</f>
        <v>2.2233750000000003</v>
      </c>
      <c r="G1525" s="58"/>
      <c r="H1525" s="41"/>
      <c r="J1525" s="40"/>
    </row>
    <row r="1526" spans="1:10" x14ac:dyDescent="0.25">
      <c r="A1526" s="90"/>
      <c r="B1526" s="41" t="s">
        <v>410</v>
      </c>
      <c r="C1526" s="53">
        <f>0.4*6.5</f>
        <v>2.6</v>
      </c>
      <c r="D1526" s="41" t="s">
        <v>82</v>
      </c>
      <c r="E1526" s="54">
        <f>+$G$95</f>
        <v>15.807777777777778</v>
      </c>
      <c r="F1526" s="53">
        <f>E1526*C1526</f>
        <v>41.100222222222222</v>
      </c>
      <c r="G1526" s="58"/>
    </row>
    <row r="1527" spans="1:10" x14ac:dyDescent="0.25">
      <c r="A1527" s="90"/>
      <c r="B1527" s="41" t="s">
        <v>67</v>
      </c>
      <c r="C1527" s="53">
        <v>15</v>
      </c>
      <c r="D1527" s="41" t="s">
        <v>34</v>
      </c>
      <c r="E1527" s="54">
        <f>SUM(F1522:F1526)</f>
        <v>1639.8485972222225</v>
      </c>
      <c r="F1527" s="53">
        <f>E1527*C1527/100</f>
        <v>245.97728958333337</v>
      </c>
      <c r="G1527" s="58"/>
    </row>
    <row r="1528" spans="1:10" x14ac:dyDescent="0.25">
      <c r="A1528" s="90"/>
      <c r="B1528" s="41" t="s">
        <v>412</v>
      </c>
      <c r="C1528" s="53">
        <v>0.5</v>
      </c>
      <c r="D1528" s="41" t="s">
        <v>150</v>
      </c>
      <c r="E1528" s="54">
        <f>+$E$1516</f>
        <v>80.5</v>
      </c>
      <c r="F1528" s="53">
        <f>E1528*C1528</f>
        <v>40.25</v>
      </c>
      <c r="G1528" s="58"/>
    </row>
    <row r="1529" spans="1:10" x14ac:dyDescent="0.25">
      <c r="A1529" s="16"/>
      <c r="B1529" s="41" t="s">
        <v>508</v>
      </c>
      <c r="C1529" s="53">
        <v>1</v>
      </c>
      <c r="D1529" s="41" t="s">
        <v>150</v>
      </c>
      <c r="E1529" s="54">
        <f>+$E$1517</f>
        <v>494.5</v>
      </c>
      <c r="F1529" s="53">
        <f>E1529*C1529</f>
        <v>494.5</v>
      </c>
      <c r="G1529" s="58"/>
    </row>
    <row r="1530" spans="1:10" x14ac:dyDescent="0.25">
      <c r="A1530" s="90"/>
      <c r="B1530" s="41" t="s">
        <v>435</v>
      </c>
      <c r="C1530" s="53">
        <v>1</v>
      </c>
      <c r="D1530" s="41" t="s">
        <v>150</v>
      </c>
      <c r="E1530" s="54">
        <f>+$E$1518</f>
        <v>341.55</v>
      </c>
      <c r="F1530" s="53">
        <f>E1530*C1530</f>
        <v>341.55</v>
      </c>
      <c r="G1530" s="58"/>
    </row>
    <row r="1531" spans="1:10" ht="15.6" x14ac:dyDescent="0.3">
      <c r="A1531" s="90"/>
      <c r="B1531" s="41"/>
      <c r="C1531" s="53"/>
      <c r="D1531" s="41"/>
      <c r="E1531" s="54"/>
      <c r="F1531" s="53"/>
      <c r="G1531" s="59">
        <f>SUM(F1522:F1530)</f>
        <v>2762.1258868055561</v>
      </c>
      <c r="H1531" s="3" t="s">
        <v>150</v>
      </c>
    </row>
    <row r="1532" spans="1:10" x14ac:dyDescent="0.25">
      <c r="A1532" s="90"/>
      <c r="B1532" s="41"/>
      <c r="C1532" s="53"/>
      <c r="D1532" s="41"/>
      <c r="E1532" s="54"/>
      <c r="F1532" s="53"/>
      <c r="G1532" s="58"/>
      <c r="H1532" s="41"/>
    </row>
    <row r="1533" spans="1:10" ht="15.6" x14ac:dyDescent="0.3">
      <c r="A1533" s="90"/>
      <c r="B1533" s="3" t="s">
        <v>524</v>
      </c>
      <c r="C1533" s="8"/>
      <c r="E1533" s="46"/>
      <c r="F1533" s="8"/>
      <c r="G1533" s="58"/>
    </row>
    <row r="1534" spans="1:10" x14ac:dyDescent="0.25">
      <c r="A1534" s="90">
        <f>+A1522+0.01</f>
        <v>13.319999999999993</v>
      </c>
      <c r="B1534" s="41" t="s">
        <v>525</v>
      </c>
      <c r="C1534" s="53">
        <v>1</v>
      </c>
      <c r="D1534" s="41" t="s">
        <v>150</v>
      </c>
      <c r="E1534" s="54"/>
      <c r="F1534" s="53">
        <f>E1534*C1534</f>
        <v>0</v>
      </c>
      <c r="G1534" s="160" t="s">
        <v>469</v>
      </c>
    </row>
    <row r="1535" spans="1:10" x14ac:dyDescent="0.25">
      <c r="A1535" s="90"/>
      <c r="B1535" s="41" t="s">
        <v>407</v>
      </c>
      <c r="C1535" s="53">
        <f>0.3*0.05</f>
        <v>1.4999999999999999E-2</v>
      </c>
      <c r="D1535" s="41" t="s">
        <v>54</v>
      </c>
      <c r="E1535" s="54">
        <f>+$G$55</f>
        <v>9859.73</v>
      </c>
      <c r="F1535" s="53">
        <f>E1535*C1535</f>
        <v>147.89595</v>
      </c>
      <c r="G1535" s="58"/>
    </row>
    <row r="1536" spans="1:10" x14ac:dyDescent="0.25">
      <c r="A1536" s="90"/>
      <c r="B1536" s="41" t="s">
        <v>408</v>
      </c>
      <c r="C1536" s="53">
        <f>0.3*0.13</f>
        <v>3.9E-2</v>
      </c>
      <c r="D1536" s="41" t="s">
        <v>409</v>
      </c>
      <c r="E1536" s="54">
        <f>+$E$1524</f>
        <v>1350</v>
      </c>
      <c r="F1536" s="53">
        <f>E1536*C1536</f>
        <v>52.65</v>
      </c>
      <c r="G1536" s="58"/>
      <c r="H1536" s="41"/>
    </row>
    <row r="1537" spans="1:8" x14ac:dyDescent="0.25">
      <c r="A1537" s="90"/>
      <c r="B1537" s="41" t="s">
        <v>411</v>
      </c>
      <c r="C1537" s="53">
        <f>0.05*0.3</f>
        <v>1.4999999999999999E-2</v>
      </c>
      <c r="D1537" s="41" t="s">
        <v>82</v>
      </c>
      <c r="E1537" s="54">
        <f>+$E$1525</f>
        <v>80.850000000000009</v>
      </c>
      <c r="F1537" s="53">
        <f>E1537*C1537</f>
        <v>1.21275</v>
      </c>
      <c r="G1537" s="58"/>
      <c r="H1537" s="41"/>
    </row>
    <row r="1538" spans="1:8" x14ac:dyDescent="0.25">
      <c r="A1538" s="90"/>
      <c r="B1538" s="41" t="s">
        <v>410</v>
      </c>
      <c r="C1538" s="53">
        <f>0.3*6.5</f>
        <v>1.95</v>
      </c>
      <c r="D1538" s="41" t="s">
        <v>82</v>
      </c>
      <c r="E1538" s="54">
        <f>+$G$95</f>
        <v>15.807777777777778</v>
      </c>
      <c r="F1538" s="53">
        <f>E1538*C1538</f>
        <v>30.825166666666668</v>
      </c>
      <c r="G1538" s="58"/>
    </row>
    <row r="1539" spans="1:8" x14ac:dyDescent="0.25">
      <c r="A1539" s="90"/>
      <c r="B1539" s="41" t="s">
        <v>67</v>
      </c>
      <c r="C1539" s="53">
        <v>15</v>
      </c>
      <c r="D1539" s="41" t="s">
        <v>34</v>
      </c>
      <c r="E1539" s="54">
        <f>SUM(F1534:F1538)</f>
        <v>232.58386666666667</v>
      </c>
      <c r="F1539" s="53">
        <f>E1539*C1539/100</f>
        <v>34.88758</v>
      </c>
      <c r="G1539" s="58"/>
    </row>
    <row r="1540" spans="1:8" x14ac:dyDescent="0.25">
      <c r="A1540" s="90"/>
      <c r="B1540" s="41" t="s">
        <v>412</v>
      </c>
      <c r="C1540" s="53">
        <v>1</v>
      </c>
      <c r="D1540" s="41" t="s">
        <v>150</v>
      </c>
      <c r="E1540" s="54">
        <f>+$E$1528</f>
        <v>80.5</v>
      </c>
      <c r="F1540" s="53">
        <f>E1540*C1540</f>
        <v>80.5</v>
      </c>
      <c r="G1540" s="58"/>
    </row>
    <row r="1541" spans="1:8" x14ac:dyDescent="0.25">
      <c r="A1541" s="16"/>
      <c r="B1541" s="41" t="s">
        <v>508</v>
      </c>
      <c r="C1541" s="53">
        <v>1</v>
      </c>
      <c r="D1541" s="41" t="s">
        <v>150</v>
      </c>
      <c r="E1541" s="54">
        <f>+'[1]MO MAY25'!$N$566</f>
        <v>442.75</v>
      </c>
      <c r="F1541" s="53">
        <f>E1541*C1541</f>
        <v>442.75</v>
      </c>
      <c r="G1541" s="58"/>
    </row>
    <row r="1542" spans="1:8" x14ac:dyDescent="0.25">
      <c r="A1542" s="90"/>
      <c r="B1542" s="41" t="s">
        <v>435</v>
      </c>
      <c r="C1542" s="53">
        <v>0.3</v>
      </c>
      <c r="D1542" s="41" t="s">
        <v>150</v>
      </c>
      <c r="E1542" s="54">
        <f>+$E$1530</f>
        <v>341.55</v>
      </c>
      <c r="F1542" s="53">
        <f>E1542*C1542</f>
        <v>102.465</v>
      </c>
      <c r="G1542" s="58"/>
    </row>
    <row r="1543" spans="1:8" ht="15.6" x14ac:dyDescent="0.3">
      <c r="A1543" s="90"/>
      <c r="B1543" s="41"/>
      <c r="C1543" s="53"/>
      <c r="D1543" s="41"/>
      <c r="E1543" s="54"/>
      <c r="F1543" s="53"/>
      <c r="G1543" s="59">
        <f>SUM(F1534:F1542)</f>
        <v>893.18644666666671</v>
      </c>
      <c r="H1543" s="3" t="s">
        <v>150</v>
      </c>
    </row>
    <row r="1544" spans="1:8" ht="15.6" x14ac:dyDescent="0.3">
      <c r="A1544" s="90"/>
      <c r="B1544" s="41"/>
      <c r="C1544" s="53"/>
      <c r="D1544" s="41"/>
      <c r="E1544" s="54"/>
      <c r="F1544" s="53"/>
      <c r="G1544" s="59"/>
      <c r="H1544" s="3"/>
    </row>
    <row r="1545" spans="1:8" ht="15.6" x14ac:dyDescent="0.3">
      <c r="A1545" s="90"/>
      <c r="B1545" s="3" t="s">
        <v>526</v>
      </c>
      <c r="C1545" s="8"/>
      <c r="E1545" s="46"/>
      <c r="F1545" s="8"/>
      <c r="G1545" s="58"/>
    </row>
    <row r="1546" spans="1:8" x14ac:dyDescent="0.25">
      <c r="A1546" s="90">
        <f>0.01+A1534</f>
        <v>13.329999999999993</v>
      </c>
      <c r="B1546" s="41" t="s">
        <v>527</v>
      </c>
      <c r="C1546" s="53">
        <v>1</v>
      </c>
      <c r="D1546" s="41" t="s">
        <v>150</v>
      </c>
      <c r="E1546" s="54"/>
      <c r="F1546" s="53">
        <f>E1546*C1546</f>
        <v>0</v>
      </c>
      <c r="G1546" s="160" t="s">
        <v>469</v>
      </c>
    </row>
    <row r="1547" spans="1:8" x14ac:dyDescent="0.25">
      <c r="A1547" s="90"/>
      <c r="B1547" s="41" t="s">
        <v>407</v>
      </c>
      <c r="C1547" s="53">
        <f>0.55*0.05</f>
        <v>2.7500000000000004E-2</v>
      </c>
      <c r="D1547" s="41" t="s">
        <v>54</v>
      </c>
      <c r="E1547" s="54">
        <f>+$G$55</f>
        <v>9859.73</v>
      </c>
      <c r="F1547" s="53">
        <f>E1547*C1547</f>
        <v>271.14257500000002</v>
      </c>
      <c r="G1547" s="58"/>
    </row>
    <row r="1548" spans="1:8" x14ac:dyDescent="0.25">
      <c r="A1548" s="90"/>
      <c r="B1548" s="41" t="s">
        <v>408</v>
      </c>
      <c r="C1548" s="53">
        <f>0.55*0.13</f>
        <v>7.1500000000000008E-2</v>
      </c>
      <c r="D1548" s="41" t="s">
        <v>409</v>
      </c>
      <c r="E1548" s="54">
        <f>+$E$1536</f>
        <v>1350</v>
      </c>
      <c r="F1548" s="53">
        <f>E1548*C1548</f>
        <v>96.525000000000006</v>
      </c>
      <c r="G1548" s="58"/>
      <c r="H1548" s="41"/>
    </row>
    <row r="1549" spans="1:8" x14ac:dyDescent="0.25">
      <c r="A1549" s="90"/>
      <c r="B1549" s="41" t="s">
        <v>411</v>
      </c>
      <c r="C1549" s="53">
        <f>0.05*0.55</f>
        <v>2.7500000000000004E-2</v>
      </c>
      <c r="D1549" s="41" t="s">
        <v>82</v>
      </c>
      <c r="E1549" s="54">
        <f>+$E$1537</f>
        <v>80.850000000000009</v>
      </c>
      <c r="F1549" s="53">
        <f>E1549*C1549</f>
        <v>2.2233750000000003</v>
      </c>
      <c r="G1549" s="58"/>
      <c r="H1549" s="41"/>
    </row>
    <row r="1550" spans="1:8" x14ac:dyDescent="0.25">
      <c r="A1550" s="90"/>
      <c r="B1550" s="41" t="s">
        <v>410</v>
      </c>
      <c r="C1550" s="53">
        <f>0.55*6.5</f>
        <v>3.5750000000000002</v>
      </c>
      <c r="D1550" s="41" t="s">
        <v>82</v>
      </c>
      <c r="E1550" s="54">
        <f>+$G$95</f>
        <v>15.807777777777778</v>
      </c>
      <c r="F1550" s="53">
        <f>E1550*C1550</f>
        <v>56.512805555555559</v>
      </c>
      <c r="G1550" s="58"/>
    </row>
    <row r="1551" spans="1:8" x14ac:dyDescent="0.25">
      <c r="A1551" s="90"/>
      <c r="B1551" s="41" t="s">
        <v>67</v>
      </c>
      <c r="C1551" s="53">
        <v>15</v>
      </c>
      <c r="D1551" s="41" t="s">
        <v>34</v>
      </c>
      <c r="E1551" s="54">
        <f>SUM(F1546:F1550)</f>
        <v>426.40375555555556</v>
      </c>
      <c r="F1551" s="53">
        <f>E1551*C1551/100</f>
        <v>63.96056333333334</v>
      </c>
      <c r="G1551" s="58"/>
    </row>
    <row r="1552" spans="1:8" x14ac:dyDescent="0.25">
      <c r="A1552" s="90"/>
      <c r="B1552" s="41" t="s">
        <v>412</v>
      </c>
      <c r="C1552" s="53">
        <v>1</v>
      </c>
      <c r="D1552" s="41" t="s">
        <v>150</v>
      </c>
      <c r="E1552" s="54">
        <f>+$E$1540</f>
        <v>80.5</v>
      </c>
      <c r="F1552" s="53">
        <f>E1552*C1552</f>
        <v>80.5</v>
      </c>
      <c r="G1552" s="58"/>
    </row>
    <row r="1553" spans="1:8" x14ac:dyDescent="0.25">
      <c r="A1553" s="16"/>
      <c r="B1553" s="41" t="s">
        <v>508</v>
      </c>
      <c r="C1553" s="53">
        <v>1</v>
      </c>
      <c r="D1553" s="41" t="s">
        <v>150</v>
      </c>
      <c r="E1553" s="54">
        <f>+$E$1541</f>
        <v>442.75</v>
      </c>
      <c r="F1553" s="53">
        <f>E1553*C1553</f>
        <v>442.75</v>
      </c>
      <c r="G1553" s="58"/>
    </row>
    <row r="1554" spans="1:8" x14ac:dyDescent="0.25">
      <c r="A1554" s="90"/>
      <c r="B1554" s="41" t="s">
        <v>435</v>
      </c>
      <c r="C1554" s="53">
        <v>0.55000000000000004</v>
      </c>
      <c r="D1554" s="41" t="s">
        <v>150</v>
      </c>
      <c r="E1554" s="54">
        <f>+$E$1542</f>
        <v>341.55</v>
      </c>
      <c r="F1554" s="53">
        <f>E1554*C1554</f>
        <v>187.85250000000002</v>
      </c>
      <c r="G1554" s="58"/>
    </row>
    <row r="1555" spans="1:8" x14ac:dyDescent="0.25">
      <c r="A1555" s="90"/>
      <c r="B1555" s="41"/>
      <c r="C1555" s="53"/>
      <c r="D1555" s="41"/>
      <c r="E1555" s="54"/>
      <c r="F1555" s="53"/>
    </row>
    <row r="1556" spans="1:8" ht="15.6" x14ac:dyDescent="0.3">
      <c r="A1556" s="90"/>
      <c r="B1556" s="41"/>
      <c r="C1556" s="53"/>
      <c r="D1556" s="41"/>
      <c r="E1556" s="54"/>
      <c r="F1556" s="53"/>
      <c r="G1556" s="59">
        <f>SUM(F1546:F1554)</f>
        <v>1201.4668188888888</v>
      </c>
      <c r="H1556" s="3" t="s">
        <v>150</v>
      </c>
    </row>
    <row r="1557" spans="1:8" ht="15.6" x14ac:dyDescent="0.3">
      <c r="A1557" s="90"/>
      <c r="B1557" s="3" t="s">
        <v>528</v>
      </c>
      <c r="C1557" s="8"/>
      <c r="E1557" s="46"/>
      <c r="F1557" s="8"/>
      <c r="G1557" s="58"/>
    </row>
    <row r="1558" spans="1:8" x14ac:dyDescent="0.25">
      <c r="A1558" s="90">
        <f>0.01+A1546</f>
        <v>13.339999999999993</v>
      </c>
      <c r="B1558" s="41" t="s">
        <v>529</v>
      </c>
      <c r="C1558" s="53">
        <v>1</v>
      </c>
      <c r="D1558" s="41" t="s">
        <v>150</v>
      </c>
      <c r="E1558" s="54">
        <f>+$E$1195*0.35*1.3</f>
        <v>0</v>
      </c>
      <c r="F1558" s="53">
        <f>E1558*C1558</f>
        <v>0</v>
      </c>
      <c r="G1558" s="58"/>
    </row>
    <row r="1559" spans="1:8" x14ac:dyDescent="0.25">
      <c r="A1559" s="90"/>
      <c r="B1559" s="41" t="s">
        <v>407</v>
      </c>
      <c r="C1559" s="53">
        <f>0.3*0.05</f>
        <v>1.4999999999999999E-2</v>
      </c>
      <c r="D1559" s="41" t="s">
        <v>54</v>
      </c>
      <c r="E1559" s="54">
        <f>+$G$55</f>
        <v>9859.73</v>
      </c>
      <c r="F1559" s="53">
        <f>E1559*C1559</f>
        <v>147.89595</v>
      </c>
      <c r="G1559" s="58"/>
    </row>
    <row r="1560" spans="1:8" x14ac:dyDescent="0.25">
      <c r="A1560" s="90"/>
      <c r="B1560" s="41" t="s">
        <v>408</v>
      </c>
      <c r="C1560" s="53">
        <f>0.3*0.13</f>
        <v>3.9E-2</v>
      </c>
      <c r="D1560" s="41" t="s">
        <v>409</v>
      </c>
      <c r="E1560" s="54">
        <f>+'[1]Lista de precios MAY25'!$E$138</f>
        <v>1350</v>
      </c>
      <c r="F1560" s="53">
        <f>E1560*C1560</f>
        <v>52.65</v>
      </c>
      <c r="G1560" s="58"/>
      <c r="H1560" s="41"/>
    </row>
    <row r="1561" spans="1:8" x14ac:dyDescent="0.25">
      <c r="A1561" s="90"/>
      <c r="B1561" s="41" t="s">
        <v>411</v>
      </c>
      <c r="C1561" s="53">
        <f>0.05*0.3</f>
        <v>1.4999999999999999E-2</v>
      </c>
      <c r="D1561" s="41" t="s">
        <v>82</v>
      </c>
      <c r="E1561" s="54">
        <f>+'[1]Lista de precios MAY25'!$E$141</f>
        <v>80.850000000000009</v>
      </c>
      <c r="F1561" s="53">
        <f>E1561*C1561</f>
        <v>1.21275</v>
      </c>
      <c r="G1561" s="58"/>
      <c r="H1561" s="41"/>
    </row>
    <row r="1562" spans="1:8" x14ac:dyDescent="0.25">
      <c r="A1562" s="90"/>
      <c r="B1562" s="41" t="s">
        <v>410</v>
      </c>
      <c r="C1562" s="53">
        <f>0.3*6.5</f>
        <v>1.95</v>
      </c>
      <c r="D1562" s="41" t="s">
        <v>82</v>
      </c>
      <c r="E1562" s="54">
        <f>+$G$95</f>
        <v>15.807777777777778</v>
      </c>
      <c r="F1562" s="53">
        <f>E1562*C1562</f>
        <v>30.825166666666668</v>
      </c>
      <c r="G1562" s="58"/>
    </row>
    <row r="1563" spans="1:8" x14ac:dyDescent="0.25">
      <c r="A1563" s="90"/>
      <c r="B1563" s="41" t="s">
        <v>67</v>
      </c>
      <c r="C1563" s="53">
        <v>15</v>
      </c>
      <c r="D1563" s="41" t="s">
        <v>34</v>
      </c>
      <c r="E1563" s="54">
        <f>SUM(F1558:F1562)</f>
        <v>232.58386666666667</v>
      </c>
      <c r="F1563" s="53">
        <f>E1563*C1563/100</f>
        <v>34.88758</v>
      </c>
      <c r="G1563" s="58"/>
    </row>
    <row r="1564" spans="1:8" x14ac:dyDescent="0.25">
      <c r="A1564" s="90"/>
      <c r="B1564" s="41" t="s">
        <v>412</v>
      </c>
      <c r="C1564" s="53">
        <v>1</v>
      </c>
      <c r="D1564" s="41" t="s">
        <v>150</v>
      </c>
      <c r="E1564" s="168">
        <f>+'[1]MO MAY25'!$N$589</f>
        <v>80.5</v>
      </c>
      <c r="F1564" s="53">
        <f>E1564*C1564</f>
        <v>80.5</v>
      </c>
      <c r="G1564" s="58"/>
    </row>
    <row r="1565" spans="1:8" x14ac:dyDescent="0.25">
      <c r="A1565" s="16"/>
      <c r="B1565" s="41" t="s">
        <v>508</v>
      </c>
      <c r="C1565" s="53">
        <v>1</v>
      </c>
      <c r="D1565" s="41" t="s">
        <v>150</v>
      </c>
      <c r="E1565" s="54">
        <f>+'[1]MO MAY25'!$N$567</f>
        <v>563.5</v>
      </c>
      <c r="F1565" s="53">
        <f>E1565*C1565</f>
        <v>563.5</v>
      </c>
      <c r="G1565" s="58"/>
    </row>
    <row r="1566" spans="1:8" x14ac:dyDescent="0.25">
      <c r="A1566" s="90"/>
      <c r="B1566" s="41" t="s">
        <v>435</v>
      </c>
      <c r="C1566" s="53">
        <v>0.3</v>
      </c>
      <c r="D1566" s="41" t="s">
        <v>81</v>
      </c>
      <c r="E1566" s="54">
        <f>+'[1]MO MAY25'!$N$425</f>
        <v>310.5</v>
      </c>
      <c r="F1566" s="53">
        <f>E1566*C1566</f>
        <v>93.149999999999991</v>
      </c>
      <c r="G1566" s="58"/>
    </row>
    <row r="1567" spans="1:8" ht="15.6" x14ac:dyDescent="0.3">
      <c r="A1567" s="90"/>
      <c r="B1567" s="41"/>
      <c r="C1567" s="53"/>
      <c r="D1567" s="41"/>
      <c r="E1567" s="54"/>
      <c r="F1567" s="53"/>
      <c r="G1567" s="56">
        <f>SUM(F1558:F1566)</f>
        <v>1004.6214466666667</v>
      </c>
      <c r="H1567" s="57" t="s">
        <v>150</v>
      </c>
    </row>
    <row r="1568" spans="1:8" ht="15.6" x14ac:dyDescent="0.3">
      <c r="A1568" s="90"/>
      <c r="B1568" s="41"/>
      <c r="C1568" s="53"/>
      <c r="D1568" s="41"/>
      <c r="E1568" s="54"/>
      <c r="F1568" s="53"/>
      <c r="G1568" s="56">
        <f>SUM(F1558:F1566)+(F1564+F1565)*0.05</f>
        <v>1036.8214466666666</v>
      </c>
      <c r="H1568" s="57" t="s">
        <v>150</v>
      </c>
    </row>
    <row r="1569" spans="1:9" ht="15.6" x14ac:dyDescent="0.3">
      <c r="A1569" s="90"/>
      <c r="B1569" s="3" t="s">
        <v>530</v>
      </c>
      <c r="C1569" s="8"/>
      <c r="E1569" s="46"/>
      <c r="F1569" s="8"/>
      <c r="G1569" s="58"/>
    </row>
    <row r="1570" spans="1:9" x14ac:dyDescent="0.25">
      <c r="A1570" s="90">
        <f>0.01+A1558</f>
        <v>13.349999999999993</v>
      </c>
      <c r="B1570" s="41" t="s">
        <v>529</v>
      </c>
      <c r="C1570" s="53">
        <v>1</v>
      </c>
      <c r="D1570" s="41" t="s">
        <v>150</v>
      </c>
      <c r="E1570" s="54">
        <f>+$E$1558</f>
        <v>0</v>
      </c>
      <c r="F1570" s="53">
        <f>E1570*C1570</f>
        <v>0</v>
      </c>
      <c r="G1570" s="58"/>
    </row>
    <row r="1571" spans="1:9" x14ac:dyDescent="0.25">
      <c r="A1571" s="90"/>
      <c r="B1571" s="41" t="s">
        <v>407</v>
      </c>
      <c r="C1571" s="53"/>
      <c r="D1571" s="41" t="s">
        <v>54</v>
      </c>
      <c r="E1571" s="54">
        <f>+$G$55</f>
        <v>9859.73</v>
      </c>
      <c r="F1571" s="53">
        <f>E1571*C1571</f>
        <v>0</v>
      </c>
      <c r="G1571" s="58"/>
    </row>
    <row r="1572" spans="1:9" x14ac:dyDescent="0.25">
      <c r="A1572" s="90"/>
      <c r="B1572" s="41" t="s">
        <v>408</v>
      </c>
      <c r="C1572" s="53">
        <f>0.3*0.13</f>
        <v>3.9E-2</v>
      </c>
      <c r="D1572" s="41" t="s">
        <v>409</v>
      </c>
      <c r="E1572" s="54">
        <f>+$E$1560</f>
        <v>1350</v>
      </c>
      <c r="F1572" s="53">
        <f>E1572*C1572</f>
        <v>52.65</v>
      </c>
      <c r="G1572" s="58"/>
      <c r="H1572" s="41"/>
    </row>
    <row r="1573" spans="1:9" x14ac:dyDescent="0.25">
      <c r="A1573" s="90"/>
      <c r="B1573" s="41" t="s">
        <v>411</v>
      </c>
      <c r="C1573" s="53">
        <f>0.05*0.3</f>
        <v>1.4999999999999999E-2</v>
      </c>
      <c r="D1573" s="41" t="s">
        <v>82</v>
      </c>
      <c r="E1573" s="54">
        <f>+$E$1561</f>
        <v>80.850000000000009</v>
      </c>
      <c r="F1573" s="53">
        <f>E1573*C1573</f>
        <v>1.21275</v>
      </c>
      <c r="G1573" s="58"/>
      <c r="H1573" s="41"/>
    </row>
    <row r="1574" spans="1:9" x14ac:dyDescent="0.25">
      <c r="A1574" s="90"/>
      <c r="B1574" s="41" t="s">
        <v>410</v>
      </c>
      <c r="C1574" s="53">
        <f>0.3*6.5</f>
        <v>1.95</v>
      </c>
      <c r="D1574" s="41" t="s">
        <v>82</v>
      </c>
      <c r="E1574" s="54">
        <f>+$G$95</f>
        <v>15.807777777777778</v>
      </c>
      <c r="F1574" s="53">
        <f>E1574*C1574</f>
        <v>30.825166666666668</v>
      </c>
      <c r="G1574" s="58"/>
    </row>
    <row r="1575" spans="1:9" x14ac:dyDescent="0.25">
      <c r="A1575" s="90"/>
      <c r="B1575" s="41" t="s">
        <v>67</v>
      </c>
      <c r="C1575" s="53">
        <v>15</v>
      </c>
      <c r="D1575" s="41" t="s">
        <v>34</v>
      </c>
      <c r="E1575" s="54">
        <f>SUM(F1570:F1574)</f>
        <v>84.687916666666666</v>
      </c>
      <c r="F1575" s="53">
        <f>E1575*C1575/100</f>
        <v>12.703187499999999</v>
      </c>
      <c r="G1575" s="58"/>
    </row>
    <row r="1576" spans="1:9" x14ac:dyDescent="0.25">
      <c r="A1576" s="90"/>
      <c r="B1576" s="41" t="s">
        <v>412</v>
      </c>
      <c r="C1576" s="53">
        <v>1</v>
      </c>
      <c r="D1576" s="41" t="s">
        <v>150</v>
      </c>
      <c r="E1576" s="54">
        <f>+$E$1564</f>
        <v>80.5</v>
      </c>
      <c r="F1576" s="53">
        <f>E1576*C1576</f>
        <v>80.5</v>
      </c>
      <c r="G1576" s="58"/>
    </row>
    <row r="1577" spans="1:9" x14ac:dyDescent="0.25">
      <c r="A1577" s="16"/>
      <c r="B1577" s="41" t="s">
        <v>508</v>
      </c>
      <c r="C1577" s="53">
        <v>1</v>
      </c>
      <c r="D1577" s="41" t="s">
        <v>150</v>
      </c>
      <c r="E1577" s="54">
        <f>+$E$1565</f>
        <v>563.5</v>
      </c>
      <c r="F1577" s="53">
        <f>E1577*C1577</f>
        <v>563.5</v>
      </c>
      <c r="G1577" s="58"/>
    </row>
    <row r="1578" spans="1:9" x14ac:dyDescent="0.25">
      <c r="A1578" s="90"/>
      <c r="B1578" s="41" t="s">
        <v>435</v>
      </c>
      <c r="C1578" s="53">
        <f>1.12*0.36</f>
        <v>0.4032</v>
      </c>
      <c r="D1578" s="41" t="s">
        <v>150</v>
      </c>
      <c r="E1578" s="54">
        <f>+$E$1566</f>
        <v>310.5</v>
      </c>
      <c r="F1578" s="53">
        <f>E1578*C1578</f>
        <v>125.1936</v>
      </c>
      <c r="G1578" s="58"/>
    </row>
    <row r="1579" spans="1:9" ht="15.6" x14ac:dyDescent="0.3">
      <c r="A1579" s="90"/>
      <c r="B1579" s="41"/>
      <c r="C1579" s="53"/>
      <c r="D1579" s="41"/>
      <c r="E1579" s="54"/>
      <c r="F1579" s="53"/>
      <c r="G1579" s="59">
        <f>SUM(F1570:F1578)</f>
        <v>866.5847041666666</v>
      </c>
      <c r="H1579" s="3" t="s">
        <v>150</v>
      </c>
    </row>
    <row r="1580" spans="1:9" x14ac:dyDescent="0.25">
      <c r="A1580" s="90"/>
      <c r="B1580" s="41"/>
      <c r="C1580" s="53"/>
      <c r="D1580" s="41"/>
      <c r="E1580" s="54"/>
      <c r="F1580" s="53"/>
      <c r="G1580" s="58"/>
      <c r="H1580" s="41"/>
    </row>
    <row r="1581" spans="1:9" ht="15.6" x14ac:dyDescent="0.3">
      <c r="A1581" s="90"/>
      <c r="B1581" s="3" t="s">
        <v>531</v>
      </c>
      <c r="C1581" s="8"/>
      <c r="E1581" s="46"/>
      <c r="F1581" s="8"/>
      <c r="G1581" s="58"/>
      <c r="I1581" s="153"/>
    </row>
    <row r="1582" spans="1:9" x14ac:dyDescent="0.25">
      <c r="A1582" s="90">
        <f>0.01+A1558</f>
        <v>13.349999999999993</v>
      </c>
      <c r="B1582" s="41" t="s">
        <v>455</v>
      </c>
      <c r="C1582" s="53">
        <v>0.25</v>
      </c>
      <c r="D1582" s="41" t="s">
        <v>81</v>
      </c>
      <c r="E1582" s="54">
        <f>+E1321</f>
        <v>2012.5</v>
      </c>
      <c r="F1582" s="53">
        <f>E1582*C1582</f>
        <v>503.125</v>
      </c>
      <c r="G1582" s="58"/>
      <c r="I1582" s="153"/>
    </row>
    <row r="1583" spans="1:9" x14ac:dyDescent="0.25">
      <c r="A1583" s="90"/>
      <c r="B1583" s="41" t="s">
        <v>407</v>
      </c>
      <c r="C1583" s="53">
        <f>0.3*0.05</f>
        <v>1.4999999999999999E-2</v>
      </c>
      <c r="D1583" s="41" t="s">
        <v>54</v>
      </c>
      <c r="E1583" s="54">
        <f>+$G$55</f>
        <v>9859.73</v>
      </c>
      <c r="F1583" s="53">
        <f>E1583*C1583</f>
        <v>147.89595</v>
      </c>
      <c r="G1583" s="58"/>
      <c r="I1583" s="153"/>
    </row>
    <row r="1584" spans="1:9" x14ac:dyDescent="0.25">
      <c r="A1584" s="90"/>
      <c r="B1584" s="41" t="s">
        <v>408</v>
      </c>
      <c r="C1584" s="53">
        <f>0.3*0.13</f>
        <v>3.9E-2</v>
      </c>
      <c r="D1584" s="41" t="s">
        <v>409</v>
      </c>
      <c r="E1584" s="54">
        <f>+'[1]Lista de precios MAY25'!$E$138</f>
        <v>1350</v>
      </c>
      <c r="F1584" s="53">
        <f>E1584*C1584</f>
        <v>52.65</v>
      </c>
      <c r="G1584" s="58"/>
      <c r="H1584" s="41"/>
      <c r="I1584" s="153"/>
    </row>
    <row r="1585" spans="1:16383" x14ac:dyDescent="0.25">
      <c r="A1585" s="90"/>
      <c r="B1585" s="41" t="s">
        <v>411</v>
      </c>
      <c r="C1585" s="53">
        <f>0.05*0.3</f>
        <v>1.4999999999999999E-2</v>
      </c>
      <c r="D1585" s="41" t="s">
        <v>82</v>
      </c>
      <c r="E1585" s="54">
        <f>+'[1]Lista de precios MAY25'!$E$141</f>
        <v>80.850000000000009</v>
      </c>
      <c r="F1585" s="53">
        <f>E1585*C1585</f>
        <v>1.21275</v>
      </c>
      <c r="G1585" s="58"/>
      <c r="H1585" s="41"/>
      <c r="I1585" s="153"/>
    </row>
    <row r="1586" spans="1:16383" x14ac:dyDescent="0.25">
      <c r="A1586" s="90"/>
      <c r="B1586" s="41" t="s">
        <v>458</v>
      </c>
      <c r="C1586" s="53">
        <f>(1/10.7)*0.5</f>
        <v>4.6728971962616828E-2</v>
      </c>
      <c r="D1586" s="41" t="s">
        <v>82</v>
      </c>
      <c r="E1586" s="54">
        <f>+'[1]Lista de precios MAY25'!$E$144</f>
        <v>3135.0270679999999</v>
      </c>
      <c r="F1586" s="53">
        <f>E1586*C1586</f>
        <v>146.49659196261683</v>
      </c>
      <c r="G1586" s="58"/>
      <c r="I1586" s="153"/>
    </row>
    <row r="1587" spans="1:16383" x14ac:dyDescent="0.25">
      <c r="A1587" s="90"/>
      <c r="B1587" s="41" t="s">
        <v>67</v>
      </c>
      <c r="C1587" s="53">
        <v>10</v>
      </c>
      <c r="D1587" s="41" t="s">
        <v>34</v>
      </c>
      <c r="E1587" s="54">
        <f>SUM(F1582:F1586)</f>
        <v>851.38029196261687</v>
      </c>
      <c r="F1587" s="53">
        <f>E1587*C1587/100</f>
        <v>85.138029196261684</v>
      </c>
      <c r="G1587" s="58"/>
      <c r="I1587" s="153"/>
    </row>
    <row r="1588" spans="1:16383" x14ac:dyDescent="0.25">
      <c r="A1588" s="90"/>
      <c r="B1588" s="41" t="s">
        <v>412</v>
      </c>
      <c r="C1588" s="53">
        <v>1</v>
      </c>
      <c r="D1588" s="41" t="s">
        <v>150</v>
      </c>
      <c r="E1588" s="54">
        <f>+'[1]MO MAY25'!N587*1.5</f>
        <v>60.375</v>
      </c>
      <c r="F1588" s="53">
        <f>E1588*C1588</f>
        <v>60.375</v>
      </c>
      <c r="G1588" s="58"/>
      <c r="I1588" s="153"/>
    </row>
    <row r="1589" spans="1:16383" x14ac:dyDescent="0.25">
      <c r="A1589" s="16"/>
      <c r="B1589" s="41" t="s">
        <v>508</v>
      </c>
      <c r="C1589" s="53">
        <v>1</v>
      </c>
      <c r="D1589" s="41" t="s">
        <v>150</v>
      </c>
      <c r="E1589" s="54">
        <f>+'[1]MO MAY25'!$N$573</f>
        <v>362.25</v>
      </c>
      <c r="F1589" s="53">
        <f>E1589*C1589</f>
        <v>362.25</v>
      </c>
      <c r="G1589" s="58"/>
      <c r="I1589" s="153"/>
    </row>
    <row r="1590" spans="1:16383" s="55" customFormat="1" x14ac:dyDescent="0.25">
      <c r="A1590" s="90"/>
      <c r="B1590" s="41" t="s">
        <v>435</v>
      </c>
      <c r="C1590" s="53">
        <v>0</v>
      </c>
      <c r="D1590" s="41" t="s">
        <v>150</v>
      </c>
      <c r="E1590" s="54">
        <f>+'[1]MO MAY25'!$N$425</f>
        <v>310.5</v>
      </c>
      <c r="F1590" s="53">
        <f>E1590*C1590</f>
        <v>0</v>
      </c>
      <c r="G1590" s="58"/>
      <c r="H1590" s="2"/>
      <c r="I1590" s="153"/>
      <c r="J1590" s="2"/>
      <c r="K1590" s="2"/>
      <c r="L1590" s="55">
        <f t="shared" ref="L1590:BW1590" si="38">+(L1600+L1604)*1.18*1.1</f>
        <v>0</v>
      </c>
      <c r="M1590" s="55">
        <f t="shared" si="38"/>
        <v>0</v>
      </c>
      <c r="N1590" s="55">
        <f t="shared" si="38"/>
        <v>0</v>
      </c>
      <c r="O1590" s="55">
        <f t="shared" si="38"/>
        <v>0</v>
      </c>
      <c r="P1590" s="55">
        <f t="shared" si="38"/>
        <v>0</v>
      </c>
      <c r="Q1590" s="55">
        <f t="shared" si="38"/>
        <v>0</v>
      </c>
      <c r="R1590" s="55">
        <f t="shared" si="38"/>
        <v>0</v>
      </c>
      <c r="S1590" s="55">
        <f t="shared" si="38"/>
        <v>0</v>
      </c>
      <c r="T1590" s="55">
        <f t="shared" si="38"/>
        <v>0</v>
      </c>
      <c r="U1590" s="55">
        <f t="shared" si="38"/>
        <v>0</v>
      </c>
      <c r="V1590" s="55">
        <f t="shared" si="38"/>
        <v>0</v>
      </c>
      <c r="W1590" s="55">
        <f t="shared" si="38"/>
        <v>0</v>
      </c>
      <c r="X1590" s="55">
        <f t="shared" si="38"/>
        <v>0</v>
      </c>
      <c r="Y1590" s="55">
        <f t="shared" si="38"/>
        <v>0</v>
      </c>
      <c r="Z1590" s="55">
        <f t="shared" si="38"/>
        <v>0</v>
      </c>
      <c r="AA1590" s="55">
        <f t="shared" si="38"/>
        <v>0</v>
      </c>
      <c r="AB1590" s="55">
        <f t="shared" si="38"/>
        <v>0</v>
      </c>
      <c r="AC1590" s="55">
        <f t="shared" si="38"/>
        <v>0</v>
      </c>
      <c r="AD1590" s="55">
        <f t="shared" si="38"/>
        <v>0</v>
      </c>
      <c r="AE1590" s="55">
        <f t="shared" si="38"/>
        <v>0</v>
      </c>
      <c r="AF1590" s="55">
        <f t="shared" si="38"/>
        <v>0</v>
      </c>
      <c r="AG1590" s="55">
        <f t="shared" si="38"/>
        <v>0</v>
      </c>
      <c r="AH1590" s="55">
        <f t="shared" si="38"/>
        <v>0</v>
      </c>
      <c r="AI1590" s="55">
        <f t="shared" si="38"/>
        <v>0</v>
      </c>
      <c r="AJ1590" s="55">
        <f t="shared" si="38"/>
        <v>0</v>
      </c>
      <c r="AK1590" s="55">
        <f t="shared" si="38"/>
        <v>0</v>
      </c>
      <c r="AL1590" s="55">
        <f t="shared" si="38"/>
        <v>0</v>
      </c>
      <c r="AM1590" s="55">
        <f t="shared" si="38"/>
        <v>0</v>
      </c>
      <c r="AN1590" s="55">
        <f t="shared" si="38"/>
        <v>0</v>
      </c>
      <c r="AO1590" s="55">
        <f t="shared" si="38"/>
        <v>0</v>
      </c>
      <c r="AP1590" s="55">
        <f t="shared" si="38"/>
        <v>0</v>
      </c>
      <c r="AQ1590" s="55">
        <f t="shared" si="38"/>
        <v>0</v>
      </c>
      <c r="AR1590" s="55">
        <f t="shared" si="38"/>
        <v>0</v>
      </c>
      <c r="AS1590" s="55">
        <f t="shared" si="38"/>
        <v>0</v>
      </c>
      <c r="AT1590" s="55">
        <f t="shared" si="38"/>
        <v>0</v>
      </c>
      <c r="AU1590" s="55">
        <f t="shared" si="38"/>
        <v>0</v>
      </c>
      <c r="AV1590" s="55">
        <f t="shared" si="38"/>
        <v>0</v>
      </c>
      <c r="AW1590" s="55">
        <f t="shared" si="38"/>
        <v>0</v>
      </c>
      <c r="AX1590" s="55">
        <f t="shared" si="38"/>
        <v>0</v>
      </c>
      <c r="AY1590" s="55">
        <f t="shared" si="38"/>
        <v>0</v>
      </c>
      <c r="AZ1590" s="55">
        <f t="shared" si="38"/>
        <v>0</v>
      </c>
      <c r="BA1590" s="55">
        <f t="shared" si="38"/>
        <v>0</v>
      </c>
      <c r="BB1590" s="55">
        <f t="shared" si="38"/>
        <v>0</v>
      </c>
      <c r="BC1590" s="55">
        <f t="shared" si="38"/>
        <v>0</v>
      </c>
      <c r="BD1590" s="55">
        <f t="shared" si="38"/>
        <v>0</v>
      </c>
      <c r="BE1590" s="55">
        <f t="shared" si="38"/>
        <v>0</v>
      </c>
      <c r="BF1590" s="55">
        <f t="shared" si="38"/>
        <v>0</v>
      </c>
      <c r="BG1590" s="55">
        <f t="shared" si="38"/>
        <v>0</v>
      </c>
      <c r="BH1590" s="55">
        <f t="shared" si="38"/>
        <v>0</v>
      </c>
      <c r="BI1590" s="55">
        <f t="shared" si="38"/>
        <v>0</v>
      </c>
      <c r="BJ1590" s="55">
        <f t="shared" si="38"/>
        <v>0</v>
      </c>
      <c r="BK1590" s="55">
        <f t="shared" si="38"/>
        <v>0</v>
      </c>
      <c r="BL1590" s="55">
        <f t="shared" si="38"/>
        <v>0</v>
      </c>
      <c r="BM1590" s="55">
        <f t="shared" si="38"/>
        <v>0</v>
      </c>
      <c r="BN1590" s="55">
        <f t="shared" si="38"/>
        <v>0</v>
      </c>
      <c r="BO1590" s="55">
        <f t="shared" si="38"/>
        <v>0</v>
      </c>
      <c r="BP1590" s="55">
        <f t="shared" si="38"/>
        <v>0</v>
      </c>
      <c r="BQ1590" s="55">
        <f t="shared" si="38"/>
        <v>0</v>
      </c>
      <c r="BR1590" s="55">
        <f t="shared" si="38"/>
        <v>0</v>
      </c>
      <c r="BS1590" s="55">
        <f t="shared" si="38"/>
        <v>0</v>
      </c>
      <c r="BT1590" s="55">
        <f t="shared" si="38"/>
        <v>0</v>
      </c>
      <c r="BU1590" s="55">
        <f t="shared" si="38"/>
        <v>0</v>
      </c>
      <c r="BV1590" s="55">
        <f t="shared" si="38"/>
        <v>0</v>
      </c>
      <c r="BW1590" s="55">
        <f t="shared" si="38"/>
        <v>0</v>
      </c>
      <c r="BX1590" s="55">
        <f t="shared" ref="BX1590:EI1590" si="39">+(BX1600+BX1604)*1.18*1.1</f>
        <v>0</v>
      </c>
      <c r="BY1590" s="55">
        <f t="shared" si="39"/>
        <v>0</v>
      </c>
      <c r="BZ1590" s="55">
        <f t="shared" si="39"/>
        <v>0</v>
      </c>
      <c r="CA1590" s="55">
        <f t="shared" si="39"/>
        <v>0</v>
      </c>
      <c r="CB1590" s="55">
        <f t="shared" si="39"/>
        <v>0</v>
      </c>
      <c r="CC1590" s="55">
        <f t="shared" si="39"/>
        <v>0</v>
      </c>
      <c r="CD1590" s="55">
        <f t="shared" si="39"/>
        <v>0</v>
      </c>
      <c r="CE1590" s="55">
        <f t="shared" si="39"/>
        <v>0</v>
      </c>
      <c r="CF1590" s="55">
        <f t="shared" si="39"/>
        <v>0</v>
      </c>
      <c r="CG1590" s="55">
        <f t="shared" si="39"/>
        <v>0</v>
      </c>
      <c r="CH1590" s="55">
        <f t="shared" si="39"/>
        <v>0</v>
      </c>
      <c r="CI1590" s="55">
        <f t="shared" si="39"/>
        <v>0</v>
      </c>
      <c r="CJ1590" s="55">
        <f t="shared" si="39"/>
        <v>0</v>
      </c>
      <c r="CK1590" s="55">
        <f t="shared" si="39"/>
        <v>0</v>
      </c>
      <c r="CL1590" s="55">
        <f t="shared" si="39"/>
        <v>0</v>
      </c>
      <c r="CM1590" s="55">
        <f t="shared" si="39"/>
        <v>0</v>
      </c>
      <c r="CN1590" s="55">
        <f t="shared" si="39"/>
        <v>0</v>
      </c>
      <c r="CO1590" s="55">
        <f t="shared" si="39"/>
        <v>0</v>
      </c>
      <c r="CP1590" s="55">
        <f t="shared" si="39"/>
        <v>0</v>
      </c>
      <c r="CQ1590" s="55">
        <f t="shared" si="39"/>
        <v>0</v>
      </c>
      <c r="CR1590" s="55">
        <f t="shared" si="39"/>
        <v>0</v>
      </c>
      <c r="CS1590" s="55">
        <f t="shared" si="39"/>
        <v>0</v>
      </c>
      <c r="CT1590" s="55">
        <f t="shared" si="39"/>
        <v>0</v>
      </c>
      <c r="CU1590" s="55">
        <f t="shared" si="39"/>
        <v>0</v>
      </c>
      <c r="CV1590" s="55">
        <f t="shared" si="39"/>
        <v>0</v>
      </c>
      <c r="CW1590" s="55">
        <f t="shared" si="39"/>
        <v>0</v>
      </c>
      <c r="CX1590" s="55">
        <f t="shared" si="39"/>
        <v>0</v>
      </c>
      <c r="CY1590" s="55">
        <f t="shared" si="39"/>
        <v>0</v>
      </c>
      <c r="CZ1590" s="55">
        <f t="shared" si="39"/>
        <v>0</v>
      </c>
      <c r="DA1590" s="55">
        <f t="shared" si="39"/>
        <v>0</v>
      </c>
      <c r="DB1590" s="55">
        <f t="shared" si="39"/>
        <v>0</v>
      </c>
      <c r="DC1590" s="55">
        <f t="shared" si="39"/>
        <v>0</v>
      </c>
      <c r="DD1590" s="55">
        <f t="shared" si="39"/>
        <v>0</v>
      </c>
      <c r="DE1590" s="55">
        <f t="shared" si="39"/>
        <v>0</v>
      </c>
      <c r="DF1590" s="55">
        <f t="shared" si="39"/>
        <v>0</v>
      </c>
      <c r="DG1590" s="55">
        <f t="shared" si="39"/>
        <v>0</v>
      </c>
      <c r="DH1590" s="55">
        <f t="shared" si="39"/>
        <v>0</v>
      </c>
      <c r="DI1590" s="55">
        <f t="shared" si="39"/>
        <v>0</v>
      </c>
      <c r="DJ1590" s="55">
        <f t="shared" si="39"/>
        <v>0</v>
      </c>
      <c r="DK1590" s="55">
        <f t="shared" si="39"/>
        <v>0</v>
      </c>
      <c r="DL1590" s="55">
        <f t="shared" si="39"/>
        <v>0</v>
      </c>
      <c r="DM1590" s="55">
        <f t="shared" si="39"/>
        <v>0</v>
      </c>
      <c r="DN1590" s="55">
        <f t="shared" si="39"/>
        <v>0</v>
      </c>
      <c r="DO1590" s="55">
        <f t="shared" si="39"/>
        <v>0</v>
      </c>
      <c r="DP1590" s="55">
        <f t="shared" si="39"/>
        <v>0</v>
      </c>
      <c r="DQ1590" s="55">
        <f t="shared" si="39"/>
        <v>0</v>
      </c>
      <c r="DR1590" s="55">
        <f t="shared" si="39"/>
        <v>0</v>
      </c>
      <c r="DS1590" s="55">
        <f t="shared" si="39"/>
        <v>0</v>
      </c>
      <c r="DT1590" s="55">
        <f t="shared" si="39"/>
        <v>0</v>
      </c>
      <c r="DU1590" s="55">
        <f t="shared" si="39"/>
        <v>0</v>
      </c>
      <c r="DV1590" s="55">
        <f t="shared" si="39"/>
        <v>0</v>
      </c>
      <c r="DW1590" s="55">
        <f t="shared" si="39"/>
        <v>0</v>
      </c>
      <c r="DX1590" s="55">
        <f t="shared" si="39"/>
        <v>0</v>
      </c>
      <c r="DY1590" s="55">
        <f t="shared" si="39"/>
        <v>0</v>
      </c>
      <c r="DZ1590" s="55">
        <f t="shared" si="39"/>
        <v>0</v>
      </c>
      <c r="EA1590" s="55">
        <f t="shared" si="39"/>
        <v>0</v>
      </c>
      <c r="EB1590" s="55">
        <f t="shared" si="39"/>
        <v>0</v>
      </c>
      <c r="EC1590" s="55">
        <f t="shared" si="39"/>
        <v>0</v>
      </c>
      <c r="ED1590" s="55">
        <f t="shared" si="39"/>
        <v>0</v>
      </c>
      <c r="EE1590" s="55">
        <f t="shared" si="39"/>
        <v>0</v>
      </c>
      <c r="EF1590" s="55">
        <f t="shared" si="39"/>
        <v>0</v>
      </c>
      <c r="EG1590" s="55">
        <f t="shared" si="39"/>
        <v>0</v>
      </c>
      <c r="EH1590" s="55">
        <f t="shared" si="39"/>
        <v>0</v>
      </c>
      <c r="EI1590" s="55">
        <f t="shared" si="39"/>
        <v>0</v>
      </c>
      <c r="EJ1590" s="55">
        <f t="shared" ref="EJ1590:GU1590" si="40">+(EJ1600+EJ1604)*1.18*1.1</f>
        <v>0</v>
      </c>
      <c r="EK1590" s="55">
        <f t="shared" si="40"/>
        <v>0</v>
      </c>
      <c r="EL1590" s="55">
        <f t="shared" si="40"/>
        <v>0</v>
      </c>
      <c r="EM1590" s="55">
        <f t="shared" si="40"/>
        <v>0</v>
      </c>
      <c r="EN1590" s="55">
        <f t="shared" si="40"/>
        <v>0</v>
      </c>
      <c r="EO1590" s="55">
        <f t="shared" si="40"/>
        <v>0</v>
      </c>
      <c r="EP1590" s="55">
        <f t="shared" si="40"/>
        <v>0</v>
      </c>
      <c r="EQ1590" s="55">
        <f t="shared" si="40"/>
        <v>0</v>
      </c>
      <c r="ER1590" s="55">
        <f t="shared" si="40"/>
        <v>0</v>
      </c>
      <c r="ES1590" s="55">
        <f t="shared" si="40"/>
        <v>0</v>
      </c>
      <c r="ET1590" s="55">
        <f t="shared" si="40"/>
        <v>0</v>
      </c>
      <c r="EU1590" s="55">
        <f t="shared" si="40"/>
        <v>0</v>
      </c>
      <c r="EV1590" s="55">
        <f t="shared" si="40"/>
        <v>0</v>
      </c>
      <c r="EW1590" s="55">
        <f t="shared" si="40"/>
        <v>0</v>
      </c>
      <c r="EX1590" s="55">
        <f t="shared" si="40"/>
        <v>0</v>
      </c>
      <c r="EY1590" s="55">
        <f t="shared" si="40"/>
        <v>0</v>
      </c>
      <c r="EZ1590" s="55">
        <f t="shared" si="40"/>
        <v>0</v>
      </c>
      <c r="FA1590" s="55">
        <f t="shared" si="40"/>
        <v>0</v>
      </c>
      <c r="FB1590" s="55">
        <f t="shared" si="40"/>
        <v>0</v>
      </c>
      <c r="FC1590" s="55">
        <f t="shared" si="40"/>
        <v>0</v>
      </c>
      <c r="FD1590" s="55">
        <f t="shared" si="40"/>
        <v>0</v>
      </c>
      <c r="FE1590" s="55">
        <f t="shared" si="40"/>
        <v>0</v>
      </c>
      <c r="FF1590" s="55">
        <f t="shared" si="40"/>
        <v>0</v>
      </c>
      <c r="FG1590" s="55">
        <f t="shared" si="40"/>
        <v>0</v>
      </c>
      <c r="FH1590" s="55">
        <f t="shared" si="40"/>
        <v>0</v>
      </c>
      <c r="FI1590" s="55">
        <f t="shared" si="40"/>
        <v>0</v>
      </c>
      <c r="FJ1590" s="55">
        <f t="shared" si="40"/>
        <v>0</v>
      </c>
      <c r="FK1590" s="55">
        <f t="shared" si="40"/>
        <v>0</v>
      </c>
      <c r="FL1590" s="55">
        <f t="shared" si="40"/>
        <v>0</v>
      </c>
      <c r="FM1590" s="55">
        <f t="shared" si="40"/>
        <v>0</v>
      </c>
      <c r="FN1590" s="55">
        <f t="shared" si="40"/>
        <v>0</v>
      </c>
      <c r="FO1590" s="55">
        <f t="shared" si="40"/>
        <v>0</v>
      </c>
      <c r="FP1590" s="55">
        <f t="shared" si="40"/>
        <v>0</v>
      </c>
      <c r="FQ1590" s="55">
        <f t="shared" si="40"/>
        <v>0</v>
      </c>
      <c r="FR1590" s="55">
        <f t="shared" si="40"/>
        <v>0</v>
      </c>
      <c r="FS1590" s="55">
        <f t="shared" si="40"/>
        <v>0</v>
      </c>
      <c r="FT1590" s="55">
        <f t="shared" si="40"/>
        <v>0</v>
      </c>
      <c r="FU1590" s="55">
        <f t="shared" si="40"/>
        <v>0</v>
      </c>
      <c r="FV1590" s="55">
        <f t="shared" si="40"/>
        <v>0</v>
      </c>
      <c r="FW1590" s="55">
        <f t="shared" si="40"/>
        <v>0</v>
      </c>
      <c r="FX1590" s="55">
        <f t="shared" si="40"/>
        <v>0</v>
      </c>
      <c r="FY1590" s="55">
        <f t="shared" si="40"/>
        <v>0</v>
      </c>
      <c r="FZ1590" s="55">
        <f t="shared" si="40"/>
        <v>0</v>
      </c>
      <c r="GA1590" s="55">
        <f t="shared" si="40"/>
        <v>0</v>
      </c>
      <c r="GB1590" s="55">
        <f t="shared" si="40"/>
        <v>0</v>
      </c>
      <c r="GC1590" s="55">
        <f t="shared" si="40"/>
        <v>0</v>
      </c>
      <c r="GD1590" s="55">
        <f t="shared" si="40"/>
        <v>0</v>
      </c>
      <c r="GE1590" s="55">
        <f t="shared" si="40"/>
        <v>0</v>
      </c>
      <c r="GF1590" s="55">
        <f t="shared" si="40"/>
        <v>0</v>
      </c>
      <c r="GG1590" s="55">
        <f t="shared" si="40"/>
        <v>0</v>
      </c>
      <c r="GH1590" s="55">
        <f t="shared" si="40"/>
        <v>0</v>
      </c>
      <c r="GI1590" s="55">
        <f t="shared" si="40"/>
        <v>0</v>
      </c>
      <c r="GJ1590" s="55">
        <f t="shared" si="40"/>
        <v>0</v>
      </c>
      <c r="GK1590" s="55">
        <f t="shared" si="40"/>
        <v>0</v>
      </c>
      <c r="GL1590" s="55">
        <f t="shared" si="40"/>
        <v>0</v>
      </c>
      <c r="GM1590" s="55">
        <f t="shared" si="40"/>
        <v>0</v>
      </c>
      <c r="GN1590" s="55">
        <f t="shared" si="40"/>
        <v>0</v>
      </c>
      <c r="GO1590" s="55">
        <f t="shared" si="40"/>
        <v>0</v>
      </c>
      <c r="GP1590" s="55">
        <f t="shared" si="40"/>
        <v>0</v>
      </c>
      <c r="GQ1590" s="55">
        <f t="shared" si="40"/>
        <v>0</v>
      </c>
      <c r="GR1590" s="55">
        <f t="shared" si="40"/>
        <v>0</v>
      </c>
      <c r="GS1590" s="55">
        <f t="shared" si="40"/>
        <v>0</v>
      </c>
      <c r="GT1590" s="55">
        <f t="shared" si="40"/>
        <v>0</v>
      </c>
      <c r="GU1590" s="55">
        <f t="shared" si="40"/>
        <v>0</v>
      </c>
      <c r="GV1590" s="55">
        <f t="shared" ref="GV1590:JG1590" si="41">+(GV1600+GV1604)*1.18*1.1</f>
        <v>0</v>
      </c>
      <c r="GW1590" s="55">
        <f t="shared" si="41"/>
        <v>0</v>
      </c>
      <c r="GX1590" s="55">
        <f t="shared" si="41"/>
        <v>0</v>
      </c>
      <c r="GY1590" s="55">
        <f t="shared" si="41"/>
        <v>0</v>
      </c>
      <c r="GZ1590" s="55">
        <f t="shared" si="41"/>
        <v>0</v>
      </c>
      <c r="HA1590" s="55">
        <f t="shared" si="41"/>
        <v>0</v>
      </c>
      <c r="HB1590" s="55">
        <f t="shared" si="41"/>
        <v>0</v>
      </c>
      <c r="HC1590" s="55">
        <f t="shared" si="41"/>
        <v>0</v>
      </c>
      <c r="HD1590" s="55">
        <f t="shared" si="41"/>
        <v>0</v>
      </c>
      <c r="HE1590" s="55">
        <f t="shared" si="41"/>
        <v>0</v>
      </c>
      <c r="HF1590" s="55">
        <f t="shared" si="41"/>
        <v>0</v>
      </c>
      <c r="HG1590" s="55">
        <f t="shared" si="41"/>
        <v>0</v>
      </c>
      <c r="HH1590" s="55">
        <f t="shared" si="41"/>
        <v>0</v>
      </c>
      <c r="HI1590" s="55">
        <f t="shared" si="41"/>
        <v>0</v>
      </c>
      <c r="HJ1590" s="55">
        <f t="shared" si="41"/>
        <v>0</v>
      </c>
      <c r="HK1590" s="55">
        <f t="shared" si="41"/>
        <v>0</v>
      </c>
      <c r="HL1590" s="55">
        <f t="shared" si="41"/>
        <v>0</v>
      </c>
      <c r="HM1590" s="55">
        <f t="shared" si="41"/>
        <v>0</v>
      </c>
      <c r="HN1590" s="55">
        <f t="shared" si="41"/>
        <v>0</v>
      </c>
      <c r="HO1590" s="55">
        <f t="shared" si="41"/>
        <v>0</v>
      </c>
      <c r="HP1590" s="55">
        <f t="shared" si="41"/>
        <v>0</v>
      </c>
      <c r="HQ1590" s="55">
        <f t="shared" si="41"/>
        <v>0</v>
      </c>
      <c r="HR1590" s="55">
        <f t="shared" si="41"/>
        <v>0</v>
      </c>
      <c r="HS1590" s="55">
        <f t="shared" si="41"/>
        <v>0</v>
      </c>
      <c r="HT1590" s="55">
        <f t="shared" si="41"/>
        <v>0</v>
      </c>
      <c r="HU1590" s="55">
        <f t="shared" si="41"/>
        <v>0</v>
      </c>
      <c r="HV1590" s="55">
        <f t="shared" si="41"/>
        <v>0</v>
      </c>
      <c r="HW1590" s="55">
        <f t="shared" si="41"/>
        <v>0</v>
      </c>
      <c r="HX1590" s="55">
        <f t="shared" si="41"/>
        <v>0</v>
      </c>
      <c r="HY1590" s="55">
        <f t="shared" si="41"/>
        <v>0</v>
      </c>
      <c r="HZ1590" s="55">
        <f t="shared" si="41"/>
        <v>0</v>
      </c>
      <c r="IA1590" s="55">
        <f t="shared" si="41"/>
        <v>0</v>
      </c>
      <c r="IB1590" s="55">
        <f t="shared" si="41"/>
        <v>0</v>
      </c>
      <c r="IC1590" s="55">
        <f t="shared" si="41"/>
        <v>0</v>
      </c>
      <c r="ID1590" s="55">
        <f t="shared" si="41"/>
        <v>0</v>
      </c>
      <c r="IE1590" s="55">
        <f t="shared" si="41"/>
        <v>0</v>
      </c>
      <c r="IF1590" s="55">
        <f t="shared" si="41"/>
        <v>0</v>
      </c>
      <c r="IG1590" s="55">
        <f t="shared" si="41"/>
        <v>0</v>
      </c>
      <c r="IH1590" s="55">
        <f t="shared" si="41"/>
        <v>0</v>
      </c>
      <c r="II1590" s="55">
        <f t="shared" si="41"/>
        <v>0</v>
      </c>
      <c r="IJ1590" s="55">
        <f t="shared" si="41"/>
        <v>0</v>
      </c>
      <c r="IK1590" s="55">
        <f t="shared" si="41"/>
        <v>0</v>
      </c>
      <c r="IL1590" s="55">
        <f t="shared" si="41"/>
        <v>0</v>
      </c>
      <c r="IM1590" s="55">
        <f t="shared" si="41"/>
        <v>0</v>
      </c>
      <c r="IN1590" s="55">
        <f t="shared" si="41"/>
        <v>0</v>
      </c>
      <c r="IO1590" s="55">
        <f t="shared" si="41"/>
        <v>0</v>
      </c>
      <c r="IP1590" s="55">
        <f t="shared" si="41"/>
        <v>0</v>
      </c>
      <c r="IQ1590" s="55">
        <f t="shared" si="41"/>
        <v>0</v>
      </c>
      <c r="IR1590" s="55">
        <f t="shared" si="41"/>
        <v>0</v>
      </c>
      <c r="IS1590" s="55">
        <f t="shared" si="41"/>
        <v>0</v>
      </c>
      <c r="IT1590" s="55">
        <f t="shared" si="41"/>
        <v>0</v>
      </c>
      <c r="IU1590" s="55">
        <f t="shared" si="41"/>
        <v>0</v>
      </c>
      <c r="IV1590" s="55">
        <f t="shared" si="41"/>
        <v>0</v>
      </c>
      <c r="IW1590" s="55">
        <f t="shared" si="41"/>
        <v>0</v>
      </c>
      <c r="IX1590" s="55">
        <f t="shared" si="41"/>
        <v>0</v>
      </c>
      <c r="IY1590" s="55">
        <f t="shared" si="41"/>
        <v>0</v>
      </c>
      <c r="IZ1590" s="55">
        <f t="shared" si="41"/>
        <v>0</v>
      </c>
      <c r="JA1590" s="55">
        <f t="shared" si="41"/>
        <v>0</v>
      </c>
      <c r="JB1590" s="55">
        <f t="shared" si="41"/>
        <v>0</v>
      </c>
      <c r="JC1590" s="55">
        <f t="shared" si="41"/>
        <v>0</v>
      </c>
      <c r="JD1590" s="55">
        <f t="shared" si="41"/>
        <v>0</v>
      </c>
      <c r="JE1590" s="55">
        <f t="shared" si="41"/>
        <v>0</v>
      </c>
      <c r="JF1590" s="55">
        <f t="shared" si="41"/>
        <v>0</v>
      </c>
      <c r="JG1590" s="55">
        <f t="shared" si="41"/>
        <v>0</v>
      </c>
      <c r="JH1590" s="55">
        <f t="shared" ref="JH1590:LS1590" si="42">+(JH1600+JH1604)*1.18*1.1</f>
        <v>0</v>
      </c>
      <c r="JI1590" s="55">
        <f t="shared" si="42"/>
        <v>0</v>
      </c>
      <c r="JJ1590" s="55">
        <f t="shared" si="42"/>
        <v>0</v>
      </c>
      <c r="JK1590" s="55">
        <f t="shared" si="42"/>
        <v>0</v>
      </c>
      <c r="JL1590" s="55">
        <f t="shared" si="42"/>
        <v>0</v>
      </c>
      <c r="JM1590" s="55">
        <f t="shared" si="42"/>
        <v>0</v>
      </c>
      <c r="JN1590" s="55">
        <f t="shared" si="42"/>
        <v>0</v>
      </c>
      <c r="JO1590" s="55">
        <f t="shared" si="42"/>
        <v>0</v>
      </c>
      <c r="JP1590" s="55">
        <f t="shared" si="42"/>
        <v>0</v>
      </c>
      <c r="JQ1590" s="55">
        <f t="shared" si="42"/>
        <v>0</v>
      </c>
      <c r="JR1590" s="55">
        <f t="shared" si="42"/>
        <v>0</v>
      </c>
      <c r="JS1590" s="55">
        <f t="shared" si="42"/>
        <v>0</v>
      </c>
      <c r="JT1590" s="55">
        <f t="shared" si="42"/>
        <v>0</v>
      </c>
      <c r="JU1590" s="55">
        <f t="shared" si="42"/>
        <v>0</v>
      </c>
      <c r="JV1590" s="55">
        <f t="shared" si="42"/>
        <v>0</v>
      </c>
      <c r="JW1590" s="55">
        <f t="shared" si="42"/>
        <v>0</v>
      </c>
      <c r="JX1590" s="55">
        <f t="shared" si="42"/>
        <v>0</v>
      </c>
      <c r="JY1590" s="55">
        <f t="shared" si="42"/>
        <v>0</v>
      </c>
      <c r="JZ1590" s="55">
        <f t="shared" si="42"/>
        <v>0</v>
      </c>
      <c r="KA1590" s="55">
        <f t="shared" si="42"/>
        <v>0</v>
      </c>
      <c r="KB1590" s="55">
        <f t="shared" si="42"/>
        <v>0</v>
      </c>
      <c r="KC1590" s="55">
        <f t="shared" si="42"/>
        <v>0</v>
      </c>
      <c r="KD1590" s="55">
        <f t="shared" si="42"/>
        <v>0</v>
      </c>
      <c r="KE1590" s="55">
        <f t="shared" si="42"/>
        <v>0</v>
      </c>
      <c r="KF1590" s="55">
        <f t="shared" si="42"/>
        <v>0</v>
      </c>
      <c r="KG1590" s="55">
        <f t="shared" si="42"/>
        <v>0</v>
      </c>
      <c r="KH1590" s="55">
        <f t="shared" si="42"/>
        <v>0</v>
      </c>
      <c r="KI1590" s="55">
        <f t="shared" si="42"/>
        <v>0</v>
      </c>
      <c r="KJ1590" s="55">
        <f t="shared" si="42"/>
        <v>0</v>
      </c>
      <c r="KK1590" s="55">
        <f t="shared" si="42"/>
        <v>0</v>
      </c>
      <c r="KL1590" s="55">
        <f t="shared" si="42"/>
        <v>0</v>
      </c>
      <c r="KM1590" s="55">
        <f t="shared" si="42"/>
        <v>0</v>
      </c>
      <c r="KN1590" s="55">
        <f t="shared" si="42"/>
        <v>0</v>
      </c>
      <c r="KO1590" s="55">
        <f t="shared" si="42"/>
        <v>0</v>
      </c>
      <c r="KP1590" s="55">
        <f t="shared" si="42"/>
        <v>0</v>
      </c>
      <c r="KQ1590" s="55">
        <f t="shared" si="42"/>
        <v>0</v>
      </c>
      <c r="KR1590" s="55">
        <f t="shared" si="42"/>
        <v>0</v>
      </c>
      <c r="KS1590" s="55">
        <f t="shared" si="42"/>
        <v>0</v>
      </c>
      <c r="KT1590" s="55">
        <f t="shared" si="42"/>
        <v>0</v>
      </c>
      <c r="KU1590" s="55">
        <f t="shared" si="42"/>
        <v>0</v>
      </c>
      <c r="KV1590" s="55">
        <f t="shared" si="42"/>
        <v>0</v>
      </c>
      <c r="KW1590" s="55">
        <f t="shared" si="42"/>
        <v>0</v>
      </c>
      <c r="KX1590" s="55">
        <f t="shared" si="42"/>
        <v>0</v>
      </c>
      <c r="KY1590" s="55">
        <f t="shared" si="42"/>
        <v>0</v>
      </c>
      <c r="KZ1590" s="55">
        <f t="shared" si="42"/>
        <v>0</v>
      </c>
      <c r="LA1590" s="55">
        <f t="shared" si="42"/>
        <v>0</v>
      </c>
      <c r="LB1590" s="55">
        <f t="shared" si="42"/>
        <v>0</v>
      </c>
      <c r="LC1590" s="55">
        <f t="shared" si="42"/>
        <v>0</v>
      </c>
      <c r="LD1590" s="55">
        <f t="shared" si="42"/>
        <v>0</v>
      </c>
      <c r="LE1590" s="55">
        <f t="shared" si="42"/>
        <v>0</v>
      </c>
      <c r="LF1590" s="55">
        <f t="shared" si="42"/>
        <v>0</v>
      </c>
      <c r="LG1590" s="55">
        <f t="shared" si="42"/>
        <v>0</v>
      </c>
      <c r="LH1590" s="55">
        <f t="shared" si="42"/>
        <v>0</v>
      </c>
      <c r="LI1590" s="55">
        <f t="shared" si="42"/>
        <v>0</v>
      </c>
      <c r="LJ1590" s="55">
        <f t="shared" si="42"/>
        <v>0</v>
      </c>
      <c r="LK1590" s="55">
        <f t="shared" si="42"/>
        <v>0</v>
      </c>
      <c r="LL1590" s="55">
        <f t="shared" si="42"/>
        <v>0</v>
      </c>
      <c r="LM1590" s="55">
        <f t="shared" si="42"/>
        <v>0</v>
      </c>
      <c r="LN1590" s="55">
        <f t="shared" si="42"/>
        <v>0</v>
      </c>
      <c r="LO1590" s="55">
        <f t="shared" si="42"/>
        <v>0</v>
      </c>
      <c r="LP1590" s="55">
        <f t="shared" si="42"/>
        <v>0</v>
      </c>
      <c r="LQ1590" s="55">
        <f t="shared" si="42"/>
        <v>0</v>
      </c>
      <c r="LR1590" s="55">
        <f t="shared" si="42"/>
        <v>0</v>
      </c>
      <c r="LS1590" s="55">
        <f t="shared" si="42"/>
        <v>0</v>
      </c>
      <c r="LT1590" s="55">
        <f t="shared" ref="LT1590:OE1590" si="43">+(LT1600+LT1604)*1.18*1.1</f>
        <v>0</v>
      </c>
      <c r="LU1590" s="55">
        <f t="shared" si="43"/>
        <v>0</v>
      </c>
      <c r="LV1590" s="55">
        <f t="shared" si="43"/>
        <v>0</v>
      </c>
      <c r="LW1590" s="55">
        <f t="shared" si="43"/>
        <v>0</v>
      </c>
      <c r="LX1590" s="55">
        <f t="shared" si="43"/>
        <v>0</v>
      </c>
      <c r="LY1590" s="55">
        <f t="shared" si="43"/>
        <v>0</v>
      </c>
      <c r="LZ1590" s="55">
        <f t="shared" si="43"/>
        <v>0</v>
      </c>
      <c r="MA1590" s="55">
        <f t="shared" si="43"/>
        <v>0</v>
      </c>
      <c r="MB1590" s="55">
        <f t="shared" si="43"/>
        <v>0</v>
      </c>
      <c r="MC1590" s="55">
        <f t="shared" si="43"/>
        <v>0</v>
      </c>
      <c r="MD1590" s="55">
        <f t="shared" si="43"/>
        <v>0</v>
      </c>
      <c r="ME1590" s="55">
        <f t="shared" si="43"/>
        <v>0</v>
      </c>
      <c r="MF1590" s="55">
        <f t="shared" si="43"/>
        <v>0</v>
      </c>
      <c r="MG1590" s="55">
        <f t="shared" si="43"/>
        <v>0</v>
      </c>
      <c r="MH1590" s="55">
        <f t="shared" si="43"/>
        <v>0</v>
      </c>
      <c r="MI1590" s="55">
        <f t="shared" si="43"/>
        <v>0</v>
      </c>
      <c r="MJ1590" s="55">
        <f t="shared" si="43"/>
        <v>0</v>
      </c>
      <c r="MK1590" s="55">
        <f t="shared" si="43"/>
        <v>0</v>
      </c>
      <c r="ML1590" s="55">
        <f t="shared" si="43"/>
        <v>0</v>
      </c>
      <c r="MM1590" s="55">
        <f t="shared" si="43"/>
        <v>0</v>
      </c>
      <c r="MN1590" s="55">
        <f t="shared" si="43"/>
        <v>0</v>
      </c>
      <c r="MO1590" s="55">
        <f t="shared" si="43"/>
        <v>0</v>
      </c>
      <c r="MP1590" s="55">
        <f t="shared" si="43"/>
        <v>0</v>
      </c>
      <c r="MQ1590" s="55">
        <f t="shared" si="43"/>
        <v>0</v>
      </c>
      <c r="MR1590" s="55">
        <f t="shared" si="43"/>
        <v>0</v>
      </c>
      <c r="MS1590" s="55">
        <f t="shared" si="43"/>
        <v>0</v>
      </c>
      <c r="MT1590" s="55">
        <f t="shared" si="43"/>
        <v>0</v>
      </c>
      <c r="MU1590" s="55">
        <f t="shared" si="43"/>
        <v>0</v>
      </c>
      <c r="MV1590" s="55">
        <f t="shared" si="43"/>
        <v>0</v>
      </c>
      <c r="MW1590" s="55">
        <f t="shared" si="43"/>
        <v>0</v>
      </c>
      <c r="MX1590" s="55">
        <f t="shared" si="43"/>
        <v>0</v>
      </c>
      <c r="MY1590" s="55">
        <f t="shared" si="43"/>
        <v>0</v>
      </c>
      <c r="MZ1590" s="55">
        <f t="shared" si="43"/>
        <v>0</v>
      </c>
      <c r="NA1590" s="55">
        <f t="shared" si="43"/>
        <v>0</v>
      </c>
      <c r="NB1590" s="55">
        <f t="shared" si="43"/>
        <v>0</v>
      </c>
      <c r="NC1590" s="55">
        <f t="shared" si="43"/>
        <v>0</v>
      </c>
      <c r="ND1590" s="55">
        <f t="shared" si="43"/>
        <v>0</v>
      </c>
      <c r="NE1590" s="55">
        <f t="shared" si="43"/>
        <v>0</v>
      </c>
      <c r="NF1590" s="55">
        <f t="shared" si="43"/>
        <v>0</v>
      </c>
      <c r="NG1590" s="55">
        <f t="shared" si="43"/>
        <v>0</v>
      </c>
      <c r="NH1590" s="55">
        <f t="shared" si="43"/>
        <v>0</v>
      </c>
      <c r="NI1590" s="55">
        <f t="shared" si="43"/>
        <v>0</v>
      </c>
      <c r="NJ1590" s="55">
        <f t="shared" si="43"/>
        <v>0</v>
      </c>
      <c r="NK1590" s="55">
        <f t="shared" si="43"/>
        <v>0</v>
      </c>
      <c r="NL1590" s="55">
        <f t="shared" si="43"/>
        <v>0</v>
      </c>
      <c r="NM1590" s="55">
        <f t="shared" si="43"/>
        <v>0</v>
      </c>
      <c r="NN1590" s="55">
        <f t="shared" si="43"/>
        <v>0</v>
      </c>
      <c r="NO1590" s="55">
        <f t="shared" si="43"/>
        <v>0</v>
      </c>
      <c r="NP1590" s="55">
        <f t="shared" si="43"/>
        <v>0</v>
      </c>
      <c r="NQ1590" s="55">
        <f t="shared" si="43"/>
        <v>0</v>
      </c>
      <c r="NR1590" s="55">
        <f t="shared" si="43"/>
        <v>0</v>
      </c>
      <c r="NS1590" s="55">
        <f t="shared" si="43"/>
        <v>0</v>
      </c>
      <c r="NT1590" s="55">
        <f t="shared" si="43"/>
        <v>0</v>
      </c>
      <c r="NU1590" s="55">
        <f t="shared" si="43"/>
        <v>0</v>
      </c>
      <c r="NV1590" s="55">
        <f t="shared" si="43"/>
        <v>0</v>
      </c>
      <c r="NW1590" s="55">
        <f t="shared" si="43"/>
        <v>0</v>
      </c>
      <c r="NX1590" s="55">
        <f t="shared" si="43"/>
        <v>0</v>
      </c>
      <c r="NY1590" s="55">
        <f t="shared" si="43"/>
        <v>0</v>
      </c>
      <c r="NZ1590" s="55">
        <f t="shared" si="43"/>
        <v>0</v>
      </c>
      <c r="OA1590" s="55">
        <f t="shared" si="43"/>
        <v>0</v>
      </c>
      <c r="OB1590" s="55">
        <f t="shared" si="43"/>
        <v>0</v>
      </c>
      <c r="OC1590" s="55">
        <f t="shared" si="43"/>
        <v>0</v>
      </c>
      <c r="OD1590" s="55">
        <f t="shared" si="43"/>
        <v>0</v>
      </c>
      <c r="OE1590" s="55">
        <f t="shared" si="43"/>
        <v>0</v>
      </c>
      <c r="OF1590" s="55">
        <f t="shared" ref="OF1590:QQ1590" si="44">+(OF1600+OF1604)*1.18*1.1</f>
        <v>0</v>
      </c>
      <c r="OG1590" s="55">
        <f t="shared" si="44"/>
        <v>0</v>
      </c>
      <c r="OH1590" s="55">
        <f t="shared" si="44"/>
        <v>0</v>
      </c>
      <c r="OI1590" s="55">
        <f t="shared" si="44"/>
        <v>0</v>
      </c>
      <c r="OJ1590" s="55">
        <f t="shared" si="44"/>
        <v>0</v>
      </c>
      <c r="OK1590" s="55">
        <f t="shared" si="44"/>
        <v>0</v>
      </c>
      <c r="OL1590" s="55">
        <f t="shared" si="44"/>
        <v>0</v>
      </c>
      <c r="OM1590" s="55">
        <f t="shared" si="44"/>
        <v>0</v>
      </c>
      <c r="ON1590" s="55">
        <f t="shared" si="44"/>
        <v>0</v>
      </c>
      <c r="OO1590" s="55">
        <f t="shared" si="44"/>
        <v>0</v>
      </c>
      <c r="OP1590" s="55">
        <f t="shared" si="44"/>
        <v>0</v>
      </c>
      <c r="OQ1590" s="55">
        <f t="shared" si="44"/>
        <v>0</v>
      </c>
      <c r="OR1590" s="55">
        <f t="shared" si="44"/>
        <v>0</v>
      </c>
      <c r="OS1590" s="55">
        <f t="shared" si="44"/>
        <v>0</v>
      </c>
      <c r="OT1590" s="55">
        <f t="shared" si="44"/>
        <v>0</v>
      </c>
      <c r="OU1590" s="55">
        <f t="shared" si="44"/>
        <v>0</v>
      </c>
      <c r="OV1590" s="55">
        <f t="shared" si="44"/>
        <v>0</v>
      </c>
      <c r="OW1590" s="55">
        <f t="shared" si="44"/>
        <v>0</v>
      </c>
      <c r="OX1590" s="55">
        <f t="shared" si="44"/>
        <v>0</v>
      </c>
      <c r="OY1590" s="55">
        <f t="shared" si="44"/>
        <v>0</v>
      </c>
      <c r="OZ1590" s="55">
        <f t="shared" si="44"/>
        <v>0</v>
      </c>
      <c r="PA1590" s="55">
        <f t="shared" si="44"/>
        <v>0</v>
      </c>
      <c r="PB1590" s="55">
        <f t="shared" si="44"/>
        <v>0</v>
      </c>
      <c r="PC1590" s="55">
        <f t="shared" si="44"/>
        <v>0</v>
      </c>
      <c r="PD1590" s="55">
        <f t="shared" si="44"/>
        <v>0</v>
      </c>
      <c r="PE1590" s="55">
        <f t="shared" si="44"/>
        <v>0</v>
      </c>
      <c r="PF1590" s="55">
        <f t="shared" si="44"/>
        <v>0</v>
      </c>
      <c r="PG1590" s="55">
        <f t="shared" si="44"/>
        <v>0</v>
      </c>
      <c r="PH1590" s="55">
        <f t="shared" si="44"/>
        <v>0</v>
      </c>
      <c r="PI1590" s="55">
        <f t="shared" si="44"/>
        <v>0</v>
      </c>
      <c r="PJ1590" s="55">
        <f t="shared" si="44"/>
        <v>0</v>
      </c>
      <c r="PK1590" s="55">
        <f t="shared" si="44"/>
        <v>0</v>
      </c>
      <c r="PL1590" s="55">
        <f t="shared" si="44"/>
        <v>0</v>
      </c>
      <c r="PM1590" s="55">
        <f t="shared" si="44"/>
        <v>0</v>
      </c>
      <c r="PN1590" s="55">
        <f t="shared" si="44"/>
        <v>0</v>
      </c>
      <c r="PO1590" s="55">
        <f t="shared" si="44"/>
        <v>0</v>
      </c>
      <c r="PP1590" s="55">
        <f t="shared" si="44"/>
        <v>0</v>
      </c>
      <c r="PQ1590" s="55">
        <f t="shared" si="44"/>
        <v>0</v>
      </c>
      <c r="PR1590" s="55">
        <f t="shared" si="44"/>
        <v>0</v>
      </c>
      <c r="PS1590" s="55">
        <f t="shared" si="44"/>
        <v>0</v>
      </c>
      <c r="PT1590" s="55">
        <f t="shared" si="44"/>
        <v>0</v>
      </c>
      <c r="PU1590" s="55">
        <f t="shared" si="44"/>
        <v>0</v>
      </c>
      <c r="PV1590" s="55">
        <f t="shared" si="44"/>
        <v>0</v>
      </c>
      <c r="PW1590" s="55">
        <f t="shared" si="44"/>
        <v>0</v>
      </c>
      <c r="PX1590" s="55">
        <f t="shared" si="44"/>
        <v>0</v>
      </c>
      <c r="PY1590" s="55">
        <f t="shared" si="44"/>
        <v>0</v>
      </c>
      <c r="PZ1590" s="55">
        <f t="shared" si="44"/>
        <v>0</v>
      </c>
      <c r="QA1590" s="55">
        <f t="shared" si="44"/>
        <v>0</v>
      </c>
      <c r="QB1590" s="55">
        <f t="shared" si="44"/>
        <v>0</v>
      </c>
      <c r="QC1590" s="55">
        <f t="shared" si="44"/>
        <v>0</v>
      </c>
      <c r="QD1590" s="55">
        <f t="shared" si="44"/>
        <v>0</v>
      </c>
      <c r="QE1590" s="55">
        <f t="shared" si="44"/>
        <v>0</v>
      </c>
      <c r="QF1590" s="55">
        <f t="shared" si="44"/>
        <v>0</v>
      </c>
      <c r="QG1590" s="55">
        <f t="shared" si="44"/>
        <v>0</v>
      </c>
      <c r="QH1590" s="55">
        <f t="shared" si="44"/>
        <v>0</v>
      </c>
      <c r="QI1590" s="55">
        <f t="shared" si="44"/>
        <v>0</v>
      </c>
      <c r="QJ1590" s="55">
        <f t="shared" si="44"/>
        <v>0</v>
      </c>
      <c r="QK1590" s="55">
        <f t="shared" si="44"/>
        <v>0</v>
      </c>
      <c r="QL1590" s="55">
        <f t="shared" si="44"/>
        <v>0</v>
      </c>
      <c r="QM1590" s="55">
        <f t="shared" si="44"/>
        <v>0</v>
      </c>
      <c r="QN1590" s="55">
        <f t="shared" si="44"/>
        <v>0</v>
      </c>
      <c r="QO1590" s="55">
        <f t="shared" si="44"/>
        <v>0</v>
      </c>
      <c r="QP1590" s="55">
        <f t="shared" si="44"/>
        <v>0</v>
      </c>
      <c r="QQ1590" s="55">
        <f t="shared" si="44"/>
        <v>0</v>
      </c>
      <c r="QR1590" s="55">
        <f t="shared" ref="QR1590:TC1590" si="45">+(QR1600+QR1604)*1.18*1.1</f>
        <v>0</v>
      </c>
      <c r="QS1590" s="55">
        <f t="shared" si="45"/>
        <v>0</v>
      </c>
      <c r="QT1590" s="55">
        <f t="shared" si="45"/>
        <v>0</v>
      </c>
      <c r="QU1590" s="55">
        <f t="shared" si="45"/>
        <v>0</v>
      </c>
      <c r="QV1590" s="55">
        <f t="shared" si="45"/>
        <v>0</v>
      </c>
      <c r="QW1590" s="55">
        <f t="shared" si="45"/>
        <v>0</v>
      </c>
      <c r="QX1590" s="55">
        <f t="shared" si="45"/>
        <v>0</v>
      </c>
      <c r="QY1590" s="55">
        <f t="shared" si="45"/>
        <v>0</v>
      </c>
      <c r="QZ1590" s="55">
        <f t="shared" si="45"/>
        <v>0</v>
      </c>
      <c r="RA1590" s="55">
        <f t="shared" si="45"/>
        <v>0</v>
      </c>
      <c r="RB1590" s="55">
        <f t="shared" si="45"/>
        <v>0</v>
      </c>
      <c r="RC1590" s="55">
        <f t="shared" si="45"/>
        <v>0</v>
      </c>
      <c r="RD1590" s="55">
        <f t="shared" si="45"/>
        <v>0</v>
      </c>
      <c r="RE1590" s="55">
        <f t="shared" si="45"/>
        <v>0</v>
      </c>
      <c r="RF1590" s="55">
        <f t="shared" si="45"/>
        <v>0</v>
      </c>
      <c r="RG1590" s="55">
        <f t="shared" si="45"/>
        <v>0</v>
      </c>
      <c r="RH1590" s="55">
        <f t="shared" si="45"/>
        <v>0</v>
      </c>
      <c r="RI1590" s="55">
        <f t="shared" si="45"/>
        <v>0</v>
      </c>
      <c r="RJ1590" s="55">
        <f t="shared" si="45"/>
        <v>0</v>
      </c>
      <c r="RK1590" s="55">
        <f t="shared" si="45"/>
        <v>0</v>
      </c>
      <c r="RL1590" s="55">
        <f t="shared" si="45"/>
        <v>0</v>
      </c>
      <c r="RM1590" s="55">
        <f t="shared" si="45"/>
        <v>0</v>
      </c>
      <c r="RN1590" s="55">
        <f t="shared" si="45"/>
        <v>0</v>
      </c>
      <c r="RO1590" s="55">
        <f t="shared" si="45"/>
        <v>0</v>
      </c>
      <c r="RP1590" s="55">
        <f t="shared" si="45"/>
        <v>0</v>
      </c>
      <c r="RQ1590" s="55">
        <f t="shared" si="45"/>
        <v>0</v>
      </c>
      <c r="RR1590" s="55">
        <f t="shared" si="45"/>
        <v>0</v>
      </c>
      <c r="RS1590" s="55">
        <f t="shared" si="45"/>
        <v>0</v>
      </c>
      <c r="RT1590" s="55">
        <f t="shared" si="45"/>
        <v>0</v>
      </c>
      <c r="RU1590" s="55">
        <f t="shared" si="45"/>
        <v>0</v>
      </c>
      <c r="RV1590" s="55">
        <f t="shared" si="45"/>
        <v>0</v>
      </c>
      <c r="RW1590" s="55">
        <f t="shared" si="45"/>
        <v>0</v>
      </c>
      <c r="RX1590" s="55">
        <f t="shared" si="45"/>
        <v>0</v>
      </c>
      <c r="RY1590" s="55">
        <f t="shared" si="45"/>
        <v>0</v>
      </c>
      <c r="RZ1590" s="55">
        <f t="shared" si="45"/>
        <v>0</v>
      </c>
      <c r="SA1590" s="55">
        <f t="shared" si="45"/>
        <v>0</v>
      </c>
      <c r="SB1590" s="55">
        <f t="shared" si="45"/>
        <v>0</v>
      </c>
      <c r="SC1590" s="55">
        <f t="shared" si="45"/>
        <v>0</v>
      </c>
      <c r="SD1590" s="55">
        <f t="shared" si="45"/>
        <v>0</v>
      </c>
      <c r="SE1590" s="55">
        <f t="shared" si="45"/>
        <v>0</v>
      </c>
      <c r="SF1590" s="55">
        <f t="shared" si="45"/>
        <v>0</v>
      </c>
      <c r="SG1590" s="55">
        <f t="shared" si="45"/>
        <v>0</v>
      </c>
      <c r="SH1590" s="55">
        <f t="shared" si="45"/>
        <v>0</v>
      </c>
      <c r="SI1590" s="55">
        <f t="shared" si="45"/>
        <v>0</v>
      </c>
      <c r="SJ1590" s="55">
        <f t="shared" si="45"/>
        <v>0</v>
      </c>
      <c r="SK1590" s="55">
        <f t="shared" si="45"/>
        <v>0</v>
      </c>
      <c r="SL1590" s="55">
        <f t="shared" si="45"/>
        <v>0</v>
      </c>
      <c r="SM1590" s="55">
        <f t="shared" si="45"/>
        <v>0</v>
      </c>
      <c r="SN1590" s="55">
        <f t="shared" si="45"/>
        <v>0</v>
      </c>
      <c r="SO1590" s="55">
        <f t="shared" si="45"/>
        <v>0</v>
      </c>
      <c r="SP1590" s="55">
        <f t="shared" si="45"/>
        <v>0</v>
      </c>
      <c r="SQ1590" s="55">
        <f t="shared" si="45"/>
        <v>0</v>
      </c>
      <c r="SR1590" s="55">
        <f t="shared" si="45"/>
        <v>0</v>
      </c>
      <c r="SS1590" s="55">
        <f t="shared" si="45"/>
        <v>0</v>
      </c>
      <c r="ST1590" s="55">
        <f t="shared" si="45"/>
        <v>0</v>
      </c>
      <c r="SU1590" s="55">
        <f t="shared" si="45"/>
        <v>0</v>
      </c>
      <c r="SV1590" s="55">
        <f t="shared" si="45"/>
        <v>0</v>
      </c>
      <c r="SW1590" s="55">
        <f t="shared" si="45"/>
        <v>0</v>
      </c>
      <c r="SX1590" s="55">
        <f t="shared" si="45"/>
        <v>0</v>
      </c>
      <c r="SY1590" s="55">
        <f t="shared" si="45"/>
        <v>0</v>
      </c>
      <c r="SZ1590" s="55">
        <f t="shared" si="45"/>
        <v>0</v>
      </c>
      <c r="TA1590" s="55">
        <f t="shared" si="45"/>
        <v>0</v>
      </c>
      <c r="TB1590" s="55">
        <f t="shared" si="45"/>
        <v>0</v>
      </c>
      <c r="TC1590" s="55">
        <f t="shared" si="45"/>
        <v>0</v>
      </c>
      <c r="TD1590" s="55">
        <f t="shared" ref="TD1590:VO1590" si="46">+(TD1600+TD1604)*1.18*1.1</f>
        <v>0</v>
      </c>
      <c r="TE1590" s="55">
        <f t="shared" si="46"/>
        <v>0</v>
      </c>
      <c r="TF1590" s="55">
        <f t="shared" si="46"/>
        <v>0</v>
      </c>
      <c r="TG1590" s="55">
        <f t="shared" si="46"/>
        <v>0</v>
      </c>
      <c r="TH1590" s="55">
        <f t="shared" si="46"/>
        <v>0</v>
      </c>
      <c r="TI1590" s="55">
        <f t="shared" si="46"/>
        <v>0</v>
      </c>
      <c r="TJ1590" s="55">
        <f t="shared" si="46"/>
        <v>0</v>
      </c>
      <c r="TK1590" s="55">
        <f t="shared" si="46"/>
        <v>0</v>
      </c>
      <c r="TL1590" s="55">
        <f t="shared" si="46"/>
        <v>0</v>
      </c>
      <c r="TM1590" s="55">
        <f t="shared" si="46"/>
        <v>0</v>
      </c>
      <c r="TN1590" s="55">
        <f t="shared" si="46"/>
        <v>0</v>
      </c>
      <c r="TO1590" s="55">
        <f t="shared" si="46"/>
        <v>0</v>
      </c>
      <c r="TP1590" s="55">
        <f t="shared" si="46"/>
        <v>0</v>
      </c>
      <c r="TQ1590" s="55">
        <f t="shared" si="46"/>
        <v>0</v>
      </c>
      <c r="TR1590" s="55">
        <f t="shared" si="46"/>
        <v>0</v>
      </c>
      <c r="TS1590" s="55">
        <f t="shared" si="46"/>
        <v>0</v>
      </c>
      <c r="TT1590" s="55">
        <f t="shared" si="46"/>
        <v>0</v>
      </c>
      <c r="TU1590" s="55">
        <f t="shared" si="46"/>
        <v>0</v>
      </c>
      <c r="TV1590" s="55">
        <f t="shared" si="46"/>
        <v>0</v>
      </c>
      <c r="TW1590" s="55">
        <f t="shared" si="46"/>
        <v>0</v>
      </c>
      <c r="TX1590" s="55">
        <f t="shared" si="46"/>
        <v>0</v>
      </c>
      <c r="TY1590" s="55">
        <f t="shared" si="46"/>
        <v>0</v>
      </c>
      <c r="TZ1590" s="55">
        <f t="shared" si="46"/>
        <v>0</v>
      </c>
      <c r="UA1590" s="55">
        <f t="shared" si="46"/>
        <v>0</v>
      </c>
      <c r="UB1590" s="55">
        <f t="shared" si="46"/>
        <v>0</v>
      </c>
      <c r="UC1590" s="55">
        <f t="shared" si="46"/>
        <v>0</v>
      </c>
      <c r="UD1590" s="55">
        <f t="shared" si="46"/>
        <v>0</v>
      </c>
      <c r="UE1590" s="55">
        <f t="shared" si="46"/>
        <v>0</v>
      </c>
      <c r="UF1590" s="55">
        <f t="shared" si="46"/>
        <v>0</v>
      </c>
      <c r="UG1590" s="55">
        <f t="shared" si="46"/>
        <v>0</v>
      </c>
      <c r="UH1590" s="55">
        <f t="shared" si="46"/>
        <v>0</v>
      </c>
      <c r="UI1590" s="55">
        <f t="shared" si="46"/>
        <v>0</v>
      </c>
      <c r="UJ1590" s="55">
        <f t="shared" si="46"/>
        <v>0</v>
      </c>
      <c r="UK1590" s="55">
        <f t="shared" si="46"/>
        <v>0</v>
      </c>
      <c r="UL1590" s="55">
        <f t="shared" si="46"/>
        <v>0</v>
      </c>
      <c r="UM1590" s="55">
        <f t="shared" si="46"/>
        <v>0</v>
      </c>
      <c r="UN1590" s="55">
        <f t="shared" si="46"/>
        <v>0</v>
      </c>
      <c r="UO1590" s="55">
        <f t="shared" si="46"/>
        <v>0</v>
      </c>
      <c r="UP1590" s="55">
        <f t="shared" si="46"/>
        <v>0</v>
      </c>
      <c r="UQ1590" s="55">
        <f t="shared" si="46"/>
        <v>0</v>
      </c>
      <c r="UR1590" s="55">
        <f t="shared" si="46"/>
        <v>0</v>
      </c>
      <c r="US1590" s="55">
        <f t="shared" si="46"/>
        <v>0</v>
      </c>
      <c r="UT1590" s="55">
        <f t="shared" si="46"/>
        <v>0</v>
      </c>
      <c r="UU1590" s="55">
        <f t="shared" si="46"/>
        <v>0</v>
      </c>
      <c r="UV1590" s="55">
        <f t="shared" si="46"/>
        <v>0</v>
      </c>
      <c r="UW1590" s="55">
        <f t="shared" si="46"/>
        <v>0</v>
      </c>
      <c r="UX1590" s="55">
        <f t="shared" si="46"/>
        <v>0</v>
      </c>
      <c r="UY1590" s="55">
        <f t="shared" si="46"/>
        <v>0</v>
      </c>
      <c r="UZ1590" s="55">
        <f t="shared" si="46"/>
        <v>0</v>
      </c>
      <c r="VA1590" s="55">
        <f t="shared" si="46"/>
        <v>0</v>
      </c>
      <c r="VB1590" s="55">
        <f t="shared" si="46"/>
        <v>0</v>
      </c>
      <c r="VC1590" s="55">
        <f t="shared" si="46"/>
        <v>0</v>
      </c>
      <c r="VD1590" s="55">
        <f t="shared" si="46"/>
        <v>0</v>
      </c>
      <c r="VE1590" s="55">
        <f t="shared" si="46"/>
        <v>0</v>
      </c>
      <c r="VF1590" s="55">
        <f t="shared" si="46"/>
        <v>0</v>
      </c>
      <c r="VG1590" s="55">
        <f t="shared" si="46"/>
        <v>0</v>
      </c>
      <c r="VH1590" s="55">
        <f t="shared" si="46"/>
        <v>0</v>
      </c>
      <c r="VI1590" s="55">
        <f t="shared" si="46"/>
        <v>0</v>
      </c>
      <c r="VJ1590" s="55">
        <f t="shared" si="46"/>
        <v>0</v>
      </c>
      <c r="VK1590" s="55">
        <f t="shared" si="46"/>
        <v>0</v>
      </c>
      <c r="VL1590" s="55">
        <f t="shared" si="46"/>
        <v>0</v>
      </c>
      <c r="VM1590" s="55">
        <f t="shared" si="46"/>
        <v>0</v>
      </c>
      <c r="VN1590" s="55">
        <f t="shared" si="46"/>
        <v>0</v>
      </c>
      <c r="VO1590" s="55">
        <f t="shared" si="46"/>
        <v>0</v>
      </c>
      <c r="VP1590" s="55">
        <f t="shared" ref="VP1590:YA1590" si="47">+(VP1600+VP1604)*1.18*1.1</f>
        <v>0</v>
      </c>
      <c r="VQ1590" s="55">
        <f t="shared" si="47"/>
        <v>0</v>
      </c>
      <c r="VR1590" s="55">
        <f t="shared" si="47"/>
        <v>0</v>
      </c>
      <c r="VS1590" s="55">
        <f t="shared" si="47"/>
        <v>0</v>
      </c>
      <c r="VT1590" s="55">
        <f t="shared" si="47"/>
        <v>0</v>
      </c>
      <c r="VU1590" s="55">
        <f t="shared" si="47"/>
        <v>0</v>
      </c>
      <c r="VV1590" s="55">
        <f t="shared" si="47"/>
        <v>0</v>
      </c>
      <c r="VW1590" s="55">
        <f t="shared" si="47"/>
        <v>0</v>
      </c>
      <c r="VX1590" s="55">
        <f t="shared" si="47"/>
        <v>0</v>
      </c>
      <c r="VY1590" s="55">
        <f t="shared" si="47"/>
        <v>0</v>
      </c>
      <c r="VZ1590" s="55">
        <f t="shared" si="47"/>
        <v>0</v>
      </c>
      <c r="WA1590" s="55">
        <f t="shared" si="47"/>
        <v>0</v>
      </c>
      <c r="WB1590" s="55">
        <f t="shared" si="47"/>
        <v>0</v>
      </c>
      <c r="WC1590" s="55">
        <f t="shared" si="47"/>
        <v>0</v>
      </c>
      <c r="WD1590" s="55">
        <f t="shared" si="47"/>
        <v>0</v>
      </c>
      <c r="WE1590" s="55">
        <f t="shared" si="47"/>
        <v>0</v>
      </c>
      <c r="WF1590" s="55">
        <f t="shared" si="47"/>
        <v>0</v>
      </c>
      <c r="WG1590" s="55">
        <f t="shared" si="47"/>
        <v>0</v>
      </c>
      <c r="WH1590" s="55">
        <f t="shared" si="47"/>
        <v>0</v>
      </c>
      <c r="WI1590" s="55">
        <f t="shared" si="47"/>
        <v>0</v>
      </c>
      <c r="WJ1590" s="55">
        <f t="shared" si="47"/>
        <v>0</v>
      </c>
      <c r="WK1590" s="55">
        <f t="shared" si="47"/>
        <v>0</v>
      </c>
      <c r="WL1590" s="55">
        <f t="shared" si="47"/>
        <v>0</v>
      </c>
      <c r="WM1590" s="55">
        <f t="shared" si="47"/>
        <v>0</v>
      </c>
      <c r="WN1590" s="55">
        <f t="shared" si="47"/>
        <v>0</v>
      </c>
      <c r="WO1590" s="55">
        <f t="shared" si="47"/>
        <v>0</v>
      </c>
      <c r="WP1590" s="55">
        <f t="shared" si="47"/>
        <v>0</v>
      </c>
      <c r="WQ1590" s="55">
        <f t="shared" si="47"/>
        <v>0</v>
      </c>
      <c r="WR1590" s="55">
        <f t="shared" si="47"/>
        <v>0</v>
      </c>
      <c r="WS1590" s="55">
        <f t="shared" si="47"/>
        <v>0</v>
      </c>
      <c r="WT1590" s="55">
        <f t="shared" si="47"/>
        <v>0</v>
      </c>
      <c r="WU1590" s="55">
        <f t="shared" si="47"/>
        <v>0</v>
      </c>
      <c r="WV1590" s="55">
        <f t="shared" si="47"/>
        <v>0</v>
      </c>
      <c r="WW1590" s="55">
        <f t="shared" si="47"/>
        <v>0</v>
      </c>
      <c r="WX1590" s="55">
        <f t="shared" si="47"/>
        <v>0</v>
      </c>
      <c r="WY1590" s="55">
        <f t="shared" si="47"/>
        <v>0</v>
      </c>
      <c r="WZ1590" s="55">
        <f t="shared" si="47"/>
        <v>0</v>
      </c>
      <c r="XA1590" s="55">
        <f t="shared" si="47"/>
        <v>0</v>
      </c>
      <c r="XB1590" s="55">
        <f t="shared" si="47"/>
        <v>0</v>
      </c>
      <c r="XC1590" s="55">
        <f t="shared" si="47"/>
        <v>0</v>
      </c>
      <c r="XD1590" s="55">
        <f t="shared" si="47"/>
        <v>0</v>
      </c>
      <c r="XE1590" s="55">
        <f t="shared" si="47"/>
        <v>0</v>
      </c>
      <c r="XF1590" s="55">
        <f t="shared" si="47"/>
        <v>0</v>
      </c>
      <c r="XG1590" s="55">
        <f t="shared" si="47"/>
        <v>0</v>
      </c>
      <c r="XH1590" s="55">
        <f t="shared" si="47"/>
        <v>0</v>
      </c>
      <c r="XI1590" s="55">
        <f t="shared" si="47"/>
        <v>0</v>
      </c>
      <c r="XJ1590" s="55">
        <f t="shared" si="47"/>
        <v>0</v>
      </c>
      <c r="XK1590" s="55">
        <f t="shared" si="47"/>
        <v>0</v>
      </c>
      <c r="XL1590" s="55">
        <f t="shared" si="47"/>
        <v>0</v>
      </c>
      <c r="XM1590" s="55">
        <f t="shared" si="47"/>
        <v>0</v>
      </c>
      <c r="XN1590" s="55">
        <f t="shared" si="47"/>
        <v>0</v>
      </c>
      <c r="XO1590" s="55">
        <f t="shared" si="47"/>
        <v>0</v>
      </c>
      <c r="XP1590" s="55">
        <f t="shared" si="47"/>
        <v>0</v>
      </c>
      <c r="XQ1590" s="55">
        <f t="shared" si="47"/>
        <v>0</v>
      </c>
      <c r="XR1590" s="55">
        <f t="shared" si="47"/>
        <v>0</v>
      </c>
      <c r="XS1590" s="55">
        <f t="shared" si="47"/>
        <v>0</v>
      </c>
      <c r="XT1590" s="55">
        <f t="shared" si="47"/>
        <v>0</v>
      </c>
      <c r="XU1590" s="55">
        <f t="shared" si="47"/>
        <v>0</v>
      </c>
      <c r="XV1590" s="55">
        <f t="shared" si="47"/>
        <v>0</v>
      </c>
      <c r="XW1590" s="55">
        <f t="shared" si="47"/>
        <v>0</v>
      </c>
      <c r="XX1590" s="55">
        <f t="shared" si="47"/>
        <v>0</v>
      </c>
      <c r="XY1590" s="55">
        <f t="shared" si="47"/>
        <v>0</v>
      </c>
      <c r="XZ1590" s="55">
        <f t="shared" si="47"/>
        <v>0</v>
      </c>
      <c r="YA1590" s="55">
        <f t="shared" si="47"/>
        <v>0</v>
      </c>
      <c r="YB1590" s="55">
        <f t="shared" ref="YB1590:AAM1590" si="48">+(YB1600+YB1604)*1.18*1.1</f>
        <v>0</v>
      </c>
      <c r="YC1590" s="55">
        <f t="shared" si="48"/>
        <v>0</v>
      </c>
      <c r="YD1590" s="55">
        <f t="shared" si="48"/>
        <v>0</v>
      </c>
      <c r="YE1590" s="55">
        <f t="shared" si="48"/>
        <v>0</v>
      </c>
      <c r="YF1590" s="55">
        <f t="shared" si="48"/>
        <v>0</v>
      </c>
      <c r="YG1590" s="55">
        <f t="shared" si="48"/>
        <v>0</v>
      </c>
      <c r="YH1590" s="55">
        <f t="shared" si="48"/>
        <v>0</v>
      </c>
      <c r="YI1590" s="55">
        <f t="shared" si="48"/>
        <v>0</v>
      </c>
      <c r="YJ1590" s="55">
        <f t="shared" si="48"/>
        <v>0</v>
      </c>
      <c r="YK1590" s="55">
        <f t="shared" si="48"/>
        <v>0</v>
      </c>
      <c r="YL1590" s="55">
        <f t="shared" si="48"/>
        <v>0</v>
      </c>
      <c r="YM1590" s="55">
        <f t="shared" si="48"/>
        <v>0</v>
      </c>
      <c r="YN1590" s="55">
        <f t="shared" si="48"/>
        <v>0</v>
      </c>
      <c r="YO1590" s="55">
        <f t="shared" si="48"/>
        <v>0</v>
      </c>
      <c r="YP1590" s="55">
        <f t="shared" si="48"/>
        <v>0</v>
      </c>
      <c r="YQ1590" s="55">
        <f t="shared" si="48"/>
        <v>0</v>
      </c>
      <c r="YR1590" s="55">
        <f t="shared" si="48"/>
        <v>0</v>
      </c>
      <c r="YS1590" s="55">
        <f t="shared" si="48"/>
        <v>0</v>
      </c>
      <c r="YT1590" s="55">
        <f t="shared" si="48"/>
        <v>0</v>
      </c>
      <c r="YU1590" s="55">
        <f t="shared" si="48"/>
        <v>0</v>
      </c>
      <c r="YV1590" s="55">
        <f t="shared" si="48"/>
        <v>0</v>
      </c>
      <c r="YW1590" s="55">
        <f t="shared" si="48"/>
        <v>0</v>
      </c>
      <c r="YX1590" s="55">
        <f t="shared" si="48"/>
        <v>0</v>
      </c>
      <c r="YY1590" s="55">
        <f t="shared" si="48"/>
        <v>0</v>
      </c>
      <c r="YZ1590" s="55">
        <f t="shared" si="48"/>
        <v>0</v>
      </c>
      <c r="ZA1590" s="55">
        <f t="shared" si="48"/>
        <v>0</v>
      </c>
      <c r="ZB1590" s="55">
        <f t="shared" si="48"/>
        <v>0</v>
      </c>
      <c r="ZC1590" s="55">
        <f t="shared" si="48"/>
        <v>0</v>
      </c>
      <c r="ZD1590" s="55">
        <f t="shared" si="48"/>
        <v>0</v>
      </c>
      <c r="ZE1590" s="55">
        <f t="shared" si="48"/>
        <v>0</v>
      </c>
      <c r="ZF1590" s="55">
        <f t="shared" si="48"/>
        <v>0</v>
      </c>
      <c r="ZG1590" s="55">
        <f t="shared" si="48"/>
        <v>0</v>
      </c>
      <c r="ZH1590" s="55">
        <f t="shared" si="48"/>
        <v>0</v>
      </c>
      <c r="ZI1590" s="55">
        <f t="shared" si="48"/>
        <v>0</v>
      </c>
      <c r="ZJ1590" s="55">
        <f t="shared" si="48"/>
        <v>0</v>
      </c>
      <c r="ZK1590" s="55">
        <f t="shared" si="48"/>
        <v>0</v>
      </c>
      <c r="ZL1590" s="55">
        <f t="shared" si="48"/>
        <v>0</v>
      </c>
      <c r="ZM1590" s="55">
        <f t="shared" si="48"/>
        <v>0</v>
      </c>
      <c r="ZN1590" s="55">
        <f t="shared" si="48"/>
        <v>0</v>
      </c>
      <c r="ZO1590" s="55">
        <f t="shared" si="48"/>
        <v>0</v>
      </c>
      <c r="ZP1590" s="55">
        <f t="shared" si="48"/>
        <v>0</v>
      </c>
      <c r="ZQ1590" s="55">
        <f t="shared" si="48"/>
        <v>0</v>
      </c>
      <c r="ZR1590" s="55">
        <f t="shared" si="48"/>
        <v>0</v>
      </c>
      <c r="ZS1590" s="55">
        <f t="shared" si="48"/>
        <v>0</v>
      </c>
      <c r="ZT1590" s="55">
        <f t="shared" si="48"/>
        <v>0</v>
      </c>
      <c r="ZU1590" s="55">
        <f t="shared" si="48"/>
        <v>0</v>
      </c>
      <c r="ZV1590" s="55">
        <f t="shared" si="48"/>
        <v>0</v>
      </c>
      <c r="ZW1590" s="55">
        <f t="shared" si="48"/>
        <v>0</v>
      </c>
      <c r="ZX1590" s="55">
        <f t="shared" si="48"/>
        <v>0</v>
      </c>
      <c r="ZY1590" s="55">
        <f t="shared" si="48"/>
        <v>0</v>
      </c>
      <c r="ZZ1590" s="55">
        <f t="shared" si="48"/>
        <v>0</v>
      </c>
      <c r="AAA1590" s="55">
        <f t="shared" si="48"/>
        <v>0</v>
      </c>
      <c r="AAB1590" s="55">
        <f t="shared" si="48"/>
        <v>0</v>
      </c>
      <c r="AAC1590" s="55">
        <f t="shared" si="48"/>
        <v>0</v>
      </c>
      <c r="AAD1590" s="55">
        <f t="shared" si="48"/>
        <v>0</v>
      </c>
      <c r="AAE1590" s="55">
        <f t="shared" si="48"/>
        <v>0</v>
      </c>
      <c r="AAF1590" s="55">
        <f t="shared" si="48"/>
        <v>0</v>
      </c>
      <c r="AAG1590" s="55">
        <f t="shared" si="48"/>
        <v>0</v>
      </c>
      <c r="AAH1590" s="55">
        <f t="shared" si="48"/>
        <v>0</v>
      </c>
      <c r="AAI1590" s="55">
        <f t="shared" si="48"/>
        <v>0</v>
      </c>
      <c r="AAJ1590" s="55">
        <f t="shared" si="48"/>
        <v>0</v>
      </c>
      <c r="AAK1590" s="55">
        <f t="shared" si="48"/>
        <v>0</v>
      </c>
      <c r="AAL1590" s="55">
        <f t="shared" si="48"/>
        <v>0</v>
      </c>
      <c r="AAM1590" s="55">
        <f t="shared" si="48"/>
        <v>0</v>
      </c>
      <c r="AAN1590" s="55">
        <f t="shared" ref="AAN1590:ACY1590" si="49">+(AAN1600+AAN1604)*1.18*1.1</f>
        <v>0</v>
      </c>
      <c r="AAO1590" s="55">
        <f t="shared" si="49"/>
        <v>0</v>
      </c>
      <c r="AAP1590" s="55">
        <f t="shared" si="49"/>
        <v>0</v>
      </c>
      <c r="AAQ1590" s="55">
        <f t="shared" si="49"/>
        <v>0</v>
      </c>
      <c r="AAR1590" s="55">
        <f t="shared" si="49"/>
        <v>0</v>
      </c>
      <c r="AAS1590" s="55">
        <f t="shared" si="49"/>
        <v>0</v>
      </c>
      <c r="AAT1590" s="55">
        <f t="shared" si="49"/>
        <v>0</v>
      </c>
      <c r="AAU1590" s="55">
        <f t="shared" si="49"/>
        <v>0</v>
      </c>
      <c r="AAV1590" s="55">
        <f t="shared" si="49"/>
        <v>0</v>
      </c>
      <c r="AAW1590" s="55">
        <f t="shared" si="49"/>
        <v>0</v>
      </c>
      <c r="AAX1590" s="55">
        <f t="shared" si="49"/>
        <v>0</v>
      </c>
      <c r="AAY1590" s="55">
        <f t="shared" si="49"/>
        <v>0</v>
      </c>
      <c r="AAZ1590" s="55">
        <f t="shared" si="49"/>
        <v>0</v>
      </c>
      <c r="ABA1590" s="55">
        <f t="shared" si="49"/>
        <v>0</v>
      </c>
      <c r="ABB1590" s="55">
        <f t="shared" si="49"/>
        <v>0</v>
      </c>
      <c r="ABC1590" s="55">
        <f t="shared" si="49"/>
        <v>0</v>
      </c>
      <c r="ABD1590" s="55">
        <f t="shared" si="49"/>
        <v>0</v>
      </c>
      <c r="ABE1590" s="55">
        <f t="shared" si="49"/>
        <v>0</v>
      </c>
      <c r="ABF1590" s="55">
        <f t="shared" si="49"/>
        <v>0</v>
      </c>
      <c r="ABG1590" s="55">
        <f t="shared" si="49"/>
        <v>0</v>
      </c>
      <c r="ABH1590" s="55">
        <f t="shared" si="49"/>
        <v>0</v>
      </c>
      <c r="ABI1590" s="55">
        <f t="shared" si="49"/>
        <v>0</v>
      </c>
      <c r="ABJ1590" s="55">
        <f t="shared" si="49"/>
        <v>0</v>
      </c>
      <c r="ABK1590" s="55">
        <f t="shared" si="49"/>
        <v>0</v>
      </c>
      <c r="ABL1590" s="55">
        <f t="shared" si="49"/>
        <v>0</v>
      </c>
      <c r="ABM1590" s="55">
        <f t="shared" si="49"/>
        <v>0</v>
      </c>
      <c r="ABN1590" s="55">
        <f t="shared" si="49"/>
        <v>0</v>
      </c>
      <c r="ABO1590" s="55">
        <f t="shared" si="49"/>
        <v>0</v>
      </c>
      <c r="ABP1590" s="55">
        <f t="shared" si="49"/>
        <v>0</v>
      </c>
      <c r="ABQ1590" s="55">
        <f t="shared" si="49"/>
        <v>0</v>
      </c>
      <c r="ABR1590" s="55">
        <f t="shared" si="49"/>
        <v>0</v>
      </c>
      <c r="ABS1590" s="55">
        <f t="shared" si="49"/>
        <v>0</v>
      </c>
      <c r="ABT1590" s="55">
        <f t="shared" si="49"/>
        <v>0</v>
      </c>
      <c r="ABU1590" s="55">
        <f t="shared" si="49"/>
        <v>0</v>
      </c>
      <c r="ABV1590" s="55">
        <f t="shared" si="49"/>
        <v>0</v>
      </c>
      <c r="ABW1590" s="55">
        <f t="shared" si="49"/>
        <v>0</v>
      </c>
      <c r="ABX1590" s="55">
        <f t="shared" si="49"/>
        <v>0</v>
      </c>
      <c r="ABY1590" s="55">
        <f t="shared" si="49"/>
        <v>0</v>
      </c>
      <c r="ABZ1590" s="55">
        <f t="shared" si="49"/>
        <v>0</v>
      </c>
      <c r="ACA1590" s="55">
        <f t="shared" si="49"/>
        <v>0</v>
      </c>
      <c r="ACB1590" s="55">
        <f t="shared" si="49"/>
        <v>0</v>
      </c>
      <c r="ACC1590" s="55">
        <f t="shared" si="49"/>
        <v>0</v>
      </c>
      <c r="ACD1590" s="55">
        <f t="shared" si="49"/>
        <v>0</v>
      </c>
      <c r="ACE1590" s="55">
        <f t="shared" si="49"/>
        <v>0</v>
      </c>
      <c r="ACF1590" s="55">
        <f t="shared" si="49"/>
        <v>0</v>
      </c>
      <c r="ACG1590" s="55">
        <f t="shared" si="49"/>
        <v>0</v>
      </c>
      <c r="ACH1590" s="55">
        <f t="shared" si="49"/>
        <v>0</v>
      </c>
      <c r="ACI1590" s="55">
        <f t="shared" si="49"/>
        <v>0</v>
      </c>
      <c r="ACJ1590" s="55">
        <f t="shared" si="49"/>
        <v>0</v>
      </c>
      <c r="ACK1590" s="55">
        <f t="shared" si="49"/>
        <v>0</v>
      </c>
      <c r="ACL1590" s="55">
        <f t="shared" si="49"/>
        <v>0</v>
      </c>
      <c r="ACM1590" s="55">
        <f t="shared" si="49"/>
        <v>0</v>
      </c>
      <c r="ACN1590" s="55">
        <f t="shared" si="49"/>
        <v>0</v>
      </c>
      <c r="ACO1590" s="55">
        <f t="shared" si="49"/>
        <v>0</v>
      </c>
      <c r="ACP1590" s="55">
        <f t="shared" si="49"/>
        <v>0</v>
      </c>
      <c r="ACQ1590" s="55">
        <f t="shared" si="49"/>
        <v>0</v>
      </c>
      <c r="ACR1590" s="55">
        <f t="shared" si="49"/>
        <v>0</v>
      </c>
      <c r="ACS1590" s="55">
        <f t="shared" si="49"/>
        <v>0</v>
      </c>
      <c r="ACT1590" s="55">
        <f t="shared" si="49"/>
        <v>0</v>
      </c>
      <c r="ACU1590" s="55">
        <f t="shared" si="49"/>
        <v>0</v>
      </c>
      <c r="ACV1590" s="55">
        <f t="shared" si="49"/>
        <v>0</v>
      </c>
      <c r="ACW1590" s="55">
        <f t="shared" si="49"/>
        <v>0</v>
      </c>
      <c r="ACX1590" s="55">
        <f t="shared" si="49"/>
        <v>0</v>
      </c>
      <c r="ACY1590" s="55">
        <f t="shared" si="49"/>
        <v>0</v>
      </c>
      <c r="ACZ1590" s="55">
        <f t="shared" ref="ACZ1590:AFK1590" si="50">+(ACZ1600+ACZ1604)*1.18*1.1</f>
        <v>0</v>
      </c>
      <c r="ADA1590" s="55">
        <f t="shared" si="50"/>
        <v>0</v>
      </c>
      <c r="ADB1590" s="55">
        <f t="shared" si="50"/>
        <v>0</v>
      </c>
      <c r="ADC1590" s="55">
        <f t="shared" si="50"/>
        <v>0</v>
      </c>
      <c r="ADD1590" s="55">
        <f t="shared" si="50"/>
        <v>0</v>
      </c>
      <c r="ADE1590" s="55">
        <f t="shared" si="50"/>
        <v>0</v>
      </c>
      <c r="ADF1590" s="55">
        <f t="shared" si="50"/>
        <v>0</v>
      </c>
      <c r="ADG1590" s="55">
        <f t="shared" si="50"/>
        <v>0</v>
      </c>
      <c r="ADH1590" s="55">
        <f t="shared" si="50"/>
        <v>0</v>
      </c>
      <c r="ADI1590" s="55">
        <f t="shared" si="50"/>
        <v>0</v>
      </c>
      <c r="ADJ1590" s="55">
        <f t="shared" si="50"/>
        <v>0</v>
      </c>
      <c r="ADK1590" s="55">
        <f t="shared" si="50"/>
        <v>0</v>
      </c>
      <c r="ADL1590" s="55">
        <f t="shared" si="50"/>
        <v>0</v>
      </c>
      <c r="ADM1590" s="55">
        <f t="shared" si="50"/>
        <v>0</v>
      </c>
      <c r="ADN1590" s="55">
        <f t="shared" si="50"/>
        <v>0</v>
      </c>
      <c r="ADO1590" s="55">
        <f t="shared" si="50"/>
        <v>0</v>
      </c>
      <c r="ADP1590" s="55">
        <f t="shared" si="50"/>
        <v>0</v>
      </c>
      <c r="ADQ1590" s="55">
        <f t="shared" si="50"/>
        <v>0</v>
      </c>
      <c r="ADR1590" s="55">
        <f t="shared" si="50"/>
        <v>0</v>
      </c>
      <c r="ADS1590" s="55">
        <f t="shared" si="50"/>
        <v>0</v>
      </c>
      <c r="ADT1590" s="55">
        <f t="shared" si="50"/>
        <v>0</v>
      </c>
      <c r="ADU1590" s="55">
        <f t="shared" si="50"/>
        <v>0</v>
      </c>
      <c r="ADV1590" s="55">
        <f t="shared" si="50"/>
        <v>0</v>
      </c>
      <c r="ADW1590" s="55">
        <f t="shared" si="50"/>
        <v>0</v>
      </c>
      <c r="ADX1590" s="55">
        <f t="shared" si="50"/>
        <v>0</v>
      </c>
      <c r="ADY1590" s="55">
        <f t="shared" si="50"/>
        <v>0</v>
      </c>
      <c r="ADZ1590" s="55">
        <f t="shared" si="50"/>
        <v>0</v>
      </c>
      <c r="AEA1590" s="55">
        <f t="shared" si="50"/>
        <v>0</v>
      </c>
      <c r="AEB1590" s="55">
        <f t="shared" si="50"/>
        <v>0</v>
      </c>
      <c r="AEC1590" s="55">
        <f t="shared" si="50"/>
        <v>0</v>
      </c>
      <c r="AED1590" s="55">
        <f t="shared" si="50"/>
        <v>0</v>
      </c>
      <c r="AEE1590" s="55">
        <f t="shared" si="50"/>
        <v>0</v>
      </c>
      <c r="AEF1590" s="55">
        <f t="shared" si="50"/>
        <v>0</v>
      </c>
      <c r="AEG1590" s="55">
        <f t="shared" si="50"/>
        <v>0</v>
      </c>
      <c r="AEH1590" s="55">
        <f t="shared" si="50"/>
        <v>0</v>
      </c>
      <c r="AEI1590" s="55">
        <f t="shared" si="50"/>
        <v>0</v>
      </c>
      <c r="AEJ1590" s="55">
        <f t="shared" si="50"/>
        <v>0</v>
      </c>
      <c r="AEK1590" s="55">
        <f t="shared" si="50"/>
        <v>0</v>
      </c>
      <c r="AEL1590" s="55">
        <f t="shared" si="50"/>
        <v>0</v>
      </c>
      <c r="AEM1590" s="55">
        <f t="shared" si="50"/>
        <v>0</v>
      </c>
      <c r="AEN1590" s="55">
        <f t="shared" si="50"/>
        <v>0</v>
      </c>
      <c r="AEO1590" s="55">
        <f t="shared" si="50"/>
        <v>0</v>
      </c>
      <c r="AEP1590" s="55">
        <f t="shared" si="50"/>
        <v>0</v>
      </c>
      <c r="AEQ1590" s="55">
        <f t="shared" si="50"/>
        <v>0</v>
      </c>
      <c r="AER1590" s="55">
        <f t="shared" si="50"/>
        <v>0</v>
      </c>
      <c r="AES1590" s="55">
        <f t="shared" si="50"/>
        <v>0</v>
      </c>
      <c r="AET1590" s="55">
        <f t="shared" si="50"/>
        <v>0</v>
      </c>
      <c r="AEU1590" s="55">
        <f t="shared" si="50"/>
        <v>0</v>
      </c>
      <c r="AEV1590" s="55">
        <f t="shared" si="50"/>
        <v>0</v>
      </c>
      <c r="AEW1590" s="55">
        <f t="shared" si="50"/>
        <v>0</v>
      </c>
      <c r="AEX1590" s="55">
        <f t="shared" si="50"/>
        <v>0</v>
      </c>
      <c r="AEY1590" s="55">
        <f t="shared" si="50"/>
        <v>0</v>
      </c>
      <c r="AEZ1590" s="55">
        <f t="shared" si="50"/>
        <v>0</v>
      </c>
      <c r="AFA1590" s="55">
        <f t="shared" si="50"/>
        <v>0</v>
      </c>
      <c r="AFB1590" s="55">
        <f t="shared" si="50"/>
        <v>0</v>
      </c>
      <c r="AFC1590" s="55">
        <f t="shared" si="50"/>
        <v>0</v>
      </c>
      <c r="AFD1590" s="55">
        <f t="shared" si="50"/>
        <v>0</v>
      </c>
      <c r="AFE1590" s="55">
        <f t="shared" si="50"/>
        <v>0</v>
      </c>
      <c r="AFF1590" s="55">
        <f t="shared" si="50"/>
        <v>0</v>
      </c>
      <c r="AFG1590" s="55">
        <f t="shared" si="50"/>
        <v>0</v>
      </c>
      <c r="AFH1590" s="55">
        <f t="shared" si="50"/>
        <v>0</v>
      </c>
      <c r="AFI1590" s="55">
        <f t="shared" si="50"/>
        <v>0</v>
      </c>
      <c r="AFJ1590" s="55">
        <f t="shared" si="50"/>
        <v>0</v>
      </c>
      <c r="AFK1590" s="55">
        <f t="shared" si="50"/>
        <v>0</v>
      </c>
      <c r="AFL1590" s="55">
        <f t="shared" ref="AFL1590:AHW1590" si="51">+(AFL1600+AFL1604)*1.18*1.1</f>
        <v>0</v>
      </c>
      <c r="AFM1590" s="55">
        <f t="shared" si="51"/>
        <v>0</v>
      </c>
      <c r="AFN1590" s="55">
        <f t="shared" si="51"/>
        <v>0</v>
      </c>
      <c r="AFO1590" s="55">
        <f t="shared" si="51"/>
        <v>0</v>
      </c>
      <c r="AFP1590" s="55">
        <f t="shared" si="51"/>
        <v>0</v>
      </c>
      <c r="AFQ1590" s="55">
        <f t="shared" si="51"/>
        <v>0</v>
      </c>
      <c r="AFR1590" s="55">
        <f t="shared" si="51"/>
        <v>0</v>
      </c>
      <c r="AFS1590" s="55">
        <f t="shared" si="51"/>
        <v>0</v>
      </c>
      <c r="AFT1590" s="55">
        <f t="shared" si="51"/>
        <v>0</v>
      </c>
      <c r="AFU1590" s="55">
        <f t="shared" si="51"/>
        <v>0</v>
      </c>
      <c r="AFV1590" s="55">
        <f t="shared" si="51"/>
        <v>0</v>
      </c>
      <c r="AFW1590" s="55">
        <f t="shared" si="51"/>
        <v>0</v>
      </c>
      <c r="AFX1590" s="55">
        <f t="shared" si="51"/>
        <v>0</v>
      </c>
      <c r="AFY1590" s="55">
        <f t="shared" si="51"/>
        <v>0</v>
      </c>
      <c r="AFZ1590" s="55">
        <f t="shared" si="51"/>
        <v>0</v>
      </c>
      <c r="AGA1590" s="55">
        <f t="shared" si="51"/>
        <v>0</v>
      </c>
      <c r="AGB1590" s="55">
        <f t="shared" si="51"/>
        <v>0</v>
      </c>
      <c r="AGC1590" s="55">
        <f t="shared" si="51"/>
        <v>0</v>
      </c>
      <c r="AGD1590" s="55">
        <f t="shared" si="51"/>
        <v>0</v>
      </c>
      <c r="AGE1590" s="55">
        <f t="shared" si="51"/>
        <v>0</v>
      </c>
      <c r="AGF1590" s="55">
        <f t="shared" si="51"/>
        <v>0</v>
      </c>
      <c r="AGG1590" s="55">
        <f t="shared" si="51"/>
        <v>0</v>
      </c>
      <c r="AGH1590" s="55">
        <f t="shared" si="51"/>
        <v>0</v>
      </c>
      <c r="AGI1590" s="55">
        <f t="shared" si="51"/>
        <v>0</v>
      </c>
      <c r="AGJ1590" s="55">
        <f t="shared" si="51"/>
        <v>0</v>
      </c>
      <c r="AGK1590" s="55">
        <f t="shared" si="51"/>
        <v>0</v>
      </c>
      <c r="AGL1590" s="55">
        <f t="shared" si="51"/>
        <v>0</v>
      </c>
      <c r="AGM1590" s="55">
        <f t="shared" si="51"/>
        <v>0</v>
      </c>
      <c r="AGN1590" s="55">
        <f t="shared" si="51"/>
        <v>0</v>
      </c>
      <c r="AGO1590" s="55">
        <f t="shared" si="51"/>
        <v>0</v>
      </c>
      <c r="AGP1590" s="55">
        <f t="shared" si="51"/>
        <v>0</v>
      </c>
      <c r="AGQ1590" s="55">
        <f t="shared" si="51"/>
        <v>0</v>
      </c>
      <c r="AGR1590" s="55">
        <f t="shared" si="51"/>
        <v>0</v>
      </c>
      <c r="AGS1590" s="55">
        <f t="shared" si="51"/>
        <v>0</v>
      </c>
      <c r="AGT1590" s="55">
        <f t="shared" si="51"/>
        <v>0</v>
      </c>
      <c r="AGU1590" s="55">
        <f t="shared" si="51"/>
        <v>0</v>
      </c>
      <c r="AGV1590" s="55">
        <f t="shared" si="51"/>
        <v>0</v>
      </c>
      <c r="AGW1590" s="55">
        <f t="shared" si="51"/>
        <v>0</v>
      </c>
      <c r="AGX1590" s="55">
        <f t="shared" si="51"/>
        <v>0</v>
      </c>
      <c r="AGY1590" s="55">
        <f t="shared" si="51"/>
        <v>0</v>
      </c>
      <c r="AGZ1590" s="55">
        <f t="shared" si="51"/>
        <v>0</v>
      </c>
      <c r="AHA1590" s="55">
        <f t="shared" si="51"/>
        <v>0</v>
      </c>
      <c r="AHB1590" s="55">
        <f t="shared" si="51"/>
        <v>0</v>
      </c>
      <c r="AHC1590" s="55">
        <f t="shared" si="51"/>
        <v>0</v>
      </c>
      <c r="AHD1590" s="55">
        <f t="shared" si="51"/>
        <v>0</v>
      </c>
      <c r="AHE1590" s="55">
        <f t="shared" si="51"/>
        <v>0</v>
      </c>
      <c r="AHF1590" s="55">
        <f t="shared" si="51"/>
        <v>0</v>
      </c>
      <c r="AHG1590" s="55">
        <f t="shared" si="51"/>
        <v>0</v>
      </c>
      <c r="AHH1590" s="55">
        <f t="shared" si="51"/>
        <v>0</v>
      </c>
      <c r="AHI1590" s="55">
        <f t="shared" si="51"/>
        <v>0</v>
      </c>
      <c r="AHJ1590" s="55">
        <f t="shared" si="51"/>
        <v>0</v>
      </c>
      <c r="AHK1590" s="55">
        <f t="shared" si="51"/>
        <v>0</v>
      </c>
      <c r="AHL1590" s="55">
        <f t="shared" si="51"/>
        <v>0</v>
      </c>
      <c r="AHM1590" s="55">
        <f t="shared" si="51"/>
        <v>0</v>
      </c>
      <c r="AHN1590" s="55">
        <f t="shared" si="51"/>
        <v>0</v>
      </c>
      <c r="AHO1590" s="55">
        <f t="shared" si="51"/>
        <v>0</v>
      </c>
      <c r="AHP1590" s="55">
        <f t="shared" si="51"/>
        <v>0</v>
      </c>
      <c r="AHQ1590" s="55">
        <f t="shared" si="51"/>
        <v>0</v>
      </c>
      <c r="AHR1590" s="55">
        <f t="shared" si="51"/>
        <v>0</v>
      </c>
      <c r="AHS1590" s="55">
        <f t="shared" si="51"/>
        <v>0</v>
      </c>
      <c r="AHT1590" s="55">
        <f t="shared" si="51"/>
        <v>0</v>
      </c>
      <c r="AHU1590" s="55">
        <f t="shared" si="51"/>
        <v>0</v>
      </c>
      <c r="AHV1590" s="55">
        <f t="shared" si="51"/>
        <v>0</v>
      </c>
      <c r="AHW1590" s="55">
        <f t="shared" si="51"/>
        <v>0</v>
      </c>
      <c r="AHX1590" s="55">
        <f t="shared" ref="AHX1590:AKI1590" si="52">+(AHX1600+AHX1604)*1.18*1.1</f>
        <v>0</v>
      </c>
      <c r="AHY1590" s="55">
        <f t="shared" si="52"/>
        <v>0</v>
      </c>
      <c r="AHZ1590" s="55">
        <f t="shared" si="52"/>
        <v>0</v>
      </c>
      <c r="AIA1590" s="55">
        <f t="shared" si="52"/>
        <v>0</v>
      </c>
      <c r="AIB1590" s="55">
        <f t="shared" si="52"/>
        <v>0</v>
      </c>
      <c r="AIC1590" s="55">
        <f t="shared" si="52"/>
        <v>0</v>
      </c>
      <c r="AID1590" s="55">
        <f t="shared" si="52"/>
        <v>0</v>
      </c>
      <c r="AIE1590" s="55">
        <f t="shared" si="52"/>
        <v>0</v>
      </c>
      <c r="AIF1590" s="55">
        <f t="shared" si="52"/>
        <v>0</v>
      </c>
      <c r="AIG1590" s="55">
        <f t="shared" si="52"/>
        <v>0</v>
      </c>
      <c r="AIH1590" s="55">
        <f t="shared" si="52"/>
        <v>0</v>
      </c>
      <c r="AII1590" s="55">
        <f t="shared" si="52"/>
        <v>0</v>
      </c>
      <c r="AIJ1590" s="55">
        <f t="shared" si="52"/>
        <v>0</v>
      </c>
      <c r="AIK1590" s="55">
        <f t="shared" si="52"/>
        <v>0</v>
      </c>
      <c r="AIL1590" s="55">
        <f t="shared" si="52"/>
        <v>0</v>
      </c>
      <c r="AIM1590" s="55">
        <f t="shared" si="52"/>
        <v>0</v>
      </c>
      <c r="AIN1590" s="55">
        <f t="shared" si="52"/>
        <v>0</v>
      </c>
      <c r="AIO1590" s="55">
        <f t="shared" si="52"/>
        <v>0</v>
      </c>
      <c r="AIP1590" s="55">
        <f t="shared" si="52"/>
        <v>0</v>
      </c>
      <c r="AIQ1590" s="55">
        <f t="shared" si="52"/>
        <v>0</v>
      </c>
      <c r="AIR1590" s="55">
        <f t="shared" si="52"/>
        <v>0</v>
      </c>
      <c r="AIS1590" s="55">
        <f t="shared" si="52"/>
        <v>0</v>
      </c>
      <c r="AIT1590" s="55">
        <f t="shared" si="52"/>
        <v>0</v>
      </c>
      <c r="AIU1590" s="55">
        <f t="shared" si="52"/>
        <v>0</v>
      </c>
      <c r="AIV1590" s="55">
        <f t="shared" si="52"/>
        <v>0</v>
      </c>
      <c r="AIW1590" s="55">
        <f t="shared" si="52"/>
        <v>0</v>
      </c>
      <c r="AIX1590" s="55">
        <f t="shared" si="52"/>
        <v>0</v>
      </c>
      <c r="AIY1590" s="55">
        <f t="shared" si="52"/>
        <v>0</v>
      </c>
      <c r="AIZ1590" s="55">
        <f t="shared" si="52"/>
        <v>0</v>
      </c>
      <c r="AJA1590" s="55">
        <f t="shared" si="52"/>
        <v>0</v>
      </c>
      <c r="AJB1590" s="55">
        <f t="shared" si="52"/>
        <v>0</v>
      </c>
      <c r="AJC1590" s="55">
        <f t="shared" si="52"/>
        <v>0</v>
      </c>
      <c r="AJD1590" s="55">
        <f t="shared" si="52"/>
        <v>0</v>
      </c>
      <c r="AJE1590" s="55">
        <f t="shared" si="52"/>
        <v>0</v>
      </c>
      <c r="AJF1590" s="55">
        <f t="shared" si="52"/>
        <v>0</v>
      </c>
      <c r="AJG1590" s="55">
        <f t="shared" si="52"/>
        <v>0</v>
      </c>
      <c r="AJH1590" s="55">
        <f t="shared" si="52"/>
        <v>0</v>
      </c>
      <c r="AJI1590" s="55">
        <f t="shared" si="52"/>
        <v>0</v>
      </c>
      <c r="AJJ1590" s="55">
        <f t="shared" si="52"/>
        <v>0</v>
      </c>
      <c r="AJK1590" s="55">
        <f t="shared" si="52"/>
        <v>0</v>
      </c>
      <c r="AJL1590" s="55">
        <f t="shared" si="52"/>
        <v>0</v>
      </c>
      <c r="AJM1590" s="55">
        <f t="shared" si="52"/>
        <v>0</v>
      </c>
      <c r="AJN1590" s="55">
        <f t="shared" si="52"/>
        <v>0</v>
      </c>
      <c r="AJO1590" s="55">
        <f t="shared" si="52"/>
        <v>0</v>
      </c>
      <c r="AJP1590" s="55">
        <f t="shared" si="52"/>
        <v>0</v>
      </c>
      <c r="AJQ1590" s="55">
        <f t="shared" si="52"/>
        <v>0</v>
      </c>
      <c r="AJR1590" s="55">
        <f t="shared" si="52"/>
        <v>0</v>
      </c>
      <c r="AJS1590" s="55">
        <f t="shared" si="52"/>
        <v>0</v>
      </c>
      <c r="AJT1590" s="55">
        <f t="shared" si="52"/>
        <v>0</v>
      </c>
      <c r="AJU1590" s="55">
        <f t="shared" si="52"/>
        <v>0</v>
      </c>
      <c r="AJV1590" s="55">
        <f t="shared" si="52"/>
        <v>0</v>
      </c>
      <c r="AJW1590" s="55">
        <f t="shared" si="52"/>
        <v>0</v>
      </c>
      <c r="AJX1590" s="55">
        <f t="shared" si="52"/>
        <v>0</v>
      </c>
      <c r="AJY1590" s="55">
        <f t="shared" si="52"/>
        <v>0</v>
      </c>
      <c r="AJZ1590" s="55">
        <f t="shared" si="52"/>
        <v>0</v>
      </c>
      <c r="AKA1590" s="55">
        <f t="shared" si="52"/>
        <v>0</v>
      </c>
      <c r="AKB1590" s="55">
        <f t="shared" si="52"/>
        <v>0</v>
      </c>
      <c r="AKC1590" s="55">
        <f t="shared" si="52"/>
        <v>0</v>
      </c>
      <c r="AKD1590" s="55">
        <f t="shared" si="52"/>
        <v>0</v>
      </c>
      <c r="AKE1590" s="55">
        <f t="shared" si="52"/>
        <v>0</v>
      </c>
      <c r="AKF1590" s="55">
        <f t="shared" si="52"/>
        <v>0</v>
      </c>
      <c r="AKG1590" s="55">
        <f t="shared" si="52"/>
        <v>0</v>
      </c>
      <c r="AKH1590" s="55">
        <f t="shared" si="52"/>
        <v>0</v>
      </c>
      <c r="AKI1590" s="55">
        <f t="shared" si="52"/>
        <v>0</v>
      </c>
      <c r="AKJ1590" s="55">
        <f t="shared" ref="AKJ1590:AMU1590" si="53">+(AKJ1600+AKJ1604)*1.18*1.1</f>
        <v>0</v>
      </c>
      <c r="AKK1590" s="55">
        <f t="shared" si="53"/>
        <v>0</v>
      </c>
      <c r="AKL1590" s="55">
        <f t="shared" si="53"/>
        <v>0</v>
      </c>
      <c r="AKM1590" s="55">
        <f t="shared" si="53"/>
        <v>0</v>
      </c>
      <c r="AKN1590" s="55">
        <f t="shared" si="53"/>
        <v>0</v>
      </c>
      <c r="AKO1590" s="55">
        <f t="shared" si="53"/>
        <v>0</v>
      </c>
      <c r="AKP1590" s="55">
        <f t="shared" si="53"/>
        <v>0</v>
      </c>
      <c r="AKQ1590" s="55">
        <f t="shared" si="53"/>
        <v>0</v>
      </c>
      <c r="AKR1590" s="55">
        <f t="shared" si="53"/>
        <v>0</v>
      </c>
      <c r="AKS1590" s="55">
        <f t="shared" si="53"/>
        <v>0</v>
      </c>
      <c r="AKT1590" s="55">
        <f t="shared" si="53"/>
        <v>0</v>
      </c>
      <c r="AKU1590" s="55">
        <f t="shared" si="53"/>
        <v>0</v>
      </c>
      <c r="AKV1590" s="55">
        <f t="shared" si="53"/>
        <v>0</v>
      </c>
      <c r="AKW1590" s="55">
        <f t="shared" si="53"/>
        <v>0</v>
      </c>
      <c r="AKX1590" s="55">
        <f t="shared" si="53"/>
        <v>0</v>
      </c>
      <c r="AKY1590" s="55">
        <f t="shared" si="53"/>
        <v>0</v>
      </c>
      <c r="AKZ1590" s="55">
        <f t="shared" si="53"/>
        <v>0</v>
      </c>
      <c r="ALA1590" s="55">
        <f t="shared" si="53"/>
        <v>0</v>
      </c>
      <c r="ALB1590" s="55">
        <f t="shared" si="53"/>
        <v>0</v>
      </c>
      <c r="ALC1590" s="55">
        <f t="shared" si="53"/>
        <v>0</v>
      </c>
      <c r="ALD1590" s="55">
        <f t="shared" si="53"/>
        <v>0</v>
      </c>
      <c r="ALE1590" s="55">
        <f t="shared" si="53"/>
        <v>0</v>
      </c>
      <c r="ALF1590" s="55">
        <f t="shared" si="53"/>
        <v>0</v>
      </c>
      <c r="ALG1590" s="55">
        <f t="shared" si="53"/>
        <v>0</v>
      </c>
      <c r="ALH1590" s="55">
        <f t="shared" si="53"/>
        <v>0</v>
      </c>
      <c r="ALI1590" s="55">
        <f t="shared" si="53"/>
        <v>0</v>
      </c>
      <c r="ALJ1590" s="55">
        <f t="shared" si="53"/>
        <v>0</v>
      </c>
      <c r="ALK1590" s="55">
        <f t="shared" si="53"/>
        <v>0</v>
      </c>
      <c r="ALL1590" s="55">
        <f t="shared" si="53"/>
        <v>0</v>
      </c>
      <c r="ALM1590" s="55">
        <f t="shared" si="53"/>
        <v>0</v>
      </c>
      <c r="ALN1590" s="55">
        <f t="shared" si="53"/>
        <v>0</v>
      </c>
      <c r="ALO1590" s="55">
        <f t="shared" si="53"/>
        <v>0</v>
      </c>
      <c r="ALP1590" s="55">
        <f t="shared" si="53"/>
        <v>0</v>
      </c>
      <c r="ALQ1590" s="55">
        <f t="shared" si="53"/>
        <v>0</v>
      </c>
      <c r="ALR1590" s="55">
        <f t="shared" si="53"/>
        <v>0</v>
      </c>
      <c r="ALS1590" s="55">
        <f t="shared" si="53"/>
        <v>0</v>
      </c>
      <c r="ALT1590" s="55">
        <f t="shared" si="53"/>
        <v>0</v>
      </c>
      <c r="ALU1590" s="55">
        <f t="shared" si="53"/>
        <v>0</v>
      </c>
      <c r="ALV1590" s="55">
        <f t="shared" si="53"/>
        <v>0</v>
      </c>
      <c r="ALW1590" s="55">
        <f t="shared" si="53"/>
        <v>0</v>
      </c>
      <c r="ALX1590" s="55">
        <f t="shared" si="53"/>
        <v>0</v>
      </c>
      <c r="ALY1590" s="55">
        <f t="shared" si="53"/>
        <v>0</v>
      </c>
      <c r="ALZ1590" s="55">
        <f t="shared" si="53"/>
        <v>0</v>
      </c>
      <c r="AMA1590" s="55">
        <f t="shared" si="53"/>
        <v>0</v>
      </c>
      <c r="AMB1590" s="55">
        <f t="shared" si="53"/>
        <v>0</v>
      </c>
      <c r="AMC1590" s="55">
        <f t="shared" si="53"/>
        <v>0</v>
      </c>
      <c r="AMD1590" s="55">
        <f t="shared" si="53"/>
        <v>0</v>
      </c>
      <c r="AME1590" s="55">
        <f t="shared" si="53"/>
        <v>0</v>
      </c>
      <c r="AMF1590" s="55">
        <f t="shared" si="53"/>
        <v>0</v>
      </c>
      <c r="AMG1590" s="55">
        <f t="shared" si="53"/>
        <v>0</v>
      </c>
      <c r="AMH1590" s="55">
        <f t="shared" si="53"/>
        <v>0</v>
      </c>
      <c r="AMI1590" s="55">
        <f t="shared" si="53"/>
        <v>0</v>
      </c>
      <c r="AMJ1590" s="55">
        <f t="shared" si="53"/>
        <v>0</v>
      </c>
      <c r="AMK1590" s="55">
        <f t="shared" si="53"/>
        <v>0</v>
      </c>
      <c r="AML1590" s="55">
        <f t="shared" si="53"/>
        <v>0</v>
      </c>
      <c r="AMM1590" s="55">
        <f t="shared" si="53"/>
        <v>0</v>
      </c>
      <c r="AMN1590" s="55">
        <f t="shared" si="53"/>
        <v>0</v>
      </c>
      <c r="AMO1590" s="55">
        <f t="shared" si="53"/>
        <v>0</v>
      </c>
      <c r="AMP1590" s="55">
        <f t="shared" si="53"/>
        <v>0</v>
      </c>
      <c r="AMQ1590" s="55">
        <f t="shared" si="53"/>
        <v>0</v>
      </c>
      <c r="AMR1590" s="55">
        <f t="shared" si="53"/>
        <v>0</v>
      </c>
      <c r="AMS1590" s="55">
        <f t="shared" si="53"/>
        <v>0</v>
      </c>
      <c r="AMT1590" s="55">
        <f t="shared" si="53"/>
        <v>0</v>
      </c>
      <c r="AMU1590" s="55">
        <f t="shared" si="53"/>
        <v>0</v>
      </c>
      <c r="AMV1590" s="55">
        <f t="shared" ref="AMV1590:APG1590" si="54">+(AMV1600+AMV1604)*1.18*1.1</f>
        <v>0</v>
      </c>
      <c r="AMW1590" s="55">
        <f t="shared" si="54"/>
        <v>0</v>
      </c>
      <c r="AMX1590" s="55">
        <f t="shared" si="54"/>
        <v>0</v>
      </c>
      <c r="AMY1590" s="55">
        <f t="shared" si="54"/>
        <v>0</v>
      </c>
      <c r="AMZ1590" s="55">
        <f t="shared" si="54"/>
        <v>0</v>
      </c>
      <c r="ANA1590" s="55">
        <f t="shared" si="54"/>
        <v>0</v>
      </c>
      <c r="ANB1590" s="55">
        <f t="shared" si="54"/>
        <v>0</v>
      </c>
      <c r="ANC1590" s="55">
        <f t="shared" si="54"/>
        <v>0</v>
      </c>
      <c r="AND1590" s="55">
        <f t="shared" si="54"/>
        <v>0</v>
      </c>
      <c r="ANE1590" s="55">
        <f t="shared" si="54"/>
        <v>0</v>
      </c>
      <c r="ANF1590" s="55">
        <f t="shared" si="54"/>
        <v>0</v>
      </c>
      <c r="ANG1590" s="55">
        <f t="shared" si="54"/>
        <v>0</v>
      </c>
      <c r="ANH1590" s="55">
        <f t="shared" si="54"/>
        <v>0</v>
      </c>
      <c r="ANI1590" s="55">
        <f t="shared" si="54"/>
        <v>0</v>
      </c>
      <c r="ANJ1590" s="55">
        <f t="shared" si="54"/>
        <v>0</v>
      </c>
      <c r="ANK1590" s="55">
        <f t="shared" si="54"/>
        <v>0</v>
      </c>
      <c r="ANL1590" s="55">
        <f t="shared" si="54"/>
        <v>0</v>
      </c>
      <c r="ANM1590" s="55">
        <f t="shared" si="54"/>
        <v>0</v>
      </c>
      <c r="ANN1590" s="55">
        <f t="shared" si="54"/>
        <v>0</v>
      </c>
      <c r="ANO1590" s="55">
        <f t="shared" si="54"/>
        <v>0</v>
      </c>
      <c r="ANP1590" s="55">
        <f t="shared" si="54"/>
        <v>0</v>
      </c>
      <c r="ANQ1590" s="55">
        <f t="shared" si="54"/>
        <v>0</v>
      </c>
      <c r="ANR1590" s="55">
        <f t="shared" si="54"/>
        <v>0</v>
      </c>
      <c r="ANS1590" s="55">
        <f t="shared" si="54"/>
        <v>0</v>
      </c>
      <c r="ANT1590" s="55">
        <f t="shared" si="54"/>
        <v>0</v>
      </c>
      <c r="ANU1590" s="55">
        <f t="shared" si="54"/>
        <v>0</v>
      </c>
      <c r="ANV1590" s="55">
        <f t="shared" si="54"/>
        <v>0</v>
      </c>
      <c r="ANW1590" s="55">
        <f t="shared" si="54"/>
        <v>0</v>
      </c>
      <c r="ANX1590" s="55">
        <f t="shared" si="54"/>
        <v>0</v>
      </c>
      <c r="ANY1590" s="55">
        <f t="shared" si="54"/>
        <v>0</v>
      </c>
      <c r="ANZ1590" s="55">
        <f t="shared" si="54"/>
        <v>0</v>
      </c>
      <c r="AOA1590" s="55">
        <f t="shared" si="54"/>
        <v>0</v>
      </c>
      <c r="AOB1590" s="55">
        <f t="shared" si="54"/>
        <v>0</v>
      </c>
      <c r="AOC1590" s="55">
        <f t="shared" si="54"/>
        <v>0</v>
      </c>
      <c r="AOD1590" s="55">
        <f t="shared" si="54"/>
        <v>0</v>
      </c>
      <c r="AOE1590" s="55">
        <f t="shared" si="54"/>
        <v>0</v>
      </c>
      <c r="AOF1590" s="55">
        <f t="shared" si="54"/>
        <v>0</v>
      </c>
      <c r="AOG1590" s="55">
        <f t="shared" si="54"/>
        <v>0</v>
      </c>
      <c r="AOH1590" s="55">
        <f t="shared" si="54"/>
        <v>0</v>
      </c>
      <c r="AOI1590" s="55">
        <f t="shared" si="54"/>
        <v>0</v>
      </c>
      <c r="AOJ1590" s="55">
        <f t="shared" si="54"/>
        <v>0</v>
      </c>
      <c r="AOK1590" s="55">
        <f t="shared" si="54"/>
        <v>0</v>
      </c>
      <c r="AOL1590" s="55">
        <f t="shared" si="54"/>
        <v>0</v>
      </c>
      <c r="AOM1590" s="55">
        <f t="shared" si="54"/>
        <v>0</v>
      </c>
      <c r="AON1590" s="55">
        <f t="shared" si="54"/>
        <v>0</v>
      </c>
      <c r="AOO1590" s="55">
        <f t="shared" si="54"/>
        <v>0</v>
      </c>
      <c r="AOP1590" s="55">
        <f t="shared" si="54"/>
        <v>0</v>
      </c>
      <c r="AOQ1590" s="55">
        <f t="shared" si="54"/>
        <v>0</v>
      </c>
      <c r="AOR1590" s="55">
        <f t="shared" si="54"/>
        <v>0</v>
      </c>
      <c r="AOS1590" s="55">
        <f t="shared" si="54"/>
        <v>0</v>
      </c>
      <c r="AOT1590" s="55">
        <f t="shared" si="54"/>
        <v>0</v>
      </c>
      <c r="AOU1590" s="55">
        <f t="shared" si="54"/>
        <v>0</v>
      </c>
      <c r="AOV1590" s="55">
        <f t="shared" si="54"/>
        <v>0</v>
      </c>
      <c r="AOW1590" s="55">
        <f t="shared" si="54"/>
        <v>0</v>
      </c>
      <c r="AOX1590" s="55">
        <f t="shared" si="54"/>
        <v>0</v>
      </c>
      <c r="AOY1590" s="55">
        <f t="shared" si="54"/>
        <v>0</v>
      </c>
      <c r="AOZ1590" s="55">
        <f t="shared" si="54"/>
        <v>0</v>
      </c>
      <c r="APA1590" s="55">
        <f t="shared" si="54"/>
        <v>0</v>
      </c>
      <c r="APB1590" s="55">
        <f t="shared" si="54"/>
        <v>0</v>
      </c>
      <c r="APC1590" s="55">
        <f t="shared" si="54"/>
        <v>0</v>
      </c>
      <c r="APD1590" s="55">
        <f t="shared" si="54"/>
        <v>0</v>
      </c>
      <c r="APE1590" s="55">
        <f t="shared" si="54"/>
        <v>0</v>
      </c>
      <c r="APF1590" s="55">
        <f t="shared" si="54"/>
        <v>0</v>
      </c>
      <c r="APG1590" s="55">
        <f t="shared" si="54"/>
        <v>0</v>
      </c>
      <c r="APH1590" s="55">
        <f t="shared" ref="APH1590:ARS1590" si="55">+(APH1600+APH1604)*1.18*1.1</f>
        <v>0</v>
      </c>
      <c r="API1590" s="55">
        <f t="shared" si="55"/>
        <v>0</v>
      </c>
      <c r="APJ1590" s="55">
        <f t="shared" si="55"/>
        <v>0</v>
      </c>
      <c r="APK1590" s="55">
        <f t="shared" si="55"/>
        <v>0</v>
      </c>
      <c r="APL1590" s="55">
        <f t="shared" si="55"/>
        <v>0</v>
      </c>
      <c r="APM1590" s="55">
        <f t="shared" si="55"/>
        <v>0</v>
      </c>
      <c r="APN1590" s="55">
        <f t="shared" si="55"/>
        <v>0</v>
      </c>
      <c r="APO1590" s="55">
        <f t="shared" si="55"/>
        <v>0</v>
      </c>
      <c r="APP1590" s="55">
        <f t="shared" si="55"/>
        <v>0</v>
      </c>
      <c r="APQ1590" s="55">
        <f t="shared" si="55"/>
        <v>0</v>
      </c>
      <c r="APR1590" s="55">
        <f t="shared" si="55"/>
        <v>0</v>
      </c>
      <c r="APS1590" s="55">
        <f t="shared" si="55"/>
        <v>0</v>
      </c>
      <c r="APT1590" s="55">
        <f t="shared" si="55"/>
        <v>0</v>
      </c>
      <c r="APU1590" s="55">
        <f t="shared" si="55"/>
        <v>0</v>
      </c>
      <c r="APV1590" s="55">
        <f t="shared" si="55"/>
        <v>0</v>
      </c>
      <c r="APW1590" s="55">
        <f t="shared" si="55"/>
        <v>0</v>
      </c>
      <c r="APX1590" s="55">
        <f t="shared" si="55"/>
        <v>0</v>
      </c>
      <c r="APY1590" s="55">
        <f t="shared" si="55"/>
        <v>0</v>
      </c>
      <c r="APZ1590" s="55">
        <f t="shared" si="55"/>
        <v>0</v>
      </c>
      <c r="AQA1590" s="55">
        <f t="shared" si="55"/>
        <v>0</v>
      </c>
      <c r="AQB1590" s="55">
        <f t="shared" si="55"/>
        <v>0</v>
      </c>
      <c r="AQC1590" s="55">
        <f t="shared" si="55"/>
        <v>0</v>
      </c>
      <c r="AQD1590" s="55">
        <f t="shared" si="55"/>
        <v>0</v>
      </c>
      <c r="AQE1590" s="55">
        <f t="shared" si="55"/>
        <v>0</v>
      </c>
      <c r="AQF1590" s="55">
        <f t="shared" si="55"/>
        <v>0</v>
      </c>
      <c r="AQG1590" s="55">
        <f t="shared" si="55"/>
        <v>0</v>
      </c>
      <c r="AQH1590" s="55">
        <f t="shared" si="55"/>
        <v>0</v>
      </c>
      <c r="AQI1590" s="55">
        <f t="shared" si="55"/>
        <v>0</v>
      </c>
      <c r="AQJ1590" s="55">
        <f t="shared" si="55"/>
        <v>0</v>
      </c>
      <c r="AQK1590" s="55">
        <f t="shared" si="55"/>
        <v>0</v>
      </c>
      <c r="AQL1590" s="55">
        <f t="shared" si="55"/>
        <v>0</v>
      </c>
      <c r="AQM1590" s="55">
        <f t="shared" si="55"/>
        <v>0</v>
      </c>
      <c r="AQN1590" s="55">
        <f t="shared" si="55"/>
        <v>0</v>
      </c>
      <c r="AQO1590" s="55">
        <f t="shared" si="55"/>
        <v>0</v>
      </c>
      <c r="AQP1590" s="55">
        <f t="shared" si="55"/>
        <v>0</v>
      </c>
      <c r="AQQ1590" s="55">
        <f t="shared" si="55"/>
        <v>0</v>
      </c>
      <c r="AQR1590" s="55">
        <f t="shared" si="55"/>
        <v>0</v>
      </c>
      <c r="AQS1590" s="55">
        <f t="shared" si="55"/>
        <v>0</v>
      </c>
      <c r="AQT1590" s="55">
        <f t="shared" si="55"/>
        <v>0</v>
      </c>
      <c r="AQU1590" s="55">
        <f t="shared" si="55"/>
        <v>0</v>
      </c>
      <c r="AQV1590" s="55">
        <f t="shared" si="55"/>
        <v>0</v>
      </c>
      <c r="AQW1590" s="55">
        <f t="shared" si="55"/>
        <v>0</v>
      </c>
      <c r="AQX1590" s="55">
        <f t="shared" si="55"/>
        <v>0</v>
      </c>
      <c r="AQY1590" s="55">
        <f t="shared" si="55"/>
        <v>0</v>
      </c>
      <c r="AQZ1590" s="55">
        <f t="shared" si="55"/>
        <v>0</v>
      </c>
      <c r="ARA1590" s="55">
        <f t="shared" si="55"/>
        <v>0</v>
      </c>
      <c r="ARB1590" s="55">
        <f t="shared" si="55"/>
        <v>0</v>
      </c>
      <c r="ARC1590" s="55">
        <f t="shared" si="55"/>
        <v>0</v>
      </c>
      <c r="ARD1590" s="55">
        <f t="shared" si="55"/>
        <v>0</v>
      </c>
      <c r="ARE1590" s="55">
        <f t="shared" si="55"/>
        <v>0</v>
      </c>
      <c r="ARF1590" s="55">
        <f t="shared" si="55"/>
        <v>0</v>
      </c>
      <c r="ARG1590" s="55">
        <f t="shared" si="55"/>
        <v>0</v>
      </c>
      <c r="ARH1590" s="55">
        <f t="shared" si="55"/>
        <v>0</v>
      </c>
      <c r="ARI1590" s="55">
        <f t="shared" si="55"/>
        <v>0</v>
      </c>
      <c r="ARJ1590" s="55">
        <f t="shared" si="55"/>
        <v>0</v>
      </c>
      <c r="ARK1590" s="55">
        <f t="shared" si="55"/>
        <v>0</v>
      </c>
      <c r="ARL1590" s="55">
        <f t="shared" si="55"/>
        <v>0</v>
      </c>
      <c r="ARM1590" s="55">
        <f t="shared" si="55"/>
        <v>0</v>
      </c>
      <c r="ARN1590" s="55">
        <f t="shared" si="55"/>
        <v>0</v>
      </c>
      <c r="ARO1590" s="55">
        <f t="shared" si="55"/>
        <v>0</v>
      </c>
      <c r="ARP1590" s="55">
        <f t="shared" si="55"/>
        <v>0</v>
      </c>
      <c r="ARQ1590" s="55">
        <f t="shared" si="55"/>
        <v>0</v>
      </c>
      <c r="ARR1590" s="55">
        <f t="shared" si="55"/>
        <v>0</v>
      </c>
      <c r="ARS1590" s="55">
        <f t="shared" si="55"/>
        <v>0</v>
      </c>
      <c r="ART1590" s="55">
        <f t="shared" ref="ART1590:AUE1590" si="56">+(ART1600+ART1604)*1.18*1.1</f>
        <v>0</v>
      </c>
      <c r="ARU1590" s="55">
        <f t="shared" si="56"/>
        <v>0</v>
      </c>
      <c r="ARV1590" s="55">
        <f t="shared" si="56"/>
        <v>0</v>
      </c>
      <c r="ARW1590" s="55">
        <f t="shared" si="56"/>
        <v>0</v>
      </c>
      <c r="ARX1590" s="55">
        <f t="shared" si="56"/>
        <v>0</v>
      </c>
      <c r="ARY1590" s="55">
        <f t="shared" si="56"/>
        <v>0</v>
      </c>
      <c r="ARZ1590" s="55">
        <f t="shared" si="56"/>
        <v>0</v>
      </c>
      <c r="ASA1590" s="55">
        <f t="shared" si="56"/>
        <v>0</v>
      </c>
      <c r="ASB1590" s="55">
        <f t="shared" si="56"/>
        <v>0</v>
      </c>
      <c r="ASC1590" s="55">
        <f t="shared" si="56"/>
        <v>0</v>
      </c>
      <c r="ASD1590" s="55">
        <f t="shared" si="56"/>
        <v>0</v>
      </c>
      <c r="ASE1590" s="55">
        <f t="shared" si="56"/>
        <v>0</v>
      </c>
      <c r="ASF1590" s="55">
        <f t="shared" si="56"/>
        <v>0</v>
      </c>
      <c r="ASG1590" s="55">
        <f t="shared" si="56"/>
        <v>0</v>
      </c>
      <c r="ASH1590" s="55">
        <f t="shared" si="56"/>
        <v>0</v>
      </c>
      <c r="ASI1590" s="55">
        <f t="shared" si="56"/>
        <v>0</v>
      </c>
      <c r="ASJ1590" s="55">
        <f t="shared" si="56"/>
        <v>0</v>
      </c>
      <c r="ASK1590" s="55">
        <f t="shared" si="56"/>
        <v>0</v>
      </c>
      <c r="ASL1590" s="55">
        <f t="shared" si="56"/>
        <v>0</v>
      </c>
      <c r="ASM1590" s="55">
        <f t="shared" si="56"/>
        <v>0</v>
      </c>
      <c r="ASN1590" s="55">
        <f t="shared" si="56"/>
        <v>0</v>
      </c>
      <c r="ASO1590" s="55">
        <f t="shared" si="56"/>
        <v>0</v>
      </c>
      <c r="ASP1590" s="55">
        <f t="shared" si="56"/>
        <v>0</v>
      </c>
      <c r="ASQ1590" s="55">
        <f t="shared" si="56"/>
        <v>0</v>
      </c>
      <c r="ASR1590" s="55">
        <f t="shared" si="56"/>
        <v>0</v>
      </c>
      <c r="ASS1590" s="55">
        <f t="shared" si="56"/>
        <v>0</v>
      </c>
      <c r="AST1590" s="55">
        <f t="shared" si="56"/>
        <v>0</v>
      </c>
      <c r="ASU1590" s="55">
        <f t="shared" si="56"/>
        <v>0</v>
      </c>
      <c r="ASV1590" s="55">
        <f t="shared" si="56"/>
        <v>0</v>
      </c>
      <c r="ASW1590" s="55">
        <f t="shared" si="56"/>
        <v>0</v>
      </c>
      <c r="ASX1590" s="55">
        <f t="shared" si="56"/>
        <v>0</v>
      </c>
      <c r="ASY1590" s="55">
        <f t="shared" si="56"/>
        <v>0</v>
      </c>
      <c r="ASZ1590" s="55">
        <f t="shared" si="56"/>
        <v>0</v>
      </c>
      <c r="ATA1590" s="55">
        <f t="shared" si="56"/>
        <v>0</v>
      </c>
      <c r="ATB1590" s="55">
        <f t="shared" si="56"/>
        <v>0</v>
      </c>
      <c r="ATC1590" s="55">
        <f t="shared" si="56"/>
        <v>0</v>
      </c>
      <c r="ATD1590" s="55">
        <f t="shared" si="56"/>
        <v>0</v>
      </c>
      <c r="ATE1590" s="55">
        <f t="shared" si="56"/>
        <v>0</v>
      </c>
      <c r="ATF1590" s="55">
        <f t="shared" si="56"/>
        <v>0</v>
      </c>
      <c r="ATG1590" s="55">
        <f t="shared" si="56"/>
        <v>0</v>
      </c>
      <c r="ATH1590" s="55">
        <f t="shared" si="56"/>
        <v>0</v>
      </c>
      <c r="ATI1590" s="55">
        <f t="shared" si="56"/>
        <v>0</v>
      </c>
      <c r="ATJ1590" s="55">
        <f t="shared" si="56"/>
        <v>0</v>
      </c>
      <c r="ATK1590" s="55">
        <f t="shared" si="56"/>
        <v>0</v>
      </c>
      <c r="ATL1590" s="55">
        <f t="shared" si="56"/>
        <v>0</v>
      </c>
      <c r="ATM1590" s="55">
        <f t="shared" si="56"/>
        <v>0</v>
      </c>
      <c r="ATN1590" s="55">
        <f t="shared" si="56"/>
        <v>0</v>
      </c>
      <c r="ATO1590" s="55">
        <f t="shared" si="56"/>
        <v>0</v>
      </c>
      <c r="ATP1590" s="55">
        <f t="shared" si="56"/>
        <v>0</v>
      </c>
      <c r="ATQ1590" s="55">
        <f t="shared" si="56"/>
        <v>0</v>
      </c>
      <c r="ATR1590" s="55">
        <f t="shared" si="56"/>
        <v>0</v>
      </c>
      <c r="ATS1590" s="55">
        <f t="shared" si="56"/>
        <v>0</v>
      </c>
      <c r="ATT1590" s="55">
        <f t="shared" si="56"/>
        <v>0</v>
      </c>
      <c r="ATU1590" s="55">
        <f t="shared" si="56"/>
        <v>0</v>
      </c>
      <c r="ATV1590" s="55">
        <f t="shared" si="56"/>
        <v>0</v>
      </c>
      <c r="ATW1590" s="55">
        <f t="shared" si="56"/>
        <v>0</v>
      </c>
      <c r="ATX1590" s="55">
        <f t="shared" si="56"/>
        <v>0</v>
      </c>
      <c r="ATY1590" s="55">
        <f t="shared" si="56"/>
        <v>0</v>
      </c>
      <c r="ATZ1590" s="55">
        <f t="shared" si="56"/>
        <v>0</v>
      </c>
      <c r="AUA1590" s="55">
        <f t="shared" si="56"/>
        <v>0</v>
      </c>
      <c r="AUB1590" s="55">
        <f t="shared" si="56"/>
        <v>0</v>
      </c>
      <c r="AUC1590" s="55">
        <f t="shared" si="56"/>
        <v>0</v>
      </c>
      <c r="AUD1590" s="55">
        <f t="shared" si="56"/>
        <v>0</v>
      </c>
      <c r="AUE1590" s="55">
        <f t="shared" si="56"/>
        <v>0</v>
      </c>
      <c r="AUF1590" s="55">
        <f t="shared" ref="AUF1590:AWQ1590" si="57">+(AUF1600+AUF1604)*1.18*1.1</f>
        <v>0</v>
      </c>
      <c r="AUG1590" s="55">
        <f t="shared" si="57"/>
        <v>0</v>
      </c>
      <c r="AUH1590" s="55">
        <f t="shared" si="57"/>
        <v>0</v>
      </c>
      <c r="AUI1590" s="55">
        <f t="shared" si="57"/>
        <v>0</v>
      </c>
      <c r="AUJ1590" s="55">
        <f t="shared" si="57"/>
        <v>0</v>
      </c>
      <c r="AUK1590" s="55">
        <f t="shared" si="57"/>
        <v>0</v>
      </c>
      <c r="AUL1590" s="55">
        <f t="shared" si="57"/>
        <v>0</v>
      </c>
      <c r="AUM1590" s="55">
        <f t="shared" si="57"/>
        <v>0</v>
      </c>
      <c r="AUN1590" s="55">
        <f t="shared" si="57"/>
        <v>0</v>
      </c>
      <c r="AUO1590" s="55">
        <f t="shared" si="57"/>
        <v>0</v>
      </c>
      <c r="AUP1590" s="55">
        <f t="shared" si="57"/>
        <v>0</v>
      </c>
      <c r="AUQ1590" s="55">
        <f t="shared" si="57"/>
        <v>0</v>
      </c>
      <c r="AUR1590" s="55">
        <f t="shared" si="57"/>
        <v>0</v>
      </c>
      <c r="AUS1590" s="55">
        <f t="shared" si="57"/>
        <v>0</v>
      </c>
      <c r="AUT1590" s="55">
        <f t="shared" si="57"/>
        <v>0</v>
      </c>
      <c r="AUU1590" s="55">
        <f t="shared" si="57"/>
        <v>0</v>
      </c>
      <c r="AUV1590" s="55">
        <f t="shared" si="57"/>
        <v>0</v>
      </c>
      <c r="AUW1590" s="55">
        <f t="shared" si="57"/>
        <v>0</v>
      </c>
      <c r="AUX1590" s="55">
        <f t="shared" si="57"/>
        <v>0</v>
      </c>
      <c r="AUY1590" s="55">
        <f t="shared" si="57"/>
        <v>0</v>
      </c>
      <c r="AUZ1590" s="55">
        <f t="shared" si="57"/>
        <v>0</v>
      </c>
      <c r="AVA1590" s="55">
        <f t="shared" si="57"/>
        <v>0</v>
      </c>
      <c r="AVB1590" s="55">
        <f t="shared" si="57"/>
        <v>0</v>
      </c>
      <c r="AVC1590" s="55">
        <f t="shared" si="57"/>
        <v>0</v>
      </c>
      <c r="AVD1590" s="55">
        <f t="shared" si="57"/>
        <v>0</v>
      </c>
      <c r="AVE1590" s="55">
        <f t="shared" si="57"/>
        <v>0</v>
      </c>
      <c r="AVF1590" s="55">
        <f t="shared" si="57"/>
        <v>0</v>
      </c>
      <c r="AVG1590" s="55">
        <f t="shared" si="57"/>
        <v>0</v>
      </c>
      <c r="AVH1590" s="55">
        <f t="shared" si="57"/>
        <v>0</v>
      </c>
      <c r="AVI1590" s="55">
        <f t="shared" si="57"/>
        <v>0</v>
      </c>
      <c r="AVJ1590" s="55">
        <f t="shared" si="57"/>
        <v>0</v>
      </c>
      <c r="AVK1590" s="55">
        <f t="shared" si="57"/>
        <v>0</v>
      </c>
      <c r="AVL1590" s="55">
        <f t="shared" si="57"/>
        <v>0</v>
      </c>
      <c r="AVM1590" s="55">
        <f t="shared" si="57"/>
        <v>0</v>
      </c>
      <c r="AVN1590" s="55">
        <f t="shared" si="57"/>
        <v>0</v>
      </c>
      <c r="AVO1590" s="55">
        <f t="shared" si="57"/>
        <v>0</v>
      </c>
      <c r="AVP1590" s="55">
        <f t="shared" si="57"/>
        <v>0</v>
      </c>
      <c r="AVQ1590" s="55">
        <f t="shared" si="57"/>
        <v>0</v>
      </c>
      <c r="AVR1590" s="55">
        <f t="shared" si="57"/>
        <v>0</v>
      </c>
      <c r="AVS1590" s="55">
        <f t="shared" si="57"/>
        <v>0</v>
      </c>
      <c r="AVT1590" s="55">
        <f t="shared" si="57"/>
        <v>0</v>
      </c>
      <c r="AVU1590" s="55">
        <f t="shared" si="57"/>
        <v>0</v>
      </c>
      <c r="AVV1590" s="55">
        <f t="shared" si="57"/>
        <v>0</v>
      </c>
      <c r="AVW1590" s="55">
        <f t="shared" si="57"/>
        <v>0</v>
      </c>
      <c r="AVX1590" s="55">
        <f t="shared" si="57"/>
        <v>0</v>
      </c>
      <c r="AVY1590" s="55">
        <f t="shared" si="57"/>
        <v>0</v>
      </c>
      <c r="AVZ1590" s="55">
        <f t="shared" si="57"/>
        <v>0</v>
      </c>
      <c r="AWA1590" s="55">
        <f t="shared" si="57"/>
        <v>0</v>
      </c>
      <c r="AWB1590" s="55">
        <f t="shared" si="57"/>
        <v>0</v>
      </c>
      <c r="AWC1590" s="55">
        <f t="shared" si="57"/>
        <v>0</v>
      </c>
      <c r="AWD1590" s="55">
        <f t="shared" si="57"/>
        <v>0</v>
      </c>
      <c r="AWE1590" s="55">
        <f t="shared" si="57"/>
        <v>0</v>
      </c>
      <c r="AWF1590" s="55">
        <f t="shared" si="57"/>
        <v>0</v>
      </c>
      <c r="AWG1590" s="55">
        <f t="shared" si="57"/>
        <v>0</v>
      </c>
      <c r="AWH1590" s="55">
        <f t="shared" si="57"/>
        <v>0</v>
      </c>
      <c r="AWI1590" s="55">
        <f t="shared" si="57"/>
        <v>0</v>
      </c>
      <c r="AWJ1590" s="55">
        <f t="shared" si="57"/>
        <v>0</v>
      </c>
      <c r="AWK1590" s="55">
        <f t="shared" si="57"/>
        <v>0</v>
      </c>
      <c r="AWL1590" s="55">
        <f t="shared" si="57"/>
        <v>0</v>
      </c>
      <c r="AWM1590" s="55">
        <f t="shared" si="57"/>
        <v>0</v>
      </c>
      <c r="AWN1590" s="55">
        <f t="shared" si="57"/>
        <v>0</v>
      </c>
      <c r="AWO1590" s="55">
        <f t="shared" si="57"/>
        <v>0</v>
      </c>
      <c r="AWP1590" s="55">
        <f t="shared" si="57"/>
        <v>0</v>
      </c>
      <c r="AWQ1590" s="55">
        <f t="shared" si="57"/>
        <v>0</v>
      </c>
      <c r="AWR1590" s="55">
        <f t="shared" ref="AWR1590:AZC1590" si="58">+(AWR1600+AWR1604)*1.18*1.1</f>
        <v>0</v>
      </c>
      <c r="AWS1590" s="55">
        <f t="shared" si="58"/>
        <v>0</v>
      </c>
      <c r="AWT1590" s="55">
        <f t="shared" si="58"/>
        <v>0</v>
      </c>
      <c r="AWU1590" s="55">
        <f t="shared" si="58"/>
        <v>0</v>
      </c>
      <c r="AWV1590" s="55">
        <f t="shared" si="58"/>
        <v>0</v>
      </c>
      <c r="AWW1590" s="55">
        <f t="shared" si="58"/>
        <v>0</v>
      </c>
      <c r="AWX1590" s="55">
        <f t="shared" si="58"/>
        <v>0</v>
      </c>
      <c r="AWY1590" s="55">
        <f t="shared" si="58"/>
        <v>0</v>
      </c>
      <c r="AWZ1590" s="55">
        <f t="shared" si="58"/>
        <v>0</v>
      </c>
      <c r="AXA1590" s="55">
        <f t="shared" si="58"/>
        <v>0</v>
      </c>
      <c r="AXB1590" s="55">
        <f t="shared" si="58"/>
        <v>0</v>
      </c>
      <c r="AXC1590" s="55">
        <f t="shared" si="58"/>
        <v>0</v>
      </c>
      <c r="AXD1590" s="55">
        <f t="shared" si="58"/>
        <v>0</v>
      </c>
      <c r="AXE1590" s="55">
        <f t="shared" si="58"/>
        <v>0</v>
      </c>
      <c r="AXF1590" s="55">
        <f t="shared" si="58"/>
        <v>0</v>
      </c>
      <c r="AXG1590" s="55">
        <f t="shared" si="58"/>
        <v>0</v>
      </c>
      <c r="AXH1590" s="55">
        <f t="shared" si="58"/>
        <v>0</v>
      </c>
      <c r="AXI1590" s="55">
        <f t="shared" si="58"/>
        <v>0</v>
      </c>
      <c r="AXJ1590" s="55">
        <f t="shared" si="58"/>
        <v>0</v>
      </c>
      <c r="AXK1590" s="55">
        <f t="shared" si="58"/>
        <v>0</v>
      </c>
      <c r="AXL1590" s="55">
        <f t="shared" si="58"/>
        <v>0</v>
      </c>
      <c r="AXM1590" s="55">
        <f t="shared" si="58"/>
        <v>0</v>
      </c>
      <c r="AXN1590" s="55">
        <f t="shared" si="58"/>
        <v>0</v>
      </c>
      <c r="AXO1590" s="55">
        <f t="shared" si="58"/>
        <v>0</v>
      </c>
      <c r="AXP1590" s="55">
        <f t="shared" si="58"/>
        <v>0</v>
      </c>
      <c r="AXQ1590" s="55">
        <f t="shared" si="58"/>
        <v>0</v>
      </c>
      <c r="AXR1590" s="55">
        <f t="shared" si="58"/>
        <v>0</v>
      </c>
      <c r="AXS1590" s="55">
        <f t="shared" si="58"/>
        <v>0</v>
      </c>
      <c r="AXT1590" s="55">
        <f t="shared" si="58"/>
        <v>0</v>
      </c>
      <c r="AXU1590" s="55">
        <f t="shared" si="58"/>
        <v>0</v>
      </c>
      <c r="AXV1590" s="55">
        <f t="shared" si="58"/>
        <v>0</v>
      </c>
      <c r="AXW1590" s="55">
        <f t="shared" si="58"/>
        <v>0</v>
      </c>
      <c r="AXX1590" s="55">
        <f t="shared" si="58"/>
        <v>0</v>
      </c>
      <c r="AXY1590" s="55">
        <f t="shared" si="58"/>
        <v>0</v>
      </c>
      <c r="AXZ1590" s="55">
        <f t="shared" si="58"/>
        <v>0</v>
      </c>
      <c r="AYA1590" s="55">
        <f t="shared" si="58"/>
        <v>0</v>
      </c>
      <c r="AYB1590" s="55">
        <f t="shared" si="58"/>
        <v>0</v>
      </c>
      <c r="AYC1590" s="55">
        <f t="shared" si="58"/>
        <v>0</v>
      </c>
      <c r="AYD1590" s="55">
        <f t="shared" si="58"/>
        <v>0</v>
      </c>
      <c r="AYE1590" s="55">
        <f t="shared" si="58"/>
        <v>0</v>
      </c>
      <c r="AYF1590" s="55">
        <f t="shared" si="58"/>
        <v>0</v>
      </c>
      <c r="AYG1590" s="55">
        <f t="shared" si="58"/>
        <v>0</v>
      </c>
      <c r="AYH1590" s="55">
        <f t="shared" si="58"/>
        <v>0</v>
      </c>
      <c r="AYI1590" s="55">
        <f t="shared" si="58"/>
        <v>0</v>
      </c>
      <c r="AYJ1590" s="55">
        <f t="shared" si="58"/>
        <v>0</v>
      </c>
      <c r="AYK1590" s="55">
        <f t="shared" si="58"/>
        <v>0</v>
      </c>
      <c r="AYL1590" s="55">
        <f t="shared" si="58"/>
        <v>0</v>
      </c>
      <c r="AYM1590" s="55">
        <f t="shared" si="58"/>
        <v>0</v>
      </c>
      <c r="AYN1590" s="55">
        <f t="shared" si="58"/>
        <v>0</v>
      </c>
      <c r="AYO1590" s="55">
        <f t="shared" si="58"/>
        <v>0</v>
      </c>
      <c r="AYP1590" s="55">
        <f t="shared" si="58"/>
        <v>0</v>
      </c>
      <c r="AYQ1590" s="55">
        <f t="shared" si="58"/>
        <v>0</v>
      </c>
      <c r="AYR1590" s="55">
        <f t="shared" si="58"/>
        <v>0</v>
      </c>
      <c r="AYS1590" s="55">
        <f t="shared" si="58"/>
        <v>0</v>
      </c>
      <c r="AYT1590" s="55">
        <f t="shared" si="58"/>
        <v>0</v>
      </c>
      <c r="AYU1590" s="55">
        <f t="shared" si="58"/>
        <v>0</v>
      </c>
      <c r="AYV1590" s="55">
        <f t="shared" si="58"/>
        <v>0</v>
      </c>
      <c r="AYW1590" s="55">
        <f t="shared" si="58"/>
        <v>0</v>
      </c>
      <c r="AYX1590" s="55">
        <f t="shared" si="58"/>
        <v>0</v>
      </c>
      <c r="AYY1590" s="55">
        <f t="shared" si="58"/>
        <v>0</v>
      </c>
      <c r="AYZ1590" s="55">
        <f t="shared" si="58"/>
        <v>0</v>
      </c>
      <c r="AZA1590" s="55">
        <f t="shared" si="58"/>
        <v>0</v>
      </c>
      <c r="AZB1590" s="55">
        <f t="shared" si="58"/>
        <v>0</v>
      </c>
      <c r="AZC1590" s="55">
        <f t="shared" si="58"/>
        <v>0</v>
      </c>
      <c r="AZD1590" s="55">
        <f t="shared" ref="AZD1590:BBO1590" si="59">+(AZD1600+AZD1604)*1.18*1.1</f>
        <v>0</v>
      </c>
      <c r="AZE1590" s="55">
        <f t="shared" si="59"/>
        <v>0</v>
      </c>
      <c r="AZF1590" s="55">
        <f t="shared" si="59"/>
        <v>0</v>
      </c>
      <c r="AZG1590" s="55">
        <f t="shared" si="59"/>
        <v>0</v>
      </c>
      <c r="AZH1590" s="55">
        <f t="shared" si="59"/>
        <v>0</v>
      </c>
      <c r="AZI1590" s="55">
        <f t="shared" si="59"/>
        <v>0</v>
      </c>
      <c r="AZJ1590" s="55">
        <f t="shared" si="59"/>
        <v>0</v>
      </c>
      <c r="AZK1590" s="55">
        <f t="shared" si="59"/>
        <v>0</v>
      </c>
      <c r="AZL1590" s="55">
        <f t="shared" si="59"/>
        <v>0</v>
      </c>
      <c r="AZM1590" s="55">
        <f t="shared" si="59"/>
        <v>0</v>
      </c>
      <c r="AZN1590" s="55">
        <f t="shared" si="59"/>
        <v>0</v>
      </c>
      <c r="AZO1590" s="55">
        <f t="shared" si="59"/>
        <v>0</v>
      </c>
      <c r="AZP1590" s="55">
        <f t="shared" si="59"/>
        <v>0</v>
      </c>
      <c r="AZQ1590" s="55">
        <f t="shared" si="59"/>
        <v>0</v>
      </c>
      <c r="AZR1590" s="55">
        <f t="shared" si="59"/>
        <v>0</v>
      </c>
      <c r="AZS1590" s="55">
        <f t="shared" si="59"/>
        <v>0</v>
      </c>
      <c r="AZT1590" s="55">
        <f t="shared" si="59"/>
        <v>0</v>
      </c>
      <c r="AZU1590" s="55">
        <f t="shared" si="59"/>
        <v>0</v>
      </c>
      <c r="AZV1590" s="55">
        <f t="shared" si="59"/>
        <v>0</v>
      </c>
      <c r="AZW1590" s="55">
        <f t="shared" si="59"/>
        <v>0</v>
      </c>
      <c r="AZX1590" s="55">
        <f t="shared" si="59"/>
        <v>0</v>
      </c>
      <c r="AZY1590" s="55">
        <f t="shared" si="59"/>
        <v>0</v>
      </c>
      <c r="AZZ1590" s="55">
        <f t="shared" si="59"/>
        <v>0</v>
      </c>
      <c r="BAA1590" s="55">
        <f t="shared" si="59"/>
        <v>0</v>
      </c>
      <c r="BAB1590" s="55">
        <f t="shared" si="59"/>
        <v>0</v>
      </c>
      <c r="BAC1590" s="55">
        <f t="shared" si="59"/>
        <v>0</v>
      </c>
      <c r="BAD1590" s="55">
        <f t="shared" si="59"/>
        <v>0</v>
      </c>
      <c r="BAE1590" s="55">
        <f t="shared" si="59"/>
        <v>0</v>
      </c>
      <c r="BAF1590" s="55">
        <f t="shared" si="59"/>
        <v>0</v>
      </c>
      <c r="BAG1590" s="55">
        <f t="shared" si="59"/>
        <v>0</v>
      </c>
      <c r="BAH1590" s="55">
        <f t="shared" si="59"/>
        <v>0</v>
      </c>
      <c r="BAI1590" s="55">
        <f t="shared" si="59"/>
        <v>0</v>
      </c>
      <c r="BAJ1590" s="55">
        <f t="shared" si="59"/>
        <v>0</v>
      </c>
      <c r="BAK1590" s="55">
        <f t="shared" si="59"/>
        <v>0</v>
      </c>
      <c r="BAL1590" s="55">
        <f t="shared" si="59"/>
        <v>0</v>
      </c>
      <c r="BAM1590" s="55">
        <f t="shared" si="59"/>
        <v>0</v>
      </c>
      <c r="BAN1590" s="55">
        <f t="shared" si="59"/>
        <v>0</v>
      </c>
      <c r="BAO1590" s="55">
        <f t="shared" si="59"/>
        <v>0</v>
      </c>
      <c r="BAP1590" s="55">
        <f t="shared" si="59"/>
        <v>0</v>
      </c>
      <c r="BAQ1590" s="55">
        <f t="shared" si="59"/>
        <v>0</v>
      </c>
      <c r="BAR1590" s="55">
        <f t="shared" si="59"/>
        <v>0</v>
      </c>
      <c r="BAS1590" s="55">
        <f t="shared" si="59"/>
        <v>0</v>
      </c>
      <c r="BAT1590" s="55">
        <f t="shared" si="59"/>
        <v>0</v>
      </c>
      <c r="BAU1590" s="55">
        <f t="shared" si="59"/>
        <v>0</v>
      </c>
      <c r="BAV1590" s="55">
        <f t="shared" si="59"/>
        <v>0</v>
      </c>
      <c r="BAW1590" s="55">
        <f t="shared" si="59"/>
        <v>0</v>
      </c>
      <c r="BAX1590" s="55">
        <f t="shared" si="59"/>
        <v>0</v>
      </c>
      <c r="BAY1590" s="55">
        <f t="shared" si="59"/>
        <v>0</v>
      </c>
      <c r="BAZ1590" s="55">
        <f t="shared" si="59"/>
        <v>0</v>
      </c>
      <c r="BBA1590" s="55">
        <f t="shared" si="59"/>
        <v>0</v>
      </c>
      <c r="BBB1590" s="55">
        <f t="shared" si="59"/>
        <v>0</v>
      </c>
      <c r="BBC1590" s="55">
        <f t="shared" si="59"/>
        <v>0</v>
      </c>
      <c r="BBD1590" s="55">
        <f t="shared" si="59"/>
        <v>0</v>
      </c>
      <c r="BBE1590" s="55">
        <f t="shared" si="59"/>
        <v>0</v>
      </c>
      <c r="BBF1590" s="55">
        <f t="shared" si="59"/>
        <v>0</v>
      </c>
      <c r="BBG1590" s="55">
        <f t="shared" si="59"/>
        <v>0</v>
      </c>
      <c r="BBH1590" s="55">
        <f t="shared" si="59"/>
        <v>0</v>
      </c>
      <c r="BBI1590" s="55">
        <f t="shared" si="59"/>
        <v>0</v>
      </c>
      <c r="BBJ1590" s="55">
        <f t="shared" si="59"/>
        <v>0</v>
      </c>
      <c r="BBK1590" s="55">
        <f t="shared" si="59"/>
        <v>0</v>
      </c>
      <c r="BBL1590" s="55">
        <f t="shared" si="59"/>
        <v>0</v>
      </c>
      <c r="BBM1590" s="55">
        <f t="shared" si="59"/>
        <v>0</v>
      </c>
      <c r="BBN1590" s="55">
        <f t="shared" si="59"/>
        <v>0</v>
      </c>
      <c r="BBO1590" s="55">
        <f t="shared" si="59"/>
        <v>0</v>
      </c>
      <c r="BBP1590" s="55">
        <f t="shared" ref="BBP1590:BEA1590" si="60">+(BBP1600+BBP1604)*1.18*1.1</f>
        <v>0</v>
      </c>
      <c r="BBQ1590" s="55">
        <f t="shared" si="60"/>
        <v>0</v>
      </c>
      <c r="BBR1590" s="55">
        <f t="shared" si="60"/>
        <v>0</v>
      </c>
      <c r="BBS1590" s="55">
        <f t="shared" si="60"/>
        <v>0</v>
      </c>
      <c r="BBT1590" s="55">
        <f t="shared" si="60"/>
        <v>0</v>
      </c>
      <c r="BBU1590" s="55">
        <f t="shared" si="60"/>
        <v>0</v>
      </c>
      <c r="BBV1590" s="55">
        <f t="shared" si="60"/>
        <v>0</v>
      </c>
      <c r="BBW1590" s="55">
        <f t="shared" si="60"/>
        <v>0</v>
      </c>
      <c r="BBX1590" s="55">
        <f t="shared" si="60"/>
        <v>0</v>
      </c>
      <c r="BBY1590" s="55">
        <f t="shared" si="60"/>
        <v>0</v>
      </c>
      <c r="BBZ1590" s="55">
        <f t="shared" si="60"/>
        <v>0</v>
      </c>
      <c r="BCA1590" s="55">
        <f t="shared" si="60"/>
        <v>0</v>
      </c>
      <c r="BCB1590" s="55">
        <f t="shared" si="60"/>
        <v>0</v>
      </c>
      <c r="BCC1590" s="55">
        <f t="shared" si="60"/>
        <v>0</v>
      </c>
      <c r="BCD1590" s="55">
        <f t="shared" si="60"/>
        <v>0</v>
      </c>
      <c r="BCE1590" s="55">
        <f t="shared" si="60"/>
        <v>0</v>
      </c>
      <c r="BCF1590" s="55">
        <f t="shared" si="60"/>
        <v>0</v>
      </c>
      <c r="BCG1590" s="55">
        <f t="shared" si="60"/>
        <v>0</v>
      </c>
      <c r="BCH1590" s="55">
        <f t="shared" si="60"/>
        <v>0</v>
      </c>
      <c r="BCI1590" s="55">
        <f t="shared" si="60"/>
        <v>0</v>
      </c>
      <c r="BCJ1590" s="55">
        <f t="shared" si="60"/>
        <v>0</v>
      </c>
      <c r="BCK1590" s="55">
        <f t="shared" si="60"/>
        <v>0</v>
      </c>
      <c r="BCL1590" s="55">
        <f t="shared" si="60"/>
        <v>0</v>
      </c>
      <c r="BCM1590" s="55">
        <f t="shared" si="60"/>
        <v>0</v>
      </c>
      <c r="BCN1590" s="55">
        <f t="shared" si="60"/>
        <v>0</v>
      </c>
      <c r="BCO1590" s="55">
        <f t="shared" si="60"/>
        <v>0</v>
      </c>
      <c r="BCP1590" s="55">
        <f t="shared" si="60"/>
        <v>0</v>
      </c>
      <c r="BCQ1590" s="55">
        <f t="shared" si="60"/>
        <v>0</v>
      </c>
      <c r="BCR1590" s="55">
        <f t="shared" si="60"/>
        <v>0</v>
      </c>
      <c r="BCS1590" s="55">
        <f t="shared" si="60"/>
        <v>0</v>
      </c>
      <c r="BCT1590" s="55">
        <f t="shared" si="60"/>
        <v>0</v>
      </c>
      <c r="BCU1590" s="55">
        <f t="shared" si="60"/>
        <v>0</v>
      </c>
      <c r="BCV1590" s="55">
        <f t="shared" si="60"/>
        <v>0</v>
      </c>
      <c r="BCW1590" s="55">
        <f t="shared" si="60"/>
        <v>0</v>
      </c>
      <c r="BCX1590" s="55">
        <f t="shared" si="60"/>
        <v>0</v>
      </c>
      <c r="BCY1590" s="55">
        <f t="shared" si="60"/>
        <v>0</v>
      </c>
      <c r="BCZ1590" s="55">
        <f t="shared" si="60"/>
        <v>0</v>
      </c>
      <c r="BDA1590" s="55">
        <f t="shared" si="60"/>
        <v>0</v>
      </c>
      <c r="BDB1590" s="55">
        <f t="shared" si="60"/>
        <v>0</v>
      </c>
      <c r="BDC1590" s="55">
        <f t="shared" si="60"/>
        <v>0</v>
      </c>
      <c r="BDD1590" s="55">
        <f t="shared" si="60"/>
        <v>0</v>
      </c>
      <c r="BDE1590" s="55">
        <f t="shared" si="60"/>
        <v>0</v>
      </c>
      <c r="BDF1590" s="55">
        <f t="shared" si="60"/>
        <v>0</v>
      </c>
      <c r="BDG1590" s="55">
        <f t="shared" si="60"/>
        <v>0</v>
      </c>
      <c r="BDH1590" s="55">
        <f t="shared" si="60"/>
        <v>0</v>
      </c>
      <c r="BDI1590" s="55">
        <f t="shared" si="60"/>
        <v>0</v>
      </c>
      <c r="BDJ1590" s="55">
        <f t="shared" si="60"/>
        <v>0</v>
      </c>
      <c r="BDK1590" s="55">
        <f t="shared" si="60"/>
        <v>0</v>
      </c>
      <c r="BDL1590" s="55">
        <f t="shared" si="60"/>
        <v>0</v>
      </c>
      <c r="BDM1590" s="55">
        <f t="shared" si="60"/>
        <v>0</v>
      </c>
      <c r="BDN1590" s="55">
        <f t="shared" si="60"/>
        <v>0</v>
      </c>
      <c r="BDO1590" s="55">
        <f t="shared" si="60"/>
        <v>0</v>
      </c>
      <c r="BDP1590" s="55">
        <f t="shared" si="60"/>
        <v>0</v>
      </c>
      <c r="BDQ1590" s="55">
        <f t="shared" si="60"/>
        <v>0</v>
      </c>
      <c r="BDR1590" s="55">
        <f t="shared" si="60"/>
        <v>0</v>
      </c>
      <c r="BDS1590" s="55">
        <f t="shared" si="60"/>
        <v>0</v>
      </c>
      <c r="BDT1590" s="55">
        <f t="shared" si="60"/>
        <v>0</v>
      </c>
      <c r="BDU1590" s="55">
        <f t="shared" si="60"/>
        <v>0</v>
      </c>
      <c r="BDV1590" s="55">
        <f t="shared" si="60"/>
        <v>0</v>
      </c>
      <c r="BDW1590" s="55">
        <f t="shared" si="60"/>
        <v>0</v>
      </c>
      <c r="BDX1590" s="55">
        <f t="shared" si="60"/>
        <v>0</v>
      </c>
      <c r="BDY1590" s="55">
        <f t="shared" si="60"/>
        <v>0</v>
      </c>
      <c r="BDZ1590" s="55">
        <f t="shared" si="60"/>
        <v>0</v>
      </c>
      <c r="BEA1590" s="55">
        <f t="shared" si="60"/>
        <v>0</v>
      </c>
      <c r="BEB1590" s="55">
        <f t="shared" ref="BEB1590:BGM1590" si="61">+(BEB1600+BEB1604)*1.18*1.1</f>
        <v>0</v>
      </c>
      <c r="BEC1590" s="55">
        <f t="shared" si="61"/>
        <v>0</v>
      </c>
      <c r="BED1590" s="55">
        <f t="shared" si="61"/>
        <v>0</v>
      </c>
      <c r="BEE1590" s="55">
        <f t="shared" si="61"/>
        <v>0</v>
      </c>
      <c r="BEF1590" s="55">
        <f t="shared" si="61"/>
        <v>0</v>
      </c>
      <c r="BEG1590" s="55">
        <f t="shared" si="61"/>
        <v>0</v>
      </c>
      <c r="BEH1590" s="55">
        <f t="shared" si="61"/>
        <v>0</v>
      </c>
      <c r="BEI1590" s="55">
        <f t="shared" si="61"/>
        <v>0</v>
      </c>
      <c r="BEJ1590" s="55">
        <f t="shared" si="61"/>
        <v>0</v>
      </c>
      <c r="BEK1590" s="55">
        <f t="shared" si="61"/>
        <v>0</v>
      </c>
      <c r="BEL1590" s="55">
        <f t="shared" si="61"/>
        <v>0</v>
      </c>
      <c r="BEM1590" s="55">
        <f t="shared" si="61"/>
        <v>0</v>
      </c>
      <c r="BEN1590" s="55">
        <f t="shared" si="61"/>
        <v>0</v>
      </c>
      <c r="BEO1590" s="55">
        <f t="shared" si="61"/>
        <v>0</v>
      </c>
      <c r="BEP1590" s="55">
        <f t="shared" si="61"/>
        <v>0</v>
      </c>
      <c r="BEQ1590" s="55">
        <f t="shared" si="61"/>
        <v>0</v>
      </c>
      <c r="BER1590" s="55">
        <f t="shared" si="61"/>
        <v>0</v>
      </c>
      <c r="BES1590" s="55">
        <f t="shared" si="61"/>
        <v>0</v>
      </c>
      <c r="BET1590" s="55">
        <f t="shared" si="61"/>
        <v>0</v>
      </c>
      <c r="BEU1590" s="55">
        <f t="shared" si="61"/>
        <v>0</v>
      </c>
      <c r="BEV1590" s="55">
        <f t="shared" si="61"/>
        <v>0</v>
      </c>
      <c r="BEW1590" s="55">
        <f t="shared" si="61"/>
        <v>0</v>
      </c>
      <c r="BEX1590" s="55">
        <f t="shared" si="61"/>
        <v>0</v>
      </c>
      <c r="BEY1590" s="55">
        <f t="shared" si="61"/>
        <v>0</v>
      </c>
      <c r="BEZ1590" s="55">
        <f t="shared" si="61"/>
        <v>0</v>
      </c>
      <c r="BFA1590" s="55">
        <f t="shared" si="61"/>
        <v>0</v>
      </c>
      <c r="BFB1590" s="55">
        <f t="shared" si="61"/>
        <v>0</v>
      </c>
      <c r="BFC1590" s="55">
        <f t="shared" si="61"/>
        <v>0</v>
      </c>
      <c r="BFD1590" s="55">
        <f t="shared" si="61"/>
        <v>0</v>
      </c>
      <c r="BFE1590" s="55">
        <f t="shared" si="61"/>
        <v>0</v>
      </c>
      <c r="BFF1590" s="55">
        <f t="shared" si="61"/>
        <v>0</v>
      </c>
      <c r="BFG1590" s="55">
        <f t="shared" si="61"/>
        <v>0</v>
      </c>
      <c r="BFH1590" s="55">
        <f t="shared" si="61"/>
        <v>0</v>
      </c>
      <c r="BFI1590" s="55">
        <f t="shared" si="61"/>
        <v>0</v>
      </c>
      <c r="BFJ1590" s="55">
        <f t="shared" si="61"/>
        <v>0</v>
      </c>
      <c r="BFK1590" s="55">
        <f t="shared" si="61"/>
        <v>0</v>
      </c>
      <c r="BFL1590" s="55">
        <f t="shared" si="61"/>
        <v>0</v>
      </c>
      <c r="BFM1590" s="55">
        <f t="shared" si="61"/>
        <v>0</v>
      </c>
      <c r="BFN1590" s="55">
        <f t="shared" si="61"/>
        <v>0</v>
      </c>
      <c r="BFO1590" s="55">
        <f t="shared" si="61"/>
        <v>0</v>
      </c>
      <c r="BFP1590" s="55">
        <f t="shared" si="61"/>
        <v>0</v>
      </c>
      <c r="BFQ1590" s="55">
        <f t="shared" si="61"/>
        <v>0</v>
      </c>
      <c r="BFR1590" s="55">
        <f t="shared" si="61"/>
        <v>0</v>
      </c>
      <c r="BFS1590" s="55">
        <f t="shared" si="61"/>
        <v>0</v>
      </c>
      <c r="BFT1590" s="55">
        <f t="shared" si="61"/>
        <v>0</v>
      </c>
      <c r="BFU1590" s="55">
        <f t="shared" si="61"/>
        <v>0</v>
      </c>
      <c r="BFV1590" s="55">
        <f t="shared" si="61"/>
        <v>0</v>
      </c>
      <c r="BFW1590" s="55">
        <f t="shared" si="61"/>
        <v>0</v>
      </c>
      <c r="BFX1590" s="55">
        <f t="shared" si="61"/>
        <v>0</v>
      </c>
      <c r="BFY1590" s="55">
        <f t="shared" si="61"/>
        <v>0</v>
      </c>
      <c r="BFZ1590" s="55">
        <f t="shared" si="61"/>
        <v>0</v>
      </c>
      <c r="BGA1590" s="55">
        <f t="shared" si="61"/>
        <v>0</v>
      </c>
      <c r="BGB1590" s="55">
        <f t="shared" si="61"/>
        <v>0</v>
      </c>
      <c r="BGC1590" s="55">
        <f t="shared" si="61"/>
        <v>0</v>
      </c>
      <c r="BGD1590" s="55">
        <f t="shared" si="61"/>
        <v>0</v>
      </c>
      <c r="BGE1590" s="55">
        <f t="shared" si="61"/>
        <v>0</v>
      </c>
      <c r="BGF1590" s="55">
        <f t="shared" si="61"/>
        <v>0</v>
      </c>
      <c r="BGG1590" s="55">
        <f t="shared" si="61"/>
        <v>0</v>
      </c>
      <c r="BGH1590" s="55">
        <f t="shared" si="61"/>
        <v>0</v>
      </c>
      <c r="BGI1590" s="55">
        <f t="shared" si="61"/>
        <v>0</v>
      </c>
      <c r="BGJ1590" s="55">
        <f t="shared" si="61"/>
        <v>0</v>
      </c>
      <c r="BGK1590" s="55">
        <f t="shared" si="61"/>
        <v>0</v>
      </c>
      <c r="BGL1590" s="55">
        <f t="shared" si="61"/>
        <v>0</v>
      </c>
      <c r="BGM1590" s="55">
        <f t="shared" si="61"/>
        <v>0</v>
      </c>
      <c r="BGN1590" s="55">
        <f t="shared" ref="BGN1590:BIY1590" si="62">+(BGN1600+BGN1604)*1.18*1.1</f>
        <v>0</v>
      </c>
      <c r="BGO1590" s="55">
        <f t="shared" si="62"/>
        <v>0</v>
      </c>
      <c r="BGP1590" s="55">
        <f t="shared" si="62"/>
        <v>0</v>
      </c>
      <c r="BGQ1590" s="55">
        <f t="shared" si="62"/>
        <v>0</v>
      </c>
      <c r="BGR1590" s="55">
        <f t="shared" si="62"/>
        <v>0</v>
      </c>
      <c r="BGS1590" s="55">
        <f t="shared" si="62"/>
        <v>0</v>
      </c>
      <c r="BGT1590" s="55">
        <f t="shared" si="62"/>
        <v>0</v>
      </c>
      <c r="BGU1590" s="55">
        <f t="shared" si="62"/>
        <v>0</v>
      </c>
      <c r="BGV1590" s="55">
        <f t="shared" si="62"/>
        <v>0</v>
      </c>
      <c r="BGW1590" s="55">
        <f t="shared" si="62"/>
        <v>0</v>
      </c>
      <c r="BGX1590" s="55">
        <f t="shared" si="62"/>
        <v>0</v>
      </c>
      <c r="BGY1590" s="55">
        <f t="shared" si="62"/>
        <v>0</v>
      </c>
      <c r="BGZ1590" s="55">
        <f t="shared" si="62"/>
        <v>0</v>
      </c>
      <c r="BHA1590" s="55">
        <f t="shared" si="62"/>
        <v>0</v>
      </c>
      <c r="BHB1590" s="55">
        <f t="shared" si="62"/>
        <v>0</v>
      </c>
      <c r="BHC1590" s="55">
        <f t="shared" si="62"/>
        <v>0</v>
      </c>
      <c r="BHD1590" s="55">
        <f t="shared" si="62"/>
        <v>0</v>
      </c>
      <c r="BHE1590" s="55">
        <f t="shared" si="62"/>
        <v>0</v>
      </c>
      <c r="BHF1590" s="55">
        <f t="shared" si="62"/>
        <v>0</v>
      </c>
      <c r="BHG1590" s="55">
        <f t="shared" si="62"/>
        <v>0</v>
      </c>
      <c r="BHH1590" s="55">
        <f t="shared" si="62"/>
        <v>0</v>
      </c>
      <c r="BHI1590" s="55">
        <f t="shared" si="62"/>
        <v>0</v>
      </c>
      <c r="BHJ1590" s="55">
        <f t="shared" si="62"/>
        <v>0</v>
      </c>
      <c r="BHK1590" s="55">
        <f t="shared" si="62"/>
        <v>0</v>
      </c>
      <c r="BHL1590" s="55">
        <f t="shared" si="62"/>
        <v>0</v>
      </c>
      <c r="BHM1590" s="55">
        <f t="shared" si="62"/>
        <v>0</v>
      </c>
      <c r="BHN1590" s="55">
        <f t="shared" si="62"/>
        <v>0</v>
      </c>
      <c r="BHO1590" s="55">
        <f t="shared" si="62"/>
        <v>0</v>
      </c>
      <c r="BHP1590" s="55">
        <f t="shared" si="62"/>
        <v>0</v>
      </c>
      <c r="BHQ1590" s="55">
        <f t="shared" si="62"/>
        <v>0</v>
      </c>
      <c r="BHR1590" s="55">
        <f t="shared" si="62"/>
        <v>0</v>
      </c>
      <c r="BHS1590" s="55">
        <f t="shared" si="62"/>
        <v>0</v>
      </c>
      <c r="BHT1590" s="55">
        <f t="shared" si="62"/>
        <v>0</v>
      </c>
      <c r="BHU1590" s="55">
        <f t="shared" si="62"/>
        <v>0</v>
      </c>
      <c r="BHV1590" s="55">
        <f t="shared" si="62"/>
        <v>0</v>
      </c>
      <c r="BHW1590" s="55">
        <f t="shared" si="62"/>
        <v>0</v>
      </c>
      <c r="BHX1590" s="55">
        <f t="shared" si="62"/>
        <v>0</v>
      </c>
      <c r="BHY1590" s="55">
        <f t="shared" si="62"/>
        <v>0</v>
      </c>
      <c r="BHZ1590" s="55">
        <f t="shared" si="62"/>
        <v>0</v>
      </c>
      <c r="BIA1590" s="55">
        <f t="shared" si="62"/>
        <v>0</v>
      </c>
      <c r="BIB1590" s="55">
        <f t="shared" si="62"/>
        <v>0</v>
      </c>
      <c r="BIC1590" s="55">
        <f t="shared" si="62"/>
        <v>0</v>
      </c>
      <c r="BID1590" s="55">
        <f t="shared" si="62"/>
        <v>0</v>
      </c>
      <c r="BIE1590" s="55">
        <f t="shared" si="62"/>
        <v>0</v>
      </c>
      <c r="BIF1590" s="55">
        <f t="shared" si="62"/>
        <v>0</v>
      </c>
      <c r="BIG1590" s="55">
        <f t="shared" si="62"/>
        <v>0</v>
      </c>
      <c r="BIH1590" s="55">
        <f t="shared" si="62"/>
        <v>0</v>
      </c>
      <c r="BII1590" s="55">
        <f t="shared" si="62"/>
        <v>0</v>
      </c>
      <c r="BIJ1590" s="55">
        <f t="shared" si="62"/>
        <v>0</v>
      </c>
      <c r="BIK1590" s="55">
        <f t="shared" si="62"/>
        <v>0</v>
      </c>
      <c r="BIL1590" s="55">
        <f t="shared" si="62"/>
        <v>0</v>
      </c>
      <c r="BIM1590" s="55">
        <f t="shared" si="62"/>
        <v>0</v>
      </c>
      <c r="BIN1590" s="55">
        <f t="shared" si="62"/>
        <v>0</v>
      </c>
      <c r="BIO1590" s="55">
        <f t="shared" si="62"/>
        <v>0</v>
      </c>
      <c r="BIP1590" s="55">
        <f t="shared" si="62"/>
        <v>0</v>
      </c>
      <c r="BIQ1590" s="55">
        <f t="shared" si="62"/>
        <v>0</v>
      </c>
      <c r="BIR1590" s="55">
        <f t="shared" si="62"/>
        <v>0</v>
      </c>
      <c r="BIS1590" s="55">
        <f t="shared" si="62"/>
        <v>0</v>
      </c>
      <c r="BIT1590" s="55">
        <f t="shared" si="62"/>
        <v>0</v>
      </c>
      <c r="BIU1590" s="55">
        <f t="shared" si="62"/>
        <v>0</v>
      </c>
      <c r="BIV1590" s="55">
        <f t="shared" si="62"/>
        <v>0</v>
      </c>
      <c r="BIW1590" s="55">
        <f t="shared" si="62"/>
        <v>0</v>
      </c>
      <c r="BIX1590" s="55">
        <f t="shared" si="62"/>
        <v>0</v>
      </c>
      <c r="BIY1590" s="55">
        <f t="shared" si="62"/>
        <v>0</v>
      </c>
      <c r="BIZ1590" s="55">
        <f t="shared" ref="BIZ1590:BLK1590" si="63">+(BIZ1600+BIZ1604)*1.18*1.1</f>
        <v>0</v>
      </c>
      <c r="BJA1590" s="55">
        <f t="shared" si="63"/>
        <v>0</v>
      </c>
      <c r="BJB1590" s="55">
        <f t="shared" si="63"/>
        <v>0</v>
      </c>
      <c r="BJC1590" s="55">
        <f t="shared" si="63"/>
        <v>0</v>
      </c>
      <c r="BJD1590" s="55">
        <f t="shared" si="63"/>
        <v>0</v>
      </c>
      <c r="BJE1590" s="55">
        <f t="shared" si="63"/>
        <v>0</v>
      </c>
      <c r="BJF1590" s="55">
        <f t="shared" si="63"/>
        <v>0</v>
      </c>
      <c r="BJG1590" s="55">
        <f t="shared" si="63"/>
        <v>0</v>
      </c>
      <c r="BJH1590" s="55">
        <f t="shared" si="63"/>
        <v>0</v>
      </c>
      <c r="BJI1590" s="55">
        <f t="shared" si="63"/>
        <v>0</v>
      </c>
      <c r="BJJ1590" s="55">
        <f t="shared" si="63"/>
        <v>0</v>
      </c>
      <c r="BJK1590" s="55">
        <f t="shared" si="63"/>
        <v>0</v>
      </c>
      <c r="BJL1590" s="55">
        <f t="shared" si="63"/>
        <v>0</v>
      </c>
      <c r="BJM1590" s="55">
        <f t="shared" si="63"/>
        <v>0</v>
      </c>
      <c r="BJN1590" s="55">
        <f t="shared" si="63"/>
        <v>0</v>
      </c>
      <c r="BJO1590" s="55">
        <f t="shared" si="63"/>
        <v>0</v>
      </c>
      <c r="BJP1590" s="55">
        <f t="shared" si="63"/>
        <v>0</v>
      </c>
      <c r="BJQ1590" s="55">
        <f t="shared" si="63"/>
        <v>0</v>
      </c>
      <c r="BJR1590" s="55">
        <f t="shared" si="63"/>
        <v>0</v>
      </c>
      <c r="BJS1590" s="55">
        <f t="shared" si="63"/>
        <v>0</v>
      </c>
      <c r="BJT1590" s="55">
        <f t="shared" si="63"/>
        <v>0</v>
      </c>
      <c r="BJU1590" s="55">
        <f t="shared" si="63"/>
        <v>0</v>
      </c>
      <c r="BJV1590" s="55">
        <f t="shared" si="63"/>
        <v>0</v>
      </c>
      <c r="BJW1590" s="55">
        <f t="shared" si="63"/>
        <v>0</v>
      </c>
      <c r="BJX1590" s="55">
        <f t="shared" si="63"/>
        <v>0</v>
      </c>
      <c r="BJY1590" s="55">
        <f t="shared" si="63"/>
        <v>0</v>
      </c>
      <c r="BJZ1590" s="55">
        <f t="shared" si="63"/>
        <v>0</v>
      </c>
      <c r="BKA1590" s="55">
        <f t="shared" si="63"/>
        <v>0</v>
      </c>
      <c r="BKB1590" s="55">
        <f t="shared" si="63"/>
        <v>0</v>
      </c>
      <c r="BKC1590" s="55">
        <f t="shared" si="63"/>
        <v>0</v>
      </c>
      <c r="BKD1590" s="55">
        <f t="shared" si="63"/>
        <v>0</v>
      </c>
      <c r="BKE1590" s="55">
        <f t="shared" si="63"/>
        <v>0</v>
      </c>
      <c r="BKF1590" s="55">
        <f t="shared" si="63"/>
        <v>0</v>
      </c>
      <c r="BKG1590" s="55">
        <f t="shared" si="63"/>
        <v>0</v>
      </c>
      <c r="BKH1590" s="55">
        <f t="shared" si="63"/>
        <v>0</v>
      </c>
      <c r="BKI1590" s="55">
        <f t="shared" si="63"/>
        <v>0</v>
      </c>
      <c r="BKJ1590" s="55">
        <f t="shared" si="63"/>
        <v>0</v>
      </c>
      <c r="BKK1590" s="55">
        <f t="shared" si="63"/>
        <v>0</v>
      </c>
      <c r="BKL1590" s="55">
        <f t="shared" si="63"/>
        <v>0</v>
      </c>
      <c r="BKM1590" s="55">
        <f t="shared" si="63"/>
        <v>0</v>
      </c>
      <c r="BKN1590" s="55">
        <f t="shared" si="63"/>
        <v>0</v>
      </c>
      <c r="BKO1590" s="55">
        <f t="shared" si="63"/>
        <v>0</v>
      </c>
      <c r="BKP1590" s="55">
        <f t="shared" si="63"/>
        <v>0</v>
      </c>
      <c r="BKQ1590" s="55">
        <f t="shared" si="63"/>
        <v>0</v>
      </c>
      <c r="BKR1590" s="55">
        <f t="shared" si="63"/>
        <v>0</v>
      </c>
      <c r="BKS1590" s="55">
        <f t="shared" si="63"/>
        <v>0</v>
      </c>
      <c r="BKT1590" s="55">
        <f t="shared" si="63"/>
        <v>0</v>
      </c>
      <c r="BKU1590" s="55">
        <f t="shared" si="63"/>
        <v>0</v>
      </c>
      <c r="BKV1590" s="55">
        <f t="shared" si="63"/>
        <v>0</v>
      </c>
      <c r="BKW1590" s="55">
        <f t="shared" si="63"/>
        <v>0</v>
      </c>
      <c r="BKX1590" s="55">
        <f t="shared" si="63"/>
        <v>0</v>
      </c>
      <c r="BKY1590" s="55">
        <f t="shared" si="63"/>
        <v>0</v>
      </c>
      <c r="BKZ1590" s="55">
        <f t="shared" si="63"/>
        <v>0</v>
      </c>
      <c r="BLA1590" s="55">
        <f t="shared" si="63"/>
        <v>0</v>
      </c>
      <c r="BLB1590" s="55">
        <f t="shared" si="63"/>
        <v>0</v>
      </c>
      <c r="BLC1590" s="55">
        <f t="shared" si="63"/>
        <v>0</v>
      </c>
      <c r="BLD1590" s="55">
        <f t="shared" si="63"/>
        <v>0</v>
      </c>
      <c r="BLE1590" s="55">
        <f t="shared" si="63"/>
        <v>0</v>
      </c>
      <c r="BLF1590" s="55">
        <f t="shared" si="63"/>
        <v>0</v>
      </c>
      <c r="BLG1590" s="55">
        <f t="shared" si="63"/>
        <v>0</v>
      </c>
      <c r="BLH1590" s="55">
        <f t="shared" si="63"/>
        <v>0</v>
      </c>
      <c r="BLI1590" s="55">
        <f t="shared" si="63"/>
        <v>0</v>
      </c>
      <c r="BLJ1590" s="55">
        <f t="shared" si="63"/>
        <v>0</v>
      </c>
      <c r="BLK1590" s="55">
        <f t="shared" si="63"/>
        <v>0</v>
      </c>
      <c r="BLL1590" s="55">
        <f t="shared" ref="BLL1590:BNW1590" si="64">+(BLL1600+BLL1604)*1.18*1.1</f>
        <v>0</v>
      </c>
      <c r="BLM1590" s="55">
        <f t="shared" si="64"/>
        <v>0</v>
      </c>
      <c r="BLN1590" s="55">
        <f t="shared" si="64"/>
        <v>0</v>
      </c>
      <c r="BLO1590" s="55">
        <f t="shared" si="64"/>
        <v>0</v>
      </c>
      <c r="BLP1590" s="55">
        <f t="shared" si="64"/>
        <v>0</v>
      </c>
      <c r="BLQ1590" s="55">
        <f t="shared" si="64"/>
        <v>0</v>
      </c>
      <c r="BLR1590" s="55">
        <f t="shared" si="64"/>
        <v>0</v>
      </c>
      <c r="BLS1590" s="55">
        <f t="shared" si="64"/>
        <v>0</v>
      </c>
      <c r="BLT1590" s="55">
        <f t="shared" si="64"/>
        <v>0</v>
      </c>
      <c r="BLU1590" s="55">
        <f t="shared" si="64"/>
        <v>0</v>
      </c>
      <c r="BLV1590" s="55">
        <f t="shared" si="64"/>
        <v>0</v>
      </c>
      <c r="BLW1590" s="55">
        <f t="shared" si="64"/>
        <v>0</v>
      </c>
      <c r="BLX1590" s="55">
        <f t="shared" si="64"/>
        <v>0</v>
      </c>
      <c r="BLY1590" s="55">
        <f t="shared" si="64"/>
        <v>0</v>
      </c>
      <c r="BLZ1590" s="55">
        <f t="shared" si="64"/>
        <v>0</v>
      </c>
      <c r="BMA1590" s="55">
        <f t="shared" si="64"/>
        <v>0</v>
      </c>
      <c r="BMB1590" s="55">
        <f t="shared" si="64"/>
        <v>0</v>
      </c>
      <c r="BMC1590" s="55">
        <f t="shared" si="64"/>
        <v>0</v>
      </c>
      <c r="BMD1590" s="55">
        <f t="shared" si="64"/>
        <v>0</v>
      </c>
      <c r="BME1590" s="55">
        <f t="shared" si="64"/>
        <v>0</v>
      </c>
      <c r="BMF1590" s="55">
        <f t="shared" si="64"/>
        <v>0</v>
      </c>
      <c r="BMG1590" s="55">
        <f t="shared" si="64"/>
        <v>0</v>
      </c>
      <c r="BMH1590" s="55">
        <f t="shared" si="64"/>
        <v>0</v>
      </c>
      <c r="BMI1590" s="55">
        <f t="shared" si="64"/>
        <v>0</v>
      </c>
      <c r="BMJ1590" s="55">
        <f t="shared" si="64"/>
        <v>0</v>
      </c>
      <c r="BMK1590" s="55">
        <f t="shared" si="64"/>
        <v>0</v>
      </c>
      <c r="BML1590" s="55">
        <f t="shared" si="64"/>
        <v>0</v>
      </c>
      <c r="BMM1590" s="55">
        <f t="shared" si="64"/>
        <v>0</v>
      </c>
      <c r="BMN1590" s="55">
        <f t="shared" si="64"/>
        <v>0</v>
      </c>
      <c r="BMO1590" s="55">
        <f t="shared" si="64"/>
        <v>0</v>
      </c>
      <c r="BMP1590" s="55">
        <f t="shared" si="64"/>
        <v>0</v>
      </c>
      <c r="BMQ1590" s="55">
        <f t="shared" si="64"/>
        <v>0</v>
      </c>
      <c r="BMR1590" s="55">
        <f t="shared" si="64"/>
        <v>0</v>
      </c>
      <c r="BMS1590" s="55">
        <f t="shared" si="64"/>
        <v>0</v>
      </c>
      <c r="BMT1590" s="55">
        <f t="shared" si="64"/>
        <v>0</v>
      </c>
      <c r="BMU1590" s="55">
        <f t="shared" si="64"/>
        <v>0</v>
      </c>
      <c r="BMV1590" s="55">
        <f t="shared" si="64"/>
        <v>0</v>
      </c>
      <c r="BMW1590" s="55">
        <f t="shared" si="64"/>
        <v>0</v>
      </c>
      <c r="BMX1590" s="55">
        <f t="shared" si="64"/>
        <v>0</v>
      </c>
      <c r="BMY1590" s="55">
        <f t="shared" si="64"/>
        <v>0</v>
      </c>
      <c r="BMZ1590" s="55">
        <f t="shared" si="64"/>
        <v>0</v>
      </c>
      <c r="BNA1590" s="55">
        <f t="shared" si="64"/>
        <v>0</v>
      </c>
      <c r="BNB1590" s="55">
        <f t="shared" si="64"/>
        <v>0</v>
      </c>
      <c r="BNC1590" s="55">
        <f t="shared" si="64"/>
        <v>0</v>
      </c>
      <c r="BND1590" s="55">
        <f t="shared" si="64"/>
        <v>0</v>
      </c>
      <c r="BNE1590" s="55">
        <f t="shared" si="64"/>
        <v>0</v>
      </c>
      <c r="BNF1590" s="55">
        <f t="shared" si="64"/>
        <v>0</v>
      </c>
      <c r="BNG1590" s="55">
        <f t="shared" si="64"/>
        <v>0</v>
      </c>
      <c r="BNH1590" s="55">
        <f t="shared" si="64"/>
        <v>0</v>
      </c>
      <c r="BNI1590" s="55">
        <f t="shared" si="64"/>
        <v>0</v>
      </c>
      <c r="BNJ1590" s="55">
        <f t="shared" si="64"/>
        <v>0</v>
      </c>
      <c r="BNK1590" s="55">
        <f t="shared" si="64"/>
        <v>0</v>
      </c>
      <c r="BNL1590" s="55">
        <f t="shared" si="64"/>
        <v>0</v>
      </c>
      <c r="BNM1590" s="55">
        <f t="shared" si="64"/>
        <v>0</v>
      </c>
      <c r="BNN1590" s="55">
        <f t="shared" si="64"/>
        <v>0</v>
      </c>
      <c r="BNO1590" s="55">
        <f t="shared" si="64"/>
        <v>0</v>
      </c>
      <c r="BNP1590" s="55">
        <f t="shared" si="64"/>
        <v>0</v>
      </c>
      <c r="BNQ1590" s="55">
        <f t="shared" si="64"/>
        <v>0</v>
      </c>
      <c r="BNR1590" s="55">
        <f t="shared" si="64"/>
        <v>0</v>
      </c>
      <c r="BNS1590" s="55">
        <f t="shared" si="64"/>
        <v>0</v>
      </c>
      <c r="BNT1590" s="55">
        <f t="shared" si="64"/>
        <v>0</v>
      </c>
      <c r="BNU1590" s="55">
        <f t="shared" si="64"/>
        <v>0</v>
      </c>
      <c r="BNV1590" s="55">
        <f t="shared" si="64"/>
        <v>0</v>
      </c>
      <c r="BNW1590" s="55">
        <f t="shared" si="64"/>
        <v>0</v>
      </c>
      <c r="BNX1590" s="55">
        <f t="shared" ref="BNX1590:BQI1590" si="65">+(BNX1600+BNX1604)*1.18*1.1</f>
        <v>0</v>
      </c>
      <c r="BNY1590" s="55">
        <f t="shared" si="65"/>
        <v>0</v>
      </c>
      <c r="BNZ1590" s="55">
        <f t="shared" si="65"/>
        <v>0</v>
      </c>
      <c r="BOA1590" s="55">
        <f t="shared" si="65"/>
        <v>0</v>
      </c>
      <c r="BOB1590" s="55">
        <f t="shared" si="65"/>
        <v>0</v>
      </c>
      <c r="BOC1590" s="55">
        <f t="shared" si="65"/>
        <v>0</v>
      </c>
      <c r="BOD1590" s="55">
        <f t="shared" si="65"/>
        <v>0</v>
      </c>
      <c r="BOE1590" s="55">
        <f t="shared" si="65"/>
        <v>0</v>
      </c>
      <c r="BOF1590" s="55">
        <f t="shared" si="65"/>
        <v>0</v>
      </c>
      <c r="BOG1590" s="55">
        <f t="shared" si="65"/>
        <v>0</v>
      </c>
      <c r="BOH1590" s="55">
        <f t="shared" si="65"/>
        <v>0</v>
      </c>
      <c r="BOI1590" s="55">
        <f t="shared" si="65"/>
        <v>0</v>
      </c>
      <c r="BOJ1590" s="55">
        <f t="shared" si="65"/>
        <v>0</v>
      </c>
      <c r="BOK1590" s="55">
        <f t="shared" si="65"/>
        <v>0</v>
      </c>
      <c r="BOL1590" s="55">
        <f t="shared" si="65"/>
        <v>0</v>
      </c>
      <c r="BOM1590" s="55">
        <f t="shared" si="65"/>
        <v>0</v>
      </c>
      <c r="BON1590" s="55">
        <f t="shared" si="65"/>
        <v>0</v>
      </c>
      <c r="BOO1590" s="55">
        <f t="shared" si="65"/>
        <v>0</v>
      </c>
      <c r="BOP1590" s="55">
        <f t="shared" si="65"/>
        <v>0</v>
      </c>
      <c r="BOQ1590" s="55">
        <f t="shared" si="65"/>
        <v>0</v>
      </c>
      <c r="BOR1590" s="55">
        <f t="shared" si="65"/>
        <v>0</v>
      </c>
      <c r="BOS1590" s="55">
        <f t="shared" si="65"/>
        <v>0</v>
      </c>
      <c r="BOT1590" s="55">
        <f t="shared" si="65"/>
        <v>0</v>
      </c>
      <c r="BOU1590" s="55">
        <f t="shared" si="65"/>
        <v>0</v>
      </c>
      <c r="BOV1590" s="55">
        <f t="shared" si="65"/>
        <v>0</v>
      </c>
      <c r="BOW1590" s="55">
        <f t="shared" si="65"/>
        <v>0</v>
      </c>
      <c r="BOX1590" s="55">
        <f t="shared" si="65"/>
        <v>0</v>
      </c>
      <c r="BOY1590" s="55">
        <f t="shared" si="65"/>
        <v>0</v>
      </c>
      <c r="BOZ1590" s="55">
        <f t="shared" si="65"/>
        <v>0</v>
      </c>
      <c r="BPA1590" s="55">
        <f t="shared" si="65"/>
        <v>0</v>
      </c>
      <c r="BPB1590" s="55">
        <f t="shared" si="65"/>
        <v>0</v>
      </c>
      <c r="BPC1590" s="55">
        <f t="shared" si="65"/>
        <v>0</v>
      </c>
      <c r="BPD1590" s="55">
        <f t="shared" si="65"/>
        <v>0</v>
      </c>
      <c r="BPE1590" s="55">
        <f t="shared" si="65"/>
        <v>0</v>
      </c>
      <c r="BPF1590" s="55">
        <f t="shared" si="65"/>
        <v>0</v>
      </c>
      <c r="BPG1590" s="55">
        <f t="shared" si="65"/>
        <v>0</v>
      </c>
      <c r="BPH1590" s="55">
        <f t="shared" si="65"/>
        <v>0</v>
      </c>
      <c r="BPI1590" s="55">
        <f t="shared" si="65"/>
        <v>0</v>
      </c>
      <c r="BPJ1590" s="55">
        <f t="shared" si="65"/>
        <v>0</v>
      </c>
      <c r="BPK1590" s="55">
        <f t="shared" si="65"/>
        <v>0</v>
      </c>
      <c r="BPL1590" s="55">
        <f t="shared" si="65"/>
        <v>0</v>
      </c>
      <c r="BPM1590" s="55">
        <f t="shared" si="65"/>
        <v>0</v>
      </c>
      <c r="BPN1590" s="55">
        <f t="shared" si="65"/>
        <v>0</v>
      </c>
      <c r="BPO1590" s="55">
        <f t="shared" si="65"/>
        <v>0</v>
      </c>
      <c r="BPP1590" s="55">
        <f t="shared" si="65"/>
        <v>0</v>
      </c>
      <c r="BPQ1590" s="55">
        <f t="shared" si="65"/>
        <v>0</v>
      </c>
      <c r="BPR1590" s="55">
        <f t="shared" si="65"/>
        <v>0</v>
      </c>
      <c r="BPS1590" s="55">
        <f t="shared" si="65"/>
        <v>0</v>
      </c>
      <c r="BPT1590" s="55">
        <f t="shared" si="65"/>
        <v>0</v>
      </c>
      <c r="BPU1590" s="55">
        <f t="shared" si="65"/>
        <v>0</v>
      </c>
      <c r="BPV1590" s="55">
        <f t="shared" si="65"/>
        <v>0</v>
      </c>
      <c r="BPW1590" s="55">
        <f t="shared" si="65"/>
        <v>0</v>
      </c>
      <c r="BPX1590" s="55">
        <f t="shared" si="65"/>
        <v>0</v>
      </c>
      <c r="BPY1590" s="55">
        <f t="shared" si="65"/>
        <v>0</v>
      </c>
      <c r="BPZ1590" s="55">
        <f t="shared" si="65"/>
        <v>0</v>
      </c>
      <c r="BQA1590" s="55">
        <f t="shared" si="65"/>
        <v>0</v>
      </c>
      <c r="BQB1590" s="55">
        <f t="shared" si="65"/>
        <v>0</v>
      </c>
      <c r="BQC1590" s="55">
        <f t="shared" si="65"/>
        <v>0</v>
      </c>
      <c r="BQD1590" s="55">
        <f t="shared" si="65"/>
        <v>0</v>
      </c>
      <c r="BQE1590" s="55">
        <f t="shared" si="65"/>
        <v>0</v>
      </c>
      <c r="BQF1590" s="55">
        <f t="shared" si="65"/>
        <v>0</v>
      </c>
      <c r="BQG1590" s="55">
        <f t="shared" si="65"/>
        <v>0</v>
      </c>
      <c r="BQH1590" s="55">
        <f t="shared" si="65"/>
        <v>0</v>
      </c>
      <c r="BQI1590" s="55">
        <f t="shared" si="65"/>
        <v>0</v>
      </c>
      <c r="BQJ1590" s="55">
        <f t="shared" ref="BQJ1590:BSU1590" si="66">+(BQJ1600+BQJ1604)*1.18*1.1</f>
        <v>0</v>
      </c>
      <c r="BQK1590" s="55">
        <f t="shared" si="66"/>
        <v>0</v>
      </c>
      <c r="BQL1590" s="55">
        <f t="shared" si="66"/>
        <v>0</v>
      </c>
      <c r="BQM1590" s="55">
        <f t="shared" si="66"/>
        <v>0</v>
      </c>
      <c r="BQN1590" s="55">
        <f t="shared" si="66"/>
        <v>0</v>
      </c>
      <c r="BQO1590" s="55">
        <f t="shared" si="66"/>
        <v>0</v>
      </c>
      <c r="BQP1590" s="55">
        <f t="shared" si="66"/>
        <v>0</v>
      </c>
      <c r="BQQ1590" s="55">
        <f t="shared" si="66"/>
        <v>0</v>
      </c>
      <c r="BQR1590" s="55">
        <f t="shared" si="66"/>
        <v>0</v>
      </c>
      <c r="BQS1590" s="55">
        <f t="shared" si="66"/>
        <v>0</v>
      </c>
      <c r="BQT1590" s="55">
        <f t="shared" si="66"/>
        <v>0</v>
      </c>
      <c r="BQU1590" s="55">
        <f t="shared" si="66"/>
        <v>0</v>
      </c>
      <c r="BQV1590" s="55">
        <f t="shared" si="66"/>
        <v>0</v>
      </c>
      <c r="BQW1590" s="55">
        <f t="shared" si="66"/>
        <v>0</v>
      </c>
      <c r="BQX1590" s="55">
        <f t="shared" si="66"/>
        <v>0</v>
      </c>
      <c r="BQY1590" s="55">
        <f t="shared" si="66"/>
        <v>0</v>
      </c>
      <c r="BQZ1590" s="55">
        <f t="shared" si="66"/>
        <v>0</v>
      </c>
      <c r="BRA1590" s="55">
        <f t="shared" si="66"/>
        <v>0</v>
      </c>
      <c r="BRB1590" s="55">
        <f t="shared" si="66"/>
        <v>0</v>
      </c>
      <c r="BRC1590" s="55">
        <f t="shared" si="66"/>
        <v>0</v>
      </c>
      <c r="BRD1590" s="55">
        <f t="shared" si="66"/>
        <v>0</v>
      </c>
      <c r="BRE1590" s="55">
        <f t="shared" si="66"/>
        <v>0</v>
      </c>
      <c r="BRF1590" s="55">
        <f t="shared" si="66"/>
        <v>0</v>
      </c>
      <c r="BRG1590" s="55">
        <f t="shared" si="66"/>
        <v>0</v>
      </c>
      <c r="BRH1590" s="55">
        <f t="shared" si="66"/>
        <v>0</v>
      </c>
      <c r="BRI1590" s="55">
        <f t="shared" si="66"/>
        <v>0</v>
      </c>
      <c r="BRJ1590" s="55">
        <f t="shared" si="66"/>
        <v>0</v>
      </c>
      <c r="BRK1590" s="55">
        <f t="shared" si="66"/>
        <v>0</v>
      </c>
      <c r="BRL1590" s="55">
        <f t="shared" si="66"/>
        <v>0</v>
      </c>
      <c r="BRM1590" s="55">
        <f t="shared" si="66"/>
        <v>0</v>
      </c>
      <c r="BRN1590" s="55">
        <f t="shared" si="66"/>
        <v>0</v>
      </c>
      <c r="BRO1590" s="55">
        <f t="shared" si="66"/>
        <v>0</v>
      </c>
      <c r="BRP1590" s="55">
        <f t="shared" si="66"/>
        <v>0</v>
      </c>
      <c r="BRQ1590" s="55">
        <f t="shared" si="66"/>
        <v>0</v>
      </c>
      <c r="BRR1590" s="55">
        <f t="shared" si="66"/>
        <v>0</v>
      </c>
      <c r="BRS1590" s="55">
        <f t="shared" si="66"/>
        <v>0</v>
      </c>
      <c r="BRT1590" s="55">
        <f t="shared" si="66"/>
        <v>0</v>
      </c>
      <c r="BRU1590" s="55">
        <f t="shared" si="66"/>
        <v>0</v>
      </c>
      <c r="BRV1590" s="55">
        <f t="shared" si="66"/>
        <v>0</v>
      </c>
      <c r="BRW1590" s="55">
        <f t="shared" si="66"/>
        <v>0</v>
      </c>
      <c r="BRX1590" s="55">
        <f t="shared" si="66"/>
        <v>0</v>
      </c>
      <c r="BRY1590" s="55">
        <f t="shared" si="66"/>
        <v>0</v>
      </c>
      <c r="BRZ1590" s="55">
        <f t="shared" si="66"/>
        <v>0</v>
      </c>
      <c r="BSA1590" s="55">
        <f t="shared" si="66"/>
        <v>0</v>
      </c>
      <c r="BSB1590" s="55">
        <f t="shared" si="66"/>
        <v>0</v>
      </c>
      <c r="BSC1590" s="55">
        <f t="shared" si="66"/>
        <v>0</v>
      </c>
      <c r="BSD1590" s="55">
        <f t="shared" si="66"/>
        <v>0</v>
      </c>
      <c r="BSE1590" s="55">
        <f t="shared" si="66"/>
        <v>0</v>
      </c>
      <c r="BSF1590" s="55">
        <f t="shared" si="66"/>
        <v>0</v>
      </c>
      <c r="BSG1590" s="55">
        <f t="shared" si="66"/>
        <v>0</v>
      </c>
      <c r="BSH1590" s="55">
        <f t="shared" si="66"/>
        <v>0</v>
      </c>
      <c r="BSI1590" s="55">
        <f t="shared" si="66"/>
        <v>0</v>
      </c>
      <c r="BSJ1590" s="55">
        <f t="shared" si="66"/>
        <v>0</v>
      </c>
      <c r="BSK1590" s="55">
        <f t="shared" si="66"/>
        <v>0</v>
      </c>
      <c r="BSL1590" s="55">
        <f t="shared" si="66"/>
        <v>0</v>
      </c>
      <c r="BSM1590" s="55">
        <f t="shared" si="66"/>
        <v>0</v>
      </c>
      <c r="BSN1590" s="55">
        <f t="shared" si="66"/>
        <v>0</v>
      </c>
      <c r="BSO1590" s="55">
        <f t="shared" si="66"/>
        <v>0</v>
      </c>
      <c r="BSP1590" s="55">
        <f t="shared" si="66"/>
        <v>0</v>
      </c>
      <c r="BSQ1590" s="55">
        <f t="shared" si="66"/>
        <v>0</v>
      </c>
      <c r="BSR1590" s="55">
        <f t="shared" si="66"/>
        <v>0</v>
      </c>
      <c r="BSS1590" s="55">
        <f t="shared" si="66"/>
        <v>0</v>
      </c>
      <c r="BST1590" s="55">
        <f t="shared" si="66"/>
        <v>0</v>
      </c>
      <c r="BSU1590" s="55">
        <f t="shared" si="66"/>
        <v>0</v>
      </c>
      <c r="BSV1590" s="55">
        <f t="shared" ref="BSV1590:BVG1590" si="67">+(BSV1600+BSV1604)*1.18*1.1</f>
        <v>0</v>
      </c>
      <c r="BSW1590" s="55">
        <f t="shared" si="67"/>
        <v>0</v>
      </c>
      <c r="BSX1590" s="55">
        <f t="shared" si="67"/>
        <v>0</v>
      </c>
      <c r="BSY1590" s="55">
        <f t="shared" si="67"/>
        <v>0</v>
      </c>
      <c r="BSZ1590" s="55">
        <f t="shared" si="67"/>
        <v>0</v>
      </c>
      <c r="BTA1590" s="55">
        <f t="shared" si="67"/>
        <v>0</v>
      </c>
      <c r="BTB1590" s="55">
        <f t="shared" si="67"/>
        <v>0</v>
      </c>
      <c r="BTC1590" s="55">
        <f t="shared" si="67"/>
        <v>0</v>
      </c>
      <c r="BTD1590" s="55">
        <f t="shared" si="67"/>
        <v>0</v>
      </c>
      <c r="BTE1590" s="55">
        <f t="shared" si="67"/>
        <v>0</v>
      </c>
      <c r="BTF1590" s="55">
        <f t="shared" si="67"/>
        <v>0</v>
      </c>
      <c r="BTG1590" s="55">
        <f t="shared" si="67"/>
        <v>0</v>
      </c>
      <c r="BTH1590" s="55">
        <f t="shared" si="67"/>
        <v>0</v>
      </c>
      <c r="BTI1590" s="55">
        <f t="shared" si="67"/>
        <v>0</v>
      </c>
      <c r="BTJ1590" s="55">
        <f t="shared" si="67"/>
        <v>0</v>
      </c>
      <c r="BTK1590" s="55">
        <f t="shared" si="67"/>
        <v>0</v>
      </c>
      <c r="BTL1590" s="55">
        <f t="shared" si="67"/>
        <v>0</v>
      </c>
      <c r="BTM1590" s="55">
        <f t="shared" si="67"/>
        <v>0</v>
      </c>
      <c r="BTN1590" s="55">
        <f t="shared" si="67"/>
        <v>0</v>
      </c>
      <c r="BTO1590" s="55">
        <f t="shared" si="67"/>
        <v>0</v>
      </c>
      <c r="BTP1590" s="55">
        <f t="shared" si="67"/>
        <v>0</v>
      </c>
      <c r="BTQ1590" s="55">
        <f t="shared" si="67"/>
        <v>0</v>
      </c>
      <c r="BTR1590" s="55">
        <f t="shared" si="67"/>
        <v>0</v>
      </c>
      <c r="BTS1590" s="55">
        <f t="shared" si="67"/>
        <v>0</v>
      </c>
      <c r="BTT1590" s="55">
        <f t="shared" si="67"/>
        <v>0</v>
      </c>
      <c r="BTU1590" s="55">
        <f t="shared" si="67"/>
        <v>0</v>
      </c>
      <c r="BTV1590" s="55">
        <f t="shared" si="67"/>
        <v>0</v>
      </c>
      <c r="BTW1590" s="55">
        <f t="shared" si="67"/>
        <v>0</v>
      </c>
      <c r="BTX1590" s="55">
        <f t="shared" si="67"/>
        <v>0</v>
      </c>
      <c r="BTY1590" s="55">
        <f t="shared" si="67"/>
        <v>0</v>
      </c>
      <c r="BTZ1590" s="55">
        <f t="shared" si="67"/>
        <v>0</v>
      </c>
      <c r="BUA1590" s="55">
        <f t="shared" si="67"/>
        <v>0</v>
      </c>
      <c r="BUB1590" s="55">
        <f t="shared" si="67"/>
        <v>0</v>
      </c>
      <c r="BUC1590" s="55">
        <f t="shared" si="67"/>
        <v>0</v>
      </c>
      <c r="BUD1590" s="55">
        <f t="shared" si="67"/>
        <v>0</v>
      </c>
      <c r="BUE1590" s="55">
        <f t="shared" si="67"/>
        <v>0</v>
      </c>
      <c r="BUF1590" s="55">
        <f t="shared" si="67"/>
        <v>0</v>
      </c>
      <c r="BUG1590" s="55">
        <f t="shared" si="67"/>
        <v>0</v>
      </c>
      <c r="BUH1590" s="55">
        <f t="shared" si="67"/>
        <v>0</v>
      </c>
      <c r="BUI1590" s="55">
        <f t="shared" si="67"/>
        <v>0</v>
      </c>
      <c r="BUJ1590" s="55">
        <f t="shared" si="67"/>
        <v>0</v>
      </c>
      <c r="BUK1590" s="55">
        <f t="shared" si="67"/>
        <v>0</v>
      </c>
      <c r="BUL1590" s="55">
        <f t="shared" si="67"/>
        <v>0</v>
      </c>
      <c r="BUM1590" s="55">
        <f t="shared" si="67"/>
        <v>0</v>
      </c>
      <c r="BUN1590" s="55">
        <f t="shared" si="67"/>
        <v>0</v>
      </c>
      <c r="BUO1590" s="55">
        <f t="shared" si="67"/>
        <v>0</v>
      </c>
      <c r="BUP1590" s="55">
        <f t="shared" si="67"/>
        <v>0</v>
      </c>
      <c r="BUQ1590" s="55">
        <f t="shared" si="67"/>
        <v>0</v>
      </c>
      <c r="BUR1590" s="55">
        <f t="shared" si="67"/>
        <v>0</v>
      </c>
      <c r="BUS1590" s="55">
        <f t="shared" si="67"/>
        <v>0</v>
      </c>
      <c r="BUT1590" s="55">
        <f t="shared" si="67"/>
        <v>0</v>
      </c>
      <c r="BUU1590" s="55">
        <f t="shared" si="67"/>
        <v>0</v>
      </c>
      <c r="BUV1590" s="55">
        <f t="shared" si="67"/>
        <v>0</v>
      </c>
      <c r="BUW1590" s="55">
        <f t="shared" si="67"/>
        <v>0</v>
      </c>
      <c r="BUX1590" s="55">
        <f t="shared" si="67"/>
        <v>0</v>
      </c>
      <c r="BUY1590" s="55">
        <f t="shared" si="67"/>
        <v>0</v>
      </c>
      <c r="BUZ1590" s="55">
        <f t="shared" si="67"/>
        <v>0</v>
      </c>
      <c r="BVA1590" s="55">
        <f t="shared" si="67"/>
        <v>0</v>
      </c>
      <c r="BVB1590" s="55">
        <f t="shared" si="67"/>
        <v>0</v>
      </c>
      <c r="BVC1590" s="55">
        <f t="shared" si="67"/>
        <v>0</v>
      </c>
      <c r="BVD1590" s="55">
        <f t="shared" si="67"/>
        <v>0</v>
      </c>
      <c r="BVE1590" s="55">
        <f t="shared" si="67"/>
        <v>0</v>
      </c>
      <c r="BVF1590" s="55">
        <f t="shared" si="67"/>
        <v>0</v>
      </c>
      <c r="BVG1590" s="55">
        <f t="shared" si="67"/>
        <v>0</v>
      </c>
      <c r="BVH1590" s="55">
        <f t="shared" ref="BVH1590:BXS1590" si="68">+(BVH1600+BVH1604)*1.18*1.1</f>
        <v>0</v>
      </c>
      <c r="BVI1590" s="55">
        <f t="shared" si="68"/>
        <v>0</v>
      </c>
      <c r="BVJ1590" s="55">
        <f t="shared" si="68"/>
        <v>0</v>
      </c>
      <c r="BVK1590" s="55">
        <f t="shared" si="68"/>
        <v>0</v>
      </c>
      <c r="BVL1590" s="55">
        <f t="shared" si="68"/>
        <v>0</v>
      </c>
      <c r="BVM1590" s="55">
        <f t="shared" si="68"/>
        <v>0</v>
      </c>
      <c r="BVN1590" s="55">
        <f t="shared" si="68"/>
        <v>0</v>
      </c>
      <c r="BVO1590" s="55">
        <f t="shared" si="68"/>
        <v>0</v>
      </c>
      <c r="BVP1590" s="55">
        <f t="shared" si="68"/>
        <v>0</v>
      </c>
      <c r="BVQ1590" s="55">
        <f t="shared" si="68"/>
        <v>0</v>
      </c>
      <c r="BVR1590" s="55">
        <f t="shared" si="68"/>
        <v>0</v>
      </c>
      <c r="BVS1590" s="55">
        <f t="shared" si="68"/>
        <v>0</v>
      </c>
      <c r="BVT1590" s="55">
        <f t="shared" si="68"/>
        <v>0</v>
      </c>
      <c r="BVU1590" s="55">
        <f t="shared" si="68"/>
        <v>0</v>
      </c>
      <c r="BVV1590" s="55">
        <f t="shared" si="68"/>
        <v>0</v>
      </c>
      <c r="BVW1590" s="55">
        <f t="shared" si="68"/>
        <v>0</v>
      </c>
      <c r="BVX1590" s="55">
        <f t="shared" si="68"/>
        <v>0</v>
      </c>
      <c r="BVY1590" s="55">
        <f t="shared" si="68"/>
        <v>0</v>
      </c>
      <c r="BVZ1590" s="55">
        <f t="shared" si="68"/>
        <v>0</v>
      </c>
      <c r="BWA1590" s="55">
        <f t="shared" si="68"/>
        <v>0</v>
      </c>
      <c r="BWB1590" s="55">
        <f t="shared" si="68"/>
        <v>0</v>
      </c>
      <c r="BWC1590" s="55">
        <f t="shared" si="68"/>
        <v>0</v>
      </c>
      <c r="BWD1590" s="55">
        <f t="shared" si="68"/>
        <v>0</v>
      </c>
      <c r="BWE1590" s="55">
        <f t="shared" si="68"/>
        <v>0</v>
      </c>
      <c r="BWF1590" s="55">
        <f t="shared" si="68"/>
        <v>0</v>
      </c>
      <c r="BWG1590" s="55">
        <f t="shared" si="68"/>
        <v>0</v>
      </c>
      <c r="BWH1590" s="55">
        <f t="shared" si="68"/>
        <v>0</v>
      </c>
      <c r="BWI1590" s="55">
        <f t="shared" si="68"/>
        <v>0</v>
      </c>
      <c r="BWJ1590" s="55">
        <f t="shared" si="68"/>
        <v>0</v>
      </c>
      <c r="BWK1590" s="55">
        <f t="shared" si="68"/>
        <v>0</v>
      </c>
      <c r="BWL1590" s="55">
        <f t="shared" si="68"/>
        <v>0</v>
      </c>
      <c r="BWM1590" s="55">
        <f t="shared" si="68"/>
        <v>0</v>
      </c>
      <c r="BWN1590" s="55">
        <f t="shared" si="68"/>
        <v>0</v>
      </c>
      <c r="BWO1590" s="55">
        <f t="shared" si="68"/>
        <v>0</v>
      </c>
      <c r="BWP1590" s="55">
        <f t="shared" si="68"/>
        <v>0</v>
      </c>
      <c r="BWQ1590" s="55">
        <f t="shared" si="68"/>
        <v>0</v>
      </c>
      <c r="BWR1590" s="55">
        <f t="shared" si="68"/>
        <v>0</v>
      </c>
      <c r="BWS1590" s="55">
        <f t="shared" si="68"/>
        <v>0</v>
      </c>
      <c r="BWT1590" s="55">
        <f t="shared" si="68"/>
        <v>0</v>
      </c>
      <c r="BWU1590" s="55">
        <f t="shared" si="68"/>
        <v>0</v>
      </c>
      <c r="BWV1590" s="55">
        <f t="shared" si="68"/>
        <v>0</v>
      </c>
      <c r="BWW1590" s="55">
        <f t="shared" si="68"/>
        <v>0</v>
      </c>
      <c r="BWX1590" s="55">
        <f t="shared" si="68"/>
        <v>0</v>
      </c>
      <c r="BWY1590" s="55">
        <f t="shared" si="68"/>
        <v>0</v>
      </c>
      <c r="BWZ1590" s="55">
        <f t="shared" si="68"/>
        <v>0</v>
      </c>
      <c r="BXA1590" s="55">
        <f t="shared" si="68"/>
        <v>0</v>
      </c>
      <c r="BXB1590" s="55">
        <f t="shared" si="68"/>
        <v>0</v>
      </c>
      <c r="BXC1590" s="55">
        <f t="shared" si="68"/>
        <v>0</v>
      </c>
      <c r="BXD1590" s="55">
        <f t="shared" si="68"/>
        <v>0</v>
      </c>
      <c r="BXE1590" s="55">
        <f t="shared" si="68"/>
        <v>0</v>
      </c>
      <c r="BXF1590" s="55">
        <f t="shared" si="68"/>
        <v>0</v>
      </c>
      <c r="BXG1590" s="55">
        <f t="shared" si="68"/>
        <v>0</v>
      </c>
      <c r="BXH1590" s="55">
        <f t="shared" si="68"/>
        <v>0</v>
      </c>
      <c r="BXI1590" s="55">
        <f t="shared" si="68"/>
        <v>0</v>
      </c>
      <c r="BXJ1590" s="55">
        <f t="shared" si="68"/>
        <v>0</v>
      </c>
      <c r="BXK1590" s="55">
        <f t="shared" si="68"/>
        <v>0</v>
      </c>
      <c r="BXL1590" s="55">
        <f t="shared" si="68"/>
        <v>0</v>
      </c>
      <c r="BXM1590" s="55">
        <f t="shared" si="68"/>
        <v>0</v>
      </c>
      <c r="BXN1590" s="55">
        <f t="shared" si="68"/>
        <v>0</v>
      </c>
      <c r="BXO1590" s="55">
        <f t="shared" si="68"/>
        <v>0</v>
      </c>
      <c r="BXP1590" s="55">
        <f t="shared" si="68"/>
        <v>0</v>
      </c>
      <c r="BXQ1590" s="55">
        <f t="shared" si="68"/>
        <v>0</v>
      </c>
      <c r="BXR1590" s="55">
        <f t="shared" si="68"/>
        <v>0</v>
      </c>
      <c r="BXS1590" s="55">
        <f t="shared" si="68"/>
        <v>0</v>
      </c>
      <c r="BXT1590" s="55">
        <f t="shared" ref="BXT1590:CAE1590" si="69">+(BXT1600+BXT1604)*1.18*1.1</f>
        <v>0</v>
      </c>
      <c r="BXU1590" s="55">
        <f t="shared" si="69"/>
        <v>0</v>
      </c>
      <c r="BXV1590" s="55">
        <f t="shared" si="69"/>
        <v>0</v>
      </c>
      <c r="BXW1590" s="55">
        <f t="shared" si="69"/>
        <v>0</v>
      </c>
      <c r="BXX1590" s="55">
        <f t="shared" si="69"/>
        <v>0</v>
      </c>
      <c r="BXY1590" s="55">
        <f t="shared" si="69"/>
        <v>0</v>
      </c>
      <c r="BXZ1590" s="55">
        <f t="shared" si="69"/>
        <v>0</v>
      </c>
      <c r="BYA1590" s="55">
        <f t="shared" si="69"/>
        <v>0</v>
      </c>
      <c r="BYB1590" s="55">
        <f t="shared" si="69"/>
        <v>0</v>
      </c>
      <c r="BYC1590" s="55">
        <f t="shared" si="69"/>
        <v>0</v>
      </c>
      <c r="BYD1590" s="55">
        <f t="shared" si="69"/>
        <v>0</v>
      </c>
      <c r="BYE1590" s="55">
        <f t="shared" si="69"/>
        <v>0</v>
      </c>
      <c r="BYF1590" s="55">
        <f t="shared" si="69"/>
        <v>0</v>
      </c>
      <c r="BYG1590" s="55">
        <f t="shared" si="69"/>
        <v>0</v>
      </c>
      <c r="BYH1590" s="55">
        <f t="shared" si="69"/>
        <v>0</v>
      </c>
      <c r="BYI1590" s="55">
        <f t="shared" si="69"/>
        <v>0</v>
      </c>
      <c r="BYJ1590" s="55">
        <f t="shared" si="69"/>
        <v>0</v>
      </c>
      <c r="BYK1590" s="55">
        <f t="shared" si="69"/>
        <v>0</v>
      </c>
      <c r="BYL1590" s="55">
        <f t="shared" si="69"/>
        <v>0</v>
      </c>
      <c r="BYM1590" s="55">
        <f t="shared" si="69"/>
        <v>0</v>
      </c>
      <c r="BYN1590" s="55">
        <f t="shared" si="69"/>
        <v>0</v>
      </c>
      <c r="BYO1590" s="55">
        <f t="shared" si="69"/>
        <v>0</v>
      </c>
      <c r="BYP1590" s="55">
        <f t="shared" si="69"/>
        <v>0</v>
      </c>
      <c r="BYQ1590" s="55">
        <f t="shared" si="69"/>
        <v>0</v>
      </c>
      <c r="BYR1590" s="55">
        <f t="shared" si="69"/>
        <v>0</v>
      </c>
      <c r="BYS1590" s="55">
        <f t="shared" si="69"/>
        <v>0</v>
      </c>
      <c r="BYT1590" s="55">
        <f t="shared" si="69"/>
        <v>0</v>
      </c>
      <c r="BYU1590" s="55">
        <f t="shared" si="69"/>
        <v>0</v>
      </c>
      <c r="BYV1590" s="55">
        <f t="shared" si="69"/>
        <v>0</v>
      </c>
      <c r="BYW1590" s="55">
        <f t="shared" si="69"/>
        <v>0</v>
      </c>
      <c r="BYX1590" s="55">
        <f t="shared" si="69"/>
        <v>0</v>
      </c>
      <c r="BYY1590" s="55">
        <f t="shared" si="69"/>
        <v>0</v>
      </c>
      <c r="BYZ1590" s="55">
        <f t="shared" si="69"/>
        <v>0</v>
      </c>
      <c r="BZA1590" s="55">
        <f t="shared" si="69"/>
        <v>0</v>
      </c>
      <c r="BZB1590" s="55">
        <f t="shared" si="69"/>
        <v>0</v>
      </c>
      <c r="BZC1590" s="55">
        <f t="shared" si="69"/>
        <v>0</v>
      </c>
      <c r="BZD1590" s="55">
        <f t="shared" si="69"/>
        <v>0</v>
      </c>
      <c r="BZE1590" s="55">
        <f t="shared" si="69"/>
        <v>0</v>
      </c>
      <c r="BZF1590" s="55">
        <f t="shared" si="69"/>
        <v>0</v>
      </c>
      <c r="BZG1590" s="55">
        <f t="shared" si="69"/>
        <v>0</v>
      </c>
      <c r="BZH1590" s="55">
        <f t="shared" si="69"/>
        <v>0</v>
      </c>
      <c r="BZI1590" s="55">
        <f t="shared" si="69"/>
        <v>0</v>
      </c>
      <c r="BZJ1590" s="55">
        <f t="shared" si="69"/>
        <v>0</v>
      </c>
      <c r="BZK1590" s="55">
        <f t="shared" si="69"/>
        <v>0</v>
      </c>
      <c r="BZL1590" s="55">
        <f t="shared" si="69"/>
        <v>0</v>
      </c>
      <c r="BZM1590" s="55">
        <f t="shared" si="69"/>
        <v>0</v>
      </c>
      <c r="BZN1590" s="55">
        <f t="shared" si="69"/>
        <v>0</v>
      </c>
      <c r="BZO1590" s="55">
        <f t="shared" si="69"/>
        <v>0</v>
      </c>
      <c r="BZP1590" s="55">
        <f t="shared" si="69"/>
        <v>0</v>
      </c>
      <c r="BZQ1590" s="55">
        <f t="shared" si="69"/>
        <v>0</v>
      </c>
      <c r="BZR1590" s="55">
        <f t="shared" si="69"/>
        <v>0</v>
      </c>
      <c r="BZS1590" s="55">
        <f t="shared" si="69"/>
        <v>0</v>
      </c>
      <c r="BZT1590" s="55">
        <f t="shared" si="69"/>
        <v>0</v>
      </c>
      <c r="BZU1590" s="55">
        <f t="shared" si="69"/>
        <v>0</v>
      </c>
      <c r="BZV1590" s="55">
        <f t="shared" si="69"/>
        <v>0</v>
      </c>
      <c r="BZW1590" s="55">
        <f t="shared" si="69"/>
        <v>0</v>
      </c>
      <c r="BZX1590" s="55">
        <f t="shared" si="69"/>
        <v>0</v>
      </c>
      <c r="BZY1590" s="55">
        <f t="shared" si="69"/>
        <v>0</v>
      </c>
      <c r="BZZ1590" s="55">
        <f t="shared" si="69"/>
        <v>0</v>
      </c>
      <c r="CAA1590" s="55">
        <f t="shared" si="69"/>
        <v>0</v>
      </c>
      <c r="CAB1590" s="55">
        <f t="shared" si="69"/>
        <v>0</v>
      </c>
      <c r="CAC1590" s="55">
        <f t="shared" si="69"/>
        <v>0</v>
      </c>
      <c r="CAD1590" s="55">
        <f t="shared" si="69"/>
        <v>0</v>
      </c>
      <c r="CAE1590" s="55">
        <f t="shared" si="69"/>
        <v>0</v>
      </c>
      <c r="CAF1590" s="55">
        <f t="shared" ref="CAF1590:CCQ1590" si="70">+(CAF1600+CAF1604)*1.18*1.1</f>
        <v>0</v>
      </c>
      <c r="CAG1590" s="55">
        <f t="shared" si="70"/>
        <v>0</v>
      </c>
      <c r="CAH1590" s="55">
        <f t="shared" si="70"/>
        <v>0</v>
      </c>
      <c r="CAI1590" s="55">
        <f t="shared" si="70"/>
        <v>0</v>
      </c>
      <c r="CAJ1590" s="55">
        <f t="shared" si="70"/>
        <v>0</v>
      </c>
      <c r="CAK1590" s="55">
        <f t="shared" si="70"/>
        <v>0</v>
      </c>
      <c r="CAL1590" s="55">
        <f t="shared" si="70"/>
        <v>0</v>
      </c>
      <c r="CAM1590" s="55">
        <f t="shared" si="70"/>
        <v>0</v>
      </c>
      <c r="CAN1590" s="55">
        <f t="shared" si="70"/>
        <v>0</v>
      </c>
      <c r="CAO1590" s="55">
        <f t="shared" si="70"/>
        <v>0</v>
      </c>
      <c r="CAP1590" s="55">
        <f t="shared" si="70"/>
        <v>0</v>
      </c>
      <c r="CAQ1590" s="55">
        <f t="shared" si="70"/>
        <v>0</v>
      </c>
      <c r="CAR1590" s="55">
        <f t="shared" si="70"/>
        <v>0</v>
      </c>
      <c r="CAS1590" s="55">
        <f t="shared" si="70"/>
        <v>0</v>
      </c>
      <c r="CAT1590" s="55">
        <f t="shared" si="70"/>
        <v>0</v>
      </c>
      <c r="CAU1590" s="55">
        <f t="shared" si="70"/>
        <v>0</v>
      </c>
      <c r="CAV1590" s="55">
        <f t="shared" si="70"/>
        <v>0</v>
      </c>
      <c r="CAW1590" s="55">
        <f t="shared" si="70"/>
        <v>0</v>
      </c>
      <c r="CAX1590" s="55">
        <f t="shared" si="70"/>
        <v>0</v>
      </c>
      <c r="CAY1590" s="55">
        <f t="shared" si="70"/>
        <v>0</v>
      </c>
      <c r="CAZ1590" s="55">
        <f t="shared" si="70"/>
        <v>0</v>
      </c>
      <c r="CBA1590" s="55">
        <f t="shared" si="70"/>
        <v>0</v>
      </c>
      <c r="CBB1590" s="55">
        <f t="shared" si="70"/>
        <v>0</v>
      </c>
      <c r="CBC1590" s="55">
        <f t="shared" si="70"/>
        <v>0</v>
      </c>
      <c r="CBD1590" s="55">
        <f t="shared" si="70"/>
        <v>0</v>
      </c>
      <c r="CBE1590" s="55">
        <f t="shared" si="70"/>
        <v>0</v>
      </c>
      <c r="CBF1590" s="55">
        <f t="shared" si="70"/>
        <v>0</v>
      </c>
      <c r="CBG1590" s="55">
        <f t="shared" si="70"/>
        <v>0</v>
      </c>
      <c r="CBH1590" s="55">
        <f t="shared" si="70"/>
        <v>0</v>
      </c>
      <c r="CBI1590" s="55">
        <f t="shared" si="70"/>
        <v>0</v>
      </c>
      <c r="CBJ1590" s="55">
        <f t="shared" si="70"/>
        <v>0</v>
      </c>
      <c r="CBK1590" s="55">
        <f t="shared" si="70"/>
        <v>0</v>
      </c>
      <c r="CBL1590" s="55">
        <f t="shared" si="70"/>
        <v>0</v>
      </c>
      <c r="CBM1590" s="55">
        <f t="shared" si="70"/>
        <v>0</v>
      </c>
      <c r="CBN1590" s="55">
        <f t="shared" si="70"/>
        <v>0</v>
      </c>
      <c r="CBO1590" s="55">
        <f t="shared" si="70"/>
        <v>0</v>
      </c>
      <c r="CBP1590" s="55">
        <f t="shared" si="70"/>
        <v>0</v>
      </c>
      <c r="CBQ1590" s="55">
        <f t="shared" si="70"/>
        <v>0</v>
      </c>
      <c r="CBR1590" s="55">
        <f t="shared" si="70"/>
        <v>0</v>
      </c>
      <c r="CBS1590" s="55">
        <f t="shared" si="70"/>
        <v>0</v>
      </c>
      <c r="CBT1590" s="55">
        <f t="shared" si="70"/>
        <v>0</v>
      </c>
      <c r="CBU1590" s="55">
        <f t="shared" si="70"/>
        <v>0</v>
      </c>
      <c r="CBV1590" s="55">
        <f t="shared" si="70"/>
        <v>0</v>
      </c>
      <c r="CBW1590" s="55">
        <f t="shared" si="70"/>
        <v>0</v>
      </c>
      <c r="CBX1590" s="55">
        <f t="shared" si="70"/>
        <v>0</v>
      </c>
      <c r="CBY1590" s="55">
        <f t="shared" si="70"/>
        <v>0</v>
      </c>
      <c r="CBZ1590" s="55">
        <f t="shared" si="70"/>
        <v>0</v>
      </c>
      <c r="CCA1590" s="55">
        <f t="shared" si="70"/>
        <v>0</v>
      </c>
      <c r="CCB1590" s="55">
        <f t="shared" si="70"/>
        <v>0</v>
      </c>
      <c r="CCC1590" s="55">
        <f t="shared" si="70"/>
        <v>0</v>
      </c>
      <c r="CCD1590" s="55">
        <f t="shared" si="70"/>
        <v>0</v>
      </c>
      <c r="CCE1590" s="55">
        <f t="shared" si="70"/>
        <v>0</v>
      </c>
      <c r="CCF1590" s="55">
        <f t="shared" si="70"/>
        <v>0</v>
      </c>
      <c r="CCG1590" s="55">
        <f t="shared" si="70"/>
        <v>0</v>
      </c>
      <c r="CCH1590" s="55">
        <f t="shared" si="70"/>
        <v>0</v>
      </c>
      <c r="CCI1590" s="55">
        <f t="shared" si="70"/>
        <v>0</v>
      </c>
      <c r="CCJ1590" s="55">
        <f t="shared" si="70"/>
        <v>0</v>
      </c>
      <c r="CCK1590" s="55">
        <f t="shared" si="70"/>
        <v>0</v>
      </c>
      <c r="CCL1590" s="55">
        <f t="shared" si="70"/>
        <v>0</v>
      </c>
      <c r="CCM1590" s="55">
        <f t="shared" si="70"/>
        <v>0</v>
      </c>
      <c r="CCN1590" s="55">
        <f t="shared" si="70"/>
        <v>0</v>
      </c>
      <c r="CCO1590" s="55">
        <f t="shared" si="70"/>
        <v>0</v>
      </c>
      <c r="CCP1590" s="55">
        <f t="shared" si="70"/>
        <v>0</v>
      </c>
      <c r="CCQ1590" s="55">
        <f t="shared" si="70"/>
        <v>0</v>
      </c>
      <c r="CCR1590" s="55">
        <f t="shared" ref="CCR1590:CFC1590" si="71">+(CCR1600+CCR1604)*1.18*1.1</f>
        <v>0</v>
      </c>
      <c r="CCS1590" s="55">
        <f t="shared" si="71"/>
        <v>0</v>
      </c>
      <c r="CCT1590" s="55">
        <f t="shared" si="71"/>
        <v>0</v>
      </c>
      <c r="CCU1590" s="55">
        <f t="shared" si="71"/>
        <v>0</v>
      </c>
      <c r="CCV1590" s="55">
        <f t="shared" si="71"/>
        <v>0</v>
      </c>
      <c r="CCW1590" s="55">
        <f t="shared" si="71"/>
        <v>0</v>
      </c>
      <c r="CCX1590" s="55">
        <f t="shared" si="71"/>
        <v>0</v>
      </c>
      <c r="CCY1590" s="55">
        <f t="shared" si="71"/>
        <v>0</v>
      </c>
      <c r="CCZ1590" s="55">
        <f t="shared" si="71"/>
        <v>0</v>
      </c>
      <c r="CDA1590" s="55">
        <f t="shared" si="71"/>
        <v>0</v>
      </c>
      <c r="CDB1590" s="55">
        <f t="shared" si="71"/>
        <v>0</v>
      </c>
      <c r="CDC1590" s="55">
        <f t="shared" si="71"/>
        <v>0</v>
      </c>
      <c r="CDD1590" s="55">
        <f t="shared" si="71"/>
        <v>0</v>
      </c>
      <c r="CDE1590" s="55">
        <f t="shared" si="71"/>
        <v>0</v>
      </c>
      <c r="CDF1590" s="55">
        <f t="shared" si="71"/>
        <v>0</v>
      </c>
      <c r="CDG1590" s="55">
        <f t="shared" si="71"/>
        <v>0</v>
      </c>
      <c r="CDH1590" s="55">
        <f t="shared" si="71"/>
        <v>0</v>
      </c>
      <c r="CDI1590" s="55">
        <f t="shared" si="71"/>
        <v>0</v>
      </c>
      <c r="CDJ1590" s="55">
        <f t="shared" si="71"/>
        <v>0</v>
      </c>
      <c r="CDK1590" s="55">
        <f t="shared" si="71"/>
        <v>0</v>
      </c>
      <c r="CDL1590" s="55">
        <f t="shared" si="71"/>
        <v>0</v>
      </c>
      <c r="CDM1590" s="55">
        <f t="shared" si="71"/>
        <v>0</v>
      </c>
      <c r="CDN1590" s="55">
        <f t="shared" si="71"/>
        <v>0</v>
      </c>
      <c r="CDO1590" s="55">
        <f t="shared" si="71"/>
        <v>0</v>
      </c>
      <c r="CDP1590" s="55">
        <f t="shared" si="71"/>
        <v>0</v>
      </c>
      <c r="CDQ1590" s="55">
        <f t="shared" si="71"/>
        <v>0</v>
      </c>
      <c r="CDR1590" s="55">
        <f t="shared" si="71"/>
        <v>0</v>
      </c>
      <c r="CDS1590" s="55">
        <f t="shared" si="71"/>
        <v>0</v>
      </c>
      <c r="CDT1590" s="55">
        <f t="shared" si="71"/>
        <v>0</v>
      </c>
      <c r="CDU1590" s="55">
        <f t="shared" si="71"/>
        <v>0</v>
      </c>
      <c r="CDV1590" s="55">
        <f t="shared" si="71"/>
        <v>0</v>
      </c>
      <c r="CDW1590" s="55">
        <f t="shared" si="71"/>
        <v>0</v>
      </c>
      <c r="CDX1590" s="55">
        <f t="shared" si="71"/>
        <v>0</v>
      </c>
      <c r="CDY1590" s="55">
        <f t="shared" si="71"/>
        <v>0</v>
      </c>
      <c r="CDZ1590" s="55">
        <f t="shared" si="71"/>
        <v>0</v>
      </c>
      <c r="CEA1590" s="55">
        <f t="shared" si="71"/>
        <v>0</v>
      </c>
      <c r="CEB1590" s="55">
        <f t="shared" si="71"/>
        <v>0</v>
      </c>
      <c r="CEC1590" s="55">
        <f t="shared" si="71"/>
        <v>0</v>
      </c>
      <c r="CED1590" s="55">
        <f t="shared" si="71"/>
        <v>0</v>
      </c>
      <c r="CEE1590" s="55">
        <f t="shared" si="71"/>
        <v>0</v>
      </c>
      <c r="CEF1590" s="55">
        <f t="shared" si="71"/>
        <v>0</v>
      </c>
      <c r="CEG1590" s="55">
        <f t="shared" si="71"/>
        <v>0</v>
      </c>
      <c r="CEH1590" s="55">
        <f t="shared" si="71"/>
        <v>0</v>
      </c>
      <c r="CEI1590" s="55">
        <f t="shared" si="71"/>
        <v>0</v>
      </c>
      <c r="CEJ1590" s="55">
        <f t="shared" si="71"/>
        <v>0</v>
      </c>
      <c r="CEK1590" s="55">
        <f t="shared" si="71"/>
        <v>0</v>
      </c>
      <c r="CEL1590" s="55">
        <f t="shared" si="71"/>
        <v>0</v>
      </c>
      <c r="CEM1590" s="55">
        <f t="shared" si="71"/>
        <v>0</v>
      </c>
      <c r="CEN1590" s="55">
        <f t="shared" si="71"/>
        <v>0</v>
      </c>
      <c r="CEO1590" s="55">
        <f t="shared" si="71"/>
        <v>0</v>
      </c>
      <c r="CEP1590" s="55">
        <f t="shared" si="71"/>
        <v>0</v>
      </c>
      <c r="CEQ1590" s="55">
        <f t="shared" si="71"/>
        <v>0</v>
      </c>
      <c r="CER1590" s="55">
        <f t="shared" si="71"/>
        <v>0</v>
      </c>
      <c r="CES1590" s="55">
        <f t="shared" si="71"/>
        <v>0</v>
      </c>
      <c r="CET1590" s="55">
        <f t="shared" si="71"/>
        <v>0</v>
      </c>
      <c r="CEU1590" s="55">
        <f t="shared" si="71"/>
        <v>0</v>
      </c>
      <c r="CEV1590" s="55">
        <f t="shared" si="71"/>
        <v>0</v>
      </c>
      <c r="CEW1590" s="55">
        <f t="shared" si="71"/>
        <v>0</v>
      </c>
      <c r="CEX1590" s="55">
        <f t="shared" si="71"/>
        <v>0</v>
      </c>
      <c r="CEY1590" s="55">
        <f t="shared" si="71"/>
        <v>0</v>
      </c>
      <c r="CEZ1590" s="55">
        <f t="shared" si="71"/>
        <v>0</v>
      </c>
      <c r="CFA1590" s="55">
        <f t="shared" si="71"/>
        <v>0</v>
      </c>
      <c r="CFB1590" s="55">
        <f t="shared" si="71"/>
        <v>0</v>
      </c>
      <c r="CFC1590" s="55">
        <f t="shared" si="71"/>
        <v>0</v>
      </c>
      <c r="CFD1590" s="55">
        <f t="shared" ref="CFD1590:CHO1590" si="72">+(CFD1600+CFD1604)*1.18*1.1</f>
        <v>0</v>
      </c>
      <c r="CFE1590" s="55">
        <f t="shared" si="72"/>
        <v>0</v>
      </c>
      <c r="CFF1590" s="55">
        <f t="shared" si="72"/>
        <v>0</v>
      </c>
      <c r="CFG1590" s="55">
        <f t="shared" si="72"/>
        <v>0</v>
      </c>
      <c r="CFH1590" s="55">
        <f t="shared" si="72"/>
        <v>0</v>
      </c>
      <c r="CFI1590" s="55">
        <f t="shared" si="72"/>
        <v>0</v>
      </c>
      <c r="CFJ1590" s="55">
        <f t="shared" si="72"/>
        <v>0</v>
      </c>
      <c r="CFK1590" s="55">
        <f t="shared" si="72"/>
        <v>0</v>
      </c>
      <c r="CFL1590" s="55">
        <f t="shared" si="72"/>
        <v>0</v>
      </c>
      <c r="CFM1590" s="55">
        <f t="shared" si="72"/>
        <v>0</v>
      </c>
      <c r="CFN1590" s="55">
        <f t="shared" si="72"/>
        <v>0</v>
      </c>
      <c r="CFO1590" s="55">
        <f t="shared" si="72"/>
        <v>0</v>
      </c>
      <c r="CFP1590" s="55">
        <f t="shared" si="72"/>
        <v>0</v>
      </c>
      <c r="CFQ1590" s="55">
        <f t="shared" si="72"/>
        <v>0</v>
      </c>
      <c r="CFR1590" s="55">
        <f t="shared" si="72"/>
        <v>0</v>
      </c>
      <c r="CFS1590" s="55">
        <f t="shared" si="72"/>
        <v>0</v>
      </c>
      <c r="CFT1590" s="55">
        <f t="shared" si="72"/>
        <v>0</v>
      </c>
      <c r="CFU1590" s="55">
        <f t="shared" si="72"/>
        <v>0</v>
      </c>
      <c r="CFV1590" s="55">
        <f t="shared" si="72"/>
        <v>0</v>
      </c>
      <c r="CFW1590" s="55">
        <f t="shared" si="72"/>
        <v>0</v>
      </c>
      <c r="CFX1590" s="55">
        <f t="shared" si="72"/>
        <v>0</v>
      </c>
      <c r="CFY1590" s="55">
        <f t="shared" si="72"/>
        <v>0</v>
      </c>
      <c r="CFZ1590" s="55">
        <f t="shared" si="72"/>
        <v>0</v>
      </c>
      <c r="CGA1590" s="55">
        <f t="shared" si="72"/>
        <v>0</v>
      </c>
      <c r="CGB1590" s="55">
        <f t="shared" si="72"/>
        <v>0</v>
      </c>
      <c r="CGC1590" s="55">
        <f t="shared" si="72"/>
        <v>0</v>
      </c>
      <c r="CGD1590" s="55">
        <f t="shared" si="72"/>
        <v>0</v>
      </c>
      <c r="CGE1590" s="55">
        <f t="shared" si="72"/>
        <v>0</v>
      </c>
      <c r="CGF1590" s="55">
        <f t="shared" si="72"/>
        <v>0</v>
      </c>
      <c r="CGG1590" s="55">
        <f t="shared" si="72"/>
        <v>0</v>
      </c>
      <c r="CGH1590" s="55">
        <f t="shared" si="72"/>
        <v>0</v>
      </c>
      <c r="CGI1590" s="55">
        <f t="shared" si="72"/>
        <v>0</v>
      </c>
      <c r="CGJ1590" s="55">
        <f t="shared" si="72"/>
        <v>0</v>
      </c>
      <c r="CGK1590" s="55">
        <f t="shared" si="72"/>
        <v>0</v>
      </c>
      <c r="CGL1590" s="55">
        <f t="shared" si="72"/>
        <v>0</v>
      </c>
      <c r="CGM1590" s="55">
        <f t="shared" si="72"/>
        <v>0</v>
      </c>
      <c r="CGN1590" s="55">
        <f t="shared" si="72"/>
        <v>0</v>
      </c>
      <c r="CGO1590" s="55">
        <f t="shared" si="72"/>
        <v>0</v>
      </c>
      <c r="CGP1590" s="55">
        <f t="shared" si="72"/>
        <v>0</v>
      </c>
      <c r="CGQ1590" s="55">
        <f t="shared" si="72"/>
        <v>0</v>
      </c>
      <c r="CGR1590" s="55">
        <f t="shared" si="72"/>
        <v>0</v>
      </c>
      <c r="CGS1590" s="55">
        <f t="shared" si="72"/>
        <v>0</v>
      </c>
      <c r="CGT1590" s="55">
        <f t="shared" si="72"/>
        <v>0</v>
      </c>
      <c r="CGU1590" s="55">
        <f t="shared" si="72"/>
        <v>0</v>
      </c>
      <c r="CGV1590" s="55">
        <f t="shared" si="72"/>
        <v>0</v>
      </c>
      <c r="CGW1590" s="55">
        <f t="shared" si="72"/>
        <v>0</v>
      </c>
      <c r="CGX1590" s="55">
        <f t="shared" si="72"/>
        <v>0</v>
      </c>
      <c r="CGY1590" s="55">
        <f t="shared" si="72"/>
        <v>0</v>
      </c>
      <c r="CGZ1590" s="55">
        <f t="shared" si="72"/>
        <v>0</v>
      </c>
      <c r="CHA1590" s="55">
        <f t="shared" si="72"/>
        <v>0</v>
      </c>
      <c r="CHB1590" s="55">
        <f t="shared" si="72"/>
        <v>0</v>
      </c>
      <c r="CHC1590" s="55">
        <f t="shared" si="72"/>
        <v>0</v>
      </c>
      <c r="CHD1590" s="55">
        <f t="shared" si="72"/>
        <v>0</v>
      </c>
      <c r="CHE1590" s="55">
        <f t="shared" si="72"/>
        <v>0</v>
      </c>
      <c r="CHF1590" s="55">
        <f t="shared" si="72"/>
        <v>0</v>
      </c>
      <c r="CHG1590" s="55">
        <f t="shared" si="72"/>
        <v>0</v>
      </c>
      <c r="CHH1590" s="55">
        <f t="shared" si="72"/>
        <v>0</v>
      </c>
      <c r="CHI1590" s="55">
        <f t="shared" si="72"/>
        <v>0</v>
      </c>
      <c r="CHJ1590" s="55">
        <f t="shared" si="72"/>
        <v>0</v>
      </c>
      <c r="CHK1590" s="55">
        <f t="shared" si="72"/>
        <v>0</v>
      </c>
      <c r="CHL1590" s="55">
        <f t="shared" si="72"/>
        <v>0</v>
      </c>
      <c r="CHM1590" s="55">
        <f t="shared" si="72"/>
        <v>0</v>
      </c>
      <c r="CHN1590" s="55">
        <f t="shared" si="72"/>
        <v>0</v>
      </c>
      <c r="CHO1590" s="55">
        <f t="shared" si="72"/>
        <v>0</v>
      </c>
      <c r="CHP1590" s="55">
        <f t="shared" ref="CHP1590:CKA1590" si="73">+(CHP1600+CHP1604)*1.18*1.1</f>
        <v>0</v>
      </c>
      <c r="CHQ1590" s="55">
        <f t="shared" si="73"/>
        <v>0</v>
      </c>
      <c r="CHR1590" s="55">
        <f t="shared" si="73"/>
        <v>0</v>
      </c>
      <c r="CHS1590" s="55">
        <f t="shared" si="73"/>
        <v>0</v>
      </c>
      <c r="CHT1590" s="55">
        <f t="shared" si="73"/>
        <v>0</v>
      </c>
      <c r="CHU1590" s="55">
        <f t="shared" si="73"/>
        <v>0</v>
      </c>
      <c r="CHV1590" s="55">
        <f t="shared" si="73"/>
        <v>0</v>
      </c>
      <c r="CHW1590" s="55">
        <f t="shared" si="73"/>
        <v>0</v>
      </c>
      <c r="CHX1590" s="55">
        <f t="shared" si="73"/>
        <v>0</v>
      </c>
      <c r="CHY1590" s="55">
        <f t="shared" si="73"/>
        <v>0</v>
      </c>
      <c r="CHZ1590" s="55">
        <f t="shared" si="73"/>
        <v>0</v>
      </c>
      <c r="CIA1590" s="55">
        <f t="shared" si="73"/>
        <v>0</v>
      </c>
      <c r="CIB1590" s="55">
        <f t="shared" si="73"/>
        <v>0</v>
      </c>
      <c r="CIC1590" s="55">
        <f t="shared" si="73"/>
        <v>0</v>
      </c>
      <c r="CID1590" s="55">
        <f t="shared" si="73"/>
        <v>0</v>
      </c>
      <c r="CIE1590" s="55">
        <f t="shared" si="73"/>
        <v>0</v>
      </c>
      <c r="CIF1590" s="55">
        <f t="shared" si="73"/>
        <v>0</v>
      </c>
      <c r="CIG1590" s="55">
        <f t="shared" si="73"/>
        <v>0</v>
      </c>
      <c r="CIH1590" s="55">
        <f t="shared" si="73"/>
        <v>0</v>
      </c>
      <c r="CII1590" s="55">
        <f t="shared" si="73"/>
        <v>0</v>
      </c>
      <c r="CIJ1590" s="55">
        <f t="shared" si="73"/>
        <v>0</v>
      </c>
      <c r="CIK1590" s="55">
        <f t="shared" si="73"/>
        <v>0</v>
      </c>
      <c r="CIL1590" s="55">
        <f t="shared" si="73"/>
        <v>0</v>
      </c>
      <c r="CIM1590" s="55">
        <f t="shared" si="73"/>
        <v>0</v>
      </c>
      <c r="CIN1590" s="55">
        <f t="shared" si="73"/>
        <v>0</v>
      </c>
      <c r="CIO1590" s="55">
        <f t="shared" si="73"/>
        <v>0</v>
      </c>
      <c r="CIP1590" s="55">
        <f t="shared" si="73"/>
        <v>0</v>
      </c>
      <c r="CIQ1590" s="55">
        <f t="shared" si="73"/>
        <v>0</v>
      </c>
      <c r="CIR1590" s="55">
        <f t="shared" si="73"/>
        <v>0</v>
      </c>
      <c r="CIS1590" s="55">
        <f t="shared" si="73"/>
        <v>0</v>
      </c>
      <c r="CIT1590" s="55">
        <f t="shared" si="73"/>
        <v>0</v>
      </c>
      <c r="CIU1590" s="55">
        <f t="shared" si="73"/>
        <v>0</v>
      </c>
      <c r="CIV1590" s="55">
        <f t="shared" si="73"/>
        <v>0</v>
      </c>
      <c r="CIW1590" s="55">
        <f t="shared" si="73"/>
        <v>0</v>
      </c>
      <c r="CIX1590" s="55">
        <f t="shared" si="73"/>
        <v>0</v>
      </c>
      <c r="CIY1590" s="55">
        <f t="shared" si="73"/>
        <v>0</v>
      </c>
      <c r="CIZ1590" s="55">
        <f t="shared" si="73"/>
        <v>0</v>
      </c>
      <c r="CJA1590" s="55">
        <f t="shared" si="73"/>
        <v>0</v>
      </c>
      <c r="CJB1590" s="55">
        <f t="shared" si="73"/>
        <v>0</v>
      </c>
      <c r="CJC1590" s="55">
        <f t="shared" si="73"/>
        <v>0</v>
      </c>
      <c r="CJD1590" s="55">
        <f t="shared" si="73"/>
        <v>0</v>
      </c>
      <c r="CJE1590" s="55">
        <f t="shared" si="73"/>
        <v>0</v>
      </c>
      <c r="CJF1590" s="55">
        <f t="shared" si="73"/>
        <v>0</v>
      </c>
      <c r="CJG1590" s="55">
        <f t="shared" si="73"/>
        <v>0</v>
      </c>
      <c r="CJH1590" s="55">
        <f t="shared" si="73"/>
        <v>0</v>
      </c>
      <c r="CJI1590" s="55">
        <f t="shared" si="73"/>
        <v>0</v>
      </c>
      <c r="CJJ1590" s="55">
        <f t="shared" si="73"/>
        <v>0</v>
      </c>
      <c r="CJK1590" s="55">
        <f t="shared" si="73"/>
        <v>0</v>
      </c>
      <c r="CJL1590" s="55">
        <f t="shared" si="73"/>
        <v>0</v>
      </c>
      <c r="CJM1590" s="55">
        <f t="shared" si="73"/>
        <v>0</v>
      </c>
      <c r="CJN1590" s="55">
        <f t="shared" si="73"/>
        <v>0</v>
      </c>
      <c r="CJO1590" s="55">
        <f t="shared" si="73"/>
        <v>0</v>
      </c>
      <c r="CJP1590" s="55">
        <f t="shared" si="73"/>
        <v>0</v>
      </c>
      <c r="CJQ1590" s="55">
        <f t="shared" si="73"/>
        <v>0</v>
      </c>
      <c r="CJR1590" s="55">
        <f t="shared" si="73"/>
        <v>0</v>
      </c>
      <c r="CJS1590" s="55">
        <f t="shared" si="73"/>
        <v>0</v>
      </c>
      <c r="CJT1590" s="55">
        <f t="shared" si="73"/>
        <v>0</v>
      </c>
      <c r="CJU1590" s="55">
        <f t="shared" si="73"/>
        <v>0</v>
      </c>
      <c r="CJV1590" s="55">
        <f t="shared" si="73"/>
        <v>0</v>
      </c>
      <c r="CJW1590" s="55">
        <f t="shared" si="73"/>
        <v>0</v>
      </c>
      <c r="CJX1590" s="55">
        <f t="shared" si="73"/>
        <v>0</v>
      </c>
      <c r="CJY1590" s="55">
        <f t="shared" si="73"/>
        <v>0</v>
      </c>
      <c r="CJZ1590" s="55">
        <f t="shared" si="73"/>
        <v>0</v>
      </c>
      <c r="CKA1590" s="55">
        <f t="shared" si="73"/>
        <v>0</v>
      </c>
      <c r="CKB1590" s="55">
        <f t="shared" ref="CKB1590:CMM1590" si="74">+(CKB1600+CKB1604)*1.18*1.1</f>
        <v>0</v>
      </c>
      <c r="CKC1590" s="55">
        <f t="shared" si="74"/>
        <v>0</v>
      </c>
      <c r="CKD1590" s="55">
        <f t="shared" si="74"/>
        <v>0</v>
      </c>
      <c r="CKE1590" s="55">
        <f t="shared" si="74"/>
        <v>0</v>
      </c>
      <c r="CKF1590" s="55">
        <f t="shared" si="74"/>
        <v>0</v>
      </c>
      <c r="CKG1590" s="55">
        <f t="shared" si="74"/>
        <v>0</v>
      </c>
      <c r="CKH1590" s="55">
        <f t="shared" si="74"/>
        <v>0</v>
      </c>
      <c r="CKI1590" s="55">
        <f t="shared" si="74"/>
        <v>0</v>
      </c>
      <c r="CKJ1590" s="55">
        <f t="shared" si="74"/>
        <v>0</v>
      </c>
      <c r="CKK1590" s="55">
        <f t="shared" si="74"/>
        <v>0</v>
      </c>
      <c r="CKL1590" s="55">
        <f t="shared" si="74"/>
        <v>0</v>
      </c>
      <c r="CKM1590" s="55">
        <f t="shared" si="74"/>
        <v>0</v>
      </c>
      <c r="CKN1590" s="55">
        <f t="shared" si="74"/>
        <v>0</v>
      </c>
      <c r="CKO1590" s="55">
        <f t="shared" si="74"/>
        <v>0</v>
      </c>
      <c r="CKP1590" s="55">
        <f t="shared" si="74"/>
        <v>0</v>
      </c>
      <c r="CKQ1590" s="55">
        <f t="shared" si="74"/>
        <v>0</v>
      </c>
      <c r="CKR1590" s="55">
        <f t="shared" si="74"/>
        <v>0</v>
      </c>
      <c r="CKS1590" s="55">
        <f t="shared" si="74"/>
        <v>0</v>
      </c>
      <c r="CKT1590" s="55">
        <f t="shared" si="74"/>
        <v>0</v>
      </c>
      <c r="CKU1590" s="55">
        <f t="shared" si="74"/>
        <v>0</v>
      </c>
      <c r="CKV1590" s="55">
        <f t="shared" si="74"/>
        <v>0</v>
      </c>
      <c r="CKW1590" s="55">
        <f t="shared" si="74"/>
        <v>0</v>
      </c>
      <c r="CKX1590" s="55">
        <f t="shared" si="74"/>
        <v>0</v>
      </c>
      <c r="CKY1590" s="55">
        <f t="shared" si="74"/>
        <v>0</v>
      </c>
      <c r="CKZ1590" s="55">
        <f t="shared" si="74"/>
        <v>0</v>
      </c>
      <c r="CLA1590" s="55">
        <f t="shared" si="74"/>
        <v>0</v>
      </c>
      <c r="CLB1590" s="55">
        <f t="shared" si="74"/>
        <v>0</v>
      </c>
      <c r="CLC1590" s="55">
        <f t="shared" si="74"/>
        <v>0</v>
      </c>
      <c r="CLD1590" s="55">
        <f t="shared" si="74"/>
        <v>0</v>
      </c>
      <c r="CLE1590" s="55">
        <f t="shared" si="74"/>
        <v>0</v>
      </c>
      <c r="CLF1590" s="55">
        <f t="shared" si="74"/>
        <v>0</v>
      </c>
      <c r="CLG1590" s="55">
        <f t="shared" si="74"/>
        <v>0</v>
      </c>
      <c r="CLH1590" s="55">
        <f t="shared" si="74"/>
        <v>0</v>
      </c>
      <c r="CLI1590" s="55">
        <f t="shared" si="74"/>
        <v>0</v>
      </c>
      <c r="CLJ1590" s="55">
        <f t="shared" si="74"/>
        <v>0</v>
      </c>
      <c r="CLK1590" s="55">
        <f t="shared" si="74"/>
        <v>0</v>
      </c>
      <c r="CLL1590" s="55">
        <f t="shared" si="74"/>
        <v>0</v>
      </c>
      <c r="CLM1590" s="55">
        <f t="shared" si="74"/>
        <v>0</v>
      </c>
      <c r="CLN1590" s="55">
        <f t="shared" si="74"/>
        <v>0</v>
      </c>
      <c r="CLO1590" s="55">
        <f t="shared" si="74"/>
        <v>0</v>
      </c>
      <c r="CLP1590" s="55">
        <f t="shared" si="74"/>
        <v>0</v>
      </c>
      <c r="CLQ1590" s="55">
        <f t="shared" si="74"/>
        <v>0</v>
      </c>
      <c r="CLR1590" s="55">
        <f t="shared" si="74"/>
        <v>0</v>
      </c>
      <c r="CLS1590" s="55">
        <f t="shared" si="74"/>
        <v>0</v>
      </c>
      <c r="CLT1590" s="55">
        <f t="shared" si="74"/>
        <v>0</v>
      </c>
      <c r="CLU1590" s="55">
        <f t="shared" si="74"/>
        <v>0</v>
      </c>
      <c r="CLV1590" s="55">
        <f t="shared" si="74"/>
        <v>0</v>
      </c>
      <c r="CLW1590" s="55">
        <f t="shared" si="74"/>
        <v>0</v>
      </c>
      <c r="CLX1590" s="55">
        <f t="shared" si="74"/>
        <v>0</v>
      </c>
      <c r="CLY1590" s="55">
        <f t="shared" si="74"/>
        <v>0</v>
      </c>
      <c r="CLZ1590" s="55">
        <f t="shared" si="74"/>
        <v>0</v>
      </c>
      <c r="CMA1590" s="55">
        <f t="shared" si="74"/>
        <v>0</v>
      </c>
      <c r="CMB1590" s="55">
        <f t="shared" si="74"/>
        <v>0</v>
      </c>
      <c r="CMC1590" s="55">
        <f t="shared" si="74"/>
        <v>0</v>
      </c>
      <c r="CMD1590" s="55">
        <f t="shared" si="74"/>
        <v>0</v>
      </c>
      <c r="CME1590" s="55">
        <f t="shared" si="74"/>
        <v>0</v>
      </c>
      <c r="CMF1590" s="55">
        <f t="shared" si="74"/>
        <v>0</v>
      </c>
      <c r="CMG1590" s="55">
        <f t="shared" si="74"/>
        <v>0</v>
      </c>
      <c r="CMH1590" s="55">
        <f t="shared" si="74"/>
        <v>0</v>
      </c>
      <c r="CMI1590" s="55">
        <f t="shared" si="74"/>
        <v>0</v>
      </c>
      <c r="CMJ1590" s="55">
        <f t="shared" si="74"/>
        <v>0</v>
      </c>
      <c r="CMK1590" s="55">
        <f t="shared" si="74"/>
        <v>0</v>
      </c>
      <c r="CML1590" s="55">
        <f t="shared" si="74"/>
        <v>0</v>
      </c>
      <c r="CMM1590" s="55">
        <f t="shared" si="74"/>
        <v>0</v>
      </c>
      <c r="CMN1590" s="55">
        <f t="shared" ref="CMN1590:COY1590" si="75">+(CMN1600+CMN1604)*1.18*1.1</f>
        <v>0</v>
      </c>
      <c r="CMO1590" s="55">
        <f t="shared" si="75"/>
        <v>0</v>
      </c>
      <c r="CMP1590" s="55">
        <f t="shared" si="75"/>
        <v>0</v>
      </c>
      <c r="CMQ1590" s="55">
        <f t="shared" si="75"/>
        <v>0</v>
      </c>
      <c r="CMR1590" s="55">
        <f t="shared" si="75"/>
        <v>0</v>
      </c>
      <c r="CMS1590" s="55">
        <f t="shared" si="75"/>
        <v>0</v>
      </c>
      <c r="CMT1590" s="55">
        <f t="shared" si="75"/>
        <v>0</v>
      </c>
      <c r="CMU1590" s="55">
        <f t="shared" si="75"/>
        <v>0</v>
      </c>
      <c r="CMV1590" s="55">
        <f t="shared" si="75"/>
        <v>0</v>
      </c>
      <c r="CMW1590" s="55">
        <f t="shared" si="75"/>
        <v>0</v>
      </c>
      <c r="CMX1590" s="55">
        <f t="shared" si="75"/>
        <v>0</v>
      </c>
      <c r="CMY1590" s="55">
        <f t="shared" si="75"/>
        <v>0</v>
      </c>
      <c r="CMZ1590" s="55">
        <f t="shared" si="75"/>
        <v>0</v>
      </c>
      <c r="CNA1590" s="55">
        <f t="shared" si="75"/>
        <v>0</v>
      </c>
      <c r="CNB1590" s="55">
        <f t="shared" si="75"/>
        <v>0</v>
      </c>
      <c r="CNC1590" s="55">
        <f t="shared" si="75"/>
        <v>0</v>
      </c>
      <c r="CND1590" s="55">
        <f t="shared" si="75"/>
        <v>0</v>
      </c>
      <c r="CNE1590" s="55">
        <f t="shared" si="75"/>
        <v>0</v>
      </c>
      <c r="CNF1590" s="55">
        <f t="shared" si="75"/>
        <v>0</v>
      </c>
      <c r="CNG1590" s="55">
        <f t="shared" si="75"/>
        <v>0</v>
      </c>
      <c r="CNH1590" s="55">
        <f t="shared" si="75"/>
        <v>0</v>
      </c>
      <c r="CNI1590" s="55">
        <f t="shared" si="75"/>
        <v>0</v>
      </c>
      <c r="CNJ1590" s="55">
        <f t="shared" si="75"/>
        <v>0</v>
      </c>
      <c r="CNK1590" s="55">
        <f t="shared" si="75"/>
        <v>0</v>
      </c>
      <c r="CNL1590" s="55">
        <f t="shared" si="75"/>
        <v>0</v>
      </c>
      <c r="CNM1590" s="55">
        <f t="shared" si="75"/>
        <v>0</v>
      </c>
      <c r="CNN1590" s="55">
        <f t="shared" si="75"/>
        <v>0</v>
      </c>
      <c r="CNO1590" s="55">
        <f t="shared" si="75"/>
        <v>0</v>
      </c>
      <c r="CNP1590" s="55">
        <f t="shared" si="75"/>
        <v>0</v>
      </c>
      <c r="CNQ1590" s="55">
        <f t="shared" si="75"/>
        <v>0</v>
      </c>
      <c r="CNR1590" s="55">
        <f t="shared" si="75"/>
        <v>0</v>
      </c>
      <c r="CNS1590" s="55">
        <f t="shared" si="75"/>
        <v>0</v>
      </c>
      <c r="CNT1590" s="55">
        <f t="shared" si="75"/>
        <v>0</v>
      </c>
      <c r="CNU1590" s="55">
        <f t="shared" si="75"/>
        <v>0</v>
      </c>
      <c r="CNV1590" s="55">
        <f t="shared" si="75"/>
        <v>0</v>
      </c>
      <c r="CNW1590" s="55">
        <f t="shared" si="75"/>
        <v>0</v>
      </c>
      <c r="CNX1590" s="55">
        <f t="shared" si="75"/>
        <v>0</v>
      </c>
      <c r="CNY1590" s="55">
        <f t="shared" si="75"/>
        <v>0</v>
      </c>
      <c r="CNZ1590" s="55">
        <f t="shared" si="75"/>
        <v>0</v>
      </c>
      <c r="COA1590" s="55">
        <f t="shared" si="75"/>
        <v>0</v>
      </c>
      <c r="COB1590" s="55">
        <f t="shared" si="75"/>
        <v>0</v>
      </c>
      <c r="COC1590" s="55">
        <f t="shared" si="75"/>
        <v>0</v>
      </c>
      <c r="COD1590" s="55">
        <f t="shared" si="75"/>
        <v>0</v>
      </c>
      <c r="COE1590" s="55">
        <f t="shared" si="75"/>
        <v>0</v>
      </c>
      <c r="COF1590" s="55">
        <f t="shared" si="75"/>
        <v>0</v>
      </c>
      <c r="COG1590" s="55">
        <f t="shared" si="75"/>
        <v>0</v>
      </c>
      <c r="COH1590" s="55">
        <f t="shared" si="75"/>
        <v>0</v>
      </c>
      <c r="COI1590" s="55">
        <f t="shared" si="75"/>
        <v>0</v>
      </c>
      <c r="COJ1590" s="55">
        <f t="shared" si="75"/>
        <v>0</v>
      </c>
      <c r="COK1590" s="55">
        <f t="shared" si="75"/>
        <v>0</v>
      </c>
      <c r="COL1590" s="55">
        <f t="shared" si="75"/>
        <v>0</v>
      </c>
      <c r="COM1590" s="55">
        <f t="shared" si="75"/>
        <v>0</v>
      </c>
      <c r="CON1590" s="55">
        <f t="shared" si="75"/>
        <v>0</v>
      </c>
      <c r="COO1590" s="55">
        <f t="shared" si="75"/>
        <v>0</v>
      </c>
      <c r="COP1590" s="55">
        <f t="shared" si="75"/>
        <v>0</v>
      </c>
      <c r="COQ1590" s="55">
        <f t="shared" si="75"/>
        <v>0</v>
      </c>
      <c r="COR1590" s="55">
        <f t="shared" si="75"/>
        <v>0</v>
      </c>
      <c r="COS1590" s="55">
        <f t="shared" si="75"/>
        <v>0</v>
      </c>
      <c r="COT1590" s="55">
        <f t="shared" si="75"/>
        <v>0</v>
      </c>
      <c r="COU1590" s="55">
        <f t="shared" si="75"/>
        <v>0</v>
      </c>
      <c r="COV1590" s="55">
        <f t="shared" si="75"/>
        <v>0</v>
      </c>
      <c r="COW1590" s="55">
        <f t="shared" si="75"/>
        <v>0</v>
      </c>
      <c r="COX1590" s="55">
        <f t="shared" si="75"/>
        <v>0</v>
      </c>
      <c r="COY1590" s="55">
        <f t="shared" si="75"/>
        <v>0</v>
      </c>
      <c r="COZ1590" s="55">
        <f t="shared" ref="COZ1590:CRK1590" si="76">+(COZ1600+COZ1604)*1.18*1.1</f>
        <v>0</v>
      </c>
      <c r="CPA1590" s="55">
        <f t="shared" si="76"/>
        <v>0</v>
      </c>
      <c r="CPB1590" s="55">
        <f t="shared" si="76"/>
        <v>0</v>
      </c>
      <c r="CPC1590" s="55">
        <f t="shared" si="76"/>
        <v>0</v>
      </c>
      <c r="CPD1590" s="55">
        <f t="shared" si="76"/>
        <v>0</v>
      </c>
      <c r="CPE1590" s="55">
        <f t="shared" si="76"/>
        <v>0</v>
      </c>
      <c r="CPF1590" s="55">
        <f t="shared" si="76"/>
        <v>0</v>
      </c>
      <c r="CPG1590" s="55">
        <f t="shared" si="76"/>
        <v>0</v>
      </c>
      <c r="CPH1590" s="55">
        <f t="shared" si="76"/>
        <v>0</v>
      </c>
      <c r="CPI1590" s="55">
        <f t="shared" si="76"/>
        <v>0</v>
      </c>
      <c r="CPJ1590" s="55">
        <f t="shared" si="76"/>
        <v>0</v>
      </c>
      <c r="CPK1590" s="55">
        <f t="shared" si="76"/>
        <v>0</v>
      </c>
      <c r="CPL1590" s="55">
        <f t="shared" si="76"/>
        <v>0</v>
      </c>
      <c r="CPM1590" s="55">
        <f t="shared" si="76"/>
        <v>0</v>
      </c>
      <c r="CPN1590" s="55">
        <f t="shared" si="76"/>
        <v>0</v>
      </c>
      <c r="CPO1590" s="55">
        <f t="shared" si="76"/>
        <v>0</v>
      </c>
      <c r="CPP1590" s="55">
        <f t="shared" si="76"/>
        <v>0</v>
      </c>
      <c r="CPQ1590" s="55">
        <f t="shared" si="76"/>
        <v>0</v>
      </c>
      <c r="CPR1590" s="55">
        <f t="shared" si="76"/>
        <v>0</v>
      </c>
      <c r="CPS1590" s="55">
        <f t="shared" si="76"/>
        <v>0</v>
      </c>
      <c r="CPT1590" s="55">
        <f t="shared" si="76"/>
        <v>0</v>
      </c>
      <c r="CPU1590" s="55">
        <f t="shared" si="76"/>
        <v>0</v>
      </c>
      <c r="CPV1590" s="55">
        <f t="shared" si="76"/>
        <v>0</v>
      </c>
      <c r="CPW1590" s="55">
        <f t="shared" si="76"/>
        <v>0</v>
      </c>
      <c r="CPX1590" s="55">
        <f t="shared" si="76"/>
        <v>0</v>
      </c>
      <c r="CPY1590" s="55">
        <f t="shared" si="76"/>
        <v>0</v>
      </c>
      <c r="CPZ1590" s="55">
        <f t="shared" si="76"/>
        <v>0</v>
      </c>
      <c r="CQA1590" s="55">
        <f t="shared" si="76"/>
        <v>0</v>
      </c>
      <c r="CQB1590" s="55">
        <f t="shared" si="76"/>
        <v>0</v>
      </c>
      <c r="CQC1590" s="55">
        <f t="shared" si="76"/>
        <v>0</v>
      </c>
      <c r="CQD1590" s="55">
        <f t="shared" si="76"/>
        <v>0</v>
      </c>
      <c r="CQE1590" s="55">
        <f t="shared" si="76"/>
        <v>0</v>
      </c>
      <c r="CQF1590" s="55">
        <f t="shared" si="76"/>
        <v>0</v>
      </c>
      <c r="CQG1590" s="55">
        <f t="shared" si="76"/>
        <v>0</v>
      </c>
      <c r="CQH1590" s="55">
        <f t="shared" si="76"/>
        <v>0</v>
      </c>
      <c r="CQI1590" s="55">
        <f t="shared" si="76"/>
        <v>0</v>
      </c>
      <c r="CQJ1590" s="55">
        <f t="shared" si="76"/>
        <v>0</v>
      </c>
      <c r="CQK1590" s="55">
        <f t="shared" si="76"/>
        <v>0</v>
      </c>
      <c r="CQL1590" s="55">
        <f t="shared" si="76"/>
        <v>0</v>
      </c>
      <c r="CQM1590" s="55">
        <f t="shared" si="76"/>
        <v>0</v>
      </c>
      <c r="CQN1590" s="55">
        <f t="shared" si="76"/>
        <v>0</v>
      </c>
      <c r="CQO1590" s="55">
        <f t="shared" si="76"/>
        <v>0</v>
      </c>
      <c r="CQP1590" s="55">
        <f t="shared" si="76"/>
        <v>0</v>
      </c>
      <c r="CQQ1590" s="55">
        <f t="shared" si="76"/>
        <v>0</v>
      </c>
      <c r="CQR1590" s="55">
        <f t="shared" si="76"/>
        <v>0</v>
      </c>
      <c r="CQS1590" s="55">
        <f t="shared" si="76"/>
        <v>0</v>
      </c>
      <c r="CQT1590" s="55">
        <f t="shared" si="76"/>
        <v>0</v>
      </c>
      <c r="CQU1590" s="55">
        <f t="shared" si="76"/>
        <v>0</v>
      </c>
      <c r="CQV1590" s="55">
        <f t="shared" si="76"/>
        <v>0</v>
      </c>
      <c r="CQW1590" s="55">
        <f t="shared" si="76"/>
        <v>0</v>
      </c>
      <c r="CQX1590" s="55">
        <f t="shared" si="76"/>
        <v>0</v>
      </c>
      <c r="CQY1590" s="55">
        <f t="shared" si="76"/>
        <v>0</v>
      </c>
      <c r="CQZ1590" s="55">
        <f t="shared" si="76"/>
        <v>0</v>
      </c>
      <c r="CRA1590" s="55">
        <f t="shared" si="76"/>
        <v>0</v>
      </c>
      <c r="CRB1590" s="55">
        <f t="shared" si="76"/>
        <v>0</v>
      </c>
      <c r="CRC1590" s="55">
        <f t="shared" si="76"/>
        <v>0</v>
      </c>
      <c r="CRD1590" s="55">
        <f t="shared" si="76"/>
        <v>0</v>
      </c>
      <c r="CRE1590" s="55">
        <f t="shared" si="76"/>
        <v>0</v>
      </c>
      <c r="CRF1590" s="55">
        <f t="shared" si="76"/>
        <v>0</v>
      </c>
      <c r="CRG1590" s="55">
        <f t="shared" si="76"/>
        <v>0</v>
      </c>
      <c r="CRH1590" s="55">
        <f t="shared" si="76"/>
        <v>0</v>
      </c>
      <c r="CRI1590" s="55">
        <f t="shared" si="76"/>
        <v>0</v>
      </c>
      <c r="CRJ1590" s="55">
        <f t="shared" si="76"/>
        <v>0</v>
      </c>
      <c r="CRK1590" s="55">
        <f t="shared" si="76"/>
        <v>0</v>
      </c>
      <c r="CRL1590" s="55">
        <f t="shared" ref="CRL1590:CTW1590" si="77">+(CRL1600+CRL1604)*1.18*1.1</f>
        <v>0</v>
      </c>
      <c r="CRM1590" s="55">
        <f t="shared" si="77"/>
        <v>0</v>
      </c>
      <c r="CRN1590" s="55">
        <f t="shared" si="77"/>
        <v>0</v>
      </c>
      <c r="CRO1590" s="55">
        <f t="shared" si="77"/>
        <v>0</v>
      </c>
      <c r="CRP1590" s="55">
        <f t="shared" si="77"/>
        <v>0</v>
      </c>
      <c r="CRQ1590" s="55">
        <f t="shared" si="77"/>
        <v>0</v>
      </c>
      <c r="CRR1590" s="55">
        <f t="shared" si="77"/>
        <v>0</v>
      </c>
      <c r="CRS1590" s="55">
        <f t="shared" si="77"/>
        <v>0</v>
      </c>
      <c r="CRT1590" s="55">
        <f t="shared" si="77"/>
        <v>0</v>
      </c>
      <c r="CRU1590" s="55">
        <f t="shared" si="77"/>
        <v>0</v>
      </c>
      <c r="CRV1590" s="55">
        <f t="shared" si="77"/>
        <v>0</v>
      </c>
      <c r="CRW1590" s="55">
        <f t="shared" si="77"/>
        <v>0</v>
      </c>
      <c r="CRX1590" s="55">
        <f t="shared" si="77"/>
        <v>0</v>
      </c>
      <c r="CRY1590" s="55">
        <f t="shared" si="77"/>
        <v>0</v>
      </c>
      <c r="CRZ1590" s="55">
        <f t="shared" si="77"/>
        <v>0</v>
      </c>
      <c r="CSA1590" s="55">
        <f t="shared" si="77"/>
        <v>0</v>
      </c>
      <c r="CSB1590" s="55">
        <f t="shared" si="77"/>
        <v>0</v>
      </c>
      <c r="CSC1590" s="55">
        <f t="shared" si="77"/>
        <v>0</v>
      </c>
      <c r="CSD1590" s="55">
        <f t="shared" si="77"/>
        <v>0</v>
      </c>
      <c r="CSE1590" s="55">
        <f t="shared" si="77"/>
        <v>0</v>
      </c>
      <c r="CSF1590" s="55">
        <f t="shared" si="77"/>
        <v>0</v>
      </c>
      <c r="CSG1590" s="55">
        <f t="shared" si="77"/>
        <v>0</v>
      </c>
      <c r="CSH1590" s="55">
        <f t="shared" si="77"/>
        <v>0</v>
      </c>
      <c r="CSI1590" s="55">
        <f t="shared" si="77"/>
        <v>0</v>
      </c>
      <c r="CSJ1590" s="55">
        <f t="shared" si="77"/>
        <v>0</v>
      </c>
      <c r="CSK1590" s="55">
        <f t="shared" si="77"/>
        <v>0</v>
      </c>
      <c r="CSL1590" s="55">
        <f t="shared" si="77"/>
        <v>0</v>
      </c>
      <c r="CSM1590" s="55">
        <f t="shared" si="77"/>
        <v>0</v>
      </c>
      <c r="CSN1590" s="55">
        <f t="shared" si="77"/>
        <v>0</v>
      </c>
      <c r="CSO1590" s="55">
        <f t="shared" si="77"/>
        <v>0</v>
      </c>
      <c r="CSP1590" s="55">
        <f t="shared" si="77"/>
        <v>0</v>
      </c>
      <c r="CSQ1590" s="55">
        <f t="shared" si="77"/>
        <v>0</v>
      </c>
      <c r="CSR1590" s="55">
        <f t="shared" si="77"/>
        <v>0</v>
      </c>
      <c r="CSS1590" s="55">
        <f t="shared" si="77"/>
        <v>0</v>
      </c>
      <c r="CST1590" s="55">
        <f t="shared" si="77"/>
        <v>0</v>
      </c>
      <c r="CSU1590" s="55">
        <f t="shared" si="77"/>
        <v>0</v>
      </c>
      <c r="CSV1590" s="55">
        <f t="shared" si="77"/>
        <v>0</v>
      </c>
      <c r="CSW1590" s="55">
        <f t="shared" si="77"/>
        <v>0</v>
      </c>
      <c r="CSX1590" s="55">
        <f t="shared" si="77"/>
        <v>0</v>
      </c>
      <c r="CSY1590" s="55">
        <f t="shared" si="77"/>
        <v>0</v>
      </c>
      <c r="CSZ1590" s="55">
        <f t="shared" si="77"/>
        <v>0</v>
      </c>
      <c r="CTA1590" s="55">
        <f t="shared" si="77"/>
        <v>0</v>
      </c>
      <c r="CTB1590" s="55">
        <f t="shared" si="77"/>
        <v>0</v>
      </c>
      <c r="CTC1590" s="55">
        <f t="shared" si="77"/>
        <v>0</v>
      </c>
      <c r="CTD1590" s="55">
        <f t="shared" si="77"/>
        <v>0</v>
      </c>
      <c r="CTE1590" s="55">
        <f t="shared" si="77"/>
        <v>0</v>
      </c>
      <c r="CTF1590" s="55">
        <f t="shared" si="77"/>
        <v>0</v>
      </c>
      <c r="CTG1590" s="55">
        <f t="shared" si="77"/>
        <v>0</v>
      </c>
      <c r="CTH1590" s="55">
        <f t="shared" si="77"/>
        <v>0</v>
      </c>
      <c r="CTI1590" s="55">
        <f t="shared" si="77"/>
        <v>0</v>
      </c>
      <c r="CTJ1590" s="55">
        <f t="shared" si="77"/>
        <v>0</v>
      </c>
      <c r="CTK1590" s="55">
        <f t="shared" si="77"/>
        <v>0</v>
      </c>
      <c r="CTL1590" s="55">
        <f t="shared" si="77"/>
        <v>0</v>
      </c>
      <c r="CTM1590" s="55">
        <f t="shared" si="77"/>
        <v>0</v>
      </c>
      <c r="CTN1590" s="55">
        <f t="shared" si="77"/>
        <v>0</v>
      </c>
      <c r="CTO1590" s="55">
        <f t="shared" si="77"/>
        <v>0</v>
      </c>
      <c r="CTP1590" s="55">
        <f t="shared" si="77"/>
        <v>0</v>
      </c>
      <c r="CTQ1590" s="55">
        <f t="shared" si="77"/>
        <v>0</v>
      </c>
      <c r="CTR1590" s="55">
        <f t="shared" si="77"/>
        <v>0</v>
      </c>
      <c r="CTS1590" s="55">
        <f t="shared" si="77"/>
        <v>0</v>
      </c>
      <c r="CTT1590" s="55">
        <f t="shared" si="77"/>
        <v>0</v>
      </c>
      <c r="CTU1590" s="55">
        <f t="shared" si="77"/>
        <v>0</v>
      </c>
      <c r="CTV1590" s="55">
        <f t="shared" si="77"/>
        <v>0</v>
      </c>
      <c r="CTW1590" s="55">
        <f t="shared" si="77"/>
        <v>0</v>
      </c>
      <c r="CTX1590" s="55">
        <f t="shared" ref="CTX1590:CWI1590" si="78">+(CTX1600+CTX1604)*1.18*1.1</f>
        <v>0</v>
      </c>
      <c r="CTY1590" s="55">
        <f t="shared" si="78"/>
        <v>0</v>
      </c>
      <c r="CTZ1590" s="55">
        <f t="shared" si="78"/>
        <v>0</v>
      </c>
      <c r="CUA1590" s="55">
        <f t="shared" si="78"/>
        <v>0</v>
      </c>
      <c r="CUB1590" s="55">
        <f t="shared" si="78"/>
        <v>0</v>
      </c>
      <c r="CUC1590" s="55">
        <f t="shared" si="78"/>
        <v>0</v>
      </c>
      <c r="CUD1590" s="55">
        <f t="shared" si="78"/>
        <v>0</v>
      </c>
      <c r="CUE1590" s="55">
        <f t="shared" si="78"/>
        <v>0</v>
      </c>
      <c r="CUF1590" s="55">
        <f t="shared" si="78"/>
        <v>0</v>
      </c>
      <c r="CUG1590" s="55">
        <f t="shared" si="78"/>
        <v>0</v>
      </c>
      <c r="CUH1590" s="55">
        <f t="shared" si="78"/>
        <v>0</v>
      </c>
      <c r="CUI1590" s="55">
        <f t="shared" si="78"/>
        <v>0</v>
      </c>
      <c r="CUJ1590" s="55">
        <f t="shared" si="78"/>
        <v>0</v>
      </c>
      <c r="CUK1590" s="55">
        <f t="shared" si="78"/>
        <v>0</v>
      </c>
      <c r="CUL1590" s="55">
        <f t="shared" si="78"/>
        <v>0</v>
      </c>
      <c r="CUM1590" s="55">
        <f t="shared" si="78"/>
        <v>0</v>
      </c>
      <c r="CUN1590" s="55">
        <f t="shared" si="78"/>
        <v>0</v>
      </c>
      <c r="CUO1590" s="55">
        <f t="shared" si="78"/>
        <v>0</v>
      </c>
      <c r="CUP1590" s="55">
        <f t="shared" si="78"/>
        <v>0</v>
      </c>
      <c r="CUQ1590" s="55">
        <f t="shared" si="78"/>
        <v>0</v>
      </c>
      <c r="CUR1590" s="55">
        <f t="shared" si="78"/>
        <v>0</v>
      </c>
      <c r="CUS1590" s="55">
        <f t="shared" si="78"/>
        <v>0</v>
      </c>
      <c r="CUT1590" s="55">
        <f t="shared" si="78"/>
        <v>0</v>
      </c>
      <c r="CUU1590" s="55">
        <f t="shared" si="78"/>
        <v>0</v>
      </c>
      <c r="CUV1590" s="55">
        <f t="shared" si="78"/>
        <v>0</v>
      </c>
      <c r="CUW1590" s="55">
        <f t="shared" si="78"/>
        <v>0</v>
      </c>
      <c r="CUX1590" s="55">
        <f t="shared" si="78"/>
        <v>0</v>
      </c>
      <c r="CUY1590" s="55">
        <f t="shared" si="78"/>
        <v>0</v>
      </c>
      <c r="CUZ1590" s="55">
        <f t="shared" si="78"/>
        <v>0</v>
      </c>
      <c r="CVA1590" s="55">
        <f t="shared" si="78"/>
        <v>0</v>
      </c>
      <c r="CVB1590" s="55">
        <f t="shared" si="78"/>
        <v>0</v>
      </c>
      <c r="CVC1590" s="55">
        <f t="shared" si="78"/>
        <v>0</v>
      </c>
      <c r="CVD1590" s="55">
        <f t="shared" si="78"/>
        <v>0</v>
      </c>
      <c r="CVE1590" s="55">
        <f t="shared" si="78"/>
        <v>0</v>
      </c>
      <c r="CVF1590" s="55">
        <f t="shared" si="78"/>
        <v>0</v>
      </c>
      <c r="CVG1590" s="55">
        <f t="shared" si="78"/>
        <v>0</v>
      </c>
      <c r="CVH1590" s="55">
        <f t="shared" si="78"/>
        <v>0</v>
      </c>
      <c r="CVI1590" s="55">
        <f t="shared" si="78"/>
        <v>0</v>
      </c>
      <c r="CVJ1590" s="55">
        <f t="shared" si="78"/>
        <v>0</v>
      </c>
      <c r="CVK1590" s="55">
        <f t="shared" si="78"/>
        <v>0</v>
      </c>
      <c r="CVL1590" s="55">
        <f t="shared" si="78"/>
        <v>0</v>
      </c>
      <c r="CVM1590" s="55">
        <f t="shared" si="78"/>
        <v>0</v>
      </c>
      <c r="CVN1590" s="55">
        <f t="shared" si="78"/>
        <v>0</v>
      </c>
      <c r="CVO1590" s="55">
        <f t="shared" si="78"/>
        <v>0</v>
      </c>
      <c r="CVP1590" s="55">
        <f t="shared" si="78"/>
        <v>0</v>
      </c>
      <c r="CVQ1590" s="55">
        <f t="shared" si="78"/>
        <v>0</v>
      </c>
      <c r="CVR1590" s="55">
        <f t="shared" si="78"/>
        <v>0</v>
      </c>
      <c r="CVS1590" s="55">
        <f t="shared" si="78"/>
        <v>0</v>
      </c>
      <c r="CVT1590" s="55">
        <f t="shared" si="78"/>
        <v>0</v>
      </c>
      <c r="CVU1590" s="55">
        <f t="shared" si="78"/>
        <v>0</v>
      </c>
      <c r="CVV1590" s="55">
        <f t="shared" si="78"/>
        <v>0</v>
      </c>
      <c r="CVW1590" s="55">
        <f t="shared" si="78"/>
        <v>0</v>
      </c>
      <c r="CVX1590" s="55">
        <f t="shared" si="78"/>
        <v>0</v>
      </c>
      <c r="CVY1590" s="55">
        <f t="shared" si="78"/>
        <v>0</v>
      </c>
      <c r="CVZ1590" s="55">
        <f t="shared" si="78"/>
        <v>0</v>
      </c>
      <c r="CWA1590" s="55">
        <f t="shared" si="78"/>
        <v>0</v>
      </c>
      <c r="CWB1590" s="55">
        <f t="shared" si="78"/>
        <v>0</v>
      </c>
      <c r="CWC1590" s="55">
        <f t="shared" si="78"/>
        <v>0</v>
      </c>
      <c r="CWD1590" s="55">
        <f t="shared" si="78"/>
        <v>0</v>
      </c>
      <c r="CWE1590" s="55">
        <f t="shared" si="78"/>
        <v>0</v>
      </c>
      <c r="CWF1590" s="55">
        <f t="shared" si="78"/>
        <v>0</v>
      </c>
      <c r="CWG1590" s="55">
        <f t="shared" si="78"/>
        <v>0</v>
      </c>
      <c r="CWH1590" s="55">
        <f t="shared" si="78"/>
        <v>0</v>
      </c>
      <c r="CWI1590" s="55">
        <f t="shared" si="78"/>
        <v>0</v>
      </c>
      <c r="CWJ1590" s="55">
        <f t="shared" ref="CWJ1590:CYU1590" si="79">+(CWJ1600+CWJ1604)*1.18*1.1</f>
        <v>0</v>
      </c>
      <c r="CWK1590" s="55">
        <f t="shared" si="79"/>
        <v>0</v>
      </c>
      <c r="CWL1590" s="55">
        <f t="shared" si="79"/>
        <v>0</v>
      </c>
      <c r="CWM1590" s="55">
        <f t="shared" si="79"/>
        <v>0</v>
      </c>
      <c r="CWN1590" s="55">
        <f t="shared" si="79"/>
        <v>0</v>
      </c>
      <c r="CWO1590" s="55">
        <f t="shared" si="79"/>
        <v>0</v>
      </c>
      <c r="CWP1590" s="55">
        <f t="shared" si="79"/>
        <v>0</v>
      </c>
      <c r="CWQ1590" s="55">
        <f t="shared" si="79"/>
        <v>0</v>
      </c>
      <c r="CWR1590" s="55">
        <f t="shared" si="79"/>
        <v>0</v>
      </c>
      <c r="CWS1590" s="55">
        <f t="shared" si="79"/>
        <v>0</v>
      </c>
      <c r="CWT1590" s="55">
        <f t="shared" si="79"/>
        <v>0</v>
      </c>
      <c r="CWU1590" s="55">
        <f t="shared" si="79"/>
        <v>0</v>
      </c>
      <c r="CWV1590" s="55">
        <f t="shared" si="79"/>
        <v>0</v>
      </c>
      <c r="CWW1590" s="55">
        <f t="shared" si="79"/>
        <v>0</v>
      </c>
      <c r="CWX1590" s="55">
        <f t="shared" si="79"/>
        <v>0</v>
      </c>
      <c r="CWY1590" s="55">
        <f t="shared" si="79"/>
        <v>0</v>
      </c>
      <c r="CWZ1590" s="55">
        <f t="shared" si="79"/>
        <v>0</v>
      </c>
      <c r="CXA1590" s="55">
        <f t="shared" si="79"/>
        <v>0</v>
      </c>
      <c r="CXB1590" s="55">
        <f t="shared" si="79"/>
        <v>0</v>
      </c>
      <c r="CXC1590" s="55">
        <f t="shared" si="79"/>
        <v>0</v>
      </c>
      <c r="CXD1590" s="55">
        <f t="shared" si="79"/>
        <v>0</v>
      </c>
      <c r="CXE1590" s="55">
        <f t="shared" si="79"/>
        <v>0</v>
      </c>
      <c r="CXF1590" s="55">
        <f t="shared" si="79"/>
        <v>0</v>
      </c>
      <c r="CXG1590" s="55">
        <f t="shared" si="79"/>
        <v>0</v>
      </c>
      <c r="CXH1590" s="55">
        <f t="shared" si="79"/>
        <v>0</v>
      </c>
      <c r="CXI1590" s="55">
        <f t="shared" si="79"/>
        <v>0</v>
      </c>
      <c r="CXJ1590" s="55">
        <f t="shared" si="79"/>
        <v>0</v>
      </c>
      <c r="CXK1590" s="55">
        <f t="shared" si="79"/>
        <v>0</v>
      </c>
      <c r="CXL1590" s="55">
        <f t="shared" si="79"/>
        <v>0</v>
      </c>
      <c r="CXM1590" s="55">
        <f t="shared" si="79"/>
        <v>0</v>
      </c>
      <c r="CXN1590" s="55">
        <f t="shared" si="79"/>
        <v>0</v>
      </c>
      <c r="CXO1590" s="55">
        <f t="shared" si="79"/>
        <v>0</v>
      </c>
      <c r="CXP1590" s="55">
        <f t="shared" si="79"/>
        <v>0</v>
      </c>
      <c r="CXQ1590" s="55">
        <f t="shared" si="79"/>
        <v>0</v>
      </c>
      <c r="CXR1590" s="55">
        <f t="shared" si="79"/>
        <v>0</v>
      </c>
      <c r="CXS1590" s="55">
        <f t="shared" si="79"/>
        <v>0</v>
      </c>
      <c r="CXT1590" s="55">
        <f t="shared" si="79"/>
        <v>0</v>
      </c>
      <c r="CXU1590" s="55">
        <f t="shared" si="79"/>
        <v>0</v>
      </c>
      <c r="CXV1590" s="55">
        <f t="shared" si="79"/>
        <v>0</v>
      </c>
      <c r="CXW1590" s="55">
        <f t="shared" si="79"/>
        <v>0</v>
      </c>
      <c r="CXX1590" s="55">
        <f t="shared" si="79"/>
        <v>0</v>
      </c>
      <c r="CXY1590" s="55">
        <f t="shared" si="79"/>
        <v>0</v>
      </c>
      <c r="CXZ1590" s="55">
        <f t="shared" si="79"/>
        <v>0</v>
      </c>
      <c r="CYA1590" s="55">
        <f t="shared" si="79"/>
        <v>0</v>
      </c>
      <c r="CYB1590" s="55">
        <f t="shared" si="79"/>
        <v>0</v>
      </c>
      <c r="CYC1590" s="55">
        <f t="shared" si="79"/>
        <v>0</v>
      </c>
      <c r="CYD1590" s="55">
        <f t="shared" si="79"/>
        <v>0</v>
      </c>
      <c r="CYE1590" s="55">
        <f t="shared" si="79"/>
        <v>0</v>
      </c>
      <c r="CYF1590" s="55">
        <f t="shared" si="79"/>
        <v>0</v>
      </c>
      <c r="CYG1590" s="55">
        <f t="shared" si="79"/>
        <v>0</v>
      </c>
      <c r="CYH1590" s="55">
        <f t="shared" si="79"/>
        <v>0</v>
      </c>
      <c r="CYI1590" s="55">
        <f t="shared" si="79"/>
        <v>0</v>
      </c>
      <c r="CYJ1590" s="55">
        <f t="shared" si="79"/>
        <v>0</v>
      </c>
      <c r="CYK1590" s="55">
        <f t="shared" si="79"/>
        <v>0</v>
      </c>
      <c r="CYL1590" s="55">
        <f t="shared" si="79"/>
        <v>0</v>
      </c>
      <c r="CYM1590" s="55">
        <f t="shared" si="79"/>
        <v>0</v>
      </c>
      <c r="CYN1590" s="55">
        <f t="shared" si="79"/>
        <v>0</v>
      </c>
      <c r="CYO1590" s="55">
        <f t="shared" si="79"/>
        <v>0</v>
      </c>
      <c r="CYP1590" s="55">
        <f t="shared" si="79"/>
        <v>0</v>
      </c>
      <c r="CYQ1590" s="55">
        <f t="shared" si="79"/>
        <v>0</v>
      </c>
      <c r="CYR1590" s="55">
        <f t="shared" si="79"/>
        <v>0</v>
      </c>
      <c r="CYS1590" s="55">
        <f t="shared" si="79"/>
        <v>0</v>
      </c>
      <c r="CYT1590" s="55">
        <f t="shared" si="79"/>
        <v>0</v>
      </c>
      <c r="CYU1590" s="55">
        <f t="shared" si="79"/>
        <v>0</v>
      </c>
      <c r="CYV1590" s="55">
        <f t="shared" ref="CYV1590:DBG1590" si="80">+(CYV1600+CYV1604)*1.18*1.1</f>
        <v>0</v>
      </c>
      <c r="CYW1590" s="55">
        <f t="shared" si="80"/>
        <v>0</v>
      </c>
      <c r="CYX1590" s="55">
        <f t="shared" si="80"/>
        <v>0</v>
      </c>
      <c r="CYY1590" s="55">
        <f t="shared" si="80"/>
        <v>0</v>
      </c>
      <c r="CYZ1590" s="55">
        <f t="shared" si="80"/>
        <v>0</v>
      </c>
      <c r="CZA1590" s="55">
        <f t="shared" si="80"/>
        <v>0</v>
      </c>
      <c r="CZB1590" s="55">
        <f t="shared" si="80"/>
        <v>0</v>
      </c>
      <c r="CZC1590" s="55">
        <f t="shared" si="80"/>
        <v>0</v>
      </c>
      <c r="CZD1590" s="55">
        <f t="shared" si="80"/>
        <v>0</v>
      </c>
      <c r="CZE1590" s="55">
        <f t="shared" si="80"/>
        <v>0</v>
      </c>
      <c r="CZF1590" s="55">
        <f t="shared" si="80"/>
        <v>0</v>
      </c>
      <c r="CZG1590" s="55">
        <f t="shared" si="80"/>
        <v>0</v>
      </c>
      <c r="CZH1590" s="55">
        <f t="shared" si="80"/>
        <v>0</v>
      </c>
      <c r="CZI1590" s="55">
        <f t="shared" si="80"/>
        <v>0</v>
      </c>
      <c r="CZJ1590" s="55">
        <f t="shared" si="80"/>
        <v>0</v>
      </c>
      <c r="CZK1590" s="55">
        <f t="shared" si="80"/>
        <v>0</v>
      </c>
      <c r="CZL1590" s="55">
        <f t="shared" si="80"/>
        <v>0</v>
      </c>
      <c r="CZM1590" s="55">
        <f t="shared" si="80"/>
        <v>0</v>
      </c>
      <c r="CZN1590" s="55">
        <f t="shared" si="80"/>
        <v>0</v>
      </c>
      <c r="CZO1590" s="55">
        <f t="shared" si="80"/>
        <v>0</v>
      </c>
      <c r="CZP1590" s="55">
        <f t="shared" si="80"/>
        <v>0</v>
      </c>
      <c r="CZQ1590" s="55">
        <f t="shared" si="80"/>
        <v>0</v>
      </c>
      <c r="CZR1590" s="55">
        <f t="shared" si="80"/>
        <v>0</v>
      </c>
      <c r="CZS1590" s="55">
        <f t="shared" si="80"/>
        <v>0</v>
      </c>
      <c r="CZT1590" s="55">
        <f t="shared" si="80"/>
        <v>0</v>
      </c>
      <c r="CZU1590" s="55">
        <f t="shared" si="80"/>
        <v>0</v>
      </c>
      <c r="CZV1590" s="55">
        <f t="shared" si="80"/>
        <v>0</v>
      </c>
      <c r="CZW1590" s="55">
        <f t="shared" si="80"/>
        <v>0</v>
      </c>
      <c r="CZX1590" s="55">
        <f t="shared" si="80"/>
        <v>0</v>
      </c>
      <c r="CZY1590" s="55">
        <f t="shared" si="80"/>
        <v>0</v>
      </c>
      <c r="CZZ1590" s="55">
        <f t="shared" si="80"/>
        <v>0</v>
      </c>
      <c r="DAA1590" s="55">
        <f t="shared" si="80"/>
        <v>0</v>
      </c>
      <c r="DAB1590" s="55">
        <f t="shared" si="80"/>
        <v>0</v>
      </c>
      <c r="DAC1590" s="55">
        <f t="shared" si="80"/>
        <v>0</v>
      </c>
      <c r="DAD1590" s="55">
        <f t="shared" si="80"/>
        <v>0</v>
      </c>
      <c r="DAE1590" s="55">
        <f t="shared" si="80"/>
        <v>0</v>
      </c>
      <c r="DAF1590" s="55">
        <f t="shared" si="80"/>
        <v>0</v>
      </c>
      <c r="DAG1590" s="55">
        <f t="shared" si="80"/>
        <v>0</v>
      </c>
      <c r="DAH1590" s="55">
        <f t="shared" si="80"/>
        <v>0</v>
      </c>
      <c r="DAI1590" s="55">
        <f t="shared" si="80"/>
        <v>0</v>
      </c>
      <c r="DAJ1590" s="55">
        <f t="shared" si="80"/>
        <v>0</v>
      </c>
      <c r="DAK1590" s="55">
        <f t="shared" si="80"/>
        <v>0</v>
      </c>
      <c r="DAL1590" s="55">
        <f t="shared" si="80"/>
        <v>0</v>
      </c>
      <c r="DAM1590" s="55">
        <f t="shared" si="80"/>
        <v>0</v>
      </c>
      <c r="DAN1590" s="55">
        <f t="shared" si="80"/>
        <v>0</v>
      </c>
      <c r="DAO1590" s="55">
        <f t="shared" si="80"/>
        <v>0</v>
      </c>
      <c r="DAP1590" s="55">
        <f t="shared" si="80"/>
        <v>0</v>
      </c>
      <c r="DAQ1590" s="55">
        <f t="shared" si="80"/>
        <v>0</v>
      </c>
      <c r="DAR1590" s="55">
        <f t="shared" si="80"/>
        <v>0</v>
      </c>
      <c r="DAS1590" s="55">
        <f t="shared" si="80"/>
        <v>0</v>
      </c>
      <c r="DAT1590" s="55">
        <f t="shared" si="80"/>
        <v>0</v>
      </c>
      <c r="DAU1590" s="55">
        <f t="shared" si="80"/>
        <v>0</v>
      </c>
      <c r="DAV1590" s="55">
        <f t="shared" si="80"/>
        <v>0</v>
      </c>
      <c r="DAW1590" s="55">
        <f t="shared" si="80"/>
        <v>0</v>
      </c>
      <c r="DAX1590" s="55">
        <f t="shared" si="80"/>
        <v>0</v>
      </c>
      <c r="DAY1590" s="55">
        <f t="shared" si="80"/>
        <v>0</v>
      </c>
      <c r="DAZ1590" s="55">
        <f t="shared" si="80"/>
        <v>0</v>
      </c>
      <c r="DBA1590" s="55">
        <f t="shared" si="80"/>
        <v>0</v>
      </c>
      <c r="DBB1590" s="55">
        <f t="shared" si="80"/>
        <v>0</v>
      </c>
      <c r="DBC1590" s="55">
        <f t="shared" si="80"/>
        <v>0</v>
      </c>
      <c r="DBD1590" s="55">
        <f t="shared" si="80"/>
        <v>0</v>
      </c>
      <c r="DBE1590" s="55">
        <f t="shared" si="80"/>
        <v>0</v>
      </c>
      <c r="DBF1590" s="55">
        <f t="shared" si="80"/>
        <v>0</v>
      </c>
      <c r="DBG1590" s="55">
        <f t="shared" si="80"/>
        <v>0</v>
      </c>
      <c r="DBH1590" s="55">
        <f t="shared" ref="DBH1590:DDS1590" si="81">+(DBH1600+DBH1604)*1.18*1.1</f>
        <v>0</v>
      </c>
      <c r="DBI1590" s="55">
        <f t="shared" si="81"/>
        <v>0</v>
      </c>
      <c r="DBJ1590" s="55">
        <f t="shared" si="81"/>
        <v>0</v>
      </c>
      <c r="DBK1590" s="55">
        <f t="shared" si="81"/>
        <v>0</v>
      </c>
      <c r="DBL1590" s="55">
        <f t="shared" si="81"/>
        <v>0</v>
      </c>
      <c r="DBM1590" s="55">
        <f t="shared" si="81"/>
        <v>0</v>
      </c>
      <c r="DBN1590" s="55">
        <f t="shared" si="81"/>
        <v>0</v>
      </c>
      <c r="DBO1590" s="55">
        <f t="shared" si="81"/>
        <v>0</v>
      </c>
      <c r="DBP1590" s="55">
        <f t="shared" si="81"/>
        <v>0</v>
      </c>
      <c r="DBQ1590" s="55">
        <f t="shared" si="81"/>
        <v>0</v>
      </c>
      <c r="DBR1590" s="55">
        <f t="shared" si="81"/>
        <v>0</v>
      </c>
      <c r="DBS1590" s="55">
        <f t="shared" si="81"/>
        <v>0</v>
      </c>
      <c r="DBT1590" s="55">
        <f t="shared" si="81"/>
        <v>0</v>
      </c>
      <c r="DBU1590" s="55">
        <f t="shared" si="81"/>
        <v>0</v>
      </c>
      <c r="DBV1590" s="55">
        <f t="shared" si="81"/>
        <v>0</v>
      </c>
      <c r="DBW1590" s="55">
        <f t="shared" si="81"/>
        <v>0</v>
      </c>
      <c r="DBX1590" s="55">
        <f t="shared" si="81"/>
        <v>0</v>
      </c>
      <c r="DBY1590" s="55">
        <f t="shared" si="81"/>
        <v>0</v>
      </c>
      <c r="DBZ1590" s="55">
        <f t="shared" si="81"/>
        <v>0</v>
      </c>
      <c r="DCA1590" s="55">
        <f t="shared" si="81"/>
        <v>0</v>
      </c>
      <c r="DCB1590" s="55">
        <f t="shared" si="81"/>
        <v>0</v>
      </c>
      <c r="DCC1590" s="55">
        <f t="shared" si="81"/>
        <v>0</v>
      </c>
      <c r="DCD1590" s="55">
        <f t="shared" si="81"/>
        <v>0</v>
      </c>
      <c r="DCE1590" s="55">
        <f t="shared" si="81"/>
        <v>0</v>
      </c>
      <c r="DCF1590" s="55">
        <f t="shared" si="81"/>
        <v>0</v>
      </c>
      <c r="DCG1590" s="55">
        <f t="shared" si="81"/>
        <v>0</v>
      </c>
      <c r="DCH1590" s="55">
        <f t="shared" si="81"/>
        <v>0</v>
      </c>
      <c r="DCI1590" s="55">
        <f t="shared" si="81"/>
        <v>0</v>
      </c>
      <c r="DCJ1590" s="55">
        <f t="shared" si="81"/>
        <v>0</v>
      </c>
      <c r="DCK1590" s="55">
        <f t="shared" si="81"/>
        <v>0</v>
      </c>
      <c r="DCL1590" s="55">
        <f t="shared" si="81"/>
        <v>0</v>
      </c>
      <c r="DCM1590" s="55">
        <f t="shared" si="81"/>
        <v>0</v>
      </c>
      <c r="DCN1590" s="55">
        <f t="shared" si="81"/>
        <v>0</v>
      </c>
      <c r="DCO1590" s="55">
        <f t="shared" si="81"/>
        <v>0</v>
      </c>
      <c r="DCP1590" s="55">
        <f t="shared" si="81"/>
        <v>0</v>
      </c>
      <c r="DCQ1590" s="55">
        <f t="shared" si="81"/>
        <v>0</v>
      </c>
      <c r="DCR1590" s="55">
        <f t="shared" si="81"/>
        <v>0</v>
      </c>
      <c r="DCS1590" s="55">
        <f t="shared" si="81"/>
        <v>0</v>
      </c>
      <c r="DCT1590" s="55">
        <f t="shared" si="81"/>
        <v>0</v>
      </c>
      <c r="DCU1590" s="55">
        <f t="shared" si="81"/>
        <v>0</v>
      </c>
      <c r="DCV1590" s="55">
        <f t="shared" si="81"/>
        <v>0</v>
      </c>
      <c r="DCW1590" s="55">
        <f t="shared" si="81"/>
        <v>0</v>
      </c>
      <c r="DCX1590" s="55">
        <f t="shared" si="81"/>
        <v>0</v>
      </c>
      <c r="DCY1590" s="55">
        <f t="shared" si="81"/>
        <v>0</v>
      </c>
      <c r="DCZ1590" s="55">
        <f t="shared" si="81"/>
        <v>0</v>
      </c>
      <c r="DDA1590" s="55">
        <f t="shared" si="81"/>
        <v>0</v>
      </c>
      <c r="DDB1590" s="55">
        <f t="shared" si="81"/>
        <v>0</v>
      </c>
      <c r="DDC1590" s="55">
        <f t="shared" si="81"/>
        <v>0</v>
      </c>
      <c r="DDD1590" s="55">
        <f t="shared" si="81"/>
        <v>0</v>
      </c>
      <c r="DDE1590" s="55">
        <f t="shared" si="81"/>
        <v>0</v>
      </c>
      <c r="DDF1590" s="55">
        <f t="shared" si="81"/>
        <v>0</v>
      </c>
      <c r="DDG1590" s="55">
        <f t="shared" si="81"/>
        <v>0</v>
      </c>
      <c r="DDH1590" s="55">
        <f t="shared" si="81"/>
        <v>0</v>
      </c>
      <c r="DDI1590" s="55">
        <f t="shared" si="81"/>
        <v>0</v>
      </c>
      <c r="DDJ1590" s="55">
        <f t="shared" si="81"/>
        <v>0</v>
      </c>
      <c r="DDK1590" s="55">
        <f t="shared" si="81"/>
        <v>0</v>
      </c>
      <c r="DDL1590" s="55">
        <f t="shared" si="81"/>
        <v>0</v>
      </c>
      <c r="DDM1590" s="55">
        <f t="shared" si="81"/>
        <v>0</v>
      </c>
      <c r="DDN1590" s="55">
        <f t="shared" si="81"/>
        <v>0</v>
      </c>
      <c r="DDO1590" s="55">
        <f t="shared" si="81"/>
        <v>0</v>
      </c>
      <c r="DDP1590" s="55">
        <f t="shared" si="81"/>
        <v>0</v>
      </c>
      <c r="DDQ1590" s="55">
        <f t="shared" si="81"/>
        <v>0</v>
      </c>
      <c r="DDR1590" s="55">
        <f t="shared" si="81"/>
        <v>0</v>
      </c>
      <c r="DDS1590" s="55">
        <f t="shared" si="81"/>
        <v>0</v>
      </c>
      <c r="DDT1590" s="55">
        <f t="shared" ref="DDT1590:DGE1590" si="82">+(DDT1600+DDT1604)*1.18*1.1</f>
        <v>0</v>
      </c>
      <c r="DDU1590" s="55">
        <f t="shared" si="82"/>
        <v>0</v>
      </c>
      <c r="DDV1590" s="55">
        <f t="shared" si="82"/>
        <v>0</v>
      </c>
      <c r="DDW1590" s="55">
        <f t="shared" si="82"/>
        <v>0</v>
      </c>
      <c r="DDX1590" s="55">
        <f t="shared" si="82"/>
        <v>0</v>
      </c>
      <c r="DDY1590" s="55">
        <f t="shared" si="82"/>
        <v>0</v>
      </c>
      <c r="DDZ1590" s="55">
        <f t="shared" si="82"/>
        <v>0</v>
      </c>
      <c r="DEA1590" s="55">
        <f t="shared" si="82"/>
        <v>0</v>
      </c>
      <c r="DEB1590" s="55">
        <f t="shared" si="82"/>
        <v>0</v>
      </c>
      <c r="DEC1590" s="55">
        <f t="shared" si="82"/>
        <v>0</v>
      </c>
      <c r="DED1590" s="55">
        <f t="shared" si="82"/>
        <v>0</v>
      </c>
      <c r="DEE1590" s="55">
        <f t="shared" si="82"/>
        <v>0</v>
      </c>
      <c r="DEF1590" s="55">
        <f t="shared" si="82"/>
        <v>0</v>
      </c>
      <c r="DEG1590" s="55">
        <f t="shared" si="82"/>
        <v>0</v>
      </c>
      <c r="DEH1590" s="55">
        <f t="shared" si="82"/>
        <v>0</v>
      </c>
      <c r="DEI1590" s="55">
        <f t="shared" si="82"/>
        <v>0</v>
      </c>
      <c r="DEJ1590" s="55">
        <f t="shared" si="82"/>
        <v>0</v>
      </c>
      <c r="DEK1590" s="55">
        <f t="shared" si="82"/>
        <v>0</v>
      </c>
      <c r="DEL1590" s="55">
        <f t="shared" si="82"/>
        <v>0</v>
      </c>
      <c r="DEM1590" s="55">
        <f t="shared" si="82"/>
        <v>0</v>
      </c>
      <c r="DEN1590" s="55">
        <f t="shared" si="82"/>
        <v>0</v>
      </c>
      <c r="DEO1590" s="55">
        <f t="shared" si="82"/>
        <v>0</v>
      </c>
      <c r="DEP1590" s="55">
        <f t="shared" si="82"/>
        <v>0</v>
      </c>
      <c r="DEQ1590" s="55">
        <f t="shared" si="82"/>
        <v>0</v>
      </c>
      <c r="DER1590" s="55">
        <f t="shared" si="82"/>
        <v>0</v>
      </c>
      <c r="DES1590" s="55">
        <f t="shared" si="82"/>
        <v>0</v>
      </c>
      <c r="DET1590" s="55">
        <f t="shared" si="82"/>
        <v>0</v>
      </c>
      <c r="DEU1590" s="55">
        <f t="shared" si="82"/>
        <v>0</v>
      </c>
      <c r="DEV1590" s="55">
        <f t="shared" si="82"/>
        <v>0</v>
      </c>
      <c r="DEW1590" s="55">
        <f t="shared" si="82"/>
        <v>0</v>
      </c>
      <c r="DEX1590" s="55">
        <f t="shared" si="82"/>
        <v>0</v>
      </c>
      <c r="DEY1590" s="55">
        <f t="shared" si="82"/>
        <v>0</v>
      </c>
      <c r="DEZ1590" s="55">
        <f t="shared" si="82"/>
        <v>0</v>
      </c>
      <c r="DFA1590" s="55">
        <f t="shared" si="82"/>
        <v>0</v>
      </c>
      <c r="DFB1590" s="55">
        <f t="shared" si="82"/>
        <v>0</v>
      </c>
      <c r="DFC1590" s="55">
        <f t="shared" si="82"/>
        <v>0</v>
      </c>
      <c r="DFD1590" s="55">
        <f t="shared" si="82"/>
        <v>0</v>
      </c>
      <c r="DFE1590" s="55">
        <f t="shared" si="82"/>
        <v>0</v>
      </c>
      <c r="DFF1590" s="55">
        <f t="shared" si="82"/>
        <v>0</v>
      </c>
      <c r="DFG1590" s="55">
        <f t="shared" si="82"/>
        <v>0</v>
      </c>
      <c r="DFH1590" s="55">
        <f t="shared" si="82"/>
        <v>0</v>
      </c>
      <c r="DFI1590" s="55">
        <f t="shared" si="82"/>
        <v>0</v>
      </c>
      <c r="DFJ1590" s="55">
        <f t="shared" si="82"/>
        <v>0</v>
      </c>
      <c r="DFK1590" s="55">
        <f t="shared" si="82"/>
        <v>0</v>
      </c>
      <c r="DFL1590" s="55">
        <f t="shared" si="82"/>
        <v>0</v>
      </c>
      <c r="DFM1590" s="55">
        <f t="shared" si="82"/>
        <v>0</v>
      </c>
      <c r="DFN1590" s="55">
        <f t="shared" si="82"/>
        <v>0</v>
      </c>
      <c r="DFO1590" s="55">
        <f t="shared" si="82"/>
        <v>0</v>
      </c>
      <c r="DFP1590" s="55">
        <f t="shared" si="82"/>
        <v>0</v>
      </c>
      <c r="DFQ1590" s="55">
        <f t="shared" si="82"/>
        <v>0</v>
      </c>
      <c r="DFR1590" s="55">
        <f t="shared" si="82"/>
        <v>0</v>
      </c>
      <c r="DFS1590" s="55">
        <f t="shared" si="82"/>
        <v>0</v>
      </c>
      <c r="DFT1590" s="55">
        <f t="shared" si="82"/>
        <v>0</v>
      </c>
      <c r="DFU1590" s="55">
        <f t="shared" si="82"/>
        <v>0</v>
      </c>
      <c r="DFV1590" s="55">
        <f t="shared" si="82"/>
        <v>0</v>
      </c>
      <c r="DFW1590" s="55">
        <f t="shared" si="82"/>
        <v>0</v>
      </c>
      <c r="DFX1590" s="55">
        <f t="shared" si="82"/>
        <v>0</v>
      </c>
      <c r="DFY1590" s="55">
        <f t="shared" si="82"/>
        <v>0</v>
      </c>
      <c r="DFZ1590" s="55">
        <f t="shared" si="82"/>
        <v>0</v>
      </c>
      <c r="DGA1590" s="55">
        <f t="shared" si="82"/>
        <v>0</v>
      </c>
      <c r="DGB1590" s="55">
        <f t="shared" si="82"/>
        <v>0</v>
      </c>
      <c r="DGC1590" s="55">
        <f t="shared" si="82"/>
        <v>0</v>
      </c>
      <c r="DGD1590" s="55">
        <f t="shared" si="82"/>
        <v>0</v>
      </c>
      <c r="DGE1590" s="55">
        <f t="shared" si="82"/>
        <v>0</v>
      </c>
      <c r="DGF1590" s="55">
        <f t="shared" ref="DGF1590:DIQ1590" si="83">+(DGF1600+DGF1604)*1.18*1.1</f>
        <v>0</v>
      </c>
      <c r="DGG1590" s="55">
        <f t="shared" si="83"/>
        <v>0</v>
      </c>
      <c r="DGH1590" s="55">
        <f t="shared" si="83"/>
        <v>0</v>
      </c>
      <c r="DGI1590" s="55">
        <f t="shared" si="83"/>
        <v>0</v>
      </c>
      <c r="DGJ1590" s="55">
        <f t="shared" si="83"/>
        <v>0</v>
      </c>
      <c r="DGK1590" s="55">
        <f t="shared" si="83"/>
        <v>0</v>
      </c>
      <c r="DGL1590" s="55">
        <f t="shared" si="83"/>
        <v>0</v>
      </c>
      <c r="DGM1590" s="55">
        <f t="shared" si="83"/>
        <v>0</v>
      </c>
      <c r="DGN1590" s="55">
        <f t="shared" si="83"/>
        <v>0</v>
      </c>
      <c r="DGO1590" s="55">
        <f t="shared" si="83"/>
        <v>0</v>
      </c>
      <c r="DGP1590" s="55">
        <f t="shared" si="83"/>
        <v>0</v>
      </c>
      <c r="DGQ1590" s="55">
        <f t="shared" si="83"/>
        <v>0</v>
      </c>
      <c r="DGR1590" s="55">
        <f t="shared" si="83"/>
        <v>0</v>
      </c>
      <c r="DGS1590" s="55">
        <f t="shared" si="83"/>
        <v>0</v>
      </c>
      <c r="DGT1590" s="55">
        <f t="shared" si="83"/>
        <v>0</v>
      </c>
      <c r="DGU1590" s="55">
        <f t="shared" si="83"/>
        <v>0</v>
      </c>
      <c r="DGV1590" s="55">
        <f t="shared" si="83"/>
        <v>0</v>
      </c>
      <c r="DGW1590" s="55">
        <f t="shared" si="83"/>
        <v>0</v>
      </c>
      <c r="DGX1590" s="55">
        <f t="shared" si="83"/>
        <v>0</v>
      </c>
      <c r="DGY1590" s="55">
        <f t="shared" si="83"/>
        <v>0</v>
      </c>
      <c r="DGZ1590" s="55">
        <f t="shared" si="83"/>
        <v>0</v>
      </c>
      <c r="DHA1590" s="55">
        <f t="shared" si="83"/>
        <v>0</v>
      </c>
      <c r="DHB1590" s="55">
        <f t="shared" si="83"/>
        <v>0</v>
      </c>
      <c r="DHC1590" s="55">
        <f t="shared" si="83"/>
        <v>0</v>
      </c>
      <c r="DHD1590" s="55">
        <f t="shared" si="83"/>
        <v>0</v>
      </c>
      <c r="DHE1590" s="55">
        <f t="shared" si="83"/>
        <v>0</v>
      </c>
      <c r="DHF1590" s="55">
        <f t="shared" si="83"/>
        <v>0</v>
      </c>
      <c r="DHG1590" s="55">
        <f t="shared" si="83"/>
        <v>0</v>
      </c>
      <c r="DHH1590" s="55">
        <f t="shared" si="83"/>
        <v>0</v>
      </c>
      <c r="DHI1590" s="55">
        <f t="shared" si="83"/>
        <v>0</v>
      </c>
      <c r="DHJ1590" s="55">
        <f t="shared" si="83"/>
        <v>0</v>
      </c>
      <c r="DHK1590" s="55">
        <f t="shared" si="83"/>
        <v>0</v>
      </c>
      <c r="DHL1590" s="55">
        <f t="shared" si="83"/>
        <v>0</v>
      </c>
      <c r="DHM1590" s="55">
        <f t="shared" si="83"/>
        <v>0</v>
      </c>
      <c r="DHN1590" s="55">
        <f t="shared" si="83"/>
        <v>0</v>
      </c>
      <c r="DHO1590" s="55">
        <f t="shared" si="83"/>
        <v>0</v>
      </c>
      <c r="DHP1590" s="55">
        <f t="shared" si="83"/>
        <v>0</v>
      </c>
      <c r="DHQ1590" s="55">
        <f t="shared" si="83"/>
        <v>0</v>
      </c>
      <c r="DHR1590" s="55">
        <f t="shared" si="83"/>
        <v>0</v>
      </c>
      <c r="DHS1590" s="55">
        <f t="shared" si="83"/>
        <v>0</v>
      </c>
      <c r="DHT1590" s="55">
        <f t="shared" si="83"/>
        <v>0</v>
      </c>
      <c r="DHU1590" s="55">
        <f t="shared" si="83"/>
        <v>0</v>
      </c>
      <c r="DHV1590" s="55">
        <f t="shared" si="83"/>
        <v>0</v>
      </c>
      <c r="DHW1590" s="55">
        <f t="shared" si="83"/>
        <v>0</v>
      </c>
      <c r="DHX1590" s="55">
        <f t="shared" si="83"/>
        <v>0</v>
      </c>
      <c r="DHY1590" s="55">
        <f t="shared" si="83"/>
        <v>0</v>
      </c>
      <c r="DHZ1590" s="55">
        <f t="shared" si="83"/>
        <v>0</v>
      </c>
      <c r="DIA1590" s="55">
        <f t="shared" si="83"/>
        <v>0</v>
      </c>
      <c r="DIB1590" s="55">
        <f t="shared" si="83"/>
        <v>0</v>
      </c>
      <c r="DIC1590" s="55">
        <f t="shared" si="83"/>
        <v>0</v>
      </c>
      <c r="DID1590" s="55">
        <f t="shared" si="83"/>
        <v>0</v>
      </c>
      <c r="DIE1590" s="55">
        <f t="shared" si="83"/>
        <v>0</v>
      </c>
      <c r="DIF1590" s="55">
        <f t="shared" si="83"/>
        <v>0</v>
      </c>
      <c r="DIG1590" s="55">
        <f t="shared" si="83"/>
        <v>0</v>
      </c>
      <c r="DIH1590" s="55">
        <f t="shared" si="83"/>
        <v>0</v>
      </c>
      <c r="DII1590" s="55">
        <f t="shared" si="83"/>
        <v>0</v>
      </c>
      <c r="DIJ1590" s="55">
        <f t="shared" si="83"/>
        <v>0</v>
      </c>
      <c r="DIK1590" s="55">
        <f t="shared" si="83"/>
        <v>0</v>
      </c>
      <c r="DIL1590" s="55">
        <f t="shared" si="83"/>
        <v>0</v>
      </c>
      <c r="DIM1590" s="55">
        <f t="shared" si="83"/>
        <v>0</v>
      </c>
      <c r="DIN1590" s="55">
        <f t="shared" si="83"/>
        <v>0</v>
      </c>
      <c r="DIO1590" s="55">
        <f t="shared" si="83"/>
        <v>0</v>
      </c>
      <c r="DIP1590" s="55">
        <f t="shared" si="83"/>
        <v>0</v>
      </c>
      <c r="DIQ1590" s="55">
        <f t="shared" si="83"/>
        <v>0</v>
      </c>
      <c r="DIR1590" s="55">
        <f t="shared" ref="DIR1590:DLC1590" si="84">+(DIR1600+DIR1604)*1.18*1.1</f>
        <v>0</v>
      </c>
      <c r="DIS1590" s="55">
        <f t="shared" si="84"/>
        <v>0</v>
      </c>
      <c r="DIT1590" s="55">
        <f t="shared" si="84"/>
        <v>0</v>
      </c>
      <c r="DIU1590" s="55">
        <f t="shared" si="84"/>
        <v>0</v>
      </c>
      <c r="DIV1590" s="55">
        <f t="shared" si="84"/>
        <v>0</v>
      </c>
      <c r="DIW1590" s="55">
        <f t="shared" si="84"/>
        <v>0</v>
      </c>
      <c r="DIX1590" s="55">
        <f t="shared" si="84"/>
        <v>0</v>
      </c>
      <c r="DIY1590" s="55">
        <f t="shared" si="84"/>
        <v>0</v>
      </c>
      <c r="DIZ1590" s="55">
        <f t="shared" si="84"/>
        <v>0</v>
      </c>
      <c r="DJA1590" s="55">
        <f t="shared" si="84"/>
        <v>0</v>
      </c>
      <c r="DJB1590" s="55">
        <f t="shared" si="84"/>
        <v>0</v>
      </c>
      <c r="DJC1590" s="55">
        <f t="shared" si="84"/>
        <v>0</v>
      </c>
      <c r="DJD1590" s="55">
        <f t="shared" si="84"/>
        <v>0</v>
      </c>
      <c r="DJE1590" s="55">
        <f t="shared" si="84"/>
        <v>0</v>
      </c>
      <c r="DJF1590" s="55">
        <f t="shared" si="84"/>
        <v>0</v>
      </c>
      <c r="DJG1590" s="55">
        <f t="shared" si="84"/>
        <v>0</v>
      </c>
      <c r="DJH1590" s="55">
        <f t="shared" si="84"/>
        <v>0</v>
      </c>
      <c r="DJI1590" s="55">
        <f t="shared" si="84"/>
        <v>0</v>
      </c>
      <c r="DJJ1590" s="55">
        <f t="shared" si="84"/>
        <v>0</v>
      </c>
      <c r="DJK1590" s="55">
        <f t="shared" si="84"/>
        <v>0</v>
      </c>
      <c r="DJL1590" s="55">
        <f t="shared" si="84"/>
        <v>0</v>
      </c>
      <c r="DJM1590" s="55">
        <f t="shared" si="84"/>
        <v>0</v>
      </c>
      <c r="DJN1590" s="55">
        <f t="shared" si="84"/>
        <v>0</v>
      </c>
      <c r="DJO1590" s="55">
        <f t="shared" si="84"/>
        <v>0</v>
      </c>
      <c r="DJP1590" s="55">
        <f t="shared" si="84"/>
        <v>0</v>
      </c>
      <c r="DJQ1590" s="55">
        <f t="shared" si="84"/>
        <v>0</v>
      </c>
      <c r="DJR1590" s="55">
        <f t="shared" si="84"/>
        <v>0</v>
      </c>
      <c r="DJS1590" s="55">
        <f t="shared" si="84"/>
        <v>0</v>
      </c>
      <c r="DJT1590" s="55">
        <f t="shared" si="84"/>
        <v>0</v>
      </c>
      <c r="DJU1590" s="55">
        <f t="shared" si="84"/>
        <v>0</v>
      </c>
      <c r="DJV1590" s="55">
        <f t="shared" si="84"/>
        <v>0</v>
      </c>
      <c r="DJW1590" s="55">
        <f t="shared" si="84"/>
        <v>0</v>
      </c>
      <c r="DJX1590" s="55">
        <f t="shared" si="84"/>
        <v>0</v>
      </c>
      <c r="DJY1590" s="55">
        <f t="shared" si="84"/>
        <v>0</v>
      </c>
      <c r="DJZ1590" s="55">
        <f t="shared" si="84"/>
        <v>0</v>
      </c>
      <c r="DKA1590" s="55">
        <f t="shared" si="84"/>
        <v>0</v>
      </c>
      <c r="DKB1590" s="55">
        <f t="shared" si="84"/>
        <v>0</v>
      </c>
      <c r="DKC1590" s="55">
        <f t="shared" si="84"/>
        <v>0</v>
      </c>
      <c r="DKD1590" s="55">
        <f t="shared" si="84"/>
        <v>0</v>
      </c>
      <c r="DKE1590" s="55">
        <f t="shared" si="84"/>
        <v>0</v>
      </c>
      <c r="DKF1590" s="55">
        <f t="shared" si="84"/>
        <v>0</v>
      </c>
      <c r="DKG1590" s="55">
        <f t="shared" si="84"/>
        <v>0</v>
      </c>
      <c r="DKH1590" s="55">
        <f t="shared" si="84"/>
        <v>0</v>
      </c>
      <c r="DKI1590" s="55">
        <f t="shared" si="84"/>
        <v>0</v>
      </c>
      <c r="DKJ1590" s="55">
        <f t="shared" si="84"/>
        <v>0</v>
      </c>
      <c r="DKK1590" s="55">
        <f t="shared" si="84"/>
        <v>0</v>
      </c>
      <c r="DKL1590" s="55">
        <f t="shared" si="84"/>
        <v>0</v>
      </c>
      <c r="DKM1590" s="55">
        <f t="shared" si="84"/>
        <v>0</v>
      </c>
      <c r="DKN1590" s="55">
        <f t="shared" si="84"/>
        <v>0</v>
      </c>
      <c r="DKO1590" s="55">
        <f t="shared" si="84"/>
        <v>0</v>
      </c>
      <c r="DKP1590" s="55">
        <f t="shared" si="84"/>
        <v>0</v>
      </c>
      <c r="DKQ1590" s="55">
        <f t="shared" si="84"/>
        <v>0</v>
      </c>
      <c r="DKR1590" s="55">
        <f t="shared" si="84"/>
        <v>0</v>
      </c>
      <c r="DKS1590" s="55">
        <f t="shared" si="84"/>
        <v>0</v>
      </c>
      <c r="DKT1590" s="55">
        <f t="shared" si="84"/>
        <v>0</v>
      </c>
      <c r="DKU1590" s="55">
        <f t="shared" si="84"/>
        <v>0</v>
      </c>
      <c r="DKV1590" s="55">
        <f t="shared" si="84"/>
        <v>0</v>
      </c>
      <c r="DKW1590" s="55">
        <f t="shared" si="84"/>
        <v>0</v>
      </c>
      <c r="DKX1590" s="55">
        <f t="shared" si="84"/>
        <v>0</v>
      </c>
      <c r="DKY1590" s="55">
        <f t="shared" si="84"/>
        <v>0</v>
      </c>
      <c r="DKZ1590" s="55">
        <f t="shared" si="84"/>
        <v>0</v>
      </c>
      <c r="DLA1590" s="55">
        <f t="shared" si="84"/>
        <v>0</v>
      </c>
      <c r="DLB1590" s="55">
        <f t="shared" si="84"/>
        <v>0</v>
      </c>
      <c r="DLC1590" s="55">
        <f t="shared" si="84"/>
        <v>0</v>
      </c>
      <c r="DLD1590" s="55">
        <f t="shared" ref="DLD1590:DNO1590" si="85">+(DLD1600+DLD1604)*1.18*1.1</f>
        <v>0</v>
      </c>
      <c r="DLE1590" s="55">
        <f t="shared" si="85"/>
        <v>0</v>
      </c>
      <c r="DLF1590" s="55">
        <f t="shared" si="85"/>
        <v>0</v>
      </c>
      <c r="DLG1590" s="55">
        <f t="shared" si="85"/>
        <v>0</v>
      </c>
      <c r="DLH1590" s="55">
        <f t="shared" si="85"/>
        <v>0</v>
      </c>
      <c r="DLI1590" s="55">
        <f t="shared" si="85"/>
        <v>0</v>
      </c>
      <c r="DLJ1590" s="55">
        <f t="shared" si="85"/>
        <v>0</v>
      </c>
      <c r="DLK1590" s="55">
        <f t="shared" si="85"/>
        <v>0</v>
      </c>
      <c r="DLL1590" s="55">
        <f t="shared" si="85"/>
        <v>0</v>
      </c>
      <c r="DLM1590" s="55">
        <f t="shared" si="85"/>
        <v>0</v>
      </c>
      <c r="DLN1590" s="55">
        <f t="shared" si="85"/>
        <v>0</v>
      </c>
      <c r="DLO1590" s="55">
        <f t="shared" si="85"/>
        <v>0</v>
      </c>
      <c r="DLP1590" s="55">
        <f t="shared" si="85"/>
        <v>0</v>
      </c>
      <c r="DLQ1590" s="55">
        <f t="shared" si="85"/>
        <v>0</v>
      </c>
      <c r="DLR1590" s="55">
        <f t="shared" si="85"/>
        <v>0</v>
      </c>
      <c r="DLS1590" s="55">
        <f t="shared" si="85"/>
        <v>0</v>
      </c>
      <c r="DLT1590" s="55">
        <f t="shared" si="85"/>
        <v>0</v>
      </c>
      <c r="DLU1590" s="55">
        <f t="shared" si="85"/>
        <v>0</v>
      </c>
      <c r="DLV1590" s="55">
        <f t="shared" si="85"/>
        <v>0</v>
      </c>
      <c r="DLW1590" s="55">
        <f t="shared" si="85"/>
        <v>0</v>
      </c>
      <c r="DLX1590" s="55">
        <f t="shared" si="85"/>
        <v>0</v>
      </c>
      <c r="DLY1590" s="55">
        <f t="shared" si="85"/>
        <v>0</v>
      </c>
      <c r="DLZ1590" s="55">
        <f t="shared" si="85"/>
        <v>0</v>
      </c>
      <c r="DMA1590" s="55">
        <f t="shared" si="85"/>
        <v>0</v>
      </c>
      <c r="DMB1590" s="55">
        <f t="shared" si="85"/>
        <v>0</v>
      </c>
      <c r="DMC1590" s="55">
        <f t="shared" si="85"/>
        <v>0</v>
      </c>
      <c r="DMD1590" s="55">
        <f t="shared" si="85"/>
        <v>0</v>
      </c>
      <c r="DME1590" s="55">
        <f t="shared" si="85"/>
        <v>0</v>
      </c>
      <c r="DMF1590" s="55">
        <f t="shared" si="85"/>
        <v>0</v>
      </c>
      <c r="DMG1590" s="55">
        <f t="shared" si="85"/>
        <v>0</v>
      </c>
      <c r="DMH1590" s="55">
        <f t="shared" si="85"/>
        <v>0</v>
      </c>
      <c r="DMI1590" s="55">
        <f t="shared" si="85"/>
        <v>0</v>
      </c>
      <c r="DMJ1590" s="55">
        <f t="shared" si="85"/>
        <v>0</v>
      </c>
      <c r="DMK1590" s="55">
        <f t="shared" si="85"/>
        <v>0</v>
      </c>
      <c r="DML1590" s="55">
        <f t="shared" si="85"/>
        <v>0</v>
      </c>
      <c r="DMM1590" s="55">
        <f t="shared" si="85"/>
        <v>0</v>
      </c>
      <c r="DMN1590" s="55">
        <f t="shared" si="85"/>
        <v>0</v>
      </c>
      <c r="DMO1590" s="55">
        <f t="shared" si="85"/>
        <v>0</v>
      </c>
      <c r="DMP1590" s="55">
        <f t="shared" si="85"/>
        <v>0</v>
      </c>
      <c r="DMQ1590" s="55">
        <f t="shared" si="85"/>
        <v>0</v>
      </c>
      <c r="DMR1590" s="55">
        <f t="shared" si="85"/>
        <v>0</v>
      </c>
      <c r="DMS1590" s="55">
        <f t="shared" si="85"/>
        <v>0</v>
      </c>
      <c r="DMT1590" s="55">
        <f t="shared" si="85"/>
        <v>0</v>
      </c>
      <c r="DMU1590" s="55">
        <f t="shared" si="85"/>
        <v>0</v>
      </c>
      <c r="DMV1590" s="55">
        <f t="shared" si="85"/>
        <v>0</v>
      </c>
      <c r="DMW1590" s="55">
        <f t="shared" si="85"/>
        <v>0</v>
      </c>
      <c r="DMX1590" s="55">
        <f t="shared" si="85"/>
        <v>0</v>
      </c>
      <c r="DMY1590" s="55">
        <f t="shared" si="85"/>
        <v>0</v>
      </c>
      <c r="DMZ1590" s="55">
        <f t="shared" si="85"/>
        <v>0</v>
      </c>
      <c r="DNA1590" s="55">
        <f t="shared" si="85"/>
        <v>0</v>
      </c>
      <c r="DNB1590" s="55">
        <f t="shared" si="85"/>
        <v>0</v>
      </c>
      <c r="DNC1590" s="55">
        <f t="shared" si="85"/>
        <v>0</v>
      </c>
      <c r="DND1590" s="55">
        <f t="shared" si="85"/>
        <v>0</v>
      </c>
      <c r="DNE1590" s="55">
        <f t="shared" si="85"/>
        <v>0</v>
      </c>
      <c r="DNF1590" s="55">
        <f t="shared" si="85"/>
        <v>0</v>
      </c>
      <c r="DNG1590" s="55">
        <f t="shared" si="85"/>
        <v>0</v>
      </c>
      <c r="DNH1590" s="55">
        <f t="shared" si="85"/>
        <v>0</v>
      </c>
      <c r="DNI1590" s="55">
        <f t="shared" si="85"/>
        <v>0</v>
      </c>
      <c r="DNJ1590" s="55">
        <f t="shared" si="85"/>
        <v>0</v>
      </c>
      <c r="DNK1590" s="55">
        <f t="shared" si="85"/>
        <v>0</v>
      </c>
      <c r="DNL1590" s="55">
        <f t="shared" si="85"/>
        <v>0</v>
      </c>
      <c r="DNM1590" s="55">
        <f t="shared" si="85"/>
        <v>0</v>
      </c>
      <c r="DNN1590" s="55">
        <f t="shared" si="85"/>
        <v>0</v>
      </c>
      <c r="DNO1590" s="55">
        <f t="shared" si="85"/>
        <v>0</v>
      </c>
      <c r="DNP1590" s="55">
        <f t="shared" ref="DNP1590:DQA1590" si="86">+(DNP1600+DNP1604)*1.18*1.1</f>
        <v>0</v>
      </c>
      <c r="DNQ1590" s="55">
        <f t="shared" si="86"/>
        <v>0</v>
      </c>
      <c r="DNR1590" s="55">
        <f t="shared" si="86"/>
        <v>0</v>
      </c>
      <c r="DNS1590" s="55">
        <f t="shared" si="86"/>
        <v>0</v>
      </c>
      <c r="DNT1590" s="55">
        <f t="shared" si="86"/>
        <v>0</v>
      </c>
      <c r="DNU1590" s="55">
        <f t="shared" si="86"/>
        <v>0</v>
      </c>
      <c r="DNV1590" s="55">
        <f t="shared" si="86"/>
        <v>0</v>
      </c>
      <c r="DNW1590" s="55">
        <f t="shared" si="86"/>
        <v>0</v>
      </c>
      <c r="DNX1590" s="55">
        <f t="shared" si="86"/>
        <v>0</v>
      </c>
      <c r="DNY1590" s="55">
        <f t="shared" si="86"/>
        <v>0</v>
      </c>
      <c r="DNZ1590" s="55">
        <f t="shared" si="86"/>
        <v>0</v>
      </c>
      <c r="DOA1590" s="55">
        <f t="shared" si="86"/>
        <v>0</v>
      </c>
      <c r="DOB1590" s="55">
        <f t="shared" si="86"/>
        <v>0</v>
      </c>
      <c r="DOC1590" s="55">
        <f t="shared" si="86"/>
        <v>0</v>
      </c>
      <c r="DOD1590" s="55">
        <f t="shared" si="86"/>
        <v>0</v>
      </c>
      <c r="DOE1590" s="55">
        <f t="shared" si="86"/>
        <v>0</v>
      </c>
      <c r="DOF1590" s="55">
        <f t="shared" si="86"/>
        <v>0</v>
      </c>
      <c r="DOG1590" s="55">
        <f t="shared" si="86"/>
        <v>0</v>
      </c>
      <c r="DOH1590" s="55">
        <f t="shared" si="86"/>
        <v>0</v>
      </c>
      <c r="DOI1590" s="55">
        <f t="shared" si="86"/>
        <v>0</v>
      </c>
      <c r="DOJ1590" s="55">
        <f t="shared" si="86"/>
        <v>0</v>
      </c>
      <c r="DOK1590" s="55">
        <f t="shared" si="86"/>
        <v>0</v>
      </c>
      <c r="DOL1590" s="55">
        <f t="shared" si="86"/>
        <v>0</v>
      </c>
      <c r="DOM1590" s="55">
        <f t="shared" si="86"/>
        <v>0</v>
      </c>
      <c r="DON1590" s="55">
        <f t="shared" si="86"/>
        <v>0</v>
      </c>
      <c r="DOO1590" s="55">
        <f t="shared" si="86"/>
        <v>0</v>
      </c>
      <c r="DOP1590" s="55">
        <f t="shared" si="86"/>
        <v>0</v>
      </c>
      <c r="DOQ1590" s="55">
        <f t="shared" si="86"/>
        <v>0</v>
      </c>
      <c r="DOR1590" s="55">
        <f t="shared" si="86"/>
        <v>0</v>
      </c>
      <c r="DOS1590" s="55">
        <f t="shared" si="86"/>
        <v>0</v>
      </c>
      <c r="DOT1590" s="55">
        <f t="shared" si="86"/>
        <v>0</v>
      </c>
      <c r="DOU1590" s="55">
        <f t="shared" si="86"/>
        <v>0</v>
      </c>
      <c r="DOV1590" s="55">
        <f t="shared" si="86"/>
        <v>0</v>
      </c>
      <c r="DOW1590" s="55">
        <f t="shared" si="86"/>
        <v>0</v>
      </c>
      <c r="DOX1590" s="55">
        <f t="shared" si="86"/>
        <v>0</v>
      </c>
      <c r="DOY1590" s="55">
        <f t="shared" si="86"/>
        <v>0</v>
      </c>
      <c r="DOZ1590" s="55">
        <f t="shared" si="86"/>
        <v>0</v>
      </c>
      <c r="DPA1590" s="55">
        <f t="shared" si="86"/>
        <v>0</v>
      </c>
      <c r="DPB1590" s="55">
        <f t="shared" si="86"/>
        <v>0</v>
      </c>
      <c r="DPC1590" s="55">
        <f t="shared" si="86"/>
        <v>0</v>
      </c>
      <c r="DPD1590" s="55">
        <f t="shared" si="86"/>
        <v>0</v>
      </c>
      <c r="DPE1590" s="55">
        <f t="shared" si="86"/>
        <v>0</v>
      </c>
      <c r="DPF1590" s="55">
        <f t="shared" si="86"/>
        <v>0</v>
      </c>
      <c r="DPG1590" s="55">
        <f t="shared" si="86"/>
        <v>0</v>
      </c>
      <c r="DPH1590" s="55">
        <f t="shared" si="86"/>
        <v>0</v>
      </c>
      <c r="DPI1590" s="55">
        <f t="shared" si="86"/>
        <v>0</v>
      </c>
      <c r="DPJ1590" s="55">
        <f t="shared" si="86"/>
        <v>0</v>
      </c>
      <c r="DPK1590" s="55">
        <f t="shared" si="86"/>
        <v>0</v>
      </c>
      <c r="DPL1590" s="55">
        <f t="shared" si="86"/>
        <v>0</v>
      </c>
      <c r="DPM1590" s="55">
        <f t="shared" si="86"/>
        <v>0</v>
      </c>
      <c r="DPN1590" s="55">
        <f t="shared" si="86"/>
        <v>0</v>
      </c>
      <c r="DPO1590" s="55">
        <f t="shared" si="86"/>
        <v>0</v>
      </c>
      <c r="DPP1590" s="55">
        <f t="shared" si="86"/>
        <v>0</v>
      </c>
      <c r="DPQ1590" s="55">
        <f t="shared" si="86"/>
        <v>0</v>
      </c>
      <c r="DPR1590" s="55">
        <f t="shared" si="86"/>
        <v>0</v>
      </c>
      <c r="DPS1590" s="55">
        <f t="shared" si="86"/>
        <v>0</v>
      </c>
      <c r="DPT1590" s="55">
        <f t="shared" si="86"/>
        <v>0</v>
      </c>
      <c r="DPU1590" s="55">
        <f t="shared" si="86"/>
        <v>0</v>
      </c>
      <c r="DPV1590" s="55">
        <f t="shared" si="86"/>
        <v>0</v>
      </c>
      <c r="DPW1590" s="55">
        <f t="shared" si="86"/>
        <v>0</v>
      </c>
      <c r="DPX1590" s="55">
        <f t="shared" si="86"/>
        <v>0</v>
      </c>
      <c r="DPY1590" s="55">
        <f t="shared" si="86"/>
        <v>0</v>
      </c>
      <c r="DPZ1590" s="55">
        <f t="shared" si="86"/>
        <v>0</v>
      </c>
      <c r="DQA1590" s="55">
        <f t="shared" si="86"/>
        <v>0</v>
      </c>
      <c r="DQB1590" s="55">
        <f t="shared" ref="DQB1590:DSM1590" si="87">+(DQB1600+DQB1604)*1.18*1.1</f>
        <v>0</v>
      </c>
      <c r="DQC1590" s="55">
        <f t="shared" si="87"/>
        <v>0</v>
      </c>
      <c r="DQD1590" s="55">
        <f t="shared" si="87"/>
        <v>0</v>
      </c>
      <c r="DQE1590" s="55">
        <f t="shared" si="87"/>
        <v>0</v>
      </c>
      <c r="DQF1590" s="55">
        <f t="shared" si="87"/>
        <v>0</v>
      </c>
      <c r="DQG1590" s="55">
        <f t="shared" si="87"/>
        <v>0</v>
      </c>
      <c r="DQH1590" s="55">
        <f t="shared" si="87"/>
        <v>0</v>
      </c>
      <c r="DQI1590" s="55">
        <f t="shared" si="87"/>
        <v>0</v>
      </c>
      <c r="DQJ1590" s="55">
        <f t="shared" si="87"/>
        <v>0</v>
      </c>
      <c r="DQK1590" s="55">
        <f t="shared" si="87"/>
        <v>0</v>
      </c>
      <c r="DQL1590" s="55">
        <f t="shared" si="87"/>
        <v>0</v>
      </c>
      <c r="DQM1590" s="55">
        <f t="shared" si="87"/>
        <v>0</v>
      </c>
      <c r="DQN1590" s="55">
        <f t="shared" si="87"/>
        <v>0</v>
      </c>
      <c r="DQO1590" s="55">
        <f t="shared" si="87"/>
        <v>0</v>
      </c>
      <c r="DQP1590" s="55">
        <f t="shared" si="87"/>
        <v>0</v>
      </c>
      <c r="DQQ1590" s="55">
        <f t="shared" si="87"/>
        <v>0</v>
      </c>
      <c r="DQR1590" s="55">
        <f t="shared" si="87"/>
        <v>0</v>
      </c>
      <c r="DQS1590" s="55">
        <f t="shared" si="87"/>
        <v>0</v>
      </c>
      <c r="DQT1590" s="55">
        <f t="shared" si="87"/>
        <v>0</v>
      </c>
      <c r="DQU1590" s="55">
        <f t="shared" si="87"/>
        <v>0</v>
      </c>
      <c r="DQV1590" s="55">
        <f t="shared" si="87"/>
        <v>0</v>
      </c>
      <c r="DQW1590" s="55">
        <f t="shared" si="87"/>
        <v>0</v>
      </c>
      <c r="DQX1590" s="55">
        <f t="shared" si="87"/>
        <v>0</v>
      </c>
      <c r="DQY1590" s="55">
        <f t="shared" si="87"/>
        <v>0</v>
      </c>
      <c r="DQZ1590" s="55">
        <f t="shared" si="87"/>
        <v>0</v>
      </c>
      <c r="DRA1590" s="55">
        <f t="shared" si="87"/>
        <v>0</v>
      </c>
      <c r="DRB1590" s="55">
        <f t="shared" si="87"/>
        <v>0</v>
      </c>
      <c r="DRC1590" s="55">
        <f t="shared" si="87"/>
        <v>0</v>
      </c>
      <c r="DRD1590" s="55">
        <f t="shared" si="87"/>
        <v>0</v>
      </c>
      <c r="DRE1590" s="55">
        <f t="shared" si="87"/>
        <v>0</v>
      </c>
      <c r="DRF1590" s="55">
        <f t="shared" si="87"/>
        <v>0</v>
      </c>
      <c r="DRG1590" s="55">
        <f t="shared" si="87"/>
        <v>0</v>
      </c>
      <c r="DRH1590" s="55">
        <f t="shared" si="87"/>
        <v>0</v>
      </c>
      <c r="DRI1590" s="55">
        <f t="shared" si="87"/>
        <v>0</v>
      </c>
      <c r="DRJ1590" s="55">
        <f t="shared" si="87"/>
        <v>0</v>
      </c>
      <c r="DRK1590" s="55">
        <f t="shared" si="87"/>
        <v>0</v>
      </c>
      <c r="DRL1590" s="55">
        <f t="shared" si="87"/>
        <v>0</v>
      </c>
      <c r="DRM1590" s="55">
        <f t="shared" si="87"/>
        <v>0</v>
      </c>
      <c r="DRN1590" s="55">
        <f t="shared" si="87"/>
        <v>0</v>
      </c>
      <c r="DRO1590" s="55">
        <f t="shared" si="87"/>
        <v>0</v>
      </c>
      <c r="DRP1590" s="55">
        <f t="shared" si="87"/>
        <v>0</v>
      </c>
      <c r="DRQ1590" s="55">
        <f t="shared" si="87"/>
        <v>0</v>
      </c>
      <c r="DRR1590" s="55">
        <f t="shared" si="87"/>
        <v>0</v>
      </c>
      <c r="DRS1590" s="55">
        <f t="shared" si="87"/>
        <v>0</v>
      </c>
      <c r="DRT1590" s="55">
        <f t="shared" si="87"/>
        <v>0</v>
      </c>
      <c r="DRU1590" s="55">
        <f t="shared" si="87"/>
        <v>0</v>
      </c>
      <c r="DRV1590" s="55">
        <f t="shared" si="87"/>
        <v>0</v>
      </c>
      <c r="DRW1590" s="55">
        <f t="shared" si="87"/>
        <v>0</v>
      </c>
      <c r="DRX1590" s="55">
        <f t="shared" si="87"/>
        <v>0</v>
      </c>
      <c r="DRY1590" s="55">
        <f t="shared" si="87"/>
        <v>0</v>
      </c>
      <c r="DRZ1590" s="55">
        <f t="shared" si="87"/>
        <v>0</v>
      </c>
      <c r="DSA1590" s="55">
        <f t="shared" si="87"/>
        <v>0</v>
      </c>
      <c r="DSB1590" s="55">
        <f t="shared" si="87"/>
        <v>0</v>
      </c>
      <c r="DSC1590" s="55">
        <f t="shared" si="87"/>
        <v>0</v>
      </c>
      <c r="DSD1590" s="55">
        <f t="shared" si="87"/>
        <v>0</v>
      </c>
      <c r="DSE1590" s="55">
        <f t="shared" si="87"/>
        <v>0</v>
      </c>
      <c r="DSF1590" s="55">
        <f t="shared" si="87"/>
        <v>0</v>
      </c>
      <c r="DSG1590" s="55">
        <f t="shared" si="87"/>
        <v>0</v>
      </c>
      <c r="DSH1590" s="55">
        <f t="shared" si="87"/>
        <v>0</v>
      </c>
      <c r="DSI1590" s="55">
        <f t="shared" si="87"/>
        <v>0</v>
      </c>
      <c r="DSJ1590" s="55">
        <f t="shared" si="87"/>
        <v>0</v>
      </c>
      <c r="DSK1590" s="55">
        <f t="shared" si="87"/>
        <v>0</v>
      </c>
      <c r="DSL1590" s="55">
        <f t="shared" si="87"/>
        <v>0</v>
      </c>
      <c r="DSM1590" s="55">
        <f t="shared" si="87"/>
        <v>0</v>
      </c>
      <c r="DSN1590" s="55">
        <f t="shared" ref="DSN1590:DUY1590" si="88">+(DSN1600+DSN1604)*1.18*1.1</f>
        <v>0</v>
      </c>
      <c r="DSO1590" s="55">
        <f t="shared" si="88"/>
        <v>0</v>
      </c>
      <c r="DSP1590" s="55">
        <f t="shared" si="88"/>
        <v>0</v>
      </c>
      <c r="DSQ1590" s="55">
        <f t="shared" si="88"/>
        <v>0</v>
      </c>
      <c r="DSR1590" s="55">
        <f t="shared" si="88"/>
        <v>0</v>
      </c>
      <c r="DSS1590" s="55">
        <f t="shared" si="88"/>
        <v>0</v>
      </c>
      <c r="DST1590" s="55">
        <f t="shared" si="88"/>
        <v>0</v>
      </c>
      <c r="DSU1590" s="55">
        <f t="shared" si="88"/>
        <v>0</v>
      </c>
      <c r="DSV1590" s="55">
        <f t="shared" si="88"/>
        <v>0</v>
      </c>
      <c r="DSW1590" s="55">
        <f t="shared" si="88"/>
        <v>0</v>
      </c>
      <c r="DSX1590" s="55">
        <f t="shared" si="88"/>
        <v>0</v>
      </c>
      <c r="DSY1590" s="55">
        <f t="shared" si="88"/>
        <v>0</v>
      </c>
      <c r="DSZ1590" s="55">
        <f t="shared" si="88"/>
        <v>0</v>
      </c>
      <c r="DTA1590" s="55">
        <f t="shared" si="88"/>
        <v>0</v>
      </c>
      <c r="DTB1590" s="55">
        <f t="shared" si="88"/>
        <v>0</v>
      </c>
      <c r="DTC1590" s="55">
        <f t="shared" si="88"/>
        <v>0</v>
      </c>
      <c r="DTD1590" s="55">
        <f t="shared" si="88"/>
        <v>0</v>
      </c>
      <c r="DTE1590" s="55">
        <f t="shared" si="88"/>
        <v>0</v>
      </c>
      <c r="DTF1590" s="55">
        <f t="shared" si="88"/>
        <v>0</v>
      </c>
      <c r="DTG1590" s="55">
        <f t="shared" si="88"/>
        <v>0</v>
      </c>
      <c r="DTH1590" s="55">
        <f t="shared" si="88"/>
        <v>0</v>
      </c>
      <c r="DTI1590" s="55">
        <f t="shared" si="88"/>
        <v>0</v>
      </c>
      <c r="DTJ1590" s="55">
        <f t="shared" si="88"/>
        <v>0</v>
      </c>
      <c r="DTK1590" s="55">
        <f t="shared" si="88"/>
        <v>0</v>
      </c>
      <c r="DTL1590" s="55">
        <f t="shared" si="88"/>
        <v>0</v>
      </c>
      <c r="DTM1590" s="55">
        <f t="shared" si="88"/>
        <v>0</v>
      </c>
      <c r="DTN1590" s="55">
        <f t="shared" si="88"/>
        <v>0</v>
      </c>
      <c r="DTO1590" s="55">
        <f t="shared" si="88"/>
        <v>0</v>
      </c>
      <c r="DTP1590" s="55">
        <f t="shared" si="88"/>
        <v>0</v>
      </c>
      <c r="DTQ1590" s="55">
        <f t="shared" si="88"/>
        <v>0</v>
      </c>
      <c r="DTR1590" s="55">
        <f t="shared" si="88"/>
        <v>0</v>
      </c>
      <c r="DTS1590" s="55">
        <f t="shared" si="88"/>
        <v>0</v>
      </c>
      <c r="DTT1590" s="55">
        <f t="shared" si="88"/>
        <v>0</v>
      </c>
      <c r="DTU1590" s="55">
        <f t="shared" si="88"/>
        <v>0</v>
      </c>
      <c r="DTV1590" s="55">
        <f t="shared" si="88"/>
        <v>0</v>
      </c>
      <c r="DTW1590" s="55">
        <f t="shared" si="88"/>
        <v>0</v>
      </c>
      <c r="DTX1590" s="55">
        <f t="shared" si="88"/>
        <v>0</v>
      </c>
      <c r="DTY1590" s="55">
        <f t="shared" si="88"/>
        <v>0</v>
      </c>
      <c r="DTZ1590" s="55">
        <f t="shared" si="88"/>
        <v>0</v>
      </c>
      <c r="DUA1590" s="55">
        <f t="shared" si="88"/>
        <v>0</v>
      </c>
      <c r="DUB1590" s="55">
        <f t="shared" si="88"/>
        <v>0</v>
      </c>
      <c r="DUC1590" s="55">
        <f t="shared" si="88"/>
        <v>0</v>
      </c>
      <c r="DUD1590" s="55">
        <f t="shared" si="88"/>
        <v>0</v>
      </c>
      <c r="DUE1590" s="55">
        <f t="shared" si="88"/>
        <v>0</v>
      </c>
      <c r="DUF1590" s="55">
        <f t="shared" si="88"/>
        <v>0</v>
      </c>
      <c r="DUG1590" s="55">
        <f t="shared" si="88"/>
        <v>0</v>
      </c>
      <c r="DUH1590" s="55">
        <f t="shared" si="88"/>
        <v>0</v>
      </c>
      <c r="DUI1590" s="55">
        <f t="shared" si="88"/>
        <v>0</v>
      </c>
      <c r="DUJ1590" s="55">
        <f t="shared" si="88"/>
        <v>0</v>
      </c>
      <c r="DUK1590" s="55">
        <f t="shared" si="88"/>
        <v>0</v>
      </c>
      <c r="DUL1590" s="55">
        <f t="shared" si="88"/>
        <v>0</v>
      </c>
      <c r="DUM1590" s="55">
        <f t="shared" si="88"/>
        <v>0</v>
      </c>
      <c r="DUN1590" s="55">
        <f t="shared" si="88"/>
        <v>0</v>
      </c>
      <c r="DUO1590" s="55">
        <f t="shared" si="88"/>
        <v>0</v>
      </c>
      <c r="DUP1590" s="55">
        <f t="shared" si="88"/>
        <v>0</v>
      </c>
      <c r="DUQ1590" s="55">
        <f t="shared" si="88"/>
        <v>0</v>
      </c>
      <c r="DUR1590" s="55">
        <f t="shared" si="88"/>
        <v>0</v>
      </c>
      <c r="DUS1590" s="55">
        <f t="shared" si="88"/>
        <v>0</v>
      </c>
      <c r="DUT1590" s="55">
        <f t="shared" si="88"/>
        <v>0</v>
      </c>
      <c r="DUU1590" s="55">
        <f t="shared" si="88"/>
        <v>0</v>
      </c>
      <c r="DUV1590" s="55">
        <f t="shared" si="88"/>
        <v>0</v>
      </c>
      <c r="DUW1590" s="55">
        <f t="shared" si="88"/>
        <v>0</v>
      </c>
      <c r="DUX1590" s="55">
        <f t="shared" si="88"/>
        <v>0</v>
      </c>
      <c r="DUY1590" s="55">
        <f t="shared" si="88"/>
        <v>0</v>
      </c>
      <c r="DUZ1590" s="55">
        <f t="shared" ref="DUZ1590:DXK1590" si="89">+(DUZ1600+DUZ1604)*1.18*1.1</f>
        <v>0</v>
      </c>
      <c r="DVA1590" s="55">
        <f t="shared" si="89"/>
        <v>0</v>
      </c>
      <c r="DVB1590" s="55">
        <f t="shared" si="89"/>
        <v>0</v>
      </c>
      <c r="DVC1590" s="55">
        <f t="shared" si="89"/>
        <v>0</v>
      </c>
      <c r="DVD1590" s="55">
        <f t="shared" si="89"/>
        <v>0</v>
      </c>
      <c r="DVE1590" s="55">
        <f t="shared" si="89"/>
        <v>0</v>
      </c>
      <c r="DVF1590" s="55">
        <f t="shared" si="89"/>
        <v>0</v>
      </c>
      <c r="DVG1590" s="55">
        <f t="shared" si="89"/>
        <v>0</v>
      </c>
      <c r="DVH1590" s="55">
        <f t="shared" si="89"/>
        <v>0</v>
      </c>
      <c r="DVI1590" s="55">
        <f t="shared" si="89"/>
        <v>0</v>
      </c>
      <c r="DVJ1590" s="55">
        <f t="shared" si="89"/>
        <v>0</v>
      </c>
      <c r="DVK1590" s="55">
        <f t="shared" si="89"/>
        <v>0</v>
      </c>
      <c r="DVL1590" s="55">
        <f t="shared" si="89"/>
        <v>0</v>
      </c>
      <c r="DVM1590" s="55">
        <f t="shared" si="89"/>
        <v>0</v>
      </c>
      <c r="DVN1590" s="55">
        <f t="shared" si="89"/>
        <v>0</v>
      </c>
      <c r="DVO1590" s="55">
        <f t="shared" si="89"/>
        <v>0</v>
      </c>
      <c r="DVP1590" s="55">
        <f t="shared" si="89"/>
        <v>0</v>
      </c>
      <c r="DVQ1590" s="55">
        <f t="shared" si="89"/>
        <v>0</v>
      </c>
      <c r="DVR1590" s="55">
        <f t="shared" si="89"/>
        <v>0</v>
      </c>
      <c r="DVS1590" s="55">
        <f t="shared" si="89"/>
        <v>0</v>
      </c>
      <c r="DVT1590" s="55">
        <f t="shared" si="89"/>
        <v>0</v>
      </c>
      <c r="DVU1590" s="55">
        <f t="shared" si="89"/>
        <v>0</v>
      </c>
      <c r="DVV1590" s="55">
        <f t="shared" si="89"/>
        <v>0</v>
      </c>
      <c r="DVW1590" s="55">
        <f t="shared" si="89"/>
        <v>0</v>
      </c>
      <c r="DVX1590" s="55">
        <f t="shared" si="89"/>
        <v>0</v>
      </c>
      <c r="DVY1590" s="55">
        <f t="shared" si="89"/>
        <v>0</v>
      </c>
      <c r="DVZ1590" s="55">
        <f t="shared" si="89"/>
        <v>0</v>
      </c>
      <c r="DWA1590" s="55">
        <f t="shared" si="89"/>
        <v>0</v>
      </c>
      <c r="DWB1590" s="55">
        <f t="shared" si="89"/>
        <v>0</v>
      </c>
      <c r="DWC1590" s="55">
        <f t="shared" si="89"/>
        <v>0</v>
      </c>
      <c r="DWD1590" s="55">
        <f t="shared" si="89"/>
        <v>0</v>
      </c>
      <c r="DWE1590" s="55">
        <f t="shared" si="89"/>
        <v>0</v>
      </c>
      <c r="DWF1590" s="55">
        <f t="shared" si="89"/>
        <v>0</v>
      </c>
      <c r="DWG1590" s="55">
        <f t="shared" si="89"/>
        <v>0</v>
      </c>
      <c r="DWH1590" s="55">
        <f t="shared" si="89"/>
        <v>0</v>
      </c>
      <c r="DWI1590" s="55">
        <f t="shared" si="89"/>
        <v>0</v>
      </c>
      <c r="DWJ1590" s="55">
        <f t="shared" si="89"/>
        <v>0</v>
      </c>
      <c r="DWK1590" s="55">
        <f t="shared" si="89"/>
        <v>0</v>
      </c>
      <c r="DWL1590" s="55">
        <f t="shared" si="89"/>
        <v>0</v>
      </c>
      <c r="DWM1590" s="55">
        <f t="shared" si="89"/>
        <v>0</v>
      </c>
      <c r="DWN1590" s="55">
        <f t="shared" si="89"/>
        <v>0</v>
      </c>
      <c r="DWO1590" s="55">
        <f t="shared" si="89"/>
        <v>0</v>
      </c>
      <c r="DWP1590" s="55">
        <f t="shared" si="89"/>
        <v>0</v>
      </c>
      <c r="DWQ1590" s="55">
        <f t="shared" si="89"/>
        <v>0</v>
      </c>
      <c r="DWR1590" s="55">
        <f t="shared" si="89"/>
        <v>0</v>
      </c>
      <c r="DWS1590" s="55">
        <f t="shared" si="89"/>
        <v>0</v>
      </c>
      <c r="DWT1590" s="55">
        <f t="shared" si="89"/>
        <v>0</v>
      </c>
      <c r="DWU1590" s="55">
        <f t="shared" si="89"/>
        <v>0</v>
      </c>
      <c r="DWV1590" s="55">
        <f t="shared" si="89"/>
        <v>0</v>
      </c>
      <c r="DWW1590" s="55">
        <f t="shared" si="89"/>
        <v>0</v>
      </c>
      <c r="DWX1590" s="55">
        <f t="shared" si="89"/>
        <v>0</v>
      </c>
      <c r="DWY1590" s="55">
        <f t="shared" si="89"/>
        <v>0</v>
      </c>
      <c r="DWZ1590" s="55">
        <f t="shared" si="89"/>
        <v>0</v>
      </c>
      <c r="DXA1590" s="55">
        <f t="shared" si="89"/>
        <v>0</v>
      </c>
      <c r="DXB1590" s="55">
        <f t="shared" si="89"/>
        <v>0</v>
      </c>
      <c r="DXC1590" s="55">
        <f t="shared" si="89"/>
        <v>0</v>
      </c>
      <c r="DXD1590" s="55">
        <f t="shared" si="89"/>
        <v>0</v>
      </c>
      <c r="DXE1590" s="55">
        <f t="shared" si="89"/>
        <v>0</v>
      </c>
      <c r="DXF1590" s="55">
        <f t="shared" si="89"/>
        <v>0</v>
      </c>
      <c r="DXG1590" s="55">
        <f t="shared" si="89"/>
        <v>0</v>
      </c>
      <c r="DXH1590" s="55">
        <f t="shared" si="89"/>
        <v>0</v>
      </c>
      <c r="DXI1590" s="55">
        <f t="shared" si="89"/>
        <v>0</v>
      </c>
      <c r="DXJ1590" s="55">
        <f t="shared" si="89"/>
        <v>0</v>
      </c>
      <c r="DXK1590" s="55">
        <f t="shared" si="89"/>
        <v>0</v>
      </c>
      <c r="DXL1590" s="55">
        <f t="shared" ref="DXL1590:DZW1590" si="90">+(DXL1600+DXL1604)*1.18*1.1</f>
        <v>0</v>
      </c>
      <c r="DXM1590" s="55">
        <f t="shared" si="90"/>
        <v>0</v>
      </c>
      <c r="DXN1590" s="55">
        <f t="shared" si="90"/>
        <v>0</v>
      </c>
      <c r="DXO1590" s="55">
        <f t="shared" si="90"/>
        <v>0</v>
      </c>
      <c r="DXP1590" s="55">
        <f t="shared" si="90"/>
        <v>0</v>
      </c>
      <c r="DXQ1590" s="55">
        <f t="shared" si="90"/>
        <v>0</v>
      </c>
      <c r="DXR1590" s="55">
        <f t="shared" si="90"/>
        <v>0</v>
      </c>
      <c r="DXS1590" s="55">
        <f t="shared" si="90"/>
        <v>0</v>
      </c>
      <c r="DXT1590" s="55">
        <f t="shared" si="90"/>
        <v>0</v>
      </c>
      <c r="DXU1590" s="55">
        <f t="shared" si="90"/>
        <v>0</v>
      </c>
      <c r="DXV1590" s="55">
        <f t="shared" si="90"/>
        <v>0</v>
      </c>
      <c r="DXW1590" s="55">
        <f t="shared" si="90"/>
        <v>0</v>
      </c>
      <c r="DXX1590" s="55">
        <f t="shared" si="90"/>
        <v>0</v>
      </c>
      <c r="DXY1590" s="55">
        <f t="shared" si="90"/>
        <v>0</v>
      </c>
      <c r="DXZ1590" s="55">
        <f t="shared" si="90"/>
        <v>0</v>
      </c>
      <c r="DYA1590" s="55">
        <f t="shared" si="90"/>
        <v>0</v>
      </c>
      <c r="DYB1590" s="55">
        <f t="shared" si="90"/>
        <v>0</v>
      </c>
      <c r="DYC1590" s="55">
        <f t="shared" si="90"/>
        <v>0</v>
      </c>
      <c r="DYD1590" s="55">
        <f t="shared" si="90"/>
        <v>0</v>
      </c>
      <c r="DYE1590" s="55">
        <f t="shared" si="90"/>
        <v>0</v>
      </c>
      <c r="DYF1590" s="55">
        <f t="shared" si="90"/>
        <v>0</v>
      </c>
      <c r="DYG1590" s="55">
        <f t="shared" si="90"/>
        <v>0</v>
      </c>
      <c r="DYH1590" s="55">
        <f t="shared" si="90"/>
        <v>0</v>
      </c>
      <c r="DYI1590" s="55">
        <f t="shared" si="90"/>
        <v>0</v>
      </c>
      <c r="DYJ1590" s="55">
        <f t="shared" si="90"/>
        <v>0</v>
      </c>
      <c r="DYK1590" s="55">
        <f t="shared" si="90"/>
        <v>0</v>
      </c>
      <c r="DYL1590" s="55">
        <f t="shared" si="90"/>
        <v>0</v>
      </c>
      <c r="DYM1590" s="55">
        <f t="shared" si="90"/>
        <v>0</v>
      </c>
      <c r="DYN1590" s="55">
        <f t="shared" si="90"/>
        <v>0</v>
      </c>
      <c r="DYO1590" s="55">
        <f t="shared" si="90"/>
        <v>0</v>
      </c>
      <c r="DYP1590" s="55">
        <f t="shared" si="90"/>
        <v>0</v>
      </c>
      <c r="DYQ1590" s="55">
        <f t="shared" si="90"/>
        <v>0</v>
      </c>
      <c r="DYR1590" s="55">
        <f t="shared" si="90"/>
        <v>0</v>
      </c>
      <c r="DYS1590" s="55">
        <f t="shared" si="90"/>
        <v>0</v>
      </c>
      <c r="DYT1590" s="55">
        <f t="shared" si="90"/>
        <v>0</v>
      </c>
      <c r="DYU1590" s="55">
        <f t="shared" si="90"/>
        <v>0</v>
      </c>
      <c r="DYV1590" s="55">
        <f t="shared" si="90"/>
        <v>0</v>
      </c>
      <c r="DYW1590" s="55">
        <f t="shared" si="90"/>
        <v>0</v>
      </c>
      <c r="DYX1590" s="55">
        <f t="shared" si="90"/>
        <v>0</v>
      </c>
      <c r="DYY1590" s="55">
        <f t="shared" si="90"/>
        <v>0</v>
      </c>
      <c r="DYZ1590" s="55">
        <f t="shared" si="90"/>
        <v>0</v>
      </c>
      <c r="DZA1590" s="55">
        <f t="shared" si="90"/>
        <v>0</v>
      </c>
      <c r="DZB1590" s="55">
        <f t="shared" si="90"/>
        <v>0</v>
      </c>
      <c r="DZC1590" s="55">
        <f t="shared" si="90"/>
        <v>0</v>
      </c>
      <c r="DZD1590" s="55">
        <f t="shared" si="90"/>
        <v>0</v>
      </c>
      <c r="DZE1590" s="55">
        <f t="shared" si="90"/>
        <v>0</v>
      </c>
      <c r="DZF1590" s="55">
        <f t="shared" si="90"/>
        <v>0</v>
      </c>
      <c r="DZG1590" s="55">
        <f t="shared" si="90"/>
        <v>0</v>
      </c>
      <c r="DZH1590" s="55">
        <f t="shared" si="90"/>
        <v>0</v>
      </c>
      <c r="DZI1590" s="55">
        <f t="shared" si="90"/>
        <v>0</v>
      </c>
      <c r="DZJ1590" s="55">
        <f t="shared" si="90"/>
        <v>0</v>
      </c>
      <c r="DZK1590" s="55">
        <f t="shared" si="90"/>
        <v>0</v>
      </c>
      <c r="DZL1590" s="55">
        <f t="shared" si="90"/>
        <v>0</v>
      </c>
      <c r="DZM1590" s="55">
        <f t="shared" si="90"/>
        <v>0</v>
      </c>
      <c r="DZN1590" s="55">
        <f t="shared" si="90"/>
        <v>0</v>
      </c>
      <c r="DZO1590" s="55">
        <f t="shared" si="90"/>
        <v>0</v>
      </c>
      <c r="DZP1590" s="55">
        <f t="shared" si="90"/>
        <v>0</v>
      </c>
      <c r="DZQ1590" s="55">
        <f t="shared" si="90"/>
        <v>0</v>
      </c>
      <c r="DZR1590" s="55">
        <f t="shared" si="90"/>
        <v>0</v>
      </c>
      <c r="DZS1590" s="55">
        <f t="shared" si="90"/>
        <v>0</v>
      </c>
      <c r="DZT1590" s="55">
        <f t="shared" si="90"/>
        <v>0</v>
      </c>
      <c r="DZU1590" s="55">
        <f t="shared" si="90"/>
        <v>0</v>
      </c>
      <c r="DZV1590" s="55">
        <f t="shared" si="90"/>
        <v>0</v>
      </c>
      <c r="DZW1590" s="55">
        <f t="shared" si="90"/>
        <v>0</v>
      </c>
      <c r="DZX1590" s="55">
        <f t="shared" ref="DZX1590:ECI1590" si="91">+(DZX1600+DZX1604)*1.18*1.1</f>
        <v>0</v>
      </c>
      <c r="DZY1590" s="55">
        <f t="shared" si="91"/>
        <v>0</v>
      </c>
      <c r="DZZ1590" s="55">
        <f t="shared" si="91"/>
        <v>0</v>
      </c>
      <c r="EAA1590" s="55">
        <f t="shared" si="91"/>
        <v>0</v>
      </c>
      <c r="EAB1590" s="55">
        <f t="shared" si="91"/>
        <v>0</v>
      </c>
      <c r="EAC1590" s="55">
        <f t="shared" si="91"/>
        <v>0</v>
      </c>
      <c r="EAD1590" s="55">
        <f t="shared" si="91"/>
        <v>0</v>
      </c>
      <c r="EAE1590" s="55">
        <f t="shared" si="91"/>
        <v>0</v>
      </c>
      <c r="EAF1590" s="55">
        <f t="shared" si="91"/>
        <v>0</v>
      </c>
      <c r="EAG1590" s="55">
        <f t="shared" si="91"/>
        <v>0</v>
      </c>
      <c r="EAH1590" s="55">
        <f t="shared" si="91"/>
        <v>0</v>
      </c>
      <c r="EAI1590" s="55">
        <f t="shared" si="91"/>
        <v>0</v>
      </c>
      <c r="EAJ1590" s="55">
        <f t="shared" si="91"/>
        <v>0</v>
      </c>
      <c r="EAK1590" s="55">
        <f t="shared" si="91"/>
        <v>0</v>
      </c>
      <c r="EAL1590" s="55">
        <f t="shared" si="91"/>
        <v>0</v>
      </c>
      <c r="EAM1590" s="55">
        <f t="shared" si="91"/>
        <v>0</v>
      </c>
      <c r="EAN1590" s="55">
        <f t="shared" si="91"/>
        <v>0</v>
      </c>
      <c r="EAO1590" s="55">
        <f t="shared" si="91"/>
        <v>0</v>
      </c>
      <c r="EAP1590" s="55">
        <f t="shared" si="91"/>
        <v>0</v>
      </c>
      <c r="EAQ1590" s="55">
        <f t="shared" si="91"/>
        <v>0</v>
      </c>
      <c r="EAR1590" s="55">
        <f t="shared" si="91"/>
        <v>0</v>
      </c>
      <c r="EAS1590" s="55">
        <f t="shared" si="91"/>
        <v>0</v>
      </c>
      <c r="EAT1590" s="55">
        <f t="shared" si="91"/>
        <v>0</v>
      </c>
      <c r="EAU1590" s="55">
        <f t="shared" si="91"/>
        <v>0</v>
      </c>
      <c r="EAV1590" s="55">
        <f t="shared" si="91"/>
        <v>0</v>
      </c>
      <c r="EAW1590" s="55">
        <f t="shared" si="91"/>
        <v>0</v>
      </c>
      <c r="EAX1590" s="55">
        <f t="shared" si="91"/>
        <v>0</v>
      </c>
      <c r="EAY1590" s="55">
        <f t="shared" si="91"/>
        <v>0</v>
      </c>
      <c r="EAZ1590" s="55">
        <f t="shared" si="91"/>
        <v>0</v>
      </c>
      <c r="EBA1590" s="55">
        <f t="shared" si="91"/>
        <v>0</v>
      </c>
      <c r="EBB1590" s="55">
        <f t="shared" si="91"/>
        <v>0</v>
      </c>
      <c r="EBC1590" s="55">
        <f t="shared" si="91"/>
        <v>0</v>
      </c>
      <c r="EBD1590" s="55">
        <f t="shared" si="91"/>
        <v>0</v>
      </c>
      <c r="EBE1590" s="55">
        <f t="shared" si="91"/>
        <v>0</v>
      </c>
      <c r="EBF1590" s="55">
        <f t="shared" si="91"/>
        <v>0</v>
      </c>
      <c r="EBG1590" s="55">
        <f t="shared" si="91"/>
        <v>0</v>
      </c>
      <c r="EBH1590" s="55">
        <f t="shared" si="91"/>
        <v>0</v>
      </c>
      <c r="EBI1590" s="55">
        <f t="shared" si="91"/>
        <v>0</v>
      </c>
      <c r="EBJ1590" s="55">
        <f t="shared" si="91"/>
        <v>0</v>
      </c>
      <c r="EBK1590" s="55">
        <f t="shared" si="91"/>
        <v>0</v>
      </c>
      <c r="EBL1590" s="55">
        <f t="shared" si="91"/>
        <v>0</v>
      </c>
      <c r="EBM1590" s="55">
        <f t="shared" si="91"/>
        <v>0</v>
      </c>
      <c r="EBN1590" s="55">
        <f t="shared" si="91"/>
        <v>0</v>
      </c>
      <c r="EBO1590" s="55">
        <f t="shared" si="91"/>
        <v>0</v>
      </c>
      <c r="EBP1590" s="55">
        <f t="shared" si="91"/>
        <v>0</v>
      </c>
      <c r="EBQ1590" s="55">
        <f t="shared" si="91"/>
        <v>0</v>
      </c>
      <c r="EBR1590" s="55">
        <f t="shared" si="91"/>
        <v>0</v>
      </c>
      <c r="EBS1590" s="55">
        <f t="shared" si="91"/>
        <v>0</v>
      </c>
      <c r="EBT1590" s="55">
        <f t="shared" si="91"/>
        <v>0</v>
      </c>
      <c r="EBU1590" s="55">
        <f t="shared" si="91"/>
        <v>0</v>
      </c>
      <c r="EBV1590" s="55">
        <f t="shared" si="91"/>
        <v>0</v>
      </c>
      <c r="EBW1590" s="55">
        <f t="shared" si="91"/>
        <v>0</v>
      </c>
      <c r="EBX1590" s="55">
        <f t="shared" si="91"/>
        <v>0</v>
      </c>
      <c r="EBY1590" s="55">
        <f t="shared" si="91"/>
        <v>0</v>
      </c>
      <c r="EBZ1590" s="55">
        <f t="shared" si="91"/>
        <v>0</v>
      </c>
      <c r="ECA1590" s="55">
        <f t="shared" si="91"/>
        <v>0</v>
      </c>
      <c r="ECB1590" s="55">
        <f t="shared" si="91"/>
        <v>0</v>
      </c>
      <c r="ECC1590" s="55">
        <f t="shared" si="91"/>
        <v>0</v>
      </c>
      <c r="ECD1590" s="55">
        <f t="shared" si="91"/>
        <v>0</v>
      </c>
      <c r="ECE1590" s="55">
        <f t="shared" si="91"/>
        <v>0</v>
      </c>
      <c r="ECF1590" s="55">
        <f t="shared" si="91"/>
        <v>0</v>
      </c>
      <c r="ECG1590" s="55">
        <f t="shared" si="91"/>
        <v>0</v>
      </c>
      <c r="ECH1590" s="55">
        <f t="shared" si="91"/>
        <v>0</v>
      </c>
      <c r="ECI1590" s="55">
        <f t="shared" si="91"/>
        <v>0</v>
      </c>
      <c r="ECJ1590" s="55">
        <f t="shared" ref="ECJ1590:EEU1590" si="92">+(ECJ1600+ECJ1604)*1.18*1.1</f>
        <v>0</v>
      </c>
      <c r="ECK1590" s="55">
        <f t="shared" si="92"/>
        <v>0</v>
      </c>
      <c r="ECL1590" s="55">
        <f t="shared" si="92"/>
        <v>0</v>
      </c>
      <c r="ECM1590" s="55">
        <f t="shared" si="92"/>
        <v>0</v>
      </c>
      <c r="ECN1590" s="55">
        <f t="shared" si="92"/>
        <v>0</v>
      </c>
      <c r="ECO1590" s="55">
        <f t="shared" si="92"/>
        <v>0</v>
      </c>
      <c r="ECP1590" s="55">
        <f t="shared" si="92"/>
        <v>0</v>
      </c>
      <c r="ECQ1590" s="55">
        <f t="shared" si="92"/>
        <v>0</v>
      </c>
      <c r="ECR1590" s="55">
        <f t="shared" si="92"/>
        <v>0</v>
      </c>
      <c r="ECS1590" s="55">
        <f t="shared" si="92"/>
        <v>0</v>
      </c>
      <c r="ECT1590" s="55">
        <f t="shared" si="92"/>
        <v>0</v>
      </c>
      <c r="ECU1590" s="55">
        <f t="shared" si="92"/>
        <v>0</v>
      </c>
      <c r="ECV1590" s="55">
        <f t="shared" si="92"/>
        <v>0</v>
      </c>
      <c r="ECW1590" s="55">
        <f t="shared" si="92"/>
        <v>0</v>
      </c>
      <c r="ECX1590" s="55">
        <f t="shared" si="92"/>
        <v>0</v>
      </c>
      <c r="ECY1590" s="55">
        <f t="shared" si="92"/>
        <v>0</v>
      </c>
      <c r="ECZ1590" s="55">
        <f t="shared" si="92"/>
        <v>0</v>
      </c>
      <c r="EDA1590" s="55">
        <f t="shared" si="92"/>
        <v>0</v>
      </c>
      <c r="EDB1590" s="55">
        <f t="shared" si="92"/>
        <v>0</v>
      </c>
      <c r="EDC1590" s="55">
        <f t="shared" si="92"/>
        <v>0</v>
      </c>
      <c r="EDD1590" s="55">
        <f t="shared" si="92"/>
        <v>0</v>
      </c>
      <c r="EDE1590" s="55">
        <f t="shared" si="92"/>
        <v>0</v>
      </c>
      <c r="EDF1590" s="55">
        <f t="shared" si="92"/>
        <v>0</v>
      </c>
      <c r="EDG1590" s="55">
        <f t="shared" si="92"/>
        <v>0</v>
      </c>
      <c r="EDH1590" s="55">
        <f t="shared" si="92"/>
        <v>0</v>
      </c>
      <c r="EDI1590" s="55">
        <f t="shared" si="92"/>
        <v>0</v>
      </c>
      <c r="EDJ1590" s="55">
        <f t="shared" si="92"/>
        <v>0</v>
      </c>
      <c r="EDK1590" s="55">
        <f t="shared" si="92"/>
        <v>0</v>
      </c>
      <c r="EDL1590" s="55">
        <f t="shared" si="92"/>
        <v>0</v>
      </c>
      <c r="EDM1590" s="55">
        <f t="shared" si="92"/>
        <v>0</v>
      </c>
      <c r="EDN1590" s="55">
        <f t="shared" si="92"/>
        <v>0</v>
      </c>
      <c r="EDO1590" s="55">
        <f t="shared" si="92"/>
        <v>0</v>
      </c>
      <c r="EDP1590" s="55">
        <f t="shared" si="92"/>
        <v>0</v>
      </c>
      <c r="EDQ1590" s="55">
        <f t="shared" si="92"/>
        <v>0</v>
      </c>
      <c r="EDR1590" s="55">
        <f t="shared" si="92"/>
        <v>0</v>
      </c>
      <c r="EDS1590" s="55">
        <f t="shared" si="92"/>
        <v>0</v>
      </c>
      <c r="EDT1590" s="55">
        <f t="shared" si="92"/>
        <v>0</v>
      </c>
      <c r="EDU1590" s="55">
        <f t="shared" si="92"/>
        <v>0</v>
      </c>
      <c r="EDV1590" s="55">
        <f t="shared" si="92"/>
        <v>0</v>
      </c>
      <c r="EDW1590" s="55">
        <f t="shared" si="92"/>
        <v>0</v>
      </c>
      <c r="EDX1590" s="55">
        <f t="shared" si="92"/>
        <v>0</v>
      </c>
      <c r="EDY1590" s="55">
        <f t="shared" si="92"/>
        <v>0</v>
      </c>
      <c r="EDZ1590" s="55">
        <f t="shared" si="92"/>
        <v>0</v>
      </c>
      <c r="EEA1590" s="55">
        <f t="shared" si="92"/>
        <v>0</v>
      </c>
      <c r="EEB1590" s="55">
        <f t="shared" si="92"/>
        <v>0</v>
      </c>
      <c r="EEC1590" s="55">
        <f t="shared" si="92"/>
        <v>0</v>
      </c>
      <c r="EED1590" s="55">
        <f t="shared" si="92"/>
        <v>0</v>
      </c>
      <c r="EEE1590" s="55">
        <f t="shared" si="92"/>
        <v>0</v>
      </c>
      <c r="EEF1590" s="55">
        <f t="shared" si="92"/>
        <v>0</v>
      </c>
      <c r="EEG1590" s="55">
        <f t="shared" si="92"/>
        <v>0</v>
      </c>
      <c r="EEH1590" s="55">
        <f t="shared" si="92"/>
        <v>0</v>
      </c>
      <c r="EEI1590" s="55">
        <f t="shared" si="92"/>
        <v>0</v>
      </c>
      <c r="EEJ1590" s="55">
        <f t="shared" si="92"/>
        <v>0</v>
      </c>
      <c r="EEK1590" s="55">
        <f t="shared" si="92"/>
        <v>0</v>
      </c>
      <c r="EEL1590" s="55">
        <f t="shared" si="92"/>
        <v>0</v>
      </c>
      <c r="EEM1590" s="55">
        <f t="shared" si="92"/>
        <v>0</v>
      </c>
      <c r="EEN1590" s="55">
        <f t="shared" si="92"/>
        <v>0</v>
      </c>
      <c r="EEO1590" s="55">
        <f t="shared" si="92"/>
        <v>0</v>
      </c>
      <c r="EEP1590" s="55">
        <f t="shared" si="92"/>
        <v>0</v>
      </c>
      <c r="EEQ1590" s="55">
        <f t="shared" si="92"/>
        <v>0</v>
      </c>
      <c r="EER1590" s="55">
        <f t="shared" si="92"/>
        <v>0</v>
      </c>
      <c r="EES1590" s="55">
        <f t="shared" si="92"/>
        <v>0</v>
      </c>
      <c r="EET1590" s="55">
        <f t="shared" si="92"/>
        <v>0</v>
      </c>
      <c r="EEU1590" s="55">
        <f t="shared" si="92"/>
        <v>0</v>
      </c>
      <c r="EEV1590" s="55">
        <f t="shared" ref="EEV1590:EHG1590" si="93">+(EEV1600+EEV1604)*1.18*1.1</f>
        <v>0</v>
      </c>
      <c r="EEW1590" s="55">
        <f t="shared" si="93"/>
        <v>0</v>
      </c>
      <c r="EEX1590" s="55">
        <f t="shared" si="93"/>
        <v>0</v>
      </c>
      <c r="EEY1590" s="55">
        <f t="shared" si="93"/>
        <v>0</v>
      </c>
      <c r="EEZ1590" s="55">
        <f t="shared" si="93"/>
        <v>0</v>
      </c>
      <c r="EFA1590" s="55">
        <f t="shared" si="93"/>
        <v>0</v>
      </c>
      <c r="EFB1590" s="55">
        <f t="shared" si="93"/>
        <v>0</v>
      </c>
      <c r="EFC1590" s="55">
        <f t="shared" si="93"/>
        <v>0</v>
      </c>
      <c r="EFD1590" s="55">
        <f t="shared" si="93"/>
        <v>0</v>
      </c>
      <c r="EFE1590" s="55">
        <f t="shared" si="93"/>
        <v>0</v>
      </c>
      <c r="EFF1590" s="55">
        <f t="shared" si="93"/>
        <v>0</v>
      </c>
      <c r="EFG1590" s="55">
        <f t="shared" si="93"/>
        <v>0</v>
      </c>
      <c r="EFH1590" s="55">
        <f t="shared" si="93"/>
        <v>0</v>
      </c>
      <c r="EFI1590" s="55">
        <f t="shared" si="93"/>
        <v>0</v>
      </c>
      <c r="EFJ1590" s="55">
        <f t="shared" si="93"/>
        <v>0</v>
      </c>
      <c r="EFK1590" s="55">
        <f t="shared" si="93"/>
        <v>0</v>
      </c>
      <c r="EFL1590" s="55">
        <f t="shared" si="93"/>
        <v>0</v>
      </c>
      <c r="EFM1590" s="55">
        <f t="shared" si="93"/>
        <v>0</v>
      </c>
      <c r="EFN1590" s="55">
        <f t="shared" si="93"/>
        <v>0</v>
      </c>
      <c r="EFO1590" s="55">
        <f t="shared" si="93"/>
        <v>0</v>
      </c>
      <c r="EFP1590" s="55">
        <f t="shared" si="93"/>
        <v>0</v>
      </c>
      <c r="EFQ1590" s="55">
        <f t="shared" si="93"/>
        <v>0</v>
      </c>
      <c r="EFR1590" s="55">
        <f t="shared" si="93"/>
        <v>0</v>
      </c>
      <c r="EFS1590" s="55">
        <f t="shared" si="93"/>
        <v>0</v>
      </c>
      <c r="EFT1590" s="55">
        <f t="shared" si="93"/>
        <v>0</v>
      </c>
      <c r="EFU1590" s="55">
        <f t="shared" si="93"/>
        <v>0</v>
      </c>
      <c r="EFV1590" s="55">
        <f t="shared" si="93"/>
        <v>0</v>
      </c>
      <c r="EFW1590" s="55">
        <f t="shared" si="93"/>
        <v>0</v>
      </c>
      <c r="EFX1590" s="55">
        <f t="shared" si="93"/>
        <v>0</v>
      </c>
      <c r="EFY1590" s="55">
        <f t="shared" si="93"/>
        <v>0</v>
      </c>
      <c r="EFZ1590" s="55">
        <f t="shared" si="93"/>
        <v>0</v>
      </c>
      <c r="EGA1590" s="55">
        <f t="shared" si="93"/>
        <v>0</v>
      </c>
      <c r="EGB1590" s="55">
        <f t="shared" si="93"/>
        <v>0</v>
      </c>
      <c r="EGC1590" s="55">
        <f t="shared" si="93"/>
        <v>0</v>
      </c>
      <c r="EGD1590" s="55">
        <f t="shared" si="93"/>
        <v>0</v>
      </c>
      <c r="EGE1590" s="55">
        <f t="shared" si="93"/>
        <v>0</v>
      </c>
      <c r="EGF1590" s="55">
        <f t="shared" si="93"/>
        <v>0</v>
      </c>
      <c r="EGG1590" s="55">
        <f t="shared" si="93"/>
        <v>0</v>
      </c>
      <c r="EGH1590" s="55">
        <f t="shared" si="93"/>
        <v>0</v>
      </c>
      <c r="EGI1590" s="55">
        <f t="shared" si="93"/>
        <v>0</v>
      </c>
      <c r="EGJ1590" s="55">
        <f t="shared" si="93"/>
        <v>0</v>
      </c>
      <c r="EGK1590" s="55">
        <f t="shared" si="93"/>
        <v>0</v>
      </c>
      <c r="EGL1590" s="55">
        <f t="shared" si="93"/>
        <v>0</v>
      </c>
      <c r="EGM1590" s="55">
        <f t="shared" si="93"/>
        <v>0</v>
      </c>
      <c r="EGN1590" s="55">
        <f t="shared" si="93"/>
        <v>0</v>
      </c>
      <c r="EGO1590" s="55">
        <f t="shared" si="93"/>
        <v>0</v>
      </c>
      <c r="EGP1590" s="55">
        <f t="shared" si="93"/>
        <v>0</v>
      </c>
      <c r="EGQ1590" s="55">
        <f t="shared" si="93"/>
        <v>0</v>
      </c>
      <c r="EGR1590" s="55">
        <f t="shared" si="93"/>
        <v>0</v>
      </c>
      <c r="EGS1590" s="55">
        <f t="shared" si="93"/>
        <v>0</v>
      </c>
      <c r="EGT1590" s="55">
        <f t="shared" si="93"/>
        <v>0</v>
      </c>
      <c r="EGU1590" s="55">
        <f t="shared" si="93"/>
        <v>0</v>
      </c>
      <c r="EGV1590" s="55">
        <f t="shared" si="93"/>
        <v>0</v>
      </c>
      <c r="EGW1590" s="55">
        <f t="shared" si="93"/>
        <v>0</v>
      </c>
      <c r="EGX1590" s="55">
        <f t="shared" si="93"/>
        <v>0</v>
      </c>
      <c r="EGY1590" s="55">
        <f t="shared" si="93"/>
        <v>0</v>
      </c>
      <c r="EGZ1590" s="55">
        <f t="shared" si="93"/>
        <v>0</v>
      </c>
      <c r="EHA1590" s="55">
        <f t="shared" si="93"/>
        <v>0</v>
      </c>
      <c r="EHB1590" s="55">
        <f t="shared" si="93"/>
        <v>0</v>
      </c>
      <c r="EHC1590" s="55">
        <f t="shared" si="93"/>
        <v>0</v>
      </c>
      <c r="EHD1590" s="55">
        <f t="shared" si="93"/>
        <v>0</v>
      </c>
      <c r="EHE1590" s="55">
        <f t="shared" si="93"/>
        <v>0</v>
      </c>
      <c r="EHF1590" s="55">
        <f t="shared" si="93"/>
        <v>0</v>
      </c>
      <c r="EHG1590" s="55">
        <f t="shared" si="93"/>
        <v>0</v>
      </c>
      <c r="EHH1590" s="55">
        <f t="shared" ref="EHH1590:EJS1590" si="94">+(EHH1600+EHH1604)*1.18*1.1</f>
        <v>0</v>
      </c>
      <c r="EHI1590" s="55">
        <f t="shared" si="94"/>
        <v>0</v>
      </c>
      <c r="EHJ1590" s="55">
        <f t="shared" si="94"/>
        <v>0</v>
      </c>
      <c r="EHK1590" s="55">
        <f t="shared" si="94"/>
        <v>0</v>
      </c>
      <c r="EHL1590" s="55">
        <f t="shared" si="94"/>
        <v>0</v>
      </c>
      <c r="EHM1590" s="55">
        <f t="shared" si="94"/>
        <v>0</v>
      </c>
      <c r="EHN1590" s="55">
        <f t="shared" si="94"/>
        <v>0</v>
      </c>
      <c r="EHO1590" s="55">
        <f t="shared" si="94"/>
        <v>0</v>
      </c>
      <c r="EHP1590" s="55">
        <f t="shared" si="94"/>
        <v>0</v>
      </c>
      <c r="EHQ1590" s="55">
        <f t="shared" si="94"/>
        <v>0</v>
      </c>
      <c r="EHR1590" s="55">
        <f t="shared" si="94"/>
        <v>0</v>
      </c>
      <c r="EHS1590" s="55">
        <f t="shared" si="94"/>
        <v>0</v>
      </c>
      <c r="EHT1590" s="55">
        <f t="shared" si="94"/>
        <v>0</v>
      </c>
      <c r="EHU1590" s="55">
        <f t="shared" si="94"/>
        <v>0</v>
      </c>
      <c r="EHV1590" s="55">
        <f t="shared" si="94"/>
        <v>0</v>
      </c>
      <c r="EHW1590" s="55">
        <f t="shared" si="94"/>
        <v>0</v>
      </c>
      <c r="EHX1590" s="55">
        <f t="shared" si="94"/>
        <v>0</v>
      </c>
      <c r="EHY1590" s="55">
        <f t="shared" si="94"/>
        <v>0</v>
      </c>
      <c r="EHZ1590" s="55">
        <f t="shared" si="94"/>
        <v>0</v>
      </c>
      <c r="EIA1590" s="55">
        <f t="shared" si="94"/>
        <v>0</v>
      </c>
      <c r="EIB1590" s="55">
        <f t="shared" si="94"/>
        <v>0</v>
      </c>
      <c r="EIC1590" s="55">
        <f t="shared" si="94"/>
        <v>0</v>
      </c>
      <c r="EID1590" s="55">
        <f t="shared" si="94"/>
        <v>0</v>
      </c>
      <c r="EIE1590" s="55">
        <f t="shared" si="94"/>
        <v>0</v>
      </c>
      <c r="EIF1590" s="55">
        <f t="shared" si="94"/>
        <v>0</v>
      </c>
      <c r="EIG1590" s="55">
        <f t="shared" si="94"/>
        <v>0</v>
      </c>
      <c r="EIH1590" s="55">
        <f t="shared" si="94"/>
        <v>0</v>
      </c>
      <c r="EII1590" s="55">
        <f t="shared" si="94"/>
        <v>0</v>
      </c>
      <c r="EIJ1590" s="55">
        <f t="shared" si="94"/>
        <v>0</v>
      </c>
      <c r="EIK1590" s="55">
        <f t="shared" si="94"/>
        <v>0</v>
      </c>
      <c r="EIL1590" s="55">
        <f t="shared" si="94"/>
        <v>0</v>
      </c>
      <c r="EIM1590" s="55">
        <f t="shared" si="94"/>
        <v>0</v>
      </c>
      <c r="EIN1590" s="55">
        <f t="shared" si="94"/>
        <v>0</v>
      </c>
      <c r="EIO1590" s="55">
        <f t="shared" si="94"/>
        <v>0</v>
      </c>
      <c r="EIP1590" s="55">
        <f t="shared" si="94"/>
        <v>0</v>
      </c>
      <c r="EIQ1590" s="55">
        <f t="shared" si="94"/>
        <v>0</v>
      </c>
      <c r="EIR1590" s="55">
        <f t="shared" si="94"/>
        <v>0</v>
      </c>
      <c r="EIS1590" s="55">
        <f t="shared" si="94"/>
        <v>0</v>
      </c>
      <c r="EIT1590" s="55">
        <f t="shared" si="94"/>
        <v>0</v>
      </c>
      <c r="EIU1590" s="55">
        <f t="shared" si="94"/>
        <v>0</v>
      </c>
      <c r="EIV1590" s="55">
        <f t="shared" si="94"/>
        <v>0</v>
      </c>
      <c r="EIW1590" s="55">
        <f t="shared" si="94"/>
        <v>0</v>
      </c>
      <c r="EIX1590" s="55">
        <f t="shared" si="94"/>
        <v>0</v>
      </c>
      <c r="EIY1590" s="55">
        <f t="shared" si="94"/>
        <v>0</v>
      </c>
      <c r="EIZ1590" s="55">
        <f t="shared" si="94"/>
        <v>0</v>
      </c>
      <c r="EJA1590" s="55">
        <f t="shared" si="94"/>
        <v>0</v>
      </c>
      <c r="EJB1590" s="55">
        <f t="shared" si="94"/>
        <v>0</v>
      </c>
      <c r="EJC1590" s="55">
        <f t="shared" si="94"/>
        <v>0</v>
      </c>
      <c r="EJD1590" s="55">
        <f t="shared" si="94"/>
        <v>0</v>
      </c>
      <c r="EJE1590" s="55">
        <f t="shared" si="94"/>
        <v>0</v>
      </c>
      <c r="EJF1590" s="55">
        <f t="shared" si="94"/>
        <v>0</v>
      </c>
      <c r="EJG1590" s="55">
        <f t="shared" si="94"/>
        <v>0</v>
      </c>
      <c r="EJH1590" s="55">
        <f t="shared" si="94"/>
        <v>0</v>
      </c>
      <c r="EJI1590" s="55">
        <f t="shared" si="94"/>
        <v>0</v>
      </c>
      <c r="EJJ1590" s="55">
        <f t="shared" si="94"/>
        <v>0</v>
      </c>
      <c r="EJK1590" s="55">
        <f t="shared" si="94"/>
        <v>0</v>
      </c>
      <c r="EJL1590" s="55">
        <f t="shared" si="94"/>
        <v>0</v>
      </c>
      <c r="EJM1590" s="55">
        <f t="shared" si="94"/>
        <v>0</v>
      </c>
      <c r="EJN1590" s="55">
        <f t="shared" si="94"/>
        <v>0</v>
      </c>
      <c r="EJO1590" s="55">
        <f t="shared" si="94"/>
        <v>0</v>
      </c>
      <c r="EJP1590" s="55">
        <f t="shared" si="94"/>
        <v>0</v>
      </c>
      <c r="EJQ1590" s="55">
        <f t="shared" si="94"/>
        <v>0</v>
      </c>
      <c r="EJR1590" s="55">
        <f t="shared" si="94"/>
        <v>0</v>
      </c>
      <c r="EJS1590" s="55">
        <f t="shared" si="94"/>
        <v>0</v>
      </c>
      <c r="EJT1590" s="55">
        <f t="shared" ref="EJT1590:EME1590" si="95">+(EJT1600+EJT1604)*1.18*1.1</f>
        <v>0</v>
      </c>
      <c r="EJU1590" s="55">
        <f t="shared" si="95"/>
        <v>0</v>
      </c>
      <c r="EJV1590" s="55">
        <f t="shared" si="95"/>
        <v>0</v>
      </c>
      <c r="EJW1590" s="55">
        <f t="shared" si="95"/>
        <v>0</v>
      </c>
      <c r="EJX1590" s="55">
        <f t="shared" si="95"/>
        <v>0</v>
      </c>
      <c r="EJY1590" s="55">
        <f t="shared" si="95"/>
        <v>0</v>
      </c>
      <c r="EJZ1590" s="55">
        <f t="shared" si="95"/>
        <v>0</v>
      </c>
      <c r="EKA1590" s="55">
        <f t="shared" si="95"/>
        <v>0</v>
      </c>
      <c r="EKB1590" s="55">
        <f t="shared" si="95"/>
        <v>0</v>
      </c>
      <c r="EKC1590" s="55">
        <f t="shared" si="95"/>
        <v>0</v>
      </c>
      <c r="EKD1590" s="55">
        <f t="shared" si="95"/>
        <v>0</v>
      </c>
      <c r="EKE1590" s="55">
        <f t="shared" si="95"/>
        <v>0</v>
      </c>
      <c r="EKF1590" s="55">
        <f t="shared" si="95"/>
        <v>0</v>
      </c>
      <c r="EKG1590" s="55">
        <f t="shared" si="95"/>
        <v>0</v>
      </c>
      <c r="EKH1590" s="55">
        <f t="shared" si="95"/>
        <v>0</v>
      </c>
      <c r="EKI1590" s="55">
        <f t="shared" si="95"/>
        <v>0</v>
      </c>
      <c r="EKJ1590" s="55">
        <f t="shared" si="95"/>
        <v>0</v>
      </c>
      <c r="EKK1590" s="55">
        <f t="shared" si="95"/>
        <v>0</v>
      </c>
      <c r="EKL1590" s="55">
        <f t="shared" si="95"/>
        <v>0</v>
      </c>
      <c r="EKM1590" s="55">
        <f t="shared" si="95"/>
        <v>0</v>
      </c>
      <c r="EKN1590" s="55">
        <f t="shared" si="95"/>
        <v>0</v>
      </c>
      <c r="EKO1590" s="55">
        <f t="shared" si="95"/>
        <v>0</v>
      </c>
      <c r="EKP1590" s="55">
        <f t="shared" si="95"/>
        <v>0</v>
      </c>
      <c r="EKQ1590" s="55">
        <f t="shared" si="95"/>
        <v>0</v>
      </c>
      <c r="EKR1590" s="55">
        <f t="shared" si="95"/>
        <v>0</v>
      </c>
      <c r="EKS1590" s="55">
        <f t="shared" si="95"/>
        <v>0</v>
      </c>
      <c r="EKT1590" s="55">
        <f t="shared" si="95"/>
        <v>0</v>
      </c>
      <c r="EKU1590" s="55">
        <f t="shared" si="95"/>
        <v>0</v>
      </c>
      <c r="EKV1590" s="55">
        <f t="shared" si="95"/>
        <v>0</v>
      </c>
      <c r="EKW1590" s="55">
        <f t="shared" si="95"/>
        <v>0</v>
      </c>
      <c r="EKX1590" s="55">
        <f t="shared" si="95"/>
        <v>0</v>
      </c>
      <c r="EKY1590" s="55">
        <f t="shared" si="95"/>
        <v>0</v>
      </c>
      <c r="EKZ1590" s="55">
        <f t="shared" si="95"/>
        <v>0</v>
      </c>
      <c r="ELA1590" s="55">
        <f t="shared" si="95"/>
        <v>0</v>
      </c>
      <c r="ELB1590" s="55">
        <f t="shared" si="95"/>
        <v>0</v>
      </c>
      <c r="ELC1590" s="55">
        <f t="shared" si="95"/>
        <v>0</v>
      </c>
      <c r="ELD1590" s="55">
        <f t="shared" si="95"/>
        <v>0</v>
      </c>
      <c r="ELE1590" s="55">
        <f t="shared" si="95"/>
        <v>0</v>
      </c>
      <c r="ELF1590" s="55">
        <f t="shared" si="95"/>
        <v>0</v>
      </c>
      <c r="ELG1590" s="55">
        <f t="shared" si="95"/>
        <v>0</v>
      </c>
      <c r="ELH1590" s="55">
        <f t="shared" si="95"/>
        <v>0</v>
      </c>
      <c r="ELI1590" s="55">
        <f t="shared" si="95"/>
        <v>0</v>
      </c>
      <c r="ELJ1590" s="55">
        <f t="shared" si="95"/>
        <v>0</v>
      </c>
      <c r="ELK1590" s="55">
        <f t="shared" si="95"/>
        <v>0</v>
      </c>
      <c r="ELL1590" s="55">
        <f t="shared" si="95"/>
        <v>0</v>
      </c>
      <c r="ELM1590" s="55">
        <f t="shared" si="95"/>
        <v>0</v>
      </c>
      <c r="ELN1590" s="55">
        <f t="shared" si="95"/>
        <v>0</v>
      </c>
      <c r="ELO1590" s="55">
        <f t="shared" si="95"/>
        <v>0</v>
      </c>
      <c r="ELP1590" s="55">
        <f t="shared" si="95"/>
        <v>0</v>
      </c>
      <c r="ELQ1590" s="55">
        <f t="shared" si="95"/>
        <v>0</v>
      </c>
      <c r="ELR1590" s="55">
        <f t="shared" si="95"/>
        <v>0</v>
      </c>
      <c r="ELS1590" s="55">
        <f t="shared" si="95"/>
        <v>0</v>
      </c>
      <c r="ELT1590" s="55">
        <f t="shared" si="95"/>
        <v>0</v>
      </c>
      <c r="ELU1590" s="55">
        <f t="shared" si="95"/>
        <v>0</v>
      </c>
      <c r="ELV1590" s="55">
        <f t="shared" si="95"/>
        <v>0</v>
      </c>
      <c r="ELW1590" s="55">
        <f t="shared" si="95"/>
        <v>0</v>
      </c>
      <c r="ELX1590" s="55">
        <f t="shared" si="95"/>
        <v>0</v>
      </c>
      <c r="ELY1590" s="55">
        <f t="shared" si="95"/>
        <v>0</v>
      </c>
      <c r="ELZ1590" s="55">
        <f t="shared" si="95"/>
        <v>0</v>
      </c>
      <c r="EMA1590" s="55">
        <f t="shared" si="95"/>
        <v>0</v>
      </c>
      <c r="EMB1590" s="55">
        <f t="shared" si="95"/>
        <v>0</v>
      </c>
      <c r="EMC1590" s="55">
        <f t="shared" si="95"/>
        <v>0</v>
      </c>
      <c r="EMD1590" s="55">
        <f t="shared" si="95"/>
        <v>0</v>
      </c>
      <c r="EME1590" s="55">
        <f t="shared" si="95"/>
        <v>0</v>
      </c>
      <c r="EMF1590" s="55">
        <f t="shared" ref="EMF1590:EOQ1590" si="96">+(EMF1600+EMF1604)*1.18*1.1</f>
        <v>0</v>
      </c>
      <c r="EMG1590" s="55">
        <f t="shared" si="96"/>
        <v>0</v>
      </c>
      <c r="EMH1590" s="55">
        <f t="shared" si="96"/>
        <v>0</v>
      </c>
      <c r="EMI1590" s="55">
        <f t="shared" si="96"/>
        <v>0</v>
      </c>
      <c r="EMJ1590" s="55">
        <f t="shared" si="96"/>
        <v>0</v>
      </c>
      <c r="EMK1590" s="55">
        <f t="shared" si="96"/>
        <v>0</v>
      </c>
      <c r="EML1590" s="55">
        <f t="shared" si="96"/>
        <v>0</v>
      </c>
      <c r="EMM1590" s="55">
        <f t="shared" si="96"/>
        <v>0</v>
      </c>
      <c r="EMN1590" s="55">
        <f t="shared" si="96"/>
        <v>0</v>
      </c>
      <c r="EMO1590" s="55">
        <f t="shared" si="96"/>
        <v>0</v>
      </c>
      <c r="EMP1590" s="55">
        <f t="shared" si="96"/>
        <v>0</v>
      </c>
      <c r="EMQ1590" s="55">
        <f t="shared" si="96"/>
        <v>0</v>
      </c>
      <c r="EMR1590" s="55">
        <f t="shared" si="96"/>
        <v>0</v>
      </c>
      <c r="EMS1590" s="55">
        <f t="shared" si="96"/>
        <v>0</v>
      </c>
      <c r="EMT1590" s="55">
        <f t="shared" si="96"/>
        <v>0</v>
      </c>
      <c r="EMU1590" s="55">
        <f t="shared" si="96"/>
        <v>0</v>
      </c>
      <c r="EMV1590" s="55">
        <f t="shared" si="96"/>
        <v>0</v>
      </c>
      <c r="EMW1590" s="55">
        <f t="shared" si="96"/>
        <v>0</v>
      </c>
      <c r="EMX1590" s="55">
        <f t="shared" si="96"/>
        <v>0</v>
      </c>
      <c r="EMY1590" s="55">
        <f t="shared" si="96"/>
        <v>0</v>
      </c>
      <c r="EMZ1590" s="55">
        <f t="shared" si="96"/>
        <v>0</v>
      </c>
      <c r="ENA1590" s="55">
        <f t="shared" si="96"/>
        <v>0</v>
      </c>
      <c r="ENB1590" s="55">
        <f t="shared" si="96"/>
        <v>0</v>
      </c>
      <c r="ENC1590" s="55">
        <f t="shared" si="96"/>
        <v>0</v>
      </c>
      <c r="END1590" s="55">
        <f t="shared" si="96"/>
        <v>0</v>
      </c>
      <c r="ENE1590" s="55">
        <f t="shared" si="96"/>
        <v>0</v>
      </c>
      <c r="ENF1590" s="55">
        <f t="shared" si="96"/>
        <v>0</v>
      </c>
      <c r="ENG1590" s="55">
        <f t="shared" si="96"/>
        <v>0</v>
      </c>
      <c r="ENH1590" s="55">
        <f t="shared" si="96"/>
        <v>0</v>
      </c>
      <c r="ENI1590" s="55">
        <f t="shared" si="96"/>
        <v>0</v>
      </c>
      <c r="ENJ1590" s="55">
        <f t="shared" si="96"/>
        <v>0</v>
      </c>
      <c r="ENK1590" s="55">
        <f t="shared" si="96"/>
        <v>0</v>
      </c>
      <c r="ENL1590" s="55">
        <f t="shared" si="96"/>
        <v>0</v>
      </c>
      <c r="ENM1590" s="55">
        <f t="shared" si="96"/>
        <v>0</v>
      </c>
      <c r="ENN1590" s="55">
        <f t="shared" si="96"/>
        <v>0</v>
      </c>
      <c r="ENO1590" s="55">
        <f t="shared" si="96"/>
        <v>0</v>
      </c>
      <c r="ENP1590" s="55">
        <f t="shared" si="96"/>
        <v>0</v>
      </c>
      <c r="ENQ1590" s="55">
        <f t="shared" si="96"/>
        <v>0</v>
      </c>
      <c r="ENR1590" s="55">
        <f t="shared" si="96"/>
        <v>0</v>
      </c>
      <c r="ENS1590" s="55">
        <f t="shared" si="96"/>
        <v>0</v>
      </c>
      <c r="ENT1590" s="55">
        <f t="shared" si="96"/>
        <v>0</v>
      </c>
      <c r="ENU1590" s="55">
        <f t="shared" si="96"/>
        <v>0</v>
      </c>
      <c r="ENV1590" s="55">
        <f t="shared" si="96"/>
        <v>0</v>
      </c>
      <c r="ENW1590" s="55">
        <f t="shared" si="96"/>
        <v>0</v>
      </c>
      <c r="ENX1590" s="55">
        <f t="shared" si="96"/>
        <v>0</v>
      </c>
      <c r="ENY1590" s="55">
        <f t="shared" si="96"/>
        <v>0</v>
      </c>
      <c r="ENZ1590" s="55">
        <f t="shared" si="96"/>
        <v>0</v>
      </c>
      <c r="EOA1590" s="55">
        <f t="shared" si="96"/>
        <v>0</v>
      </c>
      <c r="EOB1590" s="55">
        <f t="shared" si="96"/>
        <v>0</v>
      </c>
      <c r="EOC1590" s="55">
        <f t="shared" si="96"/>
        <v>0</v>
      </c>
      <c r="EOD1590" s="55">
        <f t="shared" si="96"/>
        <v>0</v>
      </c>
      <c r="EOE1590" s="55">
        <f t="shared" si="96"/>
        <v>0</v>
      </c>
      <c r="EOF1590" s="55">
        <f t="shared" si="96"/>
        <v>0</v>
      </c>
      <c r="EOG1590" s="55">
        <f t="shared" si="96"/>
        <v>0</v>
      </c>
      <c r="EOH1590" s="55">
        <f t="shared" si="96"/>
        <v>0</v>
      </c>
      <c r="EOI1590" s="55">
        <f t="shared" si="96"/>
        <v>0</v>
      </c>
      <c r="EOJ1590" s="55">
        <f t="shared" si="96"/>
        <v>0</v>
      </c>
      <c r="EOK1590" s="55">
        <f t="shared" si="96"/>
        <v>0</v>
      </c>
      <c r="EOL1590" s="55">
        <f t="shared" si="96"/>
        <v>0</v>
      </c>
      <c r="EOM1590" s="55">
        <f t="shared" si="96"/>
        <v>0</v>
      </c>
      <c r="EON1590" s="55">
        <f t="shared" si="96"/>
        <v>0</v>
      </c>
      <c r="EOO1590" s="55">
        <f t="shared" si="96"/>
        <v>0</v>
      </c>
      <c r="EOP1590" s="55">
        <f t="shared" si="96"/>
        <v>0</v>
      </c>
      <c r="EOQ1590" s="55">
        <f t="shared" si="96"/>
        <v>0</v>
      </c>
      <c r="EOR1590" s="55">
        <f t="shared" ref="EOR1590:ERC1590" si="97">+(EOR1600+EOR1604)*1.18*1.1</f>
        <v>0</v>
      </c>
      <c r="EOS1590" s="55">
        <f t="shared" si="97"/>
        <v>0</v>
      </c>
      <c r="EOT1590" s="55">
        <f t="shared" si="97"/>
        <v>0</v>
      </c>
      <c r="EOU1590" s="55">
        <f t="shared" si="97"/>
        <v>0</v>
      </c>
      <c r="EOV1590" s="55">
        <f t="shared" si="97"/>
        <v>0</v>
      </c>
      <c r="EOW1590" s="55">
        <f t="shared" si="97"/>
        <v>0</v>
      </c>
      <c r="EOX1590" s="55">
        <f t="shared" si="97"/>
        <v>0</v>
      </c>
      <c r="EOY1590" s="55">
        <f t="shared" si="97"/>
        <v>0</v>
      </c>
      <c r="EOZ1590" s="55">
        <f t="shared" si="97"/>
        <v>0</v>
      </c>
      <c r="EPA1590" s="55">
        <f t="shared" si="97"/>
        <v>0</v>
      </c>
      <c r="EPB1590" s="55">
        <f t="shared" si="97"/>
        <v>0</v>
      </c>
      <c r="EPC1590" s="55">
        <f t="shared" si="97"/>
        <v>0</v>
      </c>
      <c r="EPD1590" s="55">
        <f t="shared" si="97"/>
        <v>0</v>
      </c>
      <c r="EPE1590" s="55">
        <f t="shared" si="97"/>
        <v>0</v>
      </c>
      <c r="EPF1590" s="55">
        <f t="shared" si="97"/>
        <v>0</v>
      </c>
      <c r="EPG1590" s="55">
        <f t="shared" si="97"/>
        <v>0</v>
      </c>
      <c r="EPH1590" s="55">
        <f t="shared" si="97"/>
        <v>0</v>
      </c>
      <c r="EPI1590" s="55">
        <f t="shared" si="97"/>
        <v>0</v>
      </c>
      <c r="EPJ1590" s="55">
        <f t="shared" si="97"/>
        <v>0</v>
      </c>
      <c r="EPK1590" s="55">
        <f t="shared" si="97"/>
        <v>0</v>
      </c>
      <c r="EPL1590" s="55">
        <f t="shared" si="97"/>
        <v>0</v>
      </c>
      <c r="EPM1590" s="55">
        <f t="shared" si="97"/>
        <v>0</v>
      </c>
      <c r="EPN1590" s="55">
        <f t="shared" si="97"/>
        <v>0</v>
      </c>
      <c r="EPO1590" s="55">
        <f t="shared" si="97"/>
        <v>0</v>
      </c>
      <c r="EPP1590" s="55">
        <f t="shared" si="97"/>
        <v>0</v>
      </c>
      <c r="EPQ1590" s="55">
        <f t="shared" si="97"/>
        <v>0</v>
      </c>
      <c r="EPR1590" s="55">
        <f t="shared" si="97"/>
        <v>0</v>
      </c>
      <c r="EPS1590" s="55">
        <f t="shared" si="97"/>
        <v>0</v>
      </c>
      <c r="EPT1590" s="55">
        <f t="shared" si="97"/>
        <v>0</v>
      </c>
      <c r="EPU1590" s="55">
        <f t="shared" si="97"/>
        <v>0</v>
      </c>
      <c r="EPV1590" s="55">
        <f t="shared" si="97"/>
        <v>0</v>
      </c>
      <c r="EPW1590" s="55">
        <f t="shared" si="97"/>
        <v>0</v>
      </c>
      <c r="EPX1590" s="55">
        <f t="shared" si="97"/>
        <v>0</v>
      </c>
      <c r="EPY1590" s="55">
        <f t="shared" si="97"/>
        <v>0</v>
      </c>
      <c r="EPZ1590" s="55">
        <f t="shared" si="97"/>
        <v>0</v>
      </c>
      <c r="EQA1590" s="55">
        <f t="shared" si="97"/>
        <v>0</v>
      </c>
      <c r="EQB1590" s="55">
        <f t="shared" si="97"/>
        <v>0</v>
      </c>
      <c r="EQC1590" s="55">
        <f t="shared" si="97"/>
        <v>0</v>
      </c>
      <c r="EQD1590" s="55">
        <f t="shared" si="97"/>
        <v>0</v>
      </c>
      <c r="EQE1590" s="55">
        <f t="shared" si="97"/>
        <v>0</v>
      </c>
      <c r="EQF1590" s="55">
        <f t="shared" si="97"/>
        <v>0</v>
      </c>
      <c r="EQG1590" s="55">
        <f t="shared" si="97"/>
        <v>0</v>
      </c>
      <c r="EQH1590" s="55">
        <f t="shared" si="97"/>
        <v>0</v>
      </c>
      <c r="EQI1590" s="55">
        <f t="shared" si="97"/>
        <v>0</v>
      </c>
      <c r="EQJ1590" s="55">
        <f t="shared" si="97"/>
        <v>0</v>
      </c>
      <c r="EQK1590" s="55">
        <f t="shared" si="97"/>
        <v>0</v>
      </c>
      <c r="EQL1590" s="55">
        <f t="shared" si="97"/>
        <v>0</v>
      </c>
      <c r="EQM1590" s="55">
        <f t="shared" si="97"/>
        <v>0</v>
      </c>
      <c r="EQN1590" s="55">
        <f t="shared" si="97"/>
        <v>0</v>
      </c>
      <c r="EQO1590" s="55">
        <f t="shared" si="97"/>
        <v>0</v>
      </c>
      <c r="EQP1590" s="55">
        <f t="shared" si="97"/>
        <v>0</v>
      </c>
      <c r="EQQ1590" s="55">
        <f t="shared" si="97"/>
        <v>0</v>
      </c>
      <c r="EQR1590" s="55">
        <f t="shared" si="97"/>
        <v>0</v>
      </c>
      <c r="EQS1590" s="55">
        <f t="shared" si="97"/>
        <v>0</v>
      </c>
      <c r="EQT1590" s="55">
        <f t="shared" si="97"/>
        <v>0</v>
      </c>
      <c r="EQU1590" s="55">
        <f t="shared" si="97"/>
        <v>0</v>
      </c>
      <c r="EQV1590" s="55">
        <f t="shared" si="97"/>
        <v>0</v>
      </c>
      <c r="EQW1590" s="55">
        <f t="shared" si="97"/>
        <v>0</v>
      </c>
      <c r="EQX1590" s="55">
        <f t="shared" si="97"/>
        <v>0</v>
      </c>
      <c r="EQY1590" s="55">
        <f t="shared" si="97"/>
        <v>0</v>
      </c>
      <c r="EQZ1590" s="55">
        <f t="shared" si="97"/>
        <v>0</v>
      </c>
      <c r="ERA1590" s="55">
        <f t="shared" si="97"/>
        <v>0</v>
      </c>
      <c r="ERB1590" s="55">
        <f t="shared" si="97"/>
        <v>0</v>
      </c>
      <c r="ERC1590" s="55">
        <f t="shared" si="97"/>
        <v>0</v>
      </c>
      <c r="ERD1590" s="55">
        <f t="shared" ref="ERD1590:ETO1590" si="98">+(ERD1600+ERD1604)*1.18*1.1</f>
        <v>0</v>
      </c>
      <c r="ERE1590" s="55">
        <f t="shared" si="98"/>
        <v>0</v>
      </c>
      <c r="ERF1590" s="55">
        <f t="shared" si="98"/>
        <v>0</v>
      </c>
      <c r="ERG1590" s="55">
        <f t="shared" si="98"/>
        <v>0</v>
      </c>
      <c r="ERH1590" s="55">
        <f t="shared" si="98"/>
        <v>0</v>
      </c>
      <c r="ERI1590" s="55">
        <f t="shared" si="98"/>
        <v>0</v>
      </c>
      <c r="ERJ1590" s="55">
        <f t="shared" si="98"/>
        <v>0</v>
      </c>
      <c r="ERK1590" s="55">
        <f t="shared" si="98"/>
        <v>0</v>
      </c>
      <c r="ERL1590" s="55">
        <f t="shared" si="98"/>
        <v>0</v>
      </c>
      <c r="ERM1590" s="55">
        <f t="shared" si="98"/>
        <v>0</v>
      </c>
      <c r="ERN1590" s="55">
        <f t="shared" si="98"/>
        <v>0</v>
      </c>
      <c r="ERO1590" s="55">
        <f t="shared" si="98"/>
        <v>0</v>
      </c>
      <c r="ERP1590" s="55">
        <f t="shared" si="98"/>
        <v>0</v>
      </c>
      <c r="ERQ1590" s="55">
        <f t="shared" si="98"/>
        <v>0</v>
      </c>
      <c r="ERR1590" s="55">
        <f t="shared" si="98"/>
        <v>0</v>
      </c>
      <c r="ERS1590" s="55">
        <f t="shared" si="98"/>
        <v>0</v>
      </c>
      <c r="ERT1590" s="55">
        <f t="shared" si="98"/>
        <v>0</v>
      </c>
      <c r="ERU1590" s="55">
        <f t="shared" si="98"/>
        <v>0</v>
      </c>
      <c r="ERV1590" s="55">
        <f t="shared" si="98"/>
        <v>0</v>
      </c>
      <c r="ERW1590" s="55">
        <f t="shared" si="98"/>
        <v>0</v>
      </c>
      <c r="ERX1590" s="55">
        <f t="shared" si="98"/>
        <v>0</v>
      </c>
      <c r="ERY1590" s="55">
        <f t="shared" si="98"/>
        <v>0</v>
      </c>
      <c r="ERZ1590" s="55">
        <f t="shared" si="98"/>
        <v>0</v>
      </c>
      <c r="ESA1590" s="55">
        <f t="shared" si="98"/>
        <v>0</v>
      </c>
      <c r="ESB1590" s="55">
        <f t="shared" si="98"/>
        <v>0</v>
      </c>
      <c r="ESC1590" s="55">
        <f t="shared" si="98"/>
        <v>0</v>
      </c>
      <c r="ESD1590" s="55">
        <f t="shared" si="98"/>
        <v>0</v>
      </c>
      <c r="ESE1590" s="55">
        <f t="shared" si="98"/>
        <v>0</v>
      </c>
      <c r="ESF1590" s="55">
        <f t="shared" si="98"/>
        <v>0</v>
      </c>
      <c r="ESG1590" s="55">
        <f t="shared" si="98"/>
        <v>0</v>
      </c>
      <c r="ESH1590" s="55">
        <f t="shared" si="98"/>
        <v>0</v>
      </c>
      <c r="ESI1590" s="55">
        <f t="shared" si="98"/>
        <v>0</v>
      </c>
      <c r="ESJ1590" s="55">
        <f t="shared" si="98"/>
        <v>0</v>
      </c>
      <c r="ESK1590" s="55">
        <f t="shared" si="98"/>
        <v>0</v>
      </c>
      <c r="ESL1590" s="55">
        <f t="shared" si="98"/>
        <v>0</v>
      </c>
      <c r="ESM1590" s="55">
        <f t="shared" si="98"/>
        <v>0</v>
      </c>
      <c r="ESN1590" s="55">
        <f t="shared" si="98"/>
        <v>0</v>
      </c>
      <c r="ESO1590" s="55">
        <f t="shared" si="98"/>
        <v>0</v>
      </c>
      <c r="ESP1590" s="55">
        <f t="shared" si="98"/>
        <v>0</v>
      </c>
      <c r="ESQ1590" s="55">
        <f t="shared" si="98"/>
        <v>0</v>
      </c>
      <c r="ESR1590" s="55">
        <f t="shared" si="98"/>
        <v>0</v>
      </c>
      <c r="ESS1590" s="55">
        <f t="shared" si="98"/>
        <v>0</v>
      </c>
      <c r="EST1590" s="55">
        <f t="shared" si="98"/>
        <v>0</v>
      </c>
      <c r="ESU1590" s="55">
        <f t="shared" si="98"/>
        <v>0</v>
      </c>
      <c r="ESV1590" s="55">
        <f t="shared" si="98"/>
        <v>0</v>
      </c>
      <c r="ESW1590" s="55">
        <f t="shared" si="98"/>
        <v>0</v>
      </c>
      <c r="ESX1590" s="55">
        <f t="shared" si="98"/>
        <v>0</v>
      </c>
      <c r="ESY1590" s="55">
        <f t="shared" si="98"/>
        <v>0</v>
      </c>
      <c r="ESZ1590" s="55">
        <f t="shared" si="98"/>
        <v>0</v>
      </c>
      <c r="ETA1590" s="55">
        <f t="shared" si="98"/>
        <v>0</v>
      </c>
      <c r="ETB1590" s="55">
        <f t="shared" si="98"/>
        <v>0</v>
      </c>
      <c r="ETC1590" s="55">
        <f t="shared" si="98"/>
        <v>0</v>
      </c>
      <c r="ETD1590" s="55">
        <f t="shared" si="98"/>
        <v>0</v>
      </c>
      <c r="ETE1590" s="55">
        <f t="shared" si="98"/>
        <v>0</v>
      </c>
      <c r="ETF1590" s="55">
        <f t="shared" si="98"/>
        <v>0</v>
      </c>
      <c r="ETG1590" s="55">
        <f t="shared" si="98"/>
        <v>0</v>
      </c>
      <c r="ETH1590" s="55">
        <f t="shared" si="98"/>
        <v>0</v>
      </c>
      <c r="ETI1590" s="55">
        <f t="shared" si="98"/>
        <v>0</v>
      </c>
      <c r="ETJ1590" s="55">
        <f t="shared" si="98"/>
        <v>0</v>
      </c>
      <c r="ETK1590" s="55">
        <f t="shared" si="98"/>
        <v>0</v>
      </c>
      <c r="ETL1590" s="55">
        <f t="shared" si="98"/>
        <v>0</v>
      </c>
      <c r="ETM1590" s="55">
        <f t="shared" si="98"/>
        <v>0</v>
      </c>
      <c r="ETN1590" s="55">
        <f t="shared" si="98"/>
        <v>0</v>
      </c>
      <c r="ETO1590" s="55">
        <f t="shared" si="98"/>
        <v>0</v>
      </c>
      <c r="ETP1590" s="55">
        <f t="shared" ref="ETP1590:EWA1590" si="99">+(ETP1600+ETP1604)*1.18*1.1</f>
        <v>0</v>
      </c>
      <c r="ETQ1590" s="55">
        <f t="shared" si="99"/>
        <v>0</v>
      </c>
      <c r="ETR1590" s="55">
        <f t="shared" si="99"/>
        <v>0</v>
      </c>
      <c r="ETS1590" s="55">
        <f t="shared" si="99"/>
        <v>0</v>
      </c>
      <c r="ETT1590" s="55">
        <f t="shared" si="99"/>
        <v>0</v>
      </c>
      <c r="ETU1590" s="55">
        <f t="shared" si="99"/>
        <v>0</v>
      </c>
      <c r="ETV1590" s="55">
        <f t="shared" si="99"/>
        <v>0</v>
      </c>
      <c r="ETW1590" s="55">
        <f t="shared" si="99"/>
        <v>0</v>
      </c>
      <c r="ETX1590" s="55">
        <f t="shared" si="99"/>
        <v>0</v>
      </c>
      <c r="ETY1590" s="55">
        <f t="shared" si="99"/>
        <v>0</v>
      </c>
      <c r="ETZ1590" s="55">
        <f t="shared" si="99"/>
        <v>0</v>
      </c>
      <c r="EUA1590" s="55">
        <f t="shared" si="99"/>
        <v>0</v>
      </c>
      <c r="EUB1590" s="55">
        <f t="shared" si="99"/>
        <v>0</v>
      </c>
      <c r="EUC1590" s="55">
        <f t="shared" si="99"/>
        <v>0</v>
      </c>
      <c r="EUD1590" s="55">
        <f t="shared" si="99"/>
        <v>0</v>
      </c>
      <c r="EUE1590" s="55">
        <f t="shared" si="99"/>
        <v>0</v>
      </c>
      <c r="EUF1590" s="55">
        <f t="shared" si="99"/>
        <v>0</v>
      </c>
      <c r="EUG1590" s="55">
        <f t="shared" si="99"/>
        <v>0</v>
      </c>
      <c r="EUH1590" s="55">
        <f t="shared" si="99"/>
        <v>0</v>
      </c>
      <c r="EUI1590" s="55">
        <f t="shared" si="99"/>
        <v>0</v>
      </c>
      <c r="EUJ1590" s="55">
        <f t="shared" si="99"/>
        <v>0</v>
      </c>
      <c r="EUK1590" s="55">
        <f t="shared" si="99"/>
        <v>0</v>
      </c>
      <c r="EUL1590" s="55">
        <f t="shared" si="99"/>
        <v>0</v>
      </c>
      <c r="EUM1590" s="55">
        <f t="shared" si="99"/>
        <v>0</v>
      </c>
      <c r="EUN1590" s="55">
        <f t="shared" si="99"/>
        <v>0</v>
      </c>
      <c r="EUO1590" s="55">
        <f t="shared" si="99"/>
        <v>0</v>
      </c>
      <c r="EUP1590" s="55">
        <f t="shared" si="99"/>
        <v>0</v>
      </c>
      <c r="EUQ1590" s="55">
        <f t="shared" si="99"/>
        <v>0</v>
      </c>
      <c r="EUR1590" s="55">
        <f t="shared" si="99"/>
        <v>0</v>
      </c>
      <c r="EUS1590" s="55">
        <f t="shared" si="99"/>
        <v>0</v>
      </c>
      <c r="EUT1590" s="55">
        <f t="shared" si="99"/>
        <v>0</v>
      </c>
      <c r="EUU1590" s="55">
        <f t="shared" si="99"/>
        <v>0</v>
      </c>
      <c r="EUV1590" s="55">
        <f t="shared" si="99"/>
        <v>0</v>
      </c>
      <c r="EUW1590" s="55">
        <f t="shared" si="99"/>
        <v>0</v>
      </c>
      <c r="EUX1590" s="55">
        <f t="shared" si="99"/>
        <v>0</v>
      </c>
      <c r="EUY1590" s="55">
        <f t="shared" si="99"/>
        <v>0</v>
      </c>
      <c r="EUZ1590" s="55">
        <f t="shared" si="99"/>
        <v>0</v>
      </c>
      <c r="EVA1590" s="55">
        <f t="shared" si="99"/>
        <v>0</v>
      </c>
      <c r="EVB1590" s="55">
        <f t="shared" si="99"/>
        <v>0</v>
      </c>
      <c r="EVC1590" s="55">
        <f t="shared" si="99"/>
        <v>0</v>
      </c>
      <c r="EVD1590" s="55">
        <f t="shared" si="99"/>
        <v>0</v>
      </c>
      <c r="EVE1590" s="55">
        <f t="shared" si="99"/>
        <v>0</v>
      </c>
      <c r="EVF1590" s="55">
        <f t="shared" si="99"/>
        <v>0</v>
      </c>
      <c r="EVG1590" s="55">
        <f t="shared" si="99"/>
        <v>0</v>
      </c>
      <c r="EVH1590" s="55">
        <f t="shared" si="99"/>
        <v>0</v>
      </c>
      <c r="EVI1590" s="55">
        <f t="shared" si="99"/>
        <v>0</v>
      </c>
      <c r="EVJ1590" s="55">
        <f t="shared" si="99"/>
        <v>0</v>
      </c>
      <c r="EVK1590" s="55">
        <f t="shared" si="99"/>
        <v>0</v>
      </c>
      <c r="EVL1590" s="55">
        <f t="shared" si="99"/>
        <v>0</v>
      </c>
      <c r="EVM1590" s="55">
        <f t="shared" si="99"/>
        <v>0</v>
      </c>
      <c r="EVN1590" s="55">
        <f t="shared" si="99"/>
        <v>0</v>
      </c>
      <c r="EVO1590" s="55">
        <f t="shared" si="99"/>
        <v>0</v>
      </c>
      <c r="EVP1590" s="55">
        <f t="shared" si="99"/>
        <v>0</v>
      </c>
      <c r="EVQ1590" s="55">
        <f t="shared" si="99"/>
        <v>0</v>
      </c>
      <c r="EVR1590" s="55">
        <f t="shared" si="99"/>
        <v>0</v>
      </c>
      <c r="EVS1590" s="55">
        <f t="shared" si="99"/>
        <v>0</v>
      </c>
      <c r="EVT1590" s="55">
        <f t="shared" si="99"/>
        <v>0</v>
      </c>
      <c r="EVU1590" s="55">
        <f t="shared" si="99"/>
        <v>0</v>
      </c>
      <c r="EVV1590" s="55">
        <f t="shared" si="99"/>
        <v>0</v>
      </c>
      <c r="EVW1590" s="55">
        <f t="shared" si="99"/>
        <v>0</v>
      </c>
      <c r="EVX1590" s="55">
        <f t="shared" si="99"/>
        <v>0</v>
      </c>
      <c r="EVY1590" s="55">
        <f t="shared" si="99"/>
        <v>0</v>
      </c>
      <c r="EVZ1590" s="55">
        <f t="shared" si="99"/>
        <v>0</v>
      </c>
      <c r="EWA1590" s="55">
        <f t="shared" si="99"/>
        <v>0</v>
      </c>
      <c r="EWB1590" s="55">
        <f t="shared" ref="EWB1590:EYM1590" si="100">+(EWB1600+EWB1604)*1.18*1.1</f>
        <v>0</v>
      </c>
      <c r="EWC1590" s="55">
        <f t="shared" si="100"/>
        <v>0</v>
      </c>
      <c r="EWD1590" s="55">
        <f t="shared" si="100"/>
        <v>0</v>
      </c>
      <c r="EWE1590" s="55">
        <f t="shared" si="100"/>
        <v>0</v>
      </c>
      <c r="EWF1590" s="55">
        <f t="shared" si="100"/>
        <v>0</v>
      </c>
      <c r="EWG1590" s="55">
        <f t="shared" si="100"/>
        <v>0</v>
      </c>
      <c r="EWH1590" s="55">
        <f t="shared" si="100"/>
        <v>0</v>
      </c>
      <c r="EWI1590" s="55">
        <f t="shared" si="100"/>
        <v>0</v>
      </c>
      <c r="EWJ1590" s="55">
        <f t="shared" si="100"/>
        <v>0</v>
      </c>
      <c r="EWK1590" s="55">
        <f t="shared" si="100"/>
        <v>0</v>
      </c>
      <c r="EWL1590" s="55">
        <f t="shared" si="100"/>
        <v>0</v>
      </c>
      <c r="EWM1590" s="55">
        <f t="shared" si="100"/>
        <v>0</v>
      </c>
      <c r="EWN1590" s="55">
        <f t="shared" si="100"/>
        <v>0</v>
      </c>
      <c r="EWO1590" s="55">
        <f t="shared" si="100"/>
        <v>0</v>
      </c>
      <c r="EWP1590" s="55">
        <f t="shared" si="100"/>
        <v>0</v>
      </c>
      <c r="EWQ1590" s="55">
        <f t="shared" si="100"/>
        <v>0</v>
      </c>
      <c r="EWR1590" s="55">
        <f t="shared" si="100"/>
        <v>0</v>
      </c>
      <c r="EWS1590" s="55">
        <f t="shared" si="100"/>
        <v>0</v>
      </c>
      <c r="EWT1590" s="55">
        <f t="shared" si="100"/>
        <v>0</v>
      </c>
      <c r="EWU1590" s="55">
        <f t="shared" si="100"/>
        <v>0</v>
      </c>
      <c r="EWV1590" s="55">
        <f t="shared" si="100"/>
        <v>0</v>
      </c>
      <c r="EWW1590" s="55">
        <f t="shared" si="100"/>
        <v>0</v>
      </c>
      <c r="EWX1590" s="55">
        <f t="shared" si="100"/>
        <v>0</v>
      </c>
      <c r="EWY1590" s="55">
        <f t="shared" si="100"/>
        <v>0</v>
      </c>
      <c r="EWZ1590" s="55">
        <f t="shared" si="100"/>
        <v>0</v>
      </c>
      <c r="EXA1590" s="55">
        <f t="shared" si="100"/>
        <v>0</v>
      </c>
      <c r="EXB1590" s="55">
        <f t="shared" si="100"/>
        <v>0</v>
      </c>
      <c r="EXC1590" s="55">
        <f t="shared" si="100"/>
        <v>0</v>
      </c>
      <c r="EXD1590" s="55">
        <f t="shared" si="100"/>
        <v>0</v>
      </c>
      <c r="EXE1590" s="55">
        <f t="shared" si="100"/>
        <v>0</v>
      </c>
      <c r="EXF1590" s="55">
        <f t="shared" si="100"/>
        <v>0</v>
      </c>
      <c r="EXG1590" s="55">
        <f t="shared" si="100"/>
        <v>0</v>
      </c>
      <c r="EXH1590" s="55">
        <f t="shared" si="100"/>
        <v>0</v>
      </c>
      <c r="EXI1590" s="55">
        <f t="shared" si="100"/>
        <v>0</v>
      </c>
      <c r="EXJ1590" s="55">
        <f t="shared" si="100"/>
        <v>0</v>
      </c>
      <c r="EXK1590" s="55">
        <f t="shared" si="100"/>
        <v>0</v>
      </c>
      <c r="EXL1590" s="55">
        <f t="shared" si="100"/>
        <v>0</v>
      </c>
      <c r="EXM1590" s="55">
        <f t="shared" si="100"/>
        <v>0</v>
      </c>
      <c r="EXN1590" s="55">
        <f t="shared" si="100"/>
        <v>0</v>
      </c>
      <c r="EXO1590" s="55">
        <f t="shared" si="100"/>
        <v>0</v>
      </c>
      <c r="EXP1590" s="55">
        <f t="shared" si="100"/>
        <v>0</v>
      </c>
      <c r="EXQ1590" s="55">
        <f t="shared" si="100"/>
        <v>0</v>
      </c>
      <c r="EXR1590" s="55">
        <f t="shared" si="100"/>
        <v>0</v>
      </c>
      <c r="EXS1590" s="55">
        <f t="shared" si="100"/>
        <v>0</v>
      </c>
      <c r="EXT1590" s="55">
        <f t="shared" si="100"/>
        <v>0</v>
      </c>
      <c r="EXU1590" s="55">
        <f t="shared" si="100"/>
        <v>0</v>
      </c>
      <c r="EXV1590" s="55">
        <f t="shared" si="100"/>
        <v>0</v>
      </c>
      <c r="EXW1590" s="55">
        <f t="shared" si="100"/>
        <v>0</v>
      </c>
      <c r="EXX1590" s="55">
        <f t="shared" si="100"/>
        <v>0</v>
      </c>
      <c r="EXY1590" s="55">
        <f t="shared" si="100"/>
        <v>0</v>
      </c>
      <c r="EXZ1590" s="55">
        <f t="shared" si="100"/>
        <v>0</v>
      </c>
      <c r="EYA1590" s="55">
        <f t="shared" si="100"/>
        <v>0</v>
      </c>
      <c r="EYB1590" s="55">
        <f t="shared" si="100"/>
        <v>0</v>
      </c>
      <c r="EYC1590" s="55">
        <f t="shared" si="100"/>
        <v>0</v>
      </c>
      <c r="EYD1590" s="55">
        <f t="shared" si="100"/>
        <v>0</v>
      </c>
      <c r="EYE1590" s="55">
        <f t="shared" si="100"/>
        <v>0</v>
      </c>
      <c r="EYF1590" s="55">
        <f t="shared" si="100"/>
        <v>0</v>
      </c>
      <c r="EYG1590" s="55">
        <f t="shared" si="100"/>
        <v>0</v>
      </c>
      <c r="EYH1590" s="55">
        <f t="shared" si="100"/>
        <v>0</v>
      </c>
      <c r="EYI1590" s="55">
        <f t="shared" si="100"/>
        <v>0</v>
      </c>
      <c r="EYJ1590" s="55">
        <f t="shared" si="100"/>
        <v>0</v>
      </c>
      <c r="EYK1590" s="55">
        <f t="shared" si="100"/>
        <v>0</v>
      </c>
      <c r="EYL1590" s="55">
        <f t="shared" si="100"/>
        <v>0</v>
      </c>
      <c r="EYM1590" s="55">
        <f t="shared" si="100"/>
        <v>0</v>
      </c>
      <c r="EYN1590" s="55">
        <f t="shared" ref="EYN1590:FAY1590" si="101">+(EYN1600+EYN1604)*1.18*1.1</f>
        <v>0</v>
      </c>
      <c r="EYO1590" s="55">
        <f t="shared" si="101"/>
        <v>0</v>
      </c>
      <c r="EYP1590" s="55">
        <f t="shared" si="101"/>
        <v>0</v>
      </c>
      <c r="EYQ1590" s="55">
        <f t="shared" si="101"/>
        <v>0</v>
      </c>
      <c r="EYR1590" s="55">
        <f t="shared" si="101"/>
        <v>0</v>
      </c>
      <c r="EYS1590" s="55">
        <f t="shared" si="101"/>
        <v>0</v>
      </c>
      <c r="EYT1590" s="55">
        <f t="shared" si="101"/>
        <v>0</v>
      </c>
      <c r="EYU1590" s="55">
        <f t="shared" si="101"/>
        <v>0</v>
      </c>
      <c r="EYV1590" s="55">
        <f t="shared" si="101"/>
        <v>0</v>
      </c>
      <c r="EYW1590" s="55">
        <f t="shared" si="101"/>
        <v>0</v>
      </c>
      <c r="EYX1590" s="55">
        <f t="shared" si="101"/>
        <v>0</v>
      </c>
      <c r="EYY1590" s="55">
        <f t="shared" si="101"/>
        <v>0</v>
      </c>
      <c r="EYZ1590" s="55">
        <f t="shared" si="101"/>
        <v>0</v>
      </c>
      <c r="EZA1590" s="55">
        <f t="shared" si="101"/>
        <v>0</v>
      </c>
      <c r="EZB1590" s="55">
        <f t="shared" si="101"/>
        <v>0</v>
      </c>
      <c r="EZC1590" s="55">
        <f t="shared" si="101"/>
        <v>0</v>
      </c>
      <c r="EZD1590" s="55">
        <f t="shared" si="101"/>
        <v>0</v>
      </c>
      <c r="EZE1590" s="55">
        <f t="shared" si="101"/>
        <v>0</v>
      </c>
      <c r="EZF1590" s="55">
        <f t="shared" si="101"/>
        <v>0</v>
      </c>
      <c r="EZG1590" s="55">
        <f t="shared" si="101"/>
        <v>0</v>
      </c>
      <c r="EZH1590" s="55">
        <f t="shared" si="101"/>
        <v>0</v>
      </c>
      <c r="EZI1590" s="55">
        <f t="shared" si="101"/>
        <v>0</v>
      </c>
      <c r="EZJ1590" s="55">
        <f t="shared" si="101"/>
        <v>0</v>
      </c>
      <c r="EZK1590" s="55">
        <f t="shared" si="101"/>
        <v>0</v>
      </c>
      <c r="EZL1590" s="55">
        <f t="shared" si="101"/>
        <v>0</v>
      </c>
      <c r="EZM1590" s="55">
        <f t="shared" si="101"/>
        <v>0</v>
      </c>
      <c r="EZN1590" s="55">
        <f t="shared" si="101"/>
        <v>0</v>
      </c>
      <c r="EZO1590" s="55">
        <f t="shared" si="101"/>
        <v>0</v>
      </c>
      <c r="EZP1590" s="55">
        <f t="shared" si="101"/>
        <v>0</v>
      </c>
      <c r="EZQ1590" s="55">
        <f t="shared" si="101"/>
        <v>0</v>
      </c>
      <c r="EZR1590" s="55">
        <f t="shared" si="101"/>
        <v>0</v>
      </c>
      <c r="EZS1590" s="55">
        <f t="shared" si="101"/>
        <v>0</v>
      </c>
      <c r="EZT1590" s="55">
        <f t="shared" si="101"/>
        <v>0</v>
      </c>
      <c r="EZU1590" s="55">
        <f t="shared" si="101"/>
        <v>0</v>
      </c>
      <c r="EZV1590" s="55">
        <f t="shared" si="101"/>
        <v>0</v>
      </c>
      <c r="EZW1590" s="55">
        <f t="shared" si="101"/>
        <v>0</v>
      </c>
      <c r="EZX1590" s="55">
        <f t="shared" si="101"/>
        <v>0</v>
      </c>
      <c r="EZY1590" s="55">
        <f t="shared" si="101"/>
        <v>0</v>
      </c>
      <c r="EZZ1590" s="55">
        <f t="shared" si="101"/>
        <v>0</v>
      </c>
      <c r="FAA1590" s="55">
        <f t="shared" si="101"/>
        <v>0</v>
      </c>
      <c r="FAB1590" s="55">
        <f t="shared" si="101"/>
        <v>0</v>
      </c>
      <c r="FAC1590" s="55">
        <f t="shared" si="101"/>
        <v>0</v>
      </c>
      <c r="FAD1590" s="55">
        <f t="shared" si="101"/>
        <v>0</v>
      </c>
      <c r="FAE1590" s="55">
        <f t="shared" si="101"/>
        <v>0</v>
      </c>
      <c r="FAF1590" s="55">
        <f t="shared" si="101"/>
        <v>0</v>
      </c>
      <c r="FAG1590" s="55">
        <f t="shared" si="101"/>
        <v>0</v>
      </c>
      <c r="FAH1590" s="55">
        <f t="shared" si="101"/>
        <v>0</v>
      </c>
      <c r="FAI1590" s="55">
        <f t="shared" si="101"/>
        <v>0</v>
      </c>
      <c r="FAJ1590" s="55">
        <f t="shared" si="101"/>
        <v>0</v>
      </c>
      <c r="FAK1590" s="55">
        <f t="shared" si="101"/>
        <v>0</v>
      </c>
      <c r="FAL1590" s="55">
        <f t="shared" si="101"/>
        <v>0</v>
      </c>
      <c r="FAM1590" s="55">
        <f t="shared" si="101"/>
        <v>0</v>
      </c>
      <c r="FAN1590" s="55">
        <f t="shared" si="101"/>
        <v>0</v>
      </c>
      <c r="FAO1590" s="55">
        <f t="shared" si="101"/>
        <v>0</v>
      </c>
      <c r="FAP1590" s="55">
        <f t="shared" si="101"/>
        <v>0</v>
      </c>
      <c r="FAQ1590" s="55">
        <f t="shared" si="101"/>
        <v>0</v>
      </c>
      <c r="FAR1590" s="55">
        <f t="shared" si="101"/>
        <v>0</v>
      </c>
      <c r="FAS1590" s="55">
        <f t="shared" si="101"/>
        <v>0</v>
      </c>
      <c r="FAT1590" s="55">
        <f t="shared" si="101"/>
        <v>0</v>
      </c>
      <c r="FAU1590" s="55">
        <f t="shared" si="101"/>
        <v>0</v>
      </c>
      <c r="FAV1590" s="55">
        <f t="shared" si="101"/>
        <v>0</v>
      </c>
      <c r="FAW1590" s="55">
        <f t="shared" si="101"/>
        <v>0</v>
      </c>
      <c r="FAX1590" s="55">
        <f t="shared" si="101"/>
        <v>0</v>
      </c>
      <c r="FAY1590" s="55">
        <f t="shared" si="101"/>
        <v>0</v>
      </c>
      <c r="FAZ1590" s="55">
        <f t="shared" ref="FAZ1590:FDK1590" si="102">+(FAZ1600+FAZ1604)*1.18*1.1</f>
        <v>0</v>
      </c>
      <c r="FBA1590" s="55">
        <f t="shared" si="102"/>
        <v>0</v>
      </c>
      <c r="FBB1590" s="55">
        <f t="shared" si="102"/>
        <v>0</v>
      </c>
      <c r="FBC1590" s="55">
        <f t="shared" si="102"/>
        <v>0</v>
      </c>
      <c r="FBD1590" s="55">
        <f t="shared" si="102"/>
        <v>0</v>
      </c>
      <c r="FBE1590" s="55">
        <f t="shared" si="102"/>
        <v>0</v>
      </c>
      <c r="FBF1590" s="55">
        <f t="shared" si="102"/>
        <v>0</v>
      </c>
      <c r="FBG1590" s="55">
        <f t="shared" si="102"/>
        <v>0</v>
      </c>
      <c r="FBH1590" s="55">
        <f t="shared" si="102"/>
        <v>0</v>
      </c>
      <c r="FBI1590" s="55">
        <f t="shared" si="102"/>
        <v>0</v>
      </c>
      <c r="FBJ1590" s="55">
        <f t="shared" si="102"/>
        <v>0</v>
      </c>
      <c r="FBK1590" s="55">
        <f t="shared" si="102"/>
        <v>0</v>
      </c>
      <c r="FBL1590" s="55">
        <f t="shared" si="102"/>
        <v>0</v>
      </c>
      <c r="FBM1590" s="55">
        <f t="shared" si="102"/>
        <v>0</v>
      </c>
      <c r="FBN1590" s="55">
        <f t="shared" si="102"/>
        <v>0</v>
      </c>
      <c r="FBO1590" s="55">
        <f t="shared" si="102"/>
        <v>0</v>
      </c>
      <c r="FBP1590" s="55">
        <f t="shared" si="102"/>
        <v>0</v>
      </c>
      <c r="FBQ1590" s="55">
        <f t="shared" si="102"/>
        <v>0</v>
      </c>
      <c r="FBR1590" s="55">
        <f t="shared" si="102"/>
        <v>0</v>
      </c>
      <c r="FBS1590" s="55">
        <f t="shared" si="102"/>
        <v>0</v>
      </c>
      <c r="FBT1590" s="55">
        <f t="shared" si="102"/>
        <v>0</v>
      </c>
      <c r="FBU1590" s="55">
        <f t="shared" si="102"/>
        <v>0</v>
      </c>
      <c r="FBV1590" s="55">
        <f t="shared" si="102"/>
        <v>0</v>
      </c>
      <c r="FBW1590" s="55">
        <f t="shared" si="102"/>
        <v>0</v>
      </c>
      <c r="FBX1590" s="55">
        <f t="shared" si="102"/>
        <v>0</v>
      </c>
      <c r="FBY1590" s="55">
        <f t="shared" si="102"/>
        <v>0</v>
      </c>
      <c r="FBZ1590" s="55">
        <f t="shared" si="102"/>
        <v>0</v>
      </c>
      <c r="FCA1590" s="55">
        <f t="shared" si="102"/>
        <v>0</v>
      </c>
      <c r="FCB1590" s="55">
        <f t="shared" si="102"/>
        <v>0</v>
      </c>
      <c r="FCC1590" s="55">
        <f t="shared" si="102"/>
        <v>0</v>
      </c>
      <c r="FCD1590" s="55">
        <f t="shared" si="102"/>
        <v>0</v>
      </c>
      <c r="FCE1590" s="55">
        <f t="shared" si="102"/>
        <v>0</v>
      </c>
      <c r="FCF1590" s="55">
        <f t="shared" si="102"/>
        <v>0</v>
      </c>
      <c r="FCG1590" s="55">
        <f t="shared" si="102"/>
        <v>0</v>
      </c>
      <c r="FCH1590" s="55">
        <f t="shared" si="102"/>
        <v>0</v>
      </c>
      <c r="FCI1590" s="55">
        <f t="shared" si="102"/>
        <v>0</v>
      </c>
      <c r="FCJ1590" s="55">
        <f t="shared" si="102"/>
        <v>0</v>
      </c>
      <c r="FCK1590" s="55">
        <f t="shared" si="102"/>
        <v>0</v>
      </c>
      <c r="FCL1590" s="55">
        <f t="shared" si="102"/>
        <v>0</v>
      </c>
      <c r="FCM1590" s="55">
        <f t="shared" si="102"/>
        <v>0</v>
      </c>
      <c r="FCN1590" s="55">
        <f t="shared" si="102"/>
        <v>0</v>
      </c>
      <c r="FCO1590" s="55">
        <f t="shared" si="102"/>
        <v>0</v>
      </c>
      <c r="FCP1590" s="55">
        <f t="shared" si="102"/>
        <v>0</v>
      </c>
      <c r="FCQ1590" s="55">
        <f t="shared" si="102"/>
        <v>0</v>
      </c>
      <c r="FCR1590" s="55">
        <f t="shared" si="102"/>
        <v>0</v>
      </c>
      <c r="FCS1590" s="55">
        <f t="shared" si="102"/>
        <v>0</v>
      </c>
      <c r="FCT1590" s="55">
        <f t="shared" si="102"/>
        <v>0</v>
      </c>
      <c r="FCU1590" s="55">
        <f t="shared" si="102"/>
        <v>0</v>
      </c>
      <c r="FCV1590" s="55">
        <f t="shared" si="102"/>
        <v>0</v>
      </c>
      <c r="FCW1590" s="55">
        <f t="shared" si="102"/>
        <v>0</v>
      </c>
      <c r="FCX1590" s="55">
        <f t="shared" si="102"/>
        <v>0</v>
      </c>
      <c r="FCY1590" s="55">
        <f t="shared" si="102"/>
        <v>0</v>
      </c>
      <c r="FCZ1590" s="55">
        <f t="shared" si="102"/>
        <v>0</v>
      </c>
      <c r="FDA1590" s="55">
        <f t="shared" si="102"/>
        <v>0</v>
      </c>
      <c r="FDB1590" s="55">
        <f t="shared" si="102"/>
        <v>0</v>
      </c>
      <c r="FDC1590" s="55">
        <f t="shared" si="102"/>
        <v>0</v>
      </c>
      <c r="FDD1590" s="55">
        <f t="shared" si="102"/>
        <v>0</v>
      </c>
      <c r="FDE1590" s="55">
        <f t="shared" si="102"/>
        <v>0</v>
      </c>
      <c r="FDF1590" s="55">
        <f t="shared" si="102"/>
        <v>0</v>
      </c>
      <c r="FDG1590" s="55">
        <f t="shared" si="102"/>
        <v>0</v>
      </c>
      <c r="FDH1590" s="55">
        <f t="shared" si="102"/>
        <v>0</v>
      </c>
      <c r="FDI1590" s="55">
        <f t="shared" si="102"/>
        <v>0</v>
      </c>
      <c r="FDJ1590" s="55">
        <f t="shared" si="102"/>
        <v>0</v>
      </c>
      <c r="FDK1590" s="55">
        <f t="shared" si="102"/>
        <v>0</v>
      </c>
      <c r="FDL1590" s="55">
        <f t="shared" ref="FDL1590:FFW1590" si="103">+(FDL1600+FDL1604)*1.18*1.1</f>
        <v>0</v>
      </c>
      <c r="FDM1590" s="55">
        <f t="shared" si="103"/>
        <v>0</v>
      </c>
      <c r="FDN1590" s="55">
        <f t="shared" si="103"/>
        <v>0</v>
      </c>
      <c r="FDO1590" s="55">
        <f t="shared" si="103"/>
        <v>0</v>
      </c>
      <c r="FDP1590" s="55">
        <f t="shared" si="103"/>
        <v>0</v>
      </c>
      <c r="FDQ1590" s="55">
        <f t="shared" si="103"/>
        <v>0</v>
      </c>
      <c r="FDR1590" s="55">
        <f t="shared" si="103"/>
        <v>0</v>
      </c>
      <c r="FDS1590" s="55">
        <f t="shared" si="103"/>
        <v>0</v>
      </c>
      <c r="FDT1590" s="55">
        <f t="shared" si="103"/>
        <v>0</v>
      </c>
      <c r="FDU1590" s="55">
        <f t="shared" si="103"/>
        <v>0</v>
      </c>
      <c r="FDV1590" s="55">
        <f t="shared" si="103"/>
        <v>0</v>
      </c>
      <c r="FDW1590" s="55">
        <f t="shared" si="103"/>
        <v>0</v>
      </c>
      <c r="FDX1590" s="55">
        <f t="shared" si="103"/>
        <v>0</v>
      </c>
      <c r="FDY1590" s="55">
        <f t="shared" si="103"/>
        <v>0</v>
      </c>
      <c r="FDZ1590" s="55">
        <f t="shared" si="103"/>
        <v>0</v>
      </c>
      <c r="FEA1590" s="55">
        <f t="shared" si="103"/>
        <v>0</v>
      </c>
      <c r="FEB1590" s="55">
        <f t="shared" si="103"/>
        <v>0</v>
      </c>
      <c r="FEC1590" s="55">
        <f t="shared" si="103"/>
        <v>0</v>
      </c>
      <c r="FED1590" s="55">
        <f t="shared" si="103"/>
        <v>0</v>
      </c>
      <c r="FEE1590" s="55">
        <f t="shared" si="103"/>
        <v>0</v>
      </c>
      <c r="FEF1590" s="55">
        <f t="shared" si="103"/>
        <v>0</v>
      </c>
      <c r="FEG1590" s="55">
        <f t="shared" si="103"/>
        <v>0</v>
      </c>
      <c r="FEH1590" s="55">
        <f t="shared" si="103"/>
        <v>0</v>
      </c>
      <c r="FEI1590" s="55">
        <f t="shared" si="103"/>
        <v>0</v>
      </c>
      <c r="FEJ1590" s="55">
        <f t="shared" si="103"/>
        <v>0</v>
      </c>
      <c r="FEK1590" s="55">
        <f t="shared" si="103"/>
        <v>0</v>
      </c>
      <c r="FEL1590" s="55">
        <f t="shared" si="103"/>
        <v>0</v>
      </c>
      <c r="FEM1590" s="55">
        <f t="shared" si="103"/>
        <v>0</v>
      </c>
      <c r="FEN1590" s="55">
        <f t="shared" si="103"/>
        <v>0</v>
      </c>
      <c r="FEO1590" s="55">
        <f t="shared" si="103"/>
        <v>0</v>
      </c>
      <c r="FEP1590" s="55">
        <f t="shared" si="103"/>
        <v>0</v>
      </c>
      <c r="FEQ1590" s="55">
        <f t="shared" si="103"/>
        <v>0</v>
      </c>
      <c r="FER1590" s="55">
        <f t="shared" si="103"/>
        <v>0</v>
      </c>
      <c r="FES1590" s="55">
        <f t="shared" si="103"/>
        <v>0</v>
      </c>
      <c r="FET1590" s="55">
        <f t="shared" si="103"/>
        <v>0</v>
      </c>
      <c r="FEU1590" s="55">
        <f t="shared" si="103"/>
        <v>0</v>
      </c>
      <c r="FEV1590" s="55">
        <f t="shared" si="103"/>
        <v>0</v>
      </c>
      <c r="FEW1590" s="55">
        <f t="shared" si="103"/>
        <v>0</v>
      </c>
      <c r="FEX1590" s="55">
        <f t="shared" si="103"/>
        <v>0</v>
      </c>
      <c r="FEY1590" s="55">
        <f t="shared" si="103"/>
        <v>0</v>
      </c>
      <c r="FEZ1590" s="55">
        <f t="shared" si="103"/>
        <v>0</v>
      </c>
      <c r="FFA1590" s="55">
        <f t="shared" si="103"/>
        <v>0</v>
      </c>
      <c r="FFB1590" s="55">
        <f t="shared" si="103"/>
        <v>0</v>
      </c>
      <c r="FFC1590" s="55">
        <f t="shared" si="103"/>
        <v>0</v>
      </c>
      <c r="FFD1590" s="55">
        <f t="shared" si="103"/>
        <v>0</v>
      </c>
      <c r="FFE1590" s="55">
        <f t="shared" si="103"/>
        <v>0</v>
      </c>
      <c r="FFF1590" s="55">
        <f t="shared" si="103"/>
        <v>0</v>
      </c>
      <c r="FFG1590" s="55">
        <f t="shared" si="103"/>
        <v>0</v>
      </c>
      <c r="FFH1590" s="55">
        <f t="shared" si="103"/>
        <v>0</v>
      </c>
      <c r="FFI1590" s="55">
        <f t="shared" si="103"/>
        <v>0</v>
      </c>
      <c r="FFJ1590" s="55">
        <f t="shared" si="103"/>
        <v>0</v>
      </c>
      <c r="FFK1590" s="55">
        <f t="shared" si="103"/>
        <v>0</v>
      </c>
      <c r="FFL1590" s="55">
        <f t="shared" si="103"/>
        <v>0</v>
      </c>
      <c r="FFM1590" s="55">
        <f t="shared" si="103"/>
        <v>0</v>
      </c>
      <c r="FFN1590" s="55">
        <f t="shared" si="103"/>
        <v>0</v>
      </c>
      <c r="FFO1590" s="55">
        <f t="shared" si="103"/>
        <v>0</v>
      </c>
      <c r="FFP1590" s="55">
        <f t="shared" si="103"/>
        <v>0</v>
      </c>
      <c r="FFQ1590" s="55">
        <f t="shared" si="103"/>
        <v>0</v>
      </c>
      <c r="FFR1590" s="55">
        <f t="shared" si="103"/>
        <v>0</v>
      </c>
      <c r="FFS1590" s="55">
        <f t="shared" si="103"/>
        <v>0</v>
      </c>
      <c r="FFT1590" s="55">
        <f t="shared" si="103"/>
        <v>0</v>
      </c>
      <c r="FFU1590" s="55">
        <f t="shared" si="103"/>
        <v>0</v>
      </c>
      <c r="FFV1590" s="55">
        <f t="shared" si="103"/>
        <v>0</v>
      </c>
      <c r="FFW1590" s="55">
        <f t="shared" si="103"/>
        <v>0</v>
      </c>
      <c r="FFX1590" s="55">
        <f t="shared" ref="FFX1590:FII1590" si="104">+(FFX1600+FFX1604)*1.18*1.1</f>
        <v>0</v>
      </c>
      <c r="FFY1590" s="55">
        <f t="shared" si="104"/>
        <v>0</v>
      </c>
      <c r="FFZ1590" s="55">
        <f t="shared" si="104"/>
        <v>0</v>
      </c>
      <c r="FGA1590" s="55">
        <f t="shared" si="104"/>
        <v>0</v>
      </c>
      <c r="FGB1590" s="55">
        <f t="shared" si="104"/>
        <v>0</v>
      </c>
      <c r="FGC1590" s="55">
        <f t="shared" si="104"/>
        <v>0</v>
      </c>
      <c r="FGD1590" s="55">
        <f t="shared" si="104"/>
        <v>0</v>
      </c>
      <c r="FGE1590" s="55">
        <f t="shared" si="104"/>
        <v>0</v>
      </c>
      <c r="FGF1590" s="55">
        <f t="shared" si="104"/>
        <v>0</v>
      </c>
      <c r="FGG1590" s="55">
        <f t="shared" si="104"/>
        <v>0</v>
      </c>
      <c r="FGH1590" s="55">
        <f t="shared" si="104"/>
        <v>0</v>
      </c>
      <c r="FGI1590" s="55">
        <f t="shared" si="104"/>
        <v>0</v>
      </c>
      <c r="FGJ1590" s="55">
        <f t="shared" si="104"/>
        <v>0</v>
      </c>
      <c r="FGK1590" s="55">
        <f t="shared" si="104"/>
        <v>0</v>
      </c>
      <c r="FGL1590" s="55">
        <f t="shared" si="104"/>
        <v>0</v>
      </c>
      <c r="FGM1590" s="55">
        <f t="shared" si="104"/>
        <v>0</v>
      </c>
      <c r="FGN1590" s="55">
        <f t="shared" si="104"/>
        <v>0</v>
      </c>
      <c r="FGO1590" s="55">
        <f t="shared" si="104"/>
        <v>0</v>
      </c>
      <c r="FGP1590" s="55">
        <f t="shared" si="104"/>
        <v>0</v>
      </c>
      <c r="FGQ1590" s="55">
        <f t="shared" si="104"/>
        <v>0</v>
      </c>
      <c r="FGR1590" s="55">
        <f t="shared" si="104"/>
        <v>0</v>
      </c>
      <c r="FGS1590" s="55">
        <f t="shared" si="104"/>
        <v>0</v>
      </c>
      <c r="FGT1590" s="55">
        <f t="shared" si="104"/>
        <v>0</v>
      </c>
      <c r="FGU1590" s="55">
        <f t="shared" si="104"/>
        <v>0</v>
      </c>
      <c r="FGV1590" s="55">
        <f t="shared" si="104"/>
        <v>0</v>
      </c>
      <c r="FGW1590" s="55">
        <f t="shared" si="104"/>
        <v>0</v>
      </c>
      <c r="FGX1590" s="55">
        <f t="shared" si="104"/>
        <v>0</v>
      </c>
      <c r="FGY1590" s="55">
        <f t="shared" si="104"/>
        <v>0</v>
      </c>
      <c r="FGZ1590" s="55">
        <f t="shared" si="104"/>
        <v>0</v>
      </c>
      <c r="FHA1590" s="55">
        <f t="shared" si="104"/>
        <v>0</v>
      </c>
      <c r="FHB1590" s="55">
        <f t="shared" si="104"/>
        <v>0</v>
      </c>
      <c r="FHC1590" s="55">
        <f t="shared" si="104"/>
        <v>0</v>
      </c>
      <c r="FHD1590" s="55">
        <f t="shared" si="104"/>
        <v>0</v>
      </c>
      <c r="FHE1590" s="55">
        <f t="shared" si="104"/>
        <v>0</v>
      </c>
      <c r="FHF1590" s="55">
        <f t="shared" si="104"/>
        <v>0</v>
      </c>
      <c r="FHG1590" s="55">
        <f t="shared" si="104"/>
        <v>0</v>
      </c>
      <c r="FHH1590" s="55">
        <f t="shared" si="104"/>
        <v>0</v>
      </c>
      <c r="FHI1590" s="55">
        <f t="shared" si="104"/>
        <v>0</v>
      </c>
      <c r="FHJ1590" s="55">
        <f t="shared" si="104"/>
        <v>0</v>
      </c>
      <c r="FHK1590" s="55">
        <f t="shared" si="104"/>
        <v>0</v>
      </c>
      <c r="FHL1590" s="55">
        <f t="shared" si="104"/>
        <v>0</v>
      </c>
      <c r="FHM1590" s="55">
        <f t="shared" si="104"/>
        <v>0</v>
      </c>
      <c r="FHN1590" s="55">
        <f t="shared" si="104"/>
        <v>0</v>
      </c>
      <c r="FHO1590" s="55">
        <f t="shared" si="104"/>
        <v>0</v>
      </c>
      <c r="FHP1590" s="55">
        <f t="shared" si="104"/>
        <v>0</v>
      </c>
      <c r="FHQ1590" s="55">
        <f t="shared" si="104"/>
        <v>0</v>
      </c>
      <c r="FHR1590" s="55">
        <f t="shared" si="104"/>
        <v>0</v>
      </c>
      <c r="FHS1590" s="55">
        <f t="shared" si="104"/>
        <v>0</v>
      </c>
      <c r="FHT1590" s="55">
        <f t="shared" si="104"/>
        <v>0</v>
      </c>
      <c r="FHU1590" s="55">
        <f t="shared" si="104"/>
        <v>0</v>
      </c>
      <c r="FHV1590" s="55">
        <f t="shared" si="104"/>
        <v>0</v>
      </c>
      <c r="FHW1590" s="55">
        <f t="shared" si="104"/>
        <v>0</v>
      </c>
      <c r="FHX1590" s="55">
        <f t="shared" si="104"/>
        <v>0</v>
      </c>
      <c r="FHY1590" s="55">
        <f t="shared" si="104"/>
        <v>0</v>
      </c>
      <c r="FHZ1590" s="55">
        <f t="shared" si="104"/>
        <v>0</v>
      </c>
      <c r="FIA1590" s="55">
        <f t="shared" si="104"/>
        <v>0</v>
      </c>
      <c r="FIB1590" s="55">
        <f t="shared" si="104"/>
        <v>0</v>
      </c>
      <c r="FIC1590" s="55">
        <f t="shared" si="104"/>
        <v>0</v>
      </c>
      <c r="FID1590" s="55">
        <f t="shared" si="104"/>
        <v>0</v>
      </c>
      <c r="FIE1590" s="55">
        <f t="shared" si="104"/>
        <v>0</v>
      </c>
      <c r="FIF1590" s="55">
        <f t="shared" si="104"/>
        <v>0</v>
      </c>
      <c r="FIG1590" s="55">
        <f t="shared" si="104"/>
        <v>0</v>
      </c>
      <c r="FIH1590" s="55">
        <f t="shared" si="104"/>
        <v>0</v>
      </c>
      <c r="FII1590" s="55">
        <f t="shared" si="104"/>
        <v>0</v>
      </c>
      <c r="FIJ1590" s="55">
        <f t="shared" ref="FIJ1590:FKU1590" si="105">+(FIJ1600+FIJ1604)*1.18*1.1</f>
        <v>0</v>
      </c>
      <c r="FIK1590" s="55">
        <f t="shared" si="105"/>
        <v>0</v>
      </c>
      <c r="FIL1590" s="55">
        <f t="shared" si="105"/>
        <v>0</v>
      </c>
      <c r="FIM1590" s="55">
        <f t="shared" si="105"/>
        <v>0</v>
      </c>
      <c r="FIN1590" s="55">
        <f t="shared" si="105"/>
        <v>0</v>
      </c>
      <c r="FIO1590" s="55">
        <f t="shared" si="105"/>
        <v>0</v>
      </c>
      <c r="FIP1590" s="55">
        <f t="shared" si="105"/>
        <v>0</v>
      </c>
      <c r="FIQ1590" s="55">
        <f t="shared" si="105"/>
        <v>0</v>
      </c>
      <c r="FIR1590" s="55">
        <f t="shared" si="105"/>
        <v>0</v>
      </c>
      <c r="FIS1590" s="55">
        <f t="shared" si="105"/>
        <v>0</v>
      </c>
      <c r="FIT1590" s="55">
        <f t="shared" si="105"/>
        <v>0</v>
      </c>
      <c r="FIU1590" s="55">
        <f t="shared" si="105"/>
        <v>0</v>
      </c>
      <c r="FIV1590" s="55">
        <f t="shared" si="105"/>
        <v>0</v>
      </c>
      <c r="FIW1590" s="55">
        <f t="shared" si="105"/>
        <v>0</v>
      </c>
      <c r="FIX1590" s="55">
        <f t="shared" si="105"/>
        <v>0</v>
      </c>
      <c r="FIY1590" s="55">
        <f t="shared" si="105"/>
        <v>0</v>
      </c>
      <c r="FIZ1590" s="55">
        <f t="shared" si="105"/>
        <v>0</v>
      </c>
      <c r="FJA1590" s="55">
        <f t="shared" si="105"/>
        <v>0</v>
      </c>
      <c r="FJB1590" s="55">
        <f t="shared" si="105"/>
        <v>0</v>
      </c>
      <c r="FJC1590" s="55">
        <f t="shared" si="105"/>
        <v>0</v>
      </c>
      <c r="FJD1590" s="55">
        <f t="shared" si="105"/>
        <v>0</v>
      </c>
      <c r="FJE1590" s="55">
        <f t="shared" si="105"/>
        <v>0</v>
      </c>
      <c r="FJF1590" s="55">
        <f t="shared" si="105"/>
        <v>0</v>
      </c>
      <c r="FJG1590" s="55">
        <f t="shared" si="105"/>
        <v>0</v>
      </c>
      <c r="FJH1590" s="55">
        <f t="shared" si="105"/>
        <v>0</v>
      </c>
      <c r="FJI1590" s="55">
        <f t="shared" si="105"/>
        <v>0</v>
      </c>
      <c r="FJJ1590" s="55">
        <f t="shared" si="105"/>
        <v>0</v>
      </c>
      <c r="FJK1590" s="55">
        <f t="shared" si="105"/>
        <v>0</v>
      </c>
      <c r="FJL1590" s="55">
        <f t="shared" si="105"/>
        <v>0</v>
      </c>
      <c r="FJM1590" s="55">
        <f t="shared" si="105"/>
        <v>0</v>
      </c>
      <c r="FJN1590" s="55">
        <f t="shared" si="105"/>
        <v>0</v>
      </c>
      <c r="FJO1590" s="55">
        <f t="shared" si="105"/>
        <v>0</v>
      </c>
      <c r="FJP1590" s="55">
        <f t="shared" si="105"/>
        <v>0</v>
      </c>
      <c r="FJQ1590" s="55">
        <f t="shared" si="105"/>
        <v>0</v>
      </c>
      <c r="FJR1590" s="55">
        <f t="shared" si="105"/>
        <v>0</v>
      </c>
      <c r="FJS1590" s="55">
        <f t="shared" si="105"/>
        <v>0</v>
      </c>
      <c r="FJT1590" s="55">
        <f t="shared" si="105"/>
        <v>0</v>
      </c>
      <c r="FJU1590" s="55">
        <f t="shared" si="105"/>
        <v>0</v>
      </c>
      <c r="FJV1590" s="55">
        <f t="shared" si="105"/>
        <v>0</v>
      </c>
      <c r="FJW1590" s="55">
        <f t="shared" si="105"/>
        <v>0</v>
      </c>
      <c r="FJX1590" s="55">
        <f t="shared" si="105"/>
        <v>0</v>
      </c>
      <c r="FJY1590" s="55">
        <f t="shared" si="105"/>
        <v>0</v>
      </c>
      <c r="FJZ1590" s="55">
        <f t="shared" si="105"/>
        <v>0</v>
      </c>
      <c r="FKA1590" s="55">
        <f t="shared" si="105"/>
        <v>0</v>
      </c>
      <c r="FKB1590" s="55">
        <f t="shared" si="105"/>
        <v>0</v>
      </c>
      <c r="FKC1590" s="55">
        <f t="shared" si="105"/>
        <v>0</v>
      </c>
      <c r="FKD1590" s="55">
        <f t="shared" si="105"/>
        <v>0</v>
      </c>
      <c r="FKE1590" s="55">
        <f t="shared" si="105"/>
        <v>0</v>
      </c>
      <c r="FKF1590" s="55">
        <f t="shared" si="105"/>
        <v>0</v>
      </c>
      <c r="FKG1590" s="55">
        <f t="shared" si="105"/>
        <v>0</v>
      </c>
      <c r="FKH1590" s="55">
        <f t="shared" si="105"/>
        <v>0</v>
      </c>
      <c r="FKI1590" s="55">
        <f t="shared" si="105"/>
        <v>0</v>
      </c>
      <c r="FKJ1590" s="55">
        <f t="shared" si="105"/>
        <v>0</v>
      </c>
      <c r="FKK1590" s="55">
        <f t="shared" si="105"/>
        <v>0</v>
      </c>
      <c r="FKL1590" s="55">
        <f t="shared" si="105"/>
        <v>0</v>
      </c>
      <c r="FKM1590" s="55">
        <f t="shared" si="105"/>
        <v>0</v>
      </c>
      <c r="FKN1590" s="55">
        <f t="shared" si="105"/>
        <v>0</v>
      </c>
      <c r="FKO1590" s="55">
        <f t="shared" si="105"/>
        <v>0</v>
      </c>
      <c r="FKP1590" s="55">
        <f t="shared" si="105"/>
        <v>0</v>
      </c>
      <c r="FKQ1590" s="55">
        <f t="shared" si="105"/>
        <v>0</v>
      </c>
      <c r="FKR1590" s="55">
        <f t="shared" si="105"/>
        <v>0</v>
      </c>
      <c r="FKS1590" s="55">
        <f t="shared" si="105"/>
        <v>0</v>
      </c>
      <c r="FKT1590" s="55">
        <f t="shared" si="105"/>
        <v>0</v>
      </c>
      <c r="FKU1590" s="55">
        <f t="shared" si="105"/>
        <v>0</v>
      </c>
      <c r="FKV1590" s="55">
        <f t="shared" ref="FKV1590:FNG1590" si="106">+(FKV1600+FKV1604)*1.18*1.1</f>
        <v>0</v>
      </c>
      <c r="FKW1590" s="55">
        <f t="shared" si="106"/>
        <v>0</v>
      </c>
      <c r="FKX1590" s="55">
        <f t="shared" si="106"/>
        <v>0</v>
      </c>
      <c r="FKY1590" s="55">
        <f t="shared" si="106"/>
        <v>0</v>
      </c>
      <c r="FKZ1590" s="55">
        <f t="shared" si="106"/>
        <v>0</v>
      </c>
      <c r="FLA1590" s="55">
        <f t="shared" si="106"/>
        <v>0</v>
      </c>
      <c r="FLB1590" s="55">
        <f t="shared" si="106"/>
        <v>0</v>
      </c>
      <c r="FLC1590" s="55">
        <f t="shared" si="106"/>
        <v>0</v>
      </c>
      <c r="FLD1590" s="55">
        <f t="shared" si="106"/>
        <v>0</v>
      </c>
      <c r="FLE1590" s="55">
        <f t="shared" si="106"/>
        <v>0</v>
      </c>
      <c r="FLF1590" s="55">
        <f t="shared" si="106"/>
        <v>0</v>
      </c>
      <c r="FLG1590" s="55">
        <f t="shared" si="106"/>
        <v>0</v>
      </c>
      <c r="FLH1590" s="55">
        <f t="shared" si="106"/>
        <v>0</v>
      </c>
      <c r="FLI1590" s="55">
        <f t="shared" si="106"/>
        <v>0</v>
      </c>
      <c r="FLJ1590" s="55">
        <f t="shared" si="106"/>
        <v>0</v>
      </c>
      <c r="FLK1590" s="55">
        <f t="shared" si="106"/>
        <v>0</v>
      </c>
      <c r="FLL1590" s="55">
        <f t="shared" si="106"/>
        <v>0</v>
      </c>
      <c r="FLM1590" s="55">
        <f t="shared" si="106"/>
        <v>0</v>
      </c>
      <c r="FLN1590" s="55">
        <f t="shared" si="106"/>
        <v>0</v>
      </c>
      <c r="FLO1590" s="55">
        <f t="shared" si="106"/>
        <v>0</v>
      </c>
      <c r="FLP1590" s="55">
        <f t="shared" si="106"/>
        <v>0</v>
      </c>
      <c r="FLQ1590" s="55">
        <f t="shared" si="106"/>
        <v>0</v>
      </c>
      <c r="FLR1590" s="55">
        <f t="shared" si="106"/>
        <v>0</v>
      </c>
      <c r="FLS1590" s="55">
        <f t="shared" si="106"/>
        <v>0</v>
      </c>
      <c r="FLT1590" s="55">
        <f t="shared" si="106"/>
        <v>0</v>
      </c>
      <c r="FLU1590" s="55">
        <f t="shared" si="106"/>
        <v>0</v>
      </c>
      <c r="FLV1590" s="55">
        <f t="shared" si="106"/>
        <v>0</v>
      </c>
      <c r="FLW1590" s="55">
        <f t="shared" si="106"/>
        <v>0</v>
      </c>
      <c r="FLX1590" s="55">
        <f t="shared" si="106"/>
        <v>0</v>
      </c>
      <c r="FLY1590" s="55">
        <f t="shared" si="106"/>
        <v>0</v>
      </c>
      <c r="FLZ1590" s="55">
        <f t="shared" si="106"/>
        <v>0</v>
      </c>
      <c r="FMA1590" s="55">
        <f t="shared" si="106"/>
        <v>0</v>
      </c>
      <c r="FMB1590" s="55">
        <f t="shared" si="106"/>
        <v>0</v>
      </c>
      <c r="FMC1590" s="55">
        <f t="shared" si="106"/>
        <v>0</v>
      </c>
      <c r="FMD1590" s="55">
        <f t="shared" si="106"/>
        <v>0</v>
      </c>
      <c r="FME1590" s="55">
        <f t="shared" si="106"/>
        <v>0</v>
      </c>
      <c r="FMF1590" s="55">
        <f t="shared" si="106"/>
        <v>0</v>
      </c>
      <c r="FMG1590" s="55">
        <f t="shared" si="106"/>
        <v>0</v>
      </c>
      <c r="FMH1590" s="55">
        <f t="shared" si="106"/>
        <v>0</v>
      </c>
      <c r="FMI1590" s="55">
        <f t="shared" si="106"/>
        <v>0</v>
      </c>
      <c r="FMJ1590" s="55">
        <f t="shared" si="106"/>
        <v>0</v>
      </c>
      <c r="FMK1590" s="55">
        <f t="shared" si="106"/>
        <v>0</v>
      </c>
      <c r="FML1590" s="55">
        <f t="shared" si="106"/>
        <v>0</v>
      </c>
      <c r="FMM1590" s="55">
        <f t="shared" si="106"/>
        <v>0</v>
      </c>
      <c r="FMN1590" s="55">
        <f t="shared" si="106"/>
        <v>0</v>
      </c>
      <c r="FMO1590" s="55">
        <f t="shared" si="106"/>
        <v>0</v>
      </c>
      <c r="FMP1590" s="55">
        <f t="shared" si="106"/>
        <v>0</v>
      </c>
      <c r="FMQ1590" s="55">
        <f t="shared" si="106"/>
        <v>0</v>
      </c>
      <c r="FMR1590" s="55">
        <f t="shared" si="106"/>
        <v>0</v>
      </c>
      <c r="FMS1590" s="55">
        <f t="shared" si="106"/>
        <v>0</v>
      </c>
      <c r="FMT1590" s="55">
        <f t="shared" si="106"/>
        <v>0</v>
      </c>
      <c r="FMU1590" s="55">
        <f t="shared" si="106"/>
        <v>0</v>
      </c>
      <c r="FMV1590" s="55">
        <f t="shared" si="106"/>
        <v>0</v>
      </c>
      <c r="FMW1590" s="55">
        <f t="shared" si="106"/>
        <v>0</v>
      </c>
      <c r="FMX1590" s="55">
        <f t="shared" si="106"/>
        <v>0</v>
      </c>
      <c r="FMY1590" s="55">
        <f t="shared" si="106"/>
        <v>0</v>
      </c>
      <c r="FMZ1590" s="55">
        <f t="shared" si="106"/>
        <v>0</v>
      </c>
      <c r="FNA1590" s="55">
        <f t="shared" si="106"/>
        <v>0</v>
      </c>
      <c r="FNB1590" s="55">
        <f t="shared" si="106"/>
        <v>0</v>
      </c>
      <c r="FNC1590" s="55">
        <f t="shared" si="106"/>
        <v>0</v>
      </c>
      <c r="FND1590" s="55">
        <f t="shared" si="106"/>
        <v>0</v>
      </c>
      <c r="FNE1590" s="55">
        <f t="shared" si="106"/>
        <v>0</v>
      </c>
      <c r="FNF1590" s="55">
        <f t="shared" si="106"/>
        <v>0</v>
      </c>
      <c r="FNG1590" s="55">
        <f t="shared" si="106"/>
        <v>0</v>
      </c>
      <c r="FNH1590" s="55">
        <f t="shared" ref="FNH1590:FPS1590" si="107">+(FNH1600+FNH1604)*1.18*1.1</f>
        <v>0</v>
      </c>
      <c r="FNI1590" s="55">
        <f t="shared" si="107"/>
        <v>0</v>
      </c>
      <c r="FNJ1590" s="55">
        <f t="shared" si="107"/>
        <v>0</v>
      </c>
      <c r="FNK1590" s="55">
        <f t="shared" si="107"/>
        <v>0</v>
      </c>
      <c r="FNL1590" s="55">
        <f t="shared" si="107"/>
        <v>0</v>
      </c>
      <c r="FNM1590" s="55">
        <f t="shared" si="107"/>
        <v>0</v>
      </c>
      <c r="FNN1590" s="55">
        <f t="shared" si="107"/>
        <v>0</v>
      </c>
      <c r="FNO1590" s="55">
        <f t="shared" si="107"/>
        <v>0</v>
      </c>
      <c r="FNP1590" s="55">
        <f t="shared" si="107"/>
        <v>0</v>
      </c>
      <c r="FNQ1590" s="55">
        <f t="shared" si="107"/>
        <v>0</v>
      </c>
      <c r="FNR1590" s="55">
        <f t="shared" si="107"/>
        <v>0</v>
      </c>
      <c r="FNS1590" s="55">
        <f t="shared" si="107"/>
        <v>0</v>
      </c>
      <c r="FNT1590" s="55">
        <f t="shared" si="107"/>
        <v>0</v>
      </c>
      <c r="FNU1590" s="55">
        <f t="shared" si="107"/>
        <v>0</v>
      </c>
      <c r="FNV1590" s="55">
        <f t="shared" si="107"/>
        <v>0</v>
      </c>
      <c r="FNW1590" s="55">
        <f t="shared" si="107"/>
        <v>0</v>
      </c>
      <c r="FNX1590" s="55">
        <f t="shared" si="107"/>
        <v>0</v>
      </c>
      <c r="FNY1590" s="55">
        <f t="shared" si="107"/>
        <v>0</v>
      </c>
      <c r="FNZ1590" s="55">
        <f t="shared" si="107"/>
        <v>0</v>
      </c>
      <c r="FOA1590" s="55">
        <f t="shared" si="107"/>
        <v>0</v>
      </c>
      <c r="FOB1590" s="55">
        <f t="shared" si="107"/>
        <v>0</v>
      </c>
      <c r="FOC1590" s="55">
        <f t="shared" si="107"/>
        <v>0</v>
      </c>
      <c r="FOD1590" s="55">
        <f t="shared" si="107"/>
        <v>0</v>
      </c>
      <c r="FOE1590" s="55">
        <f t="shared" si="107"/>
        <v>0</v>
      </c>
      <c r="FOF1590" s="55">
        <f t="shared" si="107"/>
        <v>0</v>
      </c>
      <c r="FOG1590" s="55">
        <f t="shared" si="107"/>
        <v>0</v>
      </c>
      <c r="FOH1590" s="55">
        <f t="shared" si="107"/>
        <v>0</v>
      </c>
      <c r="FOI1590" s="55">
        <f t="shared" si="107"/>
        <v>0</v>
      </c>
      <c r="FOJ1590" s="55">
        <f t="shared" si="107"/>
        <v>0</v>
      </c>
      <c r="FOK1590" s="55">
        <f t="shared" si="107"/>
        <v>0</v>
      </c>
      <c r="FOL1590" s="55">
        <f t="shared" si="107"/>
        <v>0</v>
      </c>
      <c r="FOM1590" s="55">
        <f t="shared" si="107"/>
        <v>0</v>
      </c>
      <c r="FON1590" s="55">
        <f t="shared" si="107"/>
        <v>0</v>
      </c>
      <c r="FOO1590" s="55">
        <f t="shared" si="107"/>
        <v>0</v>
      </c>
      <c r="FOP1590" s="55">
        <f t="shared" si="107"/>
        <v>0</v>
      </c>
      <c r="FOQ1590" s="55">
        <f t="shared" si="107"/>
        <v>0</v>
      </c>
      <c r="FOR1590" s="55">
        <f t="shared" si="107"/>
        <v>0</v>
      </c>
      <c r="FOS1590" s="55">
        <f t="shared" si="107"/>
        <v>0</v>
      </c>
      <c r="FOT1590" s="55">
        <f t="shared" si="107"/>
        <v>0</v>
      </c>
      <c r="FOU1590" s="55">
        <f t="shared" si="107"/>
        <v>0</v>
      </c>
      <c r="FOV1590" s="55">
        <f t="shared" si="107"/>
        <v>0</v>
      </c>
      <c r="FOW1590" s="55">
        <f t="shared" si="107"/>
        <v>0</v>
      </c>
      <c r="FOX1590" s="55">
        <f t="shared" si="107"/>
        <v>0</v>
      </c>
      <c r="FOY1590" s="55">
        <f t="shared" si="107"/>
        <v>0</v>
      </c>
      <c r="FOZ1590" s="55">
        <f t="shared" si="107"/>
        <v>0</v>
      </c>
      <c r="FPA1590" s="55">
        <f t="shared" si="107"/>
        <v>0</v>
      </c>
      <c r="FPB1590" s="55">
        <f t="shared" si="107"/>
        <v>0</v>
      </c>
      <c r="FPC1590" s="55">
        <f t="shared" si="107"/>
        <v>0</v>
      </c>
      <c r="FPD1590" s="55">
        <f t="shared" si="107"/>
        <v>0</v>
      </c>
      <c r="FPE1590" s="55">
        <f t="shared" si="107"/>
        <v>0</v>
      </c>
      <c r="FPF1590" s="55">
        <f t="shared" si="107"/>
        <v>0</v>
      </c>
      <c r="FPG1590" s="55">
        <f t="shared" si="107"/>
        <v>0</v>
      </c>
      <c r="FPH1590" s="55">
        <f t="shared" si="107"/>
        <v>0</v>
      </c>
      <c r="FPI1590" s="55">
        <f t="shared" si="107"/>
        <v>0</v>
      </c>
      <c r="FPJ1590" s="55">
        <f t="shared" si="107"/>
        <v>0</v>
      </c>
      <c r="FPK1590" s="55">
        <f t="shared" si="107"/>
        <v>0</v>
      </c>
      <c r="FPL1590" s="55">
        <f t="shared" si="107"/>
        <v>0</v>
      </c>
      <c r="FPM1590" s="55">
        <f t="shared" si="107"/>
        <v>0</v>
      </c>
      <c r="FPN1590" s="55">
        <f t="shared" si="107"/>
        <v>0</v>
      </c>
      <c r="FPO1590" s="55">
        <f t="shared" si="107"/>
        <v>0</v>
      </c>
      <c r="FPP1590" s="55">
        <f t="shared" si="107"/>
        <v>0</v>
      </c>
      <c r="FPQ1590" s="55">
        <f t="shared" si="107"/>
        <v>0</v>
      </c>
      <c r="FPR1590" s="55">
        <f t="shared" si="107"/>
        <v>0</v>
      </c>
      <c r="FPS1590" s="55">
        <f t="shared" si="107"/>
        <v>0</v>
      </c>
      <c r="FPT1590" s="55">
        <f t="shared" ref="FPT1590:FSE1590" si="108">+(FPT1600+FPT1604)*1.18*1.1</f>
        <v>0</v>
      </c>
      <c r="FPU1590" s="55">
        <f t="shared" si="108"/>
        <v>0</v>
      </c>
      <c r="FPV1590" s="55">
        <f t="shared" si="108"/>
        <v>0</v>
      </c>
      <c r="FPW1590" s="55">
        <f t="shared" si="108"/>
        <v>0</v>
      </c>
      <c r="FPX1590" s="55">
        <f t="shared" si="108"/>
        <v>0</v>
      </c>
      <c r="FPY1590" s="55">
        <f t="shared" si="108"/>
        <v>0</v>
      </c>
      <c r="FPZ1590" s="55">
        <f t="shared" si="108"/>
        <v>0</v>
      </c>
      <c r="FQA1590" s="55">
        <f t="shared" si="108"/>
        <v>0</v>
      </c>
      <c r="FQB1590" s="55">
        <f t="shared" si="108"/>
        <v>0</v>
      </c>
      <c r="FQC1590" s="55">
        <f t="shared" si="108"/>
        <v>0</v>
      </c>
      <c r="FQD1590" s="55">
        <f t="shared" si="108"/>
        <v>0</v>
      </c>
      <c r="FQE1590" s="55">
        <f t="shared" si="108"/>
        <v>0</v>
      </c>
      <c r="FQF1590" s="55">
        <f t="shared" si="108"/>
        <v>0</v>
      </c>
      <c r="FQG1590" s="55">
        <f t="shared" si="108"/>
        <v>0</v>
      </c>
      <c r="FQH1590" s="55">
        <f t="shared" si="108"/>
        <v>0</v>
      </c>
      <c r="FQI1590" s="55">
        <f t="shared" si="108"/>
        <v>0</v>
      </c>
      <c r="FQJ1590" s="55">
        <f t="shared" si="108"/>
        <v>0</v>
      </c>
      <c r="FQK1590" s="55">
        <f t="shared" si="108"/>
        <v>0</v>
      </c>
      <c r="FQL1590" s="55">
        <f t="shared" si="108"/>
        <v>0</v>
      </c>
      <c r="FQM1590" s="55">
        <f t="shared" si="108"/>
        <v>0</v>
      </c>
      <c r="FQN1590" s="55">
        <f t="shared" si="108"/>
        <v>0</v>
      </c>
      <c r="FQO1590" s="55">
        <f t="shared" si="108"/>
        <v>0</v>
      </c>
      <c r="FQP1590" s="55">
        <f t="shared" si="108"/>
        <v>0</v>
      </c>
      <c r="FQQ1590" s="55">
        <f t="shared" si="108"/>
        <v>0</v>
      </c>
      <c r="FQR1590" s="55">
        <f t="shared" si="108"/>
        <v>0</v>
      </c>
      <c r="FQS1590" s="55">
        <f t="shared" si="108"/>
        <v>0</v>
      </c>
      <c r="FQT1590" s="55">
        <f t="shared" si="108"/>
        <v>0</v>
      </c>
      <c r="FQU1590" s="55">
        <f t="shared" si="108"/>
        <v>0</v>
      </c>
      <c r="FQV1590" s="55">
        <f t="shared" si="108"/>
        <v>0</v>
      </c>
      <c r="FQW1590" s="55">
        <f t="shared" si="108"/>
        <v>0</v>
      </c>
      <c r="FQX1590" s="55">
        <f t="shared" si="108"/>
        <v>0</v>
      </c>
      <c r="FQY1590" s="55">
        <f t="shared" si="108"/>
        <v>0</v>
      </c>
      <c r="FQZ1590" s="55">
        <f t="shared" si="108"/>
        <v>0</v>
      </c>
      <c r="FRA1590" s="55">
        <f t="shared" si="108"/>
        <v>0</v>
      </c>
      <c r="FRB1590" s="55">
        <f t="shared" si="108"/>
        <v>0</v>
      </c>
      <c r="FRC1590" s="55">
        <f t="shared" si="108"/>
        <v>0</v>
      </c>
      <c r="FRD1590" s="55">
        <f t="shared" si="108"/>
        <v>0</v>
      </c>
      <c r="FRE1590" s="55">
        <f t="shared" si="108"/>
        <v>0</v>
      </c>
      <c r="FRF1590" s="55">
        <f t="shared" si="108"/>
        <v>0</v>
      </c>
      <c r="FRG1590" s="55">
        <f t="shared" si="108"/>
        <v>0</v>
      </c>
      <c r="FRH1590" s="55">
        <f t="shared" si="108"/>
        <v>0</v>
      </c>
      <c r="FRI1590" s="55">
        <f t="shared" si="108"/>
        <v>0</v>
      </c>
      <c r="FRJ1590" s="55">
        <f t="shared" si="108"/>
        <v>0</v>
      </c>
      <c r="FRK1590" s="55">
        <f t="shared" si="108"/>
        <v>0</v>
      </c>
      <c r="FRL1590" s="55">
        <f t="shared" si="108"/>
        <v>0</v>
      </c>
      <c r="FRM1590" s="55">
        <f t="shared" si="108"/>
        <v>0</v>
      </c>
      <c r="FRN1590" s="55">
        <f t="shared" si="108"/>
        <v>0</v>
      </c>
      <c r="FRO1590" s="55">
        <f t="shared" si="108"/>
        <v>0</v>
      </c>
      <c r="FRP1590" s="55">
        <f t="shared" si="108"/>
        <v>0</v>
      </c>
      <c r="FRQ1590" s="55">
        <f t="shared" si="108"/>
        <v>0</v>
      </c>
      <c r="FRR1590" s="55">
        <f t="shared" si="108"/>
        <v>0</v>
      </c>
      <c r="FRS1590" s="55">
        <f t="shared" si="108"/>
        <v>0</v>
      </c>
      <c r="FRT1590" s="55">
        <f t="shared" si="108"/>
        <v>0</v>
      </c>
      <c r="FRU1590" s="55">
        <f t="shared" si="108"/>
        <v>0</v>
      </c>
      <c r="FRV1590" s="55">
        <f t="shared" si="108"/>
        <v>0</v>
      </c>
      <c r="FRW1590" s="55">
        <f t="shared" si="108"/>
        <v>0</v>
      </c>
      <c r="FRX1590" s="55">
        <f t="shared" si="108"/>
        <v>0</v>
      </c>
      <c r="FRY1590" s="55">
        <f t="shared" si="108"/>
        <v>0</v>
      </c>
      <c r="FRZ1590" s="55">
        <f t="shared" si="108"/>
        <v>0</v>
      </c>
      <c r="FSA1590" s="55">
        <f t="shared" si="108"/>
        <v>0</v>
      </c>
      <c r="FSB1590" s="55">
        <f t="shared" si="108"/>
        <v>0</v>
      </c>
      <c r="FSC1590" s="55">
        <f t="shared" si="108"/>
        <v>0</v>
      </c>
      <c r="FSD1590" s="55">
        <f t="shared" si="108"/>
        <v>0</v>
      </c>
      <c r="FSE1590" s="55">
        <f t="shared" si="108"/>
        <v>0</v>
      </c>
      <c r="FSF1590" s="55">
        <f t="shared" ref="FSF1590:FUQ1590" si="109">+(FSF1600+FSF1604)*1.18*1.1</f>
        <v>0</v>
      </c>
      <c r="FSG1590" s="55">
        <f t="shared" si="109"/>
        <v>0</v>
      </c>
      <c r="FSH1590" s="55">
        <f t="shared" si="109"/>
        <v>0</v>
      </c>
      <c r="FSI1590" s="55">
        <f t="shared" si="109"/>
        <v>0</v>
      </c>
      <c r="FSJ1590" s="55">
        <f t="shared" si="109"/>
        <v>0</v>
      </c>
      <c r="FSK1590" s="55">
        <f t="shared" si="109"/>
        <v>0</v>
      </c>
      <c r="FSL1590" s="55">
        <f t="shared" si="109"/>
        <v>0</v>
      </c>
      <c r="FSM1590" s="55">
        <f t="shared" si="109"/>
        <v>0</v>
      </c>
      <c r="FSN1590" s="55">
        <f t="shared" si="109"/>
        <v>0</v>
      </c>
      <c r="FSO1590" s="55">
        <f t="shared" si="109"/>
        <v>0</v>
      </c>
      <c r="FSP1590" s="55">
        <f t="shared" si="109"/>
        <v>0</v>
      </c>
      <c r="FSQ1590" s="55">
        <f t="shared" si="109"/>
        <v>0</v>
      </c>
      <c r="FSR1590" s="55">
        <f t="shared" si="109"/>
        <v>0</v>
      </c>
      <c r="FSS1590" s="55">
        <f t="shared" si="109"/>
        <v>0</v>
      </c>
      <c r="FST1590" s="55">
        <f t="shared" si="109"/>
        <v>0</v>
      </c>
      <c r="FSU1590" s="55">
        <f t="shared" si="109"/>
        <v>0</v>
      </c>
      <c r="FSV1590" s="55">
        <f t="shared" si="109"/>
        <v>0</v>
      </c>
      <c r="FSW1590" s="55">
        <f t="shared" si="109"/>
        <v>0</v>
      </c>
      <c r="FSX1590" s="55">
        <f t="shared" si="109"/>
        <v>0</v>
      </c>
      <c r="FSY1590" s="55">
        <f t="shared" si="109"/>
        <v>0</v>
      </c>
      <c r="FSZ1590" s="55">
        <f t="shared" si="109"/>
        <v>0</v>
      </c>
      <c r="FTA1590" s="55">
        <f t="shared" si="109"/>
        <v>0</v>
      </c>
      <c r="FTB1590" s="55">
        <f t="shared" si="109"/>
        <v>0</v>
      </c>
      <c r="FTC1590" s="55">
        <f t="shared" si="109"/>
        <v>0</v>
      </c>
      <c r="FTD1590" s="55">
        <f t="shared" si="109"/>
        <v>0</v>
      </c>
      <c r="FTE1590" s="55">
        <f t="shared" si="109"/>
        <v>0</v>
      </c>
      <c r="FTF1590" s="55">
        <f t="shared" si="109"/>
        <v>0</v>
      </c>
      <c r="FTG1590" s="55">
        <f t="shared" si="109"/>
        <v>0</v>
      </c>
      <c r="FTH1590" s="55">
        <f t="shared" si="109"/>
        <v>0</v>
      </c>
      <c r="FTI1590" s="55">
        <f t="shared" si="109"/>
        <v>0</v>
      </c>
      <c r="FTJ1590" s="55">
        <f t="shared" si="109"/>
        <v>0</v>
      </c>
      <c r="FTK1590" s="55">
        <f t="shared" si="109"/>
        <v>0</v>
      </c>
      <c r="FTL1590" s="55">
        <f t="shared" si="109"/>
        <v>0</v>
      </c>
      <c r="FTM1590" s="55">
        <f t="shared" si="109"/>
        <v>0</v>
      </c>
      <c r="FTN1590" s="55">
        <f t="shared" si="109"/>
        <v>0</v>
      </c>
      <c r="FTO1590" s="55">
        <f t="shared" si="109"/>
        <v>0</v>
      </c>
      <c r="FTP1590" s="55">
        <f t="shared" si="109"/>
        <v>0</v>
      </c>
      <c r="FTQ1590" s="55">
        <f t="shared" si="109"/>
        <v>0</v>
      </c>
      <c r="FTR1590" s="55">
        <f t="shared" si="109"/>
        <v>0</v>
      </c>
      <c r="FTS1590" s="55">
        <f t="shared" si="109"/>
        <v>0</v>
      </c>
      <c r="FTT1590" s="55">
        <f t="shared" si="109"/>
        <v>0</v>
      </c>
      <c r="FTU1590" s="55">
        <f t="shared" si="109"/>
        <v>0</v>
      </c>
      <c r="FTV1590" s="55">
        <f t="shared" si="109"/>
        <v>0</v>
      </c>
      <c r="FTW1590" s="55">
        <f t="shared" si="109"/>
        <v>0</v>
      </c>
      <c r="FTX1590" s="55">
        <f t="shared" si="109"/>
        <v>0</v>
      </c>
      <c r="FTY1590" s="55">
        <f t="shared" si="109"/>
        <v>0</v>
      </c>
      <c r="FTZ1590" s="55">
        <f t="shared" si="109"/>
        <v>0</v>
      </c>
      <c r="FUA1590" s="55">
        <f t="shared" si="109"/>
        <v>0</v>
      </c>
      <c r="FUB1590" s="55">
        <f t="shared" si="109"/>
        <v>0</v>
      </c>
      <c r="FUC1590" s="55">
        <f t="shared" si="109"/>
        <v>0</v>
      </c>
      <c r="FUD1590" s="55">
        <f t="shared" si="109"/>
        <v>0</v>
      </c>
      <c r="FUE1590" s="55">
        <f t="shared" si="109"/>
        <v>0</v>
      </c>
      <c r="FUF1590" s="55">
        <f t="shared" si="109"/>
        <v>0</v>
      </c>
      <c r="FUG1590" s="55">
        <f t="shared" si="109"/>
        <v>0</v>
      </c>
      <c r="FUH1590" s="55">
        <f t="shared" si="109"/>
        <v>0</v>
      </c>
      <c r="FUI1590" s="55">
        <f t="shared" si="109"/>
        <v>0</v>
      </c>
      <c r="FUJ1590" s="55">
        <f t="shared" si="109"/>
        <v>0</v>
      </c>
      <c r="FUK1590" s="55">
        <f t="shared" si="109"/>
        <v>0</v>
      </c>
      <c r="FUL1590" s="55">
        <f t="shared" si="109"/>
        <v>0</v>
      </c>
      <c r="FUM1590" s="55">
        <f t="shared" si="109"/>
        <v>0</v>
      </c>
      <c r="FUN1590" s="55">
        <f t="shared" si="109"/>
        <v>0</v>
      </c>
      <c r="FUO1590" s="55">
        <f t="shared" si="109"/>
        <v>0</v>
      </c>
      <c r="FUP1590" s="55">
        <f t="shared" si="109"/>
        <v>0</v>
      </c>
      <c r="FUQ1590" s="55">
        <f t="shared" si="109"/>
        <v>0</v>
      </c>
      <c r="FUR1590" s="55">
        <f t="shared" ref="FUR1590:FXC1590" si="110">+(FUR1600+FUR1604)*1.18*1.1</f>
        <v>0</v>
      </c>
      <c r="FUS1590" s="55">
        <f t="shared" si="110"/>
        <v>0</v>
      </c>
      <c r="FUT1590" s="55">
        <f t="shared" si="110"/>
        <v>0</v>
      </c>
      <c r="FUU1590" s="55">
        <f t="shared" si="110"/>
        <v>0</v>
      </c>
      <c r="FUV1590" s="55">
        <f t="shared" si="110"/>
        <v>0</v>
      </c>
      <c r="FUW1590" s="55">
        <f t="shared" si="110"/>
        <v>0</v>
      </c>
      <c r="FUX1590" s="55">
        <f t="shared" si="110"/>
        <v>0</v>
      </c>
      <c r="FUY1590" s="55">
        <f t="shared" si="110"/>
        <v>0</v>
      </c>
      <c r="FUZ1590" s="55">
        <f t="shared" si="110"/>
        <v>0</v>
      </c>
      <c r="FVA1590" s="55">
        <f t="shared" si="110"/>
        <v>0</v>
      </c>
      <c r="FVB1590" s="55">
        <f t="shared" si="110"/>
        <v>0</v>
      </c>
      <c r="FVC1590" s="55">
        <f t="shared" si="110"/>
        <v>0</v>
      </c>
      <c r="FVD1590" s="55">
        <f t="shared" si="110"/>
        <v>0</v>
      </c>
      <c r="FVE1590" s="55">
        <f t="shared" si="110"/>
        <v>0</v>
      </c>
      <c r="FVF1590" s="55">
        <f t="shared" si="110"/>
        <v>0</v>
      </c>
      <c r="FVG1590" s="55">
        <f t="shared" si="110"/>
        <v>0</v>
      </c>
      <c r="FVH1590" s="55">
        <f t="shared" si="110"/>
        <v>0</v>
      </c>
      <c r="FVI1590" s="55">
        <f t="shared" si="110"/>
        <v>0</v>
      </c>
      <c r="FVJ1590" s="55">
        <f t="shared" si="110"/>
        <v>0</v>
      </c>
      <c r="FVK1590" s="55">
        <f t="shared" si="110"/>
        <v>0</v>
      </c>
      <c r="FVL1590" s="55">
        <f t="shared" si="110"/>
        <v>0</v>
      </c>
      <c r="FVM1590" s="55">
        <f t="shared" si="110"/>
        <v>0</v>
      </c>
      <c r="FVN1590" s="55">
        <f t="shared" si="110"/>
        <v>0</v>
      </c>
      <c r="FVO1590" s="55">
        <f t="shared" si="110"/>
        <v>0</v>
      </c>
      <c r="FVP1590" s="55">
        <f t="shared" si="110"/>
        <v>0</v>
      </c>
      <c r="FVQ1590" s="55">
        <f t="shared" si="110"/>
        <v>0</v>
      </c>
      <c r="FVR1590" s="55">
        <f t="shared" si="110"/>
        <v>0</v>
      </c>
      <c r="FVS1590" s="55">
        <f t="shared" si="110"/>
        <v>0</v>
      </c>
      <c r="FVT1590" s="55">
        <f t="shared" si="110"/>
        <v>0</v>
      </c>
      <c r="FVU1590" s="55">
        <f t="shared" si="110"/>
        <v>0</v>
      </c>
      <c r="FVV1590" s="55">
        <f t="shared" si="110"/>
        <v>0</v>
      </c>
      <c r="FVW1590" s="55">
        <f t="shared" si="110"/>
        <v>0</v>
      </c>
      <c r="FVX1590" s="55">
        <f t="shared" si="110"/>
        <v>0</v>
      </c>
      <c r="FVY1590" s="55">
        <f t="shared" si="110"/>
        <v>0</v>
      </c>
      <c r="FVZ1590" s="55">
        <f t="shared" si="110"/>
        <v>0</v>
      </c>
      <c r="FWA1590" s="55">
        <f t="shared" si="110"/>
        <v>0</v>
      </c>
      <c r="FWB1590" s="55">
        <f t="shared" si="110"/>
        <v>0</v>
      </c>
      <c r="FWC1590" s="55">
        <f t="shared" si="110"/>
        <v>0</v>
      </c>
      <c r="FWD1590" s="55">
        <f t="shared" si="110"/>
        <v>0</v>
      </c>
      <c r="FWE1590" s="55">
        <f t="shared" si="110"/>
        <v>0</v>
      </c>
      <c r="FWF1590" s="55">
        <f t="shared" si="110"/>
        <v>0</v>
      </c>
      <c r="FWG1590" s="55">
        <f t="shared" si="110"/>
        <v>0</v>
      </c>
      <c r="FWH1590" s="55">
        <f t="shared" si="110"/>
        <v>0</v>
      </c>
      <c r="FWI1590" s="55">
        <f t="shared" si="110"/>
        <v>0</v>
      </c>
      <c r="FWJ1590" s="55">
        <f t="shared" si="110"/>
        <v>0</v>
      </c>
      <c r="FWK1590" s="55">
        <f t="shared" si="110"/>
        <v>0</v>
      </c>
      <c r="FWL1590" s="55">
        <f t="shared" si="110"/>
        <v>0</v>
      </c>
      <c r="FWM1590" s="55">
        <f t="shared" si="110"/>
        <v>0</v>
      </c>
      <c r="FWN1590" s="55">
        <f t="shared" si="110"/>
        <v>0</v>
      </c>
      <c r="FWO1590" s="55">
        <f t="shared" si="110"/>
        <v>0</v>
      </c>
      <c r="FWP1590" s="55">
        <f t="shared" si="110"/>
        <v>0</v>
      </c>
      <c r="FWQ1590" s="55">
        <f t="shared" si="110"/>
        <v>0</v>
      </c>
      <c r="FWR1590" s="55">
        <f t="shared" si="110"/>
        <v>0</v>
      </c>
      <c r="FWS1590" s="55">
        <f t="shared" si="110"/>
        <v>0</v>
      </c>
      <c r="FWT1590" s="55">
        <f t="shared" si="110"/>
        <v>0</v>
      </c>
      <c r="FWU1590" s="55">
        <f t="shared" si="110"/>
        <v>0</v>
      </c>
      <c r="FWV1590" s="55">
        <f t="shared" si="110"/>
        <v>0</v>
      </c>
      <c r="FWW1590" s="55">
        <f t="shared" si="110"/>
        <v>0</v>
      </c>
      <c r="FWX1590" s="55">
        <f t="shared" si="110"/>
        <v>0</v>
      </c>
      <c r="FWY1590" s="55">
        <f t="shared" si="110"/>
        <v>0</v>
      </c>
      <c r="FWZ1590" s="55">
        <f t="shared" si="110"/>
        <v>0</v>
      </c>
      <c r="FXA1590" s="55">
        <f t="shared" si="110"/>
        <v>0</v>
      </c>
      <c r="FXB1590" s="55">
        <f t="shared" si="110"/>
        <v>0</v>
      </c>
      <c r="FXC1590" s="55">
        <f t="shared" si="110"/>
        <v>0</v>
      </c>
      <c r="FXD1590" s="55">
        <f t="shared" ref="FXD1590:FZO1590" si="111">+(FXD1600+FXD1604)*1.18*1.1</f>
        <v>0</v>
      </c>
      <c r="FXE1590" s="55">
        <f t="shared" si="111"/>
        <v>0</v>
      </c>
      <c r="FXF1590" s="55">
        <f t="shared" si="111"/>
        <v>0</v>
      </c>
      <c r="FXG1590" s="55">
        <f t="shared" si="111"/>
        <v>0</v>
      </c>
      <c r="FXH1590" s="55">
        <f t="shared" si="111"/>
        <v>0</v>
      </c>
      <c r="FXI1590" s="55">
        <f t="shared" si="111"/>
        <v>0</v>
      </c>
      <c r="FXJ1590" s="55">
        <f t="shared" si="111"/>
        <v>0</v>
      </c>
      <c r="FXK1590" s="55">
        <f t="shared" si="111"/>
        <v>0</v>
      </c>
      <c r="FXL1590" s="55">
        <f t="shared" si="111"/>
        <v>0</v>
      </c>
      <c r="FXM1590" s="55">
        <f t="shared" si="111"/>
        <v>0</v>
      </c>
      <c r="FXN1590" s="55">
        <f t="shared" si="111"/>
        <v>0</v>
      </c>
      <c r="FXO1590" s="55">
        <f t="shared" si="111"/>
        <v>0</v>
      </c>
      <c r="FXP1590" s="55">
        <f t="shared" si="111"/>
        <v>0</v>
      </c>
      <c r="FXQ1590" s="55">
        <f t="shared" si="111"/>
        <v>0</v>
      </c>
      <c r="FXR1590" s="55">
        <f t="shared" si="111"/>
        <v>0</v>
      </c>
      <c r="FXS1590" s="55">
        <f t="shared" si="111"/>
        <v>0</v>
      </c>
      <c r="FXT1590" s="55">
        <f t="shared" si="111"/>
        <v>0</v>
      </c>
      <c r="FXU1590" s="55">
        <f t="shared" si="111"/>
        <v>0</v>
      </c>
      <c r="FXV1590" s="55">
        <f t="shared" si="111"/>
        <v>0</v>
      </c>
      <c r="FXW1590" s="55">
        <f t="shared" si="111"/>
        <v>0</v>
      </c>
      <c r="FXX1590" s="55">
        <f t="shared" si="111"/>
        <v>0</v>
      </c>
      <c r="FXY1590" s="55">
        <f t="shared" si="111"/>
        <v>0</v>
      </c>
      <c r="FXZ1590" s="55">
        <f t="shared" si="111"/>
        <v>0</v>
      </c>
      <c r="FYA1590" s="55">
        <f t="shared" si="111"/>
        <v>0</v>
      </c>
      <c r="FYB1590" s="55">
        <f t="shared" si="111"/>
        <v>0</v>
      </c>
      <c r="FYC1590" s="55">
        <f t="shared" si="111"/>
        <v>0</v>
      </c>
      <c r="FYD1590" s="55">
        <f t="shared" si="111"/>
        <v>0</v>
      </c>
      <c r="FYE1590" s="55">
        <f t="shared" si="111"/>
        <v>0</v>
      </c>
      <c r="FYF1590" s="55">
        <f t="shared" si="111"/>
        <v>0</v>
      </c>
      <c r="FYG1590" s="55">
        <f t="shared" si="111"/>
        <v>0</v>
      </c>
      <c r="FYH1590" s="55">
        <f t="shared" si="111"/>
        <v>0</v>
      </c>
      <c r="FYI1590" s="55">
        <f t="shared" si="111"/>
        <v>0</v>
      </c>
      <c r="FYJ1590" s="55">
        <f t="shared" si="111"/>
        <v>0</v>
      </c>
      <c r="FYK1590" s="55">
        <f t="shared" si="111"/>
        <v>0</v>
      </c>
      <c r="FYL1590" s="55">
        <f t="shared" si="111"/>
        <v>0</v>
      </c>
      <c r="FYM1590" s="55">
        <f t="shared" si="111"/>
        <v>0</v>
      </c>
      <c r="FYN1590" s="55">
        <f t="shared" si="111"/>
        <v>0</v>
      </c>
      <c r="FYO1590" s="55">
        <f t="shared" si="111"/>
        <v>0</v>
      </c>
      <c r="FYP1590" s="55">
        <f t="shared" si="111"/>
        <v>0</v>
      </c>
      <c r="FYQ1590" s="55">
        <f t="shared" si="111"/>
        <v>0</v>
      </c>
      <c r="FYR1590" s="55">
        <f t="shared" si="111"/>
        <v>0</v>
      </c>
      <c r="FYS1590" s="55">
        <f t="shared" si="111"/>
        <v>0</v>
      </c>
      <c r="FYT1590" s="55">
        <f t="shared" si="111"/>
        <v>0</v>
      </c>
      <c r="FYU1590" s="55">
        <f t="shared" si="111"/>
        <v>0</v>
      </c>
      <c r="FYV1590" s="55">
        <f t="shared" si="111"/>
        <v>0</v>
      </c>
      <c r="FYW1590" s="55">
        <f t="shared" si="111"/>
        <v>0</v>
      </c>
      <c r="FYX1590" s="55">
        <f t="shared" si="111"/>
        <v>0</v>
      </c>
      <c r="FYY1590" s="55">
        <f t="shared" si="111"/>
        <v>0</v>
      </c>
      <c r="FYZ1590" s="55">
        <f t="shared" si="111"/>
        <v>0</v>
      </c>
      <c r="FZA1590" s="55">
        <f t="shared" si="111"/>
        <v>0</v>
      </c>
      <c r="FZB1590" s="55">
        <f t="shared" si="111"/>
        <v>0</v>
      </c>
      <c r="FZC1590" s="55">
        <f t="shared" si="111"/>
        <v>0</v>
      </c>
      <c r="FZD1590" s="55">
        <f t="shared" si="111"/>
        <v>0</v>
      </c>
      <c r="FZE1590" s="55">
        <f t="shared" si="111"/>
        <v>0</v>
      </c>
      <c r="FZF1590" s="55">
        <f t="shared" si="111"/>
        <v>0</v>
      </c>
      <c r="FZG1590" s="55">
        <f t="shared" si="111"/>
        <v>0</v>
      </c>
      <c r="FZH1590" s="55">
        <f t="shared" si="111"/>
        <v>0</v>
      </c>
      <c r="FZI1590" s="55">
        <f t="shared" si="111"/>
        <v>0</v>
      </c>
      <c r="FZJ1590" s="55">
        <f t="shared" si="111"/>
        <v>0</v>
      </c>
      <c r="FZK1590" s="55">
        <f t="shared" si="111"/>
        <v>0</v>
      </c>
      <c r="FZL1590" s="55">
        <f t="shared" si="111"/>
        <v>0</v>
      </c>
      <c r="FZM1590" s="55">
        <f t="shared" si="111"/>
        <v>0</v>
      </c>
      <c r="FZN1590" s="55">
        <f t="shared" si="111"/>
        <v>0</v>
      </c>
      <c r="FZO1590" s="55">
        <f t="shared" si="111"/>
        <v>0</v>
      </c>
      <c r="FZP1590" s="55">
        <f t="shared" ref="FZP1590:GCA1590" si="112">+(FZP1600+FZP1604)*1.18*1.1</f>
        <v>0</v>
      </c>
      <c r="FZQ1590" s="55">
        <f t="shared" si="112"/>
        <v>0</v>
      </c>
      <c r="FZR1590" s="55">
        <f t="shared" si="112"/>
        <v>0</v>
      </c>
      <c r="FZS1590" s="55">
        <f t="shared" si="112"/>
        <v>0</v>
      </c>
      <c r="FZT1590" s="55">
        <f t="shared" si="112"/>
        <v>0</v>
      </c>
      <c r="FZU1590" s="55">
        <f t="shared" si="112"/>
        <v>0</v>
      </c>
      <c r="FZV1590" s="55">
        <f t="shared" si="112"/>
        <v>0</v>
      </c>
      <c r="FZW1590" s="55">
        <f t="shared" si="112"/>
        <v>0</v>
      </c>
      <c r="FZX1590" s="55">
        <f t="shared" si="112"/>
        <v>0</v>
      </c>
      <c r="FZY1590" s="55">
        <f t="shared" si="112"/>
        <v>0</v>
      </c>
      <c r="FZZ1590" s="55">
        <f t="shared" si="112"/>
        <v>0</v>
      </c>
      <c r="GAA1590" s="55">
        <f t="shared" si="112"/>
        <v>0</v>
      </c>
      <c r="GAB1590" s="55">
        <f t="shared" si="112"/>
        <v>0</v>
      </c>
      <c r="GAC1590" s="55">
        <f t="shared" si="112"/>
        <v>0</v>
      </c>
      <c r="GAD1590" s="55">
        <f t="shared" si="112"/>
        <v>0</v>
      </c>
      <c r="GAE1590" s="55">
        <f t="shared" si="112"/>
        <v>0</v>
      </c>
      <c r="GAF1590" s="55">
        <f t="shared" si="112"/>
        <v>0</v>
      </c>
      <c r="GAG1590" s="55">
        <f t="shared" si="112"/>
        <v>0</v>
      </c>
      <c r="GAH1590" s="55">
        <f t="shared" si="112"/>
        <v>0</v>
      </c>
      <c r="GAI1590" s="55">
        <f t="shared" si="112"/>
        <v>0</v>
      </c>
      <c r="GAJ1590" s="55">
        <f t="shared" si="112"/>
        <v>0</v>
      </c>
      <c r="GAK1590" s="55">
        <f t="shared" si="112"/>
        <v>0</v>
      </c>
      <c r="GAL1590" s="55">
        <f t="shared" si="112"/>
        <v>0</v>
      </c>
      <c r="GAM1590" s="55">
        <f t="shared" si="112"/>
        <v>0</v>
      </c>
      <c r="GAN1590" s="55">
        <f t="shared" si="112"/>
        <v>0</v>
      </c>
      <c r="GAO1590" s="55">
        <f t="shared" si="112"/>
        <v>0</v>
      </c>
      <c r="GAP1590" s="55">
        <f t="shared" si="112"/>
        <v>0</v>
      </c>
      <c r="GAQ1590" s="55">
        <f t="shared" si="112"/>
        <v>0</v>
      </c>
      <c r="GAR1590" s="55">
        <f t="shared" si="112"/>
        <v>0</v>
      </c>
      <c r="GAS1590" s="55">
        <f t="shared" si="112"/>
        <v>0</v>
      </c>
      <c r="GAT1590" s="55">
        <f t="shared" si="112"/>
        <v>0</v>
      </c>
      <c r="GAU1590" s="55">
        <f t="shared" si="112"/>
        <v>0</v>
      </c>
      <c r="GAV1590" s="55">
        <f t="shared" si="112"/>
        <v>0</v>
      </c>
      <c r="GAW1590" s="55">
        <f t="shared" si="112"/>
        <v>0</v>
      </c>
      <c r="GAX1590" s="55">
        <f t="shared" si="112"/>
        <v>0</v>
      </c>
      <c r="GAY1590" s="55">
        <f t="shared" si="112"/>
        <v>0</v>
      </c>
      <c r="GAZ1590" s="55">
        <f t="shared" si="112"/>
        <v>0</v>
      </c>
      <c r="GBA1590" s="55">
        <f t="shared" si="112"/>
        <v>0</v>
      </c>
      <c r="GBB1590" s="55">
        <f t="shared" si="112"/>
        <v>0</v>
      </c>
      <c r="GBC1590" s="55">
        <f t="shared" si="112"/>
        <v>0</v>
      </c>
      <c r="GBD1590" s="55">
        <f t="shared" si="112"/>
        <v>0</v>
      </c>
      <c r="GBE1590" s="55">
        <f t="shared" si="112"/>
        <v>0</v>
      </c>
      <c r="GBF1590" s="55">
        <f t="shared" si="112"/>
        <v>0</v>
      </c>
      <c r="GBG1590" s="55">
        <f t="shared" si="112"/>
        <v>0</v>
      </c>
      <c r="GBH1590" s="55">
        <f t="shared" si="112"/>
        <v>0</v>
      </c>
      <c r="GBI1590" s="55">
        <f t="shared" si="112"/>
        <v>0</v>
      </c>
      <c r="GBJ1590" s="55">
        <f t="shared" si="112"/>
        <v>0</v>
      </c>
      <c r="GBK1590" s="55">
        <f t="shared" si="112"/>
        <v>0</v>
      </c>
      <c r="GBL1590" s="55">
        <f t="shared" si="112"/>
        <v>0</v>
      </c>
      <c r="GBM1590" s="55">
        <f t="shared" si="112"/>
        <v>0</v>
      </c>
      <c r="GBN1590" s="55">
        <f t="shared" si="112"/>
        <v>0</v>
      </c>
      <c r="GBO1590" s="55">
        <f t="shared" si="112"/>
        <v>0</v>
      </c>
      <c r="GBP1590" s="55">
        <f t="shared" si="112"/>
        <v>0</v>
      </c>
      <c r="GBQ1590" s="55">
        <f t="shared" si="112"/>
        <v>0</v>
      </c>
      <c r="GBR1590" s="55">
        <f t="shared" si="112"/>
        <v>0</v>
      </c>
      <c r="GBS1590" s="55">
        <f t="shared" si="112"/>
        <v>0</v>
      </c>
      <c r="GBT1590" s="55">
        <f t="shared" si="112"/>
        <v>0</v>
      </c>
      <c r="GBU1590" s="55">
        <f t="shared" si="112"/>
        <v>0</v>
      </c>
      <c r="GBV1590" s="55">
        <f t="shared" si="112"/>
        <v>0</v>
      </c>
      <c r="GBW1590" s="55">
        <f t="shared" si="112"/>
        <v>0</v>
      </c>
      <c r="GBX1590" s="55">
        <f t="shared" si="112"/>
        <v>0</v>
      </c>
      <c r="GBY1590" s="55">
        <f t="shared" si="112"/>
        <v>0</v>
      </c>
      <c r="GBZ1590" s="55">
        <f t="shared" si="112"/>
        <v>0</v>
      </c>
      <c r="GCA1590" s="55">
        <f t="shared" si="112"/>
        <v>0</v>
      </c>
      <c r="GCB1590" s="55">
        <f t="shared" ref="GCB1590:GEM1590" si="113">+(GCB1600+GCB1604)*1.18*1.1</f>
        <v>0</v>
      </c>
      <c r="GCC1590" s="55">
        <f t="shared" si="113"/>
        <v>0</v>
      </c>
      <c r="GCD1590" s="55">
        <f t="shared" si="113"/>
        <v>0</v>
      </c>
      <c r="GCE1590" s="55">
        <f t="shared" si="113"/>
        <v>0</v>
      </c>
      <c r="GCF1590" s="55">
        <f t="shared" si="113"/>
        <v>0</v>
      </c>
      <c r="GCG1590" s="55">
        <f t="shared" si="113"/>
        <v>0</v>
      </c>
      <c r="GCH1590" s="55">
        <f t="shared" si="113"/>
        <v>0</v>
      </c>
      <c r="GCI1590" s="55">
        <f t="shared" si="113"/>
        <v>0</v>
      </c>
      <c r="GCJ1590" s="55">
        <f t="shared" si="113"/>
        <v>0</v>
      </c>
      <c r="GCK1590" s="55">
        <f t="shared" si="113"/>
        <v>0</v>
      </c>
      <c r="GCL1590" s="55">
        <f t="shared" si="113"/>
        <v>0</v>
      </c>
      <c r="GCM1590" s="55">
        <f t="shared" si="113"/>
        <v>0</v>
      </c>
      <c r="GCN1590" s="55">
        <f t="shared" si="113"/>
        <v>0</v>
      </c>
      <c r="GCO1590" s="55">
        <f t="shared" si="113"/>
        <v>0</v>
      </c>
      <c r="GCP1590" s="55">
        <f t="shared" si="113"/>
        <v>0</v>
      </c>
      <c r="GCQ1590" s="55">
        <f t="shared" si="113"/>
        <v>0</v>
      </c>
      <c r="GCR1590" s="55">
        <f t="shared" si="113"/>
        <v>0</v>
      </c>
      <c r="GCS1590" s="55">
        <f t="shared" si="113"/>
        <v>0</v>
      </c>
      <c r="GCT1590" s="55">
        <f t="shared" si="113"/>
        <v>0</v>
      </c>
      <c r="GCU1590" s="55">
        <f t="shared" si="113"/>
        <v>0</v>
      </c>
      <c r="GCV1590" s="55">
        <f t="shared" si="113"/>
        <v>0</v>
      </c>
      <c r="GCW1590" s="55">
        <f t="shared" si="113"/>
        <v>0</v>
      </c>
      <c r="GCX1590" s="55">
        <f t="shared" si="113"/>
        <v>0</v>
      </c>
      <c r="GCY1590" s="55">
        <f t="shared" si="113"/>
        <v>0</v>
      </c>
      <c r="GCZ1590" s="55">
        <f t="shared" si="113"/>
        <v>0</v>
      </c>
      <c r="GDA1590" s="55">
        <f t="shared" si="113"/>
        <v>0</v>
      </c>
      <c r="GDB1590" s="55">
        <f t="shared" si="113"/>
        <v>0</v>
      </c>
      <c r="GDC1590" s="55">
        <f t="shared" si="113"/>
        <v>0</v>
      </c>
      <c r="GDD1590" s="55">
        <f t="shared" si="113"/>
        <v>0</v>
      </c>
      <c r="GDE1590" s="55">
        <f t="shared" si="113"/>
        <v>0</v>
      </c>
      <c r="GDF1590" s="55">
        <f t="shared" si="113"/>
        <v>0</v>
      </c>
      <c r="GDG1590" s="55">
        <f t="shared" si="113"/>
        <v>0</v>
      </c>
      <c r="GDH1590" s="55">
        <f t="shared" si="113"/>
        <v>0</v>
      </c>
      <c r="GDI1590" s="55">
        <f t="shared" si="113"/>
        <v>0</v>
      </c>
      <c r="GDJ1590" s="55">
        <f t="shared" si="113"/>
        <v>0</v>
      </c>
      <c r="GDK1590" s="55">
        <f t="shared" si="113"/>
        <v>0</v>
      </c>
      <c r="GDL1590" s="55">
        <f t="shared" si="113"/>
        <v>0</v>
      </c>
      <c r="GDM1590" s="55">
        <f t="shared" si="113"/>
        <v>0</v>
      </c>
      <c r="GDN1590" s="55">
        <f t="shared" si="113"/>
        <v>0</v>
      </c>
      <c r="GDO1590" s="55">
        <f t="shared" si="113"/>
        <v>0</v>
      </c>
      <c r="GDP1590" s="55">
        <f t="shared" si="113"/>
        <v>0</v>
      </c>
      <c r="GDQ1590" s="55">
        <f t="shared" si="113"/>
        <v>0</v>
      </c>
      <c r="GDR1590" s="55">
        <f t="shared" si="113"/>
        <v>0</v>
      </c>
      <c r="GDS1590" s="55">
        <f t="shared" si="113"/>
        <v>0</v>
      </c>
      <c r="GDT1590" s="55">
        <f t="shared" si="113"/>
        <v>0</v>
      </c>
      <c r="GDU1590" s="55">
        <f t="shared" si="113"/>
        <v>0</v>
      </c>
      <c r="GDV1590" s="55">
        <f t="shared" si="113"/>
        <v>0</v>
      </c>
      <c r="GDW1590" s="55">
        <f t="shared" si="113"/>
        <v>0</v>
      </c>
      <c r="GDX1590" s="55">
        <f t="shared" si="113"/>
        <v>0</v>
      </c>
      <c r="GDY1590" s="55">
        <f t="shared" si="113"/>
        <v>0</v>
      </c>
      <c r="GDZ1590" s="55">
        <f t="shared" si="113"/>
        <v>0</v>
      </c>
      <c r="GEA1590" s="55">
        <f t="shared" si="113"/>
        <v>0</v>
      </c>
      <c r="GEB1590" s="55">
        <f t="shared" si="113"/>
        <v>0</v>
      </c>
      <c r="GEC1590" s="55">
        <f t="shared" si="113"/>
        <v>0</v>
      </c>
      <c r="GED1590" s="55">
        <f t="shared" si="113"/>
        <v>0</v>
      </c>
      <c r="GEE1590" s="55">
        <f t="shared" si="113"/>
        <v>0</v>
      </c>
      <c r="GEF1590" s="55">
        <f t="shared" si="113"/>
        <v>0</v>
      </c>
      <c r="GEG1590" s="55">
        <f t="shared" si="113"/>
        <v>0</v>
      </c>
      <c r="GEH1590" s="55">
        <f t="shared" si="113"/>
        <v>0</v>
      </c>
      <c r="GEI1590" s="55">
        <f t="shared" si="113"/>
        <v>0</v>
      </c>
      <c r="GEJ1590" s="55">
        <f t="shared" si="113"/>
        <v>0</v>
      </c>
      <c r="GEK1590" s="55">
        <f t="shared" si="113"/>
        <v>0</v>
      </c>
      <c r="GEL1590" s="55">
        <f t="shared" si="113"/>
        <v>0</v>
      </c>
      <c r="GEM1590" s="55">
        <f t="shared" si="113"/>
        <v>0</v>
      </c>
      <c r="GEN1590" s="55">
        <f t="shared" ref="GEN1590:GGY1590" si="114">+(GEN1600+GEN1604)*1.18*1.1</f>
        <v>0</v>
      </c>
      <c r="GEO1590" s="55">
        <f t="shared" si="114"/>
        <v>0</v>
      </c>
      <c r="GEP1590" s="55">
        <f t="shared" si="114"/>
        <v>0</v>
      </c>
      <c r="GEQ1590" s="55">
        <f t="shared" si="114"/>
        <v>0</v>
      </c>
      <c r="GER1590" s="55">
        <f t="shared" si="114"/>
        <v>0</v>
      </c>
      <c r="GES1590" s="55">
        <f t="shared" si="114"/>
        <v>0</v>
      </c>
      <c r="GET1590" s="55">
        <f t="shared" si="114"/>
        <v>0</v>
      </c>
      <c r="GEU1590" s="55">
        <f t="shared" si="114"/>
        <v>0</v>
      </c>
      <c r="GEV1590" s="55">
        <f t="shared" si="114"/>
        <v>0</v>
      </c>
      <c r="GEW1590" s="55">
        <f t="shared" si="114"/>
        <v>0</v>
      </c>
      <c r="GEX1590" s="55">
        <f t="shared" si="114"/>
        <v>0</v>
      </c>
      <c r="GEY1590" s="55">
        <f t="shared" si="114"/>
        <v>0</v>
      </c>
      <c r="GEZ1590" s="55">
        <f t="shared" si="114"/>
        <v>0</v>
      </c>
      <c r="GFA1590" s="55">
        <f t="shared" si="114"/>
        <v>0</v>
      </c>
      <c r="GFB1590" s="55">
        <f t="shared" si="114"/>
        <v>0</v>
      </c>
      <c r="GFC1590" s="55">
        <f t="shared" si="114"/>
        <v>0</v>
      </c>
      <c r="GFD1590" s="55">
        <f t="shared" si="114"/>
        <v>0</v>
      </c>
      <c r="GFE1590" s="55">
        <f t="shared" si="114"/>
        <v>0</v>
      </c>
      <c r="GFF1590" s="55">
        <f t="shared" si="114"/>
        <v>0</v>
      </c>
      <c r="GFG1590" s="55">
        <f t="shared" si="114"/>
        <v>0</v>
      </c>
      <c r="GFH1590" s="55">
        <f t="shared" si="114"/>
        <v>0</v>
      </c>
      <c r="GFI1590" s="55">
        <f t="shared" si="114"/>
        <v>0</v>
      </c>
      <c r="GFJ1590" s="55">
        <f t="shared" si="114"/>
        <v>0</v>
      </c>
      <c r="GFK1590" s="55">
        <f t="shared" si="114"/>
        <v>0</v>
      </c>
      <c r="GFL1590" s="55">
        <f t="shared" si="114"/>
        <v>0</v>
      </c>
      <c r="GFM1590" s="55">
        <f t="shared" si="114"/>
        <v>0</v>
      </c>
      <c r="GFN1590" s="55">
        <f t="shared" si="114"/>
        <v>0</v>
      </c>
      <c r="GFO1590" s="55">
        <f t="shared" si="114"/>
        <v>0</v>
      </c>
      <c r="GFP1590" s="55">
        <f t="shared" si="114"/>
        <v>0</v>
      </c>
      <c r="GFQ1590" s="55">
        <f t="shared" si="114"/>
        <v>0</v>
      </c>
      <c r="GFR1590" s="55">
        <f t="shared" si="114"/>
        <v>0</v>
      </c>
      <c r="GFS1590" s="55">
        <f t="shared" si="114"/>
        <v>0</v>
      </c>
      <c r="GFT1590" s="55">
        <f t="shared" si="114"/>
        <v>0</v>
      </c>
      <c r="GFU1590" s="55">
        <f t="shared" si="114"/>
        <v>0</v>
      </c>
      <c r="GFV1590" s="55">
        <f t="shared" si="114"/>
        <v>0</v>
      </c>
      <c r="GFW1590" s="55">
        <f t="shared" si="114"/>
        <v>0</v>
      </c>
      <c r="GFX1590" s="55">
        <f t="shared" si="114"/>
        <v>0</v>
      </c>
      <c r="GFY1590" s="55">
        <f t="shared" si="114"/>
        <v>0</v>
      </c>
      <c r="GFZ1590" s="55">
        <f t="shared" si="114"/>
        <v>0</v>
      </c>
      <c r="GGA1590" s="55">
        <f t="shared" si="114"/>
        <v>0</v>
      </c>
      <c r="GGB1590" s="55">
        <f t="shared" si="114"/>
        <v>0</v>
      </c>
      <c r="GGC1590" s="55">
        <f t="shared" si="114"/>
        <v>0</v>
      </c>
      <c r="GGD1590" s="55">
        <f t="shared" si="114"/>
        <v>0</v>
      </c>
      <c r="GGE1590" s="55">
        <f t="shared" si="114"/>
        <v>0</v>
      </c>
      <c r="GGF1590" s="55">
        <f t="shared" si="114"/>
        <v>0</v>
      </c>
      <c r="GGG1590" s="55">
        <f t="shared" si="114"/>
        <v>0</v>
      </c>
      <c r="GGH1590" s="55">
        <f t="shared" si="114"/>
        <v>0</v>
      </c>
      <c r="GGI1590" s="55">
        <f t="shared" si="114"/>
        <v>0</v>
      </c>
      <c r="GGJ1590" s="55">
        <f t="shared" si="114"/>
        <v>0</v>
      </c>
      <c r="GGK1590" s="55">
        <f t="shared" si="114"/>
        <v>0</v>
      </c>
      <c r="GGL1590" s="55">
        <f t="shared" si="114"/>
        <v>0</v>
      </c>
      <c r="GGM1590" s="55">
        <f t="shared" si="114"/>
        <v>0</v>
      </c>
      <c r="GGN1590" s="55">
        <f t="shared" si="114"/>
        <v>0</v>
      </c>
      <c r="GGO1590" s="55">
        <f t="shared" si="114"/>
        <v>0</v>
      </c>
      <c r="GGP1590" s="55">
        <f t="shared" si="114"/>
        <v>0</v>
      </c>
      <c r="GGQ1590" s="55">
        <f t="shared" si="114"/>
        <v>0</v>
      </c>
      <c r="GGR1590" s="55">
        <f t="shared" si="114"/>
        <v>0</v>
      </c>
      <c r="GGS1590" s="55">
        <f t="shared" si="114"/>
        <v>0</v>
      </c>
      <c r="GGT1590" s="55">
        <f t="shared" si="114"/>
        <v>0</v>
      </c>
      <c r="GGU1590" s="55">
        <f t="shared" si="114"/>
        <v>0</v>
      </c>
      <c r="GGV1590" s="55">
        <f t="shared" si="114"/>
        <v>0</v>
      </c>
      <c r="GGW1590" s="55">
        <f t="shared" si="114"/>
        <v>0</v>
      </c>
      <c r="GGX1590" s="55">
        <f t="shared" si="114"/>
        <v>0</v>
      </c>
      <c r="GGY1590" s="55">
        <f t="shared" si="114"/>
        <v>0</v>
      </c>
      <c r="GGZ1590" s="55">
        <f t="shared" ref="GGZ1590:GJK1590" si="115">+(GGZ1600+GGZ1604)*1.18*1.1</f>
        <v>0</v>
      </c>
      <c r="GHA1590" s="55">
        <f t="shared" si="115"/>
        <v>0</v>
      </c>
      <c r="GHB1590" s="55">
        <f t="shared" si="115"/>
        <v>0</v>
      </c>
      <c r="GHC1590" s="55">
        <f t="shared" si="115"/>
        <v>0</v>
      </c>
      <c r="GHD1590" s="55">
        <f t="shared" si="115"/>
        <v>0</v>
      </c>
      <c r="GHE1590" s="55">
        <f t="shared" si="115"/>
        <v>0</v>
      </c>
      <c r="GHF1590" s="55">
        <f t="shared" si="115"/>
        <v>0</v>
      </c>
      <c r="GHG1590" s="55">
        <f t="shared" si="115"/>
        <v>0</v>
      </c>
      <c r="GHH1590" s="55">
        <f t="shared" si="115"/>
        <v>0</v>
      </c>
      <c r="GHI1590" s="55">
        <f t="shared" si="115"/>
        <v>0</v>
      </c>
      <c r="GHJ1590" s="55">
        <f t="shared" si="115"/>
        <v>0</v>
      </c>
      <c r="GHK1590" s="55">
        <f t="shared" si="115"/>
        <v>0</v>
      </c>
      <c r="GHL1590" s="55">
        <f t="shared" si="115"/>
        <v>0</v>
      </c>
      <c r="GHM1590" s="55">
        <f t="shared" si="115"/>
        <v>0</v>
      </c>
      <c r="GHN1590" s="55">
        <f t="shared" si="115"/>
        <v>0</v>
      </c>
      <c r="GHO1590" s="55">
        <f t="shared" si="115"/>
        <v>0</v>
      </c>
      <c r="GHP1590" s="55">
        <f t="shared" si="115"/>
        <v>0</v>
      </c>
      <c r="GHQ1590" s="55">
        <f t="shared" si="115"/>
        <v>0</v>
      </c>
      <c r="GHR1590" s="55">
        <f t="shared" si="115"/>
        <v>0</v>
      </c>
      <c r="GHS1590" s="55">
        <f t="shared" si="115"/>
        <v>0</v>
      </c>
      <c r="GHT1590" s="55">
        <f t="shared" si="115"/>
        <v>0</v>
      </c>
      <c r="GHU1590" s="55">
        <f t="shared" si="115"/>
        <v>0</v>
      </c>
      <c r="GHV1590" s="55">
        <f t="shared" si="115"/>
        <v>0</v>
      </c>
      <c r="GHW1590" s="55">
        <f t="shared" si="115"/>
        <v>0</v>
      </c>
      <c r="GHX1590" s="55">
        <f t="shared" si="115"/>
        <v>0</v>
      </c>
      <c r="GHY1590" s="55">
        <f t="shared" si="115"/>
        <v>0</v>
      </c>
      <c r="GHZ1590" s="55">
        <f t="shared" si="115"/>
        <v>0</v>
      </c>
      <c r="GIA1590" s="55">
        <f t="shared" si="115"/>
        <v>0</v>
      </c>
      <c r="GIB1590" s="55">
        <f t="shared" si="115"/>
        <v>0</v>
      </c>
      <c r="GIC1590" s="55">
        <f t="shared" si="115"/>
        <v>0</v>
      </c>
      <c r="GID1590" s="55">
        <f t="shared" si="115"/>
        <v>0</v>
      </c>
      <c r="GIE1590" s="55">
        <f t="shared" si="115"/>
        <v>0</v>
      </c>
      <c r="GIF1590" s="55">
        <f t="shared" si="115"/>
        <v>0</v>
      </c>
      <c r="GIG1590" s="55">
        <f t="shared" si="115"/>
        <v>0</v>
      </c>
      <c r="GIH1590" s="55">
        <f t="shared" si="115"/>
        <v>0</v>
      </c>
      <c r="GII1590" s="55">
        <f t="shared" si="115"/>
        <v>0</v>
      </c>
      <c r="GIJ1590" s="55">
        <f t="shared" si="115"/>
        <v>0</v>
      </c>
      <c r="GIK1590" s="55">
        <f t="shared" si="115"/>
        <v>0</v>
      </c>
      <c r="GIL1590" s="55">
        <f t="shared" si="115"/>
        <v>0</v>
      </c>
      <c r="GIM1590" s="55">
        <f t="shared" si="115"/>
        <v>0</v>
      </c>
      <c r="GIN1590" s="55">
        <f t="shared" si="115"/>
        <v>0</v>
      </c>
      <c r="GIO1590" s="55">
        <f t="shared" si="115"/>
        <v>0</v>
      </c>
      <c r="GIP1590" s="55">
        <f t="shared" si="115"/>
        <v>0</v>
      </c>
      <c r="GIQ1590" s="55">
        <f t="shared" si="115"/>
        <v>0</v>
      </c>
      <c r="GIR1590" s="55">
        <f t="shared" si="115"/>
        <v>0</v>
      </c>
      <c r="GIS1590" s="55">
        <f t="shared" si="115"/>
        <v>0</v>
      </c>
      <c r="GIT1590" s="55">
        <f t="shared" si="115"/>
        <v>0</v>
      </c>
      <c r="GIU1590" s="55">
        <f t="shared" si="115"/>
        <v>0</v>
      </c>
      <c r="GIV1590" s="55">
        <f t="shared" si="115"/>
        <v>0</v>
      </c>
      <c r="GIW1590" s="55">
        <f t="shared" si="115"/>
        <v>0</v>
      </c>
      <c r="GIX1590" s="55">
        <f t="shared" si="115"/>
        <v>0</v>
      </c>
      <c r="GIY1590" s="55">
        <f t="shared" si="115"/>
        <v>0</v>
      </c>
      <c r="GIZ1590" s="55">
        <f t="shared" si="115"/>
        <v>0</v>
      </c>
      <c r="GJA1590" s="55">
        <f t="shared" si="115"/>
        <v>0</v>
      </c>
      <c r="GJB1590" s="55">
        <f t="shared" si="115"/>
        <v>0</v>
      </c>
      <c r="GJC1590" s="55">
        <f t="shared" si="115"/>
        <v>0</v>
      </c>
      <c r="GJD1590" s="55">
        <f t="shared" si="115"/>
        <v>0</v>
      </c>
      <c r="GJE1590" s="55">
        <f t="shared" si="115"/>
        <v>0</v>
      </c>
      <c r="GJF1590" s="55">
        <f t="shared" si="115"/>
        <v>0</v>
      </c>
      <c r="GJG1590" s="55">
        <f t="shared" si="115"/>
        <v>0</v>
      </c>
      <c r="GJH1590" s="55">
        <f t="shared" si="115"/>
        <v>0</v>
      </c>
      <c r="GJI1590" s="55">
        <f t="shared" si="115"/>
        <v>0</v>
      </c>
      <c r="GJJ1590" s="55">
        <f t="shared" si="115"/>
        <v>0</v>
      </c>
      <c r="GJK1590" s="55">
        <f t="shared" si="115"/>
        <v>0</v>
      </c>
      <c r="GJL1590" s="55">
        <f t="shared" ref="GJL1590:GLW1590" si="116">+(GJL1600+GJL1604)*1.18*1.1</f>
        <v>0</v>
      </c>
      <c r="GJM1590" s="55">
        <f t="shared" si="116"/>
        <v>0</v>
      </c>
      <c r="GJN1590" s="55">
        <f t="shared" si="116"/>
        <v>0</v>
      </c>
      <c r="GJO1590" s="55">
        <f t="shared" si="116"/>
        <v>0</v>
      </c>
      <c r="GJP1590" s="55">
        <f t="shared" si="116"/>
        <v>0</v>
      </c>
      <c r="GJQ1590" s="55">
        <f t="shared" si="116"/>
        <v>0</v>
      </c>
      <c r="GJR1590" s="55">
        <f t="shared" si="116"/>
        <v>0</v>
      </c>
      <c r="GJS1590" s="55">
        <f t="shared" si="116"/>
        <v>0</v>
      </c>
      <c r="GJT1590" s="55">
        <f t="shared" si="116"/>
        <v>0</v>
      </c>
      <c r="GJU1590" s="55">
        <f t="shared" si="116"/>
        <v>0</v>
      </c>
      <c r="GJV1590" s="55">
        <f t="shared" si="116"/>
        <v>0</v>
      </c>
      <c r="GJW1590" s="55">
        <f t="shared" si="116"/>
        <v>0</v>
      </c>
      <c r="GJX1590" s="55">
        <f t="shared" si="116"/>
        <v>0</v>
      </c>
      <c r="GJY1590" s="55">
        <f t="shared" si="116"/>
        <v>0</v>
      </c>
      <c r="GJZ1590" s="55">
        <f t="shared" si="116"/>
        <v>0</v>
      </c>
      <c r="GKA1590" s="55">
        <f t="shared" si="116"/>
        <v>0</v>
      </c>
      <c r="GKB1590" s="55">
        <f t="shared" si="116"/>
        <v>0</v>
      </c>
      <c r="GKC1590" s="55">
        <f t="shared" si="116"/>
        <v>0</v>
      </c>
      <c r="GKD1590" s="55">
        <f t="shared" si="116"/>
        <v>0</v>
      </c>
      <c r="GKE1590" s="55">
        <f t="shared" si="116"/>
        <v>0</v>
      </c>
      <c r="GKF1590" s="55">
        <f t="shared" si="116"/>
        <v>0</v>
      </c>
      <c r="GKG1590" s="55">
        <f t="shared" si="116"/>
        <v>0</v>
      </c>
      <c r="GKH1590" s="55">
        <f t="shared" si="116"/>
        <v>0</v>
      </c>
      <c r="GKI1590" s="55">
        <f t="shared" si="116"/>
        <v>0</v>
      </c>
      <c r="GKJ1590" s="55">
        <f t="shared" si="116"/>
        <v>0</v>
      </c>
      <c r="GKK1590" s="55">
        <f t="shared" si="116"/>
        <v>0</v>
      </c>
      <c r="GKL1590" s="55">
        <f t="shared" si="116"/>
        <v>0</v>
      </c>
      <c r="GKM1590" s="55">
        <f t="shared" si="116"/>
        <v>0</v>
      </c>
      <c r="GKN1590" s="55">
        <f t="shared" si="116"/>
        <v>0</v>
      </c>
      <c r="GKO1590" s="55">
        <f t="shared" si="116"/>
        <v>0</v>
      </c>
      <c r="GKP1590" s="55">
        <f t="shared" si="116"/>
        <v>0</v>
      </c>
      <c r="GKQ1590" s="55">
        <f t="shared" si="116"/>
        <v>0</v>
      </c>
      <c r="GKR1590" s="55">
        <f t="shared" si="116"/>
        <v>0</v>
      </c>
      <c r="GKS1590" s="55">
        <f t="shared" si="116"/>
        <v>0</v>
      </c>
      <c r="GKT1590" s="55">
        <f t="shared" si="116"/>
        <v>0</v>
      </c>
      <c r="GKU1590" s="55">
        <f t="shared" si="116"/>
        <v>0</v>
      </c>
      <c r="GKV1590" s="55">
        <f t="shared" si="116"/>
        <v>0</v>
      </c>
      <c r="GKW1590" s="55">
        <f t="shared" si="116"/>
        <v>0</v>
      </c>
      <c r="GKX1590" s="55">
        <f t="shared" si="116"/>
        <v>0</v>
      </c>
      <c r="GKY1590" s="55">
        <f t="shared" si="116"/>
        <v>0</v>
      </c>
      <c r="GKZ1590" s="55">
        <f t="shared" si="116"/>
        <v>0</v>
      </c>
      <c r="GLA1590" s="55">
        <f t="shared" si="116"/>
        <v>0</v>
      </c>
      <c r="GLB1590" s="55">
        <f t="shared" si="116"/>
        <v>0</v>
      </c>
      <c r="GLC1590" s="55">
        <f t="shared" si="116"/>
        <v>0</v>
      </c>
      <c r="GLD1590" s="55">
        <f t="shared" si="116"/>
        <v>0</v>
      </c>
      <c r="GLE1590" s="55">
        <f t="shared" si="116"/>
        <v>0</v>
      </c>
      <c r="GLF1590" s="55">
        <f t="shared" si="116"/>
        <v>0</v>
      </c>
      <c r="GLG1590" s="55">
        <f t="shared" si="116"/>
        <v>0</v>
      </c>
      <c r="GLH1590" s="55">
        <f t="shared" si="116"/>
        <v>0</v>
      </c>
      <c r="GLI1590" s="55">
        <f t="shared" si="116"/>
        <v>0</v>
      </c>
      <c r="GLJ1590" s="55">
        <f t="shared" si="116"/>
        <v>0</v>
      </c>
      <c r="GLK1590" s="55">
        <f t="shared" si="116"/>
        <v>0</v>
      </c>
      <c r="GLL1590" s="55">
        <f t="shared" si="116"/>
        <v>0</v>
      </c>
      <c r="GLM1590" s="55">
        <f t="shared" si="116"/>
        <v>0</v>
      </c>
      <c r="GLN1590" s="55">
        <f t="shared" si="116"/>
        <v>0</v>
      </c>
      <c r="GLO1590" s="55">
        <f t="shared" si="116"/>
        <v>0</v>
      </c>
      <c r="GLP1590" s="55">
        <f t="shared" si="116"/>
        <v>0</v>
      </c>
      <c r="GLQ1590" s="55">
        <f t="shared" si="116"/>
        <v>0</v>
      </c>
      <c r="GLR1590" s="55">
        <f t="shared" si="116"/>
        <v>0</v>
      </c>
      <c r="GLS1590" s="55">
        <f t="shared" si="116"/>
        <v>0</v>
      </c>
      <c r="GLT1590" s="55">
        <f t="shared" si="116"/>
        <v>0</v>
      </c>
      <c r="GLU1590" s="55">
        <f t="shared" si="116"/>
        <v>0</v>
      </c>
      <c r="GLV1590" s="55">
        <f t="shared" si="116"/>
        <v>0</v>
      </c>
      <c r="GLW1590" s="55">
        <f t="shared" si="116"/>
        <v>0</v>
      </c>
      <c r="GLX1590" s="55">
        <f t="shared" ref="GLX1590:GOI1590" si="117">+(GLX1600+GLX1604)*1.18*1.1</f>
        <v>0</v>
      </c>
      <c r="GLY1590" s="55">
        <f t="shared" si="117"/>
        <v>0</v>
      </c>
      <c r="GLZ1590" s="55">
        <f t="shared" si="117"/>
        <v>0</v>
      </c>
      <c r="GMA1590" s="55">
        <f t="shared" si="117"/>
        <v>0</v>
      </c>
      <c r="GMB1590" s="55">
        <f t="shared" si="117"/>
        <v>0</v>
      </c>
      <c r="GMC1590" s="55">
        <f t="shared" si="117"/>
        <v>0</v>
      </c>
      <c r="GMD1590" s="55">
        <f t="shared" si="117"/>
        <v>0</v>
      </c>
      <c r="GME1590" s="55">
        <f t="shared" si="117"/>
        <v>0</v>
      </c>
      <c r="GMF1590" s="55">
        <f t="shared" si="117"/>
        <v>0</v>
      </c>
      <c r="GMG1590" s="55">
        <f t="shared" si="117"/>
        <v>0</v>
      </c>
      <c r="GMH1590" s="55">
        <f t="shared" si="117"/>
        <v>0</v>
      </c>
      <c r="GMI1590" s="55">
        <f t="shared" si="117"/>
        <v>0</v>
      </c>
      <c r="GMJ1590" s="55">
        <f t="shared" si="117"/>
        <v>0</v>
      </c>
      <c r="GMK1590" s="55">
        <f t="shared" si="117"/>
        <v>0</v>
      </c>
      <c r="GML1590" s="55">
        <f t="shared" si="117"/>
        <v>0</v>
      </c>
      <c r="GMM1590" s="55">
        <f t="shared" si="117"/>
        <v>0</v>
      </c>
      <c r="GMN1590" s="55">
        <f t="shared" si="117"/>
        <v>0</v>
      </c>
      <c r="GMO1590" s="55">
        <f t="shared" si="117"/>
        <v>0</v>
      </c>
      <c r="GMP1590" s="55">
        <f t="shared" si="117"/>
        <v>0</v>
      </c>
      <c r="GMQ1590" s="55">
        <f t="shared" si="117"/>
        <v>0</v>
      </c>
      <c r="GMR1590" s="55">
        <f t="shared" si="117"/>
        <v>0</v>
      </c>
      <c r="GMS1590" s="55">
        <f t="shared" si="117"/>
        <v>0</v>
      </c>
      <c r="GMT1590" s="55">
        <f t="shared" si="117"/>
        <v>0</v>
      </c>
      <c r="GMU1590" s="55">
        <f t="shared" si="117"/>
        <v>0</v>
      </c>
      <c r="GMV1590" s="55">
        <f t="shared" si="117"/>
        <v>0</v>
      </c>
      <c r="GMW1590" s="55">
        <f t="shared" si="117"/>
        <v>0</v>
      </c>
      <c r="GMX1590" s="55">
        <f t="shared" si="117"/>
        <v>0</v>
      </c>
      <c r="GMY1590" s="55">
        <f t="shared" si="117"/>
        <v>0</v>
      </c>
      <c r="GMZ1590" s="55">
        <f t="shared" si="117"/>
        <v>0</v>
      </c>
      <c r="GNA1590" s="55">
        <f t="shared" si="117"/>
        <v>0</v>
      </c>
      <c r="GNB1590" s="55">
        <f t="shared" si="117"/>
        <v>0</v>
      </c>
      <c r="GNC1590" s="55">
        <f t="shared" si="117"/>
        <v>0</v>
      </c>
      <c r="GND1590" s="55">
        <f t="shared" si="117"/>
        <v>0</v>
      </c>
      <c r="GNE1590" s="55">
        <f t="shared" si="117"/>
        <v>0</v>
      </c>
      <c r="GNF1590" s="55">
        <f t="shared" si="117"/>
        <v>0</v>
      </c>
      <c r="GNG1590" s="55">
        <f t="shared" si="117"/>
        <v>0</v>
      </c>
      <c r="GNH1590" s="55">
        <f t="shared" si="117"/>
        <v>0</v>
      </c>
      <c r="GNI1590" s="55">
        <f t="shared" si="117"/>
        <v>0</v>
      </c>
      <c r="GNJ1590" s="55">
        <f t="shared" si="117"/>
        <v>0</v>
      </c>
      <c r="GNK1590" s="55">
        <f t="shared" si="117"/>
        <v>0</v>
      </c>
      <c r="GNL1590" s="55">
        <f t="shared" si="117"/>
        <v>0</v>
      </c>
      <c r="GNM1590" s="55">
        <f t="shared" si="117"/>
        <v>0</v>
      </c>
      <c r="GNN1590" s="55">
        <f t="shared" si="117"/>
        <v>0</v>
      </c>
      <c r="GNO1590" s="55">
        <f t="shared" si="117"/>
        <v>0</v>
      </c>
      <c r="GNP1590" s="55">
        <f t="shared" si="117"/>
        <v>0</v>
      </c>
      <c r="GNQ1590" s="55">
        <f t="shared" si="117"/>
        <v>0</v>
      </c>
      <c r="GNR1590" s="55">
        <f t="shared" si="117"/>
        <v>0</v>
      </c>
      <c r="GNS1590" s="55">
        <f t="shared" si="117"/>
        <v>0</v>
      </c>
      <c r="GNT1590" s="55">
        <f t="shared" si="117"/>
        <v>0</v>
      </c>
      <c r="GNU1590" s="55">
        <f t="shared" si="117"/>
        <v>0</v>
      </c>
      <c r="GNV1590" s="55">
        <f t="shared" si="117"/>
        <v>0</v>
      </c>
      <c r="GNW1590" s="55">
        <f t="shared" si="117"/>
        <v>0</v>
      </c>
      <c r="GNX1590" s="55">
        <f t="shared" si="117"/>
        <v>0</v>
      </c>
      <c r="GNY1590" s="55">
        <f t="shared" si="117"/>
        <v>0</v>
      </c>
      <c r="GNZ1590" s="55">
        <f t="shared" si="117"/>
        <v>0</v>
      </c>
      <c r="GOA1590" s="55">
        <f t="shared" si="117"/>
        <v>0</v>
      </c>
      <c r="GOB1590" s="55">
        <f t="shared" si="117"/>
        <v>0</v>
      </c>
      <c r="GOC1590" s="55">
        <f t="shared" si="117"/>
        <v>0</v>
      </c>
      <c r="GOD1590" s="55">
        <f t="shared" si="117"/>
        <v>0</v>
      </c>
      <c r="GOE1590" s="55">
        <f t="shared" si="117"/>
        <v>0</v>
      </c>
      <c r="GOF1590" s="55">
        <f t="shared" si="117"/>
        <v>0</v>
      </c>
      <c r="GOG1590" s="55">
        <f t="shared" si="117"/>
        <v>0</v>
      </c>
      <c r="GOH1590" s="55">
        <f t="shared" si="117"/>
        <v>0</v>
      </c>
      <c r="GOI1590" s="55">
        <f t="shared" si="117"/>
        <v>0</v>
      </c>
      <c r="GOJ1590" s="55">
        <f t="shared" ref="GOJ1590:GQU1590" si="118">+(GOJ1600+GOJ1604)*1.18*1.1</f>
        <v>0</v>
      </c>
      <c r="GOK1590" s="55">
        <f t="shared" si="118"/>
        <v>0</v>
      </c>
      <c r="GOL1590" s="55">
        <f t="shared" si="118"/>
        <v>0</v>
      </c>
      <c r="GOM1590" s="55">
        <f t="shared" si="118"/>
        <v>0</v>
      </c>
      <c r="GON1590" s="55">
        <f t="shared" si="118"/>
        <v>0</v>
      </c>
      <c r="GOO1590" s="55">
        <f t="shared" si="118"/>
        <v>0</v>
      </c>
      <c r="GOP1590" s="55">
        <f t="shared" si="118"/>
        <v>0</v>
      </c>
      <c r="GOQ1590" s="55">
        <f t="shared" si="118"/>
        <v>0</v>
      </c>
      <c r="GOR1590" s="55">
        <f t="shared" si="118"/>
        <v>0</v>
      </c>
      <c r="GOS1590" s="55">
        <f t="shared" si="118"/>
        <v>0</v>
      </c>
      <c r="GOT1590" s="55">
        <f t="shared" si="118"/>
        <v>0</v>
      </c>
      <c r="GOU1590" s="55">
        <f t="shared" si="118"/>
        <v>0</v>
      </c>
      <c r="GOV1590" s="55">
        <f t="shared" si="118"/>
        <v>0</v>
      </c>
      <c r="GOW1590" s="55">
        <f t="shared" si="118"/>
        <v>0</v>
      </c>
      <c r="GOX1590" s="55">
        <f t="shared" si="118"/>
        <v>0</v>
      </c>
      <c r="GOY1590" s="55">
        <f t="shared" si="118"/>
        <v>0</v>
      </c>
      <c r="GOZ1590" s="55">
        <f t="shared" si="118"/>
        <v>0</v>
      </c>
      <c r="GPA1590" s="55">
        <f t="shared" si="118"/>
        <v>0</v>
      </c>
      <c r="GPB1590" s="55">
        <f t="shared" si="118"/>
        <v>0</v>
      </c>
      <c r="GPC1590" s="55">
        <f t="shared" si="118"/>
        <v>0</v>
      </c>
      <c r="GPD1590" s="55">
        <f t="shared" si="118"/>
        <v>0</v>
      </c>
      <c r="GPE1590" s="55">
        <f t="shared" si="118"/>
        <v>0</v>
      </c>
      <c r="GPF1590" s="55">
        <f t="shared" si="118"/>
        <v>0</v>
      </c>
      <c r="GPG1590" s="55">
        <f t="shared" si="118"/>
        <v>0</v>
      </c>
      <c r="GPH1590" s="55">
        <f t="shared" si="118"/>
        <v>0</v>
      </c>
      <c r="GPI1590" s="55">
        <f t="shared" si="118"/>
        <v>0</v>
      </c>
      <c r="GPJ1590" s="55">
        <f t="shared" si="118"/>
        <v>0</v>
      </c>
      <c r="GPK1590" s="55">
        <f t="shared" si="118"/>
        <v>0</v>
      </c>
      <c r="GPL1590" s="55">
        <f t="shared" si="118"/>
        <v>0</v>
      </c>
      <c r="GPM1590" s="55">
        <f t="shared" si="118"/>
        <v>0</v>
      </c>
      <c r="GPN1590" s="55">
        <f t="shared" si="118"/>
        <v>0</v>
      </c>
      <c r="GPO1590" s="55">
        <f t="shared" si="118"/>
        <v>0</v>
      </c>
      <c r="GPP1590" s="55">
        <f t="shared" si="118"/>
        <v>0</v>
      </c>
      <c r="GPQ1590" s="55">
        <f t="shared" si="118"/>
        <v>0</v>
      </c>
      <c r="GPR1590" s="55">
        <f t="shared" si="118"/>
        <v>0</v>
      </c>
      <c r="GPS1590" s="55">
        <f t="shared" si="118"/>
        <v>0</v>
      </c>
      <c r="GPT1590" s="55">
        <f t="shared" si="118"/>
        <v>0</v>
      </c>
      <c r="GPU1590" s="55">
        <f t="shared" si="118"/>
        <v>0</v>
      </c>
      <c r="GPV1590" s="55">
        <f t="shared" si="118"/>
        <v>0</v>
      </c>
      <c r="GPW1590" s="55">
        <f t="shared" si="118"/>
        <v>0</v>
      </c>
      <c r="GPX1590" s="55">
        <f t="shared" si="118"/>
        <v>0</v>
      </c>
      <c r="GPY1590" s="55">
        <f t="shared" si="118"/>
        <v>0</v>
      </c>
      <c r="GPZ1590" s="55">
        <f t="shared" si="118"/>
        <v>0</v>
      </c>
      <c r="GQA1590" s="55">
        <f t="shared" si="118"/>
        <v>0</v>
      </c>
      <c r="GQB1590" s="55">
        <f t="shared" si="118"/>
        <v>0</v>
      </c>
      <c r="GQC1590" s="55">
        <f t="shared" si="118"/>
        <v>0</v>
      </c>
      <c r="GQD1590" s="55">
        <f t="shared" si="118"/>
        <v>0</v>
      </c>
      <c r="GQE1590" s="55">
        <f t="shared" si="118"/>
        <v>0</v>
      </c>
      <c r="GQF1590" s="55">
        <f t="shared" si="118"/>
        <v>0</v>
      </c>
      <c r="GQG1590" s="55">
        <f t="shared" si="118"/>
        <v>0</v>
      </c>
      <c r="GQH1590" s="55">
        <f t="shared" si="118"/>
        <v>0</v>
      </c>
      <c r="GQI1590" s="55">
        <f t="shared" si="118"/>
        <v>0</v>
      </c>
      <c r="GQJ1590" s="55">
        <f t="shared" si="118"/>
        <v>0</v>
      </c>
      <c r="GQK1590" s="55">
        <f t="shared" si="118"/>
        <v>0</v>
      </c>
      <c r="GQL1590" s="55">
        <f t="shared" si="118"/>
        <v>0</v>
      </c>
      <c r="GQM1590" s="55">
        <f t="shared" si="118"/>
        <v>0</v>
      </c>
      <c r="GQN1590" s="55">
        <f t="shared" si="118"/>
        <v>0</v>
      </c>
      <c r="GQO1590" s="55">
        <f t="shared" si="118"/>
        <v>0</v>
      </c>
      <c r="GQP1590" s="55">
        <f t="shared" si="118"/>
        <v>0</v>
      </c>
      <c r="GQQ1590" s="55">
        <f t="shared" si="118"/>
        <v>0</v>
      </c>
      <c r="GQR1590" s="55">
        <f t="shared" si="118"/>
        <v>0</v>
      </c>
      <c r="GQS1590" s="55">
        <f t="shared" si="118"/>
        <v>0</v>
      </c>
      <c r="GQT1590" s="55">
        <f t="shared" si="118"/>
        <v>0</v>
      </c>
      <c r="GQU1590" s="55">
        <f t="shared" si="118"/>
        <v>0</v>
      </c>
      <c r="GQV1590" s="55">
        <f t="shared" ref="GQV1590:GTG1590" si="119">+(GQV1600+GQV1604)*1.18*1.1</f>
        <v>0</v>
      </c>
      <c r="GQW1590" s="55">
        <f t="shared" si="119"/>
        <v>0</v>
      </c>
      <c r="GQX1590" s="55">
        <f t="shared" si="119"/>
        <v>0</v>
      </c>
      <c r="GQY1590" s="55">
        <f t="shared" si="119"/>
        <v>0</v>
      </c>
      <c r="GQZ1590" s="55">
        <f t="shared" si="119"/>
        <v>0</v>
      </c>
      <c r="GRA1590" s="55">
        <f t="shared" si="119"/>
        <v>0</v>
      </c>
      <c r="GRB1590" s="55">
        <f t="shared" si="119"/>
        <v>0</v>
      </c>
      <c r="GRC1590" s="55">
        <f t="shared" si="119"/>
        <v>0</v>
      </c>
      <c r="GRD1590" s="55">
        <f t="shared" si="119"/>
        <v>0</v>
      </c>
      <c r="GRE1590" s="55">
        <f t="shared" si="119"/>
        <v>0</v>
      </c>
      <c r="GRF1590" s="55">
        <f t="shared" si="119"/>
        <v>0</v>
      </c>
      <c r="GRG1590" s="55">
        <f t="shared" si="119"/>
        <v>0</v>
      </c>
      <c r="GRH1590" s="55">
        <f t="shared" si="119"/>
        <v>0</v>
      </c>
      <c r="GRI1590" s="55">
        <f t="shared" si="119"/>
        <v>0</v>
      </c>
      <c r="GRJ1590" s="55">
        <f t="shared" si="119"/>
        <v>0</v>
      </c>
      <c r="GRK1590" s="55">
        <f t="shared" si="119"/>
        <v>0</v>
      </c>
      <c r="GRL1590" s="55">
        <f t="shared" si="119"/>
        <v>0</v>
      </c>
      <c r="GRM1590" s="55">
        <f t="shared" si="119"/>
        <v>0</v>
      </c>
      <c r="GRN1590" s="55">
        <f t="shared" si="119"/>
        <v>0</v>
      </c>
      <c r="GRO1590" s="55">
        <f t="shared" si="119"/>
        <v>0</v>
      </c>
      <c r="GRP1590" s="55">
        <f t="shared" si="119"/>
        <v>0</v>
      </c>
      <c r="GRQ1590" s="55">
        <f t="shared" si="119"/>
        <v>0</v>
      </c>
      <c r="GRR1590" s="55">
        <f t="shared" si="119"/>
        <v>0</v>
      </c>
      <c r="GRS1590" s="55">
        <f t="shared" si="119"/>
        <v>0</v>
      </c>
      <c r="GRT1590" s="55">
        <f t="shared" si="119"/>
        <v>0</v>
      </c>
      <c r="GRU1590" s="55">
        <f t="shared" si="119"/>
        <v>0</v>
      </c>
      <c r="GRV1590" s="55">
        <f t="shared" si="119"/>
        <v>0</v>
      </c>
      <c r="GRW1590" s="55">
        <f t="shared" si="119"/>
        <v>0</v>
      </c>
      <c r="GRX1590" s="55">
        <f t="shared" si="119"/>
        <v>0</v>
      </c>
      <c r="GRY1590" s="55">
        <f t="shared" si="119"/>
        <v>0</v>
      </c>
      <c r="GRZ1590" s="55">
        <f t="shared" si="119"/>
        <v>0</v>
      </c>
      <c r="GSA1590" s="55">
        <f t="shared" si="119"/>
        <v>0</v>
      </c>
      <c r="GSB1590" s="55">
        <f t="shared" si="119"/>
        <v>0</v>
      </c>
      <c r="GSC1590" s="55">
        <f t="shared" si="119"/>
        <v>0</v>
      </c>
      <c r="GSD1590" s="55">
        <f t="shared" si="119"/>
        <v>0</v>
      </c>
      <c r="GSE1590" s="55">
        <f t="shared" si="119"/>
        <v>0</v>
      </c>
      <c r="GSF1590" s="55">
        <f t="shared" si="119"/>
        <v>0</v>
      </c>
      <c r="GSG1590" s="55">
        <f t="shared" si="119"/>
        <v>0</v>
      </c>
      <c r="GSH1590" s="55">
        <f t="shared" si="119"/>
        <v>0</v>
      </c>
      <c r="GSI1590" s="55">
        <f t="shared" si="119"/>
        <v>0</v>
      </c>
      <c r="GSJ1590" s="55">
        <f t="shared" si="119"/>
        <v>0</v>
      </c>
      <c r="GSK1590" s="55">
        <f t="shared" si="119"/>
        <v>0</v>
      </c>
      <c r="GSL1590" s="55">
        <f t="shared" si="119"/>
        <v>0</v>
      </c>
      <c r="GSM1590" s="55">
        <f t="shared" si="119"/>
        <v>0</v>
      </c>
      <c r="GSN1590" s="55">
        <f t="shared" si="119"/>
        <v>0</v>
      </c>
      <c r="GSO1590" s="55">
        <f t="shared" si="119"/>
        <v>0</v>
      </c>
      <c r="GSP1590" s="55">
        <f t="shared" si="119"/>
        <v>0</v>
      </c>
      <c r="GSQ1590" s="55">
        <f t="shared" si="119"/>
        <v>0</v>
      </c>
      <c r="GSR1590" s="55">
        <f t="shared" si="119"/>
        <v>0</v>
      </c>
      <c r="GSS1590" s="55">
        <f t="shared" si="119"/>
        <v>0</v>
      </c>
      <c r="GST1590" s="55">
        <f t="shared" si="119"/>
        <v>0</v>
      </c>
      <c r="GSU1590" s="55">
        <f t="shared" si="119"/>
        <v>0</v>
      </c>
      <c r="GSV1590" s="55">
        <f t="shared" si="119"/>
        <v>0</v>
      </c>
      <c r="GSW1590" s="55">
        <f t="shared" si="119"/>
        <v>0</v>
      </c>
      <c r="GSX1590" s="55">
        <f t="shared" si="119"/>
        <v>0</v>
      </c>
      <c r="GSY1590" s="55">
        <f t="shared" si="119"/>
        <v>0</v>
      </c>
      <c r="GSZ1590" s="55">
        <f t="shared" si="119"/>
        <v>0</v>
      </c>
      <c r="GTA1590" s="55">
        <f t="shared" si="119"/>
        <v>0</v>
      </c>
      <c r="GTB1590" s="55">
        <f t="shared" si="119"/>
        <v>0</v>
      </c>
      <c r="GTC1590" s="55">
        <f t="shared" si="119"/>
        <v>0</v>
      </c>
      <c r="GTD1590" s="55">
        <f t="shared" si="119"/>
        <v>0</v>
      </c>
      <c r="GTE1590" s="55">
        <f t="shared" si="119"/>
        <v>0</v>
      </c>
      <c r="GTF1590" s="55">
        <f t="shared" si="119"/>
        <v>0</v>
      </c>
      <c r="GTG1590" s="55">
        <f t="shared" si="119"/>
        <v>0</v>
      </c>
      <c r="GTH1590" s="55">
        <f t="shared" ref="GTH1590:GVS1590" si="120">+(GTH1600+GTH1604)*1.18*1.1</f>
        <v>0</v>
      </c>
      <c r="GTI1590" s="55">
        <f t="shared" si="120"/>
        <v>0</v>
      </c>
      <c r="GTJ1590" s="55">
        <f t="shared" si="120"/>
        <v>0</v>
      </c>
      <c r="GTK1590" s="55">
        <f t="shared" si="120"/>
        <v>0</v>
      </c>
      <c r="GTL1590" s="55">
        <f t="shared" si="120"/>
        <v>0</v>
      </c>
      <c r="GTM1590" s="55">
        <f t="shared" si="120"/>
        <v>0</v>
      </c>
      <c r="GTN1590" s="55">
        <f t="shared" si="120"/>
        <v>0</v>
      </c>
      <c r="GTO1590" s="55">
        <f t="shared" si="120"/>
        <v>0</v>
      </c>
      <c r="GTP1590" s="55">
        <f t="shared" si="120"/>
        <v>0</v>
      </c>
      <c r="GTQ1590" s="55">
        <f t="shared" si="120"/>
        <v>0</v>
      </c>
      <c r="GTR1590" s="55">
        <f t="shared" si="120"/>
        <v>0</v>
      </c>
      <c r="GTS1590" s="55">
        <f t="shared" si="120"/>
        <v>0</v>
      </c>
      <c r="GTT1590" s="55">
        <f t="shared" si="120"/>
        <v>0</v>
      </c>
      <c r="GTU1590" s="55">
        <f t="shared" si="120"/>
        <v>0</v>
      </c>
      <c r="GTV1590" s="55">
        <f t="shared" si="120"/>
        <v>0</v>
      </c>
      <c r="GTW1590" s="55">
        <f t="shared" si="120"/>
        <v>0</v>
      </c>
      <c r="GTX1590" s="55">
        <f t="shared" si="120"/>
        <v>0</v>
      </c>
      <c r="GTY1590" s="55">
        <f t="shared" si="120"/>
        <v>0</v>
      </c>
      <c r="GTZ1590" s="55">
        <f t="shared" si="120"/>
        <v>0</v>
      </c>
      <c r="GUA1590" s="55">
        <f t="shared" si="120"/>
        <v>0</v>
      </c>
      <c r="GUB1590" s="55">
        <f t="shared" si="120"/>
        <v>0</v>
      </c>
      <c r="GUC1590" s="55">
        <f t="shared" si="120"/>
        <v>0</v>
      </c>
      <c r="GUD1590" s="55">
        <f t="shared" si="120"/>
        <v>0</v>
      </c>
      <c r="GUE1590" s="55">
        <f t="shared" si="120"/>
        <v>0</v>
      </c>
      <c r="GUF1590" s="55">
        <f t="shared" si="120"/>
        <v>0</v>
      </c>
      <c r="GUG1590" s="55">
        <f t="shared" si="120"/>
        <v>0</v>
      </c>
      <c r="GUH1590" s="55">
        <f t="shared" si="120"/>
        <v>0</v>
      </c>
      <c r="GUI1590" s="55">
        <f t="shared" si="120"/>
        <v>0</v>
      </c>
      <c r="GUJ1590" s="55">
        <f t="shared" si="120"/>
        <v>0</v>
      </c>
      <c r="GUK1590" s="55">
        <f t="shared" si="120"/>
        <v>0</v>
      </c>
      <c r="GUL1590" s="55">
        <f t="shared" si="120"/>
        <v>0</v>
      </c>
      <c r="GUM1590" s="55">
        <f t="shared" si="120"/>
        <v>0</v>
      </c>
      <c r="GUN1590" s="55">
        <f t="shared" si="120"/>
        <v>0</v>
      </c>
      <c r="GUO1590" s="55">
        <f t="shared" si="120"/>
        <v>0</v>
      </c>
      <c r="GUP1590" s="55">
        <f t="shared" si="120"/>
        <v>0</v>
      </c>
      <c r="GUQ1590" s="55">
        <f t="shared" si="120"/>
        <v>0</v>
      </c>
      <c r="GUR1590" s="55">
        <f t="shared" si="120"/>
        <v>0</v>
      </c>
      <c r="GUS1590" s="55">
        <f t="shared" si="120"/>
        <v>0</v>
      </c>
      <c r="GUT1590" s="55">
        <f t="shared" si="120"/>
        <v>0</v>
      </c>
      <c r="GUU1590" s="55">
        <f t="shared" si="120"/>
        <v>0</v>
      </c>
      <c r="GUV1590" s="55">
        <f t="shared" si="120"/>
        <v>0</v>
      </c>
      <c r="GUW1590" s="55">
        <f t="shared" si="120"/>
        <v>0</v>
      </c>
      <c r="GUX1590" s="55">
        <f t="shared" si="120"/>
        <v>0</v>
      </c>
      <c r="GUY1590" s="55">
        <f t="shared" si="120"/>
        <v>0</v>
      </c>
      <c r="GUZ1590" s="55">
        <f t="shared" si="120"/>
        <v>0</v>
      </c>
      <c r="GVA1590" s="55">
        <f t="shared" si="120"/>
        <v>0</v>
      </c>
      <c r="GVB1590" s="55">
        <f t="shared" si="120"/>
        <v>0</v>
      </c>
      <c r="GVC1590" s="55">
        <f t="shared" si="120"/>
        <v>0</v>
      </c>
      <c r="GVD1590" s="55">
        <f t="shared" si="120"/>
        <v>0</v>
      </c>
      <c r="GVE1590" s="55">
        <f t="shared" si="120"/>
        <v>0</v>
      </c>
      <c r="GVF1590" s="55">
        <f t="shared" si="120"/>
        <v>0</v>
      </c>
      <c r="GVG1590" s="55">
        <f t="shared" si="120"/>
        <v>0</v>
      </c>
      <c r="GVH1590" s="55">
        <f t="shared" si="120"/>
        <v>0</v>
      </c>
      <c r="GVI1590" s="55">
        <f t="shared" si="120"/>
        <v>0</v>
      </c>
      <c r="GVJ1590" s="55">
        <f t="shared" si="120"/>
        <v>0</v>
      </c>
      <c r="GVK1590" s="55">
        <f t="shared" si="120"/>
        <v>0</v>
      </c>
      <c r="GVL1590" s="55">
        <f t="shared" si="120"/>
        <v>0</v>
      </c>
      <c r="GVM1590" s="55">
        <f t="shared" si="120"/>
        <v>0</v>
      </c>
      <c r="GVN1590" s="55">
        <f t="shared" si="120"/>
        <v>0</v>
      </c>
      <c r="GVO1590" s="55">
        <f t="shared" si="120"/>
        <v>0</v>
      </c>
      <c r="GVP1590" s="55">
        <f t="shared" si="120"/>
        <v>0</v>
      </c>
      <c r="GVQ1590" s="55">
        <f t="shared" si="120"/>
        <v>0</v>
      </c>
      <c r="GVR1590" s="55">
        <f t="shared" si="120"/>
        <v>0</v>
      </c>
      <c r="GVS1590" s="55">
        <f t="shared" si="120"/>
        <v>0</v>
      </c>
      <c r="GVT1590" s="55">
        <f t="shared" ref="GVT1590:GYE1590" si="121">+(GVT1600+GVT1604)*1.18*1.1</f>
        <v>0</v>
      </c>
      <c r="GVU1590" s="55">
        <f t="shared" si="121"/>
        <v>0</v>
      </c>
      <c r="GVV1590" s="55">
        <f t="shared" si="121"/>
        <v>0</v>
      </c>
      <c r="GVW1590" s="55">
        <f t="shared" si="121"/>
        <v>0</v>
      </c>
      <c r="GVX1590" s="55">
        <f t="shared" si="121"/>
        <v>0</v>
      </c>
      <c r="GVY1590" s="55">
        <f t="shared" si="121"/>
        <v>0</v>
      </c>
      <c r="GVZ1590" s="55">
        <f t="shared" si="121"/>
        <v>0</v>
      </c>
      <c r="GWA1590" s="55">
        <f t="shared" si="121"/>
        <v>0</v>
      </c>
      <c r="GWB1590" s="55">
        <f t="shared" si="121"/>
        <v>0</v>
      </c>
      <c r="GWC1590" s="55">
        <f t="shared" si="121"/>
        <v>0</v>
      </c>
      <c r="GWD1590" s="55">
        <f t="shared" si="121"/>
        <v>0</v>
      </c>
      <c r="GWE1590" s="55">
        <f t="shared" si="121"/>
        <v>0</v>
      </c>
      <c r="GWF1590" s="55">
        <f t="shared" si="121"/>
        <v>0</v>
      </c>
      <c r="GWG1590" s="55">
        <f t="shared" si="121"/>
        <v>0</v>
      </c>
      <c r="GWH1590" s="55">
        <f t="shared" si="121"/>
        <v>0</v>
      </c>
      <c r="GWI1590" s="55">
        <f t="shared" si="121"/>
        <v>0</v>
      </c>
      <c r="GWJ1590" s="55">
        <f t="shared" si="121"/>
        <v>0</v>
      </c>
      <c r="GWK1590" s="55">
        <f t="shared" si="121"/>
        <v>0</v>
      </c>
      <c r="GWL1590" s="55">
        <f t="shared" si="121"/>
        <v>0</v>
      </c>
      <c r="GWM1590" s="55">
        <f t="shared" si="121"/>
        <v>0</v>
      </c>
      <c r="GWN1590" s="55">
        <f t="shared" si="121"/>
        <v>0</v>
      </c>
      <c r="GWO1590" s="55">
        <f t="shared" si="121"/>
        <v>0</v>
      </c>
      <c r="GWP1590" s="55">
        <f t="shared" si="121"/>
        <v>0</v>
      </c>
      <c r="GWQ1590" s="55">
        <f t="shared" si="121"/>
        <v>0</v>
      </c>
      <c r="GWR1590" s="55">
        <f t="shared" si="121"/>
        <v>0</v>
      </c>
      <c r="GWS1590" s="55">
        <f t="shared" si="121"/>
        <v>0</v>
      </c>
      <c r="GWT1590" s="55">
        <f t="shared" si="121"/>
        <v>0</v>
      </c>
      <c r="GWU1590" s="55">
        <f t="shared" si="121"/>
        <v>0</v>
      </c>
      <c r="GWV1590" s="55">
        <f t="shared" si="121"/>
        <v>0</v>
      </c>
      <c r="GWW1590" s="55">
        <f t="shared" si="121"/>
        <v>0</v>
      </c>
      <c r="GWX1590" s="55">
        <f t="shared" si="121"/>
        <v>0</v>
      </c>
      <c r="GWY1590" s="55">
        <f t="shared" si="121"/>
        <v>0</v>
      </c>
      <c r="GWZ1590" s="55">
        <f t="shared" si="121"/>
        <v>0</v>
      </c>
      <c r="GXA1590" s="55">
        <f t="shared" si="121"/>
        <v>0</v>
      </c>
      <c r="GXB1590" s="55">
        <f t="shared" si="121"/>
        <v>0</v>
      </c>
      <c r="GXC1590" s="55">
        <f t="shared" si="121"/>
        <v>0</v>
      </c>
      <c r="GXD1590" s="55">
        <f t="shared" si="121"/>
        <v>0</v>
      </c>
      <c r="GXE1590" s="55">
        <f t="shared" si="121"/>
        <v>0</v>
      </c>
      <c r="GXF1590" s="55">
        <f t="shared" si="121"/>
        <v>0</v>
      </c>
      <c r="GXG1590" s="55">
        <f t="shared" si="121"/>
        <v>0</v>
      </c>
      <c r="GXH1590" s="55">
        <f t="shared" si="121"/>
        <v>0</v>
      </c>
      <c r="GXI1590" s="55">
        <f t="shared" si="121"/>
        <v>0</v>
      </c>
      <c r="GXJ1590" s="55">
        <f t="shared" si="121"/>
        <v>0</v>
      </c>
      <c r="GXK1590" s="55">
        <f t="shared" si="121"/>
        <v>0</v>
      </c>
      <c r="GXL1590" s="55">
        <f t="shared" si="121"/>
        <v>0</v>
      </c>
      <c r="GXM1590" s="55">
        <f t="shared" si="121"/>
        <v>0</v>
      </c>
      <c r="GXN1590" s="55">
        <f t="shared" si="121"/>
        <v>0</v>
      </c>
      <c r="GXO1590" s="55">
        <f t="shared" si="121"/>
        <v>0</v>
      </c>
      <c r="GXP1590" s="55">
        <f t="shared" si="121"/>
        <v>0</v>
      </c>
      <c r="GXQ1590" s="55">
        <f t="shared" si="121"/>
        <v>0</v>
      </c>
      <c r="GXR1590" s="55">
        <f t="shared" si="121"/>
        <v>0</v>
      </c>
      <c r="GXS1590" s="55">
        <f t="shared" si="121"/>
        <v>0</v>
      </c>
      <c r="GXT1590" s="55">
        <f t="shared" si="121"/>
        <v>0</v>
      </c>
      <c r="GXU1590" s="55">
        <f t="shared" si="121"/>
        <v>0</v>
      </c>
      <c r="GXV1590" s="55">
        <f t="shared" si="121"/>
        <v>0</v>
      </c>
      <c r="GXW1590" s="55">
        <f t="shared" si="121"/>
        <v>0</v>
      </c>
      <c r="GXX1590" s="55">
        <f t="shared" si="121"/>
        <v>0</v>
      </c>
      <c r="GXY1590" s="55">
        <f t="shared" si="121"/>
        <v>0</v>
      </c>
      <c r="GXZ1590" s="55">
        <f t="shared" si="121"/>
        <v>0</v>
      </c>
      <c r="GYA1590" s="55">
        <f t="shared" si="121"/>
        <v>0</v>
      </c>
      <c r="GYB1590" s="55">
        <f t="shared" si="121"/>
        <v>0</v>
      </c>
      <c r="GYC1590" s="55">
        <f t="shared" si="121"/>
        <v>0</v>
      </c>
      <c r="GYD1590" s="55">
        <f t="shared" si="121"/>
        <v>0</v>
      </c>
      <c r="GYE1590" s="55">
        <f t="shared" si="121"/>
        <v>0</v>
      </c>
      <c r="GYF1590" s="55">
        <f t="shared" ref="GYF1590:HAQ1590" si="122">+(GYF1600+GYF1604)*1.18*1.1</f>
        <v>0</v>
      </c>
      <c r="GYG1590" s="55">
        <f t="shared" si="122"/>
        <v>0</v>
      </c>
      <c r="GYH1590" s="55">
        <f t="shared" si="122"/>
        <v>0</v>
      </c>
      <c r="GYI1590" s="55">
        <f t="shared" si="122"/>
        <v>0</v>
      </c>
      <c r="GYJ1590" s="55">
        <f t="shared" si="122"/>
        <v>0</v>
      </c>
      <c r="GYK1590" s="55">
        <f t="shared" si="122"/>
        <v>0</v>
      </c>
      <c r="GYL1590" s="55">
        <f t="shared" si="122"/>
        <v>0</v>
      </c>
      <c r="GYM1590" s="55">
        <f t="shared" si="122"/>
        <v>0</v>
      </c>
      <c r="GYN1590" s="55">
        <f t="shared" si="122"/>
        <v>0</v>
      </c>
      <c r="GYO1590" s="55">
        <f t="shared" si="122"/>
        <v>0</v>
      </c>
      <c r="GYP1590" s="55">
        <f t="shared" si="122"/>
        <v>0</v>
      </c>
      <c r="GYQ1590" s="55">
        <f t="shared" si="122"/>
        <v>0</v>
      </c>
      <c r="GYR1590" s="55">
        <f t="shared" si="122"/>
        <v>0</v>
      </c>
      <c r="GYS1590" s="55">
        <f t="shared" si="122"/>
        <v>0</v>
      </c>
      <c r="GYT1590" s="55">
        <f t="shared" si="122"/>
        <v>0</v>
      </c>
      <c r="GYU1590" s="55">
        <f t="shared" si="122"/>
        <v>0</v>
      </c>
      <c r="GYV1590" s="55">
        <f t="shared" si="122"/>
        <v>0</v>
      </c>
      <c r="GYW1590" s="55">
        <f t="shared" si="122"/>
        <v>0</v>
      </c>
      <c r="GYX1590" s="55">
        <f t="shared" si="122"/>
        <v>0</v>
      </c>
      <c r="GYY1590" s="55">
        <f t="shared" si="122"/>
        <v>0</v>
      </c>
      <c r="GYZ1590" s="55">
        <f t="shared" si="122"/>
        <v>0</v>
      </c>
      <c r="GZA1590" s="55">
        <f t="shared" si="122"/>
        <v>0</v>
      </c>
      <c r="GZB1590" s="55">
        <f t="shared" si="122"/>
        <v>0</v>
      </c>
      <c r="GZC1590" s="55">
        <f t="shared" si="122"/>
        <v>0</v>
      </c>
      <c r="GZD1590" s="55">
        <f t="shared" si="122"/>
        <v>0</v>
      </c>
      <c r="GZE1590" s="55">
        <f t="shared" si="122"/>
        <v>0</v>
      </c>
      <c r="GZF1590" s="55">
        <f t="shared" si="122"/>
        <v>0</v>
      </c>
      <c r="GZG1590" s="55">
        <f t="shared" si="122"/>
        <v>0</v>
      </c>
      <c r="GZH1590" s="55">
        <f t="shared" si="122"/>
        <v>0</v>
      </c>
      <c r="GZI1590" s="55">
        <f t="shared" si="122"/>
        <v>0</v>
      </c>
      <c r="GZJ1590" s="55">
        <f t="shared" si="122"/>
        <v>0</v>
      </c>
      <c r="GZK1590" s="55">
        <f t="shared" si="122"/>
        <v>0</v>
      </c>
      <c r="GZL1590" s="55">
        <f t="shared" si="122"/>
        <v>0</v>
      </c>
      <c r="GZM1590" s="55">
        <f t="shared" si="122"/>
        <v>0</v>
      </c>
      <c r="GZN1590" s="55">
        <f t="shared" si="122"/>
        <v>0</v>
      </c>
      <c r="GZO1590" s="55">
        <f t="shared" si="122"/>
        <v>0</v>
      </c>
      <c r="GZP1590" s="55">
        <f t="shared" si="122"/>
        <v>0</v>
      </c>
      <c r="GZQ1590" s="55">
        <f t="shared" si="122"/>
        <v>0</v>
      </c>
      <c r="GZR1590" s="55">
        <f t="shared" si="122"/>
        <v>0</v>
      </c>
      <c r="GZS1590" s="55">
        <f t="shared" si="122"/>
        <v>0</v>
      </c>
      <c r="GZT1590" s="55">
        <f t="shared" si="122"/>
        <v>0</v>
      </c>
      <c r="GZU1590" s="55">
        <f t="shared" si="122"/>
        <v>0</v>
      </c>
      <c r="GZV1590" s="55">
        <f t="shared" si="122"/>
        <v>0</v>
      </c>
      <c r="GZW1590" s="55">
        <f t="shared" si="122"/>
        <v>0</v>
      </c>
      <c r="GZX1590" s="55">
        <f t="shared" si="122"/>
        <v>0</v>
      </c>
      <c r="GZY1590" s="55">
        <f t="shared" si="122"/>
        <v>0</v>
      </c>
      <c r="GZZ1590" s="55">
        <f t="shared" si="122"/>
        <v>0</v>
      </c>
      <c r="HAA1590" s="55">
        <f t="shared" si="122"/>
        <v>0</v>
      </c>
      <c r="HAB1590" s="55">
        <f t="shared" si="122"/>
        <v>0</v>
      </c>
      <c r="HAC1590" s="55">
        <f t="shared" si="122"/>
        <v>0</v>
      </c>
      <c r="HAD1590" s="55">
        <f t="shared" si="122"/>
        <v>0</v>
      </c>
      <c r="HAE1590" s="55">
        <f t="shared" si="122"/>
        <v>0</v>
      </c>
      <c r="HAF1590" s="55">
        <f t="shared" si="122"/>
        <v>0</v>
      </c>
      <c r="HAG1590" s="55">
        <f t="shared" si="122"/>
        <v>0</v>
      </c>
      <c r="HAH1590" s="55">
        <f t="shared" si="122"/>
        <v>0</v>
      </c>
      <c r="HAI1590" s="55">
        <f t="shared" si="122"/>
        <v>0</v>
      </c>
      <c r="HAJ1590" s="55">
        <f t="shared" si="122"/>
        <v>0</v>
      </c>
      <c r="HAK1590" s="55">
        <f t="shared" si="122"/>
        <v>0</v>
      </c>
      <c r="HAL1590" s="55">
        <f t="shared" si="122"/>
        <v>0</v>
      </c>
      <c r="HAM1590" s="55">
        <f t="shared" si="122"/>
        <v>0</v>
      </c>
      <c r="HAN1590" s="55">
        <f t="shared" si="122"/>
        <v>0</v>
      </c>
      <c r="HAO1590" s="55">
        <f t="shared" si="122"/>
        <v>0</v>
      </c>
      <c r="HAP1590" s="55">
        <f t="shared" si="122"/>
        <v>0</v>
      </c>
      <c r="HAQ1590" s="55">
        <f t="shared" si="122"/>
        <v>0</v>
      </c>
      <c r="HAR1590" s="55">
        <f t="shared" ref="HAR1590:HDC1590" si="123">+(HAR1600+HAR1604)*1.18*1.1</f>
        <v>0</v>
      </c>
      <c r="HAS1590" s="55">
        <f t="shared" si="123"/>
        <v>0</v>
      </c>
      <c r="HAT1590" s="55">
        <f t="shared" si="123"/>
        <v>0</v>
      </c>
      <c r="HAU1590" s="55">
        <f t="shared" si="123"/>
        <v>0</v>
      </c>
      <c r="HAV1590" s="55">
        <f t="shared" si="123"/>
        <v>0</v>
      </c>
      <c r="HAW1590" s="55">
        <f t="shared" si="123"/>
        <v>0</v>
      </c>
      <c r="HAX1590" s="55">
        <f t="shared" si="123"/>
        <v>0</v>
      </c>
      <c r="HAY1590" s="55">
        <f t="shared" si="123"/>
        <v>0</v>
      </c>
      <c r="HAZ1590" s="55">
        <f t="shared" si="123"/>
        <v>0</v>
      </c>
      <c r="HBA1590" s="55">
        <f t="shared" si="123"/>
        <v>0</v>
      </c>
      <c r="HBB1590" s="55">
        <f t="shared" si="123"/>
        <v>0</v>
      </c>
      <c r="HBC1590" s="55">
        <f t="shared" si="123"/>
        <v>0</v>
      </c>
      <c r="HBD1590" s="55">
        <f t="shared" si="123"/>
        <v>0</v>
      </c>
      <c r="HBE1590" s="55">
        <f t="shared" si="123"/>
        <v>0</v>
      </c>
      <c r="HBF1590" s="55">
        <f t="shared" si="123"/>
        <v>0</v>
      </c>
      <c r="HBG1590" s="55">
        <f t="shared" si="123"/>
        <v>0</v>
      </c>
      <c r="HBH1590" s="55">
        <f t="shared" si="123"/>
        <v>0</v>
      </c>
      <c r="HBI1590" s="55">
        <f t="shared" si="123"/>
        <v>0</v>
      </c>
      <c r="HBJ1590" s="55">
        <f t="shared" si="123"/>
        <v>0</v>
      </c>
      <c r="HBK1590" s="55">
        <f t="shared" si="123"/>
        <v>0</v>
      </c>
      <c r="HBL1590" s="55">
        <f t="shared" si="123"/>
        <v>0</v>
      </c>
      <c r="HBM1590" s="55">
        <f t="shared" si="123"/>
        <v>0</v>
      </c>
      <c r="HBN1590" s="55">
        <f t="shared" si="123"/>
        <v>0</v>
      </c>
      <c r="HBO1590" s="55">
        <f t="shared" si="123"/>
        <v>0</v>
      </c>
      <c r="HBP1590" s="55">
        <f t="shared" si="123"/>
        <v>0</v>
      </c>
      <c r="HBQ1590" s="55">
        <f t="shared" si="123"/>
        <v>0</v>
      </c>
      <c r="HBR1590" s="55">
        <f t="shared" si="123"/>
        <v>0</v>
      </c>
      <c r="HBS1590" s="55">
        <f t="shared" si="123"/>
        <v>0</v>
      </c>
      <c r="HBT1590" s="55">
        <f t="shared" si="123"/>
        <v>0</v>
      </c>
      <c r="HBU1590" s="55">
        <f t="shared" si="123"/>
        <v>0</v>
      </c>
      <c r="HBV1590" s="55">
        <f t="shared" si="123"/>
        <v>0</v>
      </c>
      <c r="HBW1590" s="55">
        <f t="shared" si="123"/>
        <v>0</v>
      </c>
      <c r="HBX1590" s="55">
        <f t="shared" si="123"/>
        <v>0</v>
      </c>
      <c r="HBY1590" s="55">
        <f t="shared" si="123"/>
        <v>0</v>
      </c>
      <c r="HBZ1590" s="55">
        <f t="shared" si="123"/>
        <v>0</v>
      </c>
      <c r="HCA1590" s="55">
        <f t="shared" si="123"/>
        <v>0</v>
      </c>
      <c r="HCB1590" s="55">
        <f t="shared" si="123"/>
        <v>0</v>
      </c>
      <c r="HCC1590" s="55">
        <f t="shared" si="123"/>
        <v>0</v>
      </c>
      <c r="HCD1590" s="55">
        <f t="shared" si="123"/>
        <v>0</v>
      </c>
      <c r="HCE1590" s="55">
        <f t="shared" si="123"/>
        <v>0</v>
      </c>
      <c r="HCF1590" s="55">
        <f t="shared" si="123"/>
        <v>0</v>
      </c>
      <c r="HCG1590" s="55">
        <f t="shared" si="123"/>
        <v>0</v>
      </c>
      <c r="HCH1590" s="55">
        <f t="shared" si="123"/>
        <v>0</v>
      </c>
      <c r="HCI1590" s="55">
        <f t="shared" si="123"/>
        <v>0</v>
      </c>
      <c r="HCJ1590" s="55">
        <f t="shared" si="123"/>
        <v>0</v>
      </c>
      <c r="HCK1590" s="55">
        <f t="shared" si="123"/>
        <v>0</v>
      </c>
      <c r="HCL1590" s="55">
        <f t="shared" si="123"/>
        <v>0</v>
      </c>
      <c r="HCM1590" s="55">
        <f t="shared" si="123"/>
        <v>0</v>
      </c>
      <c r="HCN1590" s="55">
        <f t="shared" si="123"/>
        <v>0</v>
      </c>
      <c r="HCO1590" s="55">
        <f t="shared" si="123"/>
        <v>0</v>
      </c>
      <c r="HCP1590" s="55">
        <f t="shared" si="123"/>
        <v>0</v>
      </c>
      <c r="HCQ1590" s="55">
        <f t="shared" si="123"/>
        <v>0</v>
      </c>
      <c r="HCR1590" s="55">
        <f t="shared" si="123"/>
        <v>0</v>
      </c>
      <c r="HCS1590" s="55">
        <f t="shared" si="123"/>
        <v>0</v>
      </c>
      <c r="HCT1590" s="55">
        <f t="shared" si="123"/>
        <v>0</v>
      </c>
      <c r="HCU1590" s="55">
        <f t="shared" si="123"/>
        <v>0</v>
      </c>
      <c r="HCV1590" s="55">
        <f t="shared" si="123"/>
        <v>0</v>
      </c>
      <c r="HCW1590" s="55">
        <f t="shared" si="123"/>
        <v>0</v>
      </c>
      <c r="HCX1590" s="55">
        <f t="shared" si="123"/>
        <v>0</v>
      </c>
      <c r="HCY1590" s="55">
        <f t="shared" si="123"/>
        <v>0</v>
      </c>
      <c r="HCZ1590" s="55">
        <f t="shared" si="123"/>
        <v>0</v>
      </c>
      <c r="HDA1590" s="55">
        <f t="shared" si="123"/>
        <v>0</v>
      </c>
      <c r="HDB1590" s="55">
        <f t="shared" si="123"/>
        <v>0</v>
      </c>
      <c r="HDC1590" s="55">
        <f t="shared" si="123"/>
        <v>0</v>
      </c>
      <c r="HDD1590" s="55">
        <f t="shared" ref="HDD1590:HFO1590" si="124">+(HDD1600+HDD1604)*1.18*1.1</f>
        <v>0</v>
      </c>
      <c r="HDE1590" s="55">
        <f t="shared" si="124"/>
        <v>0</v>
      </c>
      <c r="HDF1590" s="55">
        <f t="shared" si="124"/>
        <v>0</v>
      </c>
      <c r="HDG1590" s="55">
        <f t="shared" si="124"/>
        <v>0</v>
      </c>
      <c r="HDH1590" s="55">
        <f t="shared" si="124"/>
        <v>0</v>
      </c>
      <c r="HDI1590" s="55">
        <f t="shared" si="124"/>
        <v>0</v>
      </c>
      <c r="HDJ1590" s="55">
        <f t="shared" si="124"/>
        <v>0</v>
      </c>
      <c r="HDK1590" s="55">
        <f t="shared" si="124"/>
        <v>0</v>
      </c>
      <c r="HDL1590" s="55">
        <f t="shared" si="124"/>
        <v>0</v>
      </c>
      <c r="HDM1590" s="55">
        <f t="shared" si="124"/>
        <v>0</v>
      </c>
      <c r="HDN1590" s="55">
        <f t="shared" si="124"/>
        <v>0</v>
      </c>
      <c r="HDO1590" s="55">
        <f t="shared" si="124"/>
        <v>0</v>
      </c>
      <c r="HDP1590" s="55">
        <f t="shared" si="124"/>
        <v>0</v>
      </c>
      <c r="HDQ1590" s="55">
        <f t="shared" si="124"/>
        <v>0</v>
      </c>
      <c r="HDR1590" s="55">
        <f t="shared" si="124"/>
        <v>0</v>
      </c>
      <c r="HDS1590" s="55">
        <f t="shared" si="124"/>
        <v>0</v>
      </c>
      <c r="HDT1590" s="55">
        <f t="shared" si="124"/>
        <v>0</v>
      </c>
      <c r="HDU1590" s="55">
        <f t="shared" si="124"/>
        <v>0</v>
      </c>
      <c r="HDV1590" s="55">
        <f t="shared" si="124"/>
        <v>0</v>
      </c>
      <c r="HDW1590" s="55">
        <f t="shared" si="124"/>
        <v>0</v>
      </c>
      <c r="HDX1590" s="55">
        <f t="shared" si="124"/>
        <v>0</v>
      </c>
      <c r="HDY1590" s="55">
        <f t="shared" si="124"/>
        <v>0</v>
      </c>
      <c r="HDZ1590" s="55">
        <f t="shared" si="124"/>
        <v>0</v>
      </c>
      <c r="HEA1590" s="55">
        <f t="shared" si="124"/>
        <v>0</v>
      </c>
      <c r="HEB1590" s="55">
        <f t="shared" si="124"/>
        <v>0</v>
      </c>
      <c r="HEC1590" s="55">
        <f t="shared" si="124"/>
        <v>0</v>
      </c>
      <c r="HED1590" s="55">
        <f t="shared" si="124"/>
        <v>0</v>
      </c>
      <c r="HEE1590" s="55">
        <f t="shared" si="124"/>
        <v>0</v>
      </c>
      <c r="HEF1590" s="55">
        <f t="shared" si="124"/>
        <v>0</v>
      </c>
      <c r="HEG1590" s="55">
        <f t="shared" si="124"/>
        <v>0</v>
      </c>
      <c r="HEH1590" s="55">
        <f t="shared" si="124"/>
        <v>0</v>
      </c>
      <c r="HEI1590" s="55">
        <f t="shared" si="124"/>
        <v>0</v>
      </c>
      <c r="HEJ1590" s="55">
        <f t="shared" si="124"/>
        <v>0</v>
      </c>
      <c r="HEK1590" s="55">
        <f t="shared" si="124"/>
        <v>0</v>
      </c>
      <c r="HEL1590" s="55">
        <f t="shared" si="124"/>
        <v>0</v>
      </c>
      <c r="HEM1590" s="55">
        <f t="shared" si="124"/>
        <v>0</v>
      </c>
      <c r="HEN1590" s="55">
        <f t="shared" si="124"/>
        <v>0</v>
      </c>
      <c r="HEO1590" s="55">
        <f t="shared" si="124"/>
        <v>0</v>
      </c>
      <c r="HEP1590" s="55">
        <f t="shared" si="124"/>
        <v>0</v>
      </c>
      <c r="HEQ1590" s="55">
        <f t="shared" si="124"/>
        <v>0</v>
      </c>
      <c r="HER1590" s="55">
        <f t="shared" si="124"/>
        <v>0</v>
      </c>
      <c r="HES1590" s="55">
        <f t="shared" si="124"/>
        <v>0</v>
      </c>
      <c r="HET1590" s="55">
        <f t="shared" si="124"/>
        <v>0</v>
      </c>
      <c r="HEU1590" s="55">
        <f t="shared" si="124"/>
        <v>0</v>
      </c>
      <c r="HEV1590" s="55">
        <f t="shared" si="124"/>
        <v>0</v>
      </c>
      <c r="HEW1590" s="55">
        <f t="shared" si="124"/>
        <v>0</v>
      </c>
      <c r="HEX1590" s="55">
        <f t="shared" si="124"/>
        <v>0</v>
      </c>
      <c r="HEY1590" s="55">
        <f t="shared" si="124"/>
        <v>0</v>
      </c>
      <c r="HEZ1590" s="55">
        <f t="shared" si="124"/>
        <v>0</v>
      </c>
      <c r="HFA1590" s="55">
        <f t="shared" si="124"/>
        <v>0</v>
      </c>
      <c r="HFB1590" s="55">
        <f t="shared" si="124"/>
        <v>0</v>
      </c>
      <c r="HFC1590" s="55">
        <f t="shared" si="124"/>
        <v>0</v>
      </c>
      <c r="HFD1590" s="55">
        <f t="shared" si="124"/>
        <v>0</v>
      </c>
      <c r="HFE1590" s="55">
        <f t="shared" si="124"/>
        <v>0</v>
      </c>
      <c r="HFF1590" s="55">
        <f t="shared" si="124"/>
        <v>0</v>
      </c>
      <c r="HFG1590" s="55">
        <f t="shared" si="124"/>
        <v>0</v>
      </c>
      <c r="HFH1590" s="55">
        <f t="shared" si="124"/>
        <v>0</v>
      </c>
      <c r="HFI1590" s="55">
        <f t="shared" si="124"/>
        <v>0</v>
      </c>
      <c r="HFJ1590" s="55">
        <f t="shared" si="124"/>
        <v>0</v>
      </c>
      <c r="HFK1590" s="55">
        <f t="shared" si="124"/>
        <v>0</v>
      </c>
      <c r="HFL1590" s="55">
        <f t="shared" si="124"/>
        <v>0</v>
      </c>
      <c r="HFM1590" s="55">
        <f t="shared" si="124"/>
        <v>0</v>
      </c>
      <c r="HFN1590" s="55">
        <f t="shared" si="124"/>
        <v>0</v>
      </c>
      <c r="HFO1590" s="55">
        <f t="shared" si="124"/>
        <v>0</v>
      </c>
      <c r="HFP1590" s="55">
        <f t="shared" ref="HFP1590:HIA1590" si="125">+(HFP1600+HFP1604)*1.18*1.1</f>
        <v>0</v>
      </c>
      <c r="HFQ1590" s="55">
        <f t="shared" si="125"/>
        <v>0</v>
      </c>
      <c r="HFR1590" s="55">
        <f t="shared" si="125"/>
        <v>0</v>
      </c>
      <c r="HFS1590" s="55">
        <f t="shared" si="125"/>
        <v>0</v>
      </c>
      <c r="HFT1590" s="55">
        <f t="shared" si="125"/>
        <v>0</v>
      </c>
      <c r="HFU1590" s="55">
        <f t="shared" si="125"/>
        <v>0</v>
      </c>
      <c r="HFV1590" s="55">
        <f t="shared" si="125"/>
        <v>0</v>
      </c>
      <c r="HFW1590" s="55">
        <f t="shared" si="125"/>
        <v>0</v>
      </c>
      <c r="HFX1590" s="55">
        <f t="shared" si="125"/>
        <v>0</v>
      </c>
      <c r="HFY1590" s="55">
        <f t="shared" si="125"/>
        <v>0</v>
      </c>
      <c r="HFZ1590" s="55">
        <f t="shared" si="125"/>
        <v>0</v>
      </c>
      <c r="HGA1590" s="55">
        <f t="shared" si="125"/>
        <v>0</v>
      </c>
      <c r="HGB1590" s="55">
        <f t="shared" si="125"/>
        <v>0</v>
      </c>
      <c r="HGC1590" s="55">
        <f t="shared" si="125"/>
        <v>0</v>
      </c>
      <c r="HGD1590" s="55">
        <f t="shared" si="125"/>
        <v>0</v>
      </c>
      <c r="HGE1590" s="55">
        <f t="shared" si="125"/>
        <v>0</v>
      </c>
      <c r="HGF1590" s="55">
        <f t="shared" si="125"/>
        <v>0</v>
      </c>
      <c r="HGG1590" s="55">
        <f t="shared" si="125"/>
        <v>0</v>
      </c>
      <c r="HGH1590" s="55">
        <f t="shared" si="125"/>
        <v>0</v>
      </c>
      <c r="HGI1590" s="55">
        <f t="shared" si="125"/>
        <v>0</v>
      </c>
      <c r="HGJ1590" s="55">
        <f t="shared" si="125"/>
        <v>0</v>
      </c>
      <c r="HGK1590" s="55">
        <f t="shared" si="125"/>
        <v>0</v>
      </c>
      <c r="HGL1590" s="55">
        <f t="shared" si="125"/>
        <v>0</v>
      </c>
      <c r="HGM1590" s="55">
        <f t="shared" si="125"/>
        <v>0</v>
      </c>
      <c r="HGN1590" s="55">
        <f t="shared" si="125"/>
        <v>0</v>
      </c>
      <c r="HGO1590" s="55">
        <f t="shared" si="125"/>
        <v>0</v>
      </c>
      <c r="HGP1590" s="55">
        <f t="shared" si="125"/>
        <v>0</v>
      </c>
      <c r="HGQ1590" s="55">
        <f t="shared" si="125"/>
        <v>0</v>
      </c>
      <c r="HGR1590" s="55">
        <f t="shared" si="125"/>
        <v>0</v>
      </c>
      <c r="HGS1590" s="55">
        <f t="shared" si="125"/>
        <v>0</v>
      </c>
      <c r="HGT1590" s="55">
        <f t="shared" si="125"/>
        <v>0</v>
      </c>
      <c r="HGU1590" s="55">
        <f t="shared" si="125"/>
        <v>0</v>
      </c>
      <c r="HGV1590" s="55">
        <f t="shared" si="125"/>
        <v>0</v>
      </c>
      <c r="HGW1590" s="55">
        <f t="shared" si="125"/>
        <v>0</v>
      </c>
      <c r="HGX1590" s="55">
        <f t="shared" si="125"/>
        <v>0</v>
      </c>
      <c r="HGY1590" s="55">
        <f t="shared" si="125"/>
        <v>0</v>
      </c>
      <c r="HGZ1590" s="55">
        <f t="shared" si="125"/>
        <v>0</v>
      </c>
      <c r="HHA1590" s="55">
        <f t="shared" si="125"/>
        <v>0</v>
      </c>
      <c r="HHB1590" s="55">
        <f t="shared" si="125"/>
        <v>0</v>
      </c>
      <c r="HHC1590" s="55">
        <f t="shared" si="125"/>
        <v>0</v>
      </c>
      <c r="HHD1590" s="55">
        <f t="shared" si="125"/>
        <v>0</v>
      </c>
      <c r="HHE1590" s="55">
        <f t="shared" si="125"/>
        <v>0</v>
      </c>
      <c r="HHF1590" s="55">
        <f t="shared" si="125"/>
        <v>0</v>
      </c>
      <c r="HHG1590" s="55">
        <f t="shared" si="125"/>
        <v>0</v>
      </c>
      <c r="HHH1590" s="55">
        <f t="shared" si="125"/>
        <v>0</v>
      </c>
      <c r="HHI1590" s="55">
        <f t="shared" si="125"/>
        <v>0</v>
      </c>
      <c r="HHJ1590" s="55">
        <f t="shared" si="125"/>
        <v>0</v>
      </c>
      <c r="HHK1590" s="55">
        <f t="shared" si="125"/>
        <v>0</v>
      </c>
      <c r="HHL1590" s="55">
        <f t="shared" si="125"/>
        <v>0</v>
      </c>
      <c r="HHM1590" s="55">
        <f t="shared" si="125"/>
        <v>0</v>
      </c>
      <c r="HHN1590" s="55">
        <f t="shared" si="125"/>
        <v>0</v>
      </c>
      <c r="HHO1590" s="55">
        <f t="shared" si="125"/>
        <v>0</v>
      </c>
      <c r="HHP1590" s="55">
        <f t="shared" si="125"/>
        <v>0</v>
      </c>
      <c r="HHQ1590" s="55">
        <f t="shared" si="125"/>
        <v>0</v>
      </c>
      <c r="HHR1590" s="55">
        <f t="shared" si="125"/>
        <v>0</v>
      </c>
      <c r="HHS1590" s="55">
        <f t="shared" si="125"/>
        <v>0</v>
      </c>
      <c r="HHT1590" s="55">
        <f t="shared" si="125"/>
        <v>0</v>
      </c>
      <c r="HHU1590" s="55">
        <f t="shared" si="125"/>
        <v>0</v>
      </c>
      <c r="HHV1590" s="55">
        <f t="shared" si="125"/>
        <v>0</v>
      </c>
      <c r="HHW1590" s="55">
        <f t="shared" si="125"/>
        <v>0</v>
      </c>
      <c r="HHX1590" s="55">
        <f t="shared" si="125"/>
        <v>0</v>
      </c>
      <c r="HHY1590" s="55">
        <f t="shared" si="125"/>
        <v>0</v>
      </c>
      <c r="HHZ1590" s="55">
        <f t="shared" si="125"/>
        <v>0</v>
      </c>
      <c r="HIA1590" s="55">
        <f t="shared" si="125"/>
        <v>0</v>
      </c>
      <c r="HIB1590" s="55">
        <f t="shared" ref="HIB1590:HKM1590" si="126">+(HIB1600+HIB1604)*1.18*1.1</f>
        <v>0</v>
      </c>
      <c r="HIC1590" s="55">
        <f t="shared" si="126"/>
        <v>0</v>
      </c>
      <c r="HID1590" s="55">
        <f t="shared" si="126"/>
        <v>0</v>
      </c>
      <c r="HIE1590" s="55">
        <f t="shared" si="126"/>
        <v>0</v>
      </c>
      <c r="HIF1590" s="55">
        <f t="shared" si="126"/>
        <v>0</v>
      </c>
      <c r="HIG1590" s="55">
        <f t="shared" si="126"/>
        <v>0</v>
      </c>
      <c r="HIH1590" s="55">
        <f t="shared" si="126"/>
        <v>0</v>
      </c>
      <c r="HII1590" s="55">
        <f t="shared" si="126"/>
        <v>0</v>
      </c>
      <c r="HIJ1590" s="55">
        <f t="shared" si="126"/>
        <v>0</v>
      </c>
      <c r="HIK1590" s="55">
        <f t="shared" si="126"/>
        <v>0</v>
      </c>
      <c r="HIL1590" s="55">
        <f t="shared" si="126"/>
        <v>0</v>
      </c>
      <c r="HIM1590" s="55">
        <f t="shared" si="126"/>
        <v>0</v>
      </c>
      <c r="HIN1590" s="55">
        <f t="shared" si="126"/>
        <v>0</v>
      </c>
      <c r="HIO1590" s="55">
        <f t="shared" si="126"/>
        <v>0</v>
      </c>
      <c r="HIP1590" s="55">
        <f t="shared" si="126"/>
        <v>0</v>
      </c>
      <c r="HIQ1590" s="55">
        <f t="shared" si="126"/>
        <v>0</v>
      </c>
      <c r="HIR1590" s="55">
        <f t="shared" si="126"/>
        <v>0</v>
      </c>
      <c r="HIS1590" s="55">
        <f t="shared" si="126"/>
        <v>0</v>
      </c>
      <c r="HIT1590" s="55">
        <f t="shared" si="126"/>
        <v>0</v>
      </c>
      <c r="HIU1590" s="55">
        <f t="shared" si="126"/>
        <v>0</v>
      </c>
      <c r="HIV1590" s="55">
        <f t="shared" si="126"/>
        <v>0</v>
      </c>
      <c r="HIW1590" s="55">
        <f t="shared" si="126"/>
        <v>0</v>
      </c>
      <c r="HIX1590" s="55">
        <f t="shared" si="126"/>
        <v>0</v>
      </c>
      <c r="HIY1590" s="55">
        <f t="shared" si="126"/>
        <v>0</v>
      </c>
      <c r="HIZ1590" s="55">
        <f t="shared" si="126"/>
        <v>0</v>
      </c>
      <c r="HJA1590" s="55">
        <f t="shared" si="126"/>
        <v>0</v>
      </c>
      <c r="HJB1590" s="55">
        <f t="shared" si="126"/>
        <v>0</v>
      </c>
      <c r="HJC1590" s="55">
        <f t="shared" si="126"/>
        <v>0</v>
      </c>
      <c r="HJD1590" s="55">
        <f t="shared" si="126"/>
        <v>0</v>
      </c>
      <c r="HJE1590" s="55">
        <f t="shared" si="126"/>
        <v>0</v>
      </c>
      <c r="HJF1590" s="55">
        <f t="shared" si="126"/>
        <v>0</v>
      </c>
      <c r="HJG1590" s="55">
        <f t="shared" si="126"/>
        <v>0</v>
      </c>
      <c r="HJH1590" s="55">
        <f t="shared" si="126"/>
        <v>0</v>
      </c>
      <c r="HJI1590" s="55">
        <f t="shared" si="126"/>
        <v>0</v>
      </c>
      <c r="HJJ1590" s="55">
        <f t="shared" si="126"/>
        <v>0</v>
      </c>
      <c r="HJK1590" s="55">
        <f t="shared" si="126"/>
        <v>0</v>
      </c>
      <c r="HJL1590" s="55">
        <f t="shared" si="126"/>
        <v>0</v>
      </c>
      <c r="HJM1590" s="55">
        <f t="shared" si="126"/>
        <v>0</v>
      </c>
      <c r="HJN1590" s="55">
        <f t="shared" si="126"/>
        <v>0</v>
      </c>
      <c r="HJO1590" s="55">
        <f t="shared" si="126"/>
        <v>0</v>
      </c>
      <c r="HJP1590" s="55">
        <f t="shared" si="126"/>
        <v>0</v>
      </c>
      <c r="HJQ1590" s="55">
        <f t="shared" si="126"/>
        <v>0</v>
      </c>
      <c r="HJR1590" s="55">
        <f t="shared" si="126"/>
        <v>0</v>
      </c>
      <c r="HJS1590" s="55">
        <f t="shared" si="126"/>
        <v>0</v>
      </c>
      <c r="HJT1590" s="55">
        <f t="shared" si="126"/>
        <v>0</v>
      </c>
      <c r="HJU1590" s="55">
        <f t="shared" si="126"/>
        <v>0</v>
      </c>
      <c r="HJV1590" s="55">
        <f t="shared" si="126"/>
        <v>0</v>
      </c>
      <c r="HJW1590" s="55">
        <f t="shared" si="126"/>
        <v>0</v>
      </c>
      <c r="HJX1590" s="55">
        <f t="shared" si="126"/>
        <v>0</v>
      </c>
      <c r="HJY1590" s="55">
        <f t="shared" si="126"/>
        <v>0</v>
      </c>
      <c r="HJZ1590" s="55">
        <f t="shared" si="126"/>
        <v>0</v>
      </c>
      <c r="HKA1590" s="55">
        <f t="shared" si="126"/>
        <v>0</v>
      </c>
      <c r="HKB1590" s="55">
        <f t="shared" si="126"/>
        <v>0</v>
      </c>
      <c r="HKC1590" s="55">
        <f t="shared" si="126"/>
        <v>0</v>
      </c>
      <c r="HKD1590" s="55">
        <f t="shared" si="126"/>
        <v>0</v>
      </c>
      <c r="HKE1590" s="55">
        <f t="shared" si="126"/>
        <v>0</v>
      </c>
      <c r="HKF1590" s="55">
        <f t="shared" si="126"/>
        <v>0</v>
      </c>
      <c r="HKG1590" s="55">
        <f t="shared" si="126"/>
        <v>0</v>
      </c>
      <c r="HKH1590" s="55">
        <f t="shared" si="126"/>
        <v>0</v>
      </c>
      <c r="HKI1590" s="55">
        <f t="shared" si="126"/>
        <v>0</v>
      </c>
      <c r="HKJ1590" s="55">
        <f t="shared" si="126"/>
        <v>0</v>
      </c>
      <c r="HKK1590" s="55">
        <f t="shared" si="126"/>
        <v>0</v>
      </c>
      <c r="HKL1590" s="55">
        <f t="shared" si="126"/>
        <v>0</v>
      </c>
      <c r="HKM1590" s="55">
        <f t="shared" si="126"/>
        <v>0</v>
      </c>
      <c r="HKN1590" s="55">
        <f t="shared" ref="HKN1590:HMY1590" si="127">+(HKN1600+HKN1604)*1.18*1.1</f>
        <v>0</v>
      </c>
      <c r="HKO1590" s="55">
        <f t="shared" si="127"/>
        <v>0</v>
      </c>
      <c r="HKP1590" s="55">
        <f t="shared" si="127"/>
        <v>0</v>
      </c>
      <c r="HKQ1590" s="55">
        <f t="shared" si="127"/>
        <v>0</v>
      </c>
      <c r="HKR1590" s="55">
        <f t="shared" si="127"/>
        <v>0</v>
      </c>
      <c r="HKS1590" s="55">
        <f t="shared" si="127"/>
        <v>0</v>
      </c>
      <c r="HKT1590" s="55">
        <f t="shared" si="127"/>
        <v>0</v>
      </c>
      <c r="HKU1590" s="55">
        <f t="shared" si="127"/>
        <v>0</v>
      </c>
      <c r="HKV1590" s="55">
        <f t="shared" si="127"/>
        <v>0</v>
      </c>
      <c r="HKW1590" s="55">
        <f t="shared" si="127"/>
        <v>0</v>
      </c>
      <c r="HKX1590" s="55">
        <f t="shared" si="127"/>
        <v>0</v>
      </c>
      <c r="HKY1590" s="55">
        <f t="shared" si="127"/>
        <v>0</v>
      </c>
      <c r="HKZ1590" s="55">
        <f t="shared" si="127"/>
        <v>0</v>
      </c>
      <c r="HLA1590" s="55">
        <f t="shared" si="127"/>
        <v>0</v>
      </c>
      <c r="HLB1590" s="55">
        <f t="shared" si="127"/>
        <v>0</v>
      </c>
      <c r="HLC1590" s="55">
        <f t="shared" si="127"/>
        <v>0</v>
      </c>
      <c r="HLD1590" s="55">
        <f t="shared" si="127"/>
        <v>0</v>
      </c>
      <c r="HLE1590" s="55">
        <f t="shared" si="127"/>
        <v>0</v>
      </c>
      <c r="HLF1590" s="55">
        <f t="shared" si="127"/>
        <v>0</v>
      </c>
      <c r="HLG1590" s="55">
        <f t="shared" si="127"/>
        <v>0</v>
      </c>
      <c r="HLH1590" s="55">
        <f t="shared" si="127"/>
        <v>0</v>
      </c>
      <c r="HLI1590" s="55">
        <f t="shared" si="127"/>
        <v>0</v>
      </c>
      <c r="HLJ1590" s="55">
        <f t="shared" si="127"/>
        <v>0</v>
      </c>
      <c r="HLK1590" s="55">
        <f t="shared" si="127"/>
        <v>0</v>
      </c>
      <c r="HLL1590" s="55">
        <f t="shared" si="127"/>
        <v>0</v>
      </c>
      <c r="HLM1590" s="55">
        <f t="shared" si="127"/>
        <v>0</v>
      </c>
      <c r="HLN1590" s="55">
        <f t="shared" si="127"/>
        <v>0</v>
      </c>
      <c r="HLO1590" s="55">
        <f t="shared" si="127"/>
        <v>0</v>
      </c>
      <c r="HLP1590" s="55">
        <f t="shared" si="127"/>
        <v>0</v>
      </c>
      <c r="HLQ1590" s="55">
        <f t="shared" si="127"/>
        <v>0</v>
      </c>
      <c r="HLR1590" s="55">
        <f t="shared" si="127"/>
        <v>0</v>
      </c>
      <c r="HLS1590" s="55">
        <f t="shared" si="127"/>
        <v>0</v>
      </c>
      <c r="HLT1590" s="55">
        <f t="shared" si="127"/>
        <v>0</v>
      </c>
      <c r="HLU1590" s="55">
        <f t="shared" si="127"/>
        <v>0</v>
      </c>
      <c r="HLV1590" s="55">
        <f t="shared" si="127"/>
        <v>0</v>
      </c>
      <c r="HLW1590" s="55">
        <f t="shared" si="127"/>
        <v>0</v>
      </c>
      <c r="HLX1590" s="55">
        <f t="shared" si="127"/>
        <v>0</v>
      </c>
      <c r="HLY1590" s="55">
        <f t="shared" si="127"/>
        <v>0</v>
      </c>
      <c r="HLZ1590" s="55">
        <f t="shared" si="127"/>
        <v>0</v>
      </c>
      <c r="HMA1590" s="55">
        <f t="shared" si="127"/>
        <v>0</v>
      </c>
      <c r="HMB1590" s="55">
        <f t="shared" si="127"/>
        <v>0</v>
      </c>
      <c r="HMC1590" s="55">
        <f t="shared" si="127"/>
        <v>0</v>
      </c>
      <c r="HMD1590" s="55">
        <f t="shared" si="127"/>
        <v>0</v>
      </c>
      <c r="HME1590" s="55">
        <f t="shared" si="127"/>
        <v>0</v>
      </c>
      <c r="HMF1590" s="55">
        <f t="shared" si="127"/>
        <v>0</v>
      </c>
      <c r="HMG1590" s="55">
        <f t="shared" si="127"/>
        <v>0</v>
      </c>
      <c r="HMH1590" s="55">
        <f t="shared" si="127"/>
        <v>0</v>
      </c>
      <c r="HMI1590" s="55">
        <f t="shared" si="127"/>
        <v>0</v>
      </c>
      <c r="HMJ1590" s="55">
        <f t="shared" si="127"/>
        <v>0</v>
      </c>
      <c r="HMK1590" s="55">
        <f t="shared" si="127"/>
        <v>0</v>
      </c>
      <c r="HML1590" s="55">
        <f t="shared" si="127"/>
        <v>0</v>
      </c>
      <c r="HMM1590" s="55">
        <f t="shared" si="127"/>
        <v>0</v>
      </c>
      <c r="HMN1590" s="55">
        <f t="shared" si="127"/>
        <v>0</v>
      </c>
      <c r="HMO1590" s="55">
        <f t="shared" si="127"/>
        <v>0</v>
      </c>
      <c r="HMP1590" s="55">
        <f t="shared" si="127"/>
        <v>0</v>
      </c>
      <c r="HMQ1590" s="55">
        <f t="shared" si="127"/>
        <v>0</v>
      </c>
      <c r="HMR1590" s="55">
        <f t="shared" si="127"/>
        <v>0</v>
      </c>
      <c r="HMS1590" s="55">
        <f t="shared" si="127"/>
        <v>0</v>
      </c>
      <c r="HMT1590" s="55">
        <f t="shared" si="127"/>
        <v>0</v>
      </c>
      <c r="HMU1590" s="55">
        <f t="shared" si="127"/>
        <v>0</v>
      </c>
      <c r="HMV1590" s="55">
        <f t="shared" si="127"/>
        <v>0</v>
      </c>
      <c r="HMW1590" s="55">
        <f t="shared" si="127"/>
        <v>0</v>
      </c>
      <c r="HMX1590" s="55">
        <f t="shared" si="127"/>
        <v>0</v>
      </c>
      <c r="HMY1590" s="55">
        <f t="shared" si="127"/>
        <v>0</v>
      </c>
      <c r="HMZ1590" s="55">
        <f t="shared" ref="HMZ1590:HPK1590" si="128">+(HMZ1600+HMZ1604)*1.18*1.1</f>
        <v>0</v>
      </c>
      <c r="HNA1590" s="55">
        <f t="shared" si="128"/>
        <v>0</v>
      </c>
      <c r="HNB1590" s="55">
        <f t="shared" si="128"/>
        <v>0</v>
      </c>
      <c r="HNC1590" s="55">
        <f t="shared" si="128"/>
        <v>0</v>
      </c>
      <c r="HND1590" s="55">
        <f t="shared" si="128"/>
        <v>0</v>
      </c>
      <c r="HNE1590" s="55">
        <f t="shared" si="128"/>
        <v>0</v>
      </c>
      <c r="HNF1590" s="55">
        <f t="shared" si="128"/>
        <v>0</v>
      </c>
      <c r="HNG1590" s="55">
        <f t="shared" si="128"/>
        <v>0</v>
      </c>
      <c r="HNH1590" s="55">
        <f t="shared" si="128"/>
        <v>0</v>
      </c>
      <c r="HNI1590" s="55">
        <f t="shared" si="128"/>
        <v>0</v>
      </c>
      <c r="HNJ1590" s="55">
        <f t="shared" si="128"/>
        <v>0</v>
      </c>
      <c r="HNK1590" s="55">
        <f t="shared" si="128"/>
        <v>0</v>
      </c>
      <c r="HNL1590" s="55">
        <f t="shared" si="128"/>
        <v>0</v>
      </c>
      <c r="HNM1590" s="55">
        <f t="shared" si="128"/>
        <v>0</v>
      </c>
      <c r="HNN1590" s="55">
        <f t="shared" si="128"/>
        <v>0</v>
      </c>
      <c r="HNO1590" s="55">
        <f t="shared" si="128"/>
        <v>0</v>
      </c>
      <c r="HNP1590" s="55">
        <f t="shared" si="128"/>
        <v>0</v>
      </c>
      <c r="HNQ1590" s="55">
        <f t="shared" si="128"/>
        <v>0</v>
      </c>
      <c r="HNR1590" s="55">
        <f t="shared" si="128"/>
        <v>0</v>
      </c>
      <c r="HNS1590" s="55">
        <f t="shared" si="128"/>
        <v>0</v>
      </c>
      <c r="HNT1590" s="55">
        <f t="shared" si="128"/>
        <v>0</v>
      </c>
      <c r="HNU1590" s="55">
        <f t="shared" si="128"/>
        <v>0</v>
      </c>
      <c r="HNV1590" s="55">
        <f t="shared" si="128"/>
        <v>0</v>
      </c>
      <c r="HNW1590" s="55">
        <f t="shared" si="128"/>
        <v>0</v>
      </c>
      <c r="HNX1590" s="55">
        <f t="shared" si="128"/>
        <v>0</v>
      </c>
      <c r="HNY1590" s="55">
        <f t="shared" si="128"/>
        <v>0</v>
      </c>
      <c r="HNZ1590" s="55">
        <f t="shared" si="128"/>
        <v>0</v>
      </c>
      <c r="HOA1590" s="55">
        <f t="shared" si="128"/>
        <v>0</v>
      </c>
      <c r="HOB1590" s="55">
        <f t="shared" si="128"/>
        <v>0</v>
      </c>
      <c r="HOC1590" s="55">
        <f t="shared" si="128"/>
        <v>0</v>
      </c>
      <c r="HOD1590" s="55">
        <f t="shared" si="128"/>
        <v>0</v>
      </c>
      <c r="HOE1590" s="55">
        <f t="shared" si="128"/>
        <v>0</v>
      </c>
      <c r="HOF1590" s="55">
        <f t="shared" si="128"/>
        <v>0</v>
      </c>
      <c r="HOG1590" s="55">
        <f t="shared" si="128"/>
        <v>0</v>
      </c>
      <c r="HOH1590" s="55">
        <f t="shared" si="128"/>
        <v>0</v>
      </c>
      <c r="HOI1590" s="55">
        <f t="shared" si="128"/>
        <v>0</v>
      </c>
      <c r="HOJ1590" s="55">
        <f t="shared" si="128"/>
        <v>0</v>
      </c>
      <c r="HOK1590" s="55">
        <f t="shared" si="128"/>
        <v>0</v>
      </c>
      <c r="HOL1590" s="55">
        <f t="shared" si="128"/>
        <v>0</v>
      </c>
      <c r="HOM1590" s="55">
        <f t="shared" si="128"/>
        <v>0</v>
      </c>
      <c r="HON1590" s="55">
        <f t="shared" si="128"/>
        <v>0</v>
      </c>
      <c r="HOO1590" s="55">
        <f t="shared" si="128"/>
        <v>0</v>
      </c>
      <c r="HOP1590" s="55">
        <f t="shared" si="128"/>
        <v>0</v>
      </c>
      <c r="HOQ1590" s="55">
        <f t="shared" si="128"/>
        <v>0</v>
      </c>
      <c r="HOR1590" s="55">
        <f t="shared" si="128"/>
        <v>0</v>
      </c>
      <c r="HOS1590" s="55">
        <f t="shared" si="128"/>
        <v>0</v>
      </c>
      <c r="HOT1590" s="55">
        <f t="shared" si="128"/>
        <v>0</v>
      </c>
      <c r="HOU1590" s="55">
        <f t="shared" si="128"/>
        <v>0</v>
      </c>
      <c r="HOV1590" s="55">
        <f t="shared" si="128"/>
        <v>0</v>
      </c>
      <c r="HOW1590" s="55">
        <f t="shared" si="128"/>
        <v>0</v>
      </c>
      <c r="HOX1590" s="55">
        <f t="shared" si="128"/>
        <v>0</v>
      </c>
      <c r="HOY1590" s="55">
        <f t="shared" si="128"/>
        <v>0</v>
      </c>
      <c r="HOZ1590" s="55">
        <f t="shared" si="128"/>
        <v>0</v>
      </c>
      <c r="HPA1590" s="55">
        <f t="shared" si="128"/>
        <v>0</v>
      </c>
      <c r="HPB1590" s="55">
        <f t="shared" si="128"/>
        <v>0</v>
      </c>
      <c r="HPC1590" s="55">
        <f t="shared" si="128"/>
        <v>0</v>
      </c>
      <c r="HPD1590" s="55">
        <f t="shared" si="128"/>
        <v>0</v>
      </c>
      <c r="HPE1590" s="55">
        <f t="shared" si="128"/>
        <v>0</v>
      </c>
      <c r="HPF1590" s="55">
        <f t="shared" si="128"/>
        <v>0</v>
      </c>
      <c r="HPG1590" s="55">
        <f t="shared" si="128"/>
        <v>0</v>
      </c>
      <c r="HPH1590" s="55">
        <f t="shared" si="128"/>
        <v>0</v>
      </c>
      <c r="HPI1590" s="55">
        <f t="shared" si="128"/>
        <v>0</v>
      </c>
      <c r="HPJ1590" s="55">
        <f t="shared" si="128"/>
        <v>0</v>
      </c>
      <c r="HPK1590" s="55">
        <f t="shared" si="128"/>
        <v>0</v>
      </c>
      <c r="HPL1590" s="55">
        <f t="shared" ref="HPL1590:HRW1590" si="129">+(HPL1600+HPL1604)*1.18*1.1</f>
        <v>0</v>
      </c>
      <c r="HPM1590" s="55">
        <f t="shared" si="129"/>
        <v>0</v>
      </c>
      <c r="HPN1590" s="55">
        <f t="shared" si="129"/>
        <v>0</v>
      </c>
      <c r="HPO1590" s="55">
        <f t="shared" si="129"/>
        <v>0</v>
      </c>
      <c r="HPP1590" s="55">
        <f t="shared" si="129"/>
        <v>0</v>
      </c>
      <c r="HPQ1590" s="55">
        <f t="shared" si="129"/>
        <v>0</v>
      </c>
      <c r="HPR1590" s="55">
        <f t="shared" si="129"/>
        <v>0</v>
      </c>
      <c r="HPS1590" s="55">
        <f t="shared" si="129"/>
        <v>0</v>
      </c>
      <c r="HPT1590" s="55">
        <f t="shared" si="129"/>
        <v>0</v>
      </c>
      <c r="HPU1590" s="55">
        <f t="shared" si="129"/>
        <v>0</v>
      </c>
      <c r="HPV1590" s="55">
        <f t="shared" si="129"/>
        <v>0</v>
      </c>
      <c r="HPW1590" s="55">
        <f t="shared" si="129"/>
        <v>0</v>
      </c>
      <c r="HPX1590" s="55">
        <f t="shared" si="129"/>
        <v>0</v>
      </c>
      <c r="HPY1590" s="55">
        <f t="shared" si="129"/>
        <v>0</v>
      </c>
      <c r="HPZ1590" s="55">
        <f t="shared" si="129"/>
        <v>0</v>
      </c>
      <c r="HQA1590" s="55">
        <f t="shared" si="129"/>
        <v>0</v>
      </c>
      <c r="HQB1590" s="55">
        <f t="shared" si="129"/>
        <v>0</v>
      </c>
      <c r="HQC1590" s="55">
        <f t="shared" si="129"/>
        <v>0</v>
      </c>
      <c r="HQD1590" s="55">
        <f t="shared" si="129"/>
        <v>0</v>
      </c>
      <c r="HQE1590" s="55">
        <f t="shared" si="129"/>
        <v>0</v>
      </c>
      <c r="HQF1590" s="55">
        <f t="shared" si="129"/>
        <v>0</v>
      </c>
      <c r="HQG1590" s="55">
        <f t="shared" si="129"/>
        <v>0</v>
      </c>
      <c r="HQH1590" s="55">
        <f t="shared" si="129"/>
        <v>0</v>
      </c>
      <c r="HQI1590" s="55">
        <f t="shared" si="129"/>
        <v>0</v>
      </c>
      <c r="HQJ1590" s="55">
        <f t="shared" si="129"/>
        <v>0</v>
      </c>
      <c r="HQK1590" s="55">
        <f t="shared" si="129"/>
        <v>0</v>
      </c>
      <c r="HQL1590" s="55">
        <f t="shared" si="129"/>
        <v>0</v>
      </c>
      <c r="HQM1590" s="55">
        <f t="shared" si="129"/>
        <v>0</v>
      </c>
      <c r="HQN1590" s="55">
        <f t="shared" si="129"/>
        <v>0</v>
      </c>
      <c r="HQO1590" s="55">
        <f t="shared" si="129"/>
        <v>0</v>
      </c>
      <c r="HQP1590" s="55">
        <f t="shared" si="129"/>
        <v>0</v>
      </c>
      <c r="HQQ1590" s="55">
        <f t="shared" si="129"/>
        <v>0</v>
      </c>
      <c r="HQR1590" s="55">
        <f t="shared" si="129"/>
        <v>0</v>
      </c>
      <c r="HQS1590" s="55">
        <f t="shared" si="129"/>
        <v>0</v>
      </c>
      <c r="HQT1590" s="55">
        <f t="shared" si="129"/>
        <v>0</v>
      </c>
      <c r="HQU1590" s="55">
        <f t="shared" si="129"/>
        <v>0</v>
      </c>
      <c r="HQV1590" s="55">
        <f t="shared" si="129"/>
        <v>0</v>
      </c>
      <c r="HQW1590" s="55">
        <f t="shared" si="129"/>
        <v>0</v>
      </c>
      <c r="HQX1590" s="55">
        <f t="shared" si="129"/>
        <v>0</v>
      </c>
      <c r="HQY1590" s="55">
        <f t="shared" si="129"/>
        <v>0</v>
      </c>
      <c r="HQZ1590" s="55">
        <f t="shared" si="129"/>
        <v>0</v>
      </c>
      <c r="HRA1590" s="55">
        <f t="shared" si="129"/>
        <v>0</v>
      </c>
      <c r="HRB1590" s="55">
        <f t="shared" si="129"/>
        <v>0</v>
      </c>
      <c r="HRC1590" s="55">
        <f t="shared" si="129"/>
        <v>0</v>
      </c>
      <c r="HRD1590" s="55">
        <f t="shared" si="129"/>
        <v>0</v>
      </c>
      <c r="HRE1590" s="55">
        <f t="shared" si="129"/>
        <v>0</v>
      </c>
      <c r="HRF1590" s="55">
        <f t="shared" si="129"/>
        <v>0</v>
      </c>
      <c r="HRG1590" s="55">
        <f t="shared" si="129"/>
        <v>0</v>
      </c>
      <c r="HRH1590" s="55">
        <f t="shared" si="129"/>
        <v>0</v>
      </c>
      <c r="HRI1590" s="55">
        <f t="shared" si="129"/>
        <v>0</v>
      </c>
      <c r="HRJ1590" s="55">
        <f t="shared" si="129"/>
        <v>0</v>
      </c>
      <c r="HRK1590" s="55">
        <f t="shared" si="129"/>
        <v>0</v>
      </c>
      <c r="HRL1590" s="55">
        <f t="shared" si="129"/>
        <v>0</v>
      </c>
      <c r="HRM1590" s="55">
        <f t="shared" si="129"/>
        <v>0</v>
      </c>
      <c r="HRN1590" s="55">
        <f t="shared" si="129"/>
        <v>0</v>
      </c>
      <c r="HRO1590" s="55">
        <f t="shared" si="129"/>
        <v>0</v>
      </c>
      <c r="HRP1590" s="55">
        <f t="shared" si="129"/>
        <v>0</v>
      </c>
      <c r="HRQ1590" s="55">
        <f t="shared" si="129"/>
        <v>0</v>
      </c>
      <c r="HRR1590" s="55">
        <f t="shared" si="129"/>
        <v>0</v>
      </c>
      <c r="HRS1590" s="55">
        <f t="shared" si="129"/>
        <v>0</v>
      </c>
      <c r="HRT1590" s="55">
        <f t="shared" si="129"/>
        <v>0</v>
      </c>
      <c r="HRU1590" s="55">
        <f t="shared" si="129"/>
        <v>0</v>
      </c>
      <c r="HRV1590" s="55">
        <f t="shared" si="129"/>
        <v>0</v>
      </c>
      <c r="HRW1590" s="55">
        <f t="shared" si="129"/>
        <v>0</v>
      </c>
      <c r="HRX1590" s="55">
        <f t="shared" ref="HRX1590:HUI1590" si="130">+(HRX1600+HRX1604)*1.18*1.1</f>
        <v>0</v>
      </c>
      <c r="HRY1590" s="55">
        <f t="shared" si="130"/>
        <v>0</v>
      </c>
      <c r="HRZ1590" s="55">
        <f t="shared" si="130"/>
        <v>0</v>
      </c>
      <c r="HSA1590" s="55">
        <f t="shared" si="130"/>
        <v>0</v>
      </c>
      <c r="HSB1590" s="55">
        <f t="shared" si="130"/>
        <v>0</v>
      </c>
      <c r="HSC1590" s="55">
        <f t="shared" si="130"/>
        <v>0</v>
      </c>
      <c r="HSD1590" s="55">
        <f t="shared" si="130"/>
        <v>0</v>
      </c>
      <c r="HSE1590" s="55">
        <f t="shared" si="130"/>
        <v>0</v>
      </c>
      <c r="HSF1590" s="55">
        <f t="shared" si="130"/>
        <v>0</v>
      </c>
      <c r="HSG1590" s="55">
        <f t="shared" si="130"/>
        <v>0</v>
      </c>
      <c r="HSH1590" s="55">
        <f t="shared" si="130"/>
        <v>0</v>
      </c>
      <c r="HSI1590" s="55">
        <f t="shared" si="130"/>
        <v>0</v>
      </c>
      <c r="HSJ1590" s="55">
        <f t="shared" si="130"/>
        <v>0</v>
      </c>
      <c r="HSK1590" s="55">
        <f t="shared" si="130"/>
        <v>0</v>
      </c>
      <c r="HSL1590" s="55">
        <f t="shared" si="130"/>
        <v>0</v>
      </c>
      <c r="HSM1590" s="55">
        <f t="shared" si="130"/>
        <v>0</v>
      </c>
      <c r="HSN1590" s="55">
        <f t="shared" si="130"/>
        <v>0</v>
      </c>
      <c r="HSO1590" s="55">
        <f t="shared" si="130"/>
        <v>0</v>
      </c>
      <c r="HSP1590" s="55">
        <f t="shared" si="130"/>
        <v>0</v>
      </c>
      <c r="HSQ1590" s="55">
        <f t="shared" si="130"/>
        <v>0</v>
      </c>
      <c r="HSR1590" s="55">
        <f t="shared" si="130"/>
        <v>0</v>
      </c>
      <c r="HSS1590" s="55">
        <f t="shared" si="130"/>
        <v>0</v>
      </c>
      <c r="HST1590" s="55">
        <f t="shared" si="130"/>
        <v>0</v>
      </c>
      <c r="HSU1590" s="55">
        <f t="shared" si="130"/>
        <v>0</v>
      </c>
      <c r="HSV1590" s="55">
        <f t="shared" si="130"/>
        <v>0</v>
      </c>
      <c r="HSW1590" s="55">
        <f t="shared" si="130"/>
        <v>0</v>
      </c>
      <c r="HSX1590" s="55">
        <f t="shared" si="130"/>
        <v>0</v>
      </c>
      <c r="HSY1590" s="55">
        <f t="shared" si="130"/>
        <v>0</v>
      </c>
      <c r="HSZ1590" s="55">
        <f t="shared" si="130"/>
        <v>0</v>
      </c>
      <c r="HTA1590" s="55">
        <f t="shared" si="130"/>
        <v>0</v>
      </c>
      <c r="HTB1590" s="55">
        <f t="shared" si="130"/>
        <v>0</v>
      </c>
      <c r="HTC1590" s="55">
        <f t="shared" si="130"/>
        <v>0</v>
      </c>
      <c r="HTD1590" s="55">
        <f t="shared" si="130"/>
        <v>0</v>
      </c>
      <c r="HTE1590" s="55">
        <f t="shared" si="130"/>
        <v>0</v>
      </c>
      <c r="HTF1590" s="55">
        <f t="shared" si="130"/>
        <v>0</v>
      </c>
      <c r="HTG1590" s="55">
        <f t="shared" si="130"/>
        <v>0</v>
      </c>
      <c r="HTH1590" s="55">
        <f t="shared" si="130"/>
        <v>0</v>
      </c>
      <c r="HTI1590" s="55">
        <f t="shared" si="130"/>
        <v>0</v>
      </c>
      <c r="HTJ1590" s="55">
        <f t="shared" si="130"/>
        <v>0</v>
      </c>
      <c r="HTK1590" s="55">
        <f t="shared" si="130"/>
        <v>0</v>
      </c>
      <c r="HTL1590" s="55">
        <f t="shared" si="130"/>
        <v>0</v>
      </c>
      <c r="HTM1590" s="55">
        <f t="shared" si="130"/>
        <v>0</v>
      </c>
      <c r="HTN1590" s="55">
        <f t="shared" si="130"/>
        <v>0</v>
      </c>
      <c r="HTO1590" s="55">
        <f t="shared" si="130"/>
        <v>0</v>
      </c>
      <c r="HTP1590" s="55">
        <f t="shared" si="130"/>
        <v>0</v>
      </c>
      <c r="HTQ1590" s="55">
        <f t="shared" si="130"/>
        <v>0</v>
      </c>
      <c r="HTR1590" s="55">
        <f t="shared" si="130"/>
        <v>0</v>
      </c>
      <c r="HTS1590" s="55">
        <f t="shared" si="130"/>
        <v>0</v>
      </c>
      <c r="HTT1590" s="55">
        <f t="shared" si="130"/>
        <v>0</v>
      </c>
      <c r="HTU1590" s="55">
        <f t="shared" si="130"/>
        <v>0</v>
      </c>
      <c r="HTV1590" s="55">
        <f t="shared" si="130"/>
        <v>0</v>
      </c>
      <c r="HTW1590" s="55">
        <f t="shared" si="130"/>
        <v>0</v>
      </c>
      <c r="HTX1590" s="55">
        <f t="shared" si="130"/>
        <v>0</v>
      </c>
      <c r="HTY1590" s="55">
        <f t="shared" si="130"/>
        <v>0</v>
      </c>
      <c r="HTZ1590" s="55">
        <f t="shared" si="130"/>
        <v>0</v>
      </c>
      <c r="HUA1590" s="55">
        <f t="shared" si="130"/>
        <v>0</v>
      </c>
      <c r="HUB1590" s="55">
        <f t="shared" si="130"/>
        <v>0</v>
      </c>
      <c r="HUC1590" s="55">
        <f t="shared" si="130"/>
        <v>0</v>
      </c>
      <c r="HUD1590" s="55">
        <f t="shared" si="130"/>
        <v>0</v>
      </c>
      <c r="HUE1590" s="55">
        <f t="shared" si="130"/>
        <v>0</v>
      </c>
      <c r="HUF1590" s="55">
        <f t="shared" si="130"/>
        <v>0</v>
      </c>
      <c r="HUG1590" s="55">
        <f t="shared" si="130"/>
        <v>0</v>
      </c>
      <c r="HUH1590" s="55">
        <f t="shared" si="130"/>
        <v>0</v>
      </c>
      <c r="HUI1590" s="55">
        <f t="shared" si="130"/>
        <v>0</v>
      </c>
      <c r="HUJ1590" s="55">
        <f t="shared" ref="HUJ1590:HWU1590" si="131">+(HUJ1600+HUJ1604)*1.18*1.1</f>
        <v>0</v>
      </c>
      <c r="HUK1590" s="55">
        <f t="shared" si="131"/>
        <v>0</v>
      </c>
      <c r="HUL1590" s="55">
        <f t="shared" si="131"/>
        <v>0</v>
      </c>
      <c r="HUM1590" s="55">
        <f t="shared" si="131"/>
        <v>0</v>
      </c>
      <c r="HUN1590" s="55">
        <f t="shared" si="131"/>
        <v>0</v>
      </c>
      <c r="HUO1590" s="55">
        <f t="shared" si="131"/>
        <v>0</v>
      </c>
      <c r="HUP1590" s="55">
        <f t="shared" si="131"/>
        <v>0</v>
      </c>
      <c r="HUQ1590" s="55">
        <f t="shared" si="131"/>
        <v>0</v>
      </c>
      <c r="HUR1590" s="55">
        <f t="shared" si="131"/>
        <v>0</v>
      </c>
      <c r="HUS1590" s="55">
        <f t="shared" si="131"/>
        <v>0</v>
      </c>
      <c r="HUT1590" s="55">
        <f t="shared" si="131"/>
        <v>0</v>
      </c>
      <c r="HUU1590" s="55">
        <f t="shared" si="131"/>
        <v>0</v>
      </c>
      <c r="HUV1590" s="55">
        <f t="shared" si="131"/>
        <v>0</v>
      </c>
      <c r="HUW1590" s="55">
        <f t="shared" si="131"/>
        <v>0</v>
      </c>
      <c r="HUX1590" s="55">
        <f t="shared" si="131"/>
        <v>0</v>
      </c>
      <c r="HUY1590" s="55">
        <f t="shared" si="131"/>
        <v>0</v>
      </c>
      <c r="HUZ1590" s="55">
        <f t="shared" si="131"/>
        <v>0</v>
      </c>
      <c r="HVA1590" s="55">
        <f t="shared" si="131"/>
        <v>0</v>
      </c>
      <c r="HVB1590" s="55">
        <f t="shared" si="131"/>
        <v>0</v>
      </c>
      <c r="HVC1590" s="55">
        <f t="shared" si="131"/>
        <v>0</v>
      </c>
      <c r="HVD1590" s="55">
        <f t="shared" si="131"/>
        <v>0</v>
      </c>
      <c r="HVE1590" s="55">
        <f t="shared" si="131"/>
        <v>0</v>
      </c>
      <c r="HVF1590" s="55">
        <f t="shared" si="131"/>
        <v>0</v>
      </c>
      <c r="HVG1590" s="55">
        <f t="shared" si="131"/>
        <v>0</v>
      </c>
      <c r="HVH1590" s="55">
        <f t="shared" si="131"/>
        <v>0</v>
      </c>
      <c r="HVI1590" s="55">
        <f t="shared" si="131"/>
        <v>0</v>
      </c>
      <c r="HVJ1590" s="55">
        <f t="shared" si="131"/>
        <v>0</v>
      </c>
      <c r="HVK1590" s="55">
        <f t="shared" si="131"/>
        <v>0</v>
      </c>
      <c r="HVL1590" s="55">
        <f t="shared" si="131"/>
        <v>0</v>
      </c>
      <c r="HVM1590" s="55">
        <f t="shared" si="131"/>
        <v>0</v>
      </c>
      <c r="HVN1590" s="55">
        <f t="shared" si="131"/>
        <v>0</v>
      </c>
      <c r="HVO1590" s="55">
        <f t="shared" si="131"/>
        <v>0</v>
      </c>
      <c r="HVP1590" s="55">
        <f t="shared" si="131"/>
        <v>0</v>
      </c>
      <c r="HVQ1590" s="55">
        <f t="shared" si="131"/>
        <v>0</v>
      </c>
      <c r="HVR1590" s="55">
        <f t="shared" si="131"/>
        <v>0</v>
      </c>
      <c r="HVS1590" s="55">
        <f t="shared" si="131"/>
        <v>0</v>
      </c>
      <c r="HVT1590" s="55">
        <f t="shared" si="131"/>
        <v>0</v>
      </c>
      <c r="HVU1590" s="55">
        <f t="shared" si="131"/>
        <v>0</v>
      </c>
      <c r="HVV1590" s="55">
        <f t="shared" si="131"/>
        <v>0</v>
      </c>
      <c r="HVW1590" s="55">
        <f t="shared" si="131"/>
        <v>0</v>
      </c>
      <c r="HVX1590" s="55">
        <f t="shared" si="131"/>
        <v>0</v>
      </c>
      <c r="HVY1590" s="55">
        <f t="shared" si="131"/>
        <v>0</v>
      </c>
      <c r="HVZ1590" s="55">
        <f t="shared" si="131"/>
        <v>0</v>
      </c>
      <c r="HWA1590" s="55">
        <f t="shared" si="131"/>
        <v>0</v>
      </c>
      <c r="HWB1590" s="55">
        <f t="shared" si="131"/>
        <v>0</v>
      </c>
      <c r="HWC1590" s="55">
        <f t="shared" si="131"/>
        <v>0</v>
      </c>
      <c r="HWD1590" s="55">
        <f t="shared" si="131"/>
        <v>0</v>
      </c>
      <c r="HWE1590" s="55">
        <f t="shared" si="131"/>
        <v>0</v>
      </c>
      <c r="HWF1590" s="55">
        <f t="shared" si="131"/>
        <v>0</v>
      </c>
      <c r="HWG1590" s="55">
        <f t="shared" si="131"/>
        <v>0</v>
      </c>
      <c r="HWH1590" s="55">
        <f t="shared" si="131"/>
        <v>0</v>
      </c>
      <c r="HWI1590" s="55">
        <f t="shared" si="131"/>
        <v>0</v>
      </c>
      <c r="HWJ1590" s="55">
        <f t="shared" si="131"/>
        <v>0</v>
      </c>
      <c r="HWK1590" s="55">
        <f t="shared" si="131"/>
        <v>0</v>
      </c>
      <c r="HWL1590" s="55">
        <f t="shared" si="131"/>
        <v>0</v>
      </c>
      <c r="HWM1590" s="55">
        <f t="shared" si="131"/>
        <v>0</v>
      </c>
      <c r="HWN1590" s="55">
        <f t="shared" si="131"/>
        <v>0</v>
      </c>
      <c r="HWO1590" s="55">
        <f t="shared" si="131"/>
        <v>0</v>
      </c>
      <c r="HWP1590" s="55">
        <f t="shared" si="131"/>
        <v>0</v>
      </c>
      <c r="HWQ1590" s="55">
        <f t="shared" si="131"/>
        <v>0</v>
      </c>
      <c r="HWR1590" s="55">
        <f t="shared" si="131"/>
        <v>0</v>
      </c>
      <c r="HWS1590" s="55">
        <f t="shared" si="131"/>
        <v>0</v>
      </c>
      <c r="HWT1590" s="55">
        <f t="shared" si="131"/>
        <v>0</v>
      </c>
      <c r="HWU1590" s="55">
        <f t="shared" si="131"/>
        <v>0</v>
      </c>
      <c r="HWV1590" s="55">
        <f t="shared" ref="HWV1590:HZG1590" si="132">+(HWV1600+HWV1604)*1.18*1.1</f>
        <v>0</v>
      </c>
      <c r="HWW1590" s="55">
        <f t="shared" si="132"/>
        <v>0</v>
      </c>
      <c r="HWX1590" s="55">
        <f t="shared" si="132"/>
        <v>0</v>
      </c>
      <c r="HWY1590" s="55">
        <f t="shared" si="132"/>
        <v>0</v>
      </c>
      <c r="HWZ1590" s="55">
        <f t="shared" si="132"/>
        <v>0</v>
      </c>
      <c r="HXA1590" s="55">
        <f t="shared" si="132"/>
        <v>0</v>
      </c>
      <c r="HXB1590" s="55">
        <f t="shared" si="132"/>
        <v>0</v>
      </c>
      <c r="HXC1590" s="55">
        <f t="shared" si="132"/>
        <v>0</v>
      </c>
      <c r="HXD1590" s="55">
        <f t="shared" si="132"/>
        <v>0</v>
      </c>
      <c r="HXE1590" s="55">
        <f t="shared" si="132"/>
        <v>0</v>
      </c>
      <c r="HXF1590" s="55">
        <f t="shared" si="132"/>
        <v>0</v>
      </c>
      <c r="HXG1590" s="55">
        <f t="shared" si="132"/>
        <v>0</v>
      </c>
      <c r="HXH1590" s="55">
        <f t="shared" si="132"/>
        <v>0</v>
      </c>
      <c r="HXI1590" s="55">
        <f t="shared" si="132"/>
        <v>0</v>
      </c>
      <c r="HXJ1590" s="55">
        <f t="shared" si="132"/>
        <v>0</v>
      </c>
      <c r="HXK1590" s="55">
        <f t="shared" si="132"/>
        <v>0</v>
      </c>
      <c r="HXL1590" s="55">
        <f t="shared" si="132"/>
        <v>0</v>
      </c>
      <c r="HXM1590" s="55">
        <f t="shared" si="132"/>
        <v>0</v>
      </c>
      <c r="HXN1590" s="55">
        <f t="shared" si="132"/>
        <v>0</v>
      </c>
      <c r="HXO1590" s="55">
        <f t="shared" si="132"/>
        <v>0</v>
      </c>
      <c r="HXP1590" s="55">
        <f t="shared" si="132"/>
        <v>0</v>
      </c>
      <c r="HXQ1590" s="55">
        <f t="shared" si="132"/>
        <v>0</v>
      </c>
      <c r="HXR1590" s="55">
        <f t="shared" si="132"/>
        <v>0</v>
      </c>
      <c r="HXS1590" s="55">
        <f t="shared" si="132"/>
        <v>0</v>
      </c>
      <c r="HXT1590" s="55">
        <f t="shared" si="132"/>
        <v>0</v>
      </c>
      <c r="HXU1590" s="55">
        <f t="shared" si="132"/>
        <v>0</v>
      </c>
      <c r="HXV1590" s="55">
        <f t="shared" si="132"/>
        <v>0</v>
      </c>
      <c r="HXW1590" s="55">
        <f t="shared" si="132"/>
        <v>0</v>
      </c>
      <c r="HXX1590" s="55">
        <f t="shared" si="132"/>
        <v>0</v>
      </c>
      <c r="HXY1590" s="55">
        <f t="shared" si="132"/>
        <v>0</v>
      </c>
      <c r="HXZ1590" s="55">
        <f t="shared" si="132"/>
        <v>0</v>
      </c>
      <c r="HYA1590" s="55">
        <f t="shared" si="132"/>
        <v>0</v>
      </c>
      <c r="HYB1590" s="55">
        <f t="shared" si="132"/>
        <v>0</v>
      </c>
      <c r="HYC1590" s="55">
        <f t="shared" si="132"/>
        <v>0</v>
      </c>
      <c r="HYD1590" s="55">
        <f t="shared" si="132"/>
        <v>0</v>
      </c>
      <c r="HYE1590" s="55">
        <f t="shared" si="132"/>
        <v>0</v>
      </c>
      <c r="HYF1590" s="55">
        <f t="shared" si="132"/>
        <v>0</v>
      </c>
      <c r="HYG1590" s="55">
        <f t="shared" si="132"/>
        <v>0</v>
      </c>
      <c r="HYH1590" s="55">
        <f t="shared" si="132"/>
        <v>0</v>
      </c>
      <c r="HYI1590" s="55">
        <f t="shared" si="132"/>
        <v>0</v>
      </c>
      <c r="HYJ1590" s="55">
        <f t="shared" si="132"/>
        <v>0</v>
      </c>
      <c r="HYK1590" s="55">
        <f t="shared" si="132"/>
        <v>0</v>
      </c>
      <c r="HYL1590" s="55">
        <f t="shared" si="132"/>
        <v>0</v>
      </c>
      <c r="HYM1590" s="55">
        <f t="shared" si="132"/>
        <v>0</v>
      </c>
      <c r="HYN1590" s="55">
        <f t="shared" si="132"/>
        <v>0</v>
      </c>
      <c r="HYO1590" s="55">
        <f t="shared" si="132"/>
        <v>0</v>
      </c>
      <c r="HYP1590" s="55">
        <f t="shared" si="132"/>
        <v>0</v>
      </c>
      <c r="HYQ1590" s="55">
        <f t="shared" si="132"/>
        <v>0</v>
      </c>
      <c r="HYR1590" s="55">
        <f t="shared" si="132"/>
        <v>0</v>
      </c>
      <c r="HYS1590" s="55">
        <f t="shared" si="132"/>
        <v>0</v>
      </c>
      <c r="HYT1590" s="55">
        <f t="shared" si="132"/>
        <v>0</v>
      </c>
      <c r="HYU1590" s="55">
        <f t="shared" si="132"/>
        <v>0</v>
      </c>
      <c r="HYV1590" s="55">
        <f t="shared" si="132"/>
        <v>0</v>
      </c>
      <c r="HYW1590" s="55">
        <f t="shared" si="132"/>
        <v>0</v>
      </c>
      <c r="HYX1590" s="55">
        <f t="shared" si="132"/>
        <v>0</v>
      </c>
      <c r="HYY1590" s="55">
        <f t="shared" si="132"/>
        <v>0</v>
      </c>
      <c r="HYZ1590" s="55">
        <f t="shared" si="132"/>
        <v>0</v>
      </c>
      <c r="HZA1590" s="55">
        <f t="shared" si="132"/>
        <v>0</v>
      </c>
      <c r="HZB1590" s="55">
        <f t="shared" si="132"/>
        <v>0</v>
      </c>
      <c r="HZC1590" s="55">
        <f t="shared" si="132"/>
        <v>0</v>
      </c>
      <c r="HZD1590" s="55">
        <f t="shared" si="132"/>
        <v>0</v>
      </c>
      <c r="HZE1590" s="55">
        <f t="shared" si="132"/>
        <v>0</v>
      </c>
      <c r="HZF1590" s="55">
        <f t="shared" si="132"/>
        <v>0</v>
      </c>
      <c r="HZG1590" s="55">
        <f t="shared" si="132"/>
        <v>0</v>
      </c>
      <c r="HZH1590" s="55">
        <f t="shared" ref="HZH1590:IBS1590" si="133">+(HZH1600+HZH1604)*1.18*1.1</f>
        <v>0</v>
      </c>
      <c r="HZI1590" s="55">
        <f t="shared" si="133"/>
        <v>0</v>
      </c>
      <c r="HZJ1590" s="55">
        <f t="shared" si="133"/>
        <v>0</v>
      </c>
      <c r="HZK1590" s="55">
        <f t="shared" si="133"/>
        <v>0</v>
      </c>
      <c r="HZL1590" s="55">
        <f t="shared" si="133"/>
        <v>0</v>
      </c>
      <c r="HZM1590" s="55">
        <f t="shared" si="133"/>
        <v>0</v>
      </c>
      <c r="HZN1590" s="55">
        <f t="shared" si="133"/>
        <v>0</v>
      </c>
      <c r="HZO1590" s="55">
        <f t="shared" si="133"/>
        <v>0</v>
      </c>
      <c r="HZP1590" s="55">
        <f t="shared" si="133"/>
        <v>0</v>
      </c>
      <c r="HZQ1590" s="55">
        <f t="shared" si="133"/>
        <v>0</v>
      </c>
      <c r="HZR1590" s="55">
        <f t="shared" si="133"/>
        <v>0</v>
      </c>
      <c r="HZS1590" s="55">
        <f t="shared" si="133"/>
        <v>0</v>
      </c>
      <c r="HZT1590" s="55">
        <f t="shared" si="133"/>
        <v>0</v>
      </c>
      <c r="HZU1590" s="55">
        <f t="shared" si="133"/>
        <v>0</v>
      </c>
      <c r="HZV1590" s="55">
        <f t="shared" si="133"/>
        <v>0</v>
      </c>
      <c r="HZW1590" s="55">
        <f t="shared" si="133"/>
        <v>0</v>
      </c>
      <c r="HZX1590" s="55">
        <f t="shared" si="133"/>
        <v>0</v>
      </c>
      <c r="HZY1590" s="55">
        <f t="shared" si="133"/>
        <v>0</v>
      </c>
      <c r="HZZ1590" s="55">
        <f t="shared" si="133"/>
        <v>0</v>
      </c>
      <c r="IAA1590" s="55">
        <f t="shared" si="133"/>
        <v>0</v>
      </c>
      <c r="IAB1590" s="55">
        <f t="shared" si="133"/>
        <v>0</v>
      </c>
      <c r="IAC1590" s="55">
        <f t="shared" si="133"/>
        <v>0</v>
      </c>
      <c r="IAD1590" s="55">
        <f t="shared" si="133"/>
        <v>0</v>
      </c>
      <c r="IAE1590" s="55">
        <f t="shared" si="133"/>
        <v>0</v>
      </c>
      <c r="IAF1590" s="55">
        <f t="shared" si="133"/>
        <v>0</v>
      </c>
      <c r="IAG1590" s="55">
        <f t="shared" si="133"/>
        <v>0</v>
      </c>
      <c r="IAH1590" s="55">
        <f t="shared" si="133"/>
        <v>0</v>
      </c>
      <c r="IAI1590" s="55">
        <f t="shared" si="133"/>
        <v>0</v>
      </c>
      <c r="IAJ1590" s="55">
        <f t="shared" si="133"/>
        <v>0</v>
      </c>
      <c r="IAK1590" s="55">
        <f t="shared" si="133"/>
        <v>0</v>
      </c>
      <c r="IAL1590" s="55">
        <f t="shared" si="133"/>
        <v>0</v>
      </c>
      <c r="IAM1590" s="55">
        <f t="shared" si="133"/>
        <v>0</v>
      </c>
      <c r="IAN1590" s="55">
        <f t="shared" si="133"/>
        <v>0</v>
      </c>
      <c r="IAO1590" s="55">
        <f t="shared" si="133"/>
        <v>0</v>
      </c>
      <c r="IAP1590" s="55">
        <f t="shared" si="133"/>
        <v>0</v>
      </c>
      <c r="IAQ1590" s="55">
        <f t="shared" si="133"/>
        <v>0</v>
      </c>
      <c r="IAR1590" s="55">
        <f t="shared" si="133"/>
        <v>0</v>
      </c>
      <c r="IAS1590" s="55">
        <f t="shared" si="133"/>
        <v>0</v>
      </c>
      <c r="IAT1590" s="55">
        <f t="shared" si="133"/>
        <v>0</v>
      </c>
      <c r="IAU1590" s="55">
        <f t="shared" si="133"/>
        <v>0</v>
      </c>
      <c r="IAV1590" s="55">
        <f t="shared" si="133"/>
        <v>0</v>
      </c>
      <c r="IAW1590" s="55">
        <f t="shared" si="133"/>
        <v>0</v>
      </c>
      <c r="IAX1590" s="55">
        <f t="shared" si="133"/>
        <v>0</v>
      </c>
      <c r="IAY1590" s="55">
        <f t="shared" si="133"/>
        <v>0</v>
      </c>
      <c r="IAZ1590" s="55">
        <f t="shared" si="133"/>
        <v>0</v>
      </c>
      <c r="IBA1590" s="55">
        <f t="shared" si="133"/>
        <v>0</v>
      </c>
      <c r="IBB1590" s="55">
        <f t="shared" si="133"/>
        <v>0</v>
      </c>
      <c r="IBC1590" s="55">
        <f t="shared" si="133"/>
        <v>0</v>
      </c>
      <c r="IBD1590" s="55">
        <f t="shared" si="133"/>
        <v>0</v>
      </c>
      <c r="IBE1590" s="55">
        <f t="shared" si="133"/>
        <v>0</v>
      </c>
      <c r="IBF1590" s="55">
        <f t="shared" si="133"/>
        <v>0</v>
      </c>
      <c r="IBG1590" s="55">
        <f t="shared" si="133"/>
        <v>0</v>
      </c>
      <c r="IBH1590" s="55">
        <f t="shared" si="133"/>
        <v>0</v>
      </c>
      <c r="IBI1590" s="55">
        <f t="shared" si="133"/>
        <v>0</v>
      </c>
      <c r="IBJ1590" s="55">
        <f t="shared" si="133"/>
        <v>0</v>
      </c>
      <c r="IBK1590" s="55">
        <f t="shared" si="133"/>
        <v>0</v>
      </c>
      <c r="IBL1590" s="55">
        <f t="shared" si="133"/>
        <v>0</v>
      </c>
      <c r="IBM1590" s="55">
        <f t="shared" si="133"/>
        <v>0</v>
      </c>
      <c r="IBN1590" s="55">
        <f t="shared" si="133"/>
        <v>0</v>
      </c>
      <c r="IBO1590" s="55">
        <f t="shared" si="133"/>
        <v>0</v>
      </c>
      <c r="IBP1590" s="55">
        <f t="shared" si="133"/>
        <v>0</v>
      </c>
      <c r="IBQ1590" s="55">
        <f t="shared" si="133"/>
        <v>0</v>
      </c>
      <c r="IBR1590" s="55">
        <f t="shared" si="133"/>
        <v>0</v>
      </c>
      <c r="IBS1590" s="55">
        <f t="shared" si="133"/>
        <v>0</v>
      </c>
      <c r="IBT1590" s="55">
        <f t="shared" ref="IBT1590:IEE1590" si="134">+(IBT1600+IBT1604)*1.18*1.1</f>
        <v>0</v>
      </c>
      <c r="IBU1590" s="55">
        <f t="shared" si="134"/>
        <v>0</v>
      </c>
      <c r="IBV1590" s="55">
        <f t="shared" si="134"/>
        <v>0</v>
      </c>
      <c r="IBW1590" s="55">
        <f t="shared" si="134"/>
        <v>0</v>
      </c>
      <c r="IBX1590" s="55">
        <f t="shared" si="134"/>
        <v>0</v>
      </c>
      <c r="IBY1590" s="55">
        <f t="shared" si="134"/>
        <v>0</v>
      </c>
      <c r="IBZ1590" s="55">
        <f t="shared" si="134"/>
        <v>0</v>
      </c>
      <c r="ICA1590" s="55">
        <f t="shared" si="134"/>
        <v>0</v>
      </c>
      <c r="ICB1590" s="55">
        <f t="shared" si="134"/>
        <v>0</v>
      </c>
      <c r="ICC1590" s="55">
        <f t="shared" si="134"/>
        <v>0</v>
      </c>
      <c r="ICD1590" s="55">
        <f t="shared" si="134"/>
        <v>0</v>
      </c>
      <c r="ICE1590" s="55">
        <f t="shared" si="134"/>
        <v>0</v>
      </c>
      <c r="ICF1590" s="55">
        <f t="shared" si="134"/>
        <v>0</v>
      </c>
      <c r="ICG1590" s="55">
        <f t="shared" si="134"/>
        <v>0</v>
      </c>
      <c r="ICH1590" s="55">
        <f t="shared" si="134"/>
        <v>0</v>
      </c>
      <c r="ICI1590" s="55">
        <f t="shared" si="134"/>
        <v>0</v>
      </c>
      <c r="ICJ1590" s="55">
        <f t="shared" si="134"/>
        <v>0</v>
      </c>
      <c r="ICK1590" s="55">
        <f t="shared" si="134"/>
        <v>0</v>
      </c>
      <c r="ICL1590" s="55">
        <f t="shared" si="134"/>
        <v>0</v>
      </c>
      <c r="ICM1590" s="55">
        <f t="shared" si="134"/>
        <v>0</v>
      </c>
      <c r="ICN1590" s="55">
        <f t="shared" si="134"/>
        <v>0</v>
      </c>
      <c r="ICO1590" s="55">
        <f t="shared" si="134"/>
        <v>0</v>
      </c>
      <c r="ICP1590" s="55">
        <f t="shared" si="134"/>
        <v>0</v>
      </c>
      <c r="ICQ1590" s="55">
        <f t="shared" si="134"/>
        <v>0</v>
      </c>
      <c r="ICR1590" s="55">
        <f t="shared" si="134"/>
        <v>0</v>
      </c>
      <c r="ICS1590" s="55">
        <f t="shared" si="134"/>
        <v>0</v>
      </c>
      <c r="ICT1590" s="55">
        <f t="shared" si="134"/>
        <v>0</v>
      </c>
      <c r="ICU1590" s="55">
        <f t="shared" si="134"/>
        <v>0</v>
      </c>
      <c r="ICV1590" s="55">
        <f t="shared" si="134"/>
        <v>0</v>
      </c>
      <c r="ICW1590" s="55">
        <f t="shared" si="134"/>
        <v>0</v>
      </c>
      <c r="ICX1590" s="55">
        <f t="shared" si="134"/>
        <v>0</v>
      </c>
      <c r="ICY1590" s="55">
        <f t="shared" si="134"/>
        <v>0</v>
      </c>
      <c r="ICZ1590" s="55">
        <f t="shared" si="134"/>
        <v>0</v>
      </c>
      <c r="IDA1590" s="55">
        <f t="shared" si="134"/>
        <v>0</v>
      </c>
      <c r="IDB1590" s="55">
        <f t="shared" si="134"/>
        <v>0</v>
      </c>
      <c r="IDC1590" s="55">
        <f t="shared" si="134"/>
        <v>0</v>
      </c>
      <c r="IDD1590" s="55">
        <f t="shared" si="134"/>
        <v>0</v>
      </c>
      <c r="IDE1590" s="55">
        <f t="shared" si="134"/>
        <v>0</v>
      </c>
      <c r="IDF1590" s="55">
        <f t="shared" si="134"/>
        <v>0</v>
      </c>
      <c r="IDG1590" s="55">
        <f t="shared" si="134"/>
        <v>0</v>
      </c>
      <c r="IDH1590" s="55">
        <f t="shared" si="134"/>
        <v>0</v>
      </c>
      <c r="IDI1590" s="55">
        <f t="shared" si="134"/>
        <v>0</v>
      </c>
      <c r="IDJ1590" s="55">
        <f t="shared" si="134"/>
        <v>0</v>
      </c>
      <c r="IDK1590" s="55">
        <f t="shared" si="134"/>
        <v>0</v>
      </c>
      <c r="IDL1590" s="55">
        <f t="shared" si="134"/>
        <v>0</v>
      </c>
      <c r="IDM1590" s="55">
        <f t="shared" si="134"/>
        <v>0</v>
      </c>
      <c r="IDN1590" s="55">
        <f t="shared" si="134"/>
        <v>0</v>
      </c>
      <c r="IDO1590" s="55">
        <f t="shared" si="134"/>
        <v>0</v>
      </c>
      <c r="IDP1590" s="55">
        <f t="shared" si="134"/>
        <v>0</v>
      </c>
      <c r="IDQ1590" s="55">
        <f t="shared" si="134"/>
        <v>0</v>
      </c>
      <c r="IDR1590" s="55">
        <f t="shared" si="134"/>
        <v>0</v>
      </c>
      <c r="IDS1590" s="55">
        <f t="shared" si="134"/>
        <v>0</v>
      </c>
      <c r="IDT1590" s="55">
        <f t="shared" si="134"/>
        <v>0</v>
      </c>
      <c r="IDU1590" s="55">
        <f t="shared" si="134"/>
        <v>0</v>
      </c>
      <c r="IDV1590" s="55">
        <f t="shared" si="134"/>
        <v>0</v>
      </c>
      <c r="IDW1590" s="55">
        <f t="shared" si="134"/>
        <v>0</v>
      </c>
      <c r="IDX1590" s="55">
        <f t="shared" si="134"/>
        <v>0</v>
      </c>
      <c r="IDY1590" s="55">
        <f t="shared" si="134"/>
        <v>0</v>
      </c>
      <c r="IDZ1590" s="55">
        <f t="shared" si="134"/>
        <v>0</v>
      </c>
      <c r="IEA1590" s="55">
        <f t="shared" si="134"/>
        <v>0</v>
      </c>
      <c r="IEB1590" s="55">
        <f t="shared" si="134"/>
        <v>0</v>
      </c>
      <c r="IEC1590" s="55">
        <f t="shared" si="134"/>
        <v>0</v>
      </c>
      <c r="IED1590" s="55">
        <f t="shared" si="134"/>
        <v>0</v>
      </c>
      <c r="IEE1590" s="55">
        <f t="shared" si="134"/>
        <v>0</v>
      </c>
      <c r="IEF1590" s="55">
        <f t="shared" ref="IEF1590:IGQ1590" si="135">+(IEF1600+IEF1604)*1.18*1.1</f>
        <v>0</v>
      </c>
      <c r="IEG1590" s="55">
        <f t="shared" si="135"/>
        <v>0</v>
      </c>
      <c r="IEH1590" s="55">
        <f t="shared" si="135"/>
        <v>0</v>
      </c>
      <c r="IEI1590" s="55">
        <f t="shared" si="135"/>
        <v>0</v>
      </c>
      <c r="IEJ1590" s="55">
        <f t="shared" si="135"/>
        <v>0</v>
      </c>
      <c r="IEK1590" s="55">
        <f t="shared" si="135"/>
        <v>0</v>
      </c>
      <c r="IEL1590" s="55">
        <f t="shared" si="135"/>
        <v>0</v>
      </c>
      <c r="IEM1590" s="55">
        <f t="shared" si="135"/>
        <v>0</v>
      </c>
      <c r="IEN1590" s="55">
        <f t="shared" si="135"/>
        <v>0</v>
      </c>
      <c r="IEO1590" s="55">
        <f t="shared" si="135"/>
        <v>0</v>
      </c>
      <c r="IEP1590" s="55">
        <f t="shared" si="135"/>
        <v>0</v>
      </c>
      <c r="IEQ1590" s="55">
        <f t="shared" si="135"/>
        <v>0</v>
      </c>
      <c r="IER1590" s="55">
        <f t="shared" si="135"/>
        <v>0</v>
      </c>
      <c r="IES1590" s="55">
        <f t="shared" si="135"/>
        <v>0</v>
      </c>
      <c r="IET1590" s="55">
        <f t="shared" si="135"/>
        <v>0</v>
      </c>
      <c r="IEU1590" s="55">
        <f t="shared" si="135"/>
        <v>0</v>
      </c>
      <c r="IEV1590" s="55">
        <f t="shared" si="135"/>
        <v>0</v>
      </c>
      <c r="IEW1590" s="55">
        <f t="shared" si="135"/>
        <v>0</v>
      </c>
      <c r="IEX1590" s="55">
        <f t="shared" si="135"/>
        <v>0</v>
      </c>
      <c r="IEY1590" s="55">
        <f t="shared" si="135"/>
        <v>0</v>
      </c>
      <c r="IEZ1590" s="55">
        <f t="shared" si="135"/>
        <v>0</v>
      </c>
      <c r="IFA1590" s="55">
        <f t="shared" si="135"/>
        <v>0</v>
      </c>
      <c r="IFB1590" s="55">
        <f t="shared" si="135"/>
        <v>0</v>
      </c>
      <c r="IFC1590" s="55">
        <f t="shared" si="135"/>
        <v>0</v>
      </c>
      <c r="IFD1590" s="55">
        <f t="shared" si="135"/>
        <v>0</v>
      </c>
      <c r="IFE1590" s="55">
        <f t="shared" si="135"/>
        <v>0</v>
      </c>
      <c r="IFF1590" s="55">
        <f t="shared" si="135"/>
        <v>0</v>
      </c>
      <c r="IFG1590" s="55">
        <f t="shared" si="135"/>
        <v>0</v>
      </c>
      <c r="IFH1590" s="55">
        <f t="shared" si="135"/>
        <v>0</v>
      </c>
      <c r="IFI1590" s="55">
        <f t="shared" si="135"/>
        <v>0</v>
      </c>
      <c r="IFJ1590" s="55">
        <f t="shared" si="135"/>
        <v>0</v>
      </c>
      <c r="IFK1590" s="55">
        <f t="shared" si="135"/>
        <v>0</v>
      </c>
      <c r="IFL1590" s="55">
        <f t="shared" si="135"/>
        <v>0</v>
      </c>
      <c r="IFM1590" s="55">
        <f t="shared" si="135"/>
        <v>0</v>
      </c>
      <c r="IFN1590" s="55">
        <f t="shared" si="135"/>
        <v>0</v>
      </c>
      <c r="IFO1590" s="55">
        <f t="shared" si="135"/>
        <v>0</v>
      </c>
      <c r="IFP1590" s="55">
        <f t="shared" si="135"/>
        <v>0</v>
      </c>
      <c r="IFQ1590" s="55">
        <f t="shared" si="135"/>
        <v>0</v>
      </c>
      <c r="IFR1590" s="55">
        <f t="shared" si="135"/>
        <v>0</v>
      </c>
      <c r="IFS1590" s="55">
        <f t="shared" si="135"/>
        <v>0</v>
      </c>
      <c r="IFT1590" s="55">
        <f t="shared" si="135"/>
        <v>0</v>
      </c>
      <c r="IFU1590" s="55">
        <f t="shared" si="135"/>
        <v>0</v>
      </c>
      <c r="IFV1590" s="55">
        <f t="shared" si="135"/>
        <v>0</v>
      </c>
      <c r="IFW1590" s="55">
        <f t="shared" si="135"/>
        <v>0</v>
      </c>
      <c r="IFX1590" s="55">
        <f t="shared" si="135"/>
        <v>0</v>
      </c>
      <c r="IFY1590" s="55">
        <f t="shared" si="135"/>
        <v>0</v>
      </c>
      <c r="IFZ1590" s="55">
        <f t="shared" si="135"/>
        <v>0</v>
      </c>
      <c r="IGA1590" s="55">
        <f t="shared" si="135"/>
        <v>0</v>
      </c>
      <c r="IGB1590" s="55">
        <f t="shared" si="135"/>
        <v>0</v>
      </c>
      <c r="IGC1590" s="55">
        <f t="shared" si="135"/>
        <v>0</v>
      </c>
      <c r="IGD1590" s="55">
        <f t="shared" si="135"/>
        <v>0</v>
      </c>
      <c r="IGE1590" s="55">
        <f t="shared" si="135"/>
        <v>0</v>
      </c>
      <c r="IGF1590" s="55">
        <f t="shared" si="135"/>
        <v>0</v>
      </c>
      <c r="IGG1590" s="55">
        <f t="shared" si="135"/>
        <v>0</v>
      </c>
      <c r="IGH1590" s="55">
        <f t="shared" si="135"/>
        <v>0</v>
      </c>
      <c r="IGI1590" s="55">
        <f t="shared" si="135"/>
        <v>0</v>
      </c>
      <c r="IGJ1590" s="55">
        <f t="shared" si="135"/>
        <v>0</v>
      </c>
      <c r="IGK1590" s="55">
        <f t="shared" si="135"/>
        <v>0</v>
      </c>
      <c r="IGL1590" s="55">
        <f t="shared" si="135"/>
        <v>0</v>
      </c>
      <c r="IGM1590" s="55">
        <f t="shared" si="135"/>
        <v>0</v>
      </c>
      <c r="IGN1590" s="55">
        <f t="shared" si="135"/>
        <v>0</v>
      </c>
      <c r="IGO1590" s="55">
        <f t="shared" si="135"/>
        <v>0</v>
      </c>
      <c r="IGP1590" s="55">
        <f t="shared" si="135"/>
        <v>0</v>
      </c>
      <c r="IGQ1590" s="55">
        <f t="shared" si="135"/>
        <v>0</v>
      </c>
      <c r="IGR1590" s="55">
        <f t="shared" ref="IGR1590:IJC1590" si="136">+(IGR1600+IGR1604)*1.18*1.1</f>
        <v>0</v>
      </c>
      <c r="IGS1590" s="55">
        <f t="shared" si="136"/>
        <v>0</v>
      </c>
      <c r="IGT1590" s="55">
        <f t="shared" si="136"/>
        <v>0</v>
      </c>
      <c r="IGU1590" s="55">
        <f t="shared" si="136"/>
        <v>0</v>
      </c>
      <c r="IGV1590" s="55">
        <f t="shared" si="136"/>
        <v>0</v>
      </c>
      <c r="IGW1590" s="55">
        <f t="shared" si="136"/>
        <v>0</v>
      </c>
      <c r="IGX1590" s="55">
        <f t="shared" si="136"/>
        <v>0</v>
      </c>
      <c r="IGY1590" s="55">
        <f t="shared" si="136"/>
        <v>0</v>
      </c>
      <c r="IGZ1590" s="55">
        <f t="shared" si="136"/>
        <v>0</v>
      </c>
      <c r="IHA1590" s="55">
        <f t="shared" si="136"/>
        <v>0</v>
      </c>
      <c r="IHB1590" s="55">
        <f t="shared" si="136"/>
        <v>0</v>
      </c>
      <c r="IHC1590" s="55">
        <f t="shared" si="136"/>
        <v>0</v>
      </c>
      <c r="IHD1590" s="55">
        <f t="shared" si="136"/>
        <v>0</v>
      </c>
      <c r="IHE1590" s="55">
        <f t="shared" si="136"/>
        <v>0</v>
      </c>
      <c r="IHF1590" s="55">
        <f t="shared" si="136"/>
        <v>0</v>
      </c>
      <c r="IHG1590" s="55">
        <f t="shared" si="136"/>
        <v>0</v>
      </c>
      <c r="IHH1590" s="55">
        <f t="shared" si="136"/>
        <v>0</v>
      </c>
      <c r="IHI1590" s="55">
        <f t="shared" si="136"/>
        <v>0</v>
      </c>
      <c r="IHJ1590" s="55">
        <f t="shared" si="136"/>
        <v>0</v>
      </c>
      <c r="IHK1590" s="55">
        <f t="shared" si="136"/>
        <v>0</v>
      </c>
      <c r="IHL1590" s="55">
        <f t="shared" si="136"/>
        <v>0</v>
      </c>
      <c r="IHM1590" s="55">
        <f t="shared" si="136"/>
        <v>0</v>
      </c>
      <c r="IHN1590" s="55">
        <f t="shared" si="136"/>
        <v>0</v>
      </c>
      <c r="IHO1590" s="55">
        <f t="shared" si="136"/>
        <v>0</v>
      </c>
      <c r="IHP1590" s="55">
        <f t="shared" si="136"/>
        <v>0</v>
      </c>
      <c r="IHQ1590" s="55">
        <f t="shared" si="136"/>
        <v>0</v>
      </c>
      <c r="IHR1590" s="55">
        <f t="shared" si="136"/>
        <v>0</v>
      </c>
      <c r="IHS1590" s="55">
        <f t="shared" si="136"/>
        <v>0</v>
      </c>
      <c r="IHT1590" s="55">
        <f t="shared" si="136"/>
        <v>0</v>
      </c>
      <c r="IHU1590" s="55">
        <f t="shared" si="136"/>
        <v>0</v>
      </c>
      <c r="IHV1590" s="55">
        <f t="shared" si="136"/>
        <v>0</v>
      </c>
      <c r="IHW1590" s="55">
        <f t="shared" si="136"/>
        <v>0</v>
      </c>
      <c r="IHX1590" s="55">
        <f t="shared" si="136"/>
        <v>0</v>
      </c>
      <c r="IHY1590" s="55">
        <f t="shared" si="136"/>
        <v>0</v>
      </c>
      <c r="IHZ1590" s="55">
        <f t="shared" si="136"/>
        <v>0</v>
      </c>
      <c r="IIA1590" s="55">
        <f t="shared" si="136"/>
        <v>0</v>
      </c>
      <c r="IIB1590" s="55">
        <f t="shared" si="136"/>
        <v>0</v>
      </c>
      <c r="IIC1590" s="55">
        <f t="shared" si="136"/>
        <v>0</v>
      </c>
      <c r="IID1590" s="55">
        <f t="shared" si="136"/>
        <v>0</v>
      </c>
      <c r="IIE1590" s="55">
        <f t="shared" si="136"/>
        <v>0</v>
      </c>
      <c r="IIF1590" s="55">
        <f t="shared" si="136"/>
        <v>0</v>
      </c>
      <c r="IIG1590" s="55">
        <f t="shared" si="136"/>
        <v>0</v>
      </c>
      <c r="IIH1590" s="55">
        <f t="shared" si="136"/>
        <v>0</v>
      </c>
      <c r="III1590" s="55">
        <f t="shared" si="136"/>
        <v>0</v>
      </c>
      <c r="IIJ1590" s="55">
        <f t="shared" si="136"/>
        <v>0</v>
      </c>
      <c r="IIK1590" s="55">
        <f t="shared" si="136"/>
        <v>0</v>
      </c>
      <c r="IIL1590" s="55">
        <f t="shared" si="136"/>
        <v>0</v>
      </c>
      <c r="IIM1590" s="55">
        <f t="shared" si="136"/>
        <v>0</v>
      </c>
      <c r="IIN1590" s="55">
        <f t="shared" si="136"/>
        <v>0</v>
      </c>
      <c r="IIO1590" s="55">
        <f t="shared" si="136"/>
        <v>0</v>
      </c>
      <c r="IIP1590" s="55">
        <f t="shared" si="136"/>
        <v>0</v>
      </c>
      <c r="IIQ1590" s="55">
        <f t="shared" si="136"/>
        <v>0</v>
      </c>
      <c r="IIR1590" s="55">
        <f t="shared" si="136"/>
        <v>0</v>
      </c>
      <c r="IIS1590" s="55">
        <f t="shared" si="136"/>
        <v>0</v>
      </c>
      <c r="IIT1590" s="55">
        <f t="shared" si="136"/>
        <v>0</v>
      </c>
      <c r="IIU1590" s="55">
        <f t="shared" si="136"/>
        <v>0</v>
      </c>
      <c r="IIV1590" s="55">
        <f t="shared" si="136"/>
        <v>0</v>
      </c>
      <c r="IIW1590" s="55">
        <f t="shared" si="136"/>
        <v>0</v>
      </c>
      <c r="IIX1590" s="55">
        <f t="shared" si="136"/>
        <v>0</v>
      </c>
      <c r="IIY1590" s="55">
        <f t="shared" si="136"/>
        <v>0</v>
      </c>
      <c r="IIZ1590" s="55">
        <f t="shared" si="136"/>
        <v>0</v>
      </c>
      <c r="IJA1590" s="55">
        <f t="shared" si="136"/>
        <v>0</v>
      </c>
      <c r="IJB1590" s="55">
        <f t="shared" si="136"/>
        <v>0</v>
      </c>
      <c r="IJC1590" s="55">
        <f t="shared" si="136"/>
        <v>0</v>
      </c>
      <c r="IJD1590" s="55">
        <f t="shared" ref="IJD1590:ILO1590" si="137">+(IJD1600+IJD1604)*1.18*1.1</f>
        <v>0</v>
      </c>
      <c r="IJE1590" s="55">
        <f t="shared" si="137"/>
        <v>0</v>
      </c>
      <c r="IJF1590" s="55">
        <f t="shared" si="137"/>
        <v>0</v>
      </c>
      <c r="IJG1590" s="55">
        <f t="shared" si="137"/>
        <v>0</v>
      </c>
      <c r="IJH1590" s="55">
        <f t="shared" si="137"/>
        <v>0</v>
      </c>
      <c r="IJI1590" s="55">
        <f t="shared" si="137"/>
        <v>0</v>
      </c>
      <c r="IJJ1590" s="55">
        <f t="shared" si="137"/>
        <v>0</v>
      </c>
      <c r="IJK1590" s="55">
        <f t="shared" si="137"/>
        <v>0</v>
      </c>
      <c r="IJL1590" s="55">
        <f t="shared" si="137"/>
        <v>0</v>
      </c>
      <c r="IJM1590" s="55">
        <f t="shared" si="137"/>
        <v>0</v>
      </c>
      <c r="IJN1590" s="55">
        <f t="shared" si="137"/>
        <v>0</v>
      </c>
      <c r="IJO1590" s="55">
        <f t="shared" si="137"/>
        <v>0</v>
      </c>
      <c r="IJP1590" s="55">
        <f t="shared" si="137"/>
        <v>0</v>
      </c>
      <c r="IJQ1590" s="55">
        <f t="shared" si="137"/>
        <v>0</v>
      </c>
      <c r="IJR1590" s="55">
        <f t="shared" si="137"/>
        <v>0</v>
      </c>
      <c r="IJS1590" s="55">
        <f t="shared" si="137"/>
        <v>0</v>
      </c>
      <c r="IJT1590" s="55">
        <f t="shared" si="137"/>
        <v>0</v>
      </c>
      <c r="IJU1590" s="55">
        <f t="shared" si="137"/>
        <v>0</v>
      </c>
      <c r="IJV1590" s="55">
        <f t="shared" si="137"/>
        <v>0</v>
      </c>
      <c r="IJW1590" s="55">
        <f t="shared" si="137"/>
        <v>0</v>
      </c>
      <c r="IJX1590" s="55">
        <f t="shared" si="137"/>
        <v>0</v>
      </c>
      <c r="IJY1590" s="55">
        <f t="shared" si="137"/>
        <v>0</v>
      </c>
      <c r="IJZ1590" s="55">
        <f t="shared" si="137"/>
        <v>0</v>
      </c>
      <c r="IKA1590" s="55">
        <f t="shared" si="137"/>
        <v>0</v>
      </c>
      <c r="IKB1590" s="55">
        <f t="shared" si="137"/>
        <v>0</v>
      </c>
      <c r="IKC1590" s="55">
        <f t="shared" si="137"/>
        <v>0</v>
      </c>
      <c r="IKD1590" s="55">
        <f t="shared" si="137"/>
        <v>0</v>
      </c>
      <c r="IKE1590" s="55">
        <f t="shared" si="137"/>
        <v>0</v>
      </c>
      <c r="IKF1590" s="55">
        <f t="shared" si="137"/>
        <v>0</v>
      </c>
      <c r="IKG1590" s="55">
        <f t="shared" si="137"/>
        <v>0</v>
      </c>
      <c r="IKH1590" s="55">
        <f t="shared" si="137"/>
        <v>0</v>
      </c>
      <c r="IKI1590" s="55">
        <f t="shared" si="137"/>
        <v>0</v>
      </c>
      <c r="IKJ1590" s="55">
        <f t="shared" si="137"/>
        <v>0</v>
      </c>
      <c r="IKK1590" s="55">
        <f t="shared" si="137"/>
        <v>0</v>
      </c>
      <c r="IKL1590" s="55">
        <f t="shared" si="137"/>
        <v>0</v>
      </c>
      <c r="IKM1590" s="55">
        <f t="shared" si="137"/>
        <v>0</v>
      </c>
      <c r="IKN1590" s="55">
        <f t="shared" si="137"/>
        <v>0</v>
      </c>
      <c r="IKO1590" s="55">
        <f t="shared" si="137"/>
        <v>0</v>
      </c>
      <c r="IKP1590" s="55">
        <f t="shared" si="137"/>
        <v>0</v>
      </c>
      <c r="IKQ1590" s="55">
        <f t="shared" si="137"/>
        <v>0</v>
      </c>
      <c r="IKR1590" s="55">
        <f t="shared" si="137"/>
        <v>0</v>
      </c>
      <c r="IKS1590" s="55">
        <f t="shared" si="137"/>
        <v>0</v>
      </c>
      <c r="IKT1590" s="55">
        <f t="shared" si="137"/>
        <v>0</v>
      </c>
      <c r="IKU1590" s="55">
        <f t="shared" si="137"/>
        <v>0</v>
      </c>
      <c r="IKV1590" s="55">
        <f t="shared" si="137"/>
        <v>0</v>
      </c>
      <c r="IKW1590" s="55">
        <f t="shared" si="137"/>
        <v>0</v>
      </c>
      <c r="IKX1590" s="55">
        <f t="shared" si="137"/>
        <v>0</v>
      </c>
      <c r="IKY1590" s="55">
        <f t="shared" si="137"/>
        <v>0</v>
      </c>
      <c r="IKZ1590" s="55">
        <f t="shared" si="137"/>
        <v>0</v>
      </c>
      <c r="ILA1590" s="55">
        <f t="shared" si="137"/>
        <v>0</v>
      </c>
      <c r="ILB1590" s="55">
        <f t="shared" si="137"/>
        <v>0</v>
      </c>
      <c r="ILC1590" s="55">
        <f t="shared" si="137"/>
        <v>0</v>
      </c>
      <c r="ILD1590" s="55">
        <f t="shared" si="137"/>
        <v>0</v>
      </c>
      <c r="ILE1590" s="55">
        <f t="shared" si="137"/>
        <v>0</v>
      </c>
      <c r="ILF1590" s="55">
        <f t="shared" si="137"/>
        <v>0</v>
      </c>
      <c r="ILG1590" s="55">
        <f t="shared" si="137"/>
        <v>0</v>
      </c>
      <c r="ILH1590" s="55">
        <f t="shared" si="137"/>
        <v>0</v>
      </c>
      <c r="ILI1590" s="55">
        <f t="shared" si="137"/>
        <v>0</v>
      </c>
      <c r="ILJ1590" s="55">
        <f t="shared" si="137"/>
        <v>0</v>
      </c>
      <c r="ILK1590" s="55">
        <f t="shared" si="137"/>
        <v>0</v>
      </c>
      <c r="ILL1590" s="55">
        <f t="shared" si="137"/>
        <v>0</v>
      </c>
      <c r="ILM1590" s="55">
        <f t="shared" si="137"/>
        <v>0</v>
      </c>
      <c r="ILN1590" s="55">
        <f t="shared" si="137"/>
        <v>0</v>
      </c>
      <c r="ILO1590" s="55">
        <f t="shared" si="137"/>
        <v>0</v>
      </c>
      <c r="ILP1590" s="55">
        <f t="shared" ref="ILP1590:IOA1590" si="138">+(ILP1600+ILP1604)*1.18*1.1</f>
        <v>0</v>
      </c>
      <c r="ILQ1590" s="55">
        <f t="shared" si="138"/>
        <v>0</v>
      </c>
      <c r="ILR1590" s="55">
        <f t="shared" si="138"/>
        <v>0</v>
      </c>
      <c r="ILS1590" s="55">
        <f t="shared" si="138"/>
        <v>0</v>
      </c>
      <c r="ILT1590" s="55">
        <f t="shared" si="138"/>
        <v>0</v>
      </c>
      <c r="ILU1590" s="55">
        <f t="shared" si="138"/>
        <v>0</v>
      </c>
      <c r="ILV1590" s="55">
        <f t="shared" si="138"/>
        <v>0</v>
      </c>
      <c r="ILW1590" s="55">
        <f t="shared" si="138"/>
        <v>0</v>
      </c>
      <c r="ILX1590" s="55">
        <f t="shared" si="138"/>
        <v>0</v>
      </c>
      <c r="ILY1590" s="55">
        <f t="shared" si="138"/>
        <v>0</v>
      </c>
      <c r="ILZ1590" s="55">
        <f t="shared" si="138"/>
        <v>0</v>
      </c>
      <c r="IMA1590" s="55">
        <f t="shared" si="138"/>
        <v>0</v>
      </c>
      <c r="IMB1590" s="55">
        <f t="shared" si="138"/>
        <v>0</v>
      </c>
      <c r="IMC1590" s="55">
        <f t="shared" si="138"/>
        <v>0</v>
      </c>
      <c r="IMD1590" s="55">
        <f t="shared" si="138"/>
        <v>0</v>
      </c>
      <c r="IME1590" s="55">
        <f t="shared" si="138"/>
        <v>0</v>
      </c>
      <c r="IMF1590" s="55">
        <f t="shared" si="138"/>
        <v>0</v>
      </c>
      <c r="IMG1590" s="55">
        <f t="shared" si="138"/>
        <v>0</v>
      </c>
      <c r="IMH1590" s="55">
        <f t="shared" si="138"/>
        <v>0</v>
      </c>
      <c r="IMI1590" s="55">
        <f t="shared" si="138"/>
        <v>0</v>
      </c>
      <c r="IMJ1590" s="55">
        <f t="shared" si="138"/>
        <v>0</v>
      </c>
      <c r="IMK1590" s="55">
        <f t="shared" si="138"/>
        <v>0</v>
      </c>
      <c r="IML1590" s="55">
        <f t="shared" si="138"/>
        <v>0</v>
      </c>
      <c r="IMM1590" s="55">
        <f t="shared" si="138"/>
        <v>0</v>
      </c>
      <c r="IMN1590" s="55">
        <f t="shared" si="138"/>
        <v>0</v>
      </c>
      <c r="IMO1590" s="55">
        <f t="shared" si="138"/>
        <v>0</v>
      </c>
      <c r="IMP1590" s="55">
        <f t="shared" si="138"/>
        <v>0</v>
      </c>
      <c r="IMQ1590" s="55">
        <f t="shared" si="138"/>
        <v>0</v>
      </c>
      <c r="IMR1590" s="55">
        <f t="shared" si="138"/>
        <v>0</v>
      </c>
      <c r="IMS1590" s="55">
        <f t="shared" si="138"/>
        <v>0</v>
      </c>
      <c r="IMT1590" s="55">
        <f t="shared" si="138"/>
        <v>0</v>
      </c>
      <c r="IMU1590" s="55">
        <f t="shared" si="138"/>
        <v>0</v>
      </c>
      <c r="IMV1590" s="55">
        <f t="shared" si="138"/>
        <v>0</v>
      </c>
      <c r="IMW1590" s="55">
        <f t="shared" si="138"/>
        <v>0</v>
      </c>
      <c r="IMX1590" s="55">
        <f t="shared" si="138"/>
        <v>0</v>
      </c>
      <c r="IMY1590" s="55">
        <f t="shared" si="138"/>
        <v>0</v>
      </c>
      <c r="IMZ1590" s="55">
        <f t="shared" si="138"/>
        <v>0</v>
      </c>
      <c r="INA1590" s="55">
        <f t="shared" si="138"/>
        <v>0</v>
      </c>
      <c r="INB1590" s="55">
        <f t="shared" si="138"/>
        <v>0</v>
      </c>
      <c r="INC1590" s="55">
        <f t="shared" si="138"/>
        <v>0</v>
      </c>
      <c r="IND1590" s="55">
        <f t="shared" si="138"/>
        <v>0</v>
      </c>
      <c r="INE1590" s="55">
        <f t="shared" si="138"/>
        <v>0</v>
      </c>
      <c r="INF1590" s="55">
        <f t="shared" si="138"/>
        <v>0</v>
      </c>
      <c r="ING1590" s="55">
        <f t="shared" si="138"/>
        <v>0</v>
      </c>
      <c r="INH1590" s="55">
        <f t="shared" si="138"/>
        <v>0</v>
      </c>
      <c r="INI1590" s="55">
        <f t="shared" si="138"/>
        <v>0</v>
      </c>
      <c r="INJ1590" s="55">
        <f t="shared" si="138"/>
        <v>0</v>
      </c>
      <c r="INK1590" s="55">
        <f t="shared" si="138"/>
        <v>0</v>
      </c>
      <c r="INL1590" s="55">
        <f t="shared" si="138"/>
        <v>0</v>
      </c>
      <c r="INM1590" s="55">
        <f t="shared" si="138"/>
        <v>0</v>
      </c>
      <c r="INN1590" s="55">
        <f t="shared" si="138"/>
        <v>0</v>
      </c>
      <c r="INO1590" s="55">
        <f t="shared" si="138"/>
        <v>0</v>
      </c>
      <c r="INP1590" s="55">
        <f t="shared" si="138"/>
        <v>0</v>
      </c>
      <c r="INQ1590" s="55">
        <f t="shared" si="138"/>
        <v>0</v>
      </c>
      <c r="INR1590" s="55">
        <f t="shared" si="138"/>
        <v>0</v>
      </c>
      <c r="INS1590" s="55">
        <f t="shared" si="138"/>
        <v>0</v>
      </c>
      <c r="INT1590" s="55">
        <f t="shared" si="138"/>
        <v>0</v>
      </c>
      <c r="INU1590" s="55">
        <f t="shared" si="138"/>
        <v>0</v>
      </c>
      <c r="INV1590" s="55">
        <f t="shared" si="138"/>
        <v>0</v>
      </c>
      <c r="INW1590" s="55">
        <f t="shared" si="138"/>
        <v>0</v>
      </c>
      <c r="INX1590" s="55">
        <f t="shared" si="138"/>
        <v>0</v>
      </c>
      <c r="INY1590" s="55">
        <f t="shared" si="138"/>
        <v>0</v>
      </c>
      <c r="INZ1590" s="55">
        <f t="shared" si="138"/>
        <v>0</v>
      </c>
      <c r="IOA1590" s="55">
        <f t="shared" si="138"/>
        <v>0</v>
      </c>
      <c r="IOB1590" s="55">
        <f t="shared" ref="IOB1590:IQM1590" si="139">+(IOB1600+IOB1604)*1.18*1.1</f>
        <v>0</v>
      </c>
      <c r="IOC1590" s="55">
        <f t="shared" si="139"/>
        <v>0</v>
      </c>
      <c r="IOD1590" s="55">
        <f t="shared" si="139"/>
        <v>0</v>
      </c>
      <c r="IOE1590" s="55">
        <f t="shared" si="139"/>
        <v>0</v>
      </c>
      <c r="IOF1590" s="55">
        <f t="shared" si="139"/>
        <v>0</v>
      </c>
      <c r="IOG1590" s="55">
        <f t="shared" si="139"/>
        <v>0</v>
      </c>
      <c r="IOH1590" s="55">
        <f t="shared" si="139"/>
        <v>0</v>
      </c>
      <c r="IOI1590" s="55">
        <f t="shared" si="139"/>
        <v>0</v>
      </c>
      <c r="IOJ1590" s="55">
        <f t="shared" si="139"/>
        <v>0</v>
      </c>
      <c r="IOK1590" s="55">
        <f t="shared" si="139"/>
        <v>0</v>
      </c>
      <c r="IOL1590" s="55">
        <f t="shared" si="139"/>
        <v>0</v>
      </c>
      <c r="IOM1590" s="55">
        <f t="shared" si="139"/>
        <v>0</v>
      </c>
      <c r="ION1590" s="55">
        <f t="shared" si="139"/>
        <v>0</v>
      </c>
      <c r="IOO1590" s="55">
        <f t="shared" si="139"/>
        <v>0</v>
      </c>
      <c r="IOP1590" s="55">
        <f t="shared" si="139"/>
        <v>0</v>
      </c>
      <c r="IOQ1590" s="55">
        <f t="shared" si="139"/>
        <v>0</v>
      </c>
      <c r="IOR1590" s="55">
        <f t="shared" si="139"/>
        <v>0</v>
      </c>
      <c r="IOS1590" s="55">
        <f t="shared" si="139"/>
        <v>0</v>
      </c>
      <c r="IOT1590" s="55">
        <f t="shared" si="139"/>
        <v>0</v>
      </c>
      <c r="IOU1590" s="55">
        <f t="shared" si="139"/>
        <v>0</v>
      </c>
      <c r="IOV1590" s="55">
        <f t="shared" si="139"/>
        <v>0</v>
      </c>
      <c r="IOW1590" s="55">
        <f t="shared" si="139"/>
        <v>0</v>
      </c>
      <c r="IOX1590" s="55">
        <f t="shared" si="139"/>
        <v>0</v>
      </c>
      <c r="IOY1590" s="55">
        <f t="shared" si="139"/>
        <v>0</v>
      </c>
      <c r="IOZ1590" s="55">
        <f t="shared" si="139"/>
        <v>0</v>
      </c>
      <c r="IPA1590" s="55">
        <f t="shared" si="139"/>
        <v>0</v>
      </c>
      <c r="IPB1590" s="55">
        <f t="shared" si="139"/>
        <v>0</v>
      </c>
      <c r="IPC1590" s="55">
        <f t="shared" si="139"/>
        <v>0</v>
      </c>
      <c r="IPD1590" s="55">
        <f t="shared" si="139"/>
        <v>0</v>
      </c>
      <c r="IPE1590" s="55">
        <f t="shared" si="139"/>
        <v>0</v>
      </c>
      <c r="IPF1590" s="55">
        <f t="shared" si="139"/>
        <v>0</v>
      </c>
      <c r="IPG1590" s="55">
        <f t="shared" si="139"/>
        <v>0</v>
      </c>
      <c r="IPH1590" s="55">
        <f t="shared" si="139"/>
        <v>0</v>
      </c>
      <c r="IPI1590" s="55">
        <f t="shared" si="139"/>
        <v>0</v>
      </c>
      <c r="IPJ1590" s="55">
        <f t="shared" si="139"/>
        <v>0</v>
      </c>
      <c r="IPK1590" s="55">
        <f t="shared" si="139"/>
        <v>0</v>
      </c>
      <c r="IPL1590" s="55">
        <f t="shared" si="139"/>
        <v>0</v>
      </c>
      <c r="IPM1590" s="55">
        <f t="shared" si="139"/>
        <v>0</v>
      </c>
      <c r="IPN1590" s="55">
        <f t="shared" si="139"/>
        <v>0</v>
      </c>
      <c r="IPO1590" s="55">
        <f t="shared" si="139"/>
        <v>0</v>
      </c>
      <c r="IPP1590" s="55">
        <f t="shared" si="139"/>
        <v>0</v>
      </c>
      <c r="IPQ1590" s="55">
        <f t="shared" si="139"/>
        <v>0</v>
      </c>
      <c r="IPR1590" s="55">
        <f t="shared" si="139"/>
        <v>0</v>
      </c>
      <c r="IPS1590" s="55">
        <f t="shared" si="139"/>
        <v>0</v>
      </c>
      <c r="IPT1590" s="55">
        <f t="shared" si="139"/>
        <v>0</v>
      </c>
      <c r="IPU1590" s="55">
        <f t="shared" si="139"/>
        <v>0</v>
      </c>
      <c r="IPV1590" s="55">
        <f t="shared" si="139"/>
        <v>0</v>
      </c>
      <c r="IPW1590" s="55">
        <f t="shared" si="139"/>
        <v>0</v>
      </c>
      <c r="IPX1590" s="55">
        <f t="shared" si="139"/>
        <v>0</v>
      </c>
      <c r="IPY1590" s="55">
        <f t="shared" si="139"/>
        <v>0</v>
      </c>
      <c r="IPZ1590" s="55">
        <f t="shared" si="139"/>
        <v>0</v>
      </c>
      <c r="IQA1590" s="55">
        <f t="shared" si="139"/>
        <v>0</v>
      </c>
      <c r="IQB1590" s="55">
        <f t="shared" si="139"/>
        <v>0</v>
      </c>
      <c r="IQC1590" s="55">
        <f t="shared" si="139"/>
        <v>0</v>
      </c>
      <c r="IQD1590" s="55">
        <f t="shared" si="139"/>
        <v>0</v>
      </c>
      <c r="IQE1590" s="55">
        <f t="shared" si="139"/>
        <v>0</v>
      </c>
      <c r="IQF1590" s="55">
        <f t="shared" si="139"/>
        <v>0</v>
      </c>
      <c r="IQG1590" s="55">
        <f t="shared" si="139"/>
        <v>0</v>
      </c>
      <c r="IQH1590" s="55">
        <f t="shared" si="139"/>
        <v>0</v>
      </c>
      <c r="IQI1590" s="55">
        <f t="shared" si="139"/>
        <v>0</v>
      </c>
      <c r="IQJ1590" s="55">
        <f t="shared" si="139"/>
        <v>0</v>
      </c>
      <c r="IQK1590" s="55">
        <f t="shared" si="139"/>
        <v>0</v>
      </c>
      <c r="IQL1590" s="55">
        <f t="shared" si="139"/>
        <v>0</v>
      </c>
      <c r="IQM1590" s="55">
        <f t="shared" si="139"/>
        <v>0</v>
      </c>
      <c r="IQN1590" s="55">
        <f t="shared" ref="IQN1590:ISY1590" si="140">+(IQN1600+IQN1604)*1.18*1.1</f>
        <v>0</v>
      </c>
      <c r="IQO1590" s="55">
        <f t="shared" si="140"/>
        <v>0</v>
      </c>
      <c r="IQP1590" s="55">
        <f t="shared" si="140"/>
        <v>0</v>
      </c>
      <c r="IQQ1590" s="55">
        <f t="shared" si="140"/>
        <v>0</v>
      </c>
      <c r="IQR1590" s="55">
        <f t="shared" si="140"/>
        <v>0</v>
      </c>
      <c r="IQS1590" s="55">
        <f t="shared" si="140"/>
        <v>0</v>
      </c>
      <c r="IQT1590" s="55">
        <f t="shared" si="140"/>
        <v>0</v>
      </c>
      <c r="IQU1590" s="55">
        <f t="shared" si="140"/>
        <v>0</v>
      </c>
      <c r="IQV1590" s="55">
        <f t="shared" si="140"/>
        <v>0</v>
      </c>
      <c r="IQW1590" s="55">
        <f t="shared" si="140"/>
        <v>0</v>
      </c>
      <c r="IQX1590" s="55">
        <f t="shared" si="140"/>
        <v>0</v>
      </c>
      <c r="IQY1590" s="55">
        <f t="shared" si="140"/>
        <v>0</v>
      </c>
      <c r="IQZ1590" s="55">
        <f t="shared" si="140"/>
        <v>0</v>
      </c>
      <c r="IRA1590" s="55">
        <f t="shared" si="140"/>
        <v>0</v>
      </c>
      <c r="IRB1590" s="55">
        <f t="shared" si="140"/>
        <v>0</v>
      </c>
      <c r="IRC1590" s="55">
        <f t="shared" si="140"/>
        <v>0</v>
      </c>
      <c r="IRD1590" s="55">
        <f t="shared" si="140"/>
        <v>0</v>
      </c>
      <c r="IRE1590" s="55">
        <f t="shared" si="140"/>
        <v>0</v>
      </c>
      <c r="IRF1590" s="55">
        <f t="shared" si="140"/>
        <v>0</v>
      </c>
      <c r="IRG1590" s="55">
        <f t="shared" si="140"/>
        <v>0</v>
      </c>
      <c r="IRH1590" s="55">
        <f t="shared" si="140"/>
        <v>0</v>
      </c>
      <c r="IRI1590" s="55">
        <f t="shared" si="140"/>
        <v>0</v>
      </c>
      <c r="IRJ1590" s="55">
        <f t="shared" si="140"/>
        <v>0</v>
      </c>
      <c r="IRK1590" s="55">
        <f t="shared" si="140"/>
        <v>0</v>
      </c>
      <c r="IRL1590" s="55">
        <f t="shared" si="140"/>
        <v>0</v>
      </c>
      <c r="IRM1590" s="55">
        <f t="shared" si="140"/>
        <v>0</v>
      </c>
      <c r="IRN1590" s="55">
        <f t="shared" si="140"/>
        <v>0</v>
      </c>
      <c r="IRO1590" s="55">
        <f t="shared" si="140"/>
        <v>0</v>
      </c>
      <c r="IRP1590" s="55">
        <f t="shared" si="140"/>
        <v>0</v>
      </c>
      <c r="IRQ1590" s="55">
        <f t="shared" si="140"/>
        <v>0</v>
      </c>
      <c r="IRR1590" s="55">
        <f t="shared" si="140"/>
        <v>0</v>
      </c>
      <c r="IRS1590" s="55">
        <f t="shared" si="140"/>
        <v>0</v>
      </c>
      <c r="IRT1590" s="55">
        <f t="shared" si="140"/>
        <v>0</v>
      </c>
      <c r="IRU1590" s="55">
        <f t="shared" si="140"/>
        <v>0</v>
      </c>
      <c r="IRV1590" s="55">
        <f t="shared" si="140"/>
        <v>0</v>
      </c>
      <c r="IRW1590" s="55">
        <f t="shared" si="140"/>
        <v>0</v>
      </c>
      <c r="IRX1590" s="55">
        <f t="shared" si="140"/>
        <v>0</v>
      </c>
      <c r="IRY1590" s="55">
        <f t="shared" si="140"/>
        <v>0</v>
      </c>
      <c r="IRZ1590" s="55">
        <f t="shared" si="140"/>
        <v>0</v>
      </c>
      <c r="ISA1590" s="55">
        <f t="shared" si="140"/>
        <v>0</v>
      </c>
      <c r="ISB1590" s="55">
        <f t="shared" si="140"/>
        <v>0</v>
      </c>
      <c r="ISC1590" s="55">
        <f t="shared" si="140"/>
        <v>0</v>
      </c>
      <c r="ISD1590" s="55">
        <f t="shared" si="140"/>
        <v>0</v>
      </c>
      <c r="ISE1590" s="55">
        <f t="shared" si="140"/>
        <v>0</v>
      </c>
      <c r="ISF1590" s="55">
        <f t="shared" si="140"/>
        <v>0</v>
      </c>
      <c r="ISG1590" s="55">
        <f t="shared" si="140"/>
        <v>0</v>
      </c>
      <c r="ISH1590" s="55">
        <f t="shared" si="140"/>
        <v>0</v>
      </c>
      <c r="ISI1590" s="55">
        <f t="shared" si="140"/>
        <v>0</v>
      </c>
      <c r="ISJ1590" s="55">
        <f t="shared" si="140"/>
        <v>0</v>
      </c>
      <c r="ISK1590" s="55">
        <f t="shared" si="140"/>
        <v>0</v>
      </c>
      <c r="ISL1590" s="55">
        <f t="shared" si="140"/>
        <v>0</v>
      </c>
      <c r="ISM1590" s="55">
        <f t="shared" si="140"/>
        <v>0</v>
      </c>
      <c r="ISN1590" s="55">
        <f t="shared" si="140"/>
        <v>0</v>
      </c>
      <c r="ISO1590" s="55">
        <f t="shared" si="140"/>
        <v>0</v>
      </c>
      <c r="ISP1590" s="55">
        <f t="shared" si="140"/>
        <v>0</v>
      </c>
      <c r="ISQ1590" s="55">
        <f t="shared" si="140"/>
        <v>0</v>
      </c>
      <c r="ISR1590" s="55">
        <f t="shared" si="140"/>
        <v>0</v>
      </c>
      <c r="ISS1590" s="55">
        <f t="shared" si="140"/>
        <v>0</v>
      </c>
      <c r="IST1590" s="55">
        <f t="shared" si="140"/>
        <v>0</v>
      </c>
      <c r="ISU1590" s="55">
        <f t="shared" si="140"/>
        <v>0</v>
      </c>
      <c r="ISV1590" s="55">
        <f t="shared" si="140"/>
        <v>0</v>
      </c>
      <c r="ISW1590" s="55">
        <f t="shared" si="140"/>
        <v>0</v>
      </c>
      <c r="ISX1590" s="55">
        <f t="shared" si="140"/>
        <v>0</v>
      </c>
      <c r="ISY1590" s="55">
        <f t="shared" si="140"/>
        <v>0</v>
      </c>
      <c r="ISZ1590" s="55">
        <f t="shared" ref="ISZ1590:IVK1590" si="141">+(ISZ1600+ISZ1604)*1.18*1.1</f>
        <v>0</v>
      </c>
      <c r="ITA1590" s="55">
        <f t="shared" si="141"/>
        <v>0</v>
      </c>
      <c r="ITB1590" s="55">
        <f t="shared" si="141"/>
        <v>0</v>
      </c>
      <c r="ITC1590" s="55">
        <f t="shared" si="141"/>
        <v>0</v>
      </c>
      <c r="ITD1590" s="55">
        <f t="shared" si="141"/>
        <v>0</v>
      </c>
      <c r="ITE1590" s="55">
        <f t="shared" si="141"/>
        <v>0</v>
      </c>
      <c r="ITF1590" s="55">
        <f t="shared" si="141"/>
        <v>0</v>
      </c>
      <c r="ITG1590" s="55">
        <f t="shared" si="141"/>
        <v>0</v>
      </c>
      <c r="ITH1590" s="55">
        <f t="shared" si="141"/>
        <v>0</v>
      </c>
      <c r="ITI1590" s="55">
        <f t="shared" si="141"/>
        <v>0</v>
      </c>
      <c r="ITJ1590" s="55">
        <f t="shared" si="141"/>
        <v>0</v>
      </c>
      <c r="ITK1590" s="55">
        <f t="shared" si="141"/>
        <v>0</v>
      </c>
      <c r="ITL1590" s="55">
        <f t="shared" si="141"/>
        <v>0</v>
      </c>
      <c r="ITM1590" s="55">
        <f t="shared" si="141"/>
        <v>0</v>
      </c>
      <c r="ITN1590" s="55">
        <f t="shared" si="141"/>
        <v>0</v>
      </c>
      <c r="ITO1590" s="55">
        <f t="shared" si="141"/>
        <v>0</v>
      </c>
      <c r="ITP1590" s="55">
        <f t="shared" si="141"/>
        <v>0</v>
      </c>
      <c r="ITQ1590" s="55">
        <f t="shared" si="141"/>
        <v>0</v>
      </c>
      <c r="ITR1590" s="55">
        <f t="shared" si="141"/>
        <v>0</v>
      </c>
      <c r="ITS1590" s="55">
        <f t="shared" si="141"/>
        <v>0</v>
      </c>
      <c r="ITT1590" s="55">
        <f t="shared" si="141"/>
        <v>0</v>
      </c>
      <c r="ITU1590" s="55">
        <f t="shared" si="141"/>
        <v>0</v>
      </c>
      <c r="ITV1590" s="55">
        <f t="shared" si="141"/>
        <v>0</v>
      </c>
      <c r="ITW1590" s="55">
        <f t="shared" si="141"/>
        <v>0</v>
      </c>
      <c r="ITX1590" s="55">
        <f t="shared" si="141"/>
        <v>0</v>
      </c>
      <c r="ITY1590" s="55">
        <f t="shared" si="141"/>
        <v>0</v>
      </c>
      <c r="ITZ1590" s="55">
        <f t="shared" si="141"/>
        <v>0</v>
      </c>
      <c r="IUA1590" s="55">
        <f t="shared" si="141"/>
        <v>0</v>
      </c>
      <c r="IUB1590" s="55">
        <f t="shared" si="141"/>
        <v>0</v>
      </c>
      <c r="IUC1590" s="55">
        <f t="shared" si="141"/>
        <v>0</v>
      </c>
      <c r="IUD1590" s="55">
        <f t="shared" si="141"/>
        <v>0</v>
      </c>
      <c r="IUE1590" s="55">
        <f t="shared" si="141"/>
        <v>0</v>
      </c>
      <c r="IUF1590" s="55">
        <f t="shared" si="141"/>
        <v>0</v>
      </c>
      <c r="IUG1590" s="55">
        <f t="shared" si="141"/>
        <v>0</v>
      </c>
      <c r="IUH1590" s="55">
        <f t="shared" si="141"/>
        <v>0</v>
      </c>
      <c r="IUI1590" s="55">
        <f t="shared" si="141"/>
        <v>0</v>
      </c>
      <c r="IUJ1590" s="55">
        <f t="shared" si="141"/>
        <v>0</v>
      </c>
      <c r="IUK1590" s="55">
        <f t="shared" si="141"/>
        <v>0</v>
      </c>
      <c r="IUL1590" s="55">
        <f t="shared" si="141"/>
        <v>0</v>
      </c>
      <c r="IUM1590" s="55">
        <f t="shared" si="141"/>
        <v>0</v>
      </c>
      <c r="IUN1590" s="55">
        <f t="shared" si="141"/>
        <v>0</v>
      </c>
      <c r="IUO1590" s="55">
        <f t="shared" si="141"/>
        <v>0</v>
      </c>
      <c r="IUP1590" s="55">
        <f t="shared" si="141"/>
        <v>0</v>
      </c>
      <c r="IUQ1590" s="55">
        <f t="shared" si="141"/>
        <v>0</v>
      </c>
      <c r="IUR1590" s="55">
        <f t="shared" si="141"/>
        <v>0</v>
      </c>
      <c r="IUS1590" s="55">
        <f t="shared" si="141"/>
        <v>0</v>
      </c>
      <c r="IUT1590" s="55">
        <f t="shared" si="141"/>
        <v>0</v>
      </c>
      <c r="IUU1590" s="55">
        <f t="shared" si="141"/>
        <v>0</v>
      </c>
      <c r="IUV1590" s="55">
        <f t="shared" si="141"/>
        <v>0</v>
      </c>
      <c r="IUW1590" s="55">
        <f t="shared" si="141"/>
        <v>0</v>
      </c>
      <c r="IUX1590" s="55">
        <f t="shared" si="141"/>
        <v>0</v>
      </c>
      <c r="IUY1590" s="55">
        <f t="shared" si="141"/>
        <v>0</v>
      </c>
      <c r="IUZ1590" s="55">
        <f t="shared" si="141"/>
        <v>0</v>
      </c>
      <c r="IVA1590" s="55">
        <f t="shared" si="141"/>
        <v>0</v>
      </c>
      <c r="IVB1590" s="55">
        <f t="shared" si="141"/>
        <v>0</v>
      </c>
      <c r="IVC1590" s="55">
        <f t="shared" si="141"/>
        <v>0</v>
      </c>
      <c r="IVD1590" s="55">
        <f t="shared" si="141"/>
        <v>0</v>
      </c>
      <c r="IVE1590" s="55">
        <f t="shared" si="141"/>
        <v>0</v>
      </c>
      <c r="IVF1590" s="55">
        <f t="shared" si="141"/>
        <v>0</v>
      </c>
      <c r="IVG1590" s="55">
        <f t="shared" si="141"/>
        <v>0</v>
      </c>
      <c r="IVH1590" s="55">
        <f t="shared" si="141"/>
        <v>0</v>
      </c>
      <c r="IVI1590" s="55">
        <f t="shared" si="141"/>
        <v>0</v>
      </c>
      <c r="IVJ1590" s="55">
        <f t="shared" si="141"/>
        <v>0</v>
      </c>
      <c r="IVK1590" s="55">
        <f t="shared" si="141"/>
        <v>0</v>
      </c>
      <c r="IVL1590" s="55">
        <f t="shared" ref="IVL1590:IXW1590" si="142">+(IVL1600+IVL1604)*1.18*1.1</f>
        <v>0</v>
      </c>
      <c r="IVM1590" s="55">
        <f t="shared" si="142"/>
        <v>0</v>
      </c>
      <c r="IVN1590" s="55">
        <f t="shared" si="142"/>
        <v>0</v>
      </c>
      <c r="IVO1590" s="55">
        <f t="shared" si="142"/>
        <v>0</v>
      </c>
      <c r="IVP1590" s="55">
        <f t="shared" si="142"/>
        <v>0</v>
      </c>
      <c r="IVQ1590" s="55">
        <f t="shared" si="142"/>
        <v>0</v>
      </c>
      <c r="IVR1590" s="55">
        <f t="shared" si="142"/>
        <v>0</v>
      </c>
      <c r="IVS1590" s="55">
        <f t="shared" si="142"/>
        <v>0</v>
      </c>
      <c r="IVT1590" s="55">
        <f t="shared" si="142"/>
        <v>0</v>
      </c>
      <c r="IVU1590" s="55">
        <f t="shared" si="142"/>
        <v>0</v>
      </c>
      <c r="IVV1590" s="55">
        <f t="shared" si="142"/>
        <v>0</v>
      </c>
      <c r="IVW1590" s="55">
        <f t="shared" si="142"/>
        <v>0</v>
      </c>
      <c r="IVX1590" s="55">
        <f t="shared" si="142"/>
        <v>0</v>
      </c>
      <c r="IVY1590" s="55">
        <f t="shared" si="142"/>
        <v>0</v>
      </c>
      <c r="IVZ1590" s="55">
        <f t="shared" si="142"/>
        <v>0</v>
      </c>
      <c r="IWA1590" s="55">
        <f t="shared" si="142"/>
        <v>0</v>
      </c>
      <c r="IWB1590" s="55">
        <f t="shared" si="142"/>
        <v>0</v>
      </c>
      <c r="IWC1590" s="55">
        <f t="shared" si="142"/>
        <v>0</v>
      </c>
      <c r="IWD1590" s="55">
        <f t="shared" si="142"/>
        <v>0</v>
      </c>
      <c r="IWE1590" s="55">
        <f t="shared" si="142"/>
        <v>0</v>
      </c>
      <c r="IWF1590" s="55">
        <f t="shared" si="142"/>
        <v>0</v>
      </c>
      <c r="IWG1590" s="55">
        <f t="shared" si="142"/>
        <v>0</v>
      </c>
      <c r="IWH1590" s="55">
        <f t="shared" si="142"/>
        <v>0</v>
      </c>
      <c r="IWI1590" s="55">
        <f t="shared" si="142"/>
        <v>0</v>
      </c>
      <c r="IWJ1590" s="55">
        <f t="shared" si="142"/>
        <v>0</v>
      </c>
      <c r="IWK1590" s="55">
        <f t="shared" si="142"/>
        <v>0</v>
      </c>
      <c r="IWL1590" s="55">
        <f t="shared" si="142"/>
        <v>0</v>
      </c>
      <c r="IWM1590" s="55">
        <f t="shared" si="142"/>
        <v>0</v>
      </c>
      <c r="IWN1590" s="55">
        <f t="shared" si="142"/>
        <v>0</v>
      </c>
      <c r="IWO1590" s="55">
        <f t="shared" si="142"/>
        <v>0</v>
      </c>
      <c r="IWP1590" s="55">
        <f t="shared" si="142"/>
        <v>0</v>
      </c>
      <c r="IWQ1590" s="55">
        <f t="shared" si="142"/>
        <v>0</v>
      </c>
      <c r="IWR1590" s="55">
        <f t="shared" si="142"/>
        <v>0</v>
      </c>
      <c r="IWS1590" s="55">
        <f t="shared" si="142"/>
        <v>0</v>
      </c>
      <c r="IWT1590" s="55">
        <f t="shared" si="142"/>
        <v>0</v>
      </c>
      <c r="IWU1590" s="55">
        <f t="shared" si="142"/>
        <v>0</v>
      </c>
      <c r="IWV1590" s="55">
        <f t="shared" si="142"/>
        <v>0</v>
      </c>
      <c r="IWW1590" s="55">
        <f t="shared" si="142"/>
        <v>0</v>
      </c>
      <c r="IWX1590" s="55">
        <f t="shared" si="142"/>
        <v>0</v>
      </c>
      <c r="IWY1590" s="55">
        <f t="shared" si="142"/>
        <v>0</v>
      </c>
      <c r="IWZ1590" s="55">
        <f t="shared" si="142"/>
        <v>0</v>
      </c>
      <c r="IXA1590" s="55">
        <f t="shared" si="142"/>
        <v>0</v>
      </c>
      <c r="IXB1590" s="55">
        <f t="shared" si="142"/>
        <v>0</v>
      </c>
      <c r="IXC1590" s="55">
        <f t="shared" si="142"/>
        <v>0</v>
      </c>
      <c r="IXD1590" s="55">
        <f t="shared" si="142"/>
        <v>0</v>
      </c>
      <c r="IXE1590" s="55">
        <f t="shared" si="142"/>
        <v>0</v>
      </c>
      <c r="IXF1590" s="55">
        <f t="shared" si="142"/>
        <v>0</v>
      </c>
      <c r="IXG1590" s="55">
        <f t="shared" si="142"/>
        <v>0</v>
      </c>
      <c r="IXH1590" s="55">
        <f t="shared" si="142"/>
        <v>0</v>
      </c>
      <c r="IXI1590" s="55">
        <f t="shared" si="142"/>
        <v>0</v>
      </c>
      <c r="IXJ1590" s="55">
        <f t="shared" si="142"/>
        <v>0</v>
      </c>
      <c r="IXK1590" s="55">
        <f t="shared" si="142"/>
        <v>0</v>
      </c>
      <c r="IXL1590" s="55">
        <f t="shared" si="142"/>
        <v>0</v>
      </c>
      <c r="IXM1590" s="55">
        <f t="shared" si="142"/>
        <v>0</v>
      </c>
      <c r="IXN1590" s="55">
        <f t="shared" si="142"/>
        <v>0</v>
      </c>
      <c r="IXO1590" s="55">
        <f t="shared" si="142"/>
        <v>0</v>
      </c>
      <c r="IXP1590" s="55">
        <f t="shared" si="142"/>
        <v>0</v>
      </c>
      <c r="IXQ1590" s="55">
        <f t="shared" si="142"/>
        <v>0</v>
      </c>
      <c r="IXR1590" s="55">
        <f t="shared" si="142"/>
        <v>0</v>
      </c>
      <c r="IXS1590" s="55">
        <f t="shared" si="142"/>
        <v>0</v>
      </c>
      <c r="IXT1590" s="55">
        <f t="shared" si="142"/>
        <v>0</v>
      </c>
      <c r="IXU1590" s="55">
        <f t="shared" si="142"/>
        <v>0</v>
      </c>
      <c r="IXV1590" s="55">
        <f t="shared" si="142"/>
        <v>0</v>
      </c>
      <c r="IXW1590" s="55">
        <f t="shared" si="142"/>
        <v>0</v>
      </c>
      <c r="IXX1590" s="55">
        <f t="shared" ref="IXX1590:JAI1590" si="143">+(IXX1600+IXX1604)*1.18*1.1</f>
        <v>0</v>
      </c>
      <c r="IXY1590" s="55">
        <f t="shared" si="143"/>
        <v>0</v>
      </c>
      <c r="IXZ1590" s="55">
        <f t="shared" si="143"/>
        <v>0</v>
      </c>
      <c r="IYA1590" s="55">
        <f t="shared" si="143"/>
        <v>0</v>
      </c>
      <c r="IYB1590" s="55">
        <f t="shared" si="143"/>
        <v>0</v>
      </c>
      <c r="IYC1590" s="55">
        <f t="shared" si="143"/>
        <v>0</v>
      </c>
      <c r="IYD1590" s="55">
        <f t="shared" si="143"/>
        <v>0</v>
      </c>
      <c r="IYE1590" s="55">
        <f t="shared" si="143"/>
        <v>0</v>
      </c>
      <c r="IYF1590" s="55">
        <f t="shared" si="143"/>
        <v>0</v>
      </c>
      <c r="IYG1590" s="55">
        <f t="shared" si="143"/>
        <v>0</v>
      </c>
      <c r="IYH1590" s="55">
        <f t="shared" si="143"/>
        <v>0</v>
      </c>
      <c r="IYI1590" s="55">
        <f t="shared" si="143"/>
        <v>0</v>
      </c>
      <c r="IYJ1590" s="55">
        <f t="shared" si="143"/>
        <v>0</v>
      </c>
      <c r="IYK1590" s="55">
        <f t="shared" si="143"/>
        <v>0</v>
      </c>
      <c r="IYL1590" s="55">
        <f t="shared" si="143"/>
        <v>0</v>
      </c>
      <c r="IYM1590" s="55">
        <f t="shared" si="143"/>
        <v>0</v>
      </c>
      <c r="IYN1590" s="55">
        <f t="shared" si="143"/>
        <v>0</v>
      </c>
      <c r="IYO1590" s="55">
        <f t="shared" si="143"/>
        <v>0</v>
      </c>
      <c r="IYP1590" s="55">
        <f t="shared" si="143"/>
        <v>0</v>
      </c>
      <c r="IYQ1590" s="55">
        <f t="shared" si="143"/>
        <v>0</v>
      </c>
      <c r="IYR1590" s="55">
        <f t="shared" si="143"/>
        <v>0</v>
      </c>
      <c r="IYS1590" s="55">
        <f t="shared" si="143"/>
        <v>0</v>
      </c>
      <c r="IYT1590" s="55">
        <f t="shared" si="143"/>
        <v>0</v>
      </c>
      <c r="IYU1590" s="55">
        <f t="shared" si="143"/>
        <v>0</v>
      </c>
      <c r="IYV1590" s="55">
        <f t="shared" si="143"/>
        <v>0</v>
      </c>
      <c r="IYW1590" s="55">
        <f t="shared" si="143"/>
        <v>0</v>
      </c>
      <c r="IYX1590" s="55">
        <f t="shared" si="143"/>
        <v>0</v>
      </c>
      <c r="IYY1590" s="55">
        <f t="shared" si="143"/>
        <v>0</v>
      </c>
      <c r="IYZ1590" s="55">
        <f t="shared" si="143"/>
        <v>0</v>
      </c>
      <c r="IZA1590" s="55">
        <f t="shared" si="143"/>
        <v>0</v>
      </c>
      <c r="IZB1590" s="55">
        <f t="shared" si="143"/>
        <v>0</v>
      </c>
      <c r="IZC1590" s="55">
        <f t="shared" si="143"/>
        <v>0</v>
      </c>
      <c r="IZD1590" s="55">
        <f t="shared" si="143"/>
        <v>0</v>
      </c>
      <c r="IZE1590" s="55">
        <f t="shared" si="143"/>
        <v>0</v>
      </c>
      <c r="IZF1590" s="55">
        <f t="shared" si="143"/>
        <v>0</v>
      </c>
      <c r="IZG1590" s="55">
        <f t="shared" si="143"/>
        <v>0</v>
      </c>
      <c r="IZH1590" s="55">
        <f t="shared" si="143"/>
        <v>0</v>
      </c>
      <c r="IZI1590" s="55">
        <f t="shared" si="143"/>
        <v>0</v>
      </c>
      <c r="IZJ1590" s="55">
        <f t="shared" si="143"/>
        <v>0</v>
      </c>
      <c r="IZK1590" s="55">
        <f t="shared" si="143"/>
        <v>0</v>
      </c>
      <c r="IZL1590" s="55">
        <f t="shared" si="143"/>
        <v>0</v>
      </c>
      <c r="IZM1590" s="55">
        <f t="shared" si="143"/>
        <v>0</v>
      </c>
      <c r="IZN1590" s="55">
        <f t="shared" si="143"/>
        <v>0</v>
      </c>
      <c r="IZO1590" s="55">
        <f t="shared" si="143"/>
        <v>0</v>
      </c>
      <c r="IZP1590" s="55">
        <f t="shared" si="143"/>
        <v>0</v>
      </c>
      <c r="IZQ1590" s="55">
        <f t="shared" si="143"/>
        <v>0</v>
      </c>
      <c r="IZR1590" s="55">
        <f t="shared" si="143"/>
        <v>0</v>
      </c>
      <c r="IZS1590" s="55">
        <f t="shared" si="143"/>
        <v>0</v>
      </c>
      <c r="IZT1590" s="55">
        <f t="shared" si="143"/>
        <v>0</v>
      </c>
      <c r="IZU1590" s="55">
        <f t="shared" si="143"/>
        <v>0</v>
      </c>
      <c r="IZV1590" s="55">
        <f t="shared" si="143"/>
        <v>0</v>
      </c>
      <c r="IZW1590" s="55">
        <f t="shared" si="143"/>
        <v>0</v>
      </c>
      <c r="IZX1590" s="55">
        <f t="shared" si="143"/>
        <v>0</v>
      </c>
      <c r="IZY1590" s="55">
        <f t="shared" si="143"/>
        <v>0</v>
      </c>
      <c r="IZZ1590" s="55">
        <f t="shared" si="143"/>
        <v>0</v>
      </c>
      <c r="JAA1590" s="55">
        <f t="shared" si="143"/>
        <v>0</v>
      </c>
      <c r="JAB1590" s="55">
        <f t="shared" si="143"/>
        <v>0</v>
      </c>
      <c r="JAC1590" s="55">
        <f t="shared" si="143"/>
        <v>0</v>
      </c>
      <c r="JAD1590" s="55">
        <f t="shared" si="143"/>
        <v>0</v>
      </c>
      <c r="JAE1590" s="55">
        <f t="shared" si="143"/>
        <v>0</v>
      </c>
      <c r="JAF1590" s="55">
        <f t="shared" si="143"/>
        <v>0</v>
      </c>
      <c r="JAG1590" s="55">
        <f t="shared" si="143"/>
        <v>0</v>
      </c>
      <c r="JAH1590" s="55">
        <f t="shared" si="143"/>
        <v>0</v>
      </c>
      <c r="JAI1590" s="55">
        <f t="shared" si="143"/>
        <v>0</v>
      </c>
      <c r="JAJ1590" s="55">
        <f t="shared" ref="JAJ1590:JCU1590" si="144">+(JAJ1600+JAJ1604)*1.18*1.1</f>
        <v>0</v>
      </c>
      <c r="JAK1590" s="55">
        <f t="shared" si="144"/>
        <v>0</v>
      </c>
      <c r="JAL1590" s="55">
        <f t="shared" si="144"/>
        <v>0</v>
      </c>
      <c r="JAM1590" s="55">
        <f t="shared" si="144"/>
        <v>0</v>
      </c>
      <c r="JAN1590" s="55">
        <f t="shared" si="144"/>
        <v>0</v>
      </c>
      <c r="JAO1590" s="55">
        <f t="shared" si="144"/>
        <v>0</v>
      </c>
      <c r="JAP1590" s="55">
        <f t="shared" si="144"/>
        <v>0</v>
      </c>
      <c r="JAQ1590" s="55">
        <f t="shared" si="144"/>
        <v>0</v>
      </c>
      <c r="JAR1590" s="55">
        <f t="shared" si="144"/>
        <v>0</v>
      </c>
      <c r="JAS1590" s="55">
        <f t="shared" si="144"/>
        <v>0</v>
      </c>
      <c r="JAT1590" s="55">
        <f t="shared" si="144"/>
        <v>0</v>
      </c>
      <c r="JAU1590" s="55">
        <f t="shared" si="144"/>
        <v>0</v>
      </c>
      <c r="JAV1590" s="55">
        <f t="shared" si="144"/>
        <v>0</v>
      </c>
      <c r="JAW1590" s="55">
        <f t="shared" si="144"/>
        <v>0</v>
      </c>
      <c r="JAX1590" s="55">
        <f t="shared" si="144"/>
        <v>0</v>
      </c>
      <c r="JAY1590" s="55">
        <f t="shared" si="144"/>
        <v>0</v>
      </c>
      <c r="JAZ1590" s="55">
        <f t="shared" si="144"/>
        <v>0</v>
      </c>
      <c r="JBA1590" s="55">
        <f t="shared" si="144"/>
        <v>0</v>
      </c>
      <c r="JBB1590" s="55">
        <f t="shared" si="144"/>
        <v>0</v>
      </c>
      <c r="JBC1590" s="55">
        <f t="shared" si="144"/>
        <v>0</v>
      </c>
      <c r="JBD1590" s="55">
        <f t="shared" si="144"/>
        <v>0</v>
      </c>
      <c r="JBE1590" s="55">
        <f t="shared" si="144"/>
        <v>0</v>
      </c>
      <c r="JBF1590" s="55">
        <f t="shared" si="144"/>
        <v>0</v>
      </c>
      <c r="JBG1590" s="55">
        <f t="shared" si="144"/>
        <v>0</v>
      </c>
      <c r="JBH1590" s="55">
        <f t="shared" si="144"/>
        <v>0</v>
      </c>
      <c r="JBI1590" s="55">
        <f t="shared" si="144"/>
        <v>0</v>
      </c>
      <c r="JBJ1590" s="55">
        <f t="shared" si="144"/>
        <v>0</v>
      </c>
      <c r="JBK1590" s="55">
        <f t="shared" si="144"/>
        <v>0</v>
      </c>
      <c r="JBL1590" s="55">
        <f t="shared" si="144"/>
        <v>0</v>
      </c>
      <c r="JBM1590" s="55">
        <f t="shared" si="144"/>
        <v>0</v>
      </c>
      <c r="JBN1590" s="55">
        <f t="shared" si="144"/>
        <v>0</v>
      </c>
      <c r="JBO1590" s="55">
        <f t="shared" si="144"/>
        <v>0</v>
      </c>
      <c r="JBP1590" s="55">
        <f t="shared" si="144"/>
        <v>0</v>
      </c>
      <c r="JBQ1590" s="55">
        <f t="shared" si="144"/>
        <v>0</v>
      </c>
      <c r="JBR1590" s="55">
        <f t="shared" si="144"/>
        <v>0</v>
      </c>
      <c r="JBS1590" s="55">
        <f t="shared" si="144"/>
        <v>0</v>
      </c>
      <c r="JBT1590" s="55">
        <f t="shared" si="144"/>
        <v>0</v>
      </c>
      <c r="JBU1590" s="55">
        <f t="shared" si="144"/>
        <v>0</v>
      </c>
      <c r="JBV1590" s="55">
        <f t="shared" si="144"/>
        <v>0</v>
      </c>
      <c r="JBW1590" s="55">
        <f t="shared" si="144"/>
        <v>0</v>
      </c>
      <c r="JBX1590" s="55">
        <f t="shared" si="144"/>
        <v>0</v>
      </c>
      <c r="JBY1590" s="55">
        <f t="shared" si="144"/>
        <v>0</v>
      </c>
      <c r="JBZ1590" s="55">
        <f t="shared" si="144"/>
        <v>0</v>
      </c>
      <c r="JCA1590" s="55">
        <f t="shared" si="144"/>
        <v>0</v>
      </c>
      <c r="JCB1590" s="55">
        <f t="shared" si="144"/>
        <v>0</v>
      </c>
      <c r="JCC1590" s="55">
        <f t="shared" si="144"/>
        <v>0</v>
      </c>
      <c r="JCD1590" s="55">
        <f t="shared" si="144"/>
        <v>0</v>
      </c>
      <c r="JCE1590" s="55">
        <f t="shared" si="144"/>
        <v>0</v>
      </c>
      <c r="JCF1590" s="55">
        <f t="shared" si="144"/>
        <v>0</v>
      </c>
      <c r="JCG1590" s="55">
        <f t="shared" si="144"/>
        <v>0</v>
      </c>
      <c r="JCH1590" s="55">
        <f t="shared" si="144"/>
        <v>0</v>
      </c>
      <c r="JCI1590" s="55">
        <f t="shared" si="144"/>
        <v>0</v>
      </c>
      <c r="JCJ1590" s="55">
        <f t="shared" si="144"/>
        <v>0</v>
      </c>
      <c r="JCK1590" s="55">
        <f t="shared" si="144"/>
        <v>0</v>
      </c>
      <c r="JCL1590" s="55">
        <f t="shared" si="144"/>
        <v>0</v>
      </c>
      <c r="JCM1590" s="55">
        <f t="shared" si="144"/>
        <v>0</v>
      </c>
      <c r="JCN1590" s="55">
        <f t="shared" si="144"/>
        <v>0</v>
      </c>
      <c r="JCO1590" s="55">
        <f t="shared" si="144"/>
        <v>0</v>
      </c>
      <c r="JCP1590" s="55">
        <f t="shared" si="144"/>
        <v>0</v>
      </c>
      <c r="JCQ1590" s="55">
        <f t="shared" si="144"/>
        <v>0</v>
      </c>
      <c r="JCR1590" s="55">
        <f t="shared" si="144"/>
        <v>0</v>
      </c>
      <c r="JCS1590" s="55">
        <f t="shared" si="144"/>
        <v>0</v>
      </c>
      <c r="JCT1590" s="55">
        <f t="shared" si="144"/>
        <v>0</v>
      </c>
      <c r="JCU1590" s="55">
        <f t="shared" si="144"/>
        <v>0</v>
      </c>
      <c r="JCV1590" s="55">
        <f t="shared" ref="JCV1590:JFG1590" si="145">+(JCV1600+JCV1604)*1.18*1.1</f>
        <v>0</v>
      </c>
      <c r="JCW1590" s="55">
        <f t="shared" si="145"/>
        <v>0</v>
      </c>
      <c r="JCX1590" s="55">
        <f t="shared" si="145"/>
        <v>0</v>
      </c>
      <c r="JCY1590" s="55">
        <f t="shared" si="145"/>
        <v>0</v>
      </c>
      <c r="JCZ1590" s="55">
        <f t="shared" si="145"/>
        <v>0</v>
      </c>
      <c r="JDA1590" s="55">
        <f t="shared" si="145"/>
        <v>0</v>
      </c>
      <c r="JDB1590" s="55">
        <f t="shared" si="145"/>
        <v>0</v>
      </c>
      <c r="JDC1590" s="55">
        <f t="shared" si="145"/>
        <v>0</v>
      </c>
      <c r="JDD1590" s="55">
        <f t="shared" si="145"/>
        <v>0</v>
      </c>
      <c r="JDE1590" s="55">
        <f t="shared" si="145"/>
        <v>0</v>
      </c>
      <c r="JDF1590" s="55">
        <f t="shared" si="145"/>
        <v>0</v>
      </c>
      <c r="JDG1590" s="55">
        <f t="shared" si="145"/>
        <v>0</v>
      </c>
      <c r="JDH1590" s="55">
        <f t="shared" si="145"/>
        <v>0</v>
      </c>
      <c r="JDI1590" s="55">
        <f t="shared" si="145"/>
        <v>0</v>
      </c>
      <c r="JDJ1590" s="55">
        <f t="shared" si="145"/>
        <v>0</v>
      </c>
      <c r="JDK1590" s="55">
        <f t="shared" si="145"/>
        <v>0</v>
      </c>
      <c r="JDL1590" s="55">
        <f t="shared" si="145"/>
        <v>0</v>
      </c>
      <c r="JDM1590" s="55">
        <f t="shared" si="145"/>
        <v>0</v>
      </c>
      <c r="JDN1590" s="55">
        <f t="shared" si="145"/>
        <v>0</v>
      </c>
      <c r="JDO1590" s="55">
        <f t="shared" si="145"/>
        <v>0</v>
      </c>
      <c r="JDP1590" s="55">
        <f t="shared" si="145"/>
        <v>0</v>
      </c>
      <c r="JDQ1590" s="55">
        <f t="shared" si="145"/>
        <v>0</v>
      </c>
      <c r="JDR1590" s="55">
        <f t="shared" si="145"/>
        <v>0</v>
      </c>
      <c r="JDS1590" s="55">
        <f t="shared" si="145"/>
        <v>0</v>
      </c>
      <c r="JDT1590" s="55">
        <f t="shared" si="145"/>
        <v>0</v>
      </c>
      <c r="JDU1590" s="55">
        <f t="shared" si="145"/>
        <v>0</v>
      </c>
      <c r="JDV1590" s="55">
        <f t="shared" si="145"/>
        <v>0</v>
      </c>
      <c r="JDW1590" s="55">
        <f t="shared" si="145"/>
        <v>0</v>
      </c>
      <c r="JDX1590" s="55">
        <f t="shared" si="145"/>
        <v>0</v>
      </c>
      <c r="JDY1590" s="55">
        <f t="shared" si="145"/>
        <v>0</v>
      </c>
      <c r="JDZ1590" s="55">
        <f t="shared" si="145"/>
        <v>0</v>
      </c>
      <c r="JEA1590" s="55">
        <f t="shared" si="145"/>
        <v>0</v>
      </c>
      <c r="JEB1590" s="55">
        <f t="shared" si="145"/>
        <v>0</v>
      </c>
      <c r="JEC1590" s="55">
        <f t="shared" si="145"/>
        <v>0</v>
      </c>
      <c r="JED1590" s="55">
        <f t="shared" si="145"/>
        <v>0</v>
      </c>
      <c r="JEE1590" s="55">
        <f t="shared" si="145"/>
        <v>0</v>
      </c>
      <c r="JEF1590" s="55">
        <f t="shared" si="145"/>
        <v>0</v>
      </c>
      <c r="JEG1590" s="55">
        <f t="shared" si="145"/>
        <v>0</v>
      </c>
      <c r="JEH1590" s="55">
        <f t="shared" si="145"/>
        <v>0</v>
      </c>
      <c r="JEI1590" s="55">
        <f t="shared" si="145"/>
        <v>0</v>
      </c>
      <c r="JEJ1590" s="55">
        <f t="shared" si="145"/>
        <v>0</v>
      </c>
      <c r="JEK1590" s="55">
        <f t="shared" si="145"/>
        <v>0</v>
      </c>
      <c r="JEL1590" s="55">
        <f t="shared" si="145"/>
        <v>0</v>
      </c>
      <c r="JEM1590" s="55">
        <f t="shared" si="145"/>
        <v>0</v>
      </c>
      <c r="JEN1590" s="55">
        <f t="shared" si="145"/>
        <v>0</v>
      </c>
      <c r="JEO1590" s="55">
        <f t="shared" si="145"/>
        <v>0</v>
      </c>
      <c r="JEP1590" s="55">
        <f t="shared" si="145"/>
        <v>0</v>
      </c>
      <c r="JEQ1590" s="55">
        <f t="shared" si="145"/>
        <v>0</v>
      </c>
      <c r="JER1590" s="55">
        <f t="shared" si="145"/>
        <v>0</v>
      </c>
      <c r="JES1590" s="55">
        <f t="shared" si="145"/>
        <v>0</v>
      </c>
      <c r="JET1590" s="55">
        <f t="shared" si="145"/>
        <v>0</v>
      </c>
      <c r="JEU1590" s="55">
        <f t="shared" si="145"/>
        <v>0</v>
      </c>
      <c r="JEV1590" s="55">
        <f t="shared" si="145"/>
        <v>0</v>
      </c>
      <c r="JEW1590" s="55">
        <f t="shared" si="145"/>
        <v>0</v>
      </c>
      <c r="JEX1590" s="55">
        <f t="shared" si="145"/>
        <v>0</v>
      </c>
      <c r="JEY1590" s="55">
        <f t="shared" si="145"/>
        <v>0</v>
      </c>
      <c r="JEZ1590" s="55">
        <f t="shared" si="145"/>
        <v>0</v>
      </c>
      <c r="JFA1590" s="55">
        <f t="shared" si="145"/>
        <v>0</v>
      </c>
      <c r="JFB1590" s="55">
        <f t="shared" si="145"/>
        <v>0</v>
      </c>
      <c r="JFC1590" s="55">
        <f t="shared" si="145"/>
        <v>0</v>
      </c>
      <c r="JFD1590" s="55">
        <f t="shared" si="145"/>
        <v>0</v>
      </c>
      <c r="JFE1590" s="55">
        <f t="shared" si="145"/>
        <v>0</v>
      </c>
      <c r="JFF1590" s="55">
        <f t="shared" si="145"/>
        <v>0</v>
      </c>
      <c r="JFG1590" s="55">
        <f t="shared" si="145"/>
        <v>0</v>
      </c>
      <c r="JFH1590" s="55">
        <f t="shared" ref="JFH1590:JHS1590" si="146">+(JFH1600+JFH1604)*1.18*1.1</f>
        <v>0</v>
      </c>
      <c r="JFI1590" s="55">
        <f t="shared" si="146"/>
        <v>0</v>
      </c>
      <c r="JFJ1590" s="55">
        <f t="shared" si="146"/>
        <v>0</v>
      </c>
      <c r="JFK1590" s="55">
        <f t="shared" si="146"/>
        <v>0</v>
      </c>
      <c r="JFL1590" s="55">
        <f t="shared" si="146"/>
        <v>0</v>
      </c>
      <c r="JFM1590" s="55">
        <f t="shared" si="146"/>
        <v>0</v>
      </c>
      <c r="JFN1590" s="55">
        <f t="shared" si="146"/>
        <v>0</v>
      </c>
      <c r="JFO1590" s="55">
        <f t="shared" si="146"/>
        <v>0</v>
      </c>
      <c r="JFP1590" s="55">
        <f t="shared" si="146"/>
        <v>0</v>
      </c>
      <c r="JFQ1590" s="55">
        <f t="shared" si="146"/>
        <v>0</v>
      </c>
      <c r="JFR1590" s="55">
        <f t="shared" si="146"/>
        <v>0</v>
      </c>
      <c r="JFS1590" s="55">
        <f t="shared" si="146"/>
        <v>0</v>
      </c>
      <c r="JFT1590" s="55">
        <f t="shared" si="146"/>
        <v>0</v>
      </c>
      <c r="JFU1590" s="55">
        <f t="shared" si="146"/>
        <v>0</v>
      </c>
      <c r="JFV1590" s="55">
        <f t="shared" si="146"/>
        <v>0</v>
      </c>
      <c r="JFW1590" s="55">
        <f t="shared" si="146"/>
        <v>0</v>
      </c>
      <c r="JFX1590" s="55">
        <f t="shared" si="146"/>
        <v>0</v>
      </c>
      <c r="JFY1590" s="55">
        <f t="shared" si="146"/>
        <v>0</v>
      </c>
      <c r="JFZ1590" s="55">
        <f t="shared" si="146"/>
        <v>0</v>
      </c>
      <c r="JGA1590" s="55">
        <f t="shared" si="146"/>
        <v>0</v>
      </c>
      <c r="JGB1590" s="55">
        <f t="shared" si="146"/>
        <v>0</v>
      </c>
      <c r="JGC1590" s="55">
        <f t="shared" si="146"/>
        <v>0</v>
      </c>
      <c r="JGD1590" s="55">
        <f t="shared" si="146"/>
        <v>0</v>
      </c>
      <c r="JGE1590" s="55">
        <f t="shared" si="146"/>
        <v>0</v>
      </c>
      <c r="JGF1590" s="55">
        <f t="shared" si="146"/>
        <v>0</v>
      </c>
      <c r="JGG1590" s="55">
        <f t="shared" si="146"/>
        <v>0</v>
      </c>
      <c r="JGH1590" s="55">
        <f t="shared" si="146"/>
        <v>0</v>
      </c>
      <c r="JGI1590" s="55">
        <f t="shared" si="146"/>
        <v>0</v>
      </c>
      <c r="JGJ1590" s="55">
        <f t="shared" si="146"/>
        <v>0</v>
      </c>
      <c r="JGK1590" s="55">
        <f t="shared" si="146"/>
        <v>0</v>
      </c>
      <c r="JGL1590" s="55">
        <f t="shared" si="146"/>
        <v>0</v>
      </c>
      <c r="JGM1590" s="55">
        <f t="shared" si="146"/>
        <v>0</v>
      </c>
      <c r="JGN1590" s="55">
        <f t="shared" si="146"/>
        <v>0</v>
      </c>
      <c r="JGO1590" s="55">
        <f t="shared" si="146"/>
        <v>0</v>
      </c>
      <c r="JGP1590" s="55">
        <f t="shared" si="146"/>
        <v>0</v>
      </c>
      <c r="JGQ1590" s="55">
        <f t="shared" si="146"/>
        <v>0</v>
      </c>
      <c r="JGR1590" s="55">
        <f t="shared" si="146"/>
        <v>0</v>
      </c>
      <c r="JGS1590" s="55">
        <f t="shared" si="146"/>
        <v>0</v>
      </c>
      <c r="JGT1590" s="55">
        <f t="shared" si="146"/>
        <v>0</v>
      </c>
      <c r="JGU1590" s="55">
        <f t="shared" si="146"/>
        <v>0</v>
      </c>
      <c r="JGV1590" s="55">
        <f t="shared" si="146"/>
        <v>0</v>
      </c>
      <c r="JGW1590" s="55">
        <f t="shared" si="146"/>
        <v>0</v>
      </c>
      <c r="JGX1590" s="55">
        <f t="shared" si="146"/>
        <v>0</v>
      </c>
      <c r="JGY1590" s="55">
        <f t="shared" si="146"/>
        <v>0</v>
      </c>
      <c r="JGZ1590" s="55">
        <f t="shared" si="146"/>
        <v>0</v>
      </c>
      <c r="JHA1590" s="55">
        <f t="shared" si="146"/>
        <v>0</v>
      </c>
      <c r="JHB1590" s="55">
        <f t="shared" si="146"/>
        <v>0</v>
      </c>
      <c r="JHC1590" s="55">
        <f t="shared" si="146"/>
        <v>0</v>
      </c>
      <c r="JHD1590" s="55">
        <f t="shared" si="146"/>
        <v>0</v>
      </c>
      <c r="JHE1590" s="55">
        <f t="shared" si="146"/>
        <v>0</v>
      </c>
      <c r="JHF1590" s="55">
        <f t="shared" si="146"/>
        <v>0</v>
      </c>
      <c r="JHG1590" s="55">
        <f t="shared" si="146"/>
        <v>0</v>
      </c>
      <c r="JHH1590" s="55">
        <f t="shared" si="146"/>
        <v>0</v>
      </c>
      <c r="JHI1590" s="55">
        <f t="shared" si="146"/>
        <v>0</v>
      </c>
      <c r="JHJ1590" s="55">
        <f t="shared" si="146"/>
        <v>0</v>
      </c>
      <c r="JHK1590" s="55">
        <f t="shared" si="146"/>
        <v>0</v>
      </c>
      <c r="JHL1590" s="55">
        <f t="shared" si="146"/>
        <v>0</v>
      </c>
      <c r="JHM1590" s="55">
        <f t="shared" si="146"/>
        <v>0</v>
      </c>
      <c r="JHN1590" s="55">
        <f t="shared" si="146"/>
        <v>0</v>
      </c>
      <c r="JHO1590" s="55">
        <f t="shared" si="146"/>
        <v>0</v>
      </c>
      <c r="JHP1590" s="55">
        <f t="shared" si="146"/>
        <v>0</v>
      </c>
      <c r="JHQ1590" s="55">
        <f t="shared" si="146"/>
        <v>0</v>
      </c>
      <c r="JHR1590" s="55">
        <f t="shared" si="146"/>
        <v>0</v>
      </c>
      <c r="JHS1590" s="55">
        <f t="shared" si="146"/>
        <v>0</v>
      </c>
      <c r="JHT1590" s="55">
        <f t="shared" ref="JHT1590:JKE1590" si="147">+(JHT1600+JHT1604)*1.18*1.1</f>
        <v>0</v>
      </c>
      <c r="JHU1590" s="55">
        <f t="shared" si="147"/>
        <v>0</v>
      </c>
      <c r="JHV1590" s="55">
        <f t="shared" si="147"/>
        <v>0</v>
      </c>
      <c r="JHW1590" s="55">
        <f t="shared" si="147"/>
        <v>0</v>
      </c>
      <c r="JHX1590" s="55">
        <f t="shared" si="147"/>
        <v>0</v>
      </c>
      <c r="JHY1590" s="55">
        <f t="shared" si="147"/>
        <v>0</v>
      </c>
      <c r="JHZ1590" s="55">
        <f t="shared" si="147"/>
        <v>0</v>
      </c>
      <c r="JIA1590" s="55">
        <f t="shared" si="147"/>
        <v>0</v>
      </c>
      <c r="JIB1590" s="55">
        <f t="shared" si="147"/>
        <v>0</v>
      </c>
      <c r="JIC1590" s="55">
        <f t="shared" si="147"/>
        <v>0</v>
      </c>
      <c r="JID1590" s="55">
        <f t="shared" si="147"/>
        <v>0</v>
      </c>
      <c r="JIE1590" s="55">
        <f t="shared" si="147"/>
        <v>0</v>
      </c>
      <c r="JIF1590" s="55">
        <f t="shared" si="147"/>
        <v>0</v>
      </c>
      <c r="JIG1590" s="55">
        <f t="shared" si="147"/>
        <v>0</v>
      </c>
      <c r="JIH1590" s="55">
        <f t="shared" si="147"/>
        <v>0</v>
      </c>
      <c r="JII1590" s="55">
        <f t="shared" si="147"/>
        <v>0</v>
      </c>
      <c r="JIJ1590" s="55">
        <f t="shared" si="147"/>
        <v>0</v>
      </c>
      <c r="JIK1590" s="55">
        <f t="shared" si="147"/>
        <v>0</v>
      </c>
      <c r="JIL1590" s="55">
        <f t="shared" si="147"/>
        <v>0</v>
      </c>
      <c r="JIM1590" s="55">
        <f t="shared" si="147"/>
        <v>0</v>
      </c>
      <c r="JIN1590" s="55">
        <f t="shared" si="147"/>
        <v>0</v>
      </c>
      <c r="JIO1590" s="55">
        <f t="shared" si="147"/>
        <v>0</v>
      </c>
      <c r="JIP1590" s="55">
        <f t="shared" si="147"/>
        <v>0</v>
      </c>
      <c r="JIQ1590" s="55">
        <f t="shared" si="147"/>
        <v>0</v>
      </c>
      <c r="JIR1590" s="55">
        <f t="shared" si="147"/>
        <v>0</v>
      </c>
      <c r="JIS1590" s="55">
        <f t="shared" si="147"/>
        <v>0</v>
      </c>
      <c r="JIT1590" s="55">
        <f t="shared" si="147"/>
        <v>0</v>
      </c>
      <c r="JIU1590" s="55">
        <f t="shared" si="147"/>
        <v>0</v>
      </c>
      <c r="JIV1590" s="55">
        <f t="shared" si="147"/>
        <v>0</v>
      </c>
      <c r="JIW1590" s="55">
        <f t="shared" si="147"/>
        <v>0</v>
      </c>
      <c r="JIX1590" s="55">
        <f t="shared" si="147"/>
        <v>0</v>
      </c>
      <c r="JIY1590" s="55">
        <f t="shared" si="147"/>
        <v>0</v>
      </c>
      <c r="JIZ1590" s="55">
        <f t="shared" si="147"/>
        <v>0</v>
      </c>
      <c r="JJA1590" s="55">
        <f t="shared" si="147"/>
        <v>0</v>
      </c>
      <c r="JJB1590" s="55">
        <f t="shared" si="147"/>
        <v>0</v>
      </c>
      <c r="JJC1590" s="55">
        <f t="shared" si="147"/>
        <v>0</v>
      </c>
      <c r="JJD1590" s="55">
        <f t="shared" si="147"/>
        <v>0</v>
      </c>
      <c r="JJE1590" s="55">
        <f t="shared" si="147"/>
        <v>0</v>
      </c>
      <c r="JJF1590" s="55">
        <f t="shared" si="147"/>
        <v>0</v>
      </c>
      <c r="JJG1590" s="55">
        <f t="shared" si="147"/>
        <v>0</v>
      </c>
      <c r="JJH1590" s="55">
        <f t="shared" si="147"/>
        <v>0</v>
      </c>
      <c r="JJI1590" s="55">
        <f t="shared" si="147"/>
        <v>0</v>
      </c>
      <c r="JJJ1590" s="55">
        <f t="shared" si="147"/>
        <v>0</v>
      </c>
      <c r="JJK1590" s="55">
        <f t="shared" si="147"/>
        <v>0</v>
      </c>
      <c r="JJL1590" s="55">
        <f t="shared" si="147"/>
        <v>0</v>
      </c>
      <c r="JJM1590" s="55">
        <f t="shared" si="147"/>
        <v>0</v>
      </c>
      <c r="JJN1590" s="55">
        <f t="shared" si="147"/>
        <v>0</v>
      </c>
      <c r="JJO1590" s="55">
        <f t="shared" si="147"/>
        <v>0</v>
      </c>
      <c r="JJP1590" s="55">
        <f t="shared" si="147"/>
        <v>0</v>
      </c>
      <c r="JJQ1590" s="55">
        <f t="shared" si="147"/>
        <v>0</v>
      </c>
      <c r="JJR1590" s="55">
        <f t="shared" si="147"/>
        <v>0</v>
      </c>
      <c r="JJS1590" s="55">
        <f t="shared" si="147"/>
        <v>0</v>
      </c>
      <c r="JJT1590" s="55">
        <f t="shared" si="147"/>
        <v>0</v>
      </c>
      <c r="JJU1590" s="55">
        <f t="shared" si="147"/>
        <v>0</v>
      </c>
      <c r="JJV1590" s="55">
        <f t="shared" si="147"/>
        <v>0</v>
      </c>
      <c r="JJW1590" s="55">
        <f t="shared" si="147"/>
        <v>0</v>
      </c>
      <c r="JJX1590" s="55">
        <f t="shared" si="147"/>
        <v>0</v>
      </c>
      <c r="JJY1590" s="55">
        <f t="shared" si="147"/>
        <v>0</v>
      </c>
      <c r="JJZ1590" s="55">
        <f t="shared" si="147"/>
        <v>0</v>
      </c>
      <c r="JKA1590" s="55">
        <f t="shared" si="147"/>
        <v>0</v>
      </c>
      <c r="JKB1590" s="55">
        <f t="shared" si="147"/>
        <v>0</v>
      </c>
      <c r="JKC1590" s="55">
        <f t="shared" si="147"/>
        <v>0</v>
      </c>
      <c r="JKD1590" s="55">
        <f t="shared" si="147"/>
        <v>0</v>
      </c>
      <c r="JKE1590" s="55">
        <f t="shared" si="147"/>
        <v>0</v>
      </c>
      <c r="JKF1590" s="55">
        <f t="shared" ref="JKF1590:JMQ1590" si="148">+(JKF1600+JKF1604)*1.18*1.1</f>
        <v>0</v>
      </c>
      <c r="JKG1590" s="55">
        <f t="shared" si="148"/>
        <v>0</v>
      </c>
      <c r="JKH1590" s="55">
        <f t="shared" si="148"/>
        <v>0</v>
      </c>
      <c r="JKI1590" s="55">
        <f t="shared" si="148"/>
        <v>0</v>
      </c>
      <c r="JKJ1590" s="55">
        <f t="shared" si="148"/>
        <v>0</v>
      </c>
      <c r="JKK1590" s="55">
        <f t="shared" si="148"/>
        <v>0</v>
      </c>
      <c r="JKL1590" s="55">
        <f t="shared" si="148"/>
        <v>0</v>
      </c>
      <c r="JKM1590" s="55">
        <f t="shared" si="148"/>
        <v>0</v>
      </c>
      <c r="JKN1590" s="55">
        <f t="shared" si="148"/>
        <v>0</v>
      </c>
      <c r="JKO1590" s="55">
        <f t="shared" si="148"/>
        <v>0</v>
      </c>
      <c r="JKP1590" s="55">
        <f t="shared" si="148"/>
        <v>0</v>
      </c>
      <c r="JKQ1590" s="55">
        <f t="shared" si="148"/>
        <v>0</v>
      </c>
      <c r="JKR1590" s="55">
        <f t="shared" si="148"/>
        <v>0</v>
      </c>
      <c r="JKS1590" s="55">
        <f t="shared" si="148"/>
        <v>0</v>
      </c>
      <c r="JKT1590" s="55">
        <f t="shared" si="148"/>
        <v>0</v>
      </c>
      <c r="JKU1590" s="55">
        <f t="shared" si="148"/>
        <v>0</v>
      </c>
      <c r="JKV1590" s="55">
        <f t="shared" si="148"/>
        <v>0</v>
      </c>
      <c r="JKW1590" s="55">
        <f t="shared" si="148"/>
        <v>0</v>
      </c>
      <c r="JKX1590" s="55">
        <f t="shared" si="148"/>
        <v>0</v>
      </c>
      <c r="JKY1590" s="55">
        <f t="shared" si="148"/>
        <v>0</v>
      </c>
      <c r="JKZ1590" s="55">
        <f t="shared" si="148"/>
        <v>0</v>
      </c>
      <c r="JLA1590" s="55">
        <f t="shared" si="148"/>
        <v>0</v>
      </c>
      <c r="JLB1590" s="55">
        <f t="shared" si="148"/>
        <v>0</v>
      </c>
      <c r="JLC1590" s="55">
        <f t="shared" si="148"/>
        <v>0</v>
      </c>
      <c r="JLD1590" s="55">
        <f t="shared" si="148"/>
        <v>0</v>
      </c>
      <c r="JLE1590" s="55">
        <f t="shared" si="148"/>
        <v>0</v>
      </c>
      <c r="JLF1590" s="55">
        <f t="shared" si="148"/>
        <v>0</v>
      </c>
      <c r="JLG1590" s="55">
        <f t="shared" si="148"/>
        <v>0</v>
      </c>
      <c r="JLH1590" s="55">
        <f t="shared" si="148"/>
        <v>0</v>
      </c>
      <c r="JLI1590" s="55">
        <f t="shared" si="148"/>
        <v>0</v>
      </c>
      <c r="JLJ1590" s="55">
        <f t="shared" si="148"/>
        <v>0</v>
      </c>
      <c r="JLK1590" s="55">
        <f t="shared" si="148"/>
        <v>0</v>
      </c>
      <c r="JLL1590" s="55">
        <f t="shared" si="148"/>
        <v>0</v>
      </c>
      <c r="JLM1590" s="55">
        <f t="shared" si="148"/>
        <v>0</v>
      </c>
      <c r="JLN1590" s="55">
        <f t="shared" si="148"/>
        <v>0</v>
      </c>
      <c r="JLO1590" s="55">
        <f t="shared" si="148"/>
        <v>0</v>
      </c>
      <c r="JLP1590" s="55">
        <f t="shared" si="148"/>
        <v>0</v>
      </c>
      <c r="JLQ1590" s="55">
        <f t="shared" si="148"/>
        <v>0</v>
      </c>
      <c r="JLR1590" s="55">
        <f t="shared" si="148"/>
        <v>0</v>
      </c>
      <c r="JLS1590" s="55">
        <f t="shared" si="148"/>
        <v>0</v>
      </c>
      <c r="JLT1590" s="55">
        <f t="shared" si="148"/>
        <v>0</v>
      </c>
      <c r="JLU1590" s="55">
        <f t="shared" si="148"/>
        <v>0</v>
      </c>
      <c r="JLV1590" s="55">
        <f t="shared" si="148"/>
        <v>0</v>
      </c>
      <c r="JLW1590" s="55">
        <f t="shared" si="148"/>
        <v>0</v>
      </c>
      <c r="JLX1590" s="55">
        <f t="shared" si="148"/>
        <v>0</v>
      </c>
      <c r="JLY1590" s="55">
        <f t="shared" si="148"/>
        <v>0</v>
      </c>
      <c r="JLZ1590" s="55">
        <f t="shared" si="148"/>
        <v>0</v>
      </c>
      <c r="JMA1590" s="55">
        <f t="shared" si="148"/>
        <v>0</v>
      </c>
      <c r="JMB1590" s="55">
        <f t="shared" si="148"/>
        <v>0</v>
      </c>
      <c r="JMC1590" s="55">
        <f t="shared" si="148"/>
        <v>0</v>
      </c>
      <c r="JMD1590" s="55">
        <f t="shared" si="148"/>
        <v>0</v>
      </c>
      <c r="JME1590" s="55">
        <f t="shared" si="148"/>
        <v>0</v>
      </c>
      <c r="JMF1590" s="55">
        <f t="shared" si="148"/>
        <v>0</v>
      </c>
      <c r="JMG1590" s="55">
        <f t="shared" si="148"/>
        <v>0</v>
      </c>
      <c r="JMH1590" s="55">
        <f t="shared" si="148"/>
        <v>0</v>
      </c>
      <c r="JMI1590" s="55">
        <f t="shared" si="148"/>
        <v>0</v>
      </c>
      <c r="JMJ1590" s="55">
        <f t="shared" si="148"/>
        <v>0</v>
      </c>
      <c r="JMK1590" s="55">
        <f t="shared" si="148"/>
        <v>0</v>
      </c>
      <c r="JML1590" s="55">
        <f t="shared" si="148"/>
        <v>0</v>
      </c>
      <c r="JMM1590" s="55">
        <f t="shared" si="148"/>
        <v>0</v>
      </c>
      <c r="JMN1590" s="55">
        <f t="shared" si="148"/>
        <v>0</v>
      </c>
      <c r="JMO1590" s="55">
        <f t="shared" si="148"/>
        <v>0</v>
      </c>
      <c r="JMP1590" s="55">
        <f t="shared" si="148"/>
        <v>0</v>
      </c>
      <c r="JMQ1590" s="55">
        <f t="shared" si="148"/>
        <v>0</v>
      </c>
      <c r="JMR1590" s="55">
        <f t="shared" ref="JMR1590:JPC1590" si="149">+(JMR1600+JMR1604)*1.18*1.1</f>
        <v>0</v>
      </c>
      <c r="JMS1590" s="55">
        <f t="shared" si="149"/>
        <v>0</v>
      </c>
      <c r="JMT1590" s="55">
        <f t="shared" si="149"/>
        <v>0</v>
      </c>
      <c r="JMU1590" s="55">
        <f t="shared" si="149"/>
        <v>0</v>
      </c>
      <c r="JMV1590" s="55">
        <f t="shared" si="149"/>
        <v>0</v>
      </c>
      <c r="JMW1590" s="55">
        <f t="shared" si="149"/>
        <v>0</v>
      </c>
      <c r="JMX1590" s="55">
        <f t="shared" si="149"/>
        <v>0</v>
      </c>
      <c r="JMY1590" s="55">
        <f t="shared" si="149"/>
        <v>0</v>
      </c>
      <c r="JMZ1590" s="55">
        <f t="shared" si="149"/>
        <v>0</v>
      </c>
      <c r="JNA1590" s="55">
        <f t="shared" si="149"/>
        <v>0</v>
      </c>
      <c r="JNB1590" s="55">
        <f t="shared" si="149"/>
        <v>0</v>
      </c>
      <c r="JNC1590" s="55">
        <f t="shared" si="149"/>
        <v>0</v>
      </c>
      <c r="JND1590" s="55">
        <f t="shared" si="149"/>
        <v>0</v>
      </c>
      <c r="JNE1590" s="55">
        <f t="shared" si="149"/>
        <v>0</v>
      </c>
      <c r="JNF1590" s="55">
        <f t="shared" si="149"/>
        <v>0</v>
      </c>
      <c r="JNG1590" s="55">
        <f t="shared" si="149"/>
        <v>0</v>
      </c>
      <c r="JNH1590" s="55">
        <f t="shared" si="149"/>
        <v>0</v>
      </c>
      <c r="JNI1590" s="55">
        <f t="shared" si="149"/>
        <v>0</v>
      </c>
      <c r="JNJ1590" s="55">
        <f t="shared" si="149"/>
        <v>0</v>
      </c>
      <c r="JNK1590" s="55">
        <f t="shared" si="149"/>
        <v>0</v>
      </c>
      <c r="JNL1590" s="55">
        <f t="shared" si="149"/>
        <v>0</v>
      </c>
      <c r="JNM1590" s="55">
        <f t="shared" si="149"/>
        <v>0</v>
      </c>
      <c r="JNN1590" s="55">
        <f t="shared" si="149"/>
        <v>0</v>
      </c>
      <c r="JNO1590" s="55">
        <f t="shared" si="149"/>
        <v>0</v>
      </c>
      <c r="JNP1590" s="55">
        <f t="shared" si="149"/>
        <v>0</v>
      </c>
      <c r="JNQ1590" s="55">
        <f t="shared" si="149"/>
        <v>0</v>
      </c>
      <c r="JNR1590" s="55">
        <f t="shared" si="149"/>
        <v>0</v>
      </c>
      <c r="JNS1590" s="55">
        <f t="shared" si="149"/>
        <v>0</v>
      </c>
      <c r="JNT1590" s="55">
        <f t="shared" si="149"/>
        <v>0</v>
      </c>
      <c r="JNU1590" s="55">
        <f t="shared" si="149"/>
        <v>0</v>
      </c>
      <c r="JNV1590" s="55">
        <f t="shared" si="149"/>
        <v>0</v>
      </c>
      <c r="JNW1590" s="55">
        <f t="shared" si="149"/>
        <v>0</v>
      </c>
      <c r="JNX1590" s="55">
        <f t="shared" si="149"/>
        <v>0</v>
      </c>
      <c r="JNY1590" s="55">
        <f t="shared" si="149"/>
        <v>0</v>
      </c>
      <c r="JNZ1590" s="55">
        <f t="shared" si="149"/>
        <v>0</v>
      </c>
      <c r="JOA1590" s="55">
        <f t="shared" si="149"/>
        <v>0</v>
      </c>
      <c r="JOB1590" s="55">
        <f t="shared" si="149"/>
        <v>0</v>
      </c>
      <c r="JOC1590" s="55">
        <f t="shared" si="149"/>
        <v>0</v>
      </c>
      <c r="JOD1590" s="55">
        <f t="shared" si="149"/>
        <v>0</v>
      </c>
      <c r="JOE1590" s="55">
        <f t="shared" si="149"/>
        <v>0</v>
      </c>
      <c r="JOF1590" s="55">
        <f t="shared" si="149"/>
        <v>0</v>
      </c>
      <c r="JOG1590" s="55">
        <f t="shared" si="149"/>
        <v>0</v>
      </c>
      <c r="JOH1590" s="55">
        <f t="shared" si="149"/>
        <v>0</v>
      </c>
      <c r="JOI1590" s="55">
        <f t="shared" si="149"/>
        <v>0</v>
      </c>
      <c r="JOJ1590" s="55">
        <f t="shared" si="149"/>
        <v>0</v>
      </c>
      <c r="JOK1590" s="55">
        <f t="shared" si="149"/>
        <v>0</v>
      </c>
      <c r="JOL1590" s="55">
        <f t="shared" si="149"/>
        <v>0</v>
      </c>
      <c r="JOM1590" s="55">
        <f t="shared" si="149"/>
        <v>0</v>
      </c>
      <c r="JON1590" s="55">
        <f t="shared" si="149"/>
        <v>0</v>
      </c>
      <c r="JOO1590" s="55">
        <f t="shared" si="149"/>
        <v>0</v>
      </c>
      <c r="JOP1590" s="55">
        <f t="shared" si="149"/>
        <v>0</v>
      </c>
      <c r="JOQ1590" s="55">
        <f t="shared" si="149"/>
        <v>0</v>
      </c>
      <c r="JOR1590" s="55">
        <f t="shared" si="149"/>
        <v>0</v>
      </c>
      <c r="JOS1590" s="55">
        <f t="shared" si="149"/>
        <v>0</v>
      </c>
      <c r="JOT1590" s="55">
        <f t="shared" si="149"/>
        <v>0</v>
      </c>
      <c r="JOU1590" s="55">
        <f t="shared" si="149"/>
        <v>0</v>
      </c>
      <c r="JOV1590" s="55">
        <f t="shared" si="149"/>
        <v>0</v>
      </c>
      <c r="JOW1590" s="55">
        <f t="shared" si="149"/>
        <v>0</v>
      </c>
      <c r="JOX1590" s="55">
        <f t="shared" si="149"/>
        <v>0</v>
      </c>
      <c r="JOY1590" s="55">
        <f t="shared" si="149"/>
        <v>0</v>
      </c>
      <c r="JOZ1590" s="55">
        <f t="shared" si="149"/>
        <v>0</v>
      </c>
      <c r="JPA1590" s="55">
        <f t="shared" si="149"/>
        <v>0</v>
      </c>
      <c r="JPB1590" s="55">
        <f t="shared" si="149"/>
        <v>0</v>
      </c>
      <c r="JPC1590" s="55">
        <f t="shared" si="149"/>
        <v>0</v>
      </c>
      <c r="JPD1590" s="55">
        <f t="shared" ref="JPD1590:JRO1590" si="150">+(JPD1600+JPD1604)*1.18*1.1</f>
        <v>0</v>
      </c>
      <c r="JPE1590" s="55">
        <f t="shared" si="150"/>
        <v>0</v>
      </c>
      <c r="JPF1590" s="55">
        <f t="shared" si="150"/>
        <v>0</v>
      </c>
      <c r="JPG1590" s="55">
        <f t="shared" si="150"/>
        <v>0</v>
      </c>
      <c r="JPH1590" s="55">
        <f t="shared" si="150"/>
        <v>0</v>
      </c>
      <c r="JPI1590" s="55">
        <f t="shared" si="150"/>
        <v>0</v>
      </c>
      <c r="JPJ1590" s="55">
        <f t="shared" si="150"/>
        <v>0</v>
      </c>
      <c r="JPK1590" s="55">
        <f t="shared" si="150"/>
        <v>0</v>
      </c>
      <c r="JPL1590" s="55">
        <f t="shared" si="150"/>
        <v>0</v>
      </c>
      <c r="JPM1590" s="55">
        <f t="shared" si="150"/>
        <v>0</v>
      </c>
      <c r="JPN1590" s="55">
        <f t="shared" si="150"/>
        <v>0</v>
      </c>
      <c r="JPO1590" s="55">
        <f t="shared" si="150"/>
        <v>0</v>
      </c>
      <c r="JPP1590" s="55">
        <f t="shared" si="150"/>
        <v>0</v>
      </c>
      <c r="JPQ1590" s="55">
        <f t="shared" si="150"/>
        <v>0</v>
      </c>
      <c r="JPR1590" s="55">
        <f t="shared" si="150"/>
        <v>0</v>
      </c>
      <c r="JPS1590" s="55">
        <f t="shared" si="150"/>
        <v>0</v>
      </c>
      <c r="JPT1590" s="55">
        <f t="shared" si="150"/>
        <v>0</v>
      </c>
      <c r="JPU1590" s="55">
        <f t="shared" si="150"/>
        <v>0</v>
      </c>
      <c r="JPV1590" s="55">
        <f t="shared" si="150"/>
        <v>0</v>
      </c>
      <c r="JPW1590" s="55">
        <f t="shared" si="150"/>
        <v>0</v>
      </c>
      <c r="JPX1590" s="55">
        <f t="shared" si="150"/>
        <v>0</v>
      </c>
      <c r="JPY1590" s="55">
        <f t="shared" si="150"/>
        <v>0</v>
      </c>
      <c r="JPZ1590" s="55">
        <f t="shared" si="150"/>
        <v>0</v>
      </c>
      <c r="JQA1590" s="55">
        <f t="shared" si="150"/>
        <v>0</v>
      </c>
      <c r="JQB1590" s="55">
        <f t="shared" si="150"/>
        <v>0</v>
      </c>
      <c r="JQC1590" s="55">
        <f t="shared" si="150"/>
        <v>0</v>
      </c>
      <c r="JQD1590" s="55">
        <f t="shared" si="150"/>
        <v>0</v>
      </c>
      <c r="JQE1590" s="55">
        <f t="shared" si="150"/>
        <v>0</v>
      </c>
      <c r="JQF1590" s="55">
        <f t="shared" si="150"/>
        <v>0</v>
      </c>
      <c r="JQG1590" s="55">
        <f t="shared" si="150"/>
        <v>0</v>
      </c>
      <c r="JQH1590" s="55">
        <f t="shared" si="150"/>
        <v>0</v>
      </c>
      <c r="JQI1590" s="55">
        <f t="shared" si="150"/>
        <v>0</v>
      </c>
      <c r="JQJ1590" s="55">
        <f t="shared" si="150"/>
        <v>0</v>
      </c>
      <c r="JQK1590" s="55">
        <f t="shared" si="150"/>
        <v>0</v>
      </c>
      <c r="JQL1590" s="55">
        <f t="shared" si="150"/>
        <v>0</v>
      </c>
      <c r="JQM1590" s="55">
        <f t="shared" si="150"/>
        <v>0</v>
      </c>
      <c r="JQN1590" s="55">
        <f t="shared" si="150"/>
        <v>0</v>
      </c>
      <c r="JQO1590" s="55">
        <f t="shared" si="150"/>
        <v>0</v>
      </c>
      <c r="JQP1590" s="55">
        <f t="shared" si="150"/>
        <v>0</v>
      </c>
      <c r="JQQ1590" s="55">
        <f t="shared" si="150"/>
        <v>0</v>
      </c>
      <c r="JQR1590" s="55">
        <f t="shared" si="150"/>
        <v>0</v>
      </c>
      <c r="JQS1590" s="55">
        <f t="shared" si="150"/>
        <v>0</v>
      </c>
      <c r="JQT1590" s="55">
        <f t="shared" si="150"/>
        <v>0</v>
      </c>
      <c r="JQU1590" s="55">
        <f t="shared" si="150"/>
        <v>0</v>
      </c>
      <c r="JQV1590" s="55">
        <f t="shared" si="150"/>
        <v>0</v>
      </c>
      <c r="JQW1590" s="55">
        <f t="shared" si="150"/>
        <v>0</v>
      </c>
      <c r="JQX1590" s="55">
        <f t="shared" si="150"/>
        <v>0</v>
      </c>
      <c r="JQY1590" s="55">
        <f t="shared" si="150"/>
        <v>0</v>
      </c>
      <c r="JQZ1590" s="55">
        <f t="shared" si="150"/>
        <v>0</v>
      </c>
      <c r="JRA1590" s="55">
        <f t="shared" si="150"/>
        <v>0</v>
      </c>
      <c r="JRB1590" s="55">
        <f t="shared" si="150"/>
        <v>0</v>
      </c>
      <c r="JRC1590" s="55">
        <f t="shared" si="150"/>
        <v>0</v>
      </c>
      <c r="JRD1590" s="55">
        <f t="shared" si="150"/>
        <v>0</v>
      </c>
      <c r="JRE1590" s="55">
        <f t="shared" si="150"/>
        <v>0</v>
      </c>
      <c r="JRF1590" s="55">
        <f t="shared" si="150"/>
        <v>0</v>
      </c>
      <c r="JRG1590" s="55">
        <f t="shared" si="150"/>
        <v>0</v>
      </c>
      <c r="JRH1590" s="55">
        <f t="shared" si="150"/>
        <v>0</v>
      </c>
      <c r="JRI1590" s="55">
        <f t="shared" si="150"/>
        <v>0</v>
      </c>
      <c r="JRJ1590" s="55">
        <f t="shared" si="150"/>
        <v>0</v>
      </c>
      <c r="JRK1590" s="55">
        <f t="shared" si="150"/>
        <v>0</v>
      </c>
      <c r="JRL1590" s="55">
        <f t="shared" si="150"/>
        <v>0</v>
      </c>
      <c r="JRM1590" s="55">
        <f t="shared" si="150"/>
        <v>0</v>
      </c>
      <c r="JRN1590" s="55">
        <f t="shared" si="150"/>
        <v>0</v>
      </c>
      <c r="JRO1590" s="55">
        <f t="shared" si="150"/>
        <v>0</v>
      </c>
      <c r="JRP1590" s="55">
        <f t="shared" ref="JRP1590:JUA1590" si="151">+(JRP1600+JRP1604)*1.18*1.1</f>
        <v>0</v>
      </c>
      <c r="JRQ1590" s="55">
        <f t="shared" si="151"/>
        <v>0</v>
      </c>
      <c r="JRR1590" s="55">
        <f t="shared" si="151"/>
        <v>0</v>
      </c>
      <c r="JRS1590" s="55">
        <f t="shared" si="151"/>
        <v>0</v>
      </c>
      <c r="JRT1590" s="55">
        <f t="shared" si="151"/>
        <v>0</v>
      </c>
      <c r="JRU1590" s="55">
        <f t="shared" si="151"/>
        <v>0</v>
      </c>
      <c r="JRV1590" s="55">
        <f t="shared" si="151"/>
        <v>0</v>
      </c>
      <c r="JRW1590" s="55">
        <f t="shared" si="151"/>
        <v>0</v>
      </c>
      <c r="JRX1590" s="55">
        <f t="shared" si="151"/>
        <v>0</v>
      </c>
      <c r="JRY1590" s="55">
        <f t="shared" si="151"/>
        <v>0</v>
      </c>
      <c r="JRZ1590" s="55">
        <f t="shared" si="151"/>
        <v>0</v>
      </c>
      <c r="JSA1590" s="55">
        <f t="shared" si="151"/>
        <v>0</v>
      </c>
      <c r="JSB1590" s="55">
        <f t="shared" si="151"/>
        <v>0</v>
      </c>
      <c r="JSC1590" s="55">
        <f t="shared" si="151"/>
        <v>0</v>
      </c>
      <c r="JSD1590" s="55">
        <f t="shared" si="151"/>
        <v>0</v>
      </c>
      <c r="JSE1590" s="55">
        <f t="shared" si="151"/>
        <v>0</v>
      </c>
      <c r="JSF1590" s="55">
        <f t="shared" si="151"/>
        <v>0</v>
      </c>
      <c r="JSG1590" s="55">
        <f t="shared" si="151"/>
        <v>0</v>
      </c>
      <c r="JSH1590" s="55">
        <f t="shared" si="151"/>
        <v>0</v>
      </c>
      <c r="JSI1590" s="55">
        <f t="shared" si="151"/>
        <v>0</v>
      </c>
      <c r="JSJ1590" s="55">
        <f t="shared" si="151"/>
        <v>0</v>
      </c>
      <c r="JSK1590" s="55">
        <f t="shared" si="151"/>
        <v>0</v>
      </c>
      <c r="JSL1590" s="55">
        <f t="shared" si="151"/>
        <v>0</v>
      </c>
      <c r="JSM1590" s="55">
        <f t="shared" si="151"/>
        <v>0</v>
      </c>
      <c r="JSN1590" s="55">
        <f t="shared" si="151"/>
        <v>0</v>
      </c>
      <c r="JSO1590" s="55">
        <f t="shared" si="151"/>
        <v>0</v>
      </c>
      <c r="JSP1590" s="55">
        <f t="shared" si="151"/>
        <v>0</v>
      </c>
      <c r="JSQ1590" s="55">
        <f t="shared" si="151"/>
        <v>0</v>
      </c>
      <c r="JSR1590" s="55">
        <f t="shared" si="151"/>
        <v>0</v>
      </c>
      <c r="JSS1590" s="55">
        <f t="shared" si="151"/>
        <v>0</v>
      </c>
      <c r="JST1590" s="55">
        <f t="shared" si="151"/>
        <v>0</v>
      </c>
      <c r="JSU1590" s="55">
        <f t="shared" si="151"/>
        <v>0</v>
      </c>
      <c r="JSV1590" s="55">
        <f t="shared" si="151"/>
        <v>0</v>
      </c>
      <c r="JSW1590" s="55">
        <f t="shared" si="151"/>
        <v>0</v>
      </c>
      <c r="JSX1590" s="55">
        <f t="shared" si="151"/>
        <v>0</v>
      </c>
      <c r="JSY1590" s="55">
        <f t="shared" si="151"/>
        <v>0</v>
      </c>
      <c r="JSZ1590" s="55">
        <f t="shared" si="151"/>
        <v>0</v>
      </c>
      <c r="JTA1590" s="55">
        <f t="shared" si="151"/>
        <v>0</v>
      </c>
      <c r="JTB1590" s="55">
        <f t="shared" si="151"/>
        <v>0</v>
      </c>
      <c r="JTC1590" s="55">
        <f t="shared" si="151"/>
        <v>0</v>
      </c>
      <c r="JTD1590" s="55">
        <f t="shared" si="151"/>
        <v>0</v>
      </c>
      <c r="JTE1590" s="55">
        <f t="shared" si="151"/>
        <v>0</v>
      </c>
      <c r="JTF1590" s="55">
        <f t="shared" si="151"/>
        <v>0</v>
      </c>
      <c r="JTG1590" s="55">
        <f t="shared" si="151"/>
        <v>0</v>
      </c>
      <c r="JTH1590" s="55">
        <f t="shared" si="151"/>
        <v>0</v>
      </c>
      <c r="JTI1590" s="55">
        <f t="shared" si="151"/>
        <v>0</v>
      </c>
      <c r="JTJ1590" s="55">
        <f t="shared" si="151"/>
        <v>0</v>
      </c>
      <c r="JTK1590" s="55">
        <f t="shared" si="151"/>
        <v>0</v>
      </c>
      <c r="JTL1590" s="55">
        <f t="shared" si="151"/>
        <v>0</v>
      </c>
      <c r="JTM1590" s="55">
        <f t="shared" si="151"/>
        <v>0</v>
      </c>
      <c r="JTN1590" s="55">
        <f t="shared" si="151"/>
        <v>0</v>
      </c>
      <c r="JTO1590" s="55">
        <f t="shared" si="151"/>
        <v>0</v>
      </c>
      <c r="JTP1590" s="55">
        <f t="shared" si="151"/>
        <v>0</v>
      </c>
      <c r="JTQ1590" s="55">
        <f t="shared" si="151"/>
        <v>0</v>
      </c>
      <c r="JTR1590" s="55">
        <f t="shared" si="151"/>
        <v>0</v>
      </c>
      <c r="JTS1590" s="55">
        <f t="shared" si="151"/>
        <v>0</v>
      </c>
      <c r="JTT1590" s="55">
        <f t="shared" si="151"/>
        <v>0</v>
      </c>
      <c r="JTU1590" s="55">
        <f t="shared" si="151"/>
        <v>0</v>
      </c>
      <c r="JTV1590" s="55">
        <f t="shared" si="151"/>
        <v>0</v>
      </c>
      <c r="JTW1590" s="55">
        <f t="shared" si="151"/>
        <v>0</v>
      </c>
      <c r="JTX1590" s="55">
        <f t="shared" si="151"/>
        <v>0</v>
      </c>
      <c r="JTY1590" s="55">
        <f t="shared" si="151"/>
        <v>0</v>
      </c>
      <c r="JTZ1590" s="55">
        <f t="shared" si="151"/>
        <v>0</v>
      </c>
      <c r="JUA1590" s="55">
        <f t="shared" si="151"/>
        <v>0</v>
      </c>
      <c r="JUB1590" s="55">
        <f t="shared" ref="JUB1590:JWM1590" si="152">+(JUB1600+JUB1604)*1.18*1.1</f>
        <v>0</v>
      </c>
      <c r="JUC1590" s="55">
        <f t="shared" si="152"/>
        <v>0</v>
      </c>
      <c r="JUD1590" s="55">
        <f t="shared" si="152"/>
        <v>0</v>
      </c>
      <c r="JUE1590" s="55">
        <f t="shared" si="152"/>
        <v>0</v>
      </c>
      <c r="JUF1590" s="55">
        <f t="shared" si="152"/>
        <v>0</v>
      </c>
      <c r="JUG1590" s="55">
        <f t="shared" si="152"/>
        <v>0</v>
      </c>
      <c r="JUH1590" s="55">
        <f t="shared" si="152"/>
        <v>0</v>
      </c>
      <c r="JUI1590" s="55">
        <f t="shared" si="152"/>
        <v>0</v>
      </c>
      <c r="JUJ1590" s="55">
        <f t="shared" si="152"/>
        <v>0</v>
      </c>
      <c r="JUK1590" s="55">
        <f t="shared" si="152"/>
        <v>0</v>
      </c>
      <c r="JUL1590" s="55">
        <f t="shared" si="152"/>
        <v>0</v>
      </c>
      <c r="JUM1590" s="55">
        <f t="shared" si="152"/>
        <v>0</v>
      </c>
      <c r="JUN1590" s="55">
        <f t="shared" si="152"/>
        <v>0</v>
      </c>
      <c r="JUO1590" s="55">
        <f t="shared" si="152"/>
        <v>0</v>
      </c>
      <c r="JUP1590" s="55">
        <f t="shared" si="152"/>
        <v>0</v>
      </c>
      <c r="JUQ1590" s="55">
        <f t="shared" si="152"/>
        <v>0</v>
      </c>
      <c r="JUR1590" s="55">
        <f t="shared" si="152"/>
        <v>0</v>
      </c>
      <c r="JUS1590" s="55">
        <f t="shared" si="152"/>
        <v>0</v>
      </c>
      <c r="JUT1590" s="55">
        <f t="shared" si="152"/>
        <v>0</v>
      </c>
      <c r="JUU1590" s="55">
        <f t="shared" si="152"/>
        <v>0</v>
      </c>
      <c r="JUV1590" s="55">
        <f t="shared" si="152"/>
        <v>0</v>
      </c>
      <c r="JUW1590" s="55">
        <f t="shared" si="152"/>
        <v>0</v>
      </c>
      <c r="JUX1590" s="55">
        <f t="shared" si="152"/>
        <v>0</v>
      </c>
      <c r="JUY1590" s="55">
        <f t="shared" si="152"/>
        <v>0</v>
      </c>
      <c r="JUZ1590" s="55">
        <f t="shared" si="152"/>
        <v>0</v>
      </c>
      <c r="JVA1590" s="55">
        <f t="shared" si="152"/>
        <v>0</v>
      </c>
      <c r="JVB1590" s="55">
        <f t="shared" si="152"/>
        <v>0</v>
      </c>
      <c r="JVC1590" s="55">
        <f t="shared" si="152"/>
        <v>0</v>
      </c>
      <c r="JVD1590" s="55">
        <f t="shared" si="152"/>
        <v>0</v>
      </c>
      <c r="JVE1590" s="55">
        <f t="shared" si="152"/>
        <v>0</v>
      </c>
      <c r="JVF1590" s="55">
        <f t="shared" si="152"/>
        <v>0</v>
      </c>
      <c r="JVG1590" s="55">
        <f t="shared" si="152"/>
        <v>0</v>
      </c>
      <c r="JVH1590" s="55">
        <f t="shared" si="152"/>
        <v>0</v>
      </c>
      <c r="JVI1590" s="55">
        <f t="shared" si="152"/>
        <v>0</v>
      </c>
      <c r="JVJ1590" s="55">
        <f t="shared" si="152"/>
        <v>0</v>
      </c>
      <c r="JVK1590" s="55">
        <f t="shared" si="152"/>
        <v>0</v>
      </c>
      <c r="JVL1590" s="55">
        <f t="shared" si="152"/>
        <v>0</v>
      </c>
      <c r="JVM1590" s="55">
        <f t="shared" si="152"/>
        <v>0</v>
      </c>
      <c r="JVN1590" s="55">
        <f t="shared" si="152"/>
        <v>0</v>
      </c>
      <c r="JVO1590" s="55">
        <f t="shared" si="152"/>
        <v>0</v>
      </c>
      <c r="JVP1590" s="55">
        <f t="shared" si="152"/>
        <v>0</v>
      </c>
      <c r="JVQ1590" s="55">
        <f t="shared" si="152"/>
        <v>0</v>
      </c>
      <c r="JVR1590" s="55">
        <f t="shared" si="152"/>
        <v>0</v>
      </c>
      <c r="JVS1590" s="55">
        <f t="shared" si="152"/>
        <v>0</v>
      </c>
      <c r="JVT1590" s="55">
        <f t="shared" si="152"/>
        <v>0</v>
      </c>
      <c r="JVU1590" s="55">
        <f t="shared" si="152"/>
        <v>0</v>
      </c>
      <c r="JVV1590" s="55">
        <f t="shared" si="152"/>
        <v>0</v>
      </c>
      <c r="JVW1590" s="55">
        <f t="shared" si="152"/>
        <v>0</v>
      </c>
      <c r="JVX1590" s="55">
        <f t="shared" si="152"/>
        <v>0</v>
      </c>
      <c r="JVY1590" s="55">
        <f t="shared" si="152"/>
        <v>0</v>
      </c>
      <c r="JVZ1590" s="55">
        <f t="shared" si="152"/>
        <v>0</v>
      </c>
      <c r="JWA1590" s="55">
        <f t="shared" si="152"/>
        <v>0</v>
      </c>
      <c r="JWB1590" s="55">
        <f t="shared" si="152"/>
        <v>0</v>
      </c>
      <c r="JWC1590" s="55">
        <f t="shared" si="152"/>
        <v>0</v>
      </c>
      <c r="JWD1590" s="55">
        <f t="shared" si="152"/>
        <v>0</v>
      </c>
      <c r="JWE1590" s="55">
        <f t="shared" si="152"/>
        <v>0</v>
      </c>
      <c r="JWF1590" s="55">
        <f t="shared" si="152"/>
        <v>0</v>
      </c>
      <c r="JWG1590" s="55">
        <f t="shared" si="152"/>
        <v>0</v>
      </c>
      <c r="JWH1590" s="55">
        <f t="shared" si="152"/>
        <v>0</v>
      </c>
      <c r="JWI1590" s="55">
        <f t="shared" si="152"/>
        <v>0</v>
      </c>
      <c r="JWJ1590" s="55">
        <f t="shared" si="152"/>
        <v>0</v>
      </c>
      <c r="JWK1590" s="55">
        <f t="shared" si="152"/>
        <v>0</v>
      </c>
      <c r="JWL1590" s="55">
        <f t="shared" si="152"/>
        <v>0</v>
      </c>
      <c r="JWM1590" s="55">
        <f t="shared" si="152"/>
        <v>0</v>
      </c>
      <c r="JWN1590" s="55">
        <f t="shared" ref="JWN1590:JYY1590" si="153">+(JWN1600+JWN1604)*1.18*1.1</f>
        <v>0</v>
      </c>
      <c r="JWO1590" s="55">
        <f t="shared" si="153"/>
        <v>0</v>
      </c>
      <c r="JWP1590" s="55">
        <f t="shared" si="153"/>
        <v>0</v>
      </c>
      <c r="JWQ1590" s="55">
        <f t="shared" si="153"/>
        <v>0</v>
      </c>
      <c r="JWR1590" s="55">
        <f t="shared" si="153"/>
        <v>0</v>
      </c>
      <c r="JWS1590" s="55">
        <f t="shared" si="153"/>
        <v>0</v>
      </c>
      <c r="JWT1590" s="55">
        <f t="shared" si="153"/>
        <v>0</v>
      </c>
      <c r="JWU1590" s="55">
        <f t="shared" si="153"/>
        <v>0</v>
      </c>
      <c r="JWV1590" s="55">
        <f t="shared" si="153"/>
        <v>0</v>
      </c>
      <c r="JWW1590" s="55">
        <f t="shared" si="153"/>
        <v>0</v>
      </c>
      <c r="JWX1590" s="55">
        <f t="shared" si="153"/>
        <v>0</v>
      </c>
      <c r="JWY1590" s="55">
        <f t="shared" si="153"/>
        <v>0</v>
      </c>
      <c r="JWZ1590" s="55">
        <f t="shared" si="153"/>
        <v>0</v>
      </c>
      <c r="JXA1590" s="55">
        <f t="shared" si="153"/>
        <v>0</v>
      </c>
      <c r="JXB1590" s="55">
        <f t="shared" si="153"/>
        <v>0</v>
      </c>
      <c r="JXC1590" s="55">
        <f t="shared" si="153"/>
        <v>0</v>
      </c>
      <c r="JXD1590" s="55">
        <f t="shared" si="153"/>
        <v>0</v>
      </c>
      <c r="JXE1590" s="55">
        <f t="shared" si="153"/>
        <v>0</v>
      </c>
      <c r="JXF1590" s="55">
        <f t="shared" si="153"/>
        <v>0</v>
      </c>
      <c r="JXG1590" s="55">
        <f t="shared" si="153"/>
        <v>0</v>
      </c>
      <c r="JXH1590" s="55">
        <f t="shared" si="153"/>
        <v>0</v>
      </c>
      <c r="JXI1590" s="55">
        <f t="shared" si="153"/>
        <v>0</v>
      </c>
      <c r="JXJ1590" s="55">
        <f t="shared" si="153"/>
        <v>0</v>
      </c>
      <c r="JXK1590" s="55">
        <f t="shared" si="153"/>
        <v>0</v>
      </c>
      <c r="JXL1590" s="55">
        <f t="shared" si="153"/>
        <v>0</v>
      </c>
      <c r="JXM1590" s="55">
        <f t="shared" si="153"/>
        <v>0</v>
      </c>
      <c r="JXN1590" s="55">
        <f t="shared" si="153"/>
        <v>0</v>
      </c>
      <c r="JXO1590" s="55">
        <f t="shared" si="153"/>
        <v>0</v>
      </c>
      <c r="JXP1590" s="55">
        <f t="shared" si="153"/>
        <v>0</v>
      </c>
      <c r="JXQ1590" s="55">
        <f t="shared" si="153"/>
        <v>0</v>
      </c>
      <c r="JXR1590" s="55">
        <f t="shared" si="153"/>
        <v>0</v>
      </c>
      <c r="JXS1590" s="55">
        <f t="shared" si="153"/>
        <v>0</v>
      </c>
      <c r="JXT1590" s="55">
        <f t="shared" si="153"/>
        <v>0</v>
      </c>
      <c r="JXU1590" s="55">
        <f t="shared" si="153"/>
        <v>0</v>
      </c>
      <c r="JXV1590" s="55">
        <f t="shared" si="153"/>
        <v>0</v>
      </c>
      <c r="JXW1590" s="55">
        <f t="shared" si="153"/>
        <v>0</v>
      </c>
      <c r="JXX1590" s="55">
        <f t="shared" si="153"/>
        <v>0</v>
      </c>
      <c r="JXY1590" s="55">
        <f t="shared" si="153"/>
        <v>0</v>
      </c>
      <c r="JXZ1590" s="55">
        <f t="shared" si="153"/>
        <v>0</v>
      </c>
      <c r="JYA1590" s="55">
        <f t="shared" si="153"/>
        <v>0</v>
      </c>
      <c r="JYB1590" s="55">
        <f t="shared" si="153"/>
        <v>0</v>
      </c>
      <c r="JYC1590" s="55">
        <f t="shared" si="153"/>
        <v>0</v>
      </c>
      <c r="JYD1590" s="55">
        <f t="shared" si="153"/>
        <v>0</v>
      </c>
      <c r="JYE1590" s="55">
        <f t="shared" si="153"/>
        <v>0</v>
      </c>
      <c r="JYF1590" s="55">
        <f t="shared" si="153"/>
        <v>0</v>
      </c>
      <c r="JYG1590" s="55">
        <f t="shared" si="153"/>
        <v>0</v>
      </c>
      <c r="JYH1590" s="55">
        <f t="shared" si="153"/>
        <v>0</v>
      </c>
      <c r="JYI1590" s="55">
        <f t="shared" si="153"/>
        <v>0</v>
      </c>
      <c r="JYJ1590" s="55">
        <f t="shared" si="153"/>
        <v>0</v>
      </c>
      <c r="JYK1590" s="55">
        <f t="shared" si="153"/>
        <v>0</v>
      </c>
      <c r="JYL1590" s="55">
        <f t="shared" si="153"/>
        <v>0</v>
      </c>
      <c r="JYM1590" s="55">
        <f t="shared" si="153"/>
        <v>0</v>
      </c>
      <c r="JYN1590" s="55">
        <f t="shared" si="153"/>
        <v>0</v>
      </c>
      <c r="JYO1590" s="55">
        <f t="shared" si="153"/>
        <v>0</v>
      </c>
      <c r="JYP1590" s="55">
        <f t="shared" si="153"/>
        <v>0</v>
      </c>
      <c r="JYQ1590" s="55">
        <f t="shared" si="153"/>
        <v>0</v>
      </c>
      <c r="JYR1590" s="55">
        <f t="shared" si="153"/>
        <v>0</v>
      </c>
      <c r="JYS1590" s="55">
        <f t="shared" si="153"/>
        <v>0</v>
      </c>
      <c r="JYT1590" s="55">
        <f t="shared" si="153"/>
        <v>0</v>
      </c>
      <c r="JYU1590" s="55">
        <f t="shared" si="153"/>
        <v>0</v>
      </c>
      <c r="JYV1590" s="55">
        <f t="shared" si="153"/>
        <v>0</v>
      </c>
      <c r="JYW1590" s="55">
        <f t="shared" si="153"/>
        <v>0</v>
      </c>
      <c r="JYX1590" s="55">
        <f t="shared" si="153"/>
        <v>0</v>
      </c>
      <c r="JYY1590" s="55">
        <f t="shared" si="153"/>
        <v>0</v>
      </c>
      <c r="JYZ1590" s="55">
        <f t="shared" ref="JYZ1590:KBK1590" si="154">+(JYZ1600+JYZ1604)*1.18*1.1</f>
        <v>0</v>
      </c>
      <c r="JZA1590" s="55">
        <f t="shared" si="154"/>
        <v>0</v>
      </c>
      <c r="JZB1590" s="55">
        <f t="shared" si="154"/>
        <v>0</v>
      </c>
      <c r="JZC1590" s="55">
        <f t="shared" si="154"/>
        <v>0</v>
      </c>
      <c r="JZD1590" s="55">
        <f t="shared" si="154"/>
        <v>0</v>
      </c>
      <c r="JZE1590" s="55">
        <f t="shared" si="154"/>
        <v>0</v>
      </c>
      <c r="JZF1590" s="55">
        <f t="shared" si="154"/>
        <v>0</v>
      </c>
      <c r="JZG1590" s="55">
        <f t="shared" si="154"/>
        <v>0</v>
      </c>
      <c r="JZH1590" s="55">
        <f t="shared" si="154"/>
        <v>0</v>
      </c>
      <c r="JZI1590" s="55">
        <f t="shared" si="154"/>
        <v>0</v>
      </c>
      <c r="JZJ1590" s="55">
        <f t="shared" si="154"/>
        <v>0</v>
      </c>
      <c r="JZK1590" s="55">
        <f t="shared" si="154"/>
        <v>0</v>
      </c>
      <c r="JZL1590" s="55">
        <f t="shared" si="154"/>
        <v>0</v>
      </c>
      <c r="JZM1590" s="55">
        <f t="shared" si="154"/>
        <v>0</v>
      </c>
      <c r="JZN1590" s="55">
        <f t="shared" si="154"/>
        <v>0</v>
      </c>
      <c r="JZO1590" s="55">
        <f t="shared" si="154"/>
        <v>0</v>
      </c>
      <c r="JZP1590" s="55">
        <f t="shared" si="154"/>
        <v>0</v>
      </c>
      <c r="JZQ1590" s="55">
        <f t="shared" si="154"/>
        <v>0</v>
      </c>
      <c r="JZR1590" s="55">
        <f t="shared" si="154"/>
        <v>0</v>
      </c>
      <c r="JZS1590" s="55">
        <f t="shared" si="154"/>
        <v>0</v>
      </c>
      <c r="JZT1590" s="55">
        <f t="shared" si="154"/>
        <v>0</v>
      </c>
      <c r="JZU1590" s="55">
        <f t="shared" si="154"/>
        <v>0</v>
      </c>
      <c r="JZV1590" s="55">
        <f t="shared" si="154"/>
        <v>0</v>
      </c>
      <c r="JZW1590" s="55">
        <f t="shared" si="154"/>
        <v>0</v>
      </c>
      <c r="JZX1590" s="55">
        <f t="shared" si="154"/>
        <v>0</v>
      </c>
      <c r="JZY1590" s="55">
        <f t="shared" si="154"/>
        <v>0</v>
      </c>
      <c r="JZZ1590" s="55">
        <f t="shared" si="154"/>
        <v>0</v>
      </c>
      <c r="KAA1590" s="55">
        <f t="shared" si="154"/>
        <v>0</v>
      </c>
      <c r="KAB1590" s="55">
        <f t="shared" si="154"/>
        <v>0</v>
      </c>
      <c r="KAC1590" s="55">
        <f t="shared" si="154"/>
        <v>0</v>
      </c>
      <c r="KAD1590" s="55">
        <f t="shared" si="154"/>
        <v>0</v>
      </c>
      <c r="KAE1590" s="55">
        <f t="shared" si="154"/>
        <v>0</v>
      </c>
      <c r="KAF1590" s="55">
        <f t="shared" si="154"/>
        <v>0</v>
      </c>
      <c r="KAG1590" s="55">
        <f t="shared" si="154"/>
        <v>0</v>
      </c>
      <c r="KAH1590" s="55">
        <f t="shared" si="154"/>
        <v>0</v>
      </c>
      <c r="KAI1590" s="55">
        <f t="shared" si="154"/>
        <v>0</v>
      </c>
      <c r="KAJ1590" s="55">
        <f t="shared" si="154"/>
        <v>0</v>
      </c>
      <c r="KAK1590" s="55">
        <f t="shared" si="154"/>
        <v>0</v>
      </c>
      <c r="KAL1590" s="55">
        <f t="shared" si="154"/>
        <v>0</v>
      </c>
      <c r="KAM1590" s="55">
        <f t="shared" si="154"/>
        <v>0</v>
      </c>
      <c r="KAN1590" s="55">
        <f t="shared" si="154"/>
        <v>0</v>
      </c>
      <c r="KAO1590" s="55">
        <f t="shared" si="154"/>
        <v>0</v>
      </c>
      <c r="KAP1590" s="55">
        <f t="shared" si="154"/>
        <v>0</v>
      </c>
      <c r="KAQ1590" s="55">
        <f t="shared" si="154"/>
        <v>0</v>
      </c>
      <c r="KAR1590" s="55">
        <f t="shared" si="154"/>
        <v>0</v>
      </c>
      <c r="KAS1590" s="55">
        <f t="shared" si="154"/>
        <v>0</v>
      </c>
      <c r="KAT1590" s="55">
        <f t="shared" si="154"/>
        <v>0</v>
      </c>
      <c r="KAU1590" s="55">
        <f t="shared" si="154"/>
        <v>0</v>
      </c>
      <c r="KAV1590" s="55">
        <f t="shared" si="154"/>
        <v>0</v>
      </c>
      <c r="KAW1590" s="55">
        <f t="shared" si="154"/>
        <v>0</v>
      </c>
      <c r="KAX1590" s="55">
        <f t="shared" si="154"/>
        <v>0</v>
      </c>
      <c r="KAY1590" s="55">
        <f t="shared" si="154"/>
        <v>0</v>
      </c>
      <c r="KAZ1590" s="55">
        <f t="shared" si="154"/>
        <v>0</v>
      </c>
      <c r="KBA1590" s="55">
        <f t="shared" si="154"/>
        <v>0</v>
      </c>
      <c r="KBB1590" s="55">
        <f t="shared" si="154"/>
        <v>0</v>
      </c>
      <c r="KBC1590" s="55">
        <f t="shared" si="154"/>
        <v>0</v>
      </c>
      <c r="KBD1590" s="55">
        <f t="shared" si="154"/>
        <v>0</v>
      </c>
      <c r="KBE1590" s="55">
        <f t="shared" si="154"/>
        <v>0</v>
      </c>
      <c r="KBF1590" s="55">
        <f t="shared" si="154"/>
        <v>0</v>
      </c>
      <c r="KBG1590" s="55">
        <f t="shared" si="154"/>
        <v>0</v>
      </c>
      <c r="KBH1590" s="55">
        <f t="shared" si="154"/>
        <v>0</v>
      </c>
      <c r="KBI1590" s="55">
        <f t="shared" si="154"/>
        <v>0</v>
      </c>
      <c r="KBJ1590" s="55">
        <f t="shared" si="154"/>
        <v>0</v>
      </c>
      <c r="KBK1590" s="55">
        <f t="shared" si="154"/>
        <v>0</v>
      </c>
      <c r="KBL1590" s="55">
        <f t="shared" ref="KBL1590:KDW1590" si="155">+(KBL1600+KBL1604)*1.18*1.1</f>
        <v>0</v>
      </c>
      <c r="KBM1590" s="55">
        <f t="shared" si="155"/>
        <v>0</v>
      </c>
      <c r="KBN1590" s="55">
        <f t="shared" si="155"/>
        <v>0</v>
      </c>
      <c r="KBO1590" s="55">
        <f t="shared" si="155"/>
        <v>0</v>
      </c>
      <c r="KBP1590" s="55">
        <f t="shared" si="155"/>
        <v>0</v>
      </c>
      <c r="KBQ1590" s="55">
        <f t="shared" si="155"/>
        <v>0</v>
      </c>
      <c r="KBR1590" s="55">
        <f t="shared" si="155"/>
        <v>0</v>
      </c>
      <c r="KBS1590" s="55">
        <f t="shared" si="155"/>
        <v>0</v>
      </c>
      <c r="KBT1590" s="55">
        <f t="shared" si="155"/>
        <v>0</v>
      </c>
      <c r="KBU1590" s="55">
        <f t="shared" si="155"/>
        <v>0</v>
      </c>
      <c r="KBV1590" s="55">
        <f t="shared" si="155"/>
        <v>0</v>
      </c>
      <c r="KBW1590" s="55">
        <f t="shared" si="155"/>
        <v>0</v>
      </c>
      <c r="KBX1590" s="55">
        <f t="shared" si="155"/>
        <v>0</v>
      </c>
      <c r="KBY1590" s="55">
        <f t="shared" si="155"/>
        <v>0</v>
      </c>
      <c r="KBZ1590" s="55">
        <f t="shared" si="155"/>
        <v>0</v>
      </c>
      <c r="KCA1590" s="55">
        <f t="shared" si="155"/>
        <v>0</v>
      </c>
      <c r="KCB1590" s="55">
        <f t="shared" si="155"/>
        <v>0</v>
      </c>
      <c r="KCC1590" s="55">
        <f t="shared" si="155"/>
        <v>0</v>
      </c>
      <c r="KCD1590" s="55">
        <f t="shared" si="155"/>
        <v>0</v>
      </c>
      <c r="KCE1590" s="55">
        <f t="shared" si="155"/>
        <v>0</v>
      </c>
      <c r="KCF1590" s="55">
        <f t="shared" si="155"/>
        <v>0</v>
      </c>
      <c r="KCG1590" s="55">
        <f t="shared" si="155"/>
        <v>0</v>
      </c>
      <c r="KCH1590" s="55">
        <f t="shared" si="155"/>
        <v>0</v>
      </c>
      <c r="KCI1590" s="55">
        <f t="shared" si="155"/>
        <v>0</v>
      </c>
      <c r="KCJ1590" s="55">
        <f t="shared" si="155"/>
        <v>0</v>
      </c>
      <c r="KCK1590" s="55">
        <f t="shared" si="155"/>
        <v>0</v>
      </c>
      <c r="KCL1590" s="55">
        <f t="shared" si="155"/>
        <v>0</v>
      </c>
      <c r="KCM1590" s="55">
        <f t="shared" si="155"/>
        <v>0</v>
      </c>
      <c r="KCN1590" s="55">
        <f t="shared" si="155"/>
        <v>0</v>
      </c>
      <c r="KCO1590" s="55">
        <f t="shared" si="155"/>
        <v>0</v>
      </c>
      <c r="KCP1590" s="55">
        <f t="shared" si="155"/>
        <v>0</v>
      </c>
      <c r="KCQ1590" s="55">
        <f t="shared" si="155"/>
        <v>0</v>
      </c>
      <c r="KCR1590" s="55">
        <f t="shared" si="155"/>
        <v>0</v>
      </c>
      <c r="KCS1590" s="55">
        <f t="shared" si="155"/>
        <v>0</v>
      </c>
      <c r="KCT1590" s="55">
        <f t="shared" si="155"/>
        <v>0</v>
      </c>
      <c r="KCU1590" s="55">
        <f t="shared" si="155"/>
        <v>0</v>
      </c>
      <c r="KCV1590" s="55">
        <f t="shared" si="155"/>
        <v>0</v>
      </c>
      <c r="KCW1590" s="55">
        <f t="shared" si="155"/>
        <v>0</v>
      </c>
      <c r="KCX1590" s="55">
        <f t="shared" si="155"/>
        <v>0</v>
      </c>
      <c r="KCY1590" s="55">
        <f t="shared" si="155"/>
        <v>0</v>
      </c>
      <c r="KCZ1590" s="55">
        <f t="shared" si="155"/>
        <v>0</v>
      </c>
      <c r="KDA1590" s="55">
        <f t="shared" si="155"/>
        <v>0</v>
      </c>
      <c r="KDB1590" s="55">
        <f t="shared" si="155"/>
        <v>0</v>
      </c>
      <c r="KDC1590" s="55">
        <f t="shared" si="155"/>
        <v>0</v>
      </c>
      <c r="KDD1590" s="55">
        <f t="shared" si="155"/>
        <v>0</v>
      </c>
      <c r="KDE1590" s="55">
        <f t="shared" si="155"/>
        <v>0</v>
      </c>
      <c r="KDF1590" s="55">
        <f t="shared" si="155"/>
        <v>0</v>
      </c>
      <c r="KDG1590" s="55">
        <f t="shared" si="155"/>
        <v>0</v>
      </c>
      <c r="KDH1590" s="55">
        <f t="shared" si="155"/>
        <v>0</v>
      </c>
      <c r="KDI1590" s="55">
        <f t="shared" si="155"/>
        <v>0</v>
      </c>
      <c r="KDJ1590" s="55">
        <f t="shared" si="155"/>
        <v>0</v>
      </c>
      <c r="KDK1590" s="55">
        <f t="shared" si="155"/>
        <v>0</v>
      </c>
      <c r="KDL1590" s="55">
        <f t="shared" si="155"/>
        <v>0</v>
      </c>
      <c r="KDM1590" s="55">
        <f t="shared" si="155"/>
        <v>0</v>
      </c>
      <c r="KDN1590" s="55">
        <f t="shared" si="155"/>
        <v>0</v>
      </c>
      <c r="KDO1590" s="55">
        <f t="shared" si="155"/>
        <v>0</v>
      </c>
      <c r="KDP1590" s="55">
        <f t="shared" si="155"/>
        <v>0</v>
      </c>
      <c r="KDQ1590" s="55">
        <f t="shared" si="155"/>
        <v>0</v>
      </c>
      <c r="KDR1590" s="55">
        <f t="shared" si="155"/>
        <v>0</v>
      </c>
      <c r="KDS1590" s="55">
        <f t="shared" si="155"/>
        <v>0</v>
      </c>
      <c r="KDT1590" s="55">
        <f t="shared" si="155"/>
        <v>0</v>
      </c>
      <c r="KDU1590" s="55">
        <f t="shared" si="155"/>
        <v>0</v>
      </c>
      <c r="KDV1590" s="55">
        <f t="shared" si="155"/>
        <v>0</v>
      </c>
      <c r="KDW1590" s="55">
        <f t="shared" si="155"/>
        <v>0</v>
      </c>
      <c r="KDX1590" s="55">
        <f t="shared" ref="KDX1590:KGI1590" si="156">+(KDX1600+KDX1604)*1.18*1.1</f>
        <v>0</v>
      </c>
      <c r="KDY1590" s="55">
        <f t="shared" si="156"/>
        <v>0</v>
      </c>
      <c r="KDZ1590" s="55">
        <f t="shared" si="156"/>
        <v>0</v>
      </c>
      <c r="KEA1590" s="55">
        <f t="shared" si="156"/>
        <v>0</v>
      </c>
      <c r="KEB1590" s="55">
        <f t="shared" si="156"/>
        <v>0</v>
      </c>
      <c r="KEC1590" s="55">
        <f t="shared" si="156"/>
        <v>0</v>
      </c>
      <c r="KED1590" s="55">
        <f t="shared" si="156"/>
        <v>0</v>
      </c>
      <c r="KEE1590" s="55">
        <f t="shared" si="156"/>
        <v>0</v>
      </c>
      <c r="KEF1590" s="55">
        <f t="shared" si="156"/>
        <v>0</v>
      </c>
      <c r="KEG1590" s="55">
        <f t="shared" si="156"/>
        <v>0</v>
      </c>
      <c r="KEH1590" s="55">
        <f t="shared" si="156"/>
        <v>0</v>
      </c>
      <c r="KEI1590" s="55">
        <f t="shared" si="156"/>
        <v>0</v>
      </c>
      <c r="KEJ1590" s="55">
        <f t="shared" si="156"/>
        <v>0</v>
      </c>
      <c r="KEK1590" s="55">
        <f t="shared" si="156"/>
        <v>0</v>
      </c>
      <c r="KEL1590" s="55">
        <f t="shared" si="156"/>
        <v>0</v>
      </c>
      <c r="KEM1590" s="55">
        <f t="shared" si="156"/>
        <v>0</v>
      </c>
      <c r="KEN1590" s="55">
        <f t="shared" si="156"/>
        <v>0</v>
      </c>
      <c r="KEO1590" s="55">
        <f t="shared" si="156"/>
        <v>0</v>
      </c>
      <c r="KEP1590" s="55">
        <f t="shared" si="156"/>
        <v>0</v>
      </c>
      <c r="KEQ1590" s="55">
        <f t="shared" si="156"/>
        <v>0</v>
      </c>
      <c r="KER1590" s="55">
        <f t="shared" si="156"/>
        <v>0</v>
      </c>
      <c r="KES1590" s="55">
        <f t="shared" si="156"/>
        <v>0</v>
      </c>
      <c r="KET1590" s="55">
        <f t="shared" si="156"/>
        <v>0</v>
      </c>
      <c r="KEU1590" s="55">
        <f t="shared" si="156"/>
        <v>0</v>
      </c>
      <c r="KEV1590" s="55">
        <f t="shared" si="156"/>
        <v>0</v>
      </c>
      <c r="KEW1590" s="55">
        <f t="shared" si="156"/>
        <v>0</v>
      </c>
      <c r="KEX1590" s="55">
        <f t="shared" si="156"/>
        <v>0</v>
      </c>
      <c r="KEY1590" s="55">
        <f t="shared" si="156"/>
        <v>0</v>
      </c>
      <c r="KEZ1590" s="55">
        <f t="shared" si="156"/>
        <v>0</v>
      </c>
      <c r="KFA1590" s="55">
        <f t="shared" si="156"/>
        <v>0</v>
      </c>
      <c r="KFB1590" s="55">
        <f t="shared" si="156"/>
        <v>0</v>
      </c>
      <c r="KFC1590" s="55">
        <f t="shared" si="156"/>
        <v>0</v>
      </c>
      <c r="KFD1590" s="55">
        <f t="shared" si="156"/>
        <v>0</v>
      </c>
      <c r="KFE1590" s="55">
        <f t="shared" si="156"/>
        <v>0</v>
      </c>
      <c r="KFF1590" s="55">
        <f t="shared" si="156"/>
        <v>0</v>
      </c>
      <c r="KFG1590" s="55">
        <f t="shared" si="156"/>
        <v>0</v>
      </c>
      <c r="KFH1590" s="55">
        <f t="shared" si="156"/>
        <v>0</v>
      </c>
      <c r="KFI1590" s="55">
        <f t="shared" si="156"/>
        <v>0</v>
      </c>
      <c r="KFJ1590" s="55">
        <f t="shared" si="156"/>
        <v>0</v>
      </c>
      <c r="KFK1590" s="55">
        <f t="shared" si="156"/>
        <v>0</v>
      </c>
      <c r="KFL1590" s="55">
        <f t="shared" si="156"/>
        <v>0</v>
      </c>
      <c r="KFM1590" s="55">
        <f t="shared" si="156"/>
        <v>0</v>
      </c>
      <c r="KFN1590" s="55">
        <f t="shared" si="156"/>
        <v>0</v>
      </c>
      <c r="KFO1590" s="55">
        <f t="shared" si="156"/>
        <v>0</v>
      </c>
      <c r="KFP1590" s="55">
        <f t="shared" si="156"/>
        <v>0</v>
      </c>
      <c r="KFQ1590" s="55">
        <f t="shared" si="156"/>
        <v>0</v>
      </c>
      <c r="KFR1590" s="55">
        <f t="shared" si="156"/>
        <v>0</v>
      </c>
      <c r="KFS1590" s="55">
        <f t="shared" si="156"/>
        <v>0</v>
      </c>
      <c r="KFT1590" s="55">
        <f t="shared" si="156"/>
        <v>0</v>
      </c>
      <c r="KFU1590" s="55">
        <f t="shared" si="156"/>
        <v>0</v>
      </c>
      <c r="KFV1590" s="55">
        <f t="shared" si="156"/>
        <v>0</v>
      </c>
      <c r="KFW1590" s="55">
        <f t="shared" si="156"/>
        <v>0</v>
      </c>
      <c r="KFX1590" s="55">
        <f t="shared" si="156"/>
        <v>0</v>
      </c>
      <c r="KFY1590" s="55">
        <f t="shared" si="156"/>
        <v>0</v>
      </c>
      <c r="KFZ1590" s="55">
        <f t="shared" si="156"/>
        <v>0</v>
      </c>
      <c r="KGA1590" s="55">
        <f t="shared" si="156"/>
        <v>0</v>
      </c>
      <c r="KGB1590" s="55">
        <f t="shared" si="156"/>
        <v>0</v>
      </c>
      <c r="KGC1590" s="55">
        <f t="shared" si="156"/>
        <v>0</v>
      </c>
      <c r="KGD1590" s="55">
        <f t="shared" si="156"/>
        <v>0</v>
      </c>
      <c r="KGE1590" s="55">
        <f t="shared" si="156"/>
        <v>0</v>
      </c>
      <c r="KGF1590" s="55">
        <f t="shared" si="156"/>
        <v>0</v>
      </c>
      <c r="KGG1590" s="55">
        <f t="shared" si="156"/>
        <v>0</v>
      </c>
      <c r="KGH1590" s="55">
        <f t="shared" si="156"/>
        <v>0</v>
      </c>
      <c r="KGI1590" s="55">
        <f t="shared" si="156"/>
        <v>0</v>
      </c>
      <c r="KGJ1590" s="55">
        <f t="shared" ref="KGJ1590:KIU1590" si="157">+(KGJ1600+KGJ1604)*1.18*1.1</f>
        <v>0</v>
      </c>
      <c r="KGK1590" s="55">
        <f t="shared" si="157"/>
        <v>0</v>
      </c>
      <c r="KGL1590" s="55">
        <f t="shared" si="157"/>
        <v>0</v>
      </c>
      <c r="KGM1590" s="55">
        <f t="shared" si="157"/>
        <v>0</v>
      </c>
      <c r="KGN1590" s="55">
        <f t="shared" si="157"/>
        <v>0</v>
      </c>
      <c r="KGO1590" s="55">
        <f t="shared" si="157"/>
        <v>0</v>
      </c>
      <c r="KGP1590" s="55">
        <f t="shared" si="157"/>
        <v>0</v>
      </c>
      <c r="KGQ1590" s="55">
        <f t="shared" si="157"/>
        <v>0</v>
      </c>
      <c r="KGR1590" s="55">
        <f t="shared" si="157"/>
        <v>0</v>
      </c>
      <c r="KGS1590" s="55">
        <f t="shared" si="157"/>
        <v>0</v>
      </c>
      <c r="KGT1590" s="55">
        <f t="shared" si="157"/>
        <v>0</v>
      </c>
      <c r="KGU1590" s="55">
        <f t="shared" si="157"/>
        <v>0</v>
      </c>
      <c r="KGV1590" s="55">
        <f t="shared" si="157"/>
        <v>0</v>
      </c>
      <c r="KGW1590" s="55">
        <f t="shared" si="157"/>
        <v>0</v>
      </c>
      <c r="KGX1590" s="55">
        <f t="shared" si="157"/>
        <v>0</v>
      </c>
      <c r="KGY1590" s="55">
        <f t="shared" si="157"/>
        <v>0</v>
      </c>
      <c r="KGZ1590" s="55">
        <f t="shared" si="157"/>
        <v>0</v>
      </c>
      <c r="KHA1590" s="55">
        <f t="shared" si="157"/>
        <v>0</v>
      </c>
      <c r="KHB1590" s="55">
        <f t="shared" si="157"/>
        <v>0</v>
      </c>
      <c r="KHC1590" s="55">
        <f t="shared" si="157"/>
        <v>0</v>
      </c>
      <c r="KHD1590" s="55">
        <f t="shared" si="157"/>
        <v>0</v>
      </c>
      <c r="KHE1590" s="55">
        <f t="shared" si="157"/>
        <v>0</v>
      </c>
      <c r="KHF1590" s="55">
        <f t="shared" si="157"/>
        <v>0</v>
      </c>
      <c r="KHG1590" s="55">
        <f t="shared" si="157"/>
        <v>0</v>
      </c>
      <c r="KHH1590" s="55">
        <f t="shared" si="157"/>
        <v>0</v>
      </c>
      <c r="KHI1590" s="55">
        <f t="shared" si="157"/>
        <v>0</v>
      </c>
      <c r="KHJ1590" s="55">
        <f t="shared" si="157"/>
        <v>0</v>
      </c>
      <c r="KHK1590" s="55">
        <f t="shared" si="157"/>
        <v>0</v>
      </c>
      <c r="KHL1590" s="55">
        <f t="shared" si="157"/>
        <v>0</v>
      </c>
      <c r="KHM1590" s="55">
        <f t="shared" si="157"/>
        <v>0</v>
      </c>
      <c r="KHN1590" s="55">
        <f t="shared" si="157"/>
        <v>0</v>
      </c>
      <c r="KHO1590" s="55">
        <f t="shared" si="157"/>
        <v>0</v>
      </c>
      <c r="KHP1590" s="55">
        <f t="shared" si="157"/>
        <v>0</v>
      </c>
      <c r="KHQ1590" s="55">
        <f t="shared" si="157"/>
        <v>0</v>
      </c>
      <c r="KHR1590" s="55">
        <f t="shared" si="157"/>
        <v>0</v>
      </c>
      <c r="KHS1590" s="55">
        <f t="shared" si="157"/>
        <v>0</v>
      </c>
      <c r="KHT1590" s="55">
        <f t="shared" si="157"/>
        <v>0</v>
      </c>
      <c r="KHU1590" s="55">
        <f t="shared" si="157"/>
        <v>0</v>
      </c>
      <c r="KHV1590" s="55">
        <f t="shared" si="157"/>
        <v>0</v>
      </c>
      <c r="KHW1590" s="55">
        <f t="shared" si="157"/>
        <v>0</v>
      </c>
      <c r="KHX1590" s="55">
        <f t="shared" si="157"/>
        <v>0</v>
      </c>
      <c r="KHY1590" s="55">
        <f t="shared" si="157"/>
        <v>0</v>
      </c>
      <c r="KHZ1590" s="55">
        <f t="shared" si="157"/>
        <v>0</v>
      </c>
      <c r="KIA1590" s="55">
        <f t="shared" si="157"/>
        <v>0</v>
      </c>
      <c r="KIB1590" s="55">
        <f t="shared" si="157"/>
        <v>0</v>
      </c>
      <c r="KIC1590" s="55">
        <f t="shared" si="157"/>
        <v>0</v>
      </c>
      <c r="KID1590" s="55">
        <f t="shared" si="157"/>
        <v>0</v>
      </c>
      <c r="KIE1590" s="55">
        <f t="shared" si="157"/>
        <v>0</v>
      </c>
      <c r="KIF1590" s="55">
        <f t="shared" si="157"/>
        <v>0</v>
      </c>
      <c r="KIG1590" s="55">
        <f t="shared" si="157"/>
        <v>0</v>
      </c>
      <c r="KIH1590" s="55">
        <f t="shared" si="157"/>
        <v>0</v>
      </c>
      <c r="KII1590" s="55">
        <f t="shared" si="157"/>
        <v>0</v>
      </c>
      <c r="KIJ1590" s="55">
        <f t="shared" si="157"/>
        <v>0</v>
      </c>
      <c r="KIK1590" s="55">
        <f t="shared" si="157"/>
        <v>0</v>
      </c>
      <c r="KIL1590" s="55">
        <f t="shared" si="157"/>
        <v>0</v>
      </c>
      <c r="KIM1590" s="55">
        <f t="shared" si="157"/>
        <v>0</v>
      </c>
      <c r="KIN1590" s="55">
        <f t="shared" si="157"/>
        <v>0</v>
      </c>
      <c r="KIO1590" s="55">
        <f t="shared" si="157"/>
        <v>0</v>
      </c>
      <c r="KIP1590" s="55">
        <f t="shared" si="157"/>
        <v>0</v>
      </c>
      <c r="KIQ1590" s="55">
        <f t="shared" si="157"/>
        <v>0</v>
      </c>
      <c r="KIR1590" s="55">
        <f t="shared" si="157"/>
        <v>0</v>
      </c>
      <c r="KIS1590" s="55">
        <f t="shared" si="157"/>
        <v>0</v>
      </c>
      <c r="KIT1590" s="55">
        <f t="shared" si="157"/>
        <v>0</v>
      </c>
      <c r="KIU1590" s="55">
        <f t="shared" si="157"/>
        <v>0</v>
      </c>
      <c r="KIV1590" s="55">
        <f t="shared" ref="KIV1590:KLG1590" si="158">+(KIV1600+KIV1604)*1.18*1.1</f>
        <v>0</v>
      </c>
      <c r="KIW1590" s="55">
        <f t="shared" si="158"/>
        <v>0</v>
      </c>
      <c r="KIX1590" s="55">
        <f t="shared" si="158"/>
        <v>0</v>
      </c>
      <c r="KIY1590" s="55">
        <f t="shared" si="158"/>
        <v>0</v>
      </c>
      <c r="KIZ1590" s="55">
        <f t="shared" si="158"/>
        <v>0</v>
      </c>
      <c r="KJA1590" s="55">
        <f t="shared" si="158"/>
        <v>0</v>
      </c>
      <c r="KJB1590" s="55">
        <f t="shared" si="158"/>
        <v>0</v>
      </c>
      <c r="KJC1590" s="55">
        <f t="shared" si="158"/>
        <v>0</v>
      </c>
      <c r="KJD1590" s="55">
        <f t="shared" si="158"/>
        <v>0</v>
      </c>
      <c r="KJE1590" s="55">
        <f t="shared" si="158"/>
        <v>0</v>
      </c>
      <c r="KJF1590" s="55">
        <f t="shared" si="158"/>
        <v>0</v>
      </c>
      <c r="KJG1590" s="55">
        <f t="shared" si="158"/>
        <v>0</v>
      </c>
      <c r="KJH1590" s="55">
        <f t="shared" si="158"/>
        <v>0</v>
      </c>
      <c r="KJI1590" s="55">
        <f t="shared" si="158"/>
        <v>0</v>
      </c>
      <c r="KJJ1590" s="55">
        <f t="shared" si="158"/>
        <v>0</v>
      </c>
      <c r="KJK1590" s="55">
        <f t="shared" si="158"/>
        <v>0</v>
      </c>
      <c r="KJL1590" s="55">
        <f t="shared" si="158"/>
        <v>0</v>
      </c>
      <c r="KJM1590" s="55">
        <f t="shared" si="158"/>
        <v>0</v>
      </c>
      <c r="KJN1590" s="55">
        <f t="shared" si="158"/>
        <v>0</v>
      </c>
      <c r="KJO1590" s="55">
        <f t="shared" si="158"/>
        <v>0</v>
      </c>
      <c r="KJP1590" s="55">
        <f t="shared" si="158"/>
        <v>0</v>
      </c>
      <c r="KJQ1590" s="55">
        <f t="shared" si="158"/>
        <v>0</v>
      </c>
      <c r="KJR1590" s="55">
        <f t="shared" si="158"/>
        <v>0</v>
      </c>
      <c r="KJS1590" s="55">
        <f t="shared" si="158"/>
        <v>0</v>
      </c>
      <c r="KJT1590" s="55">
        <f t="shared" si="158"/>
        <v>0</v>
      </c>
      <c r="KJU1590" s="55">
        <f t="shared" si="158"/>
        <v>0</v>
      </c>
      <c r="KJV1590" s="55">
        <f t="shared" si="158"/>
        <v>0</v>
      </c>
      <c r="KJW1590" s="55">
        <f t="shared" si="158"/>
        <v>0</v>
      </c>
      <c r="KJX1590" s="55">
        <f t="shared" si="158"/>
        <v>0</v>
      </c>
      <c r="KJY1590" s="55">
        <f t="shared" si="158"/>
        <v>0</v>
      </c>
      <c r="KJZ1590" s="55">
        <f t="shared" si="158"/>
        <v>0</v>
      </c>
      <c r="KKA1590" s="55">
        <f t="shared" si="158"/>
        <v>0</v>
      </c>
      <c r="KKB1590" s="55">
        <f t="shared" si="158"/>
        <v>0</v>
      </c>
      <c r="KKC1590" s="55">
        <f t="shared" si="158"/>
        <v>0</v>
      </c>
      <c r="KKD1590" s="55">
        <f t="shared" si="158"/>
        <v>0</v>
      </c>
      <c r="KKE1590" s="55">
        <f t="shared" si="158"/>
        <v>0</v>
      </c>
      <c r="KKF1590" s="55">
        <f t="shared" si="158"/>
        <v>0</v>
      </c>
      <c r="KKG1590" s="55">
        <f t="shared" si="158"/>
        <v>0</v>
      </c>
      <c r="KKH1590" s="55">
        <f t="shared" si="158"/>
        <v>0</v>
      </c>
      <c r="KKI1590" s="55">
        <f t="shared" si="158"/>
        <v>0</v>
      </c>
      <c r="KKJ1590" s="55">
        <f t="shared" si="158"/>
        <v>0</v>
      </c>
      <c r="KKK1590" s="55">
        <f t="shared" si="158"/>
        <v>0</v>
      </c>
      <c r="KKL1590" s="55">
        <f t="shared" si="158"/>
        <v>0</v>
      </c>
      <c r="KKM1590" s="55">
        <f t="shared" si="158"/>
        <v>0</v>
      </c>
      <c r="KKN1590" s="55">
        <f t="shared" si="158"/>
        <v>0</v>
      </c>
      <c r="KKO1590" s="55">
        <f t="shared" si="158"/>
        <v>0</v>
      </c>
      <c r="KKP1590" s="55">
        <f t="shared" si="158"/>
        <v>0</v>
      </c>
      <c r="KKQ1590" s="55">
        <f t="shared" si="158"/>
        <v>0</v>
      </c>
      <c r="KKR1590" s="55">
        <f t="shared" si="158"/>
        <v>0</v>
      </c>
      <c r="KKS1590" s="55">
        <f t="shared" si="158"/>
        <v>0</v>
      </c>
      <c r="KKT1590" s="55">
        <f t="shared" si="158"/>
        <v>0</v>
      </c>
      <c r="KKU1590" s="55">
        <f t="shared" si="158"/>
        <v>0</v>
      </c>
      <c r="KKV1590" s="55">
        <f t="shared" si="158"/>
        <v>0</v>
      </c>
      <c r="KKW1590" s="55">
        <f t="shared" si="158"/>
        <v>0</v>
      </c>
      <c r="KKX1590" s="55">
        <f t="shared" si="158"/>
        <v>0</v>
      </c>
      <c r="KKY1590" s="55">
        <f t="shared" si="158"/>
        <v>0</v>
      </c>
      <c r="KKZ1590" s="55">
        <f t="shared" si="158"/>
        <v>0</v>
      </c>
      <c r="KLA1590" s="55">
        <f t="shared" si="158"/>
        <v>0</v>
      </c>
      <c r="KLB1590" s="55">
        <f t="shared" si="158"/>
        <v>0</v>
      </c>
      <c r="KLC1590" s="55">
        <f t="shared" si="158"/>
        <v>0</v>
      </c>
      <c r="KLD1590" s="55">
        <f t="shared" si="158"/>
        <v>0</v>
      </c>
      <c r="KLE1590" s="55">
        <f t="shared" si="158"/>
        <v>0</v>
      </c>
      <c r="KLF1590" s="55">
        <f t="shared" si="158"/>
        <v>0</v>
      </c>
      <c r="KLG1590" s="55">
        <f t="shared" si="158"/>
        <v>0</v>
      </c>
      <c r="KLH1590" s="55">
        <f t="shared" ref="KLH1590:KNS1590" si="159">+(KLH1600+KLH1604)*1.18*1.1</f>
        <v>0</v>
      </c>
      <c r="KLI1590" s="55">
        <f t="shared" si="159"/>
        <v>0</v>
      </c>
      <c r="KLJ1590" s="55">
        <f t="shared" si="159"/>
        <v>0</v>
      </c>
      <c r="KLK1590" s="55">
        <f t="shared" si="159"/>
        <v>0</v>
      </c>
      <c r="KLL1590" s="55">
        <f t="shared" si="159"/>
        <v>0</v>
      </c>
      <c r="KLM1590" s="55">
        <f t="shared" si="159"/>
        <v>0</v>
      </c>
      <c r="KLN1590" s="55">
        <f t="shared" si="159"/>
        <v>0</v>
      </c>
      <c r="KLO1590" s="55">
        <f t="shared" si="159"/>
        <v>0</v>
      </c>
      <c r="KLP1590" s="55">
        <f t="shared" si="159"/>
        <v>0</v>
      </c>
      <c r="KLQ1590" s="55">
        <f t="shared" si="159"/>
        <v>0</v>
      </c>
      <c r="KLR1590" s="55">
        <f t="shared" si="159"/>
        <v>0</v>
      </c>
      <c r="KLS1590" s="55">
        <f t="shared" si="159"/>
        <v>0</v>
      </c>
      <c r="KLT1590" s="55">
        <f t="shared" si="159"/>
        <v>0</v>
      </c>
      <c r="KLU1590" s="55">
        <f t="shared" si="159"/>
        <v>0</v>
      </c>
      <c r="KLV1590" s="55">
        <f t="shared" si="159"/>
        <v>0</v>
      </c>
      <c r="KLW1590" s="55">
        <f t="shared" si="159"/>
        <v>0</v>
      </c>
      <c r="KLX1590" s="55">
        <f t="shared" si="159"/>
        <v>0</v>
      </c>
      <c r="KLY1590" s="55">
        <f t="shared" si="159"/>
        <v>0</v>
      </c>
      <c r="KLZ1590" s="55">
        <f t="shared" si="159"/>
        <v>0</v>
      </c>
      <c r="KMA1590" s="55">
        <f t="shared" si="159"/>
        <v>0</v>
      </c>
      <c r="KMB1590" s="55">
        <f t="shared" si="159"/>
        <v>0</v>
      </c>
      <c r="KMC1590" s="55">
        <f t="shared" si="159"/>
        <v>0</v>
      </c>
      <c r="KMD1590" s="55">
        <f t="shared" si="159"/>
        <v>0</v>
      </c>
      <c r="KME1590" s="55">
        <f t="shared" si="159"/>
        <v>0</v>
      </c>
      <c r="KMF1590" s="55">
        <f t="shared" si="159"/>
        <v>0</v>
      </c>
      <c r="KMG1590" s="55">
        <f t="shared" si="159"/>
        <v>0</v>
      </c>
      <c r="KMH1590" s="55">
        <f t="shared" si="159"/>
        <v>0</v>
      </c>
      <c r="KMI1590" s="55">
        <f t="shared" si="159"/>
        <v>0</v>
      </c>
      <c r="KMJ1590" s="55">
        <f t="shared" si="159"/>
        <v>0</v>
      </c>
      <c r="KMK1590" s="55">
        <f t="shared" si="159"/>
        <v>0</v>
      </c>
      <c r="KML1590" s="55">
        <f t="shared" si="159"/>
        <v>0</v>
      </c>
      <c r="KMM1590" s="55">
        <f t="shared" si="159"/>
        <v>0</v>
      </c>
      <c r="KMN1590" s="55">
        <f t="shared" si="159"/>
        <v>0</v>
      </c>
      <c r="KMO1590" s="55">
        <f t="shared" si="159"/>
        <v>0</v>
      </c>
      <c r="KMP1590" s="55">
        <f t="shared" si="159"/>
        <v>0</v>
      </c>
      <c r="KMQ1590" s="55">
        <f t="shared" si="159"/>
        <v>0</v>
      </c>
      <c r="KMR1590" s="55">
        <f t="shared" si="159"/>
        <v>0</v>
      </c>
      <c r="KMS1590" s="55">
        <f t="shared" si="159"/>
        <v>0</v>
      </c>
      <c r="KMT1590" s="55">
        <f t="shared" si="159"/>
        <v>0</v>
      </c>
      <c r="KMU1590" s="55">
        <f t="shared" si="159"/>
        <v>0</v>
      </c>
      <c r="KMV1590" s="55">
        <f t="shared" si="159"/>
        <v>0</v>
      </c>
      <c r="KMW1590" s="55">
        <f t="shared" si="159"/>
        <v>0</v>
      </c>
      <c r="KMX1590" s="55">
        <f t="shared" si="159"/>
        <v>0</v>
      </c>
      <c r="KMY1590" s="55">
        <f t="shared" si="159"/>
        <v>0</v>
      </c>
      <c r="KMZ1590" s="55">
        <f t="shared" si="159"/>
        <v>0</v>
      </c>
      <c r="KNA1590" s="55">
        <f t="shared" si="159"/>
        <v>0</v>
      </c>
      <c r="KNB1590" s="55">
        <f t="shared" si="159"/>
        <v>0</v>
      </c>
      <c r="KNC1590" s="55">
        <f t="shared" si="159"/>
        <v>0</v>
      </c>
      <c r="KND1590" s="55">
        <f t="shared" si="159"/>
        <v>0</v>
      </c>
      <c r="KNE1590" s="55">
        <f t="shared" si="159"/>
        <v>0</v>
      </c>
      <c r="KNF1590" s="55">
        <f t="shared" si="159"/>
        <v>0</v>
      </c>
      <c r="KNG1590" s="55">
        <f t="shared" si="159"/>
        <v>0</v>
      </c>
      <c r="KNH1590" s="55">
        <f t="shared" si="159"/>
        <v>0</v>
      </c>
      <c r="KNI1590" s="55">
        <f t="shared" si="159"/>
        <v>0</v>
      </c>
      <c r="KNJ1590" s="55">
        <f t="shared" si="159"/>
        <v>0</v>
      </c>
      <c r="KNK1590" s="55">
        <f t="shared" si="159"/>
        <v>0</v>
      </c>
      <c r="KNL1590" s="55">
        <f t="shared" si="159"/>
        <v>0</v>
      </c>
      <c r="KNM1590" s="55">
        <f t="shared" si="159"/>
        <v>0</v>
      </c>
      <c r="KNN1590" s="55">
        <f t="shared" si="159"/>
        <v>0</v>
      </c>
      <c r="KNO1590" s="55">
        <f t="shared" si="159"/>
        <v>0</v>
      </c>
      <c r="KNP1590" s="55">
        <f t="shared" si="159"/>
        <v>0</v>
      </c>
      <c r="KNQ1590" s="55">
        <f t="shared" si="159"/>
        <v>0</v>
      </c>
      <c r="KNR1590" s="55">
        <f t="shared" si="159"/>
        <v>0</v>
      </c>
      <c r="KNS1590" s="55">
        <f t="shared" si="159"/>
        <v>0</v>
      </c>
      <c r="KNT1590" s="55">
        <f t="shared" ref="KNT1590:KQE1590" si="160">+(KNT1600+KNT1604)*1.18*1.1</f>
        <v>0</v>
      </c>
      <c r="KNU1590" s="55">
        <f t="shared" si="160"/>
        <v>0</v>
      </c>
      <c r="KNV1590" s="55">
        <f t="shared" si="160"/>
        <v>0</v>
      </c>
      <c r="KNW1590" s="55">
        <f t="shared" si="160"/>
        <v>0</v>
      </c>
      <c r="KNX1590" s="55">
        <f t="shared" si="160"/>
        <v>0</v>
      </c>
      <c r="KNY1590" s="55">
        <f t="shared" si="160"/>
        <v>0</v>
      </c>
      <c r="KNZ1590" s="55">
        <f t="shared" si="160"/>
        <v>0</v>
      </c>
      <c r="KOA1590" s="55">
        <f t="shared" si="160"/>
        <v>0</v>
      </c>
      <c r="KOB1590" s="55">
        <f t="shared" si="160"/>
        <v>0</v>
      </c>
      <c r="KOC1590" s="55">
        <f t="shared" si="160"/>
        <v>0</v>
      </c>
      <c r="KOD1590" s="55">
        <f t="shared" si="160"/>
        <v>0</v>
      </c>
      <c r="KOE1590" s="55">
        <f t="shared" si="160"/>
        <v>0</v>
      </c>
      <c r="KOF1590" s="55">
        <f t="shared" si="160"/>
        <v>0</v>
      </c>
      <c r="KOG1590" s="55">
        <f t="shared" si="160"/>
        <v>0</v>
      </c>
      <c r="KOH1590" s="55">
        <f t="shared" si="160"/>
        <v>0</v>
      </c>
      <c r="KOI1590" s="55">
        <f t="shared" si="160"/>
        <v>0</v>
      </c>
      <c r="KOJ1590" s="55">
        <f t="shared" si="160"/>
        <v>0</v>
      </c>
      <c r="KOK1590" s="55">
        <f t="shared" si="160"/>
        <v>0</v>
      </c>
      <c r="KOL1590" s="55">
        <f t="shared" si="160"/>
        <v>0</v>
      </c>
      <c r="KOM1590" s="55">
        <f t="shared" si="160"/>
        <v>0</v>
      </c>
      <c r="KON1590" s="55">
        <f t="shared" si="160"/>
        <v>0</v>
      </c>
      <c r="KOO1590" s="55">
        <f t="shared" si="160"/>
        <v>0</v>
      </c>
      <c r="KOP1590" s="55">
        <f t="shared" si="160"/>
        <v>0</v>
      </c>
      <c r="KOQ1590" s="55">
        <f t="shared" si="160"/>
        <v>0</v>
      </c>
      <c r="KOR1590" s="55">
        <f t="shared" si="160"/>
        <v>0</v>
      </c>
      <c r="KOS1590" s="55">
        <f t="shared" si="160"/>
        <v>0</v>
      </c>
      <c r="KOT1590" s="55">
        <f t="shared" si="160"/>
        <v>0</v>
      </c>
      <c r="KOU1590" s="55">
        <f t="shared" si="160"/>
        <v>0</v>
      </c>
      <c r="KOV1590" s="55">
        <f t="shared" si="160"/>
        <v>0</v>
      </c>
      <c r="KOW1590" s="55">
        <f t="shared" si="160"/>
        <v>0</v>
      </c>
      <c r="KOX1590" s="55">
        <f t="shared" si="160"/>
        <v>0</v>
      </c>
      <c r="KOY1590" s="55">
        <f t="shared" si="160"/>
        <v>0</v>
      </c>
      <c r="KOZ1590" s="55">
        <f t="shared" si="160"/>
        <v>0</v>
      </c>
      <c r="KPA1590" s="55">
        <f t="shared" si="160"/>
        <v>0</v>
      </c>
      <c r="KPB1590" s="55">
        <f t="shared" si="160"/>
        <v>0</v>
      </c>
      <c r="KPC1590" s="55">
        <f t="shared" si="160"/>
        <v>0</v>
      </c>
      <c r="KPD1590" s="55">
        <f t="shared" si="160"/>
        <v>0</v>
      </c>
      <c r="KPE1590" s="55">
        <f t="shared" si="160"/>
        <v>0</v>
      </c>
      <c r="KPF1590" s="55">
        <f t="shared" si="160"/>
        <v>0</v>
      </c>
      <c r="KPG1590" s="55">
        <f t="shared" si="160"/>
        <v>0</v>
      </c>
      <c r="KPH1590" s="55">
        <f t="shared" si="160"/>
        <v>0</v>
      </c>
      <c r="KPI1590" s="55">
        <f t="shared" si="160"/>
        <v>0</v>
      </c>
      <c r="KPJ1590" s="55">
        <f t="shared" si="160"/>
        <v>0</v>
      </c>
      <c r="KPK1590" s="55">
        <f t="shared" si="160"/>
        <v>0</v>
      </c>
      <c r="KPL1590" s="55">
        <f t="shared" si="160"/>
        <v>0</v>
      </c>
      <c r="KPM1590" s="55">
        <f t="shared" si="160"/>
        <v>0</v>
      </c>
      <c r="KPN1590" s="55">
        <f t="shared" si="160"/>
        <v>0</v>
      </c>
      <c r="KPO1590" s="55">
        <f t="shared" si="160"/>
        <v>0</v>
      </c>
      <c r="KPP1590" s="55">
        <f t="shared" si="160"/>
        <v>0</v>
      </c>
      <c r="KPQ1590" s="55">
        <f t="shared" si="160"/>
        <v>0</v>
      </c>
      <c r="KPR1590" s="55">
        <f t="shared" si="160"/>
        <v>0</v>
      </c>
      <c r="KPS1590" s="55">
        <f t="shared" si="160"/>
        <v>0</v>
      </c>
      <c r="KPT1590" s="55">
        <f t="shared" si="160"/>
        <v>0</v>
      </c>
      <c r="KPU1590" s="55">
        <f t="shared" si="160"/>
        <v>0</v>
      </c>
      <c r="KPV1590" s="55">
        <f t="shared" si="160"/>
        <v>0</v>
      </c>
      <c r="KPW1590" s="55">
        <f t="shared" si="160"/>
        <v>0</v>
      </c>
      <c r="KPX1590" s="55">
        <f t="shared" si="160"/>
        <v>0</v>
      </c>
      <c r="KPY1590" s="55">
        <f t="shared" si="160"/>
        <v>0</v>
      </c>
      <c r="KPZ1590" s="55">
        <f t="shared" si="160"/>
        <v>0</v>
      </c>
      <c r="KQA1590" s="55">
        <f t="shared" si="160"/>
        <v>0</v>
      </c>
      <c r="KQB1590" s="55">
        <f t="shared" si="160"/>
        <v>0</v>
      </c>
      <c r="KQC1590" s="55">
        <f t="shared" si="160"/>
        <v>0</v>
      </c>
      <c r="KQD1590" s="55">
        <f t="shared" si="160"/>
        <v>0</v>
      </c>
      <c r="KQE1590" s="55">
        <f t="shared" si="160"/>
        <v>0</v>
      </c>
      <c r="KQF1590" s="55">
        <f t="shared" ref="KQF1590:KSQ1590" si="161">+(KQF1600+KQF1604)*1.18*1.1</f>
        <v>0</v>
      </c>
      <c r="KQG1590" s="55">
        <f t="shared" si="161"/>
        <v>0</v>
      </c>
      <c r="KQH1590" s="55">
        <f t="shared" si="161"/>
        <v>0</v>
      </c>
      <c r="KQI1590" s="55">
        <f t="shared" si="161"/>
        <v>0</v>
      </c>
      <c r="KQJ1590" s="55">
        <f t="shared" si="161"/>
        <v>0</v>
      </c>
      <c r="KQK1590" s="55">
        <f t="shared" si="161"/>
        <v>0</v>
      </c>
      <c r="KQL1590" s="55">
        <f t="shared" si="161"/>
        <v>0</v>
      </c>
      <c r="KQM1590" s="55">
        <f t="shared" si="161"/>
        <v>0</v>
      </c>
      <c r="KQN1590" s="55">
        <f t="shared" si="161"/>
        <v>0</v>
      </c>
      <c r="KQO1590" s="55">
        <f t="shared" si="161"/>
        <v>0</v>
      </c>
      <c r="KQP1590" s="55">
        <f t="shared" si="161"/>
        <v>0</v>
      </c>
      <c r="KQQ1590" s="55">
        <f t="shared" si="161"/>
        <v>0</v>
      </c>
      <c r="KQR1590" s="55">
        <f t="shared" si="161"/>
        <v>0</v>
      </c>
      <c r="KQS1590" s="55">
        <f t="shared" si="161"/>
        <v>0</v>
      </c>
      <c r="KQT1590" s="55">
        <f t="shared" si="161"/>
        <v>0</v>
      </c>
      <c r="KQU1590" s="55">
        <f t="shared" si="161"/>
        <v>0</v>
      </c>
      <c r="KQV1590" s="55">
        <f t="shared" si="161"/>
        <v>0</v>
      </c>
      <c r="KQW1590" s="55">
        <f t="shared" si="161"/>
        <v>0</v>
      </c>
      <c r="KQX1590" s="55">
        <f t="shared" si="161"/>
        <v>0</v>
      </c>
      <c r="KQY1590" s="55">
        <f t="shared" si="161"/>
        <v>0</v>
      </c>
      <c r="KQZ1590" s="55">
        <f t="shared" si="161"/>
        <v>0</v>
      </c>
      <c r="KRA1590" s="55">
        <f t="shared" si="161"/>
        <v>0</v>
      </c>
      <c r="KRB1590" s="55">
        <f t="shared" si="161"/>
        <v>0</v>
      </c>
      <c r="KRC1590" s="55">
        <f t="shared" si="161"/>
        <v>0</v>
      </c>
      <c r="KRD1590" s="55">
        <f t="shared" si="161"/>
        <v>0</v>
      </c>
      <c r="KRE1590" s="55">
        <f t="shared" si="161"/>
        <v>0</v>
      </c>
      <c r="KRF1590" s="55">
        <f t="shared" si="161"/>
        <v>0</v>
      </c>
      <c r="KRG1590" s="55">
        <f t="shared" si="161"/>
        <v>0</v>
      </c>
      <c r="KRH1590" s="55">
        <f t="shared" si="161"/>
        <v>0</v>
      </c>
      <c r="KRI1590" s="55">
        <f t="shared" si="161"/>
        <v>0</v>
      </c>
      <c r="KRJ1590" s="55">
        <f t="shared" si="161"/>
        <v>0</v>
      </c>
      <c r="KRK1590" s="55">
        <f t="shared" si="161"/>
        <v>0</v>
      </c>
      <c r="KRL1590" s="55">
        <f t="shared" si="161"/>
        <v>0</v>
      </c>
      <c r="KRM1590" s="55">
        <f t="shared" si="161"/>
        <v>0</v>
      </c>
      <c r="KRN1590" s="55">
        <f t="shared" si="161"/>
        <v>0</v>
      </c>
      <c r="KRO1590" s="55">
        <f t="shared" si="161"/>
        <v>0</v>
      </c>
      <c r="KRP1590" s="55">
        <f t="shared" si="161"/>
        <v>0</v>
      </c>
      <c r="KRQ1590" s="55">
        <f t="shared" si="161"/>
        <v>0</v>
      </c>
      <c r="KRR1590" s="55">
        <f t="shared" si="161"/>
        <v>0</v>
      </c>
      <c r="KRS1590" s="55">
        <f t="shared" si="161"/>
        <v>0</v>
      </c>
      <c r="KRT1590" s="55">
        <f t="shared" si="161"/>
        <v>0</v>
      </c>
      <c r="KRU1590" s="55">
        <f t="shared" si="161"/>
        <v>0</v>
      </c>
      <c r="KRV1590" s="55">
        <f t="shared" si="161"/>
        <v>0</v>
      </c>
      <c r="KRW1590" s="55">
        <f t="shared" si="161"/>
        <v>0</v>
      </c>
      <c r="KRX1590" s="55">
        <f t="shared" si="161"/>
        <v>0</v>
      </c>
      <c r="KRY1590" s="55">
        <f t="shared" si="161"/>
        <v>0</v>
      </c>
      <c r="KRZ1590" s="55">
        <f t="shared" si="161"/>
        <v>0</v>
      </c>
      <c r="KSA1590" s="55">
        <f t="shared" si="161"/>
        <v>0</v>
      </c>
      <c r="KSB1590" s="55">
        <f t="shared" si="161"/>
        <v>0</v>
      </c>
      <c r="KSC1590" s="55">
        <f t="shared" si="161"/>
        <v>0</v>
      </c>
      <c r="KSD1590" s="55">
        <f t="shared" si="161"/>
        <v>0</v>
      </c>
      <c r="KSE1590" s="55">
        <f t="shared" si="161"/>
        <v>0</v>
      </c>
      <c r="KSF1590" s="55">
        <f t="shared" si="161"/>
        <v>0</v>
      </c>
      <c r="KSG1590" s="55">
        <f t="shared" si="161"/>
        <v>0</v>
      </c>
      <c r="KSH1590" s="55">
        <f t="shared" si="161"/>
        <v>0</v>
      </c>
      <c r="KSI1590" s="55">
        <f t="shared" si="161"/>
        <v>0</v>
      </c>
      <c r="KSJ1590" s="55">
        <f t="shared" si="161"/>
        <v>0</v>
      </c>
      <c r="KSK1590" s="55">
        <f t="shared" si="161"/>
        <v>0</v>
      </c>
      <c r="KSL1590" s="55">
        <f t="shared" si="161"/>
        <v>0</v>
      </c>
      <c r="KSM1590" s="55">
        <f t="shared" si="161"/>
        <v>0</v>
      </c>
      <c r="KSN1590" s="55">
        <f t="shared" si="161"/>
        <v>0</v>
      </c>
      <c r="KSO1590" s="55">
        <f t="shared" si="161"/>
        <v>0</v>
      </c>
      <c r="KSP1590" s="55">
        <f t="shared" si="161"/>
        <v>0</v>
      </c>
      <c r="KSQ1590" s="55">
        <f t="shared" si="161"/>
        <v>0</v>
      </c>
      <c r="KSR1590" s="55">
        <f t="shared" ref="KSR1590:KVC1590" si="162">+(KSR1600+KSR1604)*1.18*1.1</f>
        <v>0</v>
      </c>
      <c r="KSS1590" s="55">
        <f t="shared" si="162"/>
        <v>0</v>
      </c>
      <c r="KST1590" s="55">
        <f t="shared" si="162"/>
        <v>0</v>
      </c>
      <c r="KSU1590" s="55">
        <f t="shared" si="162"/>
        <v>0</v>
      </c>
      <c r="KSV1590" s="55">
        <f t="shared" si="162"/>
        <v>0</v>
      </c>
      <c r="KSW1590" s="55">
        <f t="shared" si="162"/>
        <v>0</v>
      </c>
      <c r="KSX1590" s="55">
        <f t="shared" si="162"/>
        <v>0</v>
      </c>
      <c r="KSY1590" s="55">
        <f t="shared" si="162"/>
        <v>0</v>
      </c>
      <c r="KSZ1590" s="55">
        <f t="shared" si="162"/>
        <v>0</v>
      </c>
      <c r="KTA1590" s="55">
        <f t="shared" si="162"/>
        <v>0</v>
      </c>
      <c r="KTB1590" s="55">
        <f t="shared" si="162"/>
        <v>0</v>
      </c>
      <c r="KTC1590" s="55">
        <f t="shared" si="162"/>
        <v>0</v>
      </c>
      <c r="KTD1590" s="55">
        <f t="shared" si="162"/>
        <v>0</v>
      </c>
      <c r="KTE1590" s="55">
        <f t="shared" si="162"/>
        <v>0</v>
      </c>
      <c r="KTF1590" s="55">
        <f t="shared" si="162"/>
        <v>0</v>
      </c>
      <c r="KTG1590" s="55">
        <f t="shared" si="162"/>
        <v>0</v>
      </c>
      <c r="KTH1590" s="55">
        <f t="shared" si="162"/>
        <v>0</v>
      </c>
      <c r="KTI1590" s="55">
        <f t="shared" si="162"/>
        <v>0</v>
      </c>
      <c r="KTJ1590" s="55">
        <f t="shared" si="162"/>
        <v>0</v>
      </c>
      <c r="KTK1590" s="55">
        <f t="shared" si="162"/>
        <v>0</v>
      </c>
      <c r="KTL1590" s="55">
        <f t="shared" si="162"/>
        <v>0</v>
      </c>
      <c r="KTM1590" s="55">
        <f t="shared" si="162"/>
        <v>0</v>
      </c>
      <c r="KTN1590" s="55">
        <f t="shared" si="162"/>
        <v>0</v>
      </c>
      <c r="KTO1590" s="55">
        <f t="shared" si="162"/>
        <v>0</v>
      </c>
      <c r="KTP1590" s="55">
        <f t="shared" si="162"/>
        <v>0</v>
      </c>
      <c r="KTQ1590" s="55">
        <f t="shared" si="162"/>
        <v>0</v>
      </c>
      <c r="KTR1590" s="55">
        <f t="shared" si="162"/>
        <v>0</v>
      </c>
      <c r="KTS1590" s="55">
        <f t="shared" si="162"/>
        <v>0</v>
      </c>
      <c r="KTT1590" s="55">
        <f t="shared" si="162"/>
        <v>0</v>
      </c>
      <c r="KTU1590" s="55">
        <f t="shared" si="162"/>
        <v>0</v>
      </c>
      <c r="KTV1590" s="55">
        <f t="shared" si="162"/>
        <v>0</v>
      </c>
      <c r="KTW1590" s="55">
        <f t="shared" si="162"/>
        <v>0</v>
      </c>
      <c r="KTX1590" s="55">
        <f t="shared" si="162"/>
        <v>0</v>
      </c>
      <c r="KTY1590" s="55">
        <f t="shared" si="162"/>
        <v>0</v>
      </c>
      <c r="KTZ1590" s="55">
        <f t="shared" si="162"/>
        <v>0</v>
      </c>
      <c r="KUA1590" s="55">
        <f t="shared" si="162"/>
        <v>0</v>
      </c>
      <c r="KUB1590" s="55">
        <f t="shared" si="162"/>
        <v>0</v>
      </c>
      <c r="KUC1590" s="55">
        <f t="shared" si="162"/>
        <v>0</v>
      </c>
      <c r="KUD1590" s="55">
        <f t="shared" si="162"/>
        <v>0</v>
      </c>
      <c r="KUE1590" s="55">
        <f t="shared" si="162"/>
        <v>0</v>
      </c>
      <c r="KUF1590" s="55">
        <f t="shared" si="162"/>
        <v>0</v>
      </c>
      <c r="KUG1590" s="55">
        <f t="shared" si="162"/>
        <v>0</v>
      </c>
      <c r="KUH1590" s="55">
        <f t="shared" si="162"/>
        <v>0</v>
      </c>
      <c r="KUI1590" s="55">
        <f t="shared" si="162"/>
        <v>0</v>
      </c>
      <c r="KUJ1590" s="55">
        <f t="shared" si="162"/>
        <v>0</v>
      </c>
      <c r="KUK1590" s="55">
        <f t="shared" si="162"/>
        <v>0</v>
      </c>
      <c r="KUL1590" s="55">
        <f t="shared" si="162"/>
        <v>0</v>
      </c>
      <c r="KUM1590" s="55">
        <f t="shared" si="162"/>
        <v>0</v>
      </c>
      <c r="KUN1590" s="55">
        <f t="shared" si="162"/>
        <v>0</v>
      </c>
      <c r="KUO1590" s="55">
        <f t="shared" si="162"/>
        <v>0</v>
      </c>
      <c r="KUP1590" s="55">
        <f t="shared" si="162"/>
        <v>0</v>
      </c>
      <c r="KUQ1590" s="55">
        <f t="shared" si="162"/>
        <v>0</v>
      </c>
      <c r="KUR1590" s="55">
        <f t="shared" si="162"/>
        <v>0</v>
      </c>
      <c r="KUS1590" s="55">
        <f t="shared" si="162"/>
        <v>0</v>
      </c>
      <c r="KUT1590" s="55">
        <f t="shared" si="162"/>
        <v>0</v>
      </c>
      <c r="KUU1590" s="55">
        <f t="shared" si="162"/>
        <v>0</v>
      </c>
      <c r="KUV1590" s="55">
        <f t="shared" si="162"/>
        <v>0</v>
      </c>
      <c r="KUW1590" s="55">
        <f t="shared" si="162"/>
        <v>0</v>
      </c>
      <c r="KUX1590" s="55">
        <f t="shared" si="162"/>
        <v>0</v>
      </c>
      <c r="KUY1590" s="55">
        <f t="shared" si="162"/>
        <v>0</v>
      </c>
      <c r="KUZ1590" s="55">
        <f t="shared" si="162"/>
        <v>0</v>
      </c>
      <c r="KVA1590" s="55">
        <f t="shared" si="162"/>
        <v>0</v>
      </c>
      <c r="KVB1590" s="55">
        <f t="shared" si="162"/>
        <v>0</v>
      </c>
      <c r="KVC1590" s="55">
        <f t="shared" si="162"/>
        <v>0</v>
      </c>
      <c r="KVD1590" s="55">
        <f t="shared" ref="KVD1590:KXO1590" si="163">+(KVD1600+KVD1604)*1.18*1.1</f>
        <v>0</v>
      </c>
      <c r="KVE1590" s="55">
        <f t="shared" si="163"/>
        <v>0</v>
      </c>
      <c r="KVF1590" s="55">
        <f t="shared" si="163"/>
        <v>0</v>
      </c>
      <c r="KVG1590" s="55">
        <f t="shared" si="163"/>
        <v>0</v>
      </c>
      <c r="KVH1590" s="55">
        <f t="shared" si="163"/>
        <v>0</v>
      </c>
      <c r="KVI1590" s="55">
        <f t="shared" si="163"/>
        <v>0</v>
      </c>
      <c r="KVJ1590" s="55">
        <f t="shared" si="163"/>
        <v>0</v>
      </c>
      <c r="KVK1590" s="55">
        <f t="shared" si="163"/>
        <v>0</v>
      </c>
      <c r="KVL1590" s="55">
        <f t="shared" si="163"/>
        <v>0</v>
      </c>
      <c r="KVM1590" s="55">
        <f t="shared" si="163"/>
        <v>0</v>
      </c>
      <c r="KVN1590" s="55">
        <f t="shared" si="163"/>
        <v>0</v>
      </c>
      <c r="KVO1590" s="55">
        <f t="shared" si="163"/>
        <v>0</v>
      </c>
      <c r="KVP1590" s="55">
        <f t="shared" si="163"/>
        <v>0</v>
      </c>
      <c r="KVQ1590" s="55">
        <f t="shared" si="163"/>
        <v>0</v>
      </c>
      <c r="KVR1590" s="55">
        <f t="shared" si="163"/>
        <v>0</v>
      </c>
      <c r="KVS1590" s="55">
        <f t="shared" si="163"/>
        <v>0</v>
      </c>
      <c r="KVT1590" s="55">
        <f t="shared" si="163"/>
        <v>0</v>
      </c>
      <c r="KVU1590" s="55">
        <f t="shared" si="163"/>
        <v>0</v>
      </c>
      <c r="KVV1590" s="55">
        <f t="shared" si="163"/>
        <v>0</v>
      </c>
      <c r="KVW1590" s="55">
        <f t="shared" si="163"/>
        <v>0</v>
      </c>
      <c r="KVX1590" s="55">
        <f t="shared" si="163"/>
        <v>0</v>
      </c>
      <c r="KVY1590" s="55">
        <f t="shared" si="163"/>
        <v>0</v>
      </c>
      <c r="KVZ1590" s="55">
        <f t="shared" si="163"/>
        <v>0</v>
      </c>
      <c r="KWA1590" s="55">
        <f t="shared" si="163"/>
        <v>0</v>
      </c>
      <c r="KWB1590" s="55">
        <f t="shared" si="163"/>
        <v>0</v>
      </c>
      <c r="KWC1590" s="55">
        <f t="shared" si="163"/>
        <v>0</v>
      </c>
      <c r="KWD1590" s="55">
        <f t="shared" si="163"/>
        <v>0</v>
      </c>
      <c r="KWE1590" s="55">
        <f t="shared" si="163"/>
        <v>0</v>
      </c>
      <c r="KWF1590" s="55">
        <f t="shared" si="163"/>
        <v>0</v>
      </c>
      <c r="KWG1590" s="55">
        <f t="shared" si="163"/>
        <v>0</v>
      </c>
      <c r="KWH1590" s="55">
        <f t="shared" si="163"/>
        <v>0</v>
      </c>
      <c r="KWI1590" s="55">
        <f t="shared" si="163"/>
        <v>0</v>
      </c>
      <c r="KWJ1590" s="55">
        <f t="shared" si="163"/>
        <v>0</v>
      </c>
      <c r="KWK1590" s="55">
        <f t="shared" si="163"/>
        <v>0</v>
      </c>
      <c r="KWL1590" s="55">
        <f t="shared" si="163"/>
        <v>0</v>
      </c>
      <c r="KWM1590" s="55">
        <f t="shared" si="163"/>
        <v>0</v>
      </c>
      <c r="KWN1590" s="55">
        <f t="shared" si="163"/>
        <v>0</v>
      </c>
      <c r="KWO1590" s="55">
        <f t="shared" si="163"/>
        <v>0</v>
      </c>
      <c r="KWP1590" s="55">
        <f t="shared" si="163"/>
        <v>0</v>
      </c>
      <c r="KWQ1590" s="55">
        <f t="shared" si="163"/>
        <v>0</v>
      </c>
      <c r="KWR1590" s="55">
        <f t="shared" si="163"/>
        <v>0</v>
      </c>
      <c r="KWS1590" s="55">
        <f t="shared" si="163"/>
        <v>0</v>
      </c>
      <c r="KWT1590" s="55">
        <f t="shared" si="163"/>
        <v>0</v>
      </c>
      <c r="KWU1590" s="55">
        <f t="shared" si="163"/>
        <v>0</v>
      </c>
      <c r="KWV1590" s="55">
        <f t="shared" si="163"/>
        <v>0</v>
      </c>
      <c r="KWW1590" s="55">
        <f t="shared" si="163"/>
        <v>0</v>
      </c>
      <c r="KWX1590" s="55">
        <f t="shared" si="163"/>
        <v>0</v>
      </c>
      <c r="KWY1590" s="55">
        <f t="shared" si="163"/>
        <v>0</v>
      </c>
      <c r="KWZ1590" s="55">
        <f t="shared" si="163"/>
        <v>0</v>
      </c>
      <c r="KXA1590" s="55">
        <f t="shared" si="163"/>
        <v>0</v>
      </c>
      <c r="KXB1590" s="55">
        <f t="shared" si="163"/>
        <v>0</v>
      </c>
      <c r="KXC1590" s="55">
        <f t="shared" si="163"/>
        <v>0</v>
      </c>
      <c r="KXD1590" s="55">
        <f t="shared" si="163"/>
        <v>0</v>
      </c>
      <c r="KXE1590" s="55">
        <f t="shared" si="163"/>
        <v>0</v>
      </c>
      <c r="KXF1590" s="55">
        <f t="shared" si="163"/>
        <v>0</v>
      </c>
      <c r="KXG1590" s="55">
        <f t="shared" si="163"/>
        <v>0</v>
      </c>
      <c r="KXH1590" s="55">
        <f t="shared" si="163"/>
        <v>0</v>
      </c>
      <c r="KXI1590" s="55">
        <f t="shared" si="163"/>
        <v>0</v>
      </c>
      <c r="KXJ1590" s="55">
        <f t="shared" si="163"/>
        <v>0</v>
      </c>
      <c r="KXK1590" s="55">
        <f t="shared" si="163"/>
        <v>0</v>
      </c>
      <c r="KXL1590" s="55">
        <f t="shared" si="163"/>
        <v>0</v>
      </c>
      <c r="KXM1590" s="55">
        <f t="shared" si="163"/>
        <v>0</v>
      </c>
      <c r="KXN1590" s="55">
        <f t="shared" si="163"/>
        <v>0</v>
      </c>
      <c r="KXO1590" s="55">
        <f t="shared" si="163"/>
        <v>0</v>
      </c>
      <c r="KXP1590" s="55">
        <f t="shared" ref="KXP1590:LAA1590" si="164">+(KXP1600+KXP1604)*1.18*1.1</f>
        <v>0</v>
      </c>
      <c r="KXQ1590" s="55">
        <f t="shared" si="164"/>
        <v>0</v>
      </c>
      <c r="KXR1590" s="55">
        <f t="shared" si="164"/>
        <v>0</v>
      </c>
      <c r="KXS1590" s="55">
        <f t="shared" si="164"/>
        <v>0</v>
      </c>
      <c r="KXT1590" s="55">
        <f t="shared" si="164"/>
        <v>0</v>
      </c>
      <c r="KXU1590" s="55">
        <f t="shared" si="164"/>
        <v>0</v>
      </c>
      <c r="KXV1590" s="55">
        <f t="shared" si="164"/>
        <v>0</v>
      </c>
      <c r="KXW1590" s="55">
        <f t="shared" si="164"/>
        <v>0</v>
      </c>
      <c r="KXX1590" s="55">
        <f t="shared" si="164"/>
        <v>0</v>
      </c>
      <c r="KXY1590" s="55">
        <f t="shared" si="164"/>
        <v>0</v>
      </c>
      <c r="KXZ1590" s="55">
        <f t="shared" si="164"/>
        <v>0</v>
      </c>
      <c r="KYA1590" s="55">
        <f t="shared" si="164"/>
        <v>0</v>
      </c>
      <c r="KYB1590" s="55">
        <f t="shared" si="164"/>
        <v>0</v>
      </c>
      <c r="KYC1590" s="55">
        <f t="shared" si="164"/>
        <v>0</v>
      </c>
      <c r="KYD1590" s="55">
        <f t="shared" si="164"/>
        <v>0</v>
      </c>
      <c r="KYE1590" s="55">
        <f t="shared" si="164"/>
        <v>0</v>
      </c>
      <c r="KYF1590" s="55">
        <f t="shared" si="164"/>
        <v>0</v>
      </c>
      <c r="KYG1590" s="55">
        <f t="shared" si="164"/>
        <v>0</v>
      </c>
      <c r="KYH1590" s="55">
        <f t="shared" si="164"/>
        <v>0</v>
      </c>
      <c r="KYI1590" s="55">
        <f t="shared" si="164"/>
        <v>0</v>
      </c>
      <c r="KYJ1590" s="55">
        <f t="shared" si="164"/>
        <v>0</v>
      </c>
      <c r="KYK1590" s="55">
        <f t="shared" si="164"/>
        <v>0</v>
      </c>
      <c r="KYL1590" s="55">
        <f t="shared" si="164"/>
        <v>0</v>
      </c>
      <c r="KYM1590" s="55">
        <f t="shared" si="164"/>
        <v>0</v>
      </c>
      <c r="KYN1590" s="55">
        <f t="shared" si="164"/>
        <v>0</v>
      </c>
      <c r="KYO1590" s="55">
        <f t="shared" si="164"/>
        <v>0</v>
      </c>
      <c r="KYP1590" s="55">
        <f t="shared" si="164"/>
        <v>0</v>
      </c>
      <c r="KYQ1590" s="55">
        <f t="shared" si="164"/>
        <v>0</v>
      </c>
      <c r="KYR1590" s="55">
        <f t="shared" si="164"/>
        <v>0</v>
      </c>
      <c r="KYS1590" s="55">
        <f t="shared" si="164"/>
        <v>0</v>
      </c>
      <c r="KYT1590" s="55">
        <f t="shared" si="164"/>
        <v>0</v>
      </c>
      <c r="KYU1590" s="55">
        <f t="shared" si="164"/>
        <v>0</v>
      </c>
      <c r="KYV1590" s="55">
        <f t="shared" si="164"/>
        <v>0</v>
      </c>
      <c r="KYW1590" s="55">
        <f t="shared" si="164"/>
        <v>0</v>
      </c>
      <c r="KYX1590" s="55">
        <f t="shared" si="164"/>
        <v>0</v>
      </c>
      <c r="KYY1590" s="55">
        <f t="shared" si="164"/>
        <v>0</v>
      </c>
      <c r="KYZ1590" s="55">
        <f t="shared" si="164"/>
        <v>0</v>
      </c>
      <c r="KZA1590" s="55">
        <f t="shared" si="164"/>
        <v>0</v>
      </c>
      <c r="KZB1590" s="55">
        <f t="shared" si="164"/>
        <v>0</v>
      </c>
      <c r="KZC1590" s="55">
        <f t="shared" si="164"/>
        <v>0</v>
      </c>
      <c r="KZD1590" s="55">
        <f t="shared" si="164"/>
        <v>0</v>
      </c>
      <c r="KZE1590" s="55">
        <f t="shared" si="164"/>
        <v>0</v>
      </c>
      <c r="KZF1590" s="55">
        <f t="shared" si="164"/>
        <v>0</v>
      </c>
      <c r="KZG1590" s="55">
        <f t="shared" si="164"/>
        <v>0</v>
      </c>
      <c r="KZH1590" s="55">
        <f t="shared" si="164"/>
        <v>0</v>
      </c>
      <c r="KZI1590" s="55">
        <f t="shared" si="164"/>
        <v>0</v>
      </c>
      <c r="KZJ1590" s="55">
        <f t="shared" si="164"/>
        <v>0</v>
      </c>
      <c r="KZK1590" s="55">
        <f t="shared" si="164"/>
        <v>0</v>
      </c>
      <c r="KZL1590" s="55">
        <f t="shared" si="164"/>
        <v>0</v>
      </c>
      <c r="KZM1590" s="55">
        <f t="shared" si="164"/>
        <v>0</v>
      </c>
      <c r="KZN1590" s="55">
        <f t="shared" si="164"/>
        <v>0</v>
      </c>
      <c r="KZO1590" s="55">
        <f t="shared" si="164"/>
        <v>0</v>
      </c>
      <c r="KZP1590" s="55">
        <f t="shared" si="164"/>
        <v>0</v>
      </c>
      <c r="KZQ1590" s="55">
        <f t="shared" si="164"/>
        <v>0</v>
      </c>
      <c r="KZR1590" s="55">
        <f t="shared" si="164"/>
        <v>0</v>
      </c>
      <c r="KZS1590" s="55">
        <f t="shared" si="164"/>
        <v>0</v>
      </c>
      <c r="KZT1590" s="55">
        <f t="shared" si="164"/>
        <v>0</v>
      </c>
      <c r="KZU1590" s="55">
        <f t="shared" si="164"/>
        <v>0</v>
      </c>
      <c r="KZV1590" s="55">
        <f t="shared" si="164"/>
        <v>0</v>
      </c>
      <c r="KZW1590" s="55">
        <f t="shared" si="164"/>
        <v>0</v>
      </c>
      <c r="KZX1590" s="55">
        <f t="shared" si="164"/>
        <v>0</v>
      </c>
      <c r="KZY1590" s="55">
        <f t="shared" si="164"/>
        <v>0</v>
      </c>
      <c r="KZZ1590" s="55">
        <f t="shared" si="164"/>
        <v>0</v>
      </c>
      <c r="LAA1590" s="55">
        <f t="shared" si="164"/>
        <v>0</v>
      </c>
      <c r="LAB1590" s="55">
        <f t="shared" ref="LAB1590:LCM1590" si="165">+(LAB1600+LAB1604)*1.18*1.1</f>
        <v>0</v>
      </c>
      <c r="LAC1590" s="55">
        <f t="shared" si="165"/>
        <v>0</v>
      </c>
      <c r="LAD1590" s="55">
        <f t="shared" si="165"/>
        <v>0</v>
      </c>
      <c r="LAE1590" s="55">
        <f t="shared" si="165"/>
        <v>0</v>
      </c>
      <c r="LAF1590" s="55">
        <f t="shared" si="165"/>
        <v>0</v>
      </c>
      <c r="LAG1590" s="55">
        <f t="shared" si="165"/>
        <v>0</v>
      </c>
      <c r="LAH1590" s="55">
        <f t="shared" si="165"/>
        <v>0</v>
      </c>
      <c r="LAI1590" s="55">
        <f t="shared" si="165"/>
        <v>0</v>
      </c>
      <c r="LAJ1590" s="55">
        <f t="shared" si="165"/>
        <v>0</v>
      </c>
      <c r="LAK1590" s="55">
        <f t="shared" si="165"/>
        <v>0</v>
      </c>
      <c r="LAL1590" s="55">
        <f t="shared" si="165"/>
        <v>0</v>
      </c>
      <c r="LAM1590" s="55">
        <f t="shared" si="165"/>
        <v>0</v>
      </c>
      <c r="LAN1590" s="55">
        <f t="shared" si="165"/>
        <v>0</v>
      </c>
      <c r="LAO1590" s="55">
        <f t="shared" si="165"/>
        <v>0</v>
      </c>
      <c r="LAP1590" s="55">
        <f t="shared" si="165"/>
        <v>0</v>
      </c>
      <c r="LAQ1590" s="55">
        <f t="shared" si="165"/>
        <v>0</v>
      </c>
      <c r="LAR1590" s="55">
        <f t="shared" si="165"/>
        <v>0</v>
      </c>
      <c r="LAS1590" s="55">
        <f t="shared" si="165"/>
        <v>0</v>
      </c>
      <c r="LAT1590" s="55">
        <f t="shared" si="165"/>
        <v>0</v>
      </c>
      <c r="LAU1590" s="55">
        <f t="shared" si="165"/>
        <v>0</v>
      </c>
      <c r="LAV1590" s="55">
        <f t="shared" si="165"/>
        <v>0</v>
      </c>
      <c r="LAW1590" s="55">
        <f t="shared" si="165"/>
        <v>0</v>
      </c>
      <c r="LAX1590" s="55">
        <f t="shared" si="165"/>
        <v>0</v>
      </c>
      <c r="LAY1590" s="55">
        <f t="shared" si="165"/>
        <v>0</v>
      </c>
      <c r="LAZ1590" s="55">
        <f t="shared" si="165"/>
        <v>0</v>
      </c>
      <c r="LBA1590" s="55">
        <f t="shared" si="165"/>
        <v>0</v>
      </c>
      <c r="LBB1590" s="55">
        <f t="shared" si="165"/>
        <v>0</v>
      </c>
      <c r="LBC1590" s="55">
        <f t="shared" si="165"/>
        <v>0</v>
      </c>
      <c r="LBD1590" s="55">
        <f t="shared" si="165"/>
        <v>0</v>
      </c>
      <c r="LBE1590" s="55">
        <f t="shared" si="165"/>
        <v>0</v>
      </c>
      <c r="LBF1590" s="55">
        <f t="shared" si="165"/>
        <v>0</v>
      </c>
      <c r="LBG1590" s="55">
        <f t="shared" si="165"/>
        <v>0</v>
      </c>
      <c r="LBH1590" s="55">
        <f t="shared" si="165"/>
        <v>0</v>
      </c>
      <c r="LBI1590" s="55">
        <f t="shared" si="165"/>
        <v>0</v>
      </c>
      <c r="LBJ1590" s="55">
        <f t="shared" si="165"/>
        <v>0</v>
      </c>
      <c r="LBK1590" s="55">
        <f t="shared" si="165"/>
        <v>0</v>
      </c>
      <c r="LBL1590" s="55">
        <f t="shared" si="165"/>
        <v>0</v>
      </c>
      <c r="LBM1590" s="55">
        <f t="shared" si="165"/>
        <v>0</v>
      </c>
      <c r="LBN1590" s="55">
        <f t="shared" si="165"/>
        <v>0</v>
      </c>
      <c r="LBO1590" s="55">
        <f t="shared" si="165"/>
        <v>0</v>
      </c>
      <c r="LBP1590" s="55">
        <f t="shared" si="165"/>
        <v>0</v>
      </c>
      <c r="LBQ1590" s="55">
        <f t="shared" si="165"/>
        <v>0</v>
      </c>
      <c r="LBR1590" s="55">
        <f t="shared" si="165"/>
        <v>0</v>
      </c>
      <c r="LBS1590" s="55">
        <f t="shared" si="165"/>
        <v>0</v>
      </c>
      <c r="LBT1590" s="55">
        <f t="shared" si="165"/>
        <v>0</v>
      </c>
      <c r="LBU1590" s="55">
        <f t="shared" si="165"/>
        <v>0</v>
      </c>
      <c r="LBV1590" s="55">
        <f t="shared" si="165"/>
        <v>0</v>
      </c>
      <c r="LBW1590" s="55">
        <f t="shared" si="165"/>
        <v>0</v>
      </c>
      <c r="LBX1590" s="55">
        <f t="shared" si="165"/>
        <v>0</v>
      </c>
      <c r="LBY1590" s="55">
        <f t="shared" si="165"/>
        <v>0</v>
      </c>
      <c r="LBZ1590" s="55">
        <f t="shared" si="165"/>
        <v>0</v>
      </c>
      <c r="LCA1590" s="55">
        <f t="shared" si="165"/>
        <v>0</v>
      </c>
      <c r="LCB1590" s="55">
        <f t="shared" si="165"/>
        <v>0</v>
      </c>
      <c r="LCC1590" s="55">
        <f t="shared" si="165"/>
        <v>0</v>
      </c>
      <c r="LCD1590" s="55">
        <f t="shared" si="165"/>
        <v>0</v>
      </c>
      <c r="LCE1590" s="55">
        <f t="shared" si="165"/>
        <v>0</v>
      </c>
      <c r="LCF1590" s="55">
        <f t="shared" si="165"/>
        <v>0</v>
      </c>
      <c r="LCG1590" s="55">
        <f t="shared" si="165"/>
        <v>0</v>
      </c>
      <c r="LCH1590" s="55">
        <f t="shared" si="165"/>
        <v>0</v>
      </c>
      <c r="LCI1590" s="55">
        <f t="shared" si="165"/>
        <v>0</v>
      </c>
      <c r="LCJ1590" s="55">
        <f t="shared" si="165"/>
        <v>0</v>
      </c>
      <c r="LCK1590" s="55">
        <f t="shared" si="165"/>
        <v>0</v>
      </c>
      <c r="LCL1590" s="55">
        <f t="shared" si="165"/>
        <v>0</v>
      </c>
      <c r="LCM1590" s="55">
        <f t="shared" si="165"/>
        <v>0</v>
      </c>
      <c r="LCN1590" s="55">
        <f t="shared" ref="LCN1590:LEY1590" si="166">+(LCN1600+LCN1604)*1.18*1.1</f>
        <v>0</v>
      </c>
      <c r="LCO1590" s="55">
        <f t="shared" si="166"/>
        <v>0</v>
      </c>
      <c r="LCP1590" s="55">
        <f t="shared" si="166"/>
        <v>0</v>
      </c>
      <c r="LCQ1590" s="55">
        <f t="shared" si="166"/>
        <v>0</v>
      </c>
      <c r="LCR1590" s="55">
        <f t="shared" si="166"/>
        <v>0</v>
      </c>
      <c r="LCS1590" s="55">
        <f t="shared" si="166"/>
        <v>0</v>
      </c>
      <c r="LCT1590" s="55">
        <f t="shared" si="166"/>
        <v>0</v>
      </c>
      <c r="LCU1590" s="55">
        <f t="shared" si="166"/>
        <v>0</v>
      </c>
      <c r="LCV1590" s="55">
        <f t="shared" si="166"/>
        <v>0</v>
      </c>
      <c r="LCW1590" s="55">
        <f t="shared" si="166"/>
        <v>0</v>
      </c>
      <c r="LCX1590" s="55">
        <f t="shared" si="166"/>
        <v>0</v>
      </c>
      <c r="LCY1590" s="55">
        <f t="shared" si="166"/>
        <v>0</v>
      </c>
      <c r="LCZ1590" s="55">
        <f t="shared" si="166"/>
        <v>0</v>
      </c>
      <c r="LDA1590" s="55">
        <f t="shared" si="166"/>
        <v>0</v>
      </c>
      <c r="LDB1590" s="55">
        <f t="shared" si="166"/>
        <v>0</v>
      </c>
      <c r="LDC1590" s="55">
        <f t="shared" si="166"/>
        <v>0</v>
      </c>
      <c r="LDD1590" s="55">
        <f t="shared" si="166"/>
        <v>0</v>
      </c>
      <c r="LDE1590" s="55">
        <f t="shared" si="166"/>
        <v>0</v>
      </c>
      <c r="LDF1590" s="55">
        <f t="shared" si="166"/>
        <v>0</v>
      </c>
      <c r="LDG1590" s="55">
        <f t="shared" si="166"/>
        <v>0</v>
      </c>
      <c r="LDH1590" s="55">
        <f t="shared" si="166"/>
        <v>0</v>
      </c>
      <c r="LDI1590" s="55">
        <f t="shared" si="166"/>
        <v>0</v>
      </c>
      <c r="LDJ1590" s="55">
        <f t="shared" si="166"/>
        <v>0</v>
      </c>
      <c r="LDK1590" s="55">
        <f t="shared" si="166"/>
        <v>0</v>
      </c>
      <c r="LDL1590" s="55">
        <f t="shared" si="166"/>
        <v>0</v>
      </c>
      <c r="LDM1590" s="55">
        <f t="shared" si="166"/>
        <v>0</v>
      </c>
      <c r="LDN1590" s="55">
        <f t="shared" si="166"/>
        <v>0</v>
      </c>
      <c r="LDO1590" s="55">
        <f t="shared" si="166"/>
        <v>0</v>
      </c>
      <c r="LDP1590" s="55">
        <f t="shared" si="166"/>
        <v>0</v>
      </c>
      <c r="LDQ1590" s="55">
        <f t="shared" si="166"/>
        <v>0</v>
      </c>
      <c r="LDR1590" s="55">
        <f t="shared" si="166"/>
        <v>0</v>
      </c>
      <c r="LDS1590" s="55">
        <f t="shared" si="166"/>
        <v>0</v>
      </c>
      <c r="LDT1590" s="55">
        <f t="shared" si="166"/>
        <v>0</v>
      </c>
      <c r="LDU1590" s="55">
        <f t="shared" si="166"/>
        <v>0</v>
      </c>
      <c r="LDV1590" s="55">
        <f t="shared" si="166"/>
        <v>0</v>
      </c>
      <c r="LDW1590" s="55">
        <f t="shared" si="166"/>
        <v>0</v>
      </c>
      <c r="LDX1590" s="55">
        <f t="shared" si="166"/>
        <v>0</v>
      </c>
      <c r="LDY1590" s="55">
        <f t="shared" si="166"/>
        <v>0</v>
      </c>
      <c r="LDZ1590" s="55">
        <f t="shared" si="166"/>
        <v>0</v>
      </c>
      <c r="LEA1590" s="55">
        <f t="shared" si="166"/>
        <v>0</v>
      </c>
      <c r="LEB1590" s="55">
        <f t="shared" si="166"/>
        <v>0</v>
      </c>
      <c r="LEC1590" s="55">
        <f t="shared" si="166"/>
        <v>0</v>
      </c>
      <c r="LED1590" s="55">
        <f t="shared" si="166"/>
        <v>0</v>
      </c>
      <c r="LEE1590" s="55">
        <f t="shared" si="166"/>
        <v>0</v>
      </c>
      <c r="LEF1590" s="55">
        <f t="shared" si="166"/>
        <v>0</v>
      </c>
      <c r="LEG1590" s="55">
        <f t="shared" si="166"/>
        <v>0</v>
      </c>
      <c r="LEH1590" s="55">
        <f t="shared" si="166"/>
        <v>0</v>
      </c>
      <c r="LEI1590" s="55">
        <f t="shared" si="166"/>
        <v>0</v>
      </c>
      <c r="LEJ1590" s="55">
        <f t="shared" si="166"/>
        <v>0</v>
      </c>
      <c r="LEK1590" s="55">
        <f t="shared" si="166"/>
        <v>0</v>
      </c>
      <c r="LEL1590" s="55">
        <f t="shared" si="166"/>
        <v>0</v>
      </c>
      <c r="LEM1590" s="55">
        <f t="shared" si="166"/>
        <v>0</v>
      </c>
      <c r="LEN1590" s="55">
        <f t="shared" si="166"/>
        <v>0</v>
      </c>
      <c r="LEO1590" s="55">
        <f t="shared" si="166"/>
        <v>0</v>
      </c>
      <c r="LEP1590" s="55">
        <f t="shared" si="166"/>
        <v>0</v>
      </c>
      <c r="LEQ1590" s="55">
        <f t="shared" si="166"/>
        <v>0</v>
      </c>
      <c r="LER1590" s="55">
        <f t="shared" si="166"/>
        <v>0</v>
      </c>
      <c r="LES1590" s="55">
        <f t="shared" si="166"/>
        <v>0</v>
      </c>
      <c r="LET1590" s="55">
        <f t="shared" si="166"/>
        <v>0</v>
      </c>
      <c r="LEU1590" s="55">
        <f t="shared" si="166"/>
        <v>0</v>
      </c>
      <c r="LEV1590" s="55">
        <f t="shared" si="166"/>
        <v>0</v>
      </c>
      <c r="LEW1590" s="55">
        <f t="shared" si="166"/>
        <v>0</v>
      </c>
      <c r="LEX1590" s="55">
        <f t="shared" si="166"/>
        <v>0</v>
      </c>
      <c r="LEY1590" s="55">
        <f t="shared" si="166"/>
        <v>0</v>
      </c>
      <c r="LEZ1590" s="55">
        <f t="shared" ref="LEZ1590:LHK1590" si="167">+(LEZ1600+LEZ1604)*1.18*1.1</f>
        <v>0</v>
      </c>
      <c r="LFA1590" s="55">
        <f t="shared" si="167"/>
        <v>0</v>
      </c>
      <c r="LFB1590" s="55">
        <f t="shared" si="167"/>
        <v>0</v>
      </c>
      <c r="LFC1590" s="55">
        <f t="shared" si="167"/>
        <v>0</v>
      </c>
      <c r="LFD1590" s="55">
        <f t="shared" si="167"/>
        <v>0</v>
      </c>
      <c r="LFE1590" s="55">
        <f t="shared" si="167"/>
        <v>0</v>
      </c>
      <c r="LFF1590" s="55">
        <f t="shared" si="167"/>
        <v>0</v>
      </c>
      <c r="LFG1590" s="55">
        <f t="shared" si="167"/>
        <v>0</v>
      </c>
      <c r="LFH1590" s="55">
        <f t="shared" si="167"/>
        <v>0</v>
      </c>
      <c r="LFI1590" s="55">
        <f t="shared" si="167"/>
        <v>0</v>
      </c>
      <c r="LFJ1590" s="55">
        <f t="shared" si="167"/>
        <v>0</v>
      </c>
      <c r="LFK1590" s="55">
        <f t="shared" si="167"/>
        <v>0</v>
      </c>
      <c r="LFL1590" s="55">
        <f t="shared" si="167"/>
        <v>0</v>
      </c>
      <c r="LFM1590" s="55">
        <f t="shared" si="167"/>
        <v>0</v>
      </c>
      <c r="LFN1590" s="55">
        <f t="shared" si="167"/>
        <v>0</v>
      </c>
      <c r="LFO1590" s="55">
        <f t="shared" si="167"/>
        <v>0</v>
      </c>
      <c r="LFP1590" s="55">
        <f t="shared" si="167"/>
        <v>0</v>
      </c>
      <c r="LFQ1590" s="55">
        <f t="shared" si="167"/>
        <v>0</v>
      </c>
      <c r="LFR1590" s="55">
        <f t="shared" si="167"/>
        <v>0</v>
      </c>
      <c r="LFS1590" s="55">
        <f t="shared" si="167"/>
        <v>0</v>
      </c>
      <c r="LFT1590" s="55">
        <f t="shared" si="167"/>
        <v>0</v>
      </c>
      <c r="LFU1590" s="55">
        <f t="shared" si="167"/>
        <v>0</v>
      </c>
      <c r="LFV1590" s="55">
        <f t="shared" si="167"/>
        <v>0</v>
      </c>
      <c r="LFW1590" s="55">
        <f t="shared" si="167"/>
        <v>0</v>
      </c>
      <c r="LFX1590" s="55">
        <f t="shared" si="167"/>
        <v>0</v>
      </c>
      <c r="LFY1590" s="55">
        <f t="shared" si="167"/>
        <v>0</v>
      </c>
      <c r="LFZ1590" s="55">
        <f t="shared" si="167"/>
        <v>0</v>
      </c>
      <c r="LGA1590" s="55">
        <f t="shared" si="167"/>
        <v>0</v>
      </c>
      <c r="LGB1590" s="55">
        <f t="shared" si="167"/>
        <v>0</v>
      </c>
      <c r="LGC1590" s="55">
        <f t="shared" si="167"/>
        <v>0</v>
      </c>
      <c r="LGD1590" s="55">
        <f t="shared" si="167"/>
        <v>0</v>
      </c>
      <c r="LGE1590" s="55">
        <f t="shared" si="167"/>
        <v>0</v>
      </c>
      <c r="LGF1590" s="55">
        <f t="shared" si="167"/>
        <v>0</v>
      </c>
      <c r="LGG1590" s="55">
        <f t="shared" si="167"/>
        <v>0</v>
      </c>
      <c r="LGH1590" s="55">
        <f t="shared" si="167"/>
        <v>0</v>
      </c>
      <c r="LGI1590" s="55">
        <f t="shared" si="167"/>
        <v>0</v>
      </c>
      <c r="LGJ1590" s="55">
        <f t="shared" si="167"/>
        <v>0</v>
      </c>
      <c r="LGK1590" s="55">
        <f t="shared" si="167"/>
        <v>0</v>
      </c>
      <c r="LGL1590" s="55">
        <f t="shared" si="167"/>
        <v>0</v>
      </c>
      <c r="LGM1590" s="55">
        <f t="shared" si="167"/>
        <v>0</v>
      </c>
      <c r="LGN1590" s="55">
        <f t="shared" si="167"/>
        <v>0</v>
      </c>
      <c r="LGO1590" s="55">
        <f t="shared" si="167"/>
        <v>0</v>
      </c>
      <c r="LGP1590" s="55">
        <f t="shared" si="167"/>
        <v>0</v>
      </c>
      <c r="LGQ1590" s="55">
        <f t="shared" si="167"/>
        <v>0</v>
      </c>
      <c r="LGR1590" s="55">
        <f t="shared" si="167"/>
        <v>0</v>
      </c>
      <c r="LGS1590" s="55">
        <f t="shared" si="167"/>
        <v>0</v>
      </c>
      <c r="LGT1590" s="55">
        <f t="shared" si="167"/>
        <v>0</v>
      </c>
      <c r="LGU1590" s="55">
        <f t="shared" si="167"/>
        <v>0</v>
      </c>
      <c r="LGV1590" s="55">
        <f t="shared" si="167"/>
        <v>0</v>
      </c>
      <c r="LGW1590" s="55">
        <f t="shared" si="167"/>
        <v>0</v>
      </c>
      <c r="LGX1590" s="55">
        <f t="shared" si="167"/>
        <v>0</v>
      </c>
      <c r="LGY1590" s="55">
        <f t="shared" si="167"/>
        <v>0</v>
      </c>
      <c r="LGZ1590" s="55">
        <f t="shared" si="167"/>
        <v>0</v>
      </c>
      <c r="LHA1590" s="55">
        <f t="shared" si="167"/>
        <v>0</v>
      </c>
      <c r="LHB1590" s="55">
        <f t="shared" si="167"/>
        <v>0</v>
      </c>
      <c r="LHC1590" s="55">
        <f t="shared" si="167"/>
        <v>0</v>
      </c>
      <c r="LHD1590" s="55">
        <f t="shared" si="167"/>
        <v>0</v>
      </c>
      <c r="LHE1590" s="55">
        <f t="shared" si="167"/>
        <v>0</v>
      </c>
      <c r="LHF1590" s="55">
        <f t="shared" si="167"/>
        <v>0</v>
      </c>
      <c r="LHG1590" s="55">
        <f t="shared" si="167"/>
        <v>0</v>
      </c>
      <c r="LHH1590" s="55">
        <f t="shared" si="167"/>
        <v>0</v>
      </c>
      <c r="LHI1590" s="55">
        <f t="shared" si="167"/>
        <v>0</v>
      </c>
      <c r="LHJ1590" s="55">
        <f t="shared" si="167"/>
        <v>0</v>
      </c>
      <c r="LHK1590" s="55">
        <f t="shared" si="167"/>
        <v>0</v>
      </c>
      <c r="LHL1590" s="55">
        <f t="shared" ref="LHL1590:LJW1590" si="168">+(LHL1600+LHL1604)*1.18*1.1</f>
        <v>0</v>
      </c>
      <c r="LHM1590" s="55">
        <f t="shared" si="168"/>
        <v>0</v>
      </c>
      <c r="LHN1590" s="55">
        <f t="shared" si="168"/>
        <v>0</v>
      </c>
      <c r="LHO1590" s="55">
        <f t="shared" si="168"/>
        <v>0</v>
      </c>
      <c r="LHP1590" s="55">
        <f t="shared" si="168"/>
        <v>0</v>
      </c>
      <c r="LHQ1590" s="55">
        <f t="shared" si="168"/>
        <v>0</v>
      </c>
      <c r="LHR1590" s="55">
        <f t="shared" si="168"/>
        <v>0</v>
      </c>
      <c r="LHS1590" s="55">
        <f t="shared" si="168"/>
        <v>0</v>
      </c>
      <c r="LHT1590" s="55">
        <f t="shared" si="168"/>
        <v>0</v>
      </c>
      <c r="LHU1590" s="55">
        <f t="shared" si="168"/>
        <v>0</v>
      </c>
      <c r="LHV1590" s="55">
        <f t="shared" si="168"/>
        <v>0</v>
      </c>
      <c r="LHW1590" s="55">
        <f t="shared" si="168"/>
        <v>0</v>
      </c>
      <c r="LHX1590" s="55">
        <f t="shared" si="168"/>
        <v>0</v>
      </c>
      <c r="LHY1590" s="55">
        <f t="shared" si="168"/>
        <v>0</v>
      </c>
      <c r="LHZ1590" s="55">
        <f t="shared" si="168"/>
        <v>0</v>
      </c>
      <c r="LIA1590" s="55">
        <f t="shared" si="168"/>
        <v>0</v>
      </c>
      <c r="LIB1590" s="55">
        <f t="shared" si="168"/>
        <v>0</v>
      </c>
      <c r="LIC1590" s="55">
        <f t="shared" si="168"/>
        <v>0</v>
      </c>
      <c r="LID1590" s="55">
        <f t="shared" si="168"/>
        <v>0</v>
      </c>
      <c r="LIE1590" s="55">
        <f t="shared" si="168"/>
        <v>0</v>
      </c>
      <c r="LIF1590" s="55">
        <f t="shared" si="168"/>
        <v>0</v>
      </c>
      <c r="LIG1590" s="55">
        <f t="shared" si="168"/>
        <v>0</v>
      </c>
      <c r="LIH1590" s="55">
        <f t="shared" si="168"/>
        <v>0</v>
      </c>
      <c r="LII1590" s="55">
        <f t="shared" si="168"/>
        <v>0</v>
      </c>
      <c r="LIJ1590" s="55">
        <f t="shared" si="168"/>
        <v>0</v>
      </c>
      <c r="LIK1590" s="55">
        <f t="shared" si="168"/>
        <v>0</v>
      </c>
      <c r="LIL1590" s="55">
        <f t="shared" si="168"/>
        <v>0</v>
      </c>
      <c r="LIM1590" s="55">
        <f t="shared" si="168"/>
        <v>0</v>
      </c>
      <c r="LIN1590" s="55">
        <f t="shared" si="168"/>
        <v>0</v>
      </c>
      <c r="LIO1590" s="55">
        <f t="shared" si="168"/>
        <v>0</v>
      </c>
      <c r="LIP1590" s="55">
        <f t="shared" si="168"/>
        <v>0</v>
      </c>
      <c r="LIQ1590" s="55">
        <f t="shared" si="168"/>
        <v>0</v>
      </c>
      <c r="LIR1590" s="55">
        <f t="shared" si="168"/>
        <v>0</v>
      </c>
      <c r="LIS1590" s="55">
        <f t="shared" si="168"/>
        <v>0</v>
      </c>
      <c r="LIT1590" s="55">
        <f t="shared" si="168"/>
        <v>0</v>
      </c>
      <c r="LIU1590" s="55">
        <f t="shared" si="168"/>
        <v>0</v>
      </c>
      <c r="LIV1590" s="55">
        <f t="shared" si="168"/>
        <v>0</v>
      </c>
      <c r="LIW1590" s="55">
        <f t="shared" si="168"/>
        <v>0</v>
      </c>
      <c r="LIX1590" s="55">
        <f t="shared" si="168"/>
        <v>0</v>
      </c>
      <c r="LIY1590" s="55">
        <f t="shared" si="168"/>
        <v>0</v>
      </c>
      <c r="LIZ1590" s="55">
        <f t="shared" si="168"/>
        <v>0</v>
      </c>
      <c r="LJA1590" s="55">
        <f t="shared" si="168"/>
        <v>0</v>
      </c>
      <c r="LJB1590" s="55">
        <f t="shared" si="168"/>
        <v>0</v>
      </c>
      <c r="LJC1590" s="55">
        <f t="shared" si="168"/>
        <v>0</v>
      </c>
      <c r="LJD1590" s="55">
        <f t="shared" si="168"/>
        <v>0</v>
      </c>
      <c r="LJE1590" s="55">
        <f t="shared" si="168"/>
        <v>0</v>
      </c>
      <c r="LJF1590" s="55">
        <f t="shared" si="168"/>
        <v>0</v>
      </c>
      <c r="LJG1590" s="55">
        <f t="shared" si="168"/>
        <v>0</v>
      </c>
      <c r="LJH1590" s="55">
        <f t="shared" si="168"/>
        <v>0</v>
      </c>
      <c r="LJI1590" s="55">
        <f t="shared" si="168"/>
        <v>0</v>
      </c>
      <c r="LJJ1590" s="55">
        <f t="shared" si="168"/>
        <v>0</v>
      </c>
      <c r="LJK1590" s="55">
        <f t="shared" si="168"/>
        <v>0</v>
      </c>
      <c r="LJL1590" s="55">
        <f t="shared" si="168"/>
        <v>0</v>
      </c>
      <c r="LJM1590" s="55">
        <f t="shared" si="168"/>
        <v>0</v>
      </c>
      <c r="LJN1590" s="55">
        <f t="shared" si="168"/>
        <v>0</v>
      </c>
      <c r="LJO1590" s="55">
        <f t="shared" si="168"/>
        <v>0</v>
      </c>
      <c r="LJP1590" s="55">
        <f t="shared" si="168"/>
        <v>0</v>
      </c>
      <c r="LJQ1590" s="55">
        <f t="shared" si="168"/>
        <v>0</v>
      </c>
      <c r="LJR1590" s="55">
        <f t="shared" si="168"/>
        <v>0</v>
      </c>
      <c r="LJS1590" s="55">
        <f t="shared" si="168"/>
        <v>0</v>
      </c>
      <c r="LJT1590" s="55">
        <f t="shared" si="168"/>
        <v>0</v>
      </c>
      <c r="LJU1590" s="55">
        <f t="shared" si="168"/>
        <v>0</v>
      </c>
      <c r="LJV1590" s="55">
        <f t="shared" si="168"/>
        <v>0</v>
      </c>
      <c r="LJW1590" s="55">
        <f t="shared" si="168"/>
        <v>0</v>
      </c>
      <c r="LJX1590" s="55">
        <f t="shared" ref="LJX1590:LMI1590" si="169">+(LJX1600+LJX1604)*1.18*1.1</f>
        <v>0</v>
      </c>
      <c r="LJY1590" s="55">
        <f t="shared" si="169"/>
        <v>0</v>
      </c>
      <c r="LJZ1590" s="55">
        <f t="shared" si="169"/>
        <v>0</v>
      </c>
      <c r="LKA1590" s="55">
        <f t="shared" si="169"/>
        <v>0</v>
      </c>
      <c r="LKB1590" s="55">
        <f t="shared" si="169"/>
        <v>0</v>
      </c>
      <c r="LKC1590" s="55">
        <f t="shared" si="169"/>
        <v>0</v>
      </c>
      <c r="LKD1590" s="55">
        <f t="shared" si="169"/>
        <v>0</v>
      </c>
      <c r="LKE1590" s="55">
        <f t="shared" si="169"/>
        <v>0</v>
      </c>
      <c r="LKF1590" s="55">
        <f t="shared" si="169"/>
        <v>0</v>
      </c>
      <c r="LKG1590" s="55">
        <f t="shared" si="169"/>
        <v>0</v>
      </c>
      <c r="LKH1590" s="55">
        <f t="shared" si="169"/>
        <v>0</v>
      </c>
      <c r="LKI1590" s="55">
        <f t="shared" si="169"/>
        <v>0</v>
      </c>
      <c r="LKJ1590" s="55">
        <f t="shared" si="169"/>
        <v>0</v>
      </c>
      <c r="LKK1590" s="55">
        <f t="shared" si="169"/>
        <v>0</v>
      </c>
      <c r="LKL1590" s="55">
        <f t="shared" si="169"/>
        <v>0</v>
      </c>
      <c r="LKM1590" s="55">
        <f t="shared" si="169"/>
        <v>0</v>
      </c>
      <c r="LKN1590" s="55">
        <f t="shared" si="169"/>
        <v>0</v>
      </c>
      <c r="LKO1590" s="55">
        <f t="shared" si="169"/>
        <v>0</v>
      </c>
      <c r="LKP1590" s="55">
        <f t="shared" si="169"/>
        <v>0</v>
      </c>
      <c r="LKQ1590" s="55">
        <f t="shared" si="169"/>
        <v>0</v>
      </c>
      <c r="LKR1590" s="55">
        <f t="shared" si="169"/>
        <v>0</v>
      </c>
      <c r="LKS1590" s="55">
        <f t="shared" si="169"/>
        <v>0</v>
      </c>
      <c r="LKT1590" s="55">
        <f t="shared" si="169"/>
        <v>0</v>
      </c>
      <c r="LKU1590" s="55">
        <f t="shared" si="169"/>
        <v>0</v>
      </c>
      <c r="LKV1590" s="55">
        <f t="shared" si="169"/>
        <v>0</v>
      </c>
      <c r="LKW1590" s="55">
        <f t="shared" si="169"/>
        <v>0</v>
      </c>
      <c r="LKX1590" s="55">
        <f t="shared" si="169"/>
        <v>0</v>
      </c>
      <c r="LKY1590" s="55">
        <f t="shared" si="169"/>
        <v>0</v>
      </c>
      <c r="LKZ1590" s="55">
        <f t="shared" si="169"/>
        <v>0</v>
      </c>
      <c r="LLA1590" s="55">
        <f t="shared" si="169"/>
        <v>0</v>
      </c>
      <c r="LLB1590" s="55">
        <f t="shared" si="169"/>
        <v>0</v>
      </c>
      <c r="LLC1590" s="55">
        <f t="shared" si="169"/>
        <v>0</v>
      </c>
      <c r="LLD1590" s="55">
        <f t="shared" si="169"/>
        <v>0</v>
      </c>
      <c r="LLE1590" s="55">
        <f t="shared" si="169"/>
        <v>0</v>
      </c>
      <c r="LLF1590" s="55">
        <f t="shared" si="169"/>
        <v>0</v>
      </c>
      <c r="LLG1590" s="55">
        <f t="shared" si="169"/>
        <v>0</v>
      </c>
      <c r="LLH1590" s="55">
        <f t="shared" si="169"/>
        <v>0</v>
      </c>
      <c r="LLI1590" s="55">
        <f t="shared" si="169"/>
        <v>0</v>
      </c>
      <c r="LLJ1590" s="55">
        <f t="shared" si="169"/>
        <v>0</v>
      </c>
      <c r="LLK1590" s="55">
        <f t="shared" si="169"/>
        <v>0</v>
      </c>
      <c r="LLL1590" s="55">
        <f t="shared" si="169"/>
        <v>0</v>
      </c>
      <c r="LLM1590" s="55">
        <f t="shared" si="169"/>
        <v>0</v>
      </c>
      <c r="LLN1590" s="55">
        <f t="shared" si="169"/>
        <v>0</v>
      </c>
      <c r="LLO1590" s="55">
        <f t="shared" si="169"/>
        <v>0</v>
      </c>
      <c r="LLP1590" s="55">
        <f t="shared" si="169"/>
        <v>0</v>
      </c>
      <c r="LLQ1590" s="55">
        <f t="shared" si="169"/>
        <v>0</v>
      </c>
      <c r="LLR1590" s="55">
        <f t="shared" si="169"/>
        <v>0</v>
      </c>
      <c r="LLS1590" s="55">
        <f t="shared" si="169"/>
        <v>0</v>
      </c>
      <c r="LLT1590" s="55">
        <f t="shared" si="169"/>
        <v>0</v>
      </c>
      <c r="LLU1590" s="55">
        <f t="shared" si="169"/>
        <v>0</v>
      </c>
      <c r="LLV1590" s="55">
        <f t="shared" si="169"/>
        <v>0</v>
      </c>
      <c r="LLW1590" s="55">
        <f t="shared" si="169"/>
        <v>0</v>
      </c>
      <c r="LLX1590" s="55">
        <f t="shared" si="169"/>
        <v>0</v>
      </c>
      <c r="LLY1590" s="55">
        <f t="shared" si="169"/>
        <v>0</v>
      </c>
      <c r="LLZ1590" s="55">
        <f t="shared" si="169"/>
        <v>0</v>
      </c>
      <c r="LMA1590" s="55">
        <f t="shared" si="169"/>
        <v>0</v>
      </c>
      <c r="LMB1590" s="55">
        <f t="shared" si="169"/>
        <v>0</v>
      </c>
      <c r="LMC1590" s="55">
        <f t="shared" si="169"/>
        <v>0</v>
      </c>
      <c r="LMD1590" s="55">
        <f t="shared" si="169"/>
        <v>0</v>
      </c>
      <c r="LME1590" s="55">
        <f t="shared" si="169"/>
        <v>0</v>
      </c>
      <c r="LMF1590" s="55">
        <f t="shared" si="169"/>
        <v>0</v>
      </c>
      <c r="LMG1590" s="55">
        <f t="shared" si="169"/>
        <v>0</v>
      </c>
      <c r="LMH1590" s="55">
        <f t="shared" si="169"/>
        <v>0</v>
      </c>
      <c r="LMI1590" s="55">
        <f t="shared" si="169"/>
        <v>0</v>
      </c>
      <c r="LMJ1590" s="55">
        <f t="shared" ref="LMJ1590:LOU1590" si="170">+(LMJ1600+LMJ1604)*1.18*1.1</f>
        <v>0</v>
      </c>
      <c r="LMK1590" s="55">
        <f t="shared" si="170"/>
        <v>0</v>
      </c>
      <c r="LML1590" s="55">
        <f t="shared" si="170"/>
        <v>0</v>
      </c>
      <c r="LMM1590" s="55">
        <f t="shared" si="170"/>
        <v>0</v>
      </c>
      <c r="LMN1590" s="55">
        <f t="shared" si="170"/>
        <v>0</v>
      </c>
      <c r="LMO1590" s="55">
        <f t="shared" si="170"/>
        <v>0</v>
      </c>
      <c r="LMP1590" s="55">
        <f t="shared" si="170"/>
        <v>0</v>
      </c>
      <c r="LMQ1590" s="55">
        <f t="shared" si="170"/>
        <v>0</v>
      </c>
      <c r="LMR1590" s="55">
        <f t="shared" si="170"/>
        <v>0</v>
      </c>
      <c r="LMS1590" s="55">
        <f t="shared" si="170"/>
        <v>0</v>
      </c>
      <c r="LMT1590" s="55">
        <f t="shared" si="170"/>
        <v>0</v>
      </c>
      <c r="LMU1590" s="55">
        <f t="shared" si="170"/>
        <v>0</v>
      </c>
      <c r="LMV1590" s="55">
        <f t="shared" si="170"/>
        <v>0</v>
      </c>
      <c r="LMW1590" s="55">
        <f t="shared" si="170"/>
        <v>0</v>
      </c>
      <c r="LMX1590" s="55">
        <f t="shared" si="170"/>
        <v>0</v>
      </c>
      <c r="LMY1590" s="55">
        <f t="shared" si="170"/>
        <v>0</v>
      </c>
      <c r="LMZ1590" s="55">
        <f t="shared" si="170"/>
        <v>0</v>
      </c>
      <c r="LNA1590" s="55">
        <f t="shared" si="170"/>
        <v>0</v>
      </c>
      <c r="LNB1590" s="55">
        <f t="shared" si="170"/>
        <v>0</v>
      </c>
      <c r="LNC1590" s="55">
        <f t="shared" si="170"/>
        <v>0</v>
      </c>
      <c r="LND1590" s="55">
        <f t="shared" si="170"/>
        <v>0</v>
      </c>
      <c r="LNE1590" s="55">
        <f t="shared" si="170"/>
        <v>0</v>
      </c>
      <c r="LNF1590" s="55">
        <f t="shared" si="170"/>
        <v>0</v>
      </c>
      <c r="LNG1590" s="55">
        <f t="shared" si="170"/>
        <v>0</v>
      </c>
      <c r="LNH1590" s="55">
        <f t="shared" si="170"/>
        <v>0</v>
      </c>
      <c r="LNI1590" s="55">
        <f t="shared" si="170"/>
        <v>0</v>
      </c>
      <c r="LNJ1590" s="55">
        <f t="shared" si="170"/>
        <v>0</v>
      </c>
      <c r="LNK1590" s="55">
        <f t="shared" si="170"/>
        <v>0</v>
      </c>
      <c r="LNL1590" s="55">
        <f t="shared" si="170"/>
        <v>0</v>
      </c>
      <c r="LNM1590" s="55">
        <f t="shared" si="170"/>
        <v>0</v>
      </c>
      <c r="LNN1590" s="55">
        <f t="shared" si="170"/>
        <v>0</v>
      </c>
      <c r="LNO1590" s="55">
        <f t="shared" si="170"/>
        <v>0</v>
      </c>
      <c r="LNP1590" s="55">
        <f t="shared" si="170"/>
        <v>0</v>
      </c>
      <c r="LNQ1590" s="55">
        <f t="shared" si="170"/>
        <v>0</v>
      </c>
      <c r="LNR1590" s="55">
        <f t="shared" si="170"/>
        <v>0</v>
      </c>
      <c r="LNS1590" s="55">
        <f t="shared" si="170"/>
        <v>0</v>
      </c>
      <c r="LNT1590" s="55">
        <f t="shared" si="170"/>
        <v>0</v>
      </c>
      <c r="LNU1590" s="55">
        <f t="shared" si="170"/>
        <v>0</v>
      </c>
      <c r="LNV1590" s="55">
        <f t="shared" si="170"/>
        <v>0</v>
      </c>
      <c r="LNW1590" s="55">
        <f t="shared" si="170"/>
        <v>0</v>
      </c>
      <c r="LNX1590" s="55">
        <f t="shared" si="170"/>
        <v>0</v>
      </c>
      <c r="LNY1590" s="55">
        <f t="shared" si="170"/>
        <v>0</v>
      </c>
      <c r="LNZ1590" s="55">
        <f t="shared" si="170"/>
        <v>0</v>
      </c>
      <c r="LOA1590" s="55">
        <f t="shared" si="170"/>
        <v>0</v>
      </c>
      <c r="LOB1590" s="55">
        <f t="shared" si="170"/>
        <v>0</v>
      </c>
      <c r="LOC1590" s="55">
        <f t="shared" si="170"/>
        <v>0</v>
      </c>
      <c r="LOD1590" s="55">
        <f t="shared" si="170"/>
        <v>0</v>
      </c>
      <c r="LOE1590" s="55">
        <f t="shared" si="170"/>
        <v>0</v>
      </c>
      <c r="LOF1590" s="55">
        <f t="shared" si="170"/>
        <v>0</v>
      </c>
      <c r="LOG1590" s="55">
        <f t="shared" si="170"/>
        <v>0</v>
      </c>
      <c r="LOH1590" s="55">
        <f t="shared" si="170"/>
        <v>0</v>
      </c>
      <c r="LOI1590" s="55">
        <f t="shared" si="170"/>
        <v>0</v>
      </c>
      <c r="LOJ1590" s="55">
        <f t="shared" si="170"/>
        <v>0</v>
      </c>
      <c r="LOK1590" s="55">
        <f t="shared" si="170"/>
        <v>0</v>
      </c>
      <c r="LOL1590" s="55">
        <f t="shared" si="170"/>
        <v>0</v>
      </c>
      <c r="LOM1590" s="55">
        <f t="shared" si="170"/>
        <v>0</v>
      </c>
      <c r="LON1590" s="55">
        <f t="shared" si="170"/>
        <v>0</v>
      </c>
      <c r="LOO1590" s="55">
        <f t="shared" si="170"/>
        <v>0</v>
      </c>
      <c r="LOP1590" s="55">
        <f t="shared" si="170"/>
        <v>0</v>
      </c>
      <c r="LOQ1590" s="55">
        <f t="shared" si="170"/>
        <v>0</v>
      </c>
      <c r="LOR1590" s="55">
        <f t="shared" si="170"/>
        <v>0</v>
      </c>
      <c r="LOS1590" s="55">
        <f t="shared" si="170"/>
        <v>0</v>
      </c>
      <c r="LOT1590" s="55">
        <f t="shared" si="170"/>
        <v>0</v>
      </c>
      <c r="LOU1590" s="55">
        <f t="shared" si="170"/>
        <v>0</v>
      </c>
      <c r="LOV1590" s="55">
        <f t="shared" ref="LOV1590:LRG1590" si="171">+(LOV1600+LOV1604)*1.18*1.1</f>
        <v>0</v>
      </c>
      <c r="LOW1590" s="55">
        <f t="shared" si="171"/>
        <v>0</v>
      </c>
      <c r="LOX1590" s="55">
        <f t="shared" si="171"/>
        <v>0</v>
      </c>
      <c r="LOY1590" s="55">
        <f t="shared" si="171"/>
        <v>0</v>
      </c>
      <c r="LOZ1590" s="55">
        <f t="shared" si="171"/>
        <v>0</v>
      </c>
      <c r="LPA1590" s="55">
        <f t="shared" si="171"/>
        <v>0</v>
      </c>
      <c r="LPB1590" s="55">
        <f t="shared" si="171"/>
        <v>0</v>
      </c>
      <c r="LPC1590" s="55">
        <f t="shared" si="171"/>
        <v>0</v>
      </c>
      <c r="LPD1590" s="55">
        <f t="shared" si="171"/>
        <v>0</v>
      </c>
      <c r="LPE1590" s="55">
        <f t="shared" si="171"/>
        <v>0</v>
      </c>
      <c r="LPF1590" s="55">
        <f t="shared" si="171"/>
        <v>0</v>
      </c>
      <c r="LPG1590" s="55">
        <f t="shared" si="171"/>
        <v>0</v>
      </c>
      <c r="LPH1590" s="55">
        <f t="shared" si="171"/>
        <v>0</v>
      </c>
      <c r="LPI1590" s="55">
        <f t="shared" si="171"/>
        <v>0</v>
      </c>
      <c r="LPJ1590" s="55">
        <f t="shared" si="171"/>
        <v>0</v>
      </c>
      <c r="LPK1590" s="55">
        <f t="shared" si="171"/>
        <v>0</v>
      </c>
      <c r="LPL1590" s="55">
        <f t="shared" si="171"/>
        <v>0</v>
      </c>
      <c r="LPM1590" s="55">
        <f t="shared" si="171"/>
        <v>0</v>
      </c>
      <c r="LPN1590" s="55">
        <f t="shared" si="171"/>
        <v>0</v>
      </c>
      <c r="LPO1590" s="55">
        <f t="shared" si="171"/>
        <v>0</v>
      </c>
      <c r="LPP1590" s="55">
        <f t="shared" si="171"/>
        <v>0</v>
      </c>
      <c r="LPQ1590" s="55">
        <f t="shared" si="171"/>
        <v>0</v>
      </c>
      <c r="LPR1590" s="55">
        <f t="shared" si="171"/>
        <v>0</v>
      </c>
      <c r="LPS1590" s="55">
        <f t="shared" si="171"/>
        <v>0</v>
      </c>
      <c r="LPT1590" s="55">
        <f t="shared" si="171"/>
        <v>0</v>
      </c>
      <c r="LPU1590" s="55">
        <f t="shared" si="171"/>
        <v>0</v>
      </c>
      <c r="LPV1590" s="55">
        <f t="shared" si="171"/>
        <v>0</v>
      </c>
      <c r="LPW1590" s="55">
        <f t="shared" si="171"/>
        <v>0</v>
      </c>
      <c r="LPX1590" s="55">
        <f t="shared" si="171"/>
        <v>0</v>
      </c>
      <c r="LPY1590" s="55">
        <f t="shared" si="171"/>
        <v>0</v>
      </c>
      <c r="LPZ1590" s="55">
        <f t="shared" si="171"/>
        <v>0</v>
      </c>
      <c r="LQA1590" s="55">
        <f t="shared" si="171"/>
        <v>0</v>
      </c>
      <c r="LQB1590" s="55">
        <f t="shared" si="171"/>
        <v>0</v>
      </c>
      <c r="LQC1590" s="55">
        <f t="shared" si="171"/>
        <v>0</v>
      </c>
      <c r="LQD1590" s="55">
        <f t="shared" si="171"/>
        <v>0</v>
      </c>
      <c r="LQE1590" s="55">
        <f t="shared" si="171"/>
        <v>0</v>
      </c>
      <c r="LQF1590" s="55">
        <f t="shared" si="171"/>
        <v>0</v>
      </c>
      <c r="LQG1590" s="55">
        <f t="shared" si="171"/>
        <v>0</v>
      </c>
      <c r="LQH1590" s="55">
        <f t="shared" si="171"/>
        <v>0</v>
      </c>
      <c r="LQI1590" s="55">
        <f t="shared" si="171"/>
        <v>0</v>
      </c>
      <c r="LQJ1590" s="55">
        <f t="shared" si="171"/>
        <v>0</v>
      </c>
      <c r="LQK1590" s="55">
        <f t="shared" si="171"/>
        <v>0</v>
      </c>
      <c r="LQL1590" s="55">
        <f t="shared" si="171"/>
        <v>0</v>
      </c>
      <c r="LQM1590" s="55">
        <f t="shared" si="171"/>
        <v>0</v>
      </c>
      <c r="LQN1590" s="55">
        <f t="shared" si="171"/>
        <v>0</v>
      </c>
      <c r="LQO1590" s="55">
        <f t="shared" si="171"/>
        <v>0</v>
      </c>
      <c r="LQP1590" s="55">
        <f t="shared" si="171"/>
        <v>0</v>
      </c>
      <c r="LQQ1590" s="55">
        <f t="shared" si="171"/>
        <v>0</v>
      </c>
      <c r="LQR1590" s="55">
        <f t="shared" si="171"/>
        <v>0</v>
      </c>
      <c r="LQS1590" s="55">
        <f t="shared" si="171"/>
        <v>0</v>
      </c>
      <c r="LQT1590" s="55">
        <f t="shared" si="171"/>
        <v>0</v>
      </c>
      <c r="LQU1590" s="55">
        <f t="shared" si="171"/>
        <v>0</v>
      </c>
      <c r="LQV1590" s="55">
        <f t="shared" si="171"/>
        <v>0</v>
      </c>
      <c r="LQW1590" s="55">
        <f t="shared" si="171"/>
        <v>0</v>
      </c>
      <c r="LQX1590" s="55">
        <f t="shared" si="171"/>
        <v>0</v>
      </c>
      <c r="LQY1590" s="55">
        <f t="shared" si="171"/>
        <v>0</v>
      </c>
      <c r="LQZ1590" s="55">
        <f t="shared" si="171"/>
        <v>0</v>
      </c>
      <c r="LRA1590" s="55">
        <f t="shared" si="171"/>
        <v>0</v>
      </c>
      <c r="LRB1590" s="55">
        <f t="shared" si="171"/>
        <v>0</v>
      </c>
      <c r="LRC1590" s="55">
        <f t="shared" si="171"/>
        <v>0</v>
      </c>
      <c r="LRD1590" s="55">
        <f t="shared" si="171"/>
        <v>0</v>
      </c>
      <c r="LRE1590" s="55">
        <f t="shared" si="171"/>
        <v>0</v>
      </c>
      <c r="LRF1590" s="55">
        <f t="shared" si="171"/>
        <v>0</v>
      </c>
      <c r="LRG1590" s="55">
        <f t="shared" si="171"/>
        <v>0</v>
      </c>
      <c r="LRH1590" s="55">
        <f t="shared" ref="LRH1590:LTS1590" si="172">+(LRH1600+LRH1604)*1.18*1.1</f>
        <v>0</v>
      </c>
      <c r="LRI1590" s="55">
        <f t="shared" si="172"/>
        <v>0</v>
      </c>
      <c r="LRJ1590" s="55">
        <f t="shared" si="172"/>
        <v>0</v>
      </c>
      <c r="LRK1590" s="55">
        <f t="shared" si="172"/>
        <v>0</v>
      </c>
      <c r="LRL1590" s="55">
        <f t="shared" si="172"/>
        <v>0</v>
      </c>
      <c r="LRM1590" s="55">
        <f t="shared" si="172"/>
        <v>0</v>
      </c>
      <c r="LRN1590" s="55">
        <f t="shared" si="172"/>
        <v>0</v>
      </c>
      <c r="LRO1590" s="55">
        <f t="shared" si="172"/>
        <v>0</v>
      </c>
      <c r="LRP1590" s="55">
        <f t="shared" si="172"/>
        <v>0</v>
      </c>
      <c r="LRQ1590" s="55">
        <f t="shared" si="172"/>
        <v>0</v>
      </c>
      <c r="LRR1590" s="55">
        <f t="shared" si="172"/>
        <v>0</v>
      </c>
      <c r="LRS1590" s="55">
        <f t="shared" si="172"/>
        <v>0</v>
      </c>
      <c r="LRT1590" s="55">
        <f t="shared" si="172"/>
        <v>0</v>
      </c>
      <c r="LRU1590" s="55">
        <f t="shared" si="172"/>
        <v>0</v>
      </c>
      <c r="LRV1590" s="55">
        <f t="shared" si="172"/>
        <v>0</v>
      </c>
      <c r="LRW1590" s="55">
        <f t="shared" si="172"/>
        <v>0</v>
      </c>
      <c r="LRX1590" s="55">
        <f t="shared" si="172"/>
        <v>0</v>
      </c>
      <c r="LRY1590" s="55">
        <f t="shared" si="172"/>
        <v>0</v>
      </c>
      <c r="LRZ1590" s="55">
        <f t="shared" si="172"/>
        <v>0</v>
      </c>
      <c r="LSA1590" s="55">
        <f t="shared" si="172"/>
        <v>0</v>
      </c>
      <c r="LSB1590" s="55">
        <f t="shared" si="172"/>
        <v>0</v>
      </c>
      <c r="LSC1590" s="55">
        <f t="shared" si="172"/>
        <v>0</v>
      </c>
      <c r="LSD1590" s="55">
        <f t="shared" si="172"/>
        <v>0</v>
      </c>
      <c r="LSE1590" s="55">
        <f t="shared" si="172"/>
        <v>0</v>
      </c>
      <c r="LSF1590" s="55">
        <f t="shared" si="172"/>
        <v>0</v>
      </c>
      <c r="LSG1590" s="55">
        <f t="shared" si="172"/>
        <v>0</v>
      </c>
      <c r="LSH1590" s="55">
        <f t="shared" si="172"/>
        <v>0</v>
      </c>
      <c r="LSI1590" s="55">
        <f t="shared" si="172"/>
        <v>0</v>
      </c>
      <c r="LSJ1590" s="55">
        <f t="shared" si="172"/>
        <v>0</v>
      </c>
      <c r="LSK1590" s="55">
        <f t="shared" si="172"/>
        <v>0</v>
      </c>
      <c r="LSL1590" s="55">
        <f t="shared" si="172"/>
        <v>0</v>
      </c>
      <c r="LSM1590" s="55">
        <f t="shared" si="172"/>
        <v>0</v>
      </c>
      <c r="LSN1590" s="55">
        <f t="shared" si="172"/>
        <v>0</v>
      </c>
      <c r="LSO1590" s="55">
        <f t="shared" si="172"/>
        <v>0</v>
      </c>
      <c r="LSP1590" s="55">
        <f t="shared" si="172"/>
        <v>0</v>
      </c>
      <c r="LSQ1590" s="55">
        <f t="shared" si="172"/>
        <v>0</v>
      </c>
      <c r="LSR1590" s="55">
        <f t="shared" si="172"/>
        <v>0</v>
      </c>
      <c r="LSS1590" s="55">
        <f t="shared" si="172"/>
        <v>0</v>
      </c>
      <c r="LST1590" s="55">
        <f t="shared" si="172"/>
        <v>0</v>
      </c>
      <c r="LSU1590" s="55">
        <f t="shared" si="172"/>
        <v>0</v>
      </c>
      <c r="LSV1590" s="55">
        <f t="shared" si="172"/>
        <v>0</v>
      </c>
      <c r="LSW1590" s="55">
        <f t="shared" si="172"/>
        <v>0</v>
      </c>
      <c r="LSX1590" s="55">
        <f t="shared" si="172"/>
        <v>0</v>
      </c>
      <c r="LSY1590" s="55">
        <f t="shared" si="172"/>
        <v>0</v>
      </c>
      <c r="LSZ1590" s="55">
        <f t="shared" si="172"/>
        <v>0</v>
      </c>
      <c r="LTA1590" s="55">
        <f t="shared" si="172"/>
        <v>0</v>
      </c>
      <c r="LTB1590" s="55">
        <f t="shared" si="172"/>
        <v>0</v>
      </c>
      <c r="LTC1590" s="55">
        <f t="shared" si="172"/>
        <v>0</v>
      </c>
      <c r="LTD1590" s="55">
        <f t="shared" si="172"/>
        <v>0</v>
      </c>
      <c r="LTE1590" s="55">
        <f t="shared" si="172"/>
        <v>0</v>
      </c>
      <c r="LTF1590" s="55">
        <f t="shared" si="172"/>
        <v>0</v>
      </c>
      <c r="LTG1590" s="55">
        <f t="shared" si="172"/>
        <v>0</v>
      </c>
      <c r="LTH1590" s="55">
        <f t="shared" si="172"/>
        <v>0</v>
      </c>
      <c r="LTI1590" s="55">
        <f t="shared" si="172"/>
        <v>0</v>
      </c>
      <c r="LTJ1590" s="55">
        <f t="shared" si="172"/>
        <v>0</v>
      </c>
      <c r="LTK1590" s="55">
        <f t="shared" si="172"/>
        <v>0</v>
      </c>
      <c r="LTL1590" s="55">
        <f t="shared" si="172"/>
        <v>0</v>
      </c>
      <c r="LTM1590" s="55">
        <f t="shared" si="172"/>
        <v>0</v>
      </c>
      <c r="LTN1590" s="55">
        <f t="shared" si="172"/>
        <v>0</v>
      </c>
      <c r="LTO1590" s="55">
        <f t="shared" si="172"/>
        <v>0</v>
      </c>
      <c r="LTP1590" s="55">
        <f t="shared" si="172"/>
        <v>0</v>
      </c>
      <c r="LTQ1590" s="55">
        <f t="shared" si="172"/>
        <v>0</v>
      </c>
      <c r="LTR1590" s="55">
        <f t="shared" si="172"/>
        <v>0</v>
      </c>
      <c r="LTS1590" s="55">
        <f t="shared" si="172"/>
        <v>0</v>
      </c>
      <c r="LTT1590" s="55">
        <f t="shared" ref="LTT1590:LWE1590" si="173">+(LTT1600+LTT1604)*1.18*1.1</f>
        <v>0</v>
      </c>
      <c r="LTU1590" s="55">
        <f t="shared" si="173"/>
        <v>0</v>
      </c>
      <c r="LTV1590" s="55">
        <f t="shared" si="173"/>
        <v>0</v>
      </c>
      <c r="LTW1590" s="55">
        <f t="shared" si="173"/>
        <v>0</v>
      </c>
      <c r="LTX1590" s="55">
        <f t="shared" si="173"/>
        <v>0</v>
      </c>
      <c r="LTY1590" s="55">
        <f t="shared" si="173"/>
        <v>0</v>
      </c>
      <c r="LTZ1590" s="55">
        <f t="shared" si="173"/>
        <v>0</v>
      </c>
      <c r="LUA1590" s="55">
        <f t="shared" si="173"/>
        <v>0</v>
      </c>
      <c r="LUB1590" s="55">
        <f t="shared" si="173"/>
        <v>0</v>
      </c>
      <c r="LUC1590" s="55">
        <f t="shared" si="173"/>
        <v>0</v>
      </c>
      <c r="LUD1590" s="55">
        <f t="shared" si="173"/>
        <v>0</v>
      </c>
      <c r="LUE1590" s="55">
        <f t="shared" si="173"/>
        <v>0</v>
      </c>
      <c r="LUF1590" s="55">
        <f t="shared" si="173"/>
        <v>0</v>
      </c>
      <c r="LUG1590" s="55">
        <f t="shared" si="173"/>
        <v>0</v>
      </c>
      <c r="LUH1590" s="55">
        <f t="shared" si="173"/>
        <v>0</v>
      </c>
      <c r="LUI1590" s="55">
        <f t="shared" si="173"/>
        <v>0</v>
      </c>
      <c r="LUJ1590" s="55">
        <f t="shared" si="173"/>
        <v>0</v>
      </c>
      <c r="LUK1590" s="55">
        <f t="shared" si="173"/>
        <v>0</v>
      </c>
      <c r="LUL1590" s="55">
        <f t="shared" si="173"/>
        <v>0</v>
      </c>
      <c r="LUM1590" s="55">
        <f t="shared" si="173"/>
        <v>0</v>
      </c>
      <c r="LUN1590" s="55">
        <f t="shared" si="173"/>
        <v>0</v>
      </c>
      <c r="LUO1590" s="55">
        <f t="shared" si="173"/>
        <v>0</v>
      </c>
      <c r="LUP1590" s="55">
        <f t="shared" si="173"/>
        <v>0</v>
      </c>
      <c r="LUQ1590" s="55">
        <f t="shared" si="173"/>
        <v>0</v>
      </c>
      <c r="LUR1590" s="55">
        <f t="shared" si="173"/>
        <v>0</v>
      </c>
      <c r="LUS1590" s="55">
        <f t="shared" si="173"/>
        <v>0</v>
      </c>
      <c r="LUT1590" s="55">
        <f t="shared" si="173"/>
        <v>0</v>
      </c>
      <c r="LUU1590" s="55">
        <f t="shared" si="173"/>
        <v>0</v>
      </c>
      <c r="LUV1590" s="55">
        <f t="shared" si="173"/>
        <v>0</v>
      </c>
      <c r="LUW1590" s="55">
        <f t="shared" si="173"/>
        <v>0</v>
      </c>
      <c r="LUX1590" s="55">
        <f t="shared" si="173"/>
        <v>0</v>
      </c>
      <c r="LUY1590" s="55">
        <f t="shared" si="173"/>
        <v>0</v>
      </c>
      <c r="LUZ1590" s="55">
        <f t="shared" si="173"/>
        <v>0</v>
      </c>
      <c r="LVA1590" s="55">
        <f t="shared" si="173"/>
        <v>0</v>
      </c>
      <c r="LVB1590" s="55">
        <f t="shared" si="173"/>
        <v>0</v>
      </c>
      <c r="LVC1590" s="55">
        <f t="shared" si="173"/>
        <v>0</v>
      </c>
      <c r="LVD1590" s="55">
        <f t="shared" si="173"/>
        <v>0</v>
      </c>
      <c r="LVE1590" s="55">
        <f t="shared" si="173"/>
        <v>0</v>
      </c>
      <c r="LVF1590" s="55">
        <f t="shared" si="173"/>
        <v>0</v>
      </c>
      <c r="LVG1590" s="55">
        <f t="shared" si="173"/>
        <v>0</v>
      </c>
      <c r="LVH1590" s="55">
        <f t="shared" si="173"/>
        <v>0</v>
      </c>
      <c r="LVI1590" s="55">
        <f t="shared" si="173"/>
        <v>0</v>
      </c>
      <c r="LVJ1590" s="55">
        <f t="shared" si="173"/>
        <v>0</v>
      </c>
      <c r="LVK1590" s="55">
        <f t="shared" si="173"/>
        <v>0</v>
      </c>
      <c r="LVL1590" s="55">
        <f t="shared" si="173"/>
        <v>0</v>
      </c>
      <c r="LVM1590" s="55">
        <f t="shared" si="173"/>
        <v>0</v>
      </c>
      <c r="LVN1590" s="55">
        <f t="shared" si="173"/>
        <v>0</v>
      </c>
      <c r="LVO1590" s="55">
        <f t="shared" si="173"/>
        <v>0</v>
      </c>
      <c r="LVP1590" s="55">
        <f t="shared" si="173"/>
        <v>0</v>
      </c>
      <c r="LVQ1590" s="55">
        <f t="shared" si="173"/>
        <v>0</v>
      </c>
      <c r="LVR1590" s="55">
        <f t="shared" si="173"/>
        <v>0</v>
      </c>
      <c r="LVS1590" s="55">
        <f t="shared" si="173"/>
        <v>0</v>
      </c>
      <c r="LVT1590" s="55">
        <f t="shared" si="173"/>
        <v>0</v>
      </c>
      <c r="LVU1590" s="55">
        <f t="shared" si="173"/>
        <v>0</v>
      </c>
      <c r="LVV1590" s="55">
        <f t="shared" si="173"/>
        <v>0</v>
      </c>
      <c r="LVW1590" s="55">
        <f t="shared" si="173"/>
        <v>0</v>
      </c>
      <c r="LVX1590" s="55">
        <f t="shared" si="173"/>
        <v>0</v>
      </c>
      <c r="LVY1590" s="55">
        <f t="shared" si="173"/>
        <v>0</v>
      </c>
      <c r="LVZ1590" s="55">
        <f t="shared" si="173"/>
        <v>0</v>
      </c>
      <c r="LWA1590" s="55">
        <f t="shared" si="173"/>
        <v>0</v>
      </c>
      <c r="LWB1590" s="55">
        <f t="shared" si="173"/>
        <v>0</v>
      </c>
      <c r="LWC1590" s="55">
        <f t="shared" si="173"/>
        <v>0</v>
      </c>
      <c r="LWD1590" s="55">
        <f t="shared" si="173"/>
        <v>0</v>
      </c>
      <c r="LWE1590" s="55">
        <f t="shared" si="173"/>
        <v>0</v>
      </c>
      <c r="LWF1590" s="55">
        <f t="shared" ref="LWF1590:LYQ1590" si="174">+(LWF1600+LWF1604)*1.18*1.1</f>
        <v>0</v>
      </c>
      <c r="LWG1590" s="55">
        <f t="shared" si="174"/>
        <v>0</v>
      </c>
      <c r="LWH1590" s="55">
        <f t="shared" si="174"/>
        <v>0</v>
      </c>
      <c r="LWI1590" s="55">
        <f t="shared" si="174"/>
        <v>0</v>
      </c>
      <c r="LWJ1590" s="55">
        <f t="shared" si="174"/>
        <v>0</v>
      </c>
      <c r="LWK1590" s="55">
        <f t="shared" si="174"/>
        <v>0</v>
      </c>
      <c r="LWL1590" s="55">
        <f t="shared" si="174"/>
        <v>0</v>
      </c>
      <c r="LWM1590" s="55">
        <f t="shared" si="174"/>
        <v>0</v>
      </c>
      <c r="LWN1590" s="55">
        <f t="shared" si="174"/>
        <v>0</v>
      </c>
      <c r="LWO1590" s="55">
        <f t="shared" si="174"/>
        <v>0</v>
      </c>
      <c r="LWP1590" s="55">
        <f t="shared" si="174"/>
        <v>0</v>
      </c>
      <c r="LWQ1590" s="55">
        <f t="shared" si="174"/>
        <v>0</v>
      </c>
      <c r="LWR1590" s="55">
        <f t="shared" si="174"/>
        <v>0</v>
      </c>
      <c r="LWS1590" s="55">
        <f t="shared" si="174"/>
        <v>0</v>
      </c>
      <c r="LWT1590" s="55">
        <f t="shared" si="174"/>
        <v>0</v>
      </c>
      <c r="LWU1590" s="55">
        <f t="shared" si="174"/>
        <v>0</v>
      </c>
      <c r="LWV1590" s="55">
        <f t="shared" si="174"/>
        <v>0</v>
      </c>
      <c r="LWW1590" s="55">
        <f t="shared" si="174"/>
        <v>0</v>
      </c>
      <c r="LWX1590" s="55">
        <f t="shared" si="174"/>
        <v>0</v>
      </c>
      <c r="LWY1590" s="55">
        <f t="shared" si="174"/>
        <v>0</v>
      </c>
      <c r="LWZ1590" s="55">
        <f t="shared" si="174"/>
        <v>0</v>
      </c>
      <c r="LXA1590" s="55">
        <f t="shared" si="174"/>
        <v>0</v>
      </c>
      <c r="LXB1590" s="55">
        <f t="shared" si="174"/>
        <v>0</v>
      </c>
      <c r="LXC1590" s="55">
        <f t="shared" si="174"/>
        <v>0</v>
      </c>
      <c r="LXD1590" s="55">
        <f t="shared" si="174"/>
        <v>0</v>
      </c>
      <c r="LXE1590" s="55">
        <f t="shared" si="174"/>
        <v>0</v>
      </c>
      <c r="LXF1590" s="55">
        <f t="shared" si="174"/>
        <v>0</v>
      </c>
      <c r="LXG1590" s="55">
        <f t="shared" si="174"/>
        <v>0</v>
      </c>
      <c r="LXH1590" s="55">
        <f t="shared" si="174"/>
        <v>0</v>
      </c>
      <c r="LXI1590" s="55">
        <f t="shared" si="174"/>
        <v>0</v>
      </c>
      <c r="LXJ1590" s="55">
        <f t="shared" si="174"/>
        <v>0</v>
      </c>
      <c r="LXK1590" s="55">
        <f t="shared" si="174"/>
        <v>0</v>
      </c>
      <c r="LXL1590" s="55">
        <f t="shared" si="174"/>
        <v>0</v>
      </c>
      <c r="LXM1590" s="55">
        <f t="shared" si="174"/>
        <v>0</v>
      </c>
      <c r="LXN1590" s="55">
        <f t="shared" si="174"/>
        <v>0</v>
      </c>
      <c r="LXO1590" s="55">
        <f t="shared" si="174"/>
        <v>0</v>
      </c>
      <c r="LXP1590" s="55">
        <f t="shared" si="174"/>
        <v>0</v>
      </c>
      <c r="LXQ1590" s="55">
        <f t="shared" si="174"/>
        <v>0</v>
      </c>
      <c r="LXR1590" s="55">
        <f t="shared" si="174"/>
        <v>0</v>
      </c>
      <c r="LXS1590" s="55">
        <f t="shared" si="174"/>
        <v>0</v>
      </c>
      <c r="LXT1590" s="55">
        <f t="shared" si="174"/>
        <v>0</v>
      </c>
      <c r="LXU1590" s="55">
        <f t="shared" si="174"/>
        <v>0</v>
      </c>
      <c r="LXV1590" s="55">
        <f t="shared" si="174"/>
        <v>0</v>
      </c>
      <c r="LXW1590" s="55">
        <f t="shared" si="174"/>
        <v>0</v>
      </c>
      <c r="LXX1590" s="55">
        <f t="shared" si="174"/>
        <v>0</v>
      </c>
      <c r="LXY1590" s="55">
        <f t="shared" si="174"/>
        <v>0</v>
      </c>
      <c r="LXZ1590" s="55">
        <f t="shared" si="174"/>
        <v>0</v>
      </c>
      <c r="LYA1590" s="55">
        <f t="shared" si="174"/>
        <v>0</v>
      </c>
      <c r="LYB1590" s="55">
        <f t="shared" si="174"/>
        <v>0</v>
      </c>
      <c r="LYC1590" s="55">
        <f t="shared" si="174"/>
        <v>0</v>
      </c>
      <c r="LYD1590" s="55">
        <f t="shared" si="174"/>
        <v>0</v>
      </c>
      <c r="LYE1590" s="55">
        <f t="shared" si="174"/>
        <v>0</v>
      </c>
      <c r="LYF1590" s="55">
        <f t="shared" si="174"/>
        <v>0</v>
      </c>
      <c r="LYG1590" s="55">
        <f t="shared" si="174"/>
        <v>0</v>
      </c>
      <c r="LYH1590" s="55">
        <f t="shared" si="174"/>
        <v>0</v>
      </c>
      <c r="LYI1590" s="55">
        <f t="shared" si="174"/>
        <v>0</v>
      </c>
      <c r="LYJ1590" s="55">
        <f t="shared" si="174"/>
        <v>0</v>
      </c>
      <c r="LYK1590" s="55">
        <f t="shared" si="174"/>
        <v>0</v>
      </c>
      <c r="LYL1590" s="55">
        <f t="shared" si="174"/>
        <v>0</v>
      </c>
      <c r="LYM1590" s="55">
        <f t="shared" si="174"/>
        <v>0</v>
      </c>
      <c r="LYN1590" s="55">
        <f t="shared" si="174"/>
        <v>0</v>
      </c>
      <c r="LYO1590" s="55">
        <f t="shared" si="174"/>
        <v>0</v>
      </c>
      <c r="LYP1590" s="55">
        <f t="shared" si="174"/>
        <v>0</v>
      </c>
      <c r="LYQ1590" s="55">
        <f t="shared" si="174"/>
        <v>0</v>
      </c>
      <c r="LYR1590" s="55">
        <f t="shared" ref="LYR1590:MBC1590" si="175">+(LYR1600+LYR1604)*1.18*1.1</f>
        <v>0</v>
      </c>
      <c r="LYS1590" s="55">
        <f t="shared" si="175"/>
        <v>0</v>
      </c>
      <c r="LYT1590" s="55">
        <f t="shared" si="175"/>
        <v>0</v>
      </c>
      <c r="LYU1590" s="55">
        <f t="shared" si="175"/>
        <v>0</v>
      </c>
      <c r="LYV1590" s="55">
        <f t="shared" si="175"/>
        <v>0</v>
      </c>
      <c r="LYW1590" s="55">
        <f t="shared" si="175"/>
        <v>0</v>
      </c>
      <c r="LYX1590" s="55">
        <f t="shared" si="175"/>
        <v>0</v>
      </c>
      <c r="LYY1590" s="55">
        <f t="shared" si="175"/>
        <v>0</v>
      </c>
      <c r="LYZ1590" s="55">
        <f t="shared" si="175"/>
        <v>0</v>
      </c>
      <c r="LZA1590" s="55">
        <f t="shared" si="175"/>
        <v>0</v>
      </c>
      <c r="LZB1590" s="55">
        <f t="shared" si="175"/>
        <v>0</v>
      </c>
      <c r="LZC1590" s="55">
        <f t="shared" si="175"/>
        <v>0</v>
      </c>
      <c r="LZD1590" s="55">
        <f t="shared" si="175"/>
        <v>0</v>
      </c>
      <c r="LZE1590" s="55">
        <f t="shared" si="175"/>
        <v>0</v>
      </c>
      <c r="LZF1590" s="55">
        <f t="shared" si="175"/>
        <v>0</v>
      </c>
      <c r="LZG1590" s="55">
        <f t="shared" si="175"/>
        <v>0</v>
      </c>
      <c r="LZH1590" s="55">
        <f t="shared" si="175"/>
        <v>0</v>
      </c>
      <c r="LZI1590" s="55">
        <f t="shared" si="175"/>
        <v>0</v>
      </c>
      <c r="LZJ1590" s="55">
        <f t="shared" si="175"/>
        <v>0</v>
      </c>
      <c r="LZK1590" s="55">
        <f t="shared" si="175"/>
        <v>0</v>
      </c>
      <c r="LZL1590" s="55">
        <f t="shared" si="175"/>
        <v>0</v>
      </c>
      <c r="LZM1590" s="55">
        <f t="shared" si="175"/>
        <v>0</v>
      </c>
      <c r="LZN1590" s="55">
        <f t="shared" si="175"/>
        <v>0</v>
      </c>
      <c r="LZO1590" s="55">
        <f t="shared" si="175"/>
        <v>0</v>
      </c>
      <c r="LZP1590" s="55">
        <f t="shared" si="175"/>
        <v>0</v>
      </c>
      <c r="LZQ1590" s="55">
        <f t="shared" si="175"/>
        <v>0</v>
      </c>
      <c r="LZR1590" s="55">
        <f t="shared" si="175"/>
        <v>0</v>
      </c>
      <c r="LZS1590" s="55">
        <f t="shared" si="175"/>
        <v>0</v>
      </c>
      <c r="LZT1590" s="55">
        <f t="shared" si="175"/>
        <v>0</v>
      </c>
      <c r="LZU1590" s="55">
        <f t="shared" si="175"/>
        <v>0</v>
      </c>
      <c r="LZV1590" s="55">
        <f t="shared" si="175"/>
        <v>0</v>
      </c>
      <c r="LZW1590" s="55">
        <f t="shared" si="175"/>
        <v>0</v>
      </c>
      <c r="LZX1590" s="55">
        <f t="shared" si="175"/>
        <v>0</v>
      </c>
      <c r="LZY1590" s="55">
        <f t="shared" si="175"/>
        <v>0</v>
      </c>
      <c r="LZZ1590" s="55">
        <f t="shared" si="175"/>
        <v>0</v>
      </c>
      <c r="MAA1590" s="55">
        <f t="shared" si="175"/>
        <v>0</v>
      </c>
      <c r="MAB1590" s="55">
        <f t="shared" si="175"/>
        <v>0</v>
      </c>
      <c r="MAC1590" s="55">
        <f t="shared" si="175"/>
        <v>0</v>
      </c>
      <c r="MAD1590" s="55">
        <f t="shared" si="175"/>
        <v>0</v>
      </c>
      <c r="MAE1590" s="55">
        <f t="shared" si="175"/>
        <v>0</v>
      </c>
      <c r="MAF1590" s="55">
        <f t="shared" si="175"/>
        <v>0</v>
      </c>
      <c r="MAG1590" s="55">
        <f t="shared" si="175"/>
        <v>0</v>
      </c>
      <c r="MAH1590" s="55">
        <f t="shared" si="175"/>
        <v>0</v>
      </c>
      <c r="MAI1590" s="55">
        <f t="shared" si="175"/>
        <v>0</v>
      </c>
      <c r="MAJ1590" s="55">
        <f t="shared" si="175"/>
        <v>0</v>
      </c>
      <c r="MAK1590" s="55">
        <f t="shared" si="175"/>
        <v>0</v>
      </c>
      <c r="MAL1590" s="55">
        <f t="shared" si="175"/>
        <v>0</v>
      </c>
      <c r="MAM1590" s="55">
        <f t="shared" si="175"/>
        <v>0</v>
      </c>
      <c r="MAN1590" s="55">
        <f t="shared" si="175"/>
        <v>0</v>
      </c>
      <c r="MAO1590" s="55">
        <f t="shared" si="175"/>
        <v>0</v>
      </c>
      <c r="MAP1590" s="55">
        <f t="shared" si="175"/>
        <v>0</v>
      </c>
      <c r="MAQ1590" s="55">
        <f t="shared" si="175"/>
        <v>0</v>
      </c>
      <c r="MAR1590" s="55">
        <f t="shared" si="175"/>
        <v>0</v>
      </c>
      <c r="MAS1590" s="55">
        <f t="shared" si="175"/>
        <v>0</v>
      </c>
      <c r="MAT1590" s="55">
        <f t="shared" si="175"/>
        <v>0</v>
      </c>
      <c r="MAU1590" s="55">
        <f t="shared" si="175"/>
        <v>0</v>
      </c>
      <c r="MAV1590" s="55">
        <f t="shared" si="175"/>
        <v>0</v>
      </c>
      <c r="MAW1590" s="55">
        <f t="shared" si="175"/>
        <v>0</v>
      </c>
      <c r="MAX1590" s="55">
        <f t="shared" si="175"/>
        <v>0</v>
      </c>
      <c r="MAY1590" s="55">
        <f t="shared" si="175"/>
        <v>0</v>
      </c>
      <c r="MAZ1590" s="55">
        <f t="shared" si="175"/>
        <v>0</v>
      </c>
      <c r="MBA1590" s="55">
        <f t="shared" si="175"/>
        <v>0</v>
      </c>
      <c r="MBB1590" s="55">
        <f t="shared" si="175"/>
        <v>0</v>
      </c>
      <c r="MBC1590" s="55">
        <f t="shared" si="175"/>
        <v>0</v>
      </c>
      <c r="MBD1590" s="55">
        <f t="shared" ref="MBD1590:MDO1590" si="176">+(MBD1600+MBD1604)*1.18*1.1</f>
        <v>0</v>
      </c>
      <c r="MBE1590" s="55">
        <f t="shared" si="176"/>
        <v>0</v>
      </c>
      <c r="MBF1590" s="55">
        <f t="shared" si="176"/>
        <v>0</v>
      </c>
      <c r="MBG1590" s="55">
        <f t="shared" si="176"/>
        <v>0</v>
      </c>
      <c r="MBH1590" s="55">
        <f t="shared" si="176"/>
        <v>0</v>
      </c>
      <c r="MBI1590" s="55">
        <f t="shared" si="176"/>
        <v>0</v>
      </c>
      <c r="MBJ1590" s="55">
        <f t="shared" si="176"/>
        <v>0</v>
      </c>
      <c r="MBK1590" s="55">
        <f t="shared" si="176"/>
        <v>0</v>
      </c>
      <c r="MBL1590" s="55">
        <f t="shared" si="176"/>
        <v>0</v>
      </c>
      <c r="MBM1590" s="55">
        <f t="shared" si="176"/>
        <v>0</v>
      </c>
      <c r="MBN1590" s="55">
        <f t="shared" si="176"/>
        <v>0</v>
      </c>
      <c r="MBO1590" s="55">
        <f t="shared" si="176"/>
        <v>0</v>
      </c>
      <c r="MBP1590" s="55">
        <f t="shared" si="176"/>
        <v>0</v>
      </c>
      <c r="MBQ1590" s="55">
        <f t="shared" si="176"/>
        <v>0</v>
      </c>
      <c r="MBR1590" s="55">
        <f t="shared" si="176"/>
        <v>0</v>
      </c>
      <c r="MBS1590" s="55">
        <f t="shared" si="176"/>
        <v>0</v>
      </c>
      <c r="MBT1590" s="55">
        <f t="shared" si="176"/>
        <v>0</v>
      </c>
      <c r="MBU1590" s="55">
        <f t="shared" si="176"/>
        <v>0</v>
      </c>
      <c r="MBV1590" s="55">
        <f t="shared" si="176"/>
        <v>0</v>
      </c>
      <c r="MBW1590" s="55">
        <f t="shared" si="176"/>
        <v>0</v>
      </c>
      <c r="MBX1590" s="55">
        <f t="shared" si="176"/>
        <v>0</v>
      </c>
      <c r="MBY1590" s="55">
        <f t="shared" si="176"/>
        <v>0</v>
      </c>
      <c r="MBZ1590" s="55">
        <f t="shared" si="176"/>
        <v>0</v>
      </c>
      <c r="MCA1590" s="55">
        <f t="shared" si="176"/>
        <v>0</v>
      </c>
      <c r="MCB1590" s="55">
        <f t="shared" si="176"/>
        <v>0</v>
      </c>
      <c r="MCC1590" s="55">
        <f t="shared" si="176"/>
        <v>0</v>
      </c>
      <c r="MCD1590" s="55">
        <f t="shared" si="176"/>
        <v>0</v>
      </c>
      <c r="MCE1590" s="55">
        <f t="shared" si="176"/>
        <v>0</v>
      </c>
      <c r="MCF1590" s="55">
        <f t="shared" si="176"/>
        <v>0</v>
      </c>
      <c r="MCG1590" s="55">
        <f t="shared" si="176"/>
        <v>0</v>
      </c>
      <c r="MCH1590" s="55">
        <f t="shared" si="176"/>
        <v>0</v>
      </c>
      <c r="MCI1590" s="55">
        <f t="shared" si="176"/>
        <v>0</v>
      </c>
      <c r="MCJ1590" s="55">
        <f t="shared" si="176"/>
        <v>0</v>
      </c>
      <c r="MCK1590" s="55">
        <f t="shared" si="176"/>
        <v>0</v>
      </c>
      <c r="MCL1590" s="55">
        <f t="shared" si="176"/>
        <v>0</v>
      </c>
      <c r="MCM1590" s="55">
        <f t="shared" si="176"/>
        <v>0</v>
      </c>
      <c r="MCN1590" s="55">
        <f t="shared" si="176"/>
        <v>0</v>
      </c>
      <c r="MCO1590" s="55">
        <f t="shared" si="176"/>
        <v>0</v>
      </c>
      <c r="MCP1590" s="55">
        <f t="shared" si="176"/>
        <v>0</v>
      </c>
      <c r="MCQ1590" s="55">
        <f t="shared" si="176"/>
        <v>0</v>
      </c>
      <c r="MCR1590" s="55">
        <f t="shared" si="176"/>
        <v>0</v>
      </c>
      <c r="MCS1590" s="55">
        <f t="shared" si="176"/>
        <v>0</v>
      </c>
      <c r="MCT1590" s="55">
        <f t="shared" si="176"/>
        <v>0</v>
      </c>
      <c r="MCU1590" s="55">
        <f t="shared" si="176"/>
        <v>0</v>
      </c>
      <c r="MCV1590" s="55">
        <f t="shared" si="176"/>
        <v>0</v>
      </c>
      <c r="MCW1590" s="55">
        <f t="shared" si="176"/>
        <v>0</v>
      </c>
      <c r="MCX1590" s="55">
        <f t="shared" si="176"/>
        <v>0</v>
      </c>
      <c r="MCY1590" s="55">
        <f t="shared" si="176"/>
        <v>0</v>
      </c>
      <c r="MCZ1590" s="55">
        <f t="shared" si="176"/>
        <v>0</v>
      </c>
      <c r="MDA1590" s="55">
        <f t="shared" si="176"/>
        <v>0</v>
      </c>
      <c r="MDB1590" s="55">
        <f t="shared" si="176"/>
        <v>0</v>
      </c>
      <c r="MDC1590" s="55">
        <f t="shared" si="176"/>
        <v>0</v>
      </c>
      <c r="MDD1590" s="55">
        <f t="shared" si="176"/>
        <v>0</v>
      </c>
      <c r="MDE1590" s="55">
        <f t="shared" si="176"/>
        <v>0</v>
      </c>
      <c r="MDF1590" s="55">
        <f t="shared" si="176"/>
        <v>0</v>
      </c>
      <c r="MDG1590" s="55">
        <f t="shared" si="176"/>
        <v>0</v>
      </c>
      <c r="MDH1590" s="55">
        <f t="shared" si="176"/>
        <v>0</v>
      </c>
      <c r="MDI1590" s="55">
        <f t="shared" si="176"/>
        <v>0</v>
      </c>
      <c r="MDJ1590" s="55">
        <f t="shared" si="176"/>
        <v>0</v>
      </c>
      <c r="MDK1590" s="55">
        <f t="shared" si="176"/>
        <v>0</v>
      </c>
      <c r="MDL1590" s="55">
        <f t="shared" si="176"/>
        <v>0</v>
      </c>
      <c r="MDM1590" s="55">
        <f t="shared" si="176"/>
        <v>0</v>
      </c>
      <c r="MDN1590" s="55">
        <f t="shared" si="176"/>
        <v>0</v>
      </c>
      <c r="MDO1590" s="55">
        <f t="shared" si="176"/>
        <v>0</v>
      </c>
      <c r="MDP1590" s="55">
        <f t="shared" ref="MDP1590:MGA1590" si="177">+(MDP1600+MDP1604)*1.18*1.1</f>
        <v>0</v>
      </c>
      <c r="MDQ1590" s="55">
        <f t="shared" si="177"/>
        <v>0</v>
      </c>
      <c r="MDR1590" s="55">
        <f t="shared" si="177"/>
        <v>0</v>
      </c>
      <c r="MDS1590" s="55">
        <f t="shared" si="177"/>
        <v>0</v>
      </c>
      <c r="MDT1590" s="55">
        <f t="shared" si="177"/>
        <v>0</v>
      </c>
      <c r="MDU1590" s="55">
        <f t="shared" si="177"/>
        <v>0</v>
      </c>
      <c r="MDV1590" s="55">
        <f t="shared" si="177"/>
        <v>0</v>
      </c>
      <c r="MDW1590" s="55">
        <f t="shared" si="177"/>
        <v>0</v>
      </c>
      <c r="MDX1590" s="55">
        <f t="shared" si="177"/>
        <v>0</v>
      </c>
      <c r="MDY1590" s="55">
        <f t="shared" si="177"/>
        <v>0</v>
      </c>
      <c r="MDZ1590" s="55">
        <f t="shared" si="177"/>
        <v>0</v>
      </c>
      <c r="MEA1590" s="55">
        <f t="shared" si="177"/>
        <v>0</v>
      </c>
      <c r="MEB1590" s="55">
        <f t="shared" si="177"/>
        <v>0</v>
      </c>
      <c r="MEC1590" s="55">
        <f t="shared" si="177"/>
        <v>0</v>
      </c>
      <c r="MED1590" s="55">
        <f t="shared" si="177"/>
        <v>0</v>
      </c>
      <c r="MEE1590" s="55">
        <f t="shared" si="177"/>
        <v>0</v>
      </c>
      <c r="MEF1590" s="55">
        <f t="shared" si="177"/>
        <v>0</v>
      </c>
      <c r="MEG1590" s="55">
        <f t="shared" si="177"/>
        <v>0</v>
      </c>
      <c r="MEH1590" s="55">
        <f t="shared" si="177"/>
        <v>0</v>
      </c>
      <c r="MEI1590" s="55">
        <f t="shared" si="177"/>
        <v>0</v>
      </c>
      <c r="MEJ1590" s="55">
        <f t="shared" si="177"/>
        <v>0</v>
      </c>
      <c r="MEK1590" s="55">
        <f t="shared" si="177"/>
        <v>0</v>
      </c>
      <c r="MEL1590" s="55">
        <f t="shared" si="177"/>
        <v>0</v>
      </c>
      <c r="MEM1590" s="55">
        <f t="shared" si="177"/>
        <v>0</v>
      </c>
      <c r="MEN1590" s="55">
        <f t="shared" si="177"/>
        <v>0</v>
      </c>
      <c r="MEO1590" s="55">
        <f t="shared" si="177"/>
        <v>0</v>
      </c>
      <c r="MEP1590" s="55">
        <f t="shared" si="177"/>
        <v>0</v>
      </c>
      <c r="MEQ1590" s="55">
        <f t="shared" si="177"/>
        <v>0</v>
      </c>
      <c r="MER1590" s="55">
        <f t="shared" si="177"/>
        <v>0</v>
      </c>
      <c r="MES1590" s="55">
        <f t="shared" si="177"/>
        <v>0</v>
      </c>
      <c r="MET1590" s="55">
        <f t="shared" si="177"/>
        <v>0</v>
      </c>
      <c r="MEU1590" s="55">
        <f t="shared" si="177"/>
        <v>0</v>
      </c>
      <c r="MEV1590" s="55">
        <f t="shared" si="177"/>
        <v>0</v>
      </c>
      <c r="MEW1590" s="55">
        <f t="shared" si="177"/>
        <v>0</v>
      </c>
      <c r="MEX1590" s="55">
        <f t="shared" si="177"/>
        <v>0</v>
      </c>
      <c r="MEY1590" s="55">
        <f t="shared" si="177"/>
        <v>0</v>
      </c>
      <c r="MEZ1590" s="55">
        <f t="shared" si="177"/>
        <v>0</v>
      </c>
      <c r="MFA1590" s="55">
        <f t="shared" si="177"/>
        <v>0</v>
      </c>
      <c r="MFB1590" s="55">
        <f t="shared" si="177"/>
        <v>0</v>
      </c>
      <c r="MFC1590" s="55">
        <f t="shared" si="177"/>
        <v>0</v>
      </c>
      <c r="MFD1590" s="55">
        <f t="shared" si="177"/>
        <v>0</v>
      </c>
      <c r="MFE1590" s="55">
        <f t="shared" si="177"/>
        <v>0</v>
      </c>
      <c r="MFF1590" s="55">
        <f t="shared" si="177"/>
        <v>0</v>
      </c>
      <c r="MFG1590" s="55">
        <f t="shared" si="177"/>
        <v>0</v>
      </c>
      <c r="MFH1590" s="55">
        <f t="shared" si="177"/>
        <v>0</v>
      </c>
      <c r="MFI1590" s="55">
        <f t="shared" si="177"/>
        <v>0</v>
      </c>
      <c r="MFJ1590" s="55">
        <f t="shared" si="177"/>
        <v>0</v>
      </c>
      <c r="MFK1590" s="55">
        <f t="shared" si="177"/>
        <v>0</v>
      </c>
      <c r="MFL1590" s="55">
        <f t="shared" si="177"/>
        <v>0</v>
      </c>
      <c r="MFM1590" s="55">
        <f t="shared" si="177"/>
        <v>0</v>
      </c>
      <c r="MFN1590" s="55">
        <f t="shared" si="177"/>
        <v>0</v>
      </c>
      <c r="MFO1590" s="55">
        <f t="shared" si="177"/>
        <v>0</v>
      </c>
      <c r="MFP1590" s="55">
        <f t="shared" si="177"/>
        <v>0</v>
      </c>
      <c r="MFQ1590" s="55">
        <f t="shared" si="177"/>
        <v>0</v>
      </c>
      <c r="MFR1590" s="55">
        <f t="shared" si="177"/>
        <v>0</v>
      </c>
      <c r="MFS1590" s="55">
        <f t="shared" si="177"/>
        <v>0</v>
      </c>
      <c r="MFT1590" s="55">
        <f t="shared" si="177"/>
        <v>0</v>
      </c>
      <c r="MFU1590" s="55">
        <f t="shared" si="177"/>
        <v>0</v>
      </c>
      <c r="MFV1590" s="55">
        <f t="shared" si="177"/>
        <v>0</v>
      </c>
      <c r="MFW1590" s="55">
        <f t="shared" si="177"/>
        <v>0</v>
      </c>
      <c r="MFX1590" s="55">
        <f t="shared" si="177"/>
        <v>0</v>
      </c>
      <c r="MFY1590" s="55">
        <f t="shared" si="177"/>
        <v>0</v>
      </c>
      <c r="MFZ1590" s="55">
        <f t="shared" si="177"/>
        <v>0</v>
      </c>
      <c r="MGA1590" s="55">
        <f t="shared" si="177"/>
        <v>0</v>
      </c>
      <c r="MGB1590" s="55">
        <f t="shared" ref="MGB1590:MIM1590" si="178">+(MGB1600+MGB1604)*1.18*1.1</f>
        <v>0</v>
      </c>
      <c r="MGC1590" s="55">
        <f t="shared" si="178"/>
        <v>0</v>
      </c>
      <c r="MGD1590" s="55">
        <f t="shared" si="178"/>
        <v>0</v>
      </c>
      <c r="MGE1590" s="55">
        <f t="shared" si="178"/>
        <v>0</v>
      </c>
      <c r="MGF1590" s="55">
        <f t="shared" si="178"/>
        <v>0</v>
      </c>
      <c r="MGG1590" s="55">
        <f t="shared" si="178"/>
        <v>0</v>
      </c>
      <c r="MGH1590" s="55">
        <f t="shared" si="178"/>
        <v>0</v>
      </c>
      <c r="MGI1590" s="55">
        <f t="shared" si="178"/>
        <v>0</v>
      </c>
      <c r="MGJ1590" s="55">
        <f t="shared" si="178"/>
        <v>0</v>
      </c>
      <c r="MGK1590" s="55">
        <f t="shared" si="178"/>
        <v>0</v>
      </c>
      <c r="MGL1590" s="55">
        <f t="shared" si="178"/>
        <v>0</v>
      </c>
      <c r="MGM1590" s="55">
        <f t="shared" si="178"/>
        <v>0</v>
      </c>
      <c r="MGN1590" s="55">
        <f t="shared" si="178"/>
        <v>0</v>
      </c>
      <c r="MGO1590" s="55">
        <f t="shared" si="178"/>
        <v>0</v>
      </c>
      <c r="MGP1590" s="55">
        <f t="shared" si="178"/>
        <v>0</v>
      </c>
      <c r="MGQ1590" s="55">
        <f t="shared" si="178"/>
        <v>0</v>
      </c>
      <c r="MGR1590" s="55">
        <f t="shared" si="178"/>
        <v>0</v>
      </c>
      <c r="MGS1590" s="55">
        <f t="shared" si="178"/>
        <v>0</v>
      </c>
      <c r="MGT1590" s="55">
        <f t="shared" si="178"/>
        <v>0</v>
      </c>
      <c r="MGU1590" s="55">
        <f t="shared" si="178"/>
        <v>0</v>
      </c>
      <c r="MGV1590" s="55">
        <f t="shared" si="178"/>
        <v>0</v>
      </c>
      <c r="MGW1590" s="55">
        <f t="shared" si="178"/>
        <v>0</v>
      </c>
      <c r="MGX1590" s="55">
        <f t="shared" si="178"/>
        <v>0</v>
      </c>
      <c r="MGY1590" s="55">
        <f t="shared" si="178"/>
        <v>0</v>
      </c>
      <c r="MGZ1590" s="55">
        <f t="shared" si="178"/>
        <v>0</v>
      </c>
      <c r="MHA1590" s="55">
        <f t="shared" si="178"/>
        <v>0</v>
      </c>
      <c r="MHB1590" s="55">
        <f t="shared" si="178"/>
        <v>0</v>
      </c>
      <c r="MHC1590" s="55">
        <f t="shared" si="178"/>
        <v>0</v>
      </c>
      <c r="MHD1590" s="55">
        <f t="shared" si="178"/>
        <v>0</v>
      </c>
      <c r="MHE1590" s="55">
        <f t="shared" si="178"/>
        <v>0</v>
      </c>
      <c r="MHF1590" s="55">
        <f t="shared" si="178"/>
        <v>0</v>
      </c>
      <c r="MHG1590" s="55">
        <f t="shared" si="178"/>
        <v>0</v>
      </c>
      <c r="MHH1590" s="55">
        <f t="shared" si="178"/>
        <v>0</v>
      </c>
      <c r="MHI1590" s="55">
        <f t="shared" si="178"/>
        <v>0</v>
      </c>
      <c r="MHJ1590" s="55">
        <f t="shared" si="178"/>
        <v>0</v>
      </c>
      <c r="MHK1590" s="55">
        <f t="shared" si="178"/>
        <v>0</v>
      </c>
      <c r="MHL1590" s="55">
        <f t="shared" si="178"/>
        <v>0</v>
      </c>
      <c r="MHM1590" s="55">
        <f t="shared" si="178"/>
        <v>0</v>
      </c>
      <c r="MHN1590" s="55">
        <f t="shared" si="178"/>
        <v>0</v>
      </c>
      <c r="MHO1590" s="55">
        <f t="shared" si="178"/>
        <v>0</v>
      </c>
      <c r="MHP1590" s="55">
        <f t="shared" si="178"/>
        <v>0</v>
      </c>
      <c r="MHQ1590" s="55">
        <f t="shared" si="178"/>
        <v>0</v>
      </c>
      <c r="MHR1590" s="55">
        <f t="shared" si="178"/>
        <v>0</v>
      </c>
      <c r="MHS1590" s="55">
        <f t="shared" si="178"/>
        <v>0</v>
      </c>
      <c r="MHT1590" s="55">
        <f t="shared" si="178"/>
        <v>0</v>
      </c>
      <c r="MHU1590" s="55">
        <f t="shared" si="178"/>
        <v>0</v>
      </c>
      <c r="MHV1590" s="55">
        <f t="shared" si="178"/>
        <v>0</v>
      </c>
      <c r="MHW1590" s="55">
        <f t="shared" si="178"/>
        <v>0</v>
      </c>
      <c r="MHX1590" s="55">
        <f t="shared" si="178"/>
        <v>0</v>
      </c>
      <c r="MHY1590" s="55">
        <f t="shared" si="178"/>
        <v>0</v>
      </c>
      <c r="MHZ1590" s="55">
        <f t="shared" si="178"/>
        <v>0</v>
      </c>
      <c r="MIA1590" s="55">
        <f t="shared" si="178"/>
        <v>0</v>
      </c>
      <c r="MIB1590" s="55">
        <f t="shared" si="178"/>
        <v>0</v>
      </c>
      <c r="MIC1590" s="55">
        <f t="shared" si="178"/>
        <v>0</v>
      </c>
      <c r="MID1590" s="55">
        <f t="shared" si="178"/>
        <v>0</v>
      </c>
      <c r="MIE1590" s="55">
        <f t="shared" si="178"/>
        <v>0</v>
      </c>
      <c r="MIF1590" s="55">
        <f t="shared" si="178"/>
        <v>0</v>
      </c>
      <c r="MIG1590" s="55">
        <f t="shared" si="178"/>
        <v>0</v>
      </c>
      <c r="MIH1590" s="55">
        <f t="shared" si="178"/>
        <v>0</v>
      </c>
      <c r="MII1590" s="55">
        <f t="shared" si="178"/>
        <v>0</v>
      </c>
      <c r="MIJ1590" s="55">
        <f t="shared" si="178"/>
        <v>0</v>
      </c>
      <c r="MIK1590" s="55">
        <f t="shared" si="178"/>
        <v>0</v>
      </c>
      <c r="MIL1590" s="55">
        <f t="shared" si="178"/>
        <v>0</v>
      </c>
      <c r="MIM1590" s="55">
        <f t="shared" si="178"/>
        <v>0</v>
      </c>
      <c r="MIN1590" s="55">
        <f t="shared" ref="MIN1590:MKY1590" si="179">+(MIN1600+MIN1604)*1.18*1.1</f>
        <v>0</v>
      </c>
      <c r="MIO1590" s="55">
        <f t="shared" si="179"/>
        <v>0</v>
      </c>
      <c r="MIP1590" s="55">
        <f t="shared" si="179"/>
        <v>0</v>
      </c>
      <c r="MIQ1590" s="55">
        <f t="shared" si="179"/>
        <v>0</v>
      </c>
      <c r="MIR1590" s="55">
        <f t="shared" si="179"/>
        <v>0</v>
      </c>
      <c r="MIS1590" s="55">
        <f t="shared" si="179"/>
        <v>0</v>
      </c>
      <c r="MIT1590" s="55">
        <f t="shared" si="179"/>
        <v>0</v>
      </c>
      <c r="MIU1590" s="55">
        <f t="shared" si="179"/>
        <v>0</v>
      </c>
      <c r="MIV1590" s="55">
        <f t="shared" si="179"/>
        <v>0</v>
      </c>
      <c r="MIW1590" s="55">
        <f t="shared" si="179"/>
        <v>0</v>
      </c>
      <c r="MIX1590" s="55">
        <f t="shared" si="179"/>
        <v>0</v>
      </c>
      <c r="MIY1590" s="55">
        <f t="shared" si="179"/>
        <v>0</v>
      </c>
      <c r="MIZ1590" s="55">
        <f t="shared" si="179"/>
        <v>0</v>
      </c>
      <c r="MJA1590" s="55">
        <f t="shared" si="179"/>
        <v>0</v>
      </c>
      <c r="MJB1590" s="55">
        <f t="shared" si="179"/>
        <v>0</v>
      </c>
      <c r="MJC1590" s="55">
        <f t="shared" si="179"/>
        <v>0</v>
      </c>
      <c r="MJD1590" s="55">
        <f t="shared" si="179"/>
        <v>0</v>
      </c>
      <c r="MJE1590" s="55">
        <f t="shared" si="179"/>
        <v>0</v>
      </c>
      <c r="MJF1590" s="55">
        <f t="shared" si="179"/>
        <v>0</v>
      </c>
      <c r="MJG1590" s="55">
        <f t="shared" si="179"/>
        <v>0</v>
      </c>
      <c r="MJH1590" s="55">
        <f t="shared" si="179"/>
        <v>0</v>
      </c>
      <c r="MJI1590" s="55">
        <f t="shared" si="179"/>
        <v>0</v>
      </c>
      <c r="MJJ1590" s="55">
        <f t="shared" si="179"/>
        <v>0</v>
      </c>
      <c r="MJK1590" s="55">
        <f t="shared" si="179"/>
        <v>0</v>
      </c>
      <c r="MJL1590" s="55">
        <f t="shared" si="179"/>
        <v>0</v>
      </c>
      <c r="MJM1590" s="55">
        <f t="shared" si="179"/>
        <v>0</v>
      </c>
      <c r="MJN1590" s="55">
        <f t="shared" si="179"/>
        <v>0</v>
      </c>
      <c r="MJO1590" s="55">
        <f t="shared" si="179"/>
        <v>0</v>
      </c>
      <c r="MJP1590" s="55">
        <f t="shared" si="179"/>
        <v>0</v>
      </c>
      <c r="MJQ1590" s="55">
        <f t="shared" si="179"/>
        <v>0</v>
      </c>
      <c r="MJR1590" s="55">
        <f t="shared" si="179"/>
        <v>0</v>
      </c>
      <c r="MJS1590" s="55">
        <f t="shared" si="179"/>
        <v>0</v>
      </c>
      <c r="MJT1590" s="55">
        <f t="shared" si="179"/>
        <v>0</v>
      </c>
      <c r="MJU1590" s="55">
        <f t="shared" si="179"/>
        <v>0</v>
      </c>
      <c r="MJV1590" s="55">
        <f t="shared" si="179"/>
        <v>0</v>
      </c>
      <c r="MJW1590" s="55">
        <f t="shared" si="179"/>
        <v>0</v>
      </c>
      <c r="MJX1590" s="55">
        <f t="shared" si="179"/>
        <v>0</v>
      </c>
      <c r="MJY1590" s="55">
        <f t="shared" si="179"/>
        <v>0</v>
      </c>
      <c r="MJZ1590" s="55">
        <f t="shared" si="179"/>
        <v>0</v>
      </c>
      <c r="MKA1590" s="55">
        <f t="shared" si="179"/>
        <v>0</v>
      </c>
      <c r="MKB1590" s="55">
        <f t="shared" si="179"/>
        <v>0</v>
      </c>
      <c r="MKC1590" s="55">
        <f t="shared" si="179"/>
        <v>0</v>
      </c>
      <c r="MKD1590" s="55">
        <f t="shared" si="179"/>
        <v>0</v>
      </c>
      <c r="MKE1590" s="55">
        <f t="shared" si="179"/>
        <v>0</v>
      </c>
      <c r="MKF1590" s="55">
        <f t="shared" si="179"/>
        <v>0</v>
      </c>
      <c r="MKG1590" s="55">
        <f t="shared" si="179"/>
        <v>0</v>
      </c>
      <c r="MKH1590" s="55">
        <f t="shared" si="179"/>
        <v>0</v>
      </c>
      <c r="MKI1590" s="55">
        <f t="shared" si="179"/>
        <v>0</v>
      </c>
      <c r="MKJ1590" s="55">
        <f t="shared" si="179"/>
        <v>0</v>
      </c>
      <c r="MKK1590" s="55">
        <f t="shared" si="179"/>
        <v>0</v>
      </c>
      <c r="MKL1590" s="55">
        <f t="shared" si="179"/>
        <v>0</v>
      </c>
      <c r="MKM1590" s="55">
        <f t="shared" si="179"/>
        <v>0</v>
      </c>
      <c r="MKN1590" s="55">
        <f t="shared" si="179"/>
        <v>0</v>
      </c>
      <c r="MKO1590" s="55">
        <f t="shared" si="179"/>
        <v>0</v>
      </c>
      <c r="MKP1590" s="55">
        <f t="shared" si="179"/>
        <v>0</v>
      </c>
      <c r="MKQ1590" s="55">
        <f t="shared" si="179"/>
        <v>0</v>
      </c>
      <c r="MKR1590" s="55">
        <f t="shared" si="179"/>
        <v>0</v>
      </c>
      <c r="MKS1590" s="55">
        <f t="shared" si="179"/>
        <v>0</v>
      </c>
      <c r="MKT1590" s="55">
        <f t="shared" si="179"/>
        <v>0</v>
      </c>
      <c r="MKU1590" s="55">
        <f t="shared" si="179"/>
        <v>0</v>
      </c>
      <c r="MKV1590" s="55">
        <f t="shared" si="179"/>
        <v>0</v>
      </c>
      <c r="MKW1590" s="55">
        <f t="shared" si="179"/>
        <v>0</v>
      </c>
      <c r="MKX1590" s="55">
        <f t="shared" si="179"/>
        <v>0</v>
      </c>
      <c r="MKY1590" s="55">
        <f t="shared" si="179"/>
        <v>0</v>
      </c>
      <c r="MKZ1590" s="55">
        <f t="shared" ref="MKZ1590:MNK1590" si="180">+(MKZ1600+MKZ1604)*1.18*1.1</f>
        <v>0</v>
      </c>
      <c r="MLA1590" s="55">
        <f t="shared" si="180"/>
        <v>0</v>
      </c>
      <c r="MLB1590" s="55">
        <f t="shared" si="180"/>
        <v>0</v>
      </c>
      <c r="MLC1590" s="55">
        <f t="shared" si="180"/>
        <v>0</v>
      </c>
      <c r="MLD1590" s="55">
        <f t="shared" si="180"/>
        <v>0</v>
      </c>
      <c r="MLE1590" s="55">
        <f t="shared" si="180"/>
        <v>0</v>
      </c>
      <c r="MLF1590" s="55">
        <f t="shared" si="180"/>
        <v>0</v>
      </c>
      <c r="MLG1590" s="55">
        <f t="shared" si="180"/>
        <v>0</v>
      </c>
      <c r="MLH1590" s="55">
        <f t="shared" si="180"/>
        <v>0</v>
      </c>
      <c r="MLI1590" s="55">
        <f t="shared" si="180"/>
        <v>0</v>
      </c>
      <c r="MLJ1590" s="55">
        <f t="shared" si="180"/>
        <v>0</v>
      </c>
      <c r="MLK1590" s="55">
        <f t="shared" si="180"/>
        <v>0</v>
      </c>
      <c r="MLL1590" s="55">
        <f t="shared" si="180"/>
        <v>0</v>
      </c>
      <c r="MLM1590" s="55">
        <f t="shared" si="180"/>
        <v>0</v>
      </c>
      <c r="MLN1590" s="55">
        <f t="shared" si="180"/>
        <v>0</v>
      </c>
      <c r="MLO1590" s="55">
        <f t="shared" si="180"/>
        <v>0</v>
      </c>
      <c r="MLP1590" s="55">
        <f t="shared" si="180"/>
        <v>0</v>
      </c>
      <c r="MLQ1590" s="55">
        <f t="shared" si="180"/>
        <v>0</v>
      </c>
      <c r="MLR1590" s="55">
        <f t="shared" si="180"/>
        <v>0</v>
      </c>
      <c r="MLS1590" s="55">
        <f t="shared" si="180"/>
        <v>0</v>
      </c>
      <c r="MLT1590" s="55">
        <f t="shared" si="180"/>
        <v>0</v>
      </c>
      <c r="MLU1590" s="55">
        <f t="shared" si="180"/>
        <v>0</v>
      </c>
      <c r="MLV1590" s="55">
        <f t="shared" si="180"/>
        <v>0</v>
      </c>
      <c r="MLW1590" s="55">
        <f t="shared" si="180"/>
        <v>0</v>
      </c>
      <c r="MLX1590" s="55">
        <f t="shared" si="180"/>
        <v>0</v>
      </c>
      <c r="MLY1590" s="55">
        <f t="shared" si="180"/>
        <v>0</v>
      </c>
      <c r="MLZ1590" s="55">
        <f t="shared" si="180"/>
        <v>0</v>
      </c>
      <c r="MMA1590" s="55">
        <f t="shared" si="180"/>
        <v>0</v>
      </c>
      <c r="MMB1590" s="55">
        <f t="shared" si="180"/>
        <v>0</v>
      </c>
      <c r="MMC1590" s="55">
        <f t="shared" si="180"/>
        <v>0</v>
      </c>
      <c r="MMD1590" s="55">
        <f t="shared" si="180"/>
        <v>0</v>
      </c>
      <c r="MME1590" s="55">
        <f t="shared" si="180"/>
        <v>0</v>
      </c>
      <c r="MMF1590" s="55">
        <f t="shared" si="180"/>
        <v>0</v>
      </c>
      <c r="MMG1590" s="55">
        <f t="shared" si="180"/>
        <v>0</v>
      </c>
      <c r="MMH1590" s="55">
        <f t="shared" si="180"/>
        <v>0</v>
      </c>
      <c r="MMI1590" s="55">
        <f t="shared" si="180"/>
        <v>0</v>
      </c>
      <c r="MMJ1590" s="55">
        <f t="shared" si="180"/>
        <v>0</v>
      </c>
      <c r="MMK1590" s="55">
        <f t="shared" si="180"/>
        <v>0</v>
      </c>
      <c r="MML1590" s="55">
        <f t="shared" si="180"/>
        <v>0</v>
      </c>
      <c r="MMM1590" s="55">
        <f t="shared" si="180"/>
        <v>0</v>
      </c>
      <c r="MMN1590" s="55">
        <f t="shared" si="180"/>
        <v>0</v>
      </c>
      <c r="MMO1590" s="55">
        <f t="shared" si="180"/>
        <v>0</v>
      </c>
      <c r="MMP1590" s="55">
        <f t="shared" si="180"/>
        <v>0</v>
      </c>
      <c r="MMQ1590" s="55">
        <f t="shared" si="180"/>
        <v>0</v>
      </c>
      <c r="MMR1590" s="55">
        <f t="shared" si="180"/>
        <v>0</v>
      </c>
      <c r="MMS1590" s="55">
        <f t="shared" si="180"/>
        <v>0</v>
      </c>
      <c r="MMT1590" s="55">
        <f t="shared" si="180"/>
        <v>0</v>
      </c>
      <c r="MMU1590" s="55">
        <f t="shared" si="180"/>
        <v>0</v>
      </c>
      <c r="MMV1590" s="55">
        <f t="shared" si="180"/>
        <v>0</v>
      </c>
      <c r="MMW1590" s="55">
        <f t="shared" si="180"/>
        <v>0</v>
      </c>
      <c r="MMX1590" s="55">
        <f t="shared" si="180"/>
        <v>0</v>
      </c>
      <c r="MMY1590" s="55">
        <f t="shared" si="180"/>
        <v>0</v>
      </c>
      <c r="MMZ1590" s="55">
        <f t="shared" si="180"/>
        <v>0</v>
      </c>
      <c r="MNA1590" s="55">
        <f t="shared" si="180"/>
        <v>0</v>
      </c>
      <c r="MNB1590" s="55">
        <f t="shared" si="180"/>
        <v>0</v>
      </c>
      <c r="MNC1590" s="55">
        <f t="shared" si="180"/>
        <v>0</v>
      </c>
      <c r="MND1590" s="55">
        <f t="shared" si="180"/>
        <v>0</v>
      </c>
      <c r="MNE1590" s="55">
        <f t="shared" si="180"/>
        <v>0</v>
      </c>
      <c r="MNF1590" s="55">
        <f t="shared" si="180"/>
        <v>0</v>
      </c>
      <c r="MNG1590" s="55">
        <f t="shared" si="180"/>
        <v>0</v>
      </c>
      <c r="MNH1590" s="55">
        <f t="shared" si="180"/>
        <v>0</v>
      </c>
      <c r="MNI1590" s="55">
        <f t="shared" si="180"/>
        <v>0</v>
      </c>
      <c r="MNJ1590" s="55">
        <f t="shared" si="180"/>
        <v>0</v>
      </c>
      <c r="MNK1590" s="55">
        <f t="shared" si="180"/>
        <v>0</v>
      </c>
      <c r="MNL1590" s="55">
        <f t="shared" ref="MNL1590:MPW1590" si="181">+(MNL1600+MNL1604)*1.18*1.1</f>
        <v>0</v>
      </c>
      <c r="MNM1590" s="55">
        <f t="shared" si="181"/>
        <v>0</v>
      </c>
      <c r="MNN1590" s="55">
        <f t="shared" si="181"/>
        <v>0</v>
      </c>
      <c r="MNO1590" s="55">
        <f t="shared" si="181"/>
        <v>0</v>
      </c>
      <c r="MNP1590" s="55">
        <f t="shared" si="181"/>
        <v>0</v>
      </c>
      <c r="MNQ1590" s="55">
        <f t="shared" si="181"/>
        <v>0</v>
      </c>
      <c r="MNR1590" s="55">
        <f t="shared" si="181"/>
        <v>0</v>
      </c>
      <c r="MNS1590" s="55">
        <f t="shared" si="181"/>
        <v>0</v>
      </c>
      <c r="MNT1590" s="55">
        <f t="shared" si="181"/>
        <v>0</v>
      </c>
      <c r="MNU1590" s="55">
        <f t="shared" si="181"/>
        <v>0</v>
      </c>
      <c r="MNV1590" s="55">
        <f t="shared" si="181"/>
        <v>0</v>
      </c>
      <c r="MNW1590" s="55">
        <f t="shared" si="181"/>
        <v>0</v>
      </c>
      <c r="MNX1590" s="55">
        <f t="shared" si="181"/>
        <v>0</v>
      </c>
      <c r="MNY1590" s="55">
        <f t="shared" si="181"/>
        <v>0</v>
      </c>
      <c r="MNZ1590" s="55">
        <f t="shared" si="181"/>
        <v>0</v>
      </c>
      <c r="MOA1590" s="55">
        <f t="shared" si="181"/>
        <v>0</v>
      </c>
      <c r="MOB1590" s="55">
        <f t="shared" si="181"/>
        <v>0</v>
      </c>
      <c r="MOC1590" s="55">
        <f t="shared" si="181"/>
        <v>0</v>
      </c>
      <c r="MOD1590" s="55">
        <f t="shared" si="181"/>
        <v>0</v>
      </c>
      <c r="MOE1590" s="55">
        <f t="shared" si="181"/>
        <v>0</v>
      </c>
      <c r="MOF1590" s="55">
        <f t="shared" si="181"/>
        <v>0</v>
      </c>
      <c r="MOG1590" s="55">
        <f t="shared" si="181"/>
        <v>0</v>
      </c>
      <c r="MOH1590" s="55">
        <f t="shared" si="181"/>
        <v>0</v>
      </c>
      <c r="MOI1590" s="55">
        <f t="shared" si="181"/>
        <v>0</v>
      </c>
      <c r="MOJ1590" s="55">
        <f t="shared" si="181"/>
        <v>0</v>
      </c>
      <c r="MOK1590" s="55">
        <f t="shared" si="181"/>
        <v>0</v>
      </c>
      <c r="MOL1590" s="55">
        <f t="shared" si="181"/>
        <v>0</v>
      </c>
      <c r="MOM1590" s="55">
        <f t="shared" si="181"/>
        <v>0</v>
      </c>
      <c r="MON1590" s="55">
        <f t="shared" si="181"/>
        <v>0</v>
      </c>
      <c r="MOO1590" s="55">
        <f t="shared" si="181"/>
        <v>0</v>
      </c>
      <c r="MOP1590" s="55">
        <f t="shared" si="181"/>
        <v>0</v>
      </c>
      <c r="MOQ1590" s="55">
        <f t="shared" si="181"/>
        <v>0</v>
      </c>
      <c r="MOR1590" s="55">
        <f t="shared" si="181"/>
        <v>0</v>
      </c>
      <c r="MOS1590" s="55">
        <f t="shared" si="181"/>
        <v>0</v>
      </c>
      <c r="MOT1590" s="55">
        <f t="shared" si="181"/>
        <v>0</v>
      </c>
      <c r="MOU1590" s="55">
        <f t="shared" si="181"/>
        <v>0</v>
      </c>
      <c r="MOV1590" s="55">
        <f t="shared" si="181"/>
        <v>0</v>
      </c>
      <c r="MOW1590" s="55">
        <f t="shared" si="181"/>
        <v>0</v>
      </c>
      <c r="MOX1590" s="55">
        <f t="shared" si="181"/>
        <v>0</v>
      </c>
      <c r="MOY1590" s="55">
        <f t="shared" si="181"/>
        <v>0</v>
      </c>
      <c r="MOZ1590" s="55">
        <f t="shared" si="181"/>
        <v>0</v>
      </c>
      <c r="MPA1590" s="55">
        <f t="shared" si="181"/>
        <v>0</v>
      </c>
      <c r="MPB1590" s="55">
        <f t="shared" si="181"/>
        <v>0</v>
      </c>
      <c r="MPC1590" s="55">
        <f t="shared" si="181"/>
        <v>0</v>
      </c>
      <c r="MPD1590" s="55">
        <f t="shared" si="181"/>
        <v>0</v>
      </c>
      <c r="MPE1590" s="55">
        <f t="shared" si="181"/>
        <v>0</v>
      </c>
      <c r="MPF1590" s="55">
        <f t="shared" si="181"/>
        <v>0</v>
      </c>
      <c r="MPG1590" s="55">
        <f t="shared" si="181"/>
        <v>0</v>
      </c>
      <c r="MPH1590" s="55">
        <f t="shared" si="181"/>
        <v>0</v>
      </c>
      <c r="MPI1590" s="55">
        <f t="shared" si="181"/>
        <v>0</v>
      </c>
      <c r="MPJ1590" s="55">
        <f t="shared" si="181"/>
        <v>0</v>
      </c>
      <c r="MPK1590" s="55">
        <f t="shared" si="181"/>
        <v>0</v>
      </c>
      <c r="MPL1590" s="55">
        <f t="shared" si="181"/>
        <v>0</v>
      </c>
      <c r="MPM1590" s="55">
        <f t="shared" si="181"/>
        <v>0</v>
      </c>
      <c r="MPN1590" s="55">
        <f t="shared" si="181"/>
        <v>0</v>
      </c>
      <c r="MPO1590" s="55">
        <f t="shared" si="181"/>
        <v>0</v>
      </c>
      <c r="MPP1590" s="55">
        <f t="shared" si="181"/>
        <v>0</v>
      </c>
      <c r="MPQ1590" s="55">
        <f t="shared" si="181"/>
        <v>0</v>
      </c>
      <c r="MPR1590" s="55">
        <f t="shared" si="181"/>
        <v>0</v>
      </c>
      <c r="MPS1590" s="55">
        <f t="shared" si="181"/>
        <v>0</v>
      </c>
      <c r="MPT1590" s="55">
        <f t="shared" si="181"/>
        <v>0</v>
      </c>
      <c r="MPU1590" s="55">
        <f t="shared" si="181"/>
        <v>0</v>
      </c>
      <c r="MPV1590" s="55">
        <f t="shared" si="181"/>
        <v>0</v>
      </c>
      <c r="MPW1590" s="55">
        <f t="shared" si="181"/>
        <v>0</v>
      </c>
      <c r="MPX1590" s="55">
        <f t="shared" ref="MPX1590:MSI1590" si="182">+(MPX1600+MPX1604)*1.18*1.1</f>
        <v>0</v>
      </c>
      <c r="MPY1590" s="55">
        <f t="shared" si="182"/>
        <v>0</v>
      </c>
      <c r="MPZ1590" s="55">
        <f t="shared" si="182"/>
        <v>0</v>
      </c>
      <c r="MQA1590" s="55">
        <f t="shared" si="182"/>
        <v>0</v>
      </c>
      <c r="MQB1590" s="55">
        <f t="shared" si="182"/>
        <v>0</v>
      </c>
      <c r="MQC1590" s="55">
        <f t="shared" si="182"/>
        <v>0</v>
      </c>
      <c r="MQD1590" s="55">
        <f t="shared" si="182"/>
        <v>0</v>
      </c>
      <c r="MQE1590" s="55">
        <f t="shared" si="182"/>
        <v>0</v>
      </c>
      <c r="MQF1590" s="55">
        <f t="shared" si="182"/>
        <v>0</v>
      </c>
      <c r="MQG1590" s="55">
        <f t="shared" si="182"/>
        <v>0</v>
      </c>
      <c r="MQH1590" s="55">
        <f t="shared" si="182"/>
        <v>0</v>
      </c>
      <c r="MQI1590" s="55">
        <f t="shared" si="182"/>
        <v>0</v>
      </c>
      <c r="MQJ1590" s="55">
        <f t="shared" si="182"/>
        <v>0</v>
      </c>
      <c r="MQK1590" s="55">
        <f t="shared" si="182"/>
        <v>0</v>
      </c>
      <c r="MQL1590" s="55">
        <f t="shared" si="182"/>
        <v>0</v>
      </c>
      <c r="MQM1590" s="55">
        <f t="shared" si="182"/>
        <v>0</v>
      </c>
      <c r="MQN1590" s="55">
        <f t="shared" si="182"/>
        <v>0</v>
      </c>
      <c r="MQO1590" s="55">
        <f t="shared" si="182"/>
        <v>0</v>
      </c>
      <c r="MQP1590" s="55">
        <f t="shared" si="182"/>
        <v>0</v>
      </c>
      <c r="MQQ1590" s="55">
        <f t="shared" si="182"/>
        <v>0</v>
      </c>
      <c r="MQR1590" s="55">
        <f t="shared" si="182"/>
        <v>0</v>
      </c>
      <c r="MQS1590" s="55">
        <f t="shared" si="182"/>
        <v>0</v>
      </c>
      <c r="MQT1590" s="55">
        <f t="shared" si="182"/>
        <v>0</v>
      </c>
      <c r="MQU1590" s="55">
        <f t="shared" si="182"/>
        <v>0</v>
      </c>
      <c r="MQV1590" s="55">
        <f t="shared" si="182"/>
        <v>0</v>
      </c>
      <c r="MQW1590" s="55">
        <f t="shared" si="182"/>
        <v>0</v>
      </c>
      <c r="MQX1590" s="55">
        <f t="shared" si="182"/>
        <v>0</v>
      </c>
      <c r="MQY1590" s="55">
        <f t="shared" si="182"/>
        <v>0</v>
      </c>
      <c r="MQZ1590" s="55">
        <f t="shared" si="182"/>
        <v>0</v>
      </c>
      <c r="MRA1590" s="55">
        <f t="shared" si="182"/>
        <v>0</v>
      </c>
      <c r="MRB1590" s="55">
        <f t="shared" si="182"/>
        <v>0</v>
      </c>
      <c r="MRC1590" s="55">
        <f t="shared" si="182"/>
        <v>0</v>
      </c>
      <c r="MRD1590" s="55">
        <f t="shared" si="182"/>
        <v>0</v>
      </c>
      <c r="MRE1590" s="55">
        <f t="shared" si="182"/>
        <v>0</v>
      </c>
      <c r="MRF1590" s="55">
        <f t="shared" si="182"/>
        <v>0</v>
      </c>
      <c r="MRG1590" s="55">
        <f t="shared" si="182"/>
        <v>0</v>
      </c>
      <c r="MRH1590" s="55">
        <f t="shared" si="182"/>
        <v>0</v>
      </c>
      <c r="MRI1590" s="55">
        <f t="shared" si="182"/>
        <v>0</v>
      </c>
      <c r="MRJ1590" s="55">
        <f t="shared" si="182"/>
        <v>0</v>
      </c>
      <c r="MRK1590" s="55">
        <f t="shared" si="182"/>
        <v>0</v>
      </c>
      <c r="MRL1590" s="55">
        <f t="shared" si="182"/>
        <v>0</v>
      </c>
      <c r="MRM1590" s="55">
        <f t="shared" si="182"/>
        <v>0</v>
      </c>
      <c r="MRN1590" s="55">
        <f t="shared" si="182"/>
        <v>0</v>
      </c>
      <c r="MRO1590" s="55">
        <f t="shared" si="182"/>
        <v>0</v>
      </c>
      <c r="MRP1590" s="55">
        <f t="shared" si="182"/>
        <v>0</v>
      </c>
      <c r="MRQ1590" s="55">
        <f t="shared" si="182"/>
        <v>0</v>
      </c>
      <c r="MRR1590" s="55">
        <f t="shared" si="182"/>
        <v>0</v>
      </c>
      <c r="MRS1590" s="55">
        <f t="shared" si="182"/>
        <v>0</v>
      </c>
      <c r="MRT1590" s="55">
        <f t="shared" si="182"/>
        <v>0</v>
      </c>
      <c r="MRU1590" s="55">
        <f t="shared" si="182"/>
        <v>0</v>
      </c>
      <c r="MRV1590" s="55">
        <f t="shared" si="182"/>
        <v>0</v>
      </c>
      <c r="MRW1590" s="55">
        <f t="shared" si="182"/>
        <v>0</v>
      </c>
      <c r="MRX1590" s="55">
        <f t="shared" si="182"/>
        <v>0</v>
      </c>
      <c r="MRY1590" s="55">
        <f t="shared" si="182"/>
        <v>0</v>
      </c>
      <c r="MRZ1590" s="55">
        <f t="shared" si="182"/>
        <v>0</v>
      </c>
      <c r="MSA1590" s="55">
        <f t="shared" si="182"/>
        <v>0</v>
      </c>
      <c r="MSB1590" s="55">
        <f t="shared" si="182"/>
        <v>0</v>
      </c>
      <c r="MSC1590" s="55">
        <f t="shared" si="182"/>
        <v>0</v>
      </c>
      <c r="MSD1590" s="55">
        <f t="shared" si="182"/>
        <v>0</v>
      </c>
      <c r="MSE1590" s="55">
        <f t="shared" si="182"/>
        <v>0</v>
      </c>
      <c r="MSF1590" s="55">
        <f t="shared" si="182"/>
        <v>0</v>
      </c>
      <c r="MSG1590" s="55">
        <f t="shared" si="182"/>
        <v>0</v>
      </c>
      <c r="MSH1590" s="55">
        <f t="shared" si="182"/>
        <v>0</v>
      </c>
      <c r="MSI1590" s="55">
        <f t="shared" si="182"/>
        <v>0</v>
      </c>
      <c r="MSJ1590" s="55">
        <f t="shared" ref="MSJ1590:MUU1590" si="183">+(MSJ1600+MSJ1604)*1.18*1.1</f>
        <v>0</v>
      </c>
      <c r="MSK1590" s="55">
        <f t="shared" si="183"/>
        <v>0</v>
      </c>
      <c r="MSL1590" s="55">
        <f t="shared" si="183"/>
        <v>0</v>
      </c>
      <c r="MSM1590" s="55">
        <f t="shared" si="183"/>
        <v>0</v>
      </c>
      <c r="MSN1590" s="55">
        <f t="shared" si="183"/>
        <v>0</v>
      </c>
      <c r="MSO1590" s="55">
        <f t="shared" si="183"/>
        <v>0</v>
      </c>
      <c r="MSP1590" s="55">
        <f t="shared" si="183"/>
        <v>0</v>
      </c>
      <c r="MSQ1590" s="55">
        <f t="shared" si="183"/>
        <v>0</v>
      </c>
      <c r="MSR1590" s="55">
        <f t="shared" si="183"/>
        <v>0</v>
      </c>
      <c r="MSS1590" s="55">
        <f t="shared" si="183"/>
        <v>0</v>
      </c>
      <c r="MST1590" s="55">
        <f t="shared" si="183"/>
        <v>0</v>
      </c>
      <c r="MSU1590" s="55">
        <f t="shared" si="183"/>
        <v>0</v>
      </c>
      <c r="MSV1590" s="55">
        <f t="shared" si="183"/>
        <v>0</v>
      </c>
      <c r="MSW1590" s="55">
        <f t="shared" si="183"/>
        <v>0</v>
      </c>
      <c r="MSX1590" s="55">
        <f t="shared" si="183"/>
        <v>0</v>
      </c>
      <c r="MSY1590" s="55">
        <f t="shared" si="183"/>
        <v>0</v>
      </c>
      <c r="MSZ1590" s="55">
        <f t="shared" si="183"/>
        <v>0</v>
      </c>
      <c r="MTA1590" s="55">
        <f t="shared" si="183"/>
        <v>0</v>
      </c>
      <c r="MTB1590" s="55">
        <f t="shared" si="183"/>
        <v>0</v>
      </c>
      <c r="MTC1590" s="55">
        <f t="shared" si="183"/>
        <v>0</v>
      </c>
      <c r="MTD1590" s="55">
        <f t="shared" si="183"/>
        <v>0</v>
      </c>
      <c r="MTE1590" s="55">
        <f t="shared" si="183"/>
        <v>0</v>
      </c>
      <c r="MTF1590" s="55">
        <f t="shared" si="183"/>
        <v>0</v>
      </c>
      <c r="MTG1590" s="55">
        <f t="shared" si="183"/>
        <v>0</v>
      </c>
      <c r="MTH1590" s="55">
        <f t="shared" si="183"/>
        <v>0</v>
      </c>
      <c r="MTI1590" s="55">
        <f t="shared" si="183"/>
        <v>0</v>
      </c>
      <c r="MTJ1590" s="55">
        <f t="shared" si="183"/>
        <v>0</v>
      </c>
      <c r="MTK1590" s="55">
        <f t="shared" si="183"/>
        <v>0</v>
      </c>
      <c r="MTL1590" s="55">
        <f t="shared" si="183"/>
        <v>0</v>
      </c>
      <c r="MTM1590" s="55">
        <f t="shared" si="183"/>
        <v>0</v>
      </c>
      <c r="MTN1590" s="55">
        <f t="shared" si="183"/>
        <v>0</v>
      </c>
      <c r="MTO1590" s="55">
        <f t="shared" si="183"/>
        <v>0</v>
      </c>
      <c r="MTP1590" s="55">
        <f t="shared" si="183"/>
        <v>0</v>
      </c>
      <c r="MTQ1590" s="55">
        <f t="shared" si="183"/>
        <v>0</v>
      </c>
      <c r="MTR1590" s="55">
        <f t="shared" si="183"/>
        <v>0</v>
      </c>
      <c r="MTS1590" s="55">
        <f t="shared" si="183"/>
        <v>0</v>
      </c>
      <c r="MTT1590" s="55">
        <f t="shared" si="183"/>
        <v>0</v>
      </c>
      <c r="MTU1590" s="55">
        <f t="shared" si="183"/>
        <v>0</v>
      </c>
      <c r="MTV1590" s="55">
        <f t="shared" si="183"/>
        <v>0</v>
      </c>
      <c r="MTW1590" s="55">
        <f t="shared" si="183"/>
        <v>0</v>
      </c>
      <c r="MTX1590" s="55">
        <f t="shared" si="183"/>
        <v>0</v>
      </c>
      <c r="MTY1590" s="55">
        <f t="shared" si="183"/>
        <v>0</v>
      </c>
      <c r="MTZ1590" s="55">
        <f t="shared" si="183"/>
        <v>0</v>
      </c>
      <c r="MUA1590" s="55">
        <f t="shared" si="183"/>
        <v>0</v>
      </c>
      <c r="MUB1590" s="55">
        <f t="shared" si="183"/>
        <v>0</v>
      </c>
      <c r="MUC1590" s="55">
        <f t="shared" si="183"/>
        <v>0</v>
      </c>
      <c r="MUD1590" s="55">
        <f t="shared" si="183"/>
        <v>0</v>
      </c>
      <c r="MUE1590" s="55">
        <f t="shared" si="183"/>
        <v>0</v>
      </c>
      <c r="MUF1590" s="55">
        <f t="shared" si="183"/>
        <v>0</v>
      </c>
      <c r="MUG1590" s="55">
        <f t="shared" si="183"/>
        <v>0</v>
      </c>
      <c r="MUH1590" s="55">
        <f t="shared" si="183"/>
        <v>0</v>
      </c>
      <c r="MUI1590" s="55">
        <f t="shared" si="183"/>
        <v>0</v>
      </c>
      <c r="MUJ1590" s="55">
        <f t="shared" si="183"/>
        <v>0</v>
      </c>
      <c r="MUK1590" s="55">
        <f t="shared" si="183"/>
        <v>0</v>
      </c>
      <c r="MUL1590" s="55">
        <f t="shared" si="183"/>
        <v>0</v>
      </c>
      <c r="MUM1590" s="55">
        <f t="shared" si="183"/>
        <v>0</v>
      </c>
      <c r="MUN1590" s="55">
        <f t="shared" si="183"/>
        <v>0</v>
      </c>
      <c r="MUO1590" s="55">
        <f t="shared" si="183"/>
        <v>0</v>
      </c>
      <c r="MUP1590" s="55">
        <f t="shared" si="183"/>
        <v>0</v>
      </c>
      <c r="MUQ1590" s="55">
        <f t="shared" si="183"/>
        <v>0</v>
      </c>
      <c r="MUR1590" s="55">
        <f t="shared" si="183"/>
        <v>0</v>
      </c>
      <c r="MUS1590" s="55">
        <f t="shared" si="183"/>
        <v>0</v>
      </c>
      <c r="MUT1590" s="55">
        <f t="shared" si="183"/>
        <v>0</v>
      </c>
      <c r="MUU1590" s="55">
        <f t="shared" si="183"/>
        <v>0</v>
      </c>
      <c r="MUV1590" s="55">
        <f t="shared" ref="MUV1590:MXG1590" si="184">+(MUV1600+MUV1604)*1.18*1.1</f>
        <v>0</v>
      </c>
      <c r="MUW1590" s="55">
        <f t="shared" si="184"/>
        <v>0</v>
      </c>
      <c r="MUX1590" s="55">
        <f t="shared" si="184"/>
        <v>0</v>
      </c>
      <c r="MUY1590" s="55">
        <f t="shared" si="184"/>
        <v>0</v>
      </c>
      <c r="MUZ1590" s="55">
        <f t="shared" si="184"/>
        <v>0</v>
      </c>
      <c r="MVA1590" s="55">
        <f t="shared" si="184"/>
        <v>0</v>
      </c>
      <c r="MVB1590" s="55">
        <f t="shared" si="184"/>
        <v>0</v>
      </c>
      <c r="MVC1590" s="55">
        <f t="shared" si="184"/>
        <v>0</v>
      </c>
      <c r="MVD1590" s="55">
        <f t="shared" si="184"/>
        <v>0</v>
      </c>
      <c r="MVE1590" s="55">
        <f t="shared" si="184"/>
        <v>0</v>
      </c>
      <c r="MVF1590" s="55">
        <f t="shared" si="184"/>
        <v>0</v>
      </c>
      <c r="MVG1590" s="55">
        <f t="shared" si="184"/>
        <v>0</v>
      </c>
      <c r="MVH1590" s="55">
        <f t="shared" si="184"/>
        <v>0</v>
      </c>
      <c r="MVI1590" s="55">
        <f t="shared" si="184"/>
        <v>0</v>
      </c>
      <c r="MVJ1590" s="55">
        <f t="shared" si="184"/>
        <v>0</v>
      </c>
      <c r="MVK1590" s="55">
        <f t="shared" si="184"/>
        <v>0</v>
      </c>
      <c r="MVL1590" s="55">
        <f t="shared" si="184"/>
        <v>0</v>
      </c>
      <c r="MVM1590" s="55">
        <f t="shared" si="184"/>
        <v>0</v>
      </c>
      <c r="MVN1590" s="55">
        <f t="shared" si="184"/>
        <v>0</v>
      </c>
      <c r="MVO1590" s="55">
        <f t="shared" si="184"/>
        <v>0</v>
      </c>
      <c r="MVP1590" s="55">
        <f t="shared" si="184"/>
        <v>0</v>
      </c>
      <c r="MVQ1590" s="55">
        <f t="shared" si="184"/>
        <v>0</v>
      </c>
      <c r="MVR1590" s="55">
        <f t="shared" si="184"/>
        <v>0</v>
      </c>
      <c r="MVS1590" s="55">
        <f t="shared" si="184"/>
        <v>0</v>
      </c>
      <c r="MVT1590" s="55">
        <f t="shared" si="184"/>
        <v>0</v>
      </c>
      <c r="MVU1590" s="55">
        <f t="shared" si="184"/>
        <v>0</v>
      </c>
      <c r="MVV1590" s="55">
        <f t="shared" si="184"/>
        <v>0</v>
      </c>
      <c r="MVW1590" s="55">
        <f t="shared" si="184"/>
        <v>0</v>
      </c>
      <c r="MVX1590" s="55">
        <f t="shared" si="184"/>
        <v>0</v>
      </c>
      <c r="MVY1590" s="55">
        <f t="shared" si="184"/>
        <v>0</v>
      </c>
      <c r="MVZ1590" s="55">
        <f t="shared" si="184"/>
        <v>0</v>
      </c>
      <c r="MWA1590" s="55">
        <f t="shared" si="184"/>
        <v>0</v>
      </c>
      <c r="MWB1590" s="55">
        <f t="shared" si="184"/>
        <v>0</v>
      </c>
      <c r="MWC1590" s="55">
        <f t="shared" si="184"/>
        <v>0</v>
      </c>
      <c r="MWD1590" s="55">
        <f t="shared" si="184"/>
        <v>0</v>
      </c>
      <c r="MWE1590" s="55">
        <f t="shared" si="184"/>
        <v>0</v>
      </c>
      <c r="MWF1590" s="55">
        <f t="shared" si="184"/>
        <v>0</v>
      </c>
      <c r="MWG1590" s="55">
        <f t="shared" si="184"/>
        <v>0</v>
      </c>
      <c r="MWH1590" s="55">
        <f t="shared" si="184"/>
        <v>0</v>
      </c>
      <c r="MWI1590" s="55">
        <f t="shared" si="184"/>
        <v>0</v>
      </c>
      <c r="MWJ1590" s="55">
        <f t="shared" si="184"/>
        <v>0</v>
      </c>
      <c r="MWK1590" s="55">
        <f t="shared" si="184"/>
        <v>0</v>
      </c>
      <c r="MWL1590" s="55">
        <f t="shared" si="184"/>
        <v>0</v>
      </c>
      <c r="MWM1590" s="55">
        <f t="shared" si="184"/>
        <v>0</v>
      </c>
      <c r="MWN1590" s="55">
        <f t="shared" si="184"/>
        <v>0</v>
      </c>
      <c r="MWO1590" s="55">
        <f t="shared" si="184"/>
        <v>0</v>
      </c>
      <c r="MWP1590" s="55">
        <f t="shared" si="184"/>
        <v>0</v>
      </c>
      <c r="MWQ1590" s="55">
        <f t="shared" si="184"/>
        <v>0</v>
      </c>
      <c r="MWR1590" s="55">
        <f t="shared" si="184"/>
        <v>0</v>
      </c>
      <c r="MWS1590" s="55">
        <f t="shared" si="184"/>
        <v>0</v>
      </c>
      <c r="MWT1590" s="55">
        <f t="shared" si="184"/>
        <v>0</v>
      </c>
      <c r="MWU1590" s="55">
        <f t="shared" si="184"/>
        <v>0</v>
      </c>
      <c r="MWV1590" s="55">
        <f t="shared" si="184"/>
        <v>0</v>
      </c>
      <c r="MWW1590" s="55">
        <f t="shared" si="184"/>
        <v>0</v>
      </c>
      <c r="MWX1590" s="55">
        <f t="shared" si="184"/>
        <v>0</v>
      </c>
      <c r="MWY1590" s="55">
        <f t="shared" si="184"/>
        <v>0</v>
      </c>
      <c r="MWZ1590" s="55">
        <f t="shared" si="184"/>
        <v>0</v>
      </c>
      <c r="MXA1590" s="55">
        <f t="shared" si="184"/>
        <v>0</v>
      </c>
      <c r="MXB1590" s="55">
        <f t="shared" si="184"/>
        <v>0</v>
      </c>
      <c r="MXC1590" s="55">
        <f t="shared" si="184"/>
        <v>0</v>
      </c>
      <c r="MXD1590" s="55">
        <f t="shared" si="184"/>
        <v>0</v>
      </c>
      <c r="MXE1590" s="55">
        <f t="shared" si="184"/>
        <v>0</v>
      </c>
      <c r="MXF1590" s="55">
        <f t="shared" si="184"/>
        <v>0</v>
      </c>
      <c r="MXG1590" s="55">
        <f t="shared" si="184"/>
        <v>0</v>
      </c>
      <c r="MXH1590" s="55">
        <f t="shared" ref="MXH1590:MZS1590" si="185">+(MXH1600+MXH1604)*1.18*1.1</f>
        <v>0</v>
      </c>
      <c r="MXI1590" s="55">
        <f t="shared" si="185"/>
        <v>0</v>
      </c>
      <c r="MXJ1590" s="55">
        <f t="shared" si="185"/>
        <v>0</v>
      </c>
      <c r="MXK1590" s="55">
        <f t="shared" si="185"/>
        <v>0</v>
      </c>
      <c r="MXL1590" s="55">
        <f t="shared" si="185"/>
        <v>0</v>
      </c>
      <c r="MXM1590" s="55">
        <f t="shared" si="185"/>
        <v>0</v>
      </c>
      <c r="MXN1590" s="55">
        <f t="shared" si="185"/>
        <v>0</v>
      </c>
      <c r="MXO1590" s="55">
        <f t="shared" si="185"/>
        <v>0</v>
      </c>
      <c r="MXP1590" s="55">
        <f t="shared" si="185"/>
        <v>0</v>
      </c>
      <c r="MXQ1590" s="55">
        <f t="shared" si="185"/>
        <v>0</v>
      </c>
      <c r="MXR1590" s="55">
        <f t="shared" si="185"/>
        <v>0</v>
      </c>
      <c r="MXS1590" s="55">
        <f t="shared" si="185"/>
        <v>0</v>
      </c>
      <c r="MXT1590" s="55">
        <f t="shared" si="185"/>
        <v>0</v>
      </c>
      <c r="MXU1590" s="55">
        <f t="shared" si="185"/>
        <v>0</v>
      </c>
      <c r="MXV1590" s="55">
        <f t="shared" si="185"/>
        <v>0</v>
      </c>
      <c r="MXW1590" s="55">
        <f t="shared" si="185"/>
        <v>0</v>
      </c>
      <c r="MXX1590" s="55">
        <f t="shared" si="185"/>
        <v>0</v>
      </c>
      <c r="MXY1590" s="55">
        <f t="shared" si="185"/>
        <v>0</v>
      </c>
      <c r="MXZ1590" s="55">
        <f t="shared" si="185"/>
        <v>0</v>
      </c>
      <c r="MYA1590" s="55">
        <f t="shared" si="185"/>
        <v>0</v>
      </c>
      <c r="MYB1590" s="55">
        <f t="shared" si="185"/>
        <v>0</v>
      </c>
      <c r="MYC1590" s="55">
        <f t="shared" si="185"/>
        <v>0</v>
      </c>
      <c r="MYD1590" s="55">
        <f t="shared" si="185"/>
        <v>0</v>
      </c>
      <c r="MYE1590" s="55">
        <f t="shared" si="185"/>
        <v>0</v>
      </c>
      <c r="MYF1590" s="55">
        <f t="shared" si="185"/>
        <v>0</v>
      </c>
      <c r="MYG1590" s="55">
        <f t="shared" si="185"/>
        <v>0</v>
      </c>
      <c r="MYH1590" s="55">
        <f t="shared" si="185"/>
        <v>0</v>
      </c>
      <c r="MYI1590" s="55">
        <f t="shared" si="185"/>
        <v>0</v>
      </c>
      <c r="MYJ1590" s="55">
        <f t="shared" si="185"/>
        <v>0</v>
      </c>
      <c r="MYK1590" s="55">
        <f t="shared" si="185"/>
        <v>0</v>
      </c>
      <c r="MYL1590" s="55">
        <f t="shared" si="185"/>
        <v>0</v>
      </c>
      <c r="MYM1590" s="55">
        <f t="shared" si="185"/>
        <v>0</v>
      </c>
      <c r="MYN1590" s="55">
        <f t="shared" si="185"/>
        <v>0</v>
      </c>
      <c r="MYO1590" s="55">
        <f t="shared" si="185"/>
        <v>0</v>
      </c>
      <c r="MYP1590" s="55">
        <f t="shared" si="185"/>
        <v>0</v>
      </c>
      <c r="MYQ1590" s="55">
        <f t="shared" si="185"/>
        <v>0</v>
      </c>
      <c r="MYR1590" s="55">
        <f t="shared" si="185"/>
        <v>0</v>
      </c>
      <c r="MYS1590" s="55">
        <f t="shared" si="185"/>
        <v>0</v>
      </c>
      <c r="MYT1590" s="55">
        <f t="shared" si="185"/>
        <v>0</v>
      </c>
      <c r="MYU1590" s="55">
        <f t="shared" si="185"/>
        <v>0</v>
      </c>
      <c r="MYV1590" s="55">
        <f t="shared" si="185"/>
        <v>0</v>
      </c>
      <c r="MYW1590" s="55">
        <f t="shared" si="185"/>
        <v>0</v>
      </c>
      <c r="MYX1590" s="55">
        <f t="shared" si="185"/>
        <v>0</v>
      </c>
      <c r="MYY1590" s="55">
        <f t="shared" si="185"/>
        <v>0</v>
      </c>
      <c r="MYZ1590" s="55">
        <f t="shared" si="185"/>
        <v>0</v>
      </c>
      <c r="MZA1590" s="55">
        <f t="shared" si="185"/>
        <v>0</v>
      </c>
      <c r="MZB1590" s="55">
        <f t="shared" si="185"/>
        <v>0</v>
      </c>
      <c r="MZC1590" s="55">
        <f t="shared" si="185"/>
        <v>0</v>
      </c>
      <c r="MZD1590" s="55">
        <f t="shared" si="185"/>
        <v>0</v>
      </c>
      <c r="MZE1590" s="55">
        <f t="shared" si="185"/>
        <v>0</v>
      </c>
      <c r="MZF1590" s="55">
        <f t="shared" si="185"/>
        <v>0</v>
      </c>
      <c r="MZG1590" s="55">
        <f t="shared" si="185"/>
        <v>0</v>
      </c>
      <c r="MZH1590" s="55">
        <f t="shared" si="185"/>
        <v>0</v>
      </c>
      <c r="MZI1590" s="55">
        <f t="shared" si="185"/>
        <v>0</v>
      </c>
      <c r="MZJ1590" s="55">
        <f t="shared" si="185"/>
        <v>0</v>
      </c>
      <c r="MZK1590" s="55">
        <f t="shared" si="185"/>
        <v>0</v>
      </c>
      <c r="MZL1590" s="55">
        <f t="shared" si="185"/>
        <v>0</v>
      </c>
      <c r="MZM1590" s="55">
        <f t="shared" si="185"/>
        <v>0</v>
      </c>
      <c r="MZN1590" s="55">
        <f t="shared" si="185"/>
        <v>0</v>
      </c>
      <c r="MZO1590" s="55">
        <f t="shared" si="185"/>
        <v>0</v>
      </c>
      <c r="MZP1590" s="55">
        <f t="shared" si="185"/>
        <v>0</v>
      </c>
      <c r="MZQ1590" s="55">
        <f t="shared" si="185"/>
        <v>0</v>
      </c>
      <c r="MZR1590" s="55">
        <f t="shared" si="185"/>
        <v>0</v>
      </c>
      <c r="MZS1590" s="55">
        <f t="shared" si="185"/>
        <v>0</v>
      </c>
      <c r="MZT1590" s="55">
        <f t="shared" ref="MZT1590:NCE1590" si="186">+(MZT1600+MZT1604)*1.18*1.1</f>
        <v>0</v>
      </c>
      <c r="MZU1590" s="55">
        <f t="shared" si="186"/>
        <v>0</v>
      </c>
      <c r="MZV1590" s="55">
        <f t="shared" si="186"/>
        <v>0</v>
      </c>
      <c r="MZW1590" s="55">
        <f t="shared" si="186"/>
        <v>0</v>
      </c>
      <c r="MZX1590" s="55">
        <f t="shared" si="186"/>
        <v>0</v>
      </c>
      <c r="MZY1590" s="55">
        <f t="shared" si="186"/>
        <v>0</v>
      </c>
      <c r="MZZ1590" s="55">
        <f t="shared" si="186"/>
        <v>0</v>
      </c>
      <c r="NAA1590" s="55">
        <f t="shared" si="186"/>
        <v>0</v>
      </c>
      <c r="NAB1590" s="55">
        <f t="shared" si="186"/>
        <v>0</v>
      </c>
      <c r="NAC1590" s="55">
        <f t="shared" si="186"/>
        <v>0</v>
      </c>
      <c r="NAD1590" s="55">
        <f t="shared" si="186"/>
        <v>0</v>
      </c>
      <c r="NAE1590" s="55">
        <f t="shared" si="186"/>
        <v>0</v>
      </c>
      <c r="NAF1590" s="55">
        <f t="shared" si="186"/>
        <v>0</v>
      </c>
      <c r="NAG1590" s="55">
        <f t="shared" si="186"/>
        <v>0</v>
      </c>
      <c r="NAH1590" s="55">
        <f t="shared" si="186"/>
        <v>0</v>
      </c>
      <c r="NAI1590" s="55">
        <f t="shared" si="186"/>
        <v>0</v>
      </c>
      <c r="NAJ1590" s="55">
        <f t="shared" si="186"/>
        <v>0</v>
      </c>
      <c r="NAK1590" s="55">
        <f t="shared" si="186"/>
        <v>0</v>
      </c>
      <c r="NAL1590" s="55">
        <f t="shared" si="186"/>
        <v>0</v>
      </c>
      <c r="NAM1590" s="55">
        <f t="shared" si="186"/>
        <v>0</v>
      </c>
      <c r="NAN1590" s="55">
        <f t="shared" si="186"/>
        <v>0</v>
      </c>
      <c r="NAO1590" s="55">
        <f t="shared" si="186"/>
        <v>0</v>
      </c>
      <c r="NAP1590" s="55">
        <f t="shared" si="186"/>
        <v>0</v>
      </c>
      <c r="NAQ1590" s="55">
        <f t="shared" si="186"/>
        <v>0</v>
      </c>
      <c r="NAR1590" s="55">
        <f t="shared" si="186"/>
        <v>0</v>
      </c>
      <c r="NAS1590" s="55">
        <f t="shared" si="186"/>
        <v>0</v>
      </c>
      <c r="NAT1590" s="55">
        <f t="shared" si="186"/>
        <v>0</v>
      </c>
      <c r="NAU1590" s="55">
        <f t="shared" si="186"/>
        <v>0</v>
      </c>
      <c r="NAV1590" s="55">
        <f t="shared" si="186"/>
        <v>0</v>
      </c>
      <c r="NAW1590" s="55">
        <f t="shared" si="186"/>
        <v>0</v>
      </c>
      <c r="NAX1590" s="55">
        <f t="shared" si="186"/>
        <v>0</v>
      </c>
      <c r="NAY1590" s="55">
        <f t="shared" si="186"/>
        <v>0</v>
      </c>
      <c r="NAZ1590" s="55">
        <f t="shared" si="186"/>
        <v>0</v>
      </c>
      <c r="NBA1590" s="55">
        <f t="shared" si="186"/>
        <v>0</v>
      </c>
      <c r="NBB1590" s="55">
        <f t="shared" si="186"/>
        <v>0</v>
      </c>
      <c r="NBC1590" s="55">
        <f t="shared" si="186"/>
        <v>0</v>
      </c>
      <c r="NBD1590" s="55">
        <f t="shared" si="186"/>
        <v>0</v>
      </c>
      <c r="NBE1590" s="55">
        <f t="shared" si="186"/>
        <v>0</v>
      </c>
      <c r="NBF1590" s="55">
        <f t="shared" si="186"/>
        <v>0</v>
      </c>
      <c r="NBG1590" s="55">
        <f t="shared" si="186"/>
        <v>0</v>
      </c>
      <c r="NBH1590" s="55">
        <f t="shared" si="186"/>
        <v>0</v>
      </c>
      <c r="NBI1590" s="55">
        <f t="shared" si="186"/>
        <v>0</v>
      </c>
      <c r="NBJ1590" s="55">
        <f t="shared" si="186"/>
        <v>0</v>
      </c>
      <c r="NBK1590" s="55">
        <f t="shared" si="186"/>
        <v>0</v>
      </c>
      <c r="NBL1590" s="55">
        <f t="shared" si="186"/>
        <v>0</v>
      </c>
      <c r="NBM1590" s="55">
        <f t="shared" si="186"/>
        <v>0</v>
      </c>
      <c r="NBN1590" s="55">
        <f t="shared" si="186"/>
        <v>0</v>
      </c>
      <c r="NBO1590" s="55">
        <f t="shared" si="186"/>
        <v>0</v>
      </c>
      <c r="NBP1590" s="55">
        <f t="shared" si="186"/>
        <v>0</v>
      </c>
      <c r="NBQ1590" s="55">
        <f t="shared" si="186"/>
        <v>0</v>
      </c>
      <c r="NBR1590" s="55">
        <f t="shared" si="186"/>
        <v>0</v>
      </c>
      <c r="NBS1590" s="55">
        <f t="shared" si="186"/>
        <v>0</v>
      </c>
      <c r="NBT1590" s="55">
        <f t="shared" si="186"/>
        <v>0</v>
      </c>
      <c r="NBU1590" s="55">
        <f t="shared" si="186"/>
        <v>0</v>
      </c>
      <c r="NBV1590" s="55">
        <f t="shared" si="186"/>
        <v>0</v>
      </c>
      <c r="NBW1590" s="55">
        <f t="shared" si="186"/>
        <v>0</v>
      </c>
      <c r="NBX1590" s="55">
        <f t="shared" si="186"/>
        <v>0</v>
      </c>
      <c r="NBY1590" s="55">
        <f t="shared" si="186"/>
        <v>0</v>
      </c>
      <c r="NBZ1590" s="55">
        <f t="shared" si="186"/>
        <v>0</v>
      </c>
      <c r="NCA1590" s="55">
        <f t="shared" si="186"/>
        <v>0</v>
      </c>
      <c r="NCB1590" s="55">
        <f t="shared" si="186"/>
        <v>0</v>
      </c>
      <c r="NCC1590" s="55">
        <f t="shared" si="186"/>
        <v>0</v>
      </c>
      <c r="NCD1590" s="55">
        <f t="shared" si="186"/>
        <v>0</v>
      </c>
      <c r="NCE1590" s="55">
        <f t="shared" si="186"/>
        <v>0</v>
      </c>
      <c r="NCF1590" s="55">
        <f t="shared" ref="NCF1590:NEQ1590" si="187">+(NCF1600+NCF1604)*1.18*1.1</f>
        <v>0</v>
      </c>
      <c r="NCG1590" s="55">
        <f t="shared" si="187"/>
        <v>0</v>
      </c>
      <c r="NCH1590" s="55">
        <f t="shared" si="187"/>
        <v>0</v>
      </c>
      <c r="NCI1590" s="55">
        <f t="shared" si="187"/>
        <v>0</v>
      </c>
      <c r="NCJ1590" s="55">
        <f t="shared" si="187"/>
        <v>0</v>
      </c>
      <c r="NCK1590" s="55">
        <f t="shared" si="187"/>
        <v>0</v>
      </c>
      <c r="NCL1590" s="55">
        <f t="shared" si="187"/>
        <v>0</v>
      </c>
      <c r="NCM1590" s="55">
        <f t="shared" si="187"/>
        <v>0</v>
      </c>
      <c r="NCN1590" s="55">
        <f t="shared" si="187"/>
        <v>0</v>
      </c>
      <c r="NCO1590" s="55">
        <f t="shared" si="187"/>
        <v>0</v>
      </c>
      <c r="NCP1590" s="55">
        <f t="shared" si="187"/>
        <v>0</v>
      </c>
      <c r="NCQ1590" s="55">
        <f t="shared" si="187"/>
        <v>0</v>
      </c>
      <c r="NCR1590" s="55">
        <f t="shared" si="187"/>
        <v>0</v>
      </c>
      <c r="NCS1590" s="55">
        <f t="shared" si="187"/>
        <v>0</v>
      </c>
      <c r="NCT1590" s="55">
        <f t="shared" si="187"/>
        <v>0</v>
      </c>
      <c r="NCU1590" s="55">
        <f t="shared" si="187"/>
        <v>0</v>
      </c>
      <c r="NCV1590" s="55">
        <f t="shared" si="187"/>
        <v>0</v>
      </c>
      <c r="NCW1590" s="55">
        <f t="shared" si="187"/>
        <v>0</v>
      </c>
      <c r="NCX1590" s="55">
        <f t="shared" si="187"/>
        <v>0</v>
      </c>
      <c r="NCY1590" s="55">
        <f t="shared" si="187"/>
        <v>0</v>
      </c>
      <c r="NCZ1590" s="55">
        <f t="shared" si="187"/>
        <v>0</v>
      </c>
      <c r="NDA1590" s="55">
        <f t="shared" si="187"/>
        <v>0</v>
      </c>
      <c r="NDB1590" s="55">
        <f t="shared" si="187"/>
        <v>0</v>
      </c>
      <c r="NDC1590" s="55">
        <f t="shared" si="187"/>
        <v>0</v>
      </c>
      <c r="NDD1590" s="55">
        <f t="shared" si="187"/>
        <v>0</v>
      </c>
      <c r="NDE1590" s="55">
        <f t="shared" si="187"/>
        <v>0</v>
      </c>
      <c r="NDF1590" s="55">
        <f t="shared" si="187"/>
        <v>0</v>
      </c>
      <c r="NDG1590" s="55">
        <f t="shared" si="187"/>
        <v>0</v>
      </c>
      <c r="NDH1590" s="55">
        <f t="shared" si="187"/>
        <v>0</v>
      </c>
      <c r="NDI1590" s="55">
        <f t="shared" si="187"/>
        <v>0</v>
      </c>
      <c r="NDJ1590" s="55">
        <f t="shared" si="187"/>
        <v>0</v>
      </c>
      <c r="NDK1590" s="55">
        <f t="shared" si="187"/>
        <v>0</v>
      </c>
      <c r="NDL1590" s="55">
        <f t="shared" si="187"/>
        <v>0</v>
      </c>
      <c r="NDM1590" s="55">
        <f t="shared" si="187"/>
        <v>0</v>
      </c>
      <c r="NDN1590" s="55">
        <f t="shared" si="187"/>
        <v>0</v>
      </c>
      <c r="NDO1590" s="55">
        <f t="shared" si="187"/>
        <v>0</v>
      </c>
      <c r="NDP1590" s="55">
        <f t="shared" si="187"/>
        <v>0</v>
      </c>
      <c r="NDQ1590" s="55">
        <f t="shared" si="187"/>
        <v>0</v>
      </c>
      <c r="NDR1590" s="55">
        <f t="shared" si="187"/>
        <v>0</v>
      </c>
      <c r="NDS1590" s="55">
        <f t="shared" si="187"/>
        <v>0</v>
      </c>
      <c r="NDT1590" s="55">
        <f t="shared" si="187"/>
        <v>0</v>
      </c>
      <c r="NDU1590" s="55">
        <f t="shared" si="187"/>
        <v>0</v>
      </c>
      <c r="NDV1590" s="55">
        <f t="shared" si="187"/>
        <v>0</v>
      </c>
      <c r="NDW1590" s="55">
        <f t="shared" si="187"/>
        <v>0</v>
      </c>
      <c r="NDX1590" s="55">
        <f t="shared" si="187"/>
        <v>0</v>
      </c>
      <c r="NDY1590" s="55">
        <f t="shared" si="187"/>
        <v>0</v>
      </c>
      <c r="NDZ1590" s="55">
        <f t="shared" si="187"/>
        <v>0</v>
      </c>
      <c r="NEA1590" s="55">
        <f t="shared" si="187"/>
        <v>0</v>
      </c>
      <c r="NEB1590" s="55">
        <f t="shared" si="187"/>
        <v>0</v>
      </c>
      <c r="NEC1590" s="55">
        <f t="shared" si="187"/>
        <v>0</v>
      </c>
      <c r="NED1590" s="55">
        <f t="shared" si="187"/>
        <v>0</v>
      </c>
      <c r="NEE1590" s="55">
        <f t="shared" si="187"/>
        <v>0</v>
      </c>
      <c r="NEF1590" s="55">
        <f t="shared" si="187"/>
        <v>0</v>
      </c>
      <c r="NEG1590" s="55">
        <f t="shared" si="187"/>
        <v>0</v>
      </c>
      <c r="NEH1590" s="55">
        <f t="shared" si="187"/>
        <v>0</v>
      </c>
      <c r="NEI1590" s="55">
        <f t="shared" si="187"/>
        <v>0</v>
      </c>
      <c r="NEJ1590" s="55">
        <f t="shared" si="187"/>
        <v>0</v>
      </c>
      <c r="NEK1590" s="55">
        <f t="shared" si="187"/>
        <v>0</v>
      </c>
      <c r="NEL1590" s="55">
        <f t="shared" si="187"/>
        <v>0</v>
      </c>
      <c r="NEM1590" s="55">
        <f t="shared" si="187"/>
        <v>0</v>
      </c>
      <c r="NEN1590" s="55">
        <f t="shared" si="187"/>
        <v>0</v>
      </c>
      <c r="NEO1590" s="55">
        <f t="shared" si="187"/>
        <v>0</v>
      </c>
      <c r="NEP1590" s="55">
        <f t="shared" si="187"/>
        <v>0</v>
      </c>
      <c r="NEQ1590" s="55">
        <f t="shared" si="187"/>
        <v>0</v>
      </c>
      <c r="NER1590" s="55">
        <f t="shared" ref="NER1590:NHC1590" si="188">+(NER1600+NER1604)*1.18*1.1</f>
        <v>0</v>
      </c>
      <c r="NES1590" s="55">
        <f t="shared" si="188"/>
        <v>0</v>
      </c>
      <c r="NET1590" s="55">
        <f t="shared" si="188"/>
        <v>0</v>
      </c>
      <c r="NEU1590" s="55">
        <f t="shared" si="188"/>
        <v>0</v>
      </c>
      <c r="NEV1590" s="55">
        <f t="shared" si="188"/>
        <v>0</v>
      </c>
      <c r="NEW1590" s="55">
        <f t="shared" si="188"/>
        <v>0</v>
      </c>
      <c r="NEX1590" s="55">
        <f t="shared" si="188"/>
        <v>0</v>
      </c>
      <c r="NEY1590" s="55">
        <f t="shared" si="188"/>
        <v>0</v>
      </c>
      <c r="NEZ1590" s="55">
        <f t="shared" si="188"/>
        <v>0</v>
      </c>
      <c r="NFA1590" s="55">
        <f t="shared" si="188"/>
        <v>0</v>
      </c>
      <c r="NFB1590" s="55">
        <f t="shared" si="188"/>
        <v>0</v>
      </c>
      <c r="NFC1590" s="55">
        <f t="shared" si="188"/>
        <v>0</v>
      </c>
      <c r="NFD1590" s="55">
        <f t="shared" si="188"/>
        <v>0</v>
      </c>
      <c r="NFE1590" s="55">
        <f t="shared" si="188"/>
        <v>0</v>
      </c>
      <c r="NFF1590" s="55">
        <f t="shared" si="188"/>
        <v>0</v>
      </c>
      <c r="NFG1590" s="55">
        <f t="shared" si="188"/>
        <v>0</v>
      </c>
      <c r="NFH1590" s="55">
        <f t="shared" si="188"/>
        <v>0</v>
      </c>
      <c r="NFI1590" s="55">
        <f t="shared" si="188"/>
        <v>0</v>
      </c>
      <c r="NFJ1590" s="55">
        <f t="shared" si="188"/>
        <v>0</v>
      </c>
      <c r="NFK1590" s="55">
        <f t="shared" si="188"/>
        <v>0</v>
      </c>
      <c r="NFL1590" s="55">
        <f t="shared" si="188"/>
        <v>0</v>
      </c>
      <c r="NFM1590" s="55">
        <f t="shared" si="188"/>
        <v>0</v>
      </c>
      <c r="NFN1590" s="55">
        <f t="shared" si="188"/>
        <v>0</v>
      </c>
      <c r="NFO1590" s="55">
        <f t="shared" si="188"/>
        <v>0</v>
      </c>
      <c r="NFP1590" s="55">
        <f t="shared" si="188"/>
        <v>0</v>
      </c>
      <c r="NFQ1590" s="55">
        <f t="shared" si="188"/>
        <v>0</v>
      </c>
      <c r="NFR1590" s="55">
        <f t="shared" si="188"/>
        <v>0</v>
      </c>
      <c r="NFS1590" s="55">
        <f t="shared" si="188"/>
        <v>0</v>
      </c>
      <c r="NFT1590" s="55">
        <f t="shared" si="188"/>
        <v>0</v>
      </c>
      <c r="NFU1590" s="55">
        <f t="shared" si="188"/>
        <v>0</v>
      </c>
      <c r="NFV1590" s="55">
        <f t="shared" si="188"/>
        <v>0</v>
      </c>
      <c r="NFW1590" s="55">
        <f t="shared" si="188"/>
        <v>0</v>
      </c>
      <c r="NFX1590" s="55">
        <f t="shared" si="188"/>
        <v>0</v>
      </c>
      <c r="NFY1590" s="55">
        <f t="shared" si="188"/>
        <v>0</v>
      </c>
      <c r="NFZ1590" s="55">
        <f t="shared" si="188"/>
        <v>0</v>
      </c>
      <c r="NGA1590" s="55">
        <f t="shared" si="188"/>
        <v>0</v>
      </c>
      <c r="NGB1590" s="55">
        <f t="shared" si="188"/>
        <v>0</v>
      </c>
      <c r="NGC1590" s="55">
        <f t="shared" si="188"/>
        <v>0</v>
      </c>
      <c r="NGD1590" s="55">
        <f t="shared" si="188"/>
        <v>0</v>
      </c>
      <c r="NGE1590" s="55">
        <f t="shared" si="188"/>
        <v>0</v>
      </c>
      <c r="NGF1590" s="55">
        <f t="shared" si="188"/>
        <v>0</v>
      </c>
      <c r="NGG1590" s="55">
        <f t="shared" si="188"/>
        <v>0</v>
      </c>
      <c r="NGH1590" s="55">
        <f t="shared" si="188"/>
        <v>0</v>
      </c>
      <c r="NGI1590" s="55">
        <f t="shared" si="188"/>
        <v>0</v>
      </c>
      <c r="NGJ1590" s="55">
        <f t="shared" si="188"/>
        <v>0</v>
      </c>
      <c r="NGK1590" s="55">
        <f t="shared" si="188"/>
        <v>0</v>
      </c>
      <c r="NGL1590" s="55">
        <f t="shared" si="188"/>
        <v>0</v>
      </c>
      <c r="NGM1590" s="55">
        <f t="shared" si="188"/>
        <v>0</v>
      </c>
      <c r="NGN1590" s="55">
        <f t="shared" si="188"/>
        <v>0</v>
      </c>
      <c r="NGO1590" s="55">
        <f t="shared" si="188"/>
        <v>0</v>
      </c>
      <c r="NGP1590" s="55">
        <f t="shared" si="188"/>
        <v>0</v>
      </c>
      <c r="NGQ1590" s="55">
        <f t="shared" si="188"/>
        <v>0</v>
      </c>
      <c r="NGR1590" s="55">
        <f t="shared" si="188"/>
        <v>0</v>
      </c>
      <c r="NGS1590" s="55">
        <f t="shared" si="188"/>
        <v>0</v>
      </c>
      <c r="NGT1590" s="55">
        <f t="shared" si="188"/>
        <v>0</v>
      </c>
      <c r="NGU1590" s="55">
        <f t="shared" si="188"/>
        <v>0</v>
      </c>
      <c r="NGV1590" s="55">
        <f t="shared" si="188"/>
        <v>0</v>
      </c>
      <c r="NGW1590" s="55">
        <f t="shared" si="188"/>
        <v>0</v>
      </c>
      <c r="NGX1590" s="55">
        <f t="shared" si="188"/>
        <v>0</v>
      </c>
      <c r="NGY1590" s="55">
        <f t="shared" si="188"/>
        <v>0</v>
      </c>
      <c r="NGZ1590" s="55">
        <f t="shared" si="188"/>
        <v>0</v>
      </c>
      <c r="NHA1590" s="55">
        <f t="shared" si="188"/>
        <v>0</v>
      </c>
      <c r="NHB1590" s="55">
        <f t="shared" si="188"/>
        <v>0</v>
      </c>
      <c r="NHC1590" s="55">
        <f t="shared" si="188"/>
        <v>0</v>
      </c>
      <c r="NHD1590" s="55">
        <f t="shared" ref="NHD1590:NJO1590" si="189">+(NHD1600+NHD1604)*1.18*1.1</f>
        <v>0</v>
      </c>
      <c r="NHE1590" s="55">
        <f t="shared" si="189"/>
        <v>0</v>
      </c>
      <c r="NHF1590" s="55">
        <f t="shared" si="189"/>
        <v>0</v>
      </c>
      <c r="NHG1590" s="55">
        <f t="shared" si="189"/>
        <v>0</v>
      </c>
      <c r="NHH1590" s="55">
        <f t="shared" si="189"/>
        <v>0</v>
      </c>
      <c r="NHI1590" s="55">
        <f t="shared" si="189"/>
        <v>0</v>
      </c>
      <c r="NHJ1590" s="55">
        <f t="shared" si="189"/>
        <v>0</v>
      </c>
      <c r="NHK1590" s="55">
        <f t="shared" si="189"/>
        <v>0</v>
      </c>
      <c r="NHL1590" s="55">
        <f t="shared" si="189"/>
        <v>0</v>
      </c>
      <c r="NHM1590" s="55">
        <f t="shared" si="189"/>
        <v>0</v>
      </c>
      <c r="NHN1590" s="55">
        <f t="shared" si="189"/>
        <v>0</v>
      </c>
      <c r="NHO1590" s="55">
        <f t="shared" si="189"/>
        <v>0</v>
      </c>
      <c r="NHP1590" s="55">
        <f t="shared" si="189"/>
        <v>0</v>
      </c>
      <c r="NHQ1590" s="55">
        <f t="shared" si="189"/>
        <v>0</v>
      </c>
      <c r="NHR1590" s="55">
        <f t="shared" si="189"/>
        <v>0</v>
      </c>
      <c r="NHS1590" s="55">
        <f t="shared" si="189"/>
        <v>0</v>
      </c>
      <c r="NHT1590" s="55">
        <f t="shared" si="189"/>
        <v>0</v>
      </c>
      <c r="NHU1590" s="55">
        <f t="shared" si="189"/>
        <v>0</v>
      </c>
      <c r="NHV1590" s="55">
        <f t="shared" si="189"/>
        <v>0</v>
      </c>
      <c r="NHW1590" s="55">
        <f t="shared" si="189"/>
        <v>0</v>
      </c>
      <c r="NHX1590" s="55">
        <f t="shared" si="189"/>
        <v>0</v>
      </c>
      <c r="NHY1590" s="55">
        <f t="shared" si="189"/>
        <v>0</v>
      </c>
      <c r="NHZ1590" s="55">
        <f t="shared" si="189"/>
        <v>0</v>
      </c>
      <c r="NIA1590" s="55">
        <f t="shared" si="189"/>
        <v>0</v>
      </c>
      <c r="NIB1590" s="55">
        <f t="shared" si="189"/>
        <v>0</v>
      </c>
      <c r="NIC1590" s="55">
        <f t="shared" si="189"/>
        <v>0</v>
      </c>
      <c r="NID1590" s="55">
        <f t="shared" si="189"/>
        <v>0</v>
      </c>
      <c r="NIE1590" s="55">
        <f t="shared" si="189"/>
        <v>0</v>
      </c>
      <c r="NIF1590" s="55">
        <f t="shared" si="189"/>
        <v>0</v>
      </c>
      <c r="NIG1590" s="55">
        <f t="shared" si="189"/>
        <v>0</v>
      </c>
      <c r="NIH1590" s="55">
        <f t="shared" si="189"/>
        <v>0</v>
      </c>
      <c r="NII1590" s="55">
        <f t="shared" si="189"/>
        <v>0</v>
      </c>
      <c r="NIJ1590" s="55">
        <f t="shared" si="189"/>
        <v>0</v>
      </c>
      <c r="NIK1590" s="55">
        <f t="shared" si="189"/>
        <v>0</v>
      </c>
      <c r="NIL1590" s="55">
        <f t="shared" si="189"/>
        <v>0</v>
      </c>
      <c r="NIM1590" s="55">
        <f t="shared" si="189"/>
        <v>0</v>
      </c>
      <c r="NIN1590" s="55">
        <f t="shared" si="189"/>
        <v>0</v>
      </c>
      <c r="NIO1590" s="55">
        <f t="shared" si="189"/>
        <v>0</v>
      </c>
      <c r="NIP1590" s="55">
        <f t="shared" si="189"/>
        <v>0</v>
      </c>
      <c r="NIQ1590" s="55">
        <f t="shared" si="189"/>
        <v>0</v>
      </c>
      <c r="NIR1590" s="55">
        <f t="shared" si="189"/>
        <v>0</v>
      </c>
      <c r="NIS1590" s="55">
        <f t="shared" si="189"/>
        <v>0</v>
      </c>
      <c r="NIT1590" s="55">
        <f t="shared" si="189"/>
        <v>0</v>
      </c>
      <c r="NIU1590" s="55">
        <f t="shared" si="189"/>
        <v>0</v>
      </c>
      <c r="NIV1590" s="55">
        <f t="shared" si="189"/>
        <v>0</v>
      </c>
      <c r="NIW1590" s="55">
        <f t="shared" si="189"/>
        <v>0</v>
      </c>
      <c r="NIX1590" s="55">
        <f t="shared" si="189"/>
        <v>0</v>
      </c>
      <c r="NIY1590" s="55">
        <f t="shared" si="189"/>
        <v>0</v>
      </c>
      <c r="NIZ1590" s="55">
        <f t="shared" si="189"/>
        <v>0</v>
      </c>
      <c r="NJA1590" s="55">
        <f t="shared" si="189"/>
        <v>0</v>
      </c>
      <c r="NJB1590" s="55">
        <f t="shared" si="189"/>
        <v>0</v>
      </c>
      <c r="NJC1590" s="55">
        <f t="shared" si="189"/>
        <v>0</v>
      </c>
      <c r="NJD1590" s="55">
        <f t="shared" si="189"/>
        <v>0</v>
      </c>
      <c r="NJE1590" s="55">
        <f t="shared" si="189"/>
        <v>0</v>
      </c>
      <c r="NJF1590" s="55">
        <f t="shared" si="189"/>
        <v>0</v>
      </c>
      <c r="NJG1590" s="55">
        <f t="shared" si="189"/>
        <v>0</v>
      </c>
      <c r="NJH1590" s="55">
        <f t="shared" si="189"/>
        <v>0</v>
      </c>
      <c r="NJI1590" s="55">
        <f t="shared" si="189"/>
        <v>0</v>
      </c>
      <c r="NJJ1590" s="55">
        <f t="shared" si="189"/>
        <v>0</v>
      </c>
      <c r="NJK1590" s="55">
        <f t="shared" si="189"/>
        <v>0</v>
      </c>
      <c r="NJL1590" s="55">
        <f t="shared" si="189"/>
        <v>0</v>
      </c>
      <c r="NJM1590" s="55">
        <f t="shared" si="189"/>
        <v>0</v>
      </c>
      <c r="NJN1590" s="55">
        <f t="shared" si="189"/>
        <v>0</v>
      </c>
      <c r="NJO1590" s="55">
        <f t="shared" si="189"/>
        <v>0</v>
      </c>
      <c r="NJP1590" s="55">
        <f t="shared" ref="NJP1590:NMA1590" si="190">+(NJP1600+NJP1604)*1.18*1.1</f>
        <v>0</v>
      </c>
      <c r="NJQ1590" s="55">
        <f t="shared" si="190"/>
        <v>0</v>
      </c>
      <c r="NJR1590" s="55">
        <f t="shared" si="190"/>
        <v>0</v>
      </c>
      <c r="NJS1590" s="55">
        <f t="shared" si="190"/>
        <v>0</v>
      </c>
      <c r="NJT1590" s="55">
        <f t="shared" si="190"/>
        <v>0</v>
      </c>
      <c r="NJU1590" s="55">
        <f t="shared" si="190"/>
        <v>0</v>
      </c>
      <c r="NJV1590" s="55">
        <f t="shared" si="190"/>
        <v>0</v>
      </c>
      <c r="NJW1590" s="55">
        <f t="shared" si="190"/>
        <v>0</v>
      </c>
      <c r="NJX1590" s="55">
        <f t="shared" si="190"/>
        <v>0</v>
      </c>
      <c r="NJY1590" s="55">
        <f t="shared" si="190"/>
        <v>0</v>
      </c>
      <c r="NJZ1590" s="55">
        <f t="shared" si="190"/>
        <v>0</v>
      </c>
      <c r="NKA1590" s="55">
        <f t="shared" si="190"/>
        <v>0</v>
      </c>
      <c r="NKB1590" s="55">
        <f t="shared" si="190"/>
        <v>0</v>
      </c>
      <c r="NKC1590" s="55">
        <f t="shared" si="190"/>
        <v>0</v>
      </c>
      <c r="NKD1590" s="55">
        <f t="shared" si="190"/>
        <v>0</v>
      </c>
      <c r="NKE1590" s="55">
        <f t="shared" si="190"/>
        <v>0</v>
      </c>
      <c r="NKF1590" s="55">
        <f t="shared" si="190"/>
        <v>0</v>
      </c>
      <c r="NKG1590" s="55">
        <f t="shared" si="190"/>
        <v>0</v>
      </c>
      <c r="NKH1590" s="55">
        <f t="shared" si="190"/>
        <v>0</v>
      </c>
      <c r="NKI1590" s="55">
        <f t="shared" si="190"/>
        <v>0</v>
      </c>
      <c r="NKJ1590" s="55">
        <f t="shared" si="190"/>
        <v>0</v>
      </c>
      <c r="NKK1590" s="55">
        <f t="shared" si="190"/>
        <v>0</v>
      </c>
      <c r="NKL1590" s="55">
        <f t="shared" si="190"/>
        <v>0</v>
      </c>
      <c r="NKM1590" s="55">
        <f t="shared" si="190"/>
        <v>0</v>
      </c>
      <c r="NKN1590" s="55">
        <f t="shared" si="190"/>
        <v>0</v>
      </c>
      <c r="NKO1590" s="55">
        <f t="shared" si="190"/>
        <v>0</v>
      </c>
      <c r="NKP1590" s="55">
        <f t="shared" si="190"/>
        <v>0</v>
      </c>
      <c r="NKQ1590" s="55">
        <f t="shared" si="190"/>
        <v>0</v>
      </c>
      <c r="NKR1590" s="55">
        <f t="shared" si="190"/>
        <v>0</v>
      </c>
      <c r="NKS1590" s="55">
        <f t="shared" si="190"/>
        <v>0</v>
      </c>
      <c r="NKT1590" s="55">
        <f t="shared" si="190"/>
        <v>0</v>
      </c>
      <c r="NKU1590" s="55">
        <f t="shared" si="190"/>
        <v>0</v>
      </c>
      <c r="NKV1590" s="55">
        <f t="shared" si="190"/>
        <v>0</v>
      </c>
      <c r="NKW1590" s="55">
        <f t="shared" si="190"/>
        <v>0</v>
      </c>
      <c r="NKX1590" s="55">
        <f t="shared" si="190"/>
        <v>0</v>
      </c>
      <c r="NKY1590" s="55">
        <f t="shared" si="190"/>
        <v>0</v>
      </c>
      <c r="NKZ1590" s="55">
        <f t="shared" si="190"/>
        <v>0</v>
      </c>
      <c r="NLA1590" s="55">
        <f t="shared" si="190"/>
        <v>0</v>
      </c>
      <c r="NLB1590" s="55">
        <f t="shared" si="190"/>
        <v>0</v>
      </c>
      <c r="NLC1590" s="55">
        <f t="shared" si="190"/>
        <v>0</v>
      </c>
      <c r="NLD1590" s="55">
        <f t="shared" si="190"/>
        <v>0</v>
      </c>
      <c r="NLE1590" s="55">
        <f t="shared" si="190"/>
        <v>0</v>
      </c>
      <c r="NLF1590" s="55">
        <f t="shared" si="190"/>
        <v>0</v>
      </c>
      <c r="NLG1590" s="55">
        <f t="shared" si="190"/>
        <v>0</v>
      </c>
      <c r="NLH1590" s="55">
        <f t="shared" si="190"/>
        <v>0</v>
      </c>
      <c r="NLI1590" s="55">
        <f t="shared" si="190"/>
        <v>0</v>
      </c>
      <c r="NLJ1590" s="55">
        <f t="shared" si="190"/>
        <v>0</v>
      </c>
      <c r="NLK1590" s="55">
        <f t="shared" si="190"/>
        <v>0</v>
      </c>
      <c r="NLL1590" s="55">
        <f t="shared" si="190"/>
        <v>0</v>
      </c>
      <c r="NLM1590" s="55">
        <f t="shared" si="190"/>
        <v>0</v>
      </c>
      <c r="NLN1590" s="55">
        <f t="shared" si="190"/>
        <v>0</v>
      </c>
      <c r="NLO1590" s="55">
        <f t="shared" si="190"/>
        <v>0</v>
      </c>
      <c r="NLP1590" s="55">
        <f t="shared" si="190"/>
        <v>0</v>
      </c>
      <c r="NLQ1590" s="55">
        <f t="shared" si="190"/>
        <v>0</v>
      </c>
      <c r="NLR1590" s="55">
        <f t="shared" si="190"/>
        <v>0</v>
      </c>
      <c r="NLS1590" s="55">
        <f t="shared" si="190"/>
        <v>0</v>
      </c>
      <c r="NLT1590" s="55">
        <f t="shared" si="190"/>
        <v>0</v>
      </c>
      <c r="NLU1590" s="55">
        <f t="shared" si="190"/>
        <v>0</v>
      </c>
      <c r="NLV1590" s="55">
        <f t="shared" si="190"/>
        <v>0</v>
      </c>
      <c r="NLW1590" s="55">
        <f t="shared" si="190"/>
        <v>0</v>
      </c>
      <c r="NLX1590" s="55">
        <f t="shared" si="190"/>
        <v>0</v>
      </c>
      <c r="NLY1590" s="55">
        <f t="shared" si="190"/>
        <v>0</v>
      </c>
      <c r="NLZ1590" s="55">
        <f t="shared" si="190"/>
        <v>0</v>
      </c>
      <c r="NMA1590" s="55">
        <f t="shared" si="190"/>
        <v>0</v>
      </c>
      <c r="NMB1590" s="55">
        <f t="shared" ref="NMB1590:NOM1590" si="191">+(NMB1600+NMB1604)*1.18*1.1</f>
        <v>0</v>
      </c>
      <c r="NMC1590" s="55">
        <f t="shared" si="191"/>
        <v>0</v>
      </c>
      <c r="NMD1590" s="55">
        <f t="shared" si="191"/>
        <v>0</v>
      </c>
      <c r="NME1590" s="55">
        <f t="shared" si="191"/>
        <v>0</v>
      </c>
      <c r="NMF1590" s="55">
        <f t="shared" si="191"/>
        <v>0</v>
      </c>
      <c r="NMG1590" s="55">
        <f t="shared" si="191"/>
        <v>0</v>
      </c>
      <c r="NMH1590" s="55">
        <f t="shared" si="191"/>
        <v>0</v>
      </c>
      <c r="NMI1590" s="55">
        <f t="shared" si="191"/>
        <v>0</v>
      </c>
      <c r="NMJ1590" s="55">
        <f t="shared" si="191"/>
        <v>0</v>
      </c>
      <c r="NMK1590" s="55">
        <f t="shared" si="191"/>
        <v>0</v>
      </c>
      <c r="NML1590" s="55">
        <f t="shared" si="191"/>
        <v>0</v>
      </c>
      <c r="NMM1590" s="55">
        <f t="shared" si="191"/>
        <v>0</v>
      </c>
      <c r="NMN1590" s="55">
        <f t="shared" si="191"/>
        <v>0</v>
      </c>
      <c r="NMO1590" s="55">
        <f t="shared" si="191"/>
        <v>0</v>
      </c>
      <c r="NMP1590" s="55">
        <f t="shared" si="191"/>
        <v>0</v>
      </c>
      <c r="NMQ1590" s="55">
        <f t="shared" si="191"/>
        <v>0</v>
      </c>
      <c r="NMR1590" s="55">
        <f t="shared" si="191"/>
        <v>0</v>
      </c>
      <c r="NMS1590" s="55">
        <f t="shared" si="191"/>
        <v>0</v>
      </c>
      <c r="NMT1590" s="55">
        <f t="shared" si="191"/>
        <v>0</v>
      </c>
      <c r="NMU1590" s="55">
        <f t="shared" si="191"/>
        <v>0</v>
      </c>
      <c r="NMV1590" s="55">
        <f t="shared" si="191"/>
        <v>0</v>
      </c>
      <c r="NMW1590" s="55">
        <f t="shared" si="191"/>
        <v>0</v>
      </c>
      <c r="NMX1590" s="55">
        <f t="shared" si="191"/>
        <v>0</v>
      </c>
      <c r="NMY1590" s="55">
        <f t="shared" si="191"/>
        <v>0</v>
      </c>
      <c r="NMZ1590" s="55">
        <f t="shared" si="191"/>
        <v>0</v>
      </c>
      <c r="NNA1590" s="55">
        <f t="shared" si="191"/>
        <v>0</v>
      </c>
      <c r="NNB1590" s="55">
        <f t="shared" si="191"/>
        <v>0</v>
      </c>
      <c r="NNC1590" s="55">
        <f t="shared" si="191"/>
        <v>0</v>
      </c>
      <c r="NND1590" s="55">
        <f t="shared" si="191"/>
        <v>0</v>
      </c>
      <c r="NNE1590" s="55">
        <f t="shared" si="191"/>
        <v>0</v>
      </c>
      <c r="NNF1590" s="55">
        <f t="shared" si="191"/>
        <v>0</v>
      </c>
      <c r="NNG1590" s="55">
        <f t="shared" si="191"/>
        <v>0</v>
      </c>
      <c r="NNH1590" s="55">
        <f t="shared" si="191"/>
        <v>0</v>
      </c>
      <c r="NNI1590" s="55">
        <f t="shared" si="191"/>
        <v>0</v>
      </c>
      <c r="NNJ1590" s="55">
        <f t="shared" si="191"/>
        <v>0</v>
      </c>
      <c r="NNK1590" s="55">
        <f t="shared" si="191"/>
        <v>0</v>
      </c>
      <c r="NNL1590" s="55">
        <f t="shared" si="191"/>
        <v>0</v>
      </c>
      <c r="NNM1590" s="55">
        <f t="shared" si="191"/>
        <v>0</v>
      </c>
      <c r="NNN1590" s="55">
        <f t="shared" si="191"/>
        <v>0</v>
      </c>
      <c r="NNO1590" s="55">
        <f t="shared" si="191"/>
        <v>0</v>
      </c>
      <c r="NNP1590" s="55">
        <f t="shared" si="191"/>
        <v>0</v>
      </c>
      <c r="NNQ1590" s="55">
        <f t="shared" si="191"/>
        <v>0</v>
      </c>
      <c r="NNR1590" s="55">
        <f t="shared" si="191"/>
        <v>0</v>
      </c>
      <c r="NNS1590" s="55">
        <f t="shared" si="191"/>
        <v>0</v>
      </c>
      <c r="NNT1590" s="55">
        <f t="shared" si="191"/>
        <v>0</v>
      </c>
      <c r="NNU1590" s="55">
        <f t="shared" si="191"/>
        <v>0</v>
      </c>
      <c r="NNV1590" s="55">
        <f t="shared" si="191"/>
        <v>0</v>
      </c>
      <c r="NNW1590" s="55">
        <f t="shared" si="191"/>
        <v>0</v>
      </c>
      <c r="NNX1590" s="55">
        <f t="shared" si="191"/>
        <v>0</v>
      </c>
      <c r="NNY1590" s="55">
        <f t="shared" si="191"/>
        <v>0</v>
      </c>
      <c r="NNZ1590" s="55">
        <f t="shared" si="191"/>
        <v>0</v>
      </c>
      <c r="NOA1590" s="55">
        <f t="shared" si="191"/>
        <v>0</v>
      </c>
      <c r="NOB1590" s="55">
        <f t="shared" si="191"/>
        <v>0</v>
      </c>
      <c r="NOC1590" s="55">
        <f t="shared" si="191"/>
        <v>0</v>
      </c>
      <c r="NOD1590" s="55">
        <f t="shared" si="191"/>
        <v>0</v>
      </c>
      <c r="NOE1590" s="55">
        <f t="shared" si="191"/>
        <v>0</v>
      </c>
      <c r="NOF1590" s="55">
        <f t="shared" si="191"/>
        <v>0</v>
      </c>
      <c r="NOG1590" s="55">
        <f t="shared" si="191"/>
        <v>0</v>
      </c>
      <c r="NOH1590" s="55">
        <f t="shared" si="191"/>
        <v>0</v>
      </c>
      <c r="NOI1590" s="55">
        <f t="shared" si="191"/>
        <v>0</v>
      </c>
      <c r="NOJ1590" s="55">
        <f t="shared" si="191"/>
        <v>0</v>
      </c>
      <c r="NOK1590" s="55">
        <f t="shared" si="191"/>
        <v>0</v>
      </c>
      <c r="NOL1590" s="55">
        <f t="shared" si="191"/>
        <v>0</v>
      </c>
      <c r="NOM1590" s="55">
        <f t="shared" si="191"/>
        <v>0</v>
      </c>
      <c r="NON1590" s="55">
        <f t="shared" ref="NON1590:NQY1590" si="192">+(NON1600+NON1604)*1.18*1.1</f>
        <v>0</v>
      </c>
      <c r="NOO1590" s="55">
        <f t="shared" si="192"/>
        <v>0</v>
      </c>
      <c r="NOP1590" s="55">
        <f t="shared" si="192"/>
        <v>0</v>
      </c>
      <c r="NOQ1590" s="55">
        <f t="shared" si="192"/>
        <v>0</v>
      </c>
      <c r="NOR1590" s="55">
        <f t="shared" si="192"/>
        <v>0</v>
      </c>
      <c r="NOS1590" s="55">
        <f t="shared" si="192"/>
        <v>0</v>
      </c>
      <c r="NOT1590" s="55">
        <f t="shared" si="192"/>
        <v>0</v>
      </c>
      <c r="NOU1590" s="55">
        <f t="shared" si="192"/>
        <v>0</v>
      </c>
      <c r="NOV1590" s="55">
        <f t="shared" si="192"/>
        <v>0</v>
      </c>
      <c r="NOW1590" s="55">
        <f t="shared" si="192"/>
        <v>0</v>
      </c>
      <c r="NOX1590" s="55">
        <f t="shared" si="192"/>
        <v>0</v>
      </c>
      <c r="NOY1590" s="55">
        <f t="shared" si="192"/>
        <v>0</v>
      </c>
      <c r="NOZ1590" s="55">
        <f t="shared" si="192"/>
        <v>0</v>
      </c>
      <c r="NPA1590" s="55">
        <f t="shared" si="192"/>
        <v>0</v>
      </c>
      <c r="NPB1590" s="55">
        <f t="shared" si="192"/>
        <v>0</v>
      </c>
      <c r="NPC1590" s="55">
        <f t="shared" si="192"/>
        <v>0</v>
      </c>
      <c r="NPD1590" s="55">
        <f t="shared" si="192"/>
        <v>0</v>
      </c>
      <c r="NPE1590" s="55">
        <f t="shared" si="192"/>
        <v>0</v>
      </c>
      <c r="NPF1590" s="55">
        <f t="shared" si="192"/>
        <v>0</v>
      </c>
      <c r="NPG1590" s="55">
        <f t="shared" si="192"/>
        <v>0</v>
      </c>
      <c r="NPH1590" s="55">
        <f t="shared" si="192"/>
        <v>0</v>
      </c>
      <c r="NPI1590" s="55">
        <f t="shared" si="192"/>
        <v>0</v>
      </c>
      <c r="NPJ1590" s="55">
        <f t="shared" si="192"/>
        <v>0</v>
      </c>
      <c r="NPK1590" s="55">
        <f t="shared" si="192"/>
        <v>0</v>
      </c>
      <c r="NPL1590" s="55">
        <f t="shared" si="192"/>
        <v>0</v>
      </c>
      <c r="NPM1590" s="55">
        <f t="shared" si="192"/>
        <v>0</v>
      </c>
      <c r="NPN1590" s="55">
        <f t="shared" si="192"/>
        <v>0</v>
      </c>
      <c r="NPO1590" s="55">
        <f t="shared" si="192"/>
        <v>0</v>
      </c>
      <c r="NPP1590" s="55">
        <f t="shared" si="192"/>
        <v>0</v>
      </c>
      <c r="NPQ1590" s="55">
        <f t="shared" si="192"/>
        <v>0</v>
      </c>
      <c r="NPR1590" s="55">
        <f t="shared" si="192"/>
        <v>0</v>
      </c>
      <c r="NPS1590" s="55">
        <f t="shared" si="192"/>
        <v>0</v>
      </c>
      <c r="NPT1590" s="55">
        <f t="shared" si="192"/>
        <v>0</v>
      </c>
      <c r="NPU1590" s="55">
        <f t="shared" si="192"/>
        <v>0</v>
      </c>
      <c r="NPV1590" s="55">
        <f t="shared" si="192"/>
        <v>0</v>
      </c>
      <c r="NPW1590" s="55">
        <f t="shared" si="192"/>
        <v>0</v>
      </c>
      <c r="NPX1590" s="55">
        <f t="shared" si="192"/>
        <v>0</v>
      </c>
      <c r="NPY1590" s="55">
        <f t="shared" si="192"/>
        <v>0</v>
      </c>
      <c r="NPZ1590" s="55">
        <f t="shared" si="192"/>
        <v>0</v>
      </c>
      <c r="NQA1590" s="55">
        <f t="shared" si="192"/>
        <v>0</v>
      </c>
      <c r="NQB1590" s="55">
        <f t="shared" si="192"/>
        <v>0</v>
      </c>
      <c r="NQC1590" s="55">
        <f t="shared" si="192"/>
        <v>0</v>
      </c>
      <c r="NQD1590" s="55">
        <f t="shared" si="192"/>
        <v>0</v>
      </c>
      <c r="NQE1590" s="55">
        <f t="shared" si="192"/>
        <v>0</v>
      </c>
      <c r="NQF1590" s="55">
        <f t="shared" si="192"/>
        <v>0</v>
      </c>
      <c r="NQG1590" s="55">
        <f t="shared" si="192"/>
        <v>0</v>
      </c>
      <c r="NQH1590" s="55">
        <f t="shared" si="192"/>
        <v>0</v>
      </c>
      <c r="NQI1590" s="55">
        <f t="shared" si="192"/>
        <v>0</v>
      </c>
      <c r="NQJ1590" s="55">
        <f t="shared" si="192"/>
        <v>0</v>
      </c>
      <c r="NQK1590" s="55">
        <f t="shared" si="192"/>
        <v>0</v>
      </c>
      <c r="NQL1590" s="55">
        <f t="shared" si="192"/>
        <v>0</v>
      </c>
      <c r="NQM1590" s="55">
        <f t="shared" si="192"/>
        <v>0</v>
      </c>
      <c r="NQN1590" s="55">
        <f t="shared" si="192"/>
        <v>0</v>
      </c>
      <c r="NQO1590" s="55">
        <f t="shared" si="192"/>
        <v>0</v>
      </c>
      <c r="NQP1590" s="55">
        <f t="shared" si="192"/>
        <v>0</v>
      </c>
      <c r="NQQ1590" s="55">
        <f t="shared" si="192"/>
        <v>0</v>
      </c>
      <c r="NQR1590" s="55">
        <f t="shared" si="192"/>
        <v>0</v>
      </c>
      <c r="NQS1590" s="55">
        <f t="shared" si="192"/>
        <v>0</v>
      </c>
      <c r="NQT1590" s="55">
        <f t="shared" si="192"/>
        <v>0</v>
      </c>
      <c r="NQU1590" s="55">
        <f t="shared" si="192"/>
        <v>0</v>
      </c>
      <c r="NQV1590" s="55">
        <f t="shared" si="192"/>
        <v>0</v>
      </c>
      <c r="NQW1590" s="55">
        <f t="shared" si="192"/>
        <v>0</v>
      </c>
      <c r="NQX1590" s="55">
        <f t="shared" si="192"/>
        <v>0</v>
      </c>
      <c r="NQY1590" s="55">
        <f t="shared" si="192"/>
        <v>0</v>
      </c>
      <c r="NQZ1590" s="55">
        <f t="shared" ref="NQZ1590:NTK1590" si="193">+(NQZ1600+NQZ1604)*1.18*1.1</f>
        <v>0</v>
      </c>
      <c r="NRA1590" s="55">
        <f t="shared" si="193"/>
        <v>0</v>
      </c>
      <c r="NRB1590" s="55">
        <f t="shared" si="193"/>
        <v>0</v>
      </c>
      <c r="NRC1590" s="55">
        <f t="shared" si="193"/>
        <v>0</v>
      </c>
      <c r="NRD1590" s="55">
        <f t="shared" si="193"/>
        <v>0</v>
      </c>
      <c r="NRE1590" s="55">
        <f t="shared" si="193"/>
        <v>0</v>
      </c>
      <c r="NRF1590" s="55">
        <f t="shared" si="193"/>
        <v>0</v>
      </c>
      <c r="NRG1590" s="55">
        <f t="shared" si="193"/>
        <v>0</v>
      </c>
      <c r="NRH1590" s="55">
        <f t="shared" si="193"/>
        <v>0</v>
      </c>
      <c r="NRI1590" s="55">
        <f t="shared" si="193"/>
        <v>0</v>
      </c>
      <c r="NRJ1590" s="55">
        <f t="shared" si="193"/>
        <v>0</v>
      </c>
      <c r="NRK1590" s="55">
        <f t="shared" si="193"/>
        <v>0</v>
      </c>
      <c r="NRL1590" s="55">
        <f t="shared" si="193"/>
        <v>0</v>
      </c>
      <c r="NRM1590" s="55">
        <f t="shared" si="193"/>
        <v>0</v>
      </c>
      <c r="NRN1590" s="55">
        <f t="shared" si="193"/>
        <v>0</v>
      </c>
      <c r="NRO1590" s="55">
        <f t="shared" si="193"/>
        <v>0</v>
      </c>
      <c r="NRP1590" s="55">
        <f t="shared" si="193"/>
        <v>0</v>
      </c>
      <c r="NRQ1590" s="55">
        <f t="shared" si="193"/>
        <v>0</v>
      </c>
      <c r="NRR1590" s="55">
        <f t="shared" si="193"/>
        <v>0</v>
      </c>
      <c r="NRS1590" s="55">
        <f t="shared" si="193"/>
        <v>0</v>
      </c>
      <c r="NRT1590" s="55">
        <f t="shared" si="193"/>
        <v>0</v>
      </c>
      <c r="NRU1590" s="55">
        <f t="shared" si="193"/>
        <v>0</v>
      </c>
      <c r="NRV1590" s="55">
        <f t="shared" si="193"/>
        <v>0</v>
      </c>
      <c r="NRW1590" s="55">
        <f t="shared" si="193"/>
        <v>0</v>
      </c>
      <c r="NRX1590" s="55">
        <f t="shared" si="193"/>
        <v>0</v>
      </c>
      <c r="NRY1590" s="55">
        <f t="shared" si="193"/>
        <v>0</v>
      </c>
      <c r="NRZ1590" s="55">
        <f t="shared" si="193"/>
        <v>0</v>
      </c>
      <c r="NSA1590" s="55">
        <f t="shared" si="193"/>
        <v>0</v>
      </c>
      <c r="NSB1590" s="55">
        <f t="shared" si="193"/>
        <v>0</v>
      </c>
      <c r="NSC1590" s="55">
        <f t="shared" si="193"/>
        <v>0</v>
      </c>
      <c r="NSD1590" s="55">
        <f t="shared" si="193"/>
        <v>0</v>
      </c>
      <c r="NSE1590" s="55">
        <f t="shared" si="193"/>
        <v>0</v>
      </c>
      <c r="NSF1590" s="55">
        <f t="shared" si="193"/>
        <v>0</v>
      </c>
      <c r="NSG1590" s="55">
        <f t="shared" si="193"/>
        <v>0</v>
      </c>
      <c r="NSH1590" s="55">
        <f t="shared" si="193"/>
        <v>0</v>
      </c>
      <c r="NSI1590" s="55">
        <f t="shared" si="193"/>
        <v>0</v>
      </c>
      <c r="NSJ1590" s="55">
        <f t="shared" si="193"/>
        <v>0</v>
      </c>
      <c r="NSK1590" s="55">
        <f t="shared" si="193"/>
        <v>0</v>
      </c>
      <c r="NSL1590" s="55">
        <f t="shared" si="193"/>
        <v>0</v>
      </c>
      <c r="NSM1590" s="55">
        <f t="shared" si="193"/>
        <v>0</v>
      </c>
      <c r="NSN1590" s="55">
        <f t="shared" si="193"/>
        <v>0</v>
      </c>
      <c r="NSO1590" s="55">
        <f t="shared" si="193"/>
        <v>0</v>
      </c>
      <c r="NSP1590" s="55">
        <f t="shared" si="193"/>
        <v>0</v>
      </c>
      <c r="NSQ1590" s="55">
        <f t="shared" si="193"/>
        <v>0</v>
      </c>
      <c r="NSR1590" s="55">
        <f t="shared" si="193"/>
        <v>0</v>
      </c>
      <c r="NSS1590" s="55">
        <f t="shared" si="193"/>
        <v>0</v>
      </c>
      <c r="NST1590" s="55">
        <f t="shared" si="193"/>
        <v>0</v>
      </c>
      <c r="NSU1590" s="55">
        <f t="shared" si="193"/>
        <v>0</v>
      </c>
      <c r="NSV1590" s="55">
        <f t="shared" si="193"/>
        <v>0</v>
      </c>
      <c r="NSW1590" s="55">
        <f t="shared" si="193"/>
        <v>0</v>
      </c>
      <c r="NSX1590" s="55">
        <f t="shared" si="193"/>
        <v>0</v>
      </c>
      <c r="NSY1590" s="55">
        <f t="shared" si="193"/>
        <v>0</v>
      </c>
      <c r="NSZ1590" s="55">
        <f t="shared" si="193"/>
        <v>0</v>
      </c>
      <c r="NTA1590" s="55">
        <f t="shared" si="193"/>
        <v>0</v>
      </c>
      <c r="NTB1590" s="55">
        <f t="shared" si="193"/>
        <v>0</v>
      </c>
      <c r="NTC1590" s="55">
        <f t="shared" si="193"/>
        <v>0</v>
      </c>
      <c r="NTD1590" s="55">
        <f t="shared" si="193"/>
        <v>0</v>
      </c>
      <c r="NTE1590" s="55">
        <f t="shared" si="193"/>
        <v>0</v>
      </c>
      <c r="NTF1590" s="55">
        <f t="shared" si="193"/>
        <v>0</v>
      </c>
      <c r="NTG1590" s="55">
        <f t="shared" si="193"/>
        <v>0</v>
      </c>
      <c r="NTH1590" s="55">
        <f t="shared" si="193"/>
        <v>0</v>
      </c>
      <c r="NTI1590" s="55">
        <f t="shared" si="193"/>
        <v>0</v>
      </c>
      <c r="NTJ1590" s="55">
        <f t="shared" si="193"/>
        <v>0</v>
      </c>
      <c r="NTK1590" s="55">
        <f t="shared" si="193"/>
        <v>0</v>
      </c>
      <c r="NTL1590" s="55">
        <f t="shared" ref="NTL1590:NVW1590" si="194">+(NTL1600+NTL1604)*1.18*1.1</f>
        <v>0</v>
      </c>
      <c r="NTM1590" s="55">
        <f t="shared" si="194"/>
        <v>0</v>
      </c>
      <c r="NTN1590" s="55">
        <f t="shared" si="194"/>
        <v>0</v>
      </c>
      <c r="NTO1590" s="55">
        <f t="shared" si="194"/>
        <v>0</v>
      </c>
      <c r="NTP1590" s="55">
        <f t="shared" si="194"/>
        <v>0</v>
      </c>
      <c r="NTQ1590" s="55">
        <f t="shared" si="194"/>
        <v>0</v>
      </c>
      <c r="NTR1590" s="55">
        <f t="shared" si="194"/>
        <v>0</v>
      </c>
      <c r="NTS1590" s="55">
        <f t="shared" si="194"/>
        <v>0</v>
      </c>
      <c r="NTT1590" s="55">
        <f t="shared" si="194"/>
        <v>0</v>
      </c>
      <c r="NTU1590" s="55">
        <f t="shared" si="194"/>
        <v>0</v>
      </c>
      <c r="NTV1590" s="55">
        <f t="shared" si="194"/>
        <v>0</v>
      </c>
      <c r="NTW1590" s="55">
        <f t="shared" si="194"/>
        <v>0</v>
      </c>
      <c r="NTX1590" s="55">
        <f t="shared" si="194"/>
        <v>0</v>
      </c>
      <c r="NTY1590" s="55">
        <f t="shared" si="194"/>
        <v>0</v>
      </c>
      <c r="NTZ1590" s="55">
        <f t="shared" si="194"/>
        <v>0</v>
      </c>
      <c r="NUA1590" s="55">
        <f t="shared" si="194"/>
        <v>0</v>
      </c>
      <c r="NUB1590" s="55">
        <f t="shared" si="194"/>
        <v>0</v>
      </c>
      <c r="NUC1590" s="55">
        <f t="shared" si="194"/>
        <v>0</v>
      </c>
      <c r="NUD1590" s="55">
        <f t="shared" si="194"/>
        <v>0</v>
      </c>
      <c r="NUE1590" s="55">
        <f t="shared" si="194"/>
        <v>0</v>
      </c>
      <c r="NUF1590" s="55">
        <f t="shared" si="194"/>
        <v>0</v>
      </c>
      <c r="NUG1590" s="55">
        <f t="shared" si="194"/>
        <v>0</v>
      </c>
      <c r="NUH1590" s="55">
        <f t="shared" si="194"/>
        <v>0</v>
      </c>
      <c r="NUI1590" s="55">
        <f t="shared" si="194"/>
        <v>0</v>
      </c>
      <c r="NUJ1590" s="55">
        <f t="shared" si="194"/>
        <v>0</v>
      </c>
      <c r="NUK1590" s="55">
        <f t="shared" si="194"/>
        <v>0</v>
      </c>
      <c r="NUL1590" s="55">
        <f t="shared" si="194"/>
        <v>0</v>
      </c>
      <c r="NUM1590" s="55">
        <f t="shared" si="194"/>
        <v>0</v>
      </c>
      <c r="NUN1590" s="55">
        <f t="shared" si="194"/>
        <v>0</v>
      </c>
      <c r="NUO1590" s="55">
        <f t="shared" si="194"/>
        <v>0</v>
      </c>
      <c r="NUP1590" s="55">
        <f t="shared" si="194"/>
        <v>0</v>
      </c>
      <c r="NUQ1590" s="55">
        <f t="shared" si="194"/>
        <v>0</v>
      </c>
      <c r="NUR1590" s="55">
        <f t="shared" si="194"/>
        <v>0</v>
      </c>
      <c r="NUS1590" s="55">
        <f t="shared" si="194"/>
        <v>0</v>
      </c>
      <c r="NUT1590" s="55">
        <f t="shared" si="194"/>
        <v>0</v>
      </c>
      <c r="NUU1590" s="55">
        <f t="shared" si="194"/>
        <v>0</v>
      </c>
      <c r="NUV1590" s="55">
        <f t="shared" si="194"/>
        <v>0</v>
      </c>
      <c r="NUW1590" s="55">
        <f t="shared" si="194"/>
        <v>0</v>
      </c>
      <c r="NUX1590" s="55">
        <f t="shared" si="194"/>
        <v>0</v>
      </c>
      <c r="NUY1590" s="55">
        <f t="shared" si="194"/>
        <v>0</v>
      </c>
      <c r="NUZ1590" s="55">
        <f t="shared" si="194"/>
        <v>0</v>
      </c>
      <c r="NVA1590" s="55">
        <f t="shared" si="194"/>
        <v>0</v>
      </c>
      <c r="NVB1590" s="55">
        <f t="shared" si="194"/>
        <v>0</v>
      </c>
      <c r="NVC1590" s="55">
        <f t="shared" si="194"/>
        <v>0</v>
      </c>
      <c r="NVD1590" s="55">
        <f t="shared" si="194"/>
        <v>0</v>
      </c>
      <c r="NVE1590" s="55">
        <f t="shared" si="194"/>
        <v>0</v>
      </c>
      <c r="NVF1590" s="55">
        <f t="shared" si="194"/>
        <v>0</v>
      </c>
      <c r="NVG1590" s="55">
        <f t="shared" si="194"/>
        <v>0</v>
      </c>
      <c r="NVH1590" s="55">
        <f t="shared" si="194"/>
        <v>0</v>
      </c>
      <c r="NVI1590" s="55">
        <f t="shared" si="194"/>
        <v>0</v>
      </c>
      <c r="NVJ1590" s="55">
        <f t="shared" si="194"/>
        <v>0</v>
      </c>
      <c r="NVK1590" s="55">
        <f t="shared" si="194"/>
        <v>0</v>
      </c>
      <c r="NVL1590" s="55">
        <f t="shared" si="194"/>
        <v>0</v>
      </c>
      <c r="NVM1590" s="55">
        <f t="shared" si="194"/>
        <v>0</v>
      </c>
      <c r="NVN1590" s="55">
        <f t="shared" si="194"/>
        <v>0</v>
      </c>
      <c r="NVO1590" s="55">
        <f t="shared" si="194"/>
        <v>0</v>
      </c>
      <c r="NVP1590" s="55">
        <f t="shared" si="194"/>
        <v>0</v>
      </c>
      <c r="NVQ1590" s="55">
        <f t="shared" si="194"/>
        <v>0</v>
      </c>
      <c r="NVR1590" s="55">
        <f t="shared" si="194"/>
        <v>0</v>
      </c>
      <c r="NVS1590" s="55">
        <f t="shared" si="194"/>
        <v>0</v>
      </c>
      <c r="NVT1590" s="55">
        <f t="shared" si="194"/>
        <v>0</v>
      </c>
      <c r="NVU1590" s="55">
        <f t="shared" si="194"/>
        <v>0</v>
      </c>
      <c r="NVV1590" s="55">
        <f t="shared" si="194"/>
        <v>0</v>
      </c>
      <c r="NVW1590" s="55">
        <f t="shared" si="194"/>
        <v>0</v>
      </c>
      <c r="NVX1590" s="55">
        <f t="shared" ref="NVX1590:NYI1590" si="195">+(NVX1600+NVX1604)*1.18*1.1</f>
        <v>0</v>
      </c>
      <c r="NVY1590" s="55">
        <f t="shared" si="195"/>
        <v>0</v>
      </c>
      <c r="NVZ1590" s="55">
        <f t="shared" si="195"/>
        <v>0</v>
      </c>
      <c r="NWA1590" s="55">
        <f t="shared" si="195"/>
        <v>0</v>
      </c>
      <c r="NWB1590" s="55">
        <f t="shared" si="195"/>
        <v>0</v>
      </c>
      <c r="NWC1590" s="55">
        <f t="shared" si="195"/>
        <v>0</v>
      </c>
      <c r="NWD1590" s="55">
        <f t="shared" si="195"/>
        <v>0</v>
      </c>
      <c r="NWE1590" s="55">
        <f t="shared" si="195"/>
        <v>0</v>
      </c>
      <c r="NWF1590" s="55">
        <f t="shared" si="195"/>
        <v>0</v>
      </c>
      <c r="NWG1590" s="55">
        <f t="shared" si="195"/>
        <v>0</v>
      </c>
      <c r="NWH1590" s="55">
        <f t="shared" si="195"/>
        <v>0</v>
      </c>
      <c r="NWI1590" s="55">
        <f t="shared" si="195"/>
        <v>0</v>
      </c>
      <c r="NWJ1590" s="55">
        <f t="shared" si="195"/>
        <v>0</v>
      </c>
      <c r="NWK1590" s="55">
        <f t="shared" si="195"/>
        <v>0</v>
      </c>
      <c r="NWL1590" s="55">
        <f t="shared" si="195"/>
        <v>0</v>
      </c>
      <c r="NWM1590" s="55">
        <f t="shared" si="195"/>
        <v>0</v>
      </c>
      <c r="NWN1590" s="55">
        <f t="shared" si="195"/>
        <v>0</v>
      </c>
      <c r="NWO1590" s="55">
        <f t="shared" si="195"/>
        <v>0</v>
      </c>
      <c r="NWP1590" s="55">
        <f t="shared" si="195"/>
        <v>0</v>
      </c>
      <c r="NWQ1590" s="55">
        <f t="shared" si="195"/>
        <v>0</v>
      </c>
      <c r="NWR1590" s="55">
        <f t="shared" si="195"/>
        <v>0</v>
      </c>
      <c r="NWS1590" s="55">
        <f t="shared" si="195"/>
        <v>0</v>
      </c>
      <c r="NWT1590" s="55">
        <f t="shared" si="195"/>
        <v>0</v>
      </c>
      <c r="NWU1590" s="55">
        <f t="shared" si="195"/>
        <v>0</v>
      </c>
      <c r="NWV1590" s="55">
        <f t="shared" si="195"/>
        <v>0</v>
      </c>
      <c r="NWW1590" s="55">
        <f t="shared" si="195"/>
        <v>0</v>
      </c>
      <c r="NWX1590" s="55">
        <f t="shared" si="195"/>
        <v>0</v>
      </c>
      <c r="NWY1590" s="55">
        <f t="shared" si="195"/>
        <v>0</v>
      </c>
      <c r="NWZ1590" s="55">
        <f t="shared" si="195"/>
        <v>0</v>
      </c>
      <c r="NXA1590" s="55">
        <f t="shared" si="195"/>
        <v>0</v>
      </c>
      <c r="NXB1590" s="55">
        <f t="shared" si="195"/>
        <v>0</v>
      </c>
      <c r="NXC1590" s="55">
        <f t="shared" si="195"/>
        <v>0</v>
      </c>
      <c r="NXD1590" s="55">
        <f t="shared" si="195"/>
        <v>0</v>
      </c>
      <c r="NXE1590" s="55">
        <f t="shared" si="195"/>
        <v>0</v>
      </c>
      <c r="NXF1590" s="55">
        <f t="shared" si="195"/>
        <v>0</v>
      </c>
      <c r="NXG1590" s="55">
        <f t="shared" si="195"/>
        <v>0</v>
      </c>
      <c r="NXH1590" s="55">
        <f t="shared" si="195"/>
        <v>0</v>
      </c>
      <c r="NXI1590" s="55">
        <f t="shared" si="195"/>
        <v>0</v>
      </c>
      <c r="NXJ1590" s="55">
        <f t="shared" si="195"/>
        <v>0</v>
      </c>
      <c r="NXK1590" s="55">
        <f t="shared" si="195"/>
        <v>0</v>
      </c>
      <c r="NXL1590" s="55">
        <f t="shared" si="195"/>
        <v>0</v>
      </c>
      <c r="NXM1590" s="55">
        <f t="shared" si="195"/>
        <v>0</v>
      </c>
      <c r="NXN1590" s="55">
        <f t="shared" si="195"/>
        <v>0</v>
      </c>
      <c r="NXO1590" s="55">
        <f t="shared" si="195"/>
        <v>0</v>
      </c>
      <c r="NXP1590" s="55">
        <f t="shared" si="195"/>
        <v>0</v>
      </c>
      <c r="NXQ1590" s="55">
        <f t="shared" si="195"/>
        <v>0</v>
      </c>
      <c r="NXR1590" s="55">
        <f t="shared" si="195"/>
        <v>0</v>
      </c>
      <c r="NXS1590" s="55">
        <f t="shared" si="195"/>
        <v>0</v>
      </c>
      <c r="NXT1590" s="55">
        <f t="shared" si="195"/>
        <v>0</v>
      </c>
      <c r="NXU1590" s="55">
        <f t="shared" si="195"/>
        <v>0</v>
      </c>
      <c r="NXV1590" s="55">
        <f t="shared" si="195"/>
        <v>0</v>
      </c>
      <c r="NXW1590" s="55">
        <f t="shared" si="195"/>
        <v>0</v>
      </c>
      <c r="NXX1590" s="55">
        <f t="shared" si="195"/>
        <v>0</v>
      </c>
      <c r="NXY1590" s="55">
        <f t="shared" si="195"/>
        <v>0</v>
      </c>
      <c r="NXZ1590" s="55">
        <f t="shared" si="195"/>
        <v>0</v>
      </c>
      <c r="NYA1590" s="55">
        <f t="shared" si="195"/>
        <v>0</v>
      </c>
      <c r="NYB1590" s="55">
        <f t="shared" si="195"/>
        <v>0</v>
      </c>
      <c r="NYC1590" s="55">
        <f t="shared" si="195"/>
        <v>0</v>
      </c>
      <c r="NYD1590" s="55">
        <f t="shared" si="195"/>
        <v>0</v>
      </c>
      <c r="NYE1590" s="55">
        <f t="shared" si="195"/>
        <v>0</v>
      </c>
      <c r="NYF1590" s="55">
        <f t="shared" si="195"/>
        <v>0</v>
      </c>
      <c r="NYG1590" s="55">
        <f t="shared" si="195"/>
        <v>0</v>
      </c>
      <c r="NYH1590" s="55">
        <f t="shared" si="195"/>
        <v>0</v>
      </c>
      <c r="NYI1590" s="55">
        <f t="shared" si="195"/>
        <v>0</v>
      </c>
      <c r="NYJ1590" s="55">
        <f t="shared" ref="NYJ1590:OAU1590" si="196">+(NYJ1600+NYJ1604)*1.18*1.1</f>
        <v>0</v>
      </c>
      <c r="NYK1590" s="55">
        <f t="shared" si="196"/>
        <v>0</v>
      </c>
      <c r="NYL1590" s="55">
        <f t="shared" si="196"/>
        <v>0</v>
      </c>
      <c r="NYM1590" s="55">
        <f t="shared" si="196"/>
        <v>0</v>
      </c>
      <c r="NYN1590" s="55">
        <f t="shared" si="196"/>
        <v>0</v>
      </c>
      <c r="NYO1590" s="55">
        <f t="shared" si="196"/>
        <v>0</v>
      </c>
      <c r="NYP1590" s="55">
        <f t="shared" si="196"/>
        <v>0</v>
      </c>
      <c r="NYQ1590" s="55">
        <f t="shared" si="196"/>
        <v>0</v>
      </c>
      <c r="NYR1590" s="55">
        <f t="shared" si="196"/>
        <v>0</v>
      </c>
      <c r="NYS1590" s="55">
        <f t="shared" si="196"/>
        <v>0</v>
      </c>
      <c r="NYT1590" s="55">
        <f t="shared" si="196"/>
        <v>0</v>
      </c>
      <c r="NYU1590" s="55">
        <f t="shared" si="196"/>
        <v>0</v>
      </c>
      <c r="NYV1590" s="55">
        <f t="shared" si="196"/>
        <v>0</v>
      </c>
      <c r="NYW1590" s="55">
        <f t="shared" si="196"/>
        <v>0</v>
      </c>
      <c r="NYX1590" s="55">
        <f t="shared" si="196"/>
        <v>0</v>
      </c>
      <c r="NYY1590" s="55">
        <f t="shared" si="196"/>
        <v>0</v>
      </c>
      <c r="NYZ1590" s="55">
        <f t="shared" si="196"/>
        <v>0</v>
      </c>
      <c r="NZA1590" s="55">
        <f t="shared" si="196"/>
        <v>0</v>
      </c>
      <c r="NZB1590" s="55">
        <f t="shared" si="196"/>
        <v>0</v>
      </c>
      <c r="NZC1590" s="55">
        <f t="shared" si="196"/>
        <v>0</v>
      </c>
      <c r="NZD1590" s="55">
        <f t="shared" si="196"/>
        <v>0</v>
      </c>
      <c r="NZE1590" s="55">
        <f t="shared" si="196"/>
        <v>0</v>
      </c>
      <c r="NZF1590" s="55">
        <f t="shared" si="196"/>
        <v>0</v>
      </c>
      <c r="NZG1590" s="55">
        <f t="shared" si="196"/>
        <v>0</v>
      </c>
      <c r="NZH1590" s="55">
        <f t="shared" si="196"/>
        <v>0</v>
      </c>
      <c r="NZI1590" s="55">
        <f t="shared" si="196"/>
        <v>0</v>
      </c>
      <c r="NZJ1590" s="55">
        <f t="shared" si="196"/>
        <v>0</v>
      </c>
      <c r="NZK1590" s="55">
        <f t="shared" si="196"/>
        <v>0</v>
      </c>
      <c r="NZL1590" s="55">
        <f t="shared" si="196"/>
        <v>0</v>
      </c>
      <c r="NZM1590" s="55">
        <f t="shared" si="196"/>
        <v>0</v>
      </c>
      <c r="NZN1590" s="55">
        <f t="shared" si="196"/>
        <v>0</v>
      </c>
      <c r="NZO1590" s="55">
        <f t="shared" si="196"/>
        <v>0</v>
      </c>
      <c r="NZP1590" s="55">
        <f t="shared" si="196"/>
        <v>0</v>
      </c>
      <c r="NZQ1590" s="55">
        <f t="shared" si="196"/>
        <v>0</v>
      </c>
      <c r="NZR1590" s="55">
        <f t="shared" si="196"/>
        <v>0</v>
      </c>
      <c r="NZS1590" s="55">
        <f t="shared" si="196"/>
        <v>0</v>
      </c>
      <c r="NZT1590" s="55">
        <f t="shared" si="196"/>
        <v>0</v>
      </c>
      <c r="NZU1590" s="55">
        <f t="shared" si="196"/>
        <v>0</v>
      </c>
      <c r="NZV1590" s="55">
        <f t="shared" si="196"/>
        <v>0</v>
      </c>
      <c r="NZW1590" s="55">
        <f t="shared" si="196"/>
        <v>0</v>
      </c>
      <c r="NZX1590" s="55">
        <f t="shared" si="196"/>
        <v>0</v>
      </c>
      <c r="NZY1590" s="55">
        <f t="shared" si="196"/>
        <v>0</v>
      </c>
      <c r="NZZ1590" s="55">
        <f t="shared" si="196"/>
        <v>0</v>
      </c>
      <c r="OAA1590" s="55">
        <f t="shared" si="196"/>
        <v>0</v>
      </c>
      <c r="OAB1590" s="55">
        <f t="shared" si="196"/>
        <v>0</v>
      </c>
      <c r="OAC1590" s="55">
        <f t="shared" si="196"/>
        <v>0</v>
      </c>
      <c r="OAD1590" s="55">
        <f t="shared" si="196"/>
        <v>0</v>
      </c>
      <c r="OAE1590" s="55">
        <f t="shared" si="196"/>
        <v>0</v>
      </c>
      <c r="OAF1590" s="55">
        <f t="shared" si="196"/>
        <v>0</v>
      </c>
      <c r="OAG1590" s="55">
        <f t="shared" si="196"/>
        <v>0</v>
      </c>
      <c r="OAH1590" s="55">
        <f t="shared" si="196"/>
        <v>0</v>
      </c>
      <c r="OAI1590" s="55">
        <f t="shared" si="196"/>
        <v>0</v>
      </c>
      <c r="OAJ1590" s="55">
        <f t="shared" si="196"/>
        <v>0</v>
      </c>
      <c r="OAK1590" s="55">
        <f t="shared" si="196"/>
        <v>0</v>
      </c>
      <c r="OAL1590" s="55">
        <f t="shared" si="196"/>
        <v>0</v>
      </c>
      <c r="OAM1590" s="55">
        <f t="shared" si="196"/>
        <v>0</v>
      </c>
      <c r="OAN1590" s="55">
        <f t="shared" si="196"/>
        <v>0</v>
      </c>
      <c r="OAO1590" s="55">
        <f t="shared" si="196"/>
        <v>0</v>
      </c>
      <c r="OAP1590" s="55">
        <f t="shared" si="196"/>
        <v>0</v>
      </c>
      <c r="OAQ1590" s="55">
        <f t="shared" si="196"/>
        <v>0</v>
      </c>
      <c r="OAR1590" s="55">
        <f t="shared" si="196"/>
        <v>0</v>
      </c>
      <c r="OAS1590" s="55">
        <f t="shared" si="196"/>
        <v>0</v>
      </c>
      <c r="OAT1590" s="55">
        <f t="shared" si="196"/>
        <v>0</v>
      </c>
      <c r="OAU1590" s="55">
        <f t="shared" si="196"/>
        <v>0</v>
      </c>
      <c r="OAV1590" s="55">
        <f t="shared" ref="OAV1590:ODG1590" si="197">+(OAV1600+OAV1604)*1.18*1.1</f>
        <v>0</v>
      </c>
      <c r="OAW1590" s="55">
        <f t="shared" si="197"/>
        <v>0</v>
      </c>
      <c r="OAX1590" s="55">
        <f t="shared" si="197"/>
        <v>0</v>
      </c>
      <c r="OAY1590" s="55">
        <f t="shared" si="197"/>
        <v>0</v>
      </c>
      <c r="OAZ1590" s="55">
        <f t="shared" si="197"/>
        <v>0</v>
      </c>
      <c r="OBA1590" s="55">
        <f t="shared" si="197"/>
        <v>0</v>
      </c>
      <c r="OBB1590" s="55">
        <f t="shared" si="197"/>
        <v>0</v>
      </c>
      <c r="OBC1590" s="55">
        <f t="shared" si="197"/>
        <v>0</v>
      </c>
      <c r="OBD1590" s="55">
        <f t="shared" si="197"/>
        <v>0</v>
      </c>
      <c r="OBE1590" s="55">
        <f t="shared" si="197"/>
        <v>0</v>
      </c>
      <c r="OBF1590" s="55">
        <f t="shared" si="197"/>
        <v>0</v>
      </c>
      <c r="OBG1590" s="55">
        <f t="shared" si="197"/>
        <v>0</v>
      </c>
      <c r="OBH1590" s="55">
        <f t="shared" si="197"/>
        <v>0</v>
      </c>
      <c r="OBI1590" s="55">
        <f t="shared" si="197"/>
        <v>0</v>
      </c>
      <c r="OBJ1590" s="55">
        <f t="shared" si="197"/>
        <v>0</v>
      </c>
      <c r="OBK1590" s="55">
        <f t="shared" si="197"/>
        <v>0</v>
      </c>
      <c r="OBL1590" s="55">
        <f t="shared" si="197"/>
        <v>0</v>
      </c>
      <c r="OBM1590" s="55">
        <f t="shared" si="197"/>
        <v>0</v>
      </c>
      <c r="OBN1590" s="55">
        <f t="shared" si="197"/>
        <v>0</v>
      </c>
      <c r="OBO1590" s="55">
        <f t="shared" si="197"/>
        <v>0</v>
      </c>
      <c r="OBP1590" s="55">
        <f t="shared" si="197"/>
        <v>0</v>
      </c>
      <c r="OBQ1590" s="55">
        <f t="shared" si="197"/>
        <v>0</v>
      </c>
      <c r="OBR1590" s="55">
        <f t="shared" si="197"/>
        <v>0</v>
      </c>
      <c r="OBS1590" s="55">
        <f t="shared" si="197"/>
        <v>0</v>
      </c>
      <c r="OBT1590" s="55">
        <f t="shared" si="197"/>
        <v>0</v>
      </c>
      <c r="OBU1590" s="55">
        <f t="shared" si="197"/>
        <v>0</v>
      </c>
      <c r="OBV1590" s="55">
        <f t="shared" si="197"/>
        <v>0</v>
      </c>
      <c r="OBW1590" s="55">
        <f t="shared" si="197"/>
        <v>0</v>
      </c>
      <c r="OBX1590" s="55">
        <f t="shared" si="197"/>
        <v>0</v>
      </c>
      <c r="OBY1590" s="55">
        <f t="shared" si="197"/>
        <v>0</v>
      </c>
      <c r="OBZ1590" s="55">
        <f t="shared" si="197"/>
        <v>0</v>
      </c>
      <c r="OCA1590" s="55">
        <f t="shared" si="197"/>
        <v>0</v>
      </c>
      <c r="OCB1590" s="55">
        <f t="shared" si="197"/>
        <v>0</v>
      </c>
      <c r="OCC1590" s="55">
        <f t="shared" si="197"/>
        <v>0</v>
      </c>
      <c r="OCD1590" s="55">
        <f t="shared" si="197"/>
        <v>0</v>
      </c>
      <c r="OCE1590" s="55">
        <f t="shared" si="197"/>
        <v>0</v>
      </c>
      <c r="OCF1590" s="55">
        <f t="shared" si="197"/>
        <v>0</v>
      </c>
      <c r="OCG1590" s="55">
        <f t="shared" si="197"/>
        <v>0</v>
      </c>
      <c r="OCH1590" s="55">
        <f t="shared" si="197"/>
        <v>0</v>
      </c>
      <c r="OCI1590" s="55">
        <f t="shared" si="197"/>
        <v>0</v>
      </c>
      <c r="OCJ1590" s="55">
        <f t="shared" si="197"/>
        <v>0</v>
      </c>
      <c r="OCK1590" s="55">
        <f t="shared" si="197"/>
        <v>0</v>
      </c>
      <c r="OCL1590" s="55">
        <f t="shared" si="197"/>
        <v>0</v>
      </c>
      <c r="OCM1590" s="55">
        <f t="shared" si="197"/>
        <v>0</v>
      </c>
      <c r="OCN1590" s="55">
        <f t="shared" si="197"/>
        <v>0</v>
      </c>
      <c r="OCO1590" s="55">
        <f t="shared" si="197"/>
        <v>0</v>
      </c>
      <c r="OCP1590" s="55">
        <f t="shared" si="197"/>
        <v>0</v>
      </c>
      <c r="OCQ1590" s="55">
        <f t="shared" si="197"/>
        <v>0</v>
      </c>
      <c r="OCR1590" s="55">
        <f t="shared" si="197"/>
        <v>0</v>
      </c>
      <c r="OCS1590" s="55">
        <f t="shared" si="197"/>
        <v>0</v>
      </c>
      <c r="OCT1590" s="55">
        <f t="shared" si="197"/>
        <v>0</v>
      </c>
      <c r="OCU1590" s="55">
        <f t="shared" si="197"/>
        <v>0</v>
      </c>
      <c r="OCV1590" s="55">
        <f t="shared" si="197"/>
        <v>0</v>
      </c>
      <c r="OCW1590" s="55">
        <f t="shared" si="197"/>
        <v>0</v>
      </c>
      <c r="OCX1590" s="55">
        <f t="shared" si="197"/>
        <v>0</v>
      </c>
      <c r="OCY1590" s="55">
        <f t="shared" si="197"/>
        <v>0</v>
      </c>
      <c r="OCZ1590" s="55">
        <f t="shared" si="197"/>
        <v>0</v>
      </c>
      <c r="ODA1590" s="55">
        <f t="shared" si="197"/>
        <v>0</v>
      </c>
      <c r="ODB1590" s="55">
        <f t="shared" si="197"/>
        <v>0</v>
      </c>
      <c r="ODC1590" s="55">
        <f t="shared" si="197"/>
        <v>0</v>
      </c>
      <c r="ODD1590" s="55">
        <f t="shared" si="197"/>
        <v>0</v>
      </c>
      <c r="ODE1590" s="55">
        <f t="shared" si="197"/>
        <v>0</v>
      </c>
      <c r="ODF1590" s="55">
        <f t="shared" si="197"/>
        <v>0</v>
      </c>
      <c r="ODG1590" s="55">
        <f t="shared" si="197"/>
        <v>0</v>
      </c>
      <c r="ODH1590" s="55">
        <f t="shared" ref="ODH1590:OFS1590" si="198">+(ODH1600+ODH1604)*1.18*1.1</f>
        <v>0</v>
      </c>
      <c r="ODI1590" s="55">
        <f t="shared" si="198"/>
        <v>0</v>
      </c>
      <c r="ODJ1590" s="55">
        <f t="shared" si="198"/>
        <v>0</v>
      </c>
      <c r="ODK1590" s="55">
        <f t="shared" si="198"/>
        <v>0</v>
      </c>
      <c r="ODL1590" s="55">
        <f t="shared" si="198"/>
        <v>0</v>
      </c>
      <c r="ODM1590" s="55">
        <f t="shared" si="198"/>
        <v>0</v>
      </c>
      <c r="ODN1590" s="55">
        <f t="shared" si="198"/>
        <v>0</v>
      </c>
      <c r="ODO1590" s="55">
        <f t="shared" si="198"/>
        <v>0</v>
      </c>
      <c r="ODP1590" s="55">
        <f t="shared" si="198"/>
        <v>0</v>
      </c>
      <c r="ODQ1590" s="55">
        <f t="shared" si="198"/>
        <v>0</v>
      </c>
      <c r="ODR1590" s="55">
        <f t="shared" si="198"/>
        <v>0</v>
      </c>
      <c r="ODS1590" s="55">
        <f t="shared" si="198"/>
        <v>0</v>
      </c>
      <c r="ODT1590" s="55">
        <f t="shared" si="198"/>
        <v>0</v>
      </c>
      <c r="ODU1590" s="55">
        <f t="shared" si="198"/>
        <v>0</v>
      </c>
      <c r="ODV1590" s="55">
        <f t="shared" si="198"/>
        <v>0</v>
      </c>
      <c r="ODW1590" s="55">
        <f t="shared" si="198"/>
        <v>0</v>
      </c>
      <c r="ODX1590" s="55">
        <f t="shared" si="198"/>
        <v>0</v>
      </c>
      <c r="ODY1590" s="55">
        <f t="shared" si="198"/>
        <v>0</v>
      </c>
      <c r="ODZ1590" s="55">
        <f t="shared" si="198"/>
        <v>0</v>
      </c>
      <c r="OEA1590" s="55">
        <f t="shared" si="198"/>
        <v>0</v>
      </c>
      <c r="OEB1590" s="55">
        <f t="shared" si="198"/>
        <v>0</v>
      </c>
      <c r="OEC1590" s="55">
        <f t="shared" si="198"/>
        <v>0</v>
      </c>
      <c r="OED1590" s="55">
        <f t="shared" si="198"/>
        <v>0</v>
      </c>
      <c r="OEE1590" s="55">
        <f t="shared" si="198"/>
        <v>0</v>
      </c>
      <c r="OEF1590" s="55">
        <f t="shared" si="198"/>
        <v>0</v>
      </c>
      <c r="OEG1590" s="55">
        <f t="shared" si="198"/>
        <v>0</v>
      </c>
      <c r="OEH1590" s="55">
        <f t="shared" si="198"/>
        <v>0</v>
      </c>
      <c r="OEI1590" s="55">
        <f t="shared" si="198"/>
        <v>0</v>
      </c>
      <c r="OEJ1590" s="55">
        <f t="shared" si="198"/>
        <v>0</v>
      </c>
      <c r="OEK1590" s="55">
        <f t="shared" si="198"/>
        <v>0</v>
      </c>
      <c r="OEL1590" s="55">
        <f t="shared" si="198"/>
        <v>0</v>
      </c>
      <c r="OEM1590" s="55">
        <f t="shared" si="198"/>
        <v>0</v>
      </c>
      <c r="OEN1590" s="55">
        <f t="shared" si="198"/>
        <v>0</v>
      </c>
      <c r="OEO1590" s="55">
        <f t="shared" si="198"/>
        <v>0</v>
      </c>
      <c r="OEP1590" s="55">
        <f t="shared" si="198"/>
        <v>0</v>
      </c>
      <c r="OEQ1590" s="55">
        <f t="shared" si="198"/>
        <v>0</v>
      </c>
      <c r="OER1590" s="55">
        <f t="shared" si="198"/>
        <v>0</v>
      </c>
      <c r="OES1590" s="55">
        <f t="shared" si="198"/>
        <v>0</v>
      </c>
      <c r="OET1590" s="55">
        <f t="shared" si="198"/>
        <v>0</v>
      </c>
      <c r="OEU1590" s="55">
        <f t="shared" si="198"/>
        <v>0</v>
      </c>
      <c r="OEV1590" s="55">
        <f t="shared" si="198"/>
        <v>0</v>
      </c>
      <c r="OEW1590" s="55">
        <f t="shared" si="198"/>
        <v>0</v>
      </c>
      <c r="OEX1590" s="55">
        <f t="shared" si="198"/>
        <v>0</v>
      </c>
      <c r="OEY1590" s="55">
        <f t="shared" si="198"/>
        <v>0</v>
      </c>
      <c r="OEZ1590" s="55">
        <f t="shared" si="198"/>
        <v>0</v>
      </c>
      <c r="OFA1590" s="55">
        <f t="shared" si="198"/>
        <v>0</v>
      </c>
      <c r="OFB1590" s="55">
        <f t="shared" si="198"/>
        <v>0</v>
      </c>
      <c r="OFC1590" s="55">
        <f t="shared" si="198"/>
        <v>0</v>
      </c>
      <c r="OFD1590" s="55">
        <f t="shared" si="198"/>
        <v>0</v>
      </c>
      <c r="OFE1590" s="55">
        <f t="shared" si="198"/>
        <v>0</v>
      </c>
      <c r="OFF1590" s="55">
        <f t="shared" si="198"/>
        <v>0</v>
      </c>
      <c r="OFG1590" s="55">
        <f t="shared" si="198"/>
        <v>0</v>
      </c>
      <c r="OFH1590" s="55">
        <f t="shared" si="198"/>
        <v>0</v>
      </c>
      <c r="OFI1590" s="55">
        <f t="shared" si="198"/>
        <v>0</v>
      </c>
      <c r="OFJ1590" s="55">
        <f t="shared" si="198"/>
        <v>0</v>
      </c>
      <c r="OFK1590" s="55">
        <f t="shared" si="198"/>
        <v>0</v>
      </c>
      <c r="OFL1590" s="55">
        <f t="shared" si="198"/>
        <v>0</v>
      </c>
      <c r="OFM1590" s="55">
        <f t="shared" si="198"/>
        <v>0</v>
      </c>
      <c r="OFN1590" s="55">
        <f t="shared" si="198"/>
        <v>0</v>
      </c>
      <c r="OFO1590" s="55">
        <f t="shared" si="198"/>
        <v>0</v>
      </c>
      <c r="OFP1590" s="55">
        <f t="shared" si="198"/>
        <v>0</v>
      </c>
      <c r="OFQ1590" s="55">
        <f t="shared" si="198"/>
        <v>0</v>
      </c>
      <c r="OFR1590" s="55">
        <f t="shared" si="198"/>
        <v>0</v>
      </c>
      <c r="OFS1590" s="55">
        <f t="shared" si="198"/>
        <v>0</v>
      </c>
      <c r="OFT1590" s="55">
        <f t="shared" ref="OFT1590:OIE1590" si="199">+(OFT1600+OFT1604)*1.18*1.1</f>
        <v>0</v>
      </c>
      <c r="OFU1590" s="55">
        <f t="shared" si="199"/>
        <v>0</v>
      </c>
      <c r="OFV1590" s="55">
        <f t="shared" si="199"/>
        <v>0</v>
      </c>
      <c r="OFW1590" s="55">
        <f t="shared" si="199"/>
        <v>0</v>
      </c>
      <c r="OFX1590" s="55">
        <f t="shared" si="199"/>
        <v>0</v>
      </c>
      <c r="OFY1590" s="55">
        <f t="shared" si="199"/>
        <v>0</v>
      </c>
      <c r="OFZ1590" s="55">
        <f t="shared" si="199"/>
        <v>0</v>
      </c>
      <c r="OGA1590" s="55">
        <f t="shared" si="199"/>
        <v>0</v>
      </c>
      <c r="OGB1590" s="55">
        <f t="shared" si="199"/>
        <v>0</v>
      </c>
      <c r="OGC1590" s="55">
        <f t="shared" si="199"/>
        <v>0</v>
      </c>
      <c r="OGD1590" s="55">
        <f t="shared" si="199"/>
        <v>0</v>
      </c>
      <c r="OGE1590" s="55">
        <f t="shared" si="199"/>
        <v>0</v>
      </c>
      <c r="OGF1590" s="55">
        <f t="shared" si="199"/>
        <v>0</v>
      </c>
      <c r="OGG1590" s="55">
        <f t="shared" si="199"/>
        <v>0</v>
      </c>
      <c r="OGH1590" s="55">
        <f t="shared" si="199"/>
        <v>0</v>
      </c>
      <c r="OGI1590" s="55">
        <f t="shared" si="199"/>
        <v>0</v>
      </c>
      <c r="OGJ1590" s="55">
        <f t="shared" si="199"/>
        <v>0</v>
      </c>
      <c r="OGK1590" s="55">
        <f t="shared" si="199"/>
        <v>0</v>
      </c>
      <c r="OGL1590" s="55">
        <f t="shared" si="199"/>
        <v>0</v>
      </c>
      <c r="OGM1590" s="55">
        <f t="shared" si="199"/>
        <v>0</v>
      </c>
      <c r="OGN1590" s="55">
        <f t="shared" si="199"/>
        <v>0</v>
      </c>
      <c r="OGO1590" s="55">
        <f t="shared" si="199"/>
        <v>0</v>
      </c>
      <c r="OGP1590" s="55">
        <f t="shared" si="199"/>
        <v>0</v>
      </c>
      <c r="OGQ1590" s="55">
        <f t="shared" si="199"/>
        <v>0</v>
      </c>
      <c r="OGR1590" s="55">
        <f t="shared" si="199"/>
        <v>0</v>
      </c>
      <c r="OGS1590" s="55">
        <f t="shared" si="199"/>
        <v>0</v>
      </c>
      <c r="OGT1590" s="55">
        <f t="shared" si="199"/>
        <v>0</v>
      </c>
      <c r="OGU1590" s="55">
        <f t="shared" si="199"/>
        <v>0</v>
      </c>
      <c r="OGV1590" s="55">
        <f t="shared" si="199"/>
        <v>0</v>
      </c>
      <c r="OGW1590" s="55">
        <f t="shared" si="199"/>
        <v>0</v>
      </c>
      <c r="OGX1590" s="55">
        <f t="shared" si="199"/>
        <v>0</v>
      </c>
      <c r="OGY1590" s="55">
        <f t="shared" si="199"/>
        <v>0</v>
      </c>
      <c r="OGZ1590" s="55">
        <f t="shared" si="199"/>
        <v>0</v>
      </c>
      <c r="OHA1590" s="55">
        <f t="shared" si="199"/>
        <v>0</v>
      </c>
      <c r="OHB1590" s="55">
        <f t="shared" si="199"/>
        <v>0</v>
      </c>
      <c r="OHC1590" s="55">
        <f t="shared" si="199"/>
        <v>0</v>
      </c>
      <c r="OHD1590" s="55">
        <f t="shared" si="199"/>
        <v>0</v>
      </c>
      <c r="OHE1590" s="55">
        <f t="shared" si="199"/>
        <v>0</v>
      </c>
      <c r="OHF1590" s="55">
        <f t="shared" si="199"/>
        <v>0</v>
      </c>
      <c r="OHG1590" s="55">
        <f t="shared" si="199"/>
        <v>0</v>
      </c>
      <c r="OHH1590" s="55">
        <f t="shared" si="199"/>
        <v>0</v>
      </c>
      <c r="OHI1590" s="55">
        <f t="shared" si="199"/>
        <v>0</v>
      </c>
      <c r="OHJ1590" s="55">
        <f t="shared" si="199"/>
        <v>0</v>
      </c>
      <c r="OHK1590" s="55">
        <f t="shared" si="199"/>
        <v>0</v>
      </c>
      <c r="OHL1590" s="55">
        <f t="shared" si="199"/>
        <v>0</v>
      </c>
      <c r="OHM1590" s="55">
        <f t="shared" si="199"/>
        <v>0</v>
      </c>
      <c r="OHN1590" s="55">
        <f t="shared" si="199"/>
        <v>0</v>
      </c>
      <c r="OHO1590" s="55">
        <f t="shared" si="199"/>
        <v>0</v>
      </c>
      <c r="OHP1590" s="55">
        <f t="shared" si="199"/>
        <v>0</v>
      </c>
      <c r="OHQ1590" s="55">
        <f t="shared" si="199"/>
        <v>0</v>
      </c>
      <c r="OHR1590" s="55">
        <f t="shared" si="199"/>
        <v>0</v>
      </c>
      <c r="OHS1590" s="55">
        <f t="shared" si="199"/>
        <v>0</v>
      </c>
      <c r="OHT1590" s="55">
        <f t="shared" si="199"/>
        <v>0</v>
      </c>
      <c r="OHU1590" s="55">
        <f t="shared" si="199"/>
        <v>0</v>
      </c>
      <c r="OHV1590" s="55">
        <f t="shared" si="199"/>
        <v>0</v>
      </c>
      <c r="OHW1590" s="55">
        <f t="shared" si="199"/>
        <v>0</v>
      </c>
      <c r="OHX1590" s="55">
        <f t="shared" si="199"/>
        <v>0</v>
      </c>
      <c r="OHY1590" s="55">
        <f t="shared" si="199"/>
        <v>0</v>
      </c>
      <c r="OHZ1590" s="55">
        <f t="shared" si="199"/>
        <v>0</v>
      </c>
      <c r="OIA1590" s="55">
        <f t="shared" si="199"/>
        <v>0</v>
      </c>
      <c r="OIB1590" s="55">
        <f t="shared" si="199"/>
        <v>0</v>
      </c>
      <c r="OIC1590" s="55">
        <f t="shared" si="199"/>
        <v>0</v>
      </c>
      <c r="OID1590" s="55">
        <f t="shared" si="199"/>
        <v>0</v>
      </c>
      <c r="OIE1590" s="55">
        <f t="shared" si="199"/>
        <v>0</v>
      </c>
      <c r="OIF1590" s="55">
        <f t="shared" ref="OIF1590:OKQ1590" si="200">+(OIF1600+OIF1604)*1.18*1.1</f>
        <v>0</v>
      </c>
      <c r="OIG1590" s="55">
        <f t="shared" si="200"/>
        <v>0</v>
      </c>
      <c r="OIH1590" s="55">
        <f t="shared" si="200"/>
        <v>0</v>
      </c>
      <c r="OII1590" s="55">
        <f t="shared" si="200"/>
        <v>0</v>
      </c>
      <c r="OIJ1590" s="55">
        <f t="shared" si="200"/>
        <v>0</v>
      </c>
      <c r="OIK1590" s="55">
        <f t="shared" si="200"/>
        <v>0</v>
      </c>
      <c r="OIL1590" s="55">
        <f t="shared" si="200"/>
        <v>0</v>
      </c>
      <c r="OIM1590" s="55">
        <f t="shared" si="200"/>
        <v>0</v>
      </c>
      <c r="OIN1590" s="55">
        <f t="shared" si="200"/>
        <v>0</v>
      </c>
      <c r="OIO1590" s="55">
        <f t="shared" si="200"/>
        <v>0</v>
      </c>
      <c r="OIP1590" s="55">
        <f t="shared" si="200"/>
        <v>0</v>
      </c>
      <c r="OIQ1590" s="55">
        <f t="shared" si="200"/>
        <v>0</v>
      </c>
      <c r="OIR1590" s="55">
        <f t="shared" si="200"/>
        <v>0</v>
      </c>
      <c r="OIS1590" s="55">
        <f t="shared" si="200"/>
        <v>0</v>
      </c>
      <c r="OIT1590" s="55">
        <f t="shared" si="200"/>
        <v>0</v>
      </c>
      <c r="OIU1590" s="55">
        <f t="shared" si="200"/>
        <v>0</v>
      </c>
      <c r="OIV1590" s="55">
        <f t="shared" si="200"/>
        <v>0</v>
      </c>
      <c r="OIW1590" s="55">
        <f t="shared" si="200"/>
        <v>0</v>
      </c>
      <c r="OIX1590" s="55">
        <f t="shared" si="200"/>
        <v>0</v>
      </c>
      <c r="OIY1590" s="55">
        <f t="shared" si="200"/>
        <v>0</v>
      </c>
      <c r="OIZ1590" s="55">
        <f t="shared" si="200"/>
        <v>0</v>
      </c>
      <c r="OJA1590" s="55">
        <f t="shared" si="200"/>
        <v>0</v>
      </c>
      <c r="OJB1590" s="55">
        <f t="shared" si="200"/>
        <v>0</v>
      </c>
      <c r="OJC1590" s="55">
        <f t="shared" si="200"/>
        <v>0</v>
      </c>
      <c r="OJD1590" s="55">
        <f t="shared" si="200"/>
        <v>0</v>
      </c>
      <c r="OJE1590" s="55">
        <f t="shared" si="200"/>
        <v>0</v>
      </c>
      <c r="OJF1590" s="55">
        <f t="shared" si="200"/>
        <v>0</v>
      </c>
      <c r="OJG1590" s="55">
        <f t="shared" si="200"/>
        <v>0</v>
      </c>
      <c r="OJH1590" s="55">
        <f t="shared" si="200"/>
        <v>0</v>
      </c>
      <c r="OJI1590" s="55">
        <f t="shared" si="200"/>
        <v>0</v>
      </c>
      <c r="OJJ1590" s="55">
        <f t="shared" si="200"/>
        <v>0</v>
      </c>
      <c r="OJK1590" s="55">
        <f t="shared" si="200"/>
        <v>0</v>
      </c>
      <c r="OJL1590" s="55">
        <f t="shared" si="200"/>
        <v>0</v>
      </c>
      <c r="OJM1590" s="55">
        <f t="shared" si="200"/>
        <v>0</v>
      </c>
      <c r="OJN1590" s="55">
        <f t="shared" si="200"/>
        <v>0</v>
      </c>
      <c r="OJO1590" s="55">
        <f t="shared" si="200"/>
        <v>0</v>
      </c>
      <c r="OJP1590" s="55">
        <f t="shared" si="200"/>
        <v>0</v>
      </c>
      <c r="OJQ1590" s="55">
        <f t="shared" si="200"/>
        <v>0</v>
      </c>
      <c r="OJR1590" s="55">
        <f t="shared" si="200"/>
        <v>0</v>
      </c>
      <c r="OJS1590" s="55">
        <f t="shared" si="200"/>
        <v>0</v>
      </c>
      <c r="OJT1590" s="55">
        <f t="shared" si="200"/>
        <v>0</v>
      </c>
      <c r="OJU1590" s="55">
        <f t="shared" si="200"/>
        <v>0</v>
      </c>
      <c r="OJV1590" s="55">
        <f t="shared" si="200"/>
        <v>0</v>
      </c>
      <c r="OJW1590" s="55">
        <f t="shared" si="200"/>
        <v>0</v>
      </c>
      <c r="OJX1590" s="55">
        <f t="shared" si="200"/>
        <v>0</v>
      </c>
      <c r="OJY1590" s="55">
        <f t="shared" si="200"/>
        <v>0</v>
      </c>
      <c r="OJZ1590" s="55">
        <f t="shared" si="200"/>
        <v>0</v>
      </c>
      <c r="OKA1590" s="55">
        <f t="shared" si="200"/>
        <v>0</v>
      </c>
      <c r="OKB1590" s="55">
        <f t="shared" si="200"/>
        <v>0</v>
      </c>
      <c r="OKC1590" s="55">
        <f t="shared" si="200"/>
        <v>0</v>
      </c>
      <c r="OKD1590" s="55">
        <f t="shared" si="200"/>
        <v>0</v>
      </c>
      <c r="OKE1590" s="55">
        <f t="shared" si="200"/>
        <v>0</v>
      </c>
      <c r="OKF1590" s="55">
        <f t="shared" si="200"/>
        <v>0</v>
      </c>
      <c r="OKG1590" s="55">
        <f t="shared" si="200"/>
        <v>0</v>
      </c>
      <c r="OKH1590" s="55">
        <f t="shared" si="200"/>
        <v>0</v>
      </c>
      <c r="OKI1590" s="55">
        <f t="shared" si="200"/>
        <v>0</v>
      </c>
      <c r="OKJ1590" s="55">
        <f t="shared" si="200"/>
        <v>0</v>
      </c>
      <c r="OKK1590" s="55">
        <f t="shared" si="200"/>
        <v>0</v>
      </c>
      <c r="OKL1590" s="55">
        <f t="shared" si="200"/>
        <v>0</v>
      </c>
      <c r="OKM1590" s="55">
        <f t="shared" si="200"/>
        <v>0</v>
      </c>
      <c r="OKN1590" s="55">
        <f t="shared" si="200"/>
        <v>0</v>
      </c>
      <c r="OKO1590" s="55">
        <f t="shared" si="200"/>
        <v>0</v>
      </c>
      <c r="OKP1590" s="55">
        <f t="shared" si="200"/>
        <v>0</v>
      </c>
      <c r="OKQ1590" s="55">
        <f t="shared" si="200"/>
        <v>0</v>
      </c>
      <c r="OKR1590" s="55">
        <f t="shared" ref="OKR1590:ONC1590" si="201">+(OKR1600+OKR1604)*1.18*1.1</f>
        <v>0</v>
      </c>
      <c r="OKS1590" s="55">
        <f t="shared" si="201"/>
        <v>0</v>
      </c>
      <c r="OKT1590" s="55">
        <f t="shared" si="201"/>
        <v>0</v>
      </c>
      <c r="OKU1590" s="55">
        <f t="shared" si="201"/>
        <v>0</v>
      </c>
      <c r="OKV1590" s="55">
        <f t="shared" si="201"/>
        <v>0</v>
      </c>
      <c r="OKW1590" s="55">
        <f t="shared" si="201"/>
        <v>0</v>
      </c>
      <c r="OKX1590" s="55">
        <f t="shared" si="201"/>
        <v>0</v>
      </c>
      <c r="OKY1590" s="55">
        <f t="shared" si="201"/>
        <v>0</v>
      </c>
      <c r="OKZ1590" s="55">
        <f t="shared" si="201"/>
        <v>0</v>
      </c>
      <c r="OLA1590" s="55">
        <f t="shared" si="201"/>
        <v>0</v>
      </c>
      <c r="OLB1590" s="55">
        <f t="shared" si="201"/>
        <v>0</v>
      </c>
      <c r="OLC1590" s="55">
        <f t="shared" si="201"/>
        <v>0</v>
      </c>
      <c r="OLD1590" s="55">
        <f t="shared" si="201"/>
        <v>0</v>
      </c>
      <c r="OLE1590" s="55">
        <f t="shared" si="201"/>
        <v>0</v>
      </c>
      <c r="OLF1590" s="55">
        <f t="shared" si="201"/>
        <v>0</v>
      </c>
      <c r="OLG1590" s="55">
        <f t="shared" si="201"/>
        <v>0</v>
      </c>
      <c r="OLH1590" s="55">
        <f t="shared" si="201"/>
        <v>0</v>
      </c>
      <c r="OLI1590" s="55">
        <f t="shared" si="201"/>
        <v>0</v>
      </c>
      <c r="OLJ1590" s="55">
        <f t="shared" si="201"/>
        <v>0</v>
      </c>
      <c r="OLK1590" s="55">
        <f t="shared" si="201"/>
        <v>0</v>
      </c>
      <c r="OLL1590" s="55">
        <f t="shared" si="201"/>
        <v>0</v>
      </c>
      <c r="OLM1590" s="55">
        <f t="shared" si="201"/>
        <v>0</v>
      </c>
      <c r="OLN1590" s="55">
        <f t="shared" si="201"/>
        <v>0</v>
      </c>
      <c r="OLO1590" s="55">
        <f t="shared" si="201"/>
        <v>0</v>
      </c>
      <c r="OLP1590" s="55">
        <f t="shared" si="201"/>
        <v>0</v>
      </c>
      <c r="OLQ1590" s="55">
        <f t="shared" si="201"/>
        <v>0</v>
      </c>
      <c r="OLR1590" s="55">
        <f t="shared" si="201"/>
        <v>0</v>
      </c>
      <c r="OLS1590" s="55">
        <f t="shared" si="201"/>
        <v>0</v>
      </c>
      <c r="OLT1590" s="55">
        <f t="shared" si="201"/>
        <v>0</v>
      </c>
      <c r="OLU1590" s="55">
        <f t="shared" si="201"/>
        <v>0</v>
      </c>
      <c r="OLV1590" s="55">
        <f t="shared" si="201"/>
        <v>0</v>
      </c>
      <c r="OLW1590" s="55">
        <f t="shared" si="201"/>
        <v>0</v>
      </c>
      <c r="OLX1590" s="55">
        <f t="shared" si="201"/>
        <v>0</v>
      </c>
      <c r="OLY1590" s="55">
        <f t="shared" si="201"/>
        <v>0</v>
      </c>
      <c r="OLZ1590" s="55">
        <f t="shared" si="201"/>
        <v>0</v>
      </c>
      <c r="OMA1590" s="55">
        <f t="shared" si="201"/>
        <v>0</v>
      </c>
      <c r="OMB1590" s="55">
        <f t="shared" si="201"/>
        <v>0</v>
      </c>
      <c r="OMC1590" s="55">
        <f t="shared" si="201"/>
        <v>0</v>
      </c>
      <c r="OMD1590" s="55">
        <f t="shared" si="201"/>
        <v>0</v>
      </c>
      <c r="OME1590" s="55">
        <f t="shared" si="201"/>
        <v>0</v>
      </c>
      <c r="OMF1590" s="55">
        <f t="shared" si="201"/>
        <v>0</v>
      </c>
      <c r="OMG1590" s="55">
        <f t="shared" si="201"/>
        <v>0</v>
      </c>
      <c r="OMH1590" s="55">
        <f t="shared" si="201"/>
        <v>0</v>
      </c>
      <c r="OMI1590" s="55">
        <f t="shared" si="201"/>
        <v>0</v>
      </c>
      <c r="OMJ1590" s="55">
        <f t="shared" si="201"/>
        <v>0</v>
      </c>
      <c r="OMK1590" s="55">
        <f t="shared" si="201"/>
        <v>0</v>
      </c>
      <c r="OML1590" s="55">
        <f t="shared" si="201"/>
        <v>0</v>
      </c>
      <c r="OMM1590" s="55">
        <f t="shared" si="201"/>
        <v>0</v>
      </c>
      <c r="OMN1590" s="55">
        <f t="shared" si="201"/>
        <v>0</v>
      </c>
      <c r="OMO1590" s="55">
        <f t="shared" si="201"/>
        <v>0</v>
      </c>
      <c r="OMP1590" s="55">
        <f t="shared" si="201"/>
        <v>0</v>
      </c>
      <c r="OMQ1590" s="55">
        <f t="shared" si="201"/>
        <v>0</v>
      </c>
      <c r="OMR1590" s="55">
        <f t="shared" si="201"/>
        <v>0</v>
      </c>
      <c r="OMS1590" s="55">
        <f t="shared" si="201"/>
        <v>0</v>
      </c>
      <c r="OMT1590" s="55">
        <f t="shared" si="201"/>
        <v>0</v>
      </c>
      <c r="OMU1590" s="55">
        <f t="shared" si="201"/>
        <v>0</v>
      </c>
      <c r="OMV1590" s="55">
        <f t="shared" si="201"/>
        <v>0</v>
      </c>
      <c r="OMW1590" s="55">
        <f t="shared" si="201"/>
        <v>0</v>
      </c>
      <c r="OMX1590" s="55">
        <f t="shared" si="201"/>
        <v>0</v>
      </c>
      <c r="OMY1590" s="55">
        <f t="shared" si="201"/>
        <v>0</v>
      </c>
      <c r="OMZ1590" s="55">
        <f t="shared" si="201"/>
        <v>0</v>
      </c>
      <c r="ONA1590" s="55">
        <f t="shared" si="201"/>
        <v>0</v>
      </c>
      <c r="ONB1590" s="55">
        <f t="shared" si="201"/>
        <v>0</v>
      </c>
      <c r="ONC1590" s="55">
        <f t="shared" si="201"/>
        <v>0</v>
      </c>
      <c r="OND1590" s="55">
        <f t="shared" ref="OND1590:OPO1590" si="202">+(OND1600+OND1604)*1.18*1.1</f>
        <v>0</v>
      </c>
      <c r="ONE1590" s="55">
        <f t="shared" si="202"/>
        <v>0</v>
      </c>
      <c r="ONF1590" s="55">
        <f t="shared" si="202"/>
        <v>0</v>
      </c>
      <c r="ONG1590" s="55">
        <f t="shared" si="202"/>
        <v>0</v>
      </c>
      <c r="ONH1590" s="55">
        <f t="shared" si="202"/>
        <v>0</v>
      </c>
      <c r="ONI1590" s="55">
        <f t="shared" si="202"/>
        <v>0</v>
      </c>
      <c r="ONJ1590" s="55">
        <f t="shared" si="202"/>
        <v>0</v>
      </c>
      <c r="ONK1590" s="55">
        <f t="shared" si="202"/>
        <v>0</v>
      </c>
      <c r="ONL1590" s="55">
        <f t="shared" si="202"/>
        <v>0</v>
      </c>
      <c r="ONM1590" s="55">
        <f t="shared" si="202"/>
        <v>0</v>
      </c>
      <c r="ONN1590" s="55">
        <f t="shared" si="202"/>
        <v>0</v>
      </c>
      <c r="ONO1590" s="55">
        <f t="shared" si="202"/>
        <v>0</v>
      </c>
      <c r="ONP1590" s="55">
        <f t="shared" si="202"/>
        <v>0</v>
      </c>
      <c r="ONQ1590" s="55">
        <f t="shared" si="202"/>
        <v>0</v>
      </c>
      <c r="ONR1590" s="55">
        <f t="shared" si="202"/>
        <v>0</v>
      </c>
      <c r="ONS1590" s="55">
        <f t="shared" si="202"/>
        <v>0</v>
      </c>
      <c r="ONT1590" s="55">
        <f t="shared" si="202"/>
        <v>0</v>
      </c>
      <c r="ONU1590" s="55">
        <f t="shared" si="202"/>
        <v>0</v>
      </c>
      <c r="ONV1590" s="55">
        <f t="shared" si="202"/>
        <v>0</v>
      </c>
      <c r="ONW1590" s="55">
        <f t="shared" si="202"/>
        <v>0</v>
      </c>
      <c r="ONX1590" s="55">
        <f t="shared" si="202"/>
        <v>0</v>
      </c>
      <c r="ONY1590" s="55">
        <f t="shared" si="202"/>
        <v>0</v>
      </c>
      <c r="ONZ1590" s="55">
        <f t="shared" si="202"/>
        <v>0</v>
      </c>
      <c r="OOA1590" s="55">
        <f t="shared" si="202"/>
        <v>0</v>
      </c>
      <c r="OOB1590" s="55">
        <f t="shared" si="202"/>
        <v>0</v>
      </c>
      <c r="OOC1590" s="55">
        <f t="shared" si="202"/>
        <v>0</v>
      </c>
      <c r="OOD1590" s="55">
        <f t="shared" si="202"/>
        <v>0</v>
      </c>
      <c r="OOE1590" s="55">
        <f t="shared" si="202"/>
        <v>0</v>
      </c>
      <c r="OOF1590" s="55">
        <f t="shared" si="202"/>
        <v>0</v>
      </c>
      <c r="OOG1590" s="55">
        <f t="shared" si="202"/>
        <v>0</v>
      </c>
      <c r="OOH1590" s="55">
        <f t="shared" si="202"/>
        <v>0</v>
      </c>
      <c r="OOI1590" s="55">
        <f t="shared" si="202"/>
        <v>0</v>
      </c>
      <c r="OOJ1590" s="55">
        <f t="shared" si="202"/>
        <v>0</v>
      </c>
      <c r="OOK1590" s="55">
        <f t="shared" si="202"/>
        <v>0</v>
      </c>
      <c r="OOL1590" s="55">
        <f t="shared" si="202"/>
        <v>0</v>
      </c>
      <c r="OOM1590" s="55">
        <f t="shared" si="202"/>
        <v>0</v>
      </c>
      <c r="OON1590" s="55">
        <f t="shared" si="202"/>
        <v>0</v>
      </c>
      <c r="OOO1590" s="55">
        <f t="shared" si="202"/>
        <v>0</v>
      </c>
      <c r="OOP1590" s="55">
        <f t="shared" si="202"/>
        <v>0</v>
      </c>
      <c r="OOQ1590" s="55">
        <f t="shared" si="202"/>
        <v>0</v>
      </c>
      <c r="OOR1590" s="55">
        <f t="shared" si="202"/>
        <v>0</v>
      </c>
      <c r="OOS1590" s="55">
        <f t="shared" si="202"/>
        <v>0</v>
      </c>
      <c r="OOT1590" s="55">
        <f t="shared" si="202"/>
        <v>0</v>
      </c>
      <c r="OOU1590" s="55">
        <f t="shared" si="202"/>
        <v>0</v>
      </c>
      <c r="OOV1590" s="55">
        <f t="shared" si="202"/>
        <v>0</v>
      </c>
      <c r="OOW1590" s="55">
        <f t="shared" si="202"/>
        <v>0</v>
      </c>
      <c r="OOX1590" s="55">
        <f t="shared" si="202"/>
        <v>0</v>
      </c>
      <c r="OOY1590" s="55">
        <f t="shared" si="202"/>
        <v>0</v>
      </c>
      <c r="OOZ1590" s="55">
        <f t="shared" si="202"/>
        <v>0</v>
      </c>
      <c r="OPA1590" s="55">
        <f t="shared" si="202"/>
        <v>0</v>
      </c>
      <c r="OPB1590" s="55">
        <f t="shared" si="202"/>
        <v>0</v>
      </c>
      <c r="OPC1590" s="55">
        <f t="shared" si="202"/>
        <v>0</v>
      </c>
      <c r="OPD1590" s="55">
        <f t="shared" si="202"/>
        <v>0</v>
      </c>
      <c r="OPE1590" s="55">
        <f t="shared" si="202"/>
        <v>0</v>
      </c>
      <c r="OPF1590" s="55">
        <f t="shared" si="202"/>
        <v>0</v>
      </c>
      <c r="OPG1590" s="55">
        <f t="shared" si="202"/>
        <v>0</v>
      </c>
      <c r="OPH1590" s="55">
        <f t="shared" si="202"/>
        <v>0</v>
      </c>
      <c r="OPI1590" s="55">
        <f t="shared" si="202"/>
        <v>0</v>
      </c>
      <c r="OPJ1590" s="55">
        <f t="shared" si="202"/>
        <v>0</v>
      </c>
      <c r="OPK1590" s="55">
        <f t="shared" si="202"/>
        <v>0</v>
      </c>
      <c r="OPL1590" s="55">
        <f t="shared" si="202"/>
        <v>0</v>
      </c>
      <c r="OPM1590" s="55">
        <f t="shared" si="202"/>
        <v>0</v>
      </c>
      <c r="OPN1590" s="55">
        <f t="shared" si="202"/>
        <v>0</v>
      </c>
      <c r="OPO1590" s="55">
        <f t="shared" si="202"/>
        <v>0</v>
      </c>
      <c r="OPP1590" s="55">
        <f t="shared" ref="OPP1590:OSA1590" si="203">+(OPP1600+OPP1604)*1.18*1.1</f>
        <v>0</v>
      </c>
      <c r="OPQ1590" s="55">
        <f t="shared" si="203"/>
        <v>0</v>
      </c>
      <c r="OPR1590" s="55">
        <f t="shared" si="203"/>
        <v>0</v>
      </c>
      <c r="OPS1590" s="55">
        <f t="shared" si="203"/>
        <v>0</v>
      </c>
      <c r="OPT1590" s="55">
        <f t="shared" si="203"/>
        <v>0</v>
      </c>
      <c r="OPU1590" s="55">
        <f t="shared" si="203"/>
        <v>0</v>
      </c>
      <c r="OPV1590" s="55">
        <f t="shared" si="203"/>
        <v>0</v>
      </c>
      <c r="OPW1590" s="55">
        <f t="shared" si="203"/>
        <v>0</v>
      </c>
      <c r="OPX1590" s="55">
        <f t="shared" si="203"/>
        <v>0</v>
      </c>
      <c r="OPY1590" s="55">
        <f t="shared" si="203"/>
        <v>0</v>
      </c>
      <c r="OPZ1590" s="55">
        <f t="shared" si="203"/>
        <v>0</v>
      </c>
      <c r="OQA1590" s="55">
        <f t="shared" si="203"/>
        <v>0</v>
      </c>
      <c r="OQB1590" s="55">
        <f t="shared" si="203"/>
        <v>0</v>
      </c>
      <c r="OQC1590" s="55">
        <f t="shared" si="203"/>
        <v>0</v>
      </c>
      <c r="OQD1590" s="55">
        <f t="shared" si="203"/>
        <v>0</v>
      </c>
      <c r="OQE1590" s="55">
        <f t="shared" si="203"/>
        <v>0</v>
      </c>
      <c r="OQF1590" s="55">
        <f t="shared" si="203"/>
        <v>0</v>
      </c>
      <c r="OQG1590" s="55">
        <f t="shared" si="203"/>
        <v>0</v>
      </c>
      <c r="OQH1590" s="55">
        <f t="shared" si="203"/>
        <v>0</v>
      </c>
      <c r="OQI1590" s="55">
        <f t="shared" si="203"/>
        <v>0</v>
      </c>
      <c r="OQJ1590" s="55">
        <f t="shared" si="203"/>
        <v>0</v>
      </c>
      <c r="OQK1590" s="55">
        <f t="shared" si="203"/>
        <v>0</v>
      </c>
      <c r="OQL1590" s="55">
        <f t="shared" si="203"/>
        <v>0</v>
      </c>
      <c r="OQM1590" s="55">
        <f t="shared" si="203"/>
        <v>0</v>
      </c>
      <c r="OQN1590" s="55">
        <f t="shared" si="203"/>
        <v>0</v>
      </c>
      <c r="OQO1590" s="55">
        <f t="shared" si="203"/>
        <v>0</v>
      </c>
      <c r="OQP1590" s="55">
        <f t="shared" si="203"/>
        <v>0</v>
      </c>
      <c r="OQQ1590" s="55">
        <f t="shared" si="203"/>
        <v>0</v>
      </c>
      <c r="OQR1590" s="55">
        <f t="shared" si="203"/>
        <v>0</v>
      </c>
      <c r="OQS1590" s="55">
        <f t="shared" si="203"/>
        <v>0</v>
      </c>
      <c r="OQT1590" s="55">
        <f t="shared" si="203"/>
        <v>0</v>
      </c>
      <c r="OQU1590" s="55">
        <f t="shared" si="203"/>
        <v>0</v>
      </c>
      <c r="OQV1590" s="55">
        <f t="shared" si="203"/>
        <v>0</v>
      </c>
      <c r="OQW1590" s="55">
        <f t="shared" si="203"/>
        <v>0</v>
      </c>
      <c r="OQX1590" s="55">
        <f t="shared" si="203"/>
        <v>0</v>
      </c>
      <c r="OQY1590" s="55">
        <f t="shared" si="203"/>
        <v>0</v>
      </c>
      <c r="OQZ1590" s="55">
        <f t="shared" si="203"/>
        <v>0</v>
      </c>
      <c r="ORA1590" s="55">
        <f t="shared" si="203"/>
        <v>0</v>
      </c>
      <c r="ORB1590" s="55">
        <f t="shared" si="203"/>
        <v>0</v>
      </c>
      <c r="ORC1590" s="55">
        <f t="shared" si="203"/>
        <v>0</v>
      </c>
      <c r="ORD1590" s="55">
        <f t="shared" si="203"/>
        <v>0</v>
      </c>
      <c r="ORE1590" s="55">
        <f t="shared" si="203"/>
        <v>0</v>
      </c>
      <c r="ORF1590" s="55">
        <f t="shared" si="203"/>
        <v>0</v>
      </c>
      <c r="ORG1590" s="55">
        <f t="shared" si="203"/>
        <v>0</v>
      </c>
      <c r="ORH1590" s="55">
        <f t="shared" si="203"/>
        <v>0</v>
      </c>
      <c r="ORI1590" s="55">
        <f t="shared" si="203"/>
        <v>0</v>
      </c>
      <c r="ORJ1590" s="55">
        <f t="shared" si="203"/>
        <v>0</v>
      </c>
      <c r="ORK1590" s="55">
        <f t="shared" si="203"/>
        <v>0</v>
      </c>
      <c r="ORL1590" s="55">
        <f t="shared" si="203"/>
        <v>0</v>
      </c>
      <c r="ORM1590" s="55">
        <f t="shared" si="203"/>
        <v>0</v>
      </c>
      <c r="ORN1590" s="55">
        <f t="shared" si="203"/>
        <v>0</v>
      </c>
      <c r="ORO1590" s="55">
        <f t="shared" si="203"/>
        <v>0</v>
      </c>
      <c r="ORP1590" s="55">
        <f t="shared" si="203"/>
        <v>0</v>
      </c>
      <c r="ORQ1590" s="55">
        <f t="shared" si="203"/>
        <v>0</v>
      </c>
      <c r="ORR1590" s="55">
        <f t="shared" si="203"/>
        <v>0</v>
      </c>
      <c r="ORS1590" s="55">
        <f t="shared" si="203"/>
        <v>0</v>
      </c>
      <c r="ORT1590" s="55">
        <f t="shared" si="203"/>
        <v>0</v>
      </c>
      <c r="ORU1590" s="55">
        <f t="shared" si="203"/>
        <v>0</v>
      </c>
      <c r="ORV1590" s="55">
        <f t="shared" si="203"/>
        <v>0</v>
      </c>
      <c r="ORW1590" s="55">
        <f t="shared" si="203"/>
        <v>0</v>
      </c>
      <c r="ORX1590" s="55">
        <f t="shared" si="203"/>
        <v>0</v>
      </c>
      <c r="ORY1590" s="55">
        <f t="shared" si="203"/>
        <v>0</v>
      </c>
      <c r="ORZ1590" s="55">
        <f t="shared" si="203"/>
        <v>0</v>
      </c>
      <c r="OSA1590" s="55">
        <f t="shared" si="203"/>
        <v>0</v>
      </c>
      <c r="OSB1590" s="55">
        <f t="shared" ref="OSB1590:OUM1590" si="204">+(OSB1600+OSB1604)*1.18*1.1</f>
        <v>0</v>
      </c>
      <c r="OSC1590" s="55">
        <f t="shared" si="204"/>
        <v>0</v>
      </c>
      <c r="OSD1590" s="55">
        <f t="shared" si="204"/>
        <v>0</v>
      </c>
      <c r="OSE1590" s="55">
        <f t="shared" si="204"/>
        <v>0</v>
      </c>
      <c r="OSF1590" s="55">
        <f t="shared" si="204"/>
        <v>0</v>
      </c>
      <c r="OSG1590" s="55">
        <f t="shared" si="204"/>
        <v>0</v>
      </c>
      <c r="OSH1590" s="55">
        <f t="shared" si="204"/>
        <v>0</v>
      </c>
      <c r="OSI1590" s="55">
        <f t="shared" si="204"/>
        <v>0</v>
      </c>
      <c r="OSJ1590" s="55">
        <f t="shared" si="204"/>
        <v>0</v>
      </c>
      <c r="OSK1590" s="55">
        <f t="shared" si="204"/>
        <v>0</v>
      </c>
      <c r="OSL1590" s="55">
        <f t="shared" si="204"/>
        <v>0</v>
      </c>
      <c r="OSM1590" s="55">
        <f t="shared" si="204"/>
        <v>0</v>
      </c>
      <c r="OSN1590" s="55">
        <f t="shared" si="204"/>
        <v>0</v>
      </c>
      <c r="OSO1590" s="55">
        <f t="shared" si="204"/>
        <v>0</v>
      </c>
      <c r="OSP1590" s="55">
        <f t="shared" si="204"/>
        <v>0</v>
      </c>
      <c r="OSQ1590" s="55">
        <f t="shared" si="204"/>
        <v>0</v>
      </c>
      <c r="OSR1590" s="55">
        <f t="shared" si="204"/>
        <v>0</v>
      </c>
      <c r="OSS1590" s="55">
        <f t="shared" si="204"/>
        <v>0</v>
      </c>
      <c r="OST1590" s="55">
        <f t="shared" si="204"/>
        <v>0</v>
      </c>
      <c r="OSU1590" s="55">
        <f t="shared" si="204"/>
        <v>0</v>
      </c>
      <c r="OSV1590" s="55">
        <f t="shared" si="204"/>
        <v>0</v>
      </c>
      <c r="OSW1590" s="55">
        <f t="shared" si="204"/>
        <v>0</v>
      </c>
      <c r="OSX1590" s="55">
        <f t="shared" si="204"/>
        <v>0</v>
      </c>
      <c r="OSY1590" s="55">
        <f t="shared" si="204"/>
        <v>0</v>
      </c>
      <c r="OSZ1590" s="55">
        <f t="shared" si="204"/>
        <v>0</v>
      </c>
      <c r="OTA1590" s="55">
        <f t="shared" si="204"/>
        <v>0</v>
      </c>
      <c r="OTB1590" s="55">
        <f t="shared" si="204"/>
        <v>0</v>
      </c>
      <c r="OTC1590" s="55">
        <f t="shared" si="204"/>
        <v>0</v>
      </c>
      <c r="OTD1590" s="55">
        <f t="shared" si="204"/>
        <v>0</v>
      </c>
      <c r="OTE1590" s="55">
        <f t="shared" si="204"/>
        <v>0</v>
      </c>
      <c r="OTF1590" s="55">
        <f t="shared" si="204"/>
        <v>0</v>
      </c>
      <c r="OTG1590" s="55">
        <f t="shared" si="204"/>
        <v>0</v>
      </c>
      <c r="OTH1590" s="55">
        <f t="shared" si="204"/>
        <v>0</v>
      </c>
      <c r="OTI1590" s="55">
        <f t="shared" si="204"/>
        <v>0</v>
      </c>
      <c r="OTJ1590" s="55">
        <f t="shared" si="204"/>
        <v>0</v>
      </c>
      <c r="OTK1590" s="55">
        <f t="shared" si="204"/>
        <v>0</v>
      </c>
      <c r="OTL1590" s="55">
        <f t="shared" si="204"/>
        <v>0</v>
      </c>
      <c r="OTM1590" s="55">
        <f t="shared" si="204"/>
        <v>0</v>
      </c>
      <c r="OTN1590" s="55">
        <f t="shared" si="204"/>
        <v>0</v>
      </c>
      <c r="OTO1590" s="55">
        <f t="shared" si="204"/>
        <v>0</v>
      </c>
      <c r="OTP1590" s="55">
        <f t="shared" si="204"/>
        <v>0</v>
      </c>
      <c r="OTQ1590" s="55">
        <f t="shared" si="204"/>
        <v>0</v>
      </c>
      <c r="OTR1590" s="55">
        <f t="shared" si="204"/>
        <v>0</v>
      </c>
      <c r="OTS1590" s="55">
        <f t="shared" si="204"/>
        <v>0</v>
      </c>
      <c r="OTT1590" s="55">
        <f t="shared" si="204"/>
        <v>0</v>
      </c>
      <c r="OTU1590" s="55">
        <f t="shared" si="204"/>
        <v>0</v>
      </c>
      <c r="OTV1590" s="55">
        <f t="shared" si="204"/>
        <v>0</v>
      </c>
      <c r="OTW1590" s="55">
        <f t="shared" si="204"/>
        <v>0</v>
      </c>
      <c r="OTX1590" s="55">
        <f t="shared" si="204"/>
        <v>0</v>
      </c>
      <c r="OTY1590" s="55">
        <f t="shared" si="204"/>
        <v>0</v>
      </c>
      <c r="OTZ1590" s="55">
        <f t="shared" si="204"/>
        <v>0</v>
      </c>
      <c r="OUA1590" s="55">
        <f t="shared" si="204"/>
        <v>0</v>
      </c>
      <c r="OUB1590" s="55">
        <f t="shared" si="204"/>
        <v>0</v>
      </c>
      <c r="OUC1590" s="55">
        <f t="shared" si="204"/>
        <v>0</v>
      </c>
      <c r="OUD1590" s="55">
        <f t="shared" si="204"/>
        <v>0</v>
      </c>
      <c r="OUE1590" s="55">
        <f t="shared" si="204"/>
        <v>0</v>
      </c>
      <c r="OUF1590" s="55">
        <f t="shared" si="204"/>
        <v>0</v>
      </c>
      <c r="OUG1590" s="55">
        <f t="shared" si="204"/>
        <v>0</v>
      </c>
      <c r="OUH1590" s="55">
        <f t="shared" si="204"/>
        <v>0</v>
      </c>
      <c r="OUI1590" s="55">
        <f t="shared" si="204"/>
        <v>0</v>
      </c>
      <c r="OUJ1590" s="55">
        <f t="shared" si="204"/>
        <v>0</v>
      </c>
      <c r="OUK1590" s="55">
        <f t="shared" si="204"/>
        <v>0</v>
      </c>
      <c r="OUL1590" s="55">
        <f t="shared" si="204"/>
        <v>0</v>
      </c>
      <c r="OUM1590" s="55">
        <f t="shared" si="204"/>
        <v>0</v>
      </c>
      <c r="OUN1590" s="55">
        <f t="shared" ref="OUN1590:OWY1590" si="205">+(OUN1600+OUN1604)*1.18*1.1</f>
        <v>0</v>
      </c>
      <c r="OUO1590" s="55">
        <f t="shared" si="205"/>
        <v>0</v>
      </c>
      <c r="OUP1590" s="55">
        <f t="shared" si="205"/>
        <v>0</v>
      </c>
      <c r="OUQ1590" s="55">
        <f t="shared" si="205"/>
        <v>0</v>
      </c>
      <c r="OUR1590" s="55">
        <f t="shared" si="205"/>
        <v>0</v>
      </c>
      <c r="OUS1590" s="55">
        <f t="shared" si="205"/>
        <v>0</v>
      </c>
      <c r="OUT1590" s="55">
        <f t="shared" si="205"/>
        <v>0</v>
      </c>
      <c r="OUU1590" s="55">
        <f t="shared" si="205"/>
        <v>0</v>
      </c>
      <c r="OUV1590" s="55">
        <f t="shared" si="205"/>
        <v>0</v>
      </c>
      <c r="OUW1590" s="55">
        <f t="shared" si="205"/>
        <v>0</v>
      </c>
      <c r="OUX1590" s="55">
        <f t="shared" si="205"/>
        <v>0</v>
      </c>
      <c r="OUY1590" s="55">
        <f t="shared" si="205"/>
        <v>0</v>
      </c>
      <c r="OUZ1590" s="55">
        <f t="shared" si="205"/>
        <v>0</v>
      </c>
      <c r="OVA1590" s="55">
        <f t="shared" si="205"/>
        <v>0</v>
      </c>
      <c r="OVB1590" s="55">
        <f t="shared" si="205"/>
        <v>0</v>
      </c>
      <c r="OVC1590" s="55">
        <f t="shared" si="205"/>
        <v>0</v>
      </c>
      <c r="OVD1590" s="55">
        <f t="shared" si="205"/>
        <v>0</v>
      </c>
      <c r="OVE1590" s="55">
        <f t="shared" si="205"/>
        <v>0</v>
      </c>
      <c r="OVF1590" s="55">
        <f t="shared" si="205"/>
        <v>0</v>
      </c>
      <c r="OVG1590" s="55">
        <f t="shared" si="205"/>
        <v>0</v>
      </c>
      <c r="OVH1590" s="55">
        <f t="shared" si="205"/>
        <v>0</v>
      </c>
      <c r="OVI1590" s="55">
        <f t="shared" si="205"/>
        <v>0</v>
      </c>
      <c r="OVJ1590" s="55">
        <f t="shared" si="205"/>
        <v>0</v>
      </c>
      <c r="OVK1590" s="55">
        <f t="shared" si="205"/>
        <v>0</v>
      </c>
      <c r="OVL1590" s="55">
        <f t="shared" si="205"/>
        <v>0</v>
      </c>
      <c r="OVM1590" s="55">
        <f t="shared" si="205"/>
        <v>0</v>
      </c>
      <c r="OVN1590" s="55">
        <f t="shared" si="205"/>
        <v>0</v>
      </c>
      <c r="OVO1590" s="55">
        <f t="shared" si="205"/>
        <v>0</v>
      </c>
      <c r="OVP1590" s="55">
        <f t="shared" si="205"/>
        <v>0</v>
      </c>
      <c r="OVQ1590" s="55">
        <f t="shared" si="205"/>
        <v>0</v>
      </c>
      <c r="OVR1590" s="55">
        <f t="shared" si="205"/>
        <v>0</v>
      </c>
      <c r="OVS1590" s="55">
        <f t="shared" si="205"/>
        <v>0</v>
      </c>
      <c r="OVT1590" s="55">
        <f t="shared" si="205"/>
        <v>0</v>
      </c>
      <c r="OVU1590" s="55">
        <f t="shared" si="205"/>
        <v>0</v>
      </c>
      <c r="OVV1590" s="55">
        <f t="shared" si="205"/>
        <v>0</v>
      </c>
      <c r="OVW1590" s="55">
        <f t="shared" si="205"/>
        <v>0</v>
      </c>
      <c r="OVX1590" s="55">
        <f t="shared" si="205"/>
        <v>0</v>
      </c>
      <c r="OVY1590" s="55">
        <f t="shared" si="205"/>
        <v>0</v>
      </c>
      <c r="OVZ1590" s="55">
        <f t="shared" si="205"/>
        <v>0</v>
      </c>
      <c r="OWA1590" s="55">
        <f t="shared" si="205"/>
        <v>0</v>
      </c>
      <c r="OWB1590" s="55">
        <f t="shared" si="205"/>
        <v>0</v>
      </c>
      <c r="OWC1590" s="55">
        <f t="shared" si="205"/>
        <v>0</v>
      </c>
      <c r="OWD1590" s="55">
        <f t="shared" si="205"/>
        <v>0</v>
      </c>
      <c r="OWE1590" s="55">
        <f t="shared" si="205"/>
        <v>0</v>
      </c>
      <c r="OWF1590" s="55">
        <f t="shared" si="205"/>
        <v>0</v>
      </c>
      <c r="OWG1590" s="55">
        <f t="shared" si="205"/>
        <v>0</v>
      </c>
      <c r="OWH1590" s="55">
        <f t="shared" si="205"/>
        <v>0</v>
      </c>
      <c r="OWI1590" s="55">
        <f t="shared" si="205"/>
        <v>0</v>
      </c>
      <c r="OWJ1590" s="55">
        <f t="shared" si="205"/>
        <v>0</v>
      </c>
      <c r="OWK1590" s="55">
        <f t="shared" si="205"/>
        <v>0</v>
      </c>
      <c r="OWL1590" s="55">
        <f t="shared" si="205"/>
        <v>0</v>
      </c>
      <c r="OWM1590" s="55">
        <f t="shared" si="205"/>
        <v>0</v>
      </c>
      <c r="OWN1590" s="55">
        <f t="shared" si="205"/>
        <v>0</v>
      </c>
      <c r="OWO1590" s="55">
        <f t="shared" si="205"/>
        <v>0</v>
      </c>
      <c r="OWP1590" s="55">
        <f t="shared" si="205"/>
        <v>0</v>
      </c>
      <c r="OWQ1590" s="55">
        <f t="shared" si="205"/>
        <v>0</v>
      </c>
      <c r="OWR1590" s="55">
        <f t="shared" si="205"/>
        <v>0</v>
      </c>
      <c r="OWS1590" s="55">
        <f t="shared" si="205"/>
        <v>0</v>
      </c>
      <c r="OWT1590" s="55">
        <f t="shared" si="205"/>
        <v>0</v>
      </c>
      <c r="OWU1590" s="55">
        <f t="shared" si="205"/>
        <v>0</v>
      </c>
      <c r="OWV1590" s="55">
        <f t="shared" si="205"/>
        <v>0</v>
      </c>
      <c r="OWW1590" s="55">
        <f t="shared" si="205"/>
        <v>0</v>
      </c>
      <c r="OWX1590" s="55">
        <f t="shared" si="205"/>
        <v>0</v>
      </c>
      <c r="OWY1590" s="55">
        <f t="shared" si="205"/>
        <v>0</v>
      </c>
      <c r="OWZ1590" s="55">
        <f t="shared" ref="OWZ1590:OZK1590" si="206">+(OWZ1600+OWZ1604)*1.18*1.1</f>
        <v>0</v>
      </c>
      <c r="OXA1590" s="55">
        <f t="shared" si="206"/>
        <v>0</v>
      </c>
      <c r="OXB1590" s="55">
        <f t="shared" si="206"/>
        <v>0</v>
      </c>
      <c r="OXC1590" s="55">
        <f t="shared" si="206"/>
        <v>0</v>
      </c>
      <c r="OXD1590" s="55">
        <f t="shared" si="206"/>
        <v>0</v>
      </c>
      <c r="OXE1590" s="55">
        <f t="shared" si="206"/>
        <v>0</v>
      </c>
      <c r="OXF1590" s="55">
        <f t="shared" si="206"/>
        <v>0</v>
      </c>
      <c r="OXG1590" s="55">
        <f t="shared" si="206"/>
        <v>0</v>
      </c>
      <c r="OXH1590" s="55">
        <f t="shared" si="206"/>
        <v>0</v>
      </c>
      <c r="OXI1590" s="55">
        <f t="shared" si="206"/>
        <v>0</v>
      </c>
      <c r="OXJ1590" s="55">
        <f t="shared" si="206"/>
        <v>0</v>
      </c>
      <c r="OXK1590" s="55">
        <f t="shared" si="206"/>
        <v>0</v>
      </c>
      <c r="OXL1590" s="55">
        <f t="shared" si="206"/>
        <v>0</v>
      </c>
      <c r="OXM1590" s="55">
        <f t="shared" si="206"/>
        <v>0</v>
      </c>
      <c r="OXN1590" s="55">
        <f t="shared" si="206"/>
        <v>0</v>
      </c>
      <c r="OXO1590" s="55">
        <f t="shared" si="206"/>
        <v>0</v>
      </c>
      <c r="OXP1590" s="55">
        <f t="shared" si="206"/>
        <v>0</v>
      </c>
      <c r="OXQ1590" s="55">
        <f t="shared" si="206"/>
        <v>0</v>
      </c>
      <c r="OXR1590" s="55">
        <f t="shared" si="206"/>
        <v>0</v>
      </c>
      <c r="OXS1590" s="55">
        <f t="shared" si="206"/>
        <v>0</v>
      </c>
      <c r="OXT1590" s="55">
        <f t="shared" si="206"/>
        <v>0</v>
      </c>
      <c r="OXU1590" s="55">
        <f t="shared" si="206"/>
        <v>0</v>
      </c>
      <c r="OXV1590" s="55">
        <f t="shared" si="206"/>
        <v>0</v>
      </c>
      <c r="OXW1590" s="55">
        <f t="shared" si="206"/>
        <v>0</v>
      </c>
      <c r="OXX1590" s="55">
        <f t="shared" si="206"/>
        <v>0</v>
      </c>
      <c r="OXY1590" s="55">
        <f t="shared" si="206"/>
        <v>0</v>
      </c>
      <c r="OXZ1590" s="55">
        <f t="shared" si="206"/>
        <v>0</v>
      </c>
      <c r="OYA1590" s="55">
        <f t="shared" si="206"/>
        <v>0</v>
      </c>
      <c r="OYB1590" s="55">
        <f t="shared" si="206"/>
        <v>0</v>
      </c>
      <c r="OYC1590" s="55">
        <f t="shared" si="206"/>
        <v>0</v>
      </c>
      <c r="OYD1590" s="55">
        <f t="shared" si="206"/>
        <v>0</v>
      </c>
      <c r="OYE1590" s="55">
        <f t="shared" si="206"/>
        <v>0</v>
      </c>
      <c r="OYF1590" s="55">
        <f t="shared" si="206"/>
        <v>0</v>
      </c>
      <c r="OYG1590" s="55">
        <f t="shared" si="206"/>
        <v>0</v>
      </c>
      <c r="OYH1590" s="55">
        <f t="shared" si="206"/>
        <v>0</v>
      </c>
      <c r="OYI1590" s="55">
        <f t="shared" si="206"/>
        <v>0</v>
      </c>
      <c r="OYJ1590" s="55">
        <f t="shared" si="206"/>
        <v>0</v>
      </c>
      <c r="OYK1590" s="55">
        <f t="shared" si="206"/>
        <v>0</v>
      </c>
      <c r="OYL1590" s="55">
        <f t="shared" si="206"/>
        <v>0</v>
      </c>
      <c r="OYM1590" s="55">
        <f t="shared" si="206"/>
        <v>0</v>
      </c>
      <c r="OYN1590" s="55">
        <f t="shared" si="206"/>
        <v>0</v>
      </c>
      <c r="OYO1590" s="55">
        <f t="shared" si="206"/>
        <v>0</v>
      </c>
      <c r="OYP1590" s="55">
        <f t="shared" si="206"/>
        <v>0</v>
      </c>
      <c r="OYQ1590" s="55">
        <f t="shared" si="206"/>
        <v>0</v>
      </c>
      <c r="OYR1590" s="55">
        <f t="shared" si="206"/>
        <v>0</v>
      </c>
      <c r="OYS1590" s="55">
        <f t="shared" si="206"/>
        <v>0</v>
      </c>
      <c r="OYT1590" s="55">
        <f t="shared" si="206"/>
        <v>0</v>
      </c>
      <c r="OYU1590" s="55">
        <f t="shared" si="206"/>
        <v>0</v>
      </c>
      <c r="OYV1590" s="55">
        <f t="shared" si="206"/>
        <v>0</v>
      </c>
      <c r="OYW1590" s="55">
        <f t="shared" si="206"/>
        <v>0</v>
      </c>
      <c r="OYX1590" s="55">
        <f t="shared" si="206"/>
        <v>0</v>
      </c>
      <c r="OYY1590" s="55">
        <f t="shared" si="206"/>
        <v>0</v>
      </c>
      <c r="OYZ1590" s="55">
        <f t="shared" si="206"/>
        <v>0</v>
      </c>
      <c r="OZA1590" s="55">
        <f t="shared" si="206"/>
        <v>0</v>
      </c>
      <c r="OZB1590" s="55">
        <f t="shared" si="206"/>
        <v>0</v>
      </c>
      <c r="OZC1590" s="55">
        <f t="shared" si="206"/>
        <v>0</v>
      </c>
      <c r="OZD1590" s="55">
        <f t="shared" si="206"/>
        <v>0</v>
      </c>
      <c r="OZE1590" s="55">
        <f t="shared" si="206"/>
        <v>0</v>
      </c>
      <c r="OZF1590" s="55">
        <f t="shared" si="206"/>
        <v>0</v>
      </c>
      <c r="OZG1590" s="55">
        <f t="shared" si="206"/>
        <v>0</v>
      </c>
      <c r="OZH1590" s="55">
        <f t="shared" si="206"/>
        <v>0</v>
      </c>
      <c r="OZI1590" s="55">
        <f t="shared" si="206"/>
        <v>0</v>
      </c>
      <c r="OZJ1590" s="55">
        <f t="shared" si="206"/>
        <v>0</v>
      </c>
      <c r="OZK1590" s="55">
        <f t="shared" si="206"/>
        <v>0</v>
      </c>
      <c r="OZL1590" s="55">
        <f t="shared" ref="OZL1590:PBW1590" si="207">+(OZL1600+OZL1604)*1.18*1.1</f>
        <v>0</v>
      </c>
      <c r="OZM1590" s="55">
        <f t="shared" si="207"/>
        <v>0</v>
      </c>
      <c r="OZN1590" s="55">
        <f t="shared" si="207"/>
        <v>0</v>
      </c>
      <c r="OZO1590" s="55">
        <f t="shared" si="207"/>
        <v>0</v>
      </c>
      <c r="OZP1590" s="55">
        <f t="shared" si="207"/>
        <v>0</v>
      </c>
      <c r="OZQ1590" s="55">
        <f t="shared" si="207"/>
        <v>0</v>
      </c>
      <c r="OZR1590" s="55">
        <f t="shared" si="207"/>
        <v>0</v>
      </c>
      <c r="OZS1590" s="55">
        <f t="shared" si="207"/>
        <v>0</v>
      </c>
      <c r="OZT1590" s="55">
        <f t="shared" si="207"/>
        <v>0</v>
      </c>
      <c r="OZU1590" s="55">
        <f t="shared" si="207"/>
        <v>0</v>
      </c>
      <c r="OZV1590" s="55">
        <f t="shared" si="207"/>
        <v>0</v>
      </c>
      <c r="OZW1590" s="55">
        <f t="shared" si="207"/>
        <v>0</v>
      </c>
      <c r="OZX1590" s="55">
        <f t="shared" si="207"/>
        <v>0</v>
      </c>
      <c r="OZY1590" s="55">
        <f t="shared" si="207"/>
        <v>0</v>
      </c>
      <c r="OZZ1590" s="55">
        <f t="shared" si="207"/>
        <v>0</v>
      </c>
      <c r="PAA1590" s="55">
        <f t="shared" si="207"/>
        <v>0</v>
      </c>
      <c r="PAB1590" s="55">
        <f t="shared" si="207"/>
        <v>0</v>
      </c>
      <c r="PAC1590" s="55">
        <f t="shared" si="207"/>
        <v>0</v>
      </c>
      <c r="PAD1590" s="55">
        <f t="shared" si="207"/>
        <v>0</v>
      </c>
      <c r="PAE1590" s="55">
        <f t="shared" si="207"/>
        <v>0</v>
      </c>
      <c r="PAF1590" s="55">
        <f t="shared" si="207"/>
        <v>0</v>
      </c>
      <c r="PAG1590" s="55">
        <f t="shared" si="207"/>
        <v>0</v>
      </c>
      <c r="PAH1590" s="55">
        <f t="shared" si="207"/>
        <v>0</v>
      </c>
      <c r="PAI1590" s="55">
        <f t="shared" si="207"/>
        <v>0</v>
      </c>
      <c r="PAJ1590" s="55">
        <f t="shared" si="207"/>
        <v>0</v>
      </c>
      <c r="PAK1590" s="55">
        <f t="shared" si="207"/>
        <v>0</v>
      </c>
      <c r="PAL1590" s="55">
        <f t="shared" si="207"/>
        <v>0</v>
      </c>
      <c r="PAM1590" s="55">
        <f t="shared" si="207"/>
        <v>0</v>
      </c>
      <c r="PAN1590" s="55">
        <f t="shared" si="207"/>
        <v>0</v>
      </c>
      <c r="PAO1590" s="55">
        <f t="shared" si="207"/>
        <v>0</v>
      </c>
      <c r="PAP1590" s="55">
        <f t="shared" si="207"/>
        <v>0</v>
      </c>
      <c r="PAQ1590" s="55">
        <f t="shared" si="207"/>
        <v>0</v>
      </c>
      <c r="PAR1590" s="55">
        <f t="shared" si="207"/>
        <v>0</v>
      </c>
      <c r="PAS1590" s="55">
        <f t="shared" si="207"/>
        <v>0</v>
      </c>
      <c r="PAT1590" s="55">
        <f t="shared" si="207"/>
        <v>0</v>
      </c>
      <c r="PAU1590" s="55">
        <f t="shared" si="207"/>
        <v>0</v>
      </c>
      <c r="PAV1590" s="55">
        <f t="shared" si="207"/>
        <v>0</v>
      </c>
      <c r="PAW1590" s="55">
        <f t="shared" si="207"/>
        <v>0</v>
      </c>
      <c r="PAX1590" s="55">
        <f t="shared" si="207"/>
        <v>0</v>
      </c>
      <c r="PAY1590" s="55">
        <f t="shared" si="207"/>
        <v>0</v>
      </c>
      <c r="PAZ1590" s="55">
        <f t="shared" si="207"/>
        <v>0</v>
      </c>
      <c r="PBA1590" s="55">
        <f t="shared" si="207"/>
        <v>0</v>
      </c>
      <c r="PBB1590" s="55">
        <f t="shared" si="207"/>
        <v>0</v>
      </c>
      <c r="PBC1590" s="55">
        <f t="shared" si="207"/>
        <v>0</v>
      </c>
      <c r="PBD1590" s="55">
        <f t="shared" si="207"/>
        <v>0</v>
      </c>
      <c r="PBE1590" s="55">
        <f t="shared" si="207"/>
        <v>0</v>
      </c>
      <c r="PBF1590" s="55">
        <f t="shared" si="207"/>
        <v>0</v>
      </c>
      <c r="PBG1590" s="55">
        <f t="shared" si="207"/>
        <v>0</v>
      </c>
      <c r="PBH1590" s="55">
        <f t="shared" si="207"/>
        <v>0</v>
      </c>
      <c r="PBI1590" s="55">
        <f t="shared" si="207"/>
        <v>0</v>
      </c>
      <c r="PBJ1590" s="55">
        <f t="shared" si="207"/>
        <v>0</v>
      </c>
      <c r="PBK1590" s="55">
        <f t="shared" si="207"/>
        <v>0</v>
      </c>
      <c r="PBL1590" s="55">
        <f t="shared" si="207"/>
        <v>0</v>
      </c>
      <c r="PBM1590" s="55">
        <f t="shared" si="207"/>
        <v>0</v>
      </c>
      <c r="PBN1590" s="55">
        <f t="shared" si="207"/>
        <v>0</v>
      </c>
      <c r="PBO1590" s="55">
        <f t="shared" si="207"/>
        <v>0</v>
      </c>
      <c r="PBP1590" s="55">
        <f t="shared" si="207"/>
        <v>0</v>
      </c>
      <c r="PBQ1590" s="55">
        <f t="shared" si="207"/>
        <v>0</v>
      </c>
      <c r="PBR1590" s="55">
        <f t="shared" si="207"/>
        <v>0</v>
      </c>
      <c r="PBS1590" s="55">
        <f t="shared" si="207"/>
        <v>0</v>
      </c>
      <c r="PBT1590" s="55">
        <f t="shared" si="207"/>
        <v>0</v>
      </c>
      <c r="PBU1590" s="55">
        <f t="shared" si="207"/>
        <v>0</v>
      </c>
      <c r="PBV1590" s="55">
        <f t="shared" si="207"/>
        <v>0</v>
      </c>
      <c r="PBW1590" s="55">
        <f t="shared" si="207"/>
        <v>0</v>
      </c>
      <c r="PBX1590" s="55">
        <f t="shared" ref="PBX1590:PEI1590" si="208">+(PBX1600+PBX1604)*1.18*1.1</f>
        <v>0</v>
      </c>
      <c r="PBY1590" s="55">
        <f t="shared" si="208"/>
        <v>0</v>
      </c>
      <c r="PBZ1590" s="55">
        <f t="shared" si="208"/>
        <v>0</v>
      </c>
      <c r="PCA1590" s="55">
        <f t="shared" si="208"/>
        <v>0</v>
      </c>
      <c r="PCB1590" s="55">
        <f t="shared" si="208"/>
        <v>0</v>
      </c>
      <c r="PCC1590" s="55">
        <f t="shared" si="208"/>
        <v>0</v>
      </c>
      <c r="PCD1590" s="55">
        <f t="shared" si="208"/>
        <v>0</v>
      </c>
      <c r="PCE1590" s="55">
        <f t="shared" si="208"/>
        <v>0</v>
      </c>
      <c r="PCF1590" s="55">
        <f t="shared" si="208"/>
        <v>0</v>
      </c>
      <c r="PCG1590" s="55">
        <f t="shared" si="208"/>
        <v>0</v>
      </c>
      <c r="PCH1590" s="55">
        <f t="shared" si="208"/>
        <v>0</v>
      </c>
      <c r="PCI1590" s="55">
        <f t="shared" si="208"/>
        <v>0</v>
      </c>
      <c r="PCJ1590" s="55">
        <f t="shared" si="208"/>
        <v>0</v>
      </c>
      <c r="PCK1590" s="55">
        <f t="shared" si="208"/>
        <v>0</v>
      </c>
      <c r="PCL1590" s="55">
        <f t="shared" si="208"/>
        <v>0</v>
      </c>
      <c r="PCM1590" s="55">
        <f t="shared" si="208"/>
        <v>0</v>
      </c>
      <c r="PCN1590" s="55">
        <f t="shared" si="208"/>
        <v>0</v>
      </c>
      <c r="PCO1590" s="55">
        <f t="shared" si="208"/>
        <v>0</v>
      </c>
      <c r="PCP1590" s="55">
        <f t="shared" si="208"/>
        <v>0</v>
      </c>
      <c r="PCQ1590" s="55">
        <f t="shared" si="208"/>
        <v>0</v>
      </c>
      <c r="PCR1590" s="55">
        <f t="shared" si="208"/>
        <v>0</v>
      </c>
      <c r="PCS1590" s="55">
        <f t="shared" si="208"/>
        <v>0</v>
      </c>
      <c r="PCT1590" s="55">
        <f t="shared" si="208"/>
        <v>0</v>
      </c>
      <c r="PCU1590" s="55">
        <f t="shared" si="208"/>
        <v>0</v>
      </c>
      <c r="PCV1590" s="55">
        <f t="shared" si="208"/>
        <v>0</v>
      </c>
      <c r="PCW1590" s="55">
        <f t="shared" si="208"/>
        <v>0</v>
      </c>
      <c r="PCX1590" s="55">
        <f t="shared" si="208"/>
        <v>0</v>
      </c>
      <c r="PCY1590" s="55">
        <f t="shared" si="208"/>
        <v>0</v>
      </c>
      <c r="PCZ1590" s="55">
        <f t="shared" si="208"/>
        <v>0</v>
      </c>
      <c r="PDA1590" s="55">
        <f t="shared" si="208"/>
        <v>0</v>
      </c>
      <c r="PDB1590" s="55">
        <f t="shared" si="208"/>
        <v>0</v>
      </c>
      <c r="PDC1590" s="55">
        <f t="shared" si="208"/>
        <v>0</v>
      </c>
      <c r="PDD1590" s="55">
        <f t="shared" si="208"/>
        <v>0</v>
      </c>
      <c r="PDE1590" s="55">
        <f t="shared" si="208"/>
        <v>0</v>
      </c>
      <c r="PDF1590" s="55">
        <f t="shared" si="208"/>
        <v>0</v>
      </c>
      <c r="PDG1590" s="55">
        <f t="shared" si="208"/>
        <v>0</v>
      </c>
      <c r="PDH1590" s="55">
        <f t="shared" si="208"/>
        <v>0</v>
      </c>
      <c r="PDI1590" s="55">
        <f t="shared" si="208"/>
        <v>0</v>
      </c>
      <c r="PDJ1590" s="55">
        <f t="shared" si="208"/>
        <v>0</v>
      </c>
      <c r="PDK1590" s="55">
        <f t="shared" si="208"/>
        <v>0</v>
      </c>
      <c r="PDL1590" s="55">
        <f t="shared" si="208"/>
        <v>0</v>
      </c>
      <c r="PDM1590" s="55">
        <f t="shared" si="208"/>
        <v>0</v>
      </c>
      <c r="PDN1590" s="55">
        <f t="shared" si="208"/>
        <v>0</v>
      </c>
      <c r="PDO1590" s="55">
        <f t="shared" si="208"/>
        <v>0</v>
      </c>
      <c r="PDP1590" s="55">
        <f t="shared" si="208"/>
        <v>0</v>
      </c>
      <c r="PDQ1590" s="55">
        <f t="shared" si="208"/>
        <v>0</v>
      </c>
      <c r="PDR1590" s="55">
        <f t="shared" si="208"/>
        <v>0</v>
      </c>
      <c r="PDS1590" s="55">
        <f t="shared" si="208"/>
        <v>0</v>
      </c>
      <c r="PDT1590" s="55">
        <f t="shared" si="208"/>
        <v>0</v>
      </c>
      <c r="PDU1590" s="55">
        <f t="shared" si="208"/>
        <v>0</v>
      </c>
      <c r="PDV1590" s="55">
        <f t="shared" si="208"/>
        <v>0</v>
      </c>
      <c r="PDW1590" s="55">
        <f t="shared" si="208"/>
        <v>0</v>
      </c>
      <c r="PDX1590" s="55">
        <f t="shared" si="208"/>
        <v>0</v>
      </c>
      <c r="PDY1590" s="55">
        <f t="shared" si="208"/>
        <v>0</v>
      </c>
      <c r="PDZ1590" s="55">
        <f t="shared" si="208"/>
        <v>0</v>
      </c>
      <c r="PEA1590" s="55">
        <f t="shared" si="208"/>
        <v>0</v>
      </c>
      <c r="PEB1590" s="55">
        <f t="shared" si="208"/>
        <v>0</v>
      </c>
      <c r="PEC1590" s="55">
        <f t="shared" si="208"/>
        <v>0</v>
      </c>
      <c r="PED1590" s="55">
        <f t="shared" si="208"/>
        <v>0</v>
      </c>
      <c r="PEE1590" s="55">
        <f t="shared" si="208"/>
        <v>0</v>
      </c>
      <c r="PEF1590" s="55">
        <f t="shared" si="208"/>
        <v>0</v>
      </c>
      <c r="PEG1590" s="55">
        <f t="shared" si="208"/>
        <v>0</v>
      </c>
      <c r="PEH1590" s="55">
        <f t="shared" si="208"/>
        <v>0</v>
      </c>
      <c r="PEI1590" s="55">
        <f t="shared" si="208"/>
        <v>0</v>
      </c>
      <c r="PEJ1590" s="55">
        <f t="shared" ref="PEJ1590:PGU1590" si="209">+(PEJ1600+PEJ1604)*1.18*1.1</f>
        <v>0</v>
      </c>
      <c r="PEK1590" s="55">
        <f t="shared" si="209"/>
        <v>0</v>
      </c>
      <c r="PEL1590" s="55">
        <f t="shared" si="209"/>
        <v>0</v>
      </c>
      <c r="PEM1590" s="55">
        <f t="shared" si="209"/>
        <v>0</v>
      </c>
      <c r="PEN1590" s="55">
        <f t="shared" si="209"/>
        <v>0</v>
      </c>
      <c r="PEO1590" s="55">
        <f t="shared" si="209"/>
        <v>0</v>
      </c>
      <c r="PEP1590" s="55">
        <f t="shared" si="209"/>
        <v>0</v>
      </c>
      <c r="PEQ1590" s="55">
        <f t="shared" si="209"/>
        <v>0</v>
      </c>
      <c r="PER1590" s="55">
        <f t="shared" si="209"/>
        <v>0</v>
      </c>
      <c r="PES1590" s="55">
        <f t="shared" si="209"/>
        <v>0</v>
      </c>
      <c r="PET1590" s="55">
        <f t="shared" si="209"/>
        <v>0</v>
      </c>
      <c r="PEU1590" s="55">
        <f t="shared" si="209"/>
        <v>0</v>
      </c>
      <c r="PEV1590" s="55">
        <f t="shared" si="209"/>
        <v>0</v>
      </c>
      <c r="PEW1590" s="55">
        <f t="shared" si="209"/>
        <v>0</v>
      </c>
      <c r="PEX1590" s="55">
        <f t="shared" si="209"/>
        <v>0</v>
      </c>
      <c r="PEY1590" s="55">
        <f t="shared" si="209"/>
        <v>0</v>
      </c>
      <c r="PEZ1590" s="55">
        <f t="shared" si="209"/>
        <v>0</v>
      </c>
      <c r="PFA1590" s="55">
        <f t="shared" si="209"/>
        <v>0</v>
      </c>
      <c r="PFB1590" s="55">
        <f t="shared" si="209"/>
        <v>0</v>
      </c>
      <c r="PFC1590" s="55">
        <f t="shared" si="209"/>
        <v>0</v>
      </c>
      <c r="PFD1590" s="55">
        <f t="shared" si="209"/>
        <v>0</v>
      </c>
      <c r="PFE1590" s="55">
        <f t="shared" si="209"/>
        <v>0</v>
      </c>
      <c r="PFF1590" s="55">
        <f t="shared" si="209"/>
        <v>0</v>
      </c>
      <c r="PFG1590" s="55">
        <f t="shared" si="209"/>
        <v>0</v>
      </c>
      <c r="PFH1590" s="55">
        <f t="shared" si="209"/>
        <v>0</v>
      </c>
      <c r="PFI1590" s="55">
        <f t="shared" si="209"/>
        <v>0</v>
      </c>
      <c r="PFJ1590" s="55">
        <f t="shared" si="209"/>
        <v>0</v>
      </c>
      <c r="PFK1590" s="55">
        <f t="shared" si="209"/>
        <v>0</v>
      </c>
      <c r="PFL1590" s="55">
        <f t="shared" si="209"/>
        <v>0</v>
      </c>
      <c r="PFM1590" s="55">
        <f t="shared" si="209"/>
        <v>0</v>
      </c>
      <c r="PFN1590" s="55">
        <f t="shared" si="209"/>
        <v>0</v>
      </c>
      <c r="PFO1590" s="55">
        <f t="shared" si="209"/>
        <v>0</v>
      </c>
      <c r="PFP1590" s="55">
        <f t="shared" si="209"/>
        <v>0</v>
      </c>
      <c r="PFQ1590" s="55">
        <f t="shared" si="209"/>
        <v>0</v>
      </c>
      <c r="PFR1590" s="55">
        <f t="shared" si="209"/>
        <v>0</v>
      </c>
      <c r="PFS1590" s="55">
        <f t="shared" si="209"/>
        <v>0</v>
      </c>
      <c r="PFT1590" s="55">
        <f t="shared" si="209"/>
        <v>0</v>
      </c>
      <c r="PFU1590" s="55">
        <f t="shared" si="209"/>
        <v>0</v>
      </c>
      <c r="PFV1590" s="55">
        <f t="shared" si="209"/>
        <v>0</v>
      </c>
      <c r="PFW1590" s="55">
        <f t="shared" si="209"/>
        <v>0</v>
      </c>
      <c r="PFX1590" s="55">
        <f t="shared" si="209"/>
        <v>0</v>
      </c>
      <c r="PFY1590" s="55">
        <f t="shared" si="209"/>
        <v>0</v>
      </c>
      <c r="PFZ1590" s="55">
        <f t="shared" si="209"/>
        <v>0</v>
      </c>
      <c r="PGA1590" s="55">
        <f t="shared" si="209"/>
        <v>0</v>
      </c>
      <c r="PGB1590" s="55">
        <f t="shared" si="209"/>
        <v>0</v>
      </c>
      <c r="PGC1590" s="55">
        <f t="shared" si="209"/>
        <v>0</v>
      </c>
      <c r="PGD1590" s="55">
        <f t="shared" si="209"/>
        <v>0</v>
      </c>
      <c r="PGE1590" s="55">
        <f t="shared" si="209"/>
        <v>0</v>
      </c>
      <c r="PGF1590" s="55">
        <f t="shared" si="209"/>
        <v>0</v>
      </c>
      <c r="PGG1590" s="55">
        <f t="shared" si="209"/>
        <v>0</v>
      </c>
      <c r="PGH1590" s="55">
        <f t="shared" si="209"/>
        <v>0</v>
      </c>
      <c r="PGI1590" s="55">
        <f t="shared" si="209"/>
        <v>0</v>
      </c>
      <c r="PGJ1590" s="55">
        <f t="shared" si="209"/>
        <v>0</v>
      </c>
      <c r="PGK1590" s="55">
        <f t="shared" si="209"/>
        <v>0</v>
      </c>
      <c r="PGL1590" s="55">
        <f t="shared" si="209"/>
        <v>0</v>
      </c>
      <c r="PGM1590" s="55">
        <f t="shared" si="209"/>
        <v>0</v>
      </c>
      <c r="PGN1590" s="55">
        <f t="shared" si="209"/>
        <v>0</v>
      </c>
      <c r="PGO1590" s="55">
        <f t="shared" si="209"/>
        <v>0</v>
      </c>
      <c r="PGP1590" s="55">
        <f t="shared" si="209"/>
        <v>0</v>
      </c>
      <c r="PGQ1590" s="55">
        <f t="shared" si="209"/>
        <v>0</v>
      </c>
      <c r="PGR1590" s="55">
        <f t="shared" si="209"/>
        <v>0</v>
      </c>
      <c r="PGS1590" s="55">
        <f t="shared" si="209"/>
        <v>0</v>
      </c>
      <c r="PGT1590" s="55">
        <f t="shared" si="209"/>
        <v>0</v>
      </c>
      <c r="PGU1590" s="55">
        <f t="shared" si="209"/>
        <v>0</v>
      </c>
      <c r="PGV1590" s="55">
        <f t="shared" ref="PGV1590:PJG1590" si="210">+(PGV1600+PGV1604)*1.18*1.1</f>
        <v>0</v>
      </c>
      <c r="PGW1590" s="55">
        <f t="shared" si="210"/>
        <v>0</v>
      </c>
      <c r="PGX1590" s="55">
        <f t="shared" si="210"/>
        <v>0</v>
      </c>
      <c r="PGY1590" s="55">
        <f t="shared" si="210"/>
        <v>0</v>
      </c>
      <c r="PGZ1590" s="55">
        <f t="shared" si="210"/>
        <v>0</v>
      </c>
      <c r="PHA1590" s="55">
        <f t="shared" si="210"/>
        <v>0</v>
      </c>
      <c r="PHB1590" s="55">
        <f t="shared" si="210"/>
        <v>0</v>
      </c>
      <c r="PHC1590" s="55">
        <f t="shared" si="210"/>
        <v>0</v>
      </c>
      <c r="PHD1590" s="55">
        <f t="shared" si="210"/>
        <v>0</v>
      </c>
      <c r="PHE1590" s="55">
        <f t="shared" si="210"/>
        <v>0</v>
      </c>
      <c r="PHF1590" s="55">
        <f t="shared" si="210"/>
        <v>0</v>
      </c>
      <c r="PHG1590" s="55">
        <f t="shared" si="210"/>
        <v>0</v>
      </c>
      <c r="PHH1590" s="55">
        <f t="shared" si="210"/>
        <v>0</v>
      </c>
      <c r="PHI1590" s="55">
        <f t="shared" si="210"/>
        <v>0</v>
      </c>
      <c r="PHJ1590" s="55">
        <f t="shared" si="210"/>
        <v>0</v>
      </c>
      <c r="PHK1590" s="55">
        <f t="shared" si="210"/>
        <v>0</v>
      </c>
      <c r="PHL1590" s="55">
        <f t="shared" si="210"/>
        <v>0</v>
      </c>
      <c r="PHM1590" s="55">
        <f t="shared" si="210"/>
        <v>0</v>
      </c>
      <c r="PHN1590" s="55">
        <f t="shared" si="210"/>
        <v>0</v>
      </c>
      <c r="PHO1590" s="55">
        <f t="shared" si="210"/>
        <v>0</v>
      </c>
      <c r="PHP1590" s="55">
        <f t="shared" si="210"/>
        <v>0</v>
      </c>
      <c r="PHQ1590" s="55">
        <f t="shared" si="210"/>
        <v>0</v>
      </c>
      <c r="PHR1590" s="55">
        <f t="shared" si="210"/>
        <v>0</v>
      </c>
      <c r="PHS1590" s="55">
        <f t="shared" si="210"/>
        <v>0</v>
      </c>
      <c r="PHT1590" s="55">
        <f t="shared" si="210"/>
        <v>0</v>
      </c>
      <c r="PHU1590" s="55">
        <f t="shared" si="210"/>
        <v>0</v>
      </c>
      <c r="PHV1590" s="55">
        <f t="shared" si="210"/>
        <v>0</v>
      </c>
      <c r="PHW1590" s="55">
        <f t="shared" si="210"/>
        <v>0</v>
      </c>
      <c r="PHX1590" s="55">
        <f t="shared" si="210"/>
        <v>0</v>
      </c>
      <c r="PHY1590" s="55">
        <f t="shared" si="210"/>
        <v>0</v>
      </c>
      <c r="PHZ1590" s="55">
        <f t="shared" si="210"/>
        <v>0</v>
      </c>
      <c r="PIA1590" s="55">
        <f t="shared" si="210"/>
        <v>0</v>
      </c>
      <c r="PIB1590" s="55">
        <f t="shared" si="210"/>
        <v>0</v>
      </c>
      <c r="PIC1590" s="55">
        <f t="shared" si="210"/>
        <v>0</v>
      </c>
      <c r="PID1590" s="55">
        <f t="shared" si="210"/>
        <v>0</v>
      </c>
      <c r="PIE1590" s="55">
        <f t="shared" si="210"/>
        <v>0</v>
      </c>
      <c r="PIF1590" s="55">
        <f t="shared" si="210"/>
        <v>0</v>
      </c>
      <c r="PIG1590" s="55">
        <f t="shared" si="210"/>
        <v>0</v>
      </c>
      <c r="PIH1590" s="55">
        <f t="shared" si="210"/>
        <v>0</v>
      </c>
      <c r="PII1590" s="55">
        <f t="shared" si="210"/>
        <v>0</v>
      </c>
      <c r="PIJ1590" s="55">
        <f t="shared" si="210"/>
        <v>0</v>
      </c>
      <c r="PIK1590" s="55">
        <f t="shared" si="210"/>
        <v>0</v>
      </c>
      <c r="PIL1590" s="55">
        <f t="shared" si="210"/>
        <v>0</v>
      </c>
      <c r="PIM1590" s="55">
        <f t="shared" si="210"/>
        <v>0</v>
      </c>
      <c r="PIN1590" s="55">
        <f t="shared" si="210"/>
        <v>0</v>
      </c>
      <c r="PIO1590" s="55">
        <f t="shared" si="210"/>
        <v>0</v>
      </c>
      <c r="PIP1590" s="55">
        <f t="shared" si="210"/>
        <v>0</v>
      </c>
      <c r="PIQ1590" s="55">
        <f t="shared" si="210"/>
        <v>0</v>
      </c>
      <c r="PIR1590" s="55">
        <f t="shared" si="210"/>
        <v>0</v>
      </c>
      <c r="PIS1590" s="55">
        <f t="shared" si="210"/>
        <v>0</v>
      </c>
      <c r="PIT1590" s="55">
        <f t="shared" si="210"/>
        <v>0</v>
      </c>
      <c r="PIU1590" s="55">
        <f t="shared" si="210"/>
        <v>0</v>
      </c>
      <c r="PIV1590" s="55">
        <f t="shared" si="210"/>
        <v>0</v>
      </c>
      <c r="PIW1590" s="55">
        <f t="shared" si="210"/>
        <v>0</v>
      </c>
      <c r="PIX1590" s="55">
        <f t="shared" si="210"/>
        <v>0</v>
      </c>
      <c r="PIY1590" s="55">
        <f t="shared" si="210"/>
        <v>0</v>
      </c>
      <c r="PIZ1590" s="55">
        <f t="shared" si="210"/>
        <v>0</v>
      </c>
      <c r="PJA1590" s="55">
        <f t="shared" si="210"/>
        <v>0</v>
      </c>
      <c r="PJB1590" s="55">
        <f t="shared" si="210"/>
        <v>0</v>
      </c>
      <c r="PJC1590" s="55">
        <f t="shared" si="210"/>
        <v>0</v>
      </c>
      <c r="PJD1590" s="55">
        <f t="shared" si="210"/>
        <v>0</v>
      </c>
      <c r="PJE1590" s="55">
        <f t="shared" si="210"/>
        <v>0</v>
      </c>
      <c r="PJF1590" s="55">
        <f t="shared" si="210"/>
        <v>0</v>
      </c>
      <c r="PJG1590" s="55">
        <f t="shared" si="210"/>
        <v>0</v>
      </c>
      <c r="PJH1590" s="55">
        <f t="shared" ref="PJH1590:PLS1590" si="211">+(PJH1600+PJH1604)*1.18*1.1</f>
        <v>0</v>
      </c>
      <c r="PJI1590" s="55">
        <f t="shared" si="211"/>
        <v>0</v>
      </c>
      <c r="PJJ1590" s="55">
        <f t="shared" si="211"/>
        <v>0</v>
      </c>
      <c r="PJK1590" s="55">
        <f t="shared" si="211"/>
        <v>0</v>
      </c>
      <c r="PJL1590" s="55">
        <f t="shared" si="211"/>
        <v>0</v>
      </c>
      <c r="PJM1590" s="55">
        <f t="shared" si="211"/>
        <v>0</v>
      </c>
      <c r="PJN1590" s="55">
        <f t="shared" si="211"/>
        <v>0</v>
      </c>
      <c r="PJO1590" s="55">
        <f t="shared" si="211"/>
        <v>0</v>
      </c>
      <c r="PJP1590" s="55">
        <f t="shared" si="211"/>
        <v>0</v>
      </c>
      <c r="PJQ1590" s="55">
        <f t="shared" si="211"/>
        <v>0</v>
      </c>
      <c r="PJR1590" s="55">
        <f t="shared" si="211"/>
        <v>0</v>
      </c>
      <c r="PJS1590" s="55">
        <f t="shared" si="211"/>
        <v>0</v>
      </c>
      <c r="PJT1590" s="55">
        <f t="shared" si="211"/>
        <v>0</v>
      </c>
      <c r="PJU1590" s="55">
        <f t="shared" si="211"/>
        <v>0</v>
      </c>
      <c r="PJV1590" s="55">
        <f t="shared" si="211"/>
        <v>0</v>
      </c>
      <c r="PJW1590" s="55">
        <f t="shared" si="211"/>
        <v>0</v>
      </c>
      <c r="PJX1590" s="55">
        <f t="shared" si="211"/>
        <v>0</v>
      </c>
      <c r="PJY1590" s="55">
        <f t="shared" si="211"/>
        <v>0</v>
      </c>
      <c r="PJZ1590" s="55">
        <f t="shared" si="211"/>
        <v>0</v>
      </c>
      <c r="PKA1590" s="55">
        <f t="shared" si="211"/>
        <v>0</v>
      </c>
      <c r="PKB1590" s="55">
        <f t="shared" si="211"/>
        <v>0</v>
      </c>
      <c r="PKC1590" s="55">
        <f t="shared" si="211"/>
        <v>0</v>
      </c>
      <c r="PKD1590" s="55">
        <f t="shared" si="211"/>
        <v>0</v>
      </c>
      <c r="PKE1590" s="55">
        <f t="shared" si="211"/>
        <v>0</v>
      </c>
      <c r="PKF1590" s="55">
        <f t="shared" si="211"/>
        <v>0</v>
      </c>
      <c r="PKG1590" s="55">
        <f t="shared" si="211"/>
        <v>0</v>
      </c>
      <c r="PKH1590" s="55">
        <f t="shared" si="211"/>
        <v>0</v>
      </c>
      <c r="PKI1590" s="55">
        <f t="shared" si="211"/>
        <v>0</v>
      </c>
      <c r="PKJ1590" s="55">
        <f t="shared" si="211"/>
        <v>0</v>
      </c>
      <c r="PKK1590" s="55">
        <f t="shared" si="211"/>
        <v>0</v>
      </c>
      <c r="PKL1590" s="55">
        <f t="shared" si="211"/>
        <v>0</v>
      </c>
      <c r="PKM1590" s="55">
        <f t="shared" si="211"/>
        <v>0</v>
      </c>
      <c r="PKN1590" s="55">
        <f t="shared" si="211"/>
        <v>0</v>
      </c>
      <c r="PKO1590" s="55">
        <f t="shared" si="211"/>
        <v>0</v>
      </c>
      <c r="PKP1590" s="55">
        <f t="shared" si="211"/>
        <v>0</v>
      </c>
      <c r="PKQ1590" s="55">
        <f t="shared" si="211"/>
        <v>0</v>
      </c>
      <c r="PKR1590" s="55">
        <f t="shared" si="211"/>
        <v>0</v>
      </c>
      <c r="PKS1590" s="55">
        <f t="shared" si="211"/>
        <v>0</v>
      </c>
      <c r="PKT1590" s="55">
        <f t="shared" si="211"/>
        <v>0</v>
      </c>
      <c r="PKU1590" s="55">
        <f t="shared" si="211"/>
        <v>0</v>
      </c>
      <c r="PKV1590" s="55">
        <f t="shared" si="211"/>
        <v>0</v>
      </c>
      <c r="PKW1590" s="55">
        <f t="shared" si="211"/>
        <v>0</v>
      </c>
      <c r="PKX1590" s="55">
        <f t="shared" si="211"/>
        <v>0</v>
      </c>
      <c r="PKY1590" s="55">
        <f t="shared" si="211"/>
        <v>0</v>
      </c>
      <c r="PKZ1590" s="55">
        <f t="shared" si="211"/>
        <v>0</v>
      </c>
      <c r="PLA1590" s="55">
        <f t="shared" si="211"/>
        <v>0</v>
      </c>
      <c r="PLB1590" s="55">
        <f t="shared" si="211"/>
        <v>0</v>
      </c>
      <c r="PLC1590" s="55">
        <f t="shared" si="211"/>
        <v>0</v>
      </c>
      <c r="PLD1590" s="55">
        <f t="shared" si="211"/>
        <v>0</v>
      </c>
      <c r="PLE1590" s="55">
        <f t="shared" si="211"/>
        <v>0</v>
      </c>
      <c r="PLF1590" s="55">
        <f t="shared" si="211"/>
        <v>0</v>
      </c>
      <c r="PLG1590" s="55">
        <f t="shared" si="211"/>
        <v>0</v>
      </c>
      <c r="PLH1590" s="55">
        <f t="shared" si="211"/>
        <v>0</v>
      </c>
      <c r="PLI1590" s="55">
        <f t="shared" si="211"/>
        <v>0</v>
      </c>
      <c r="PLJ1590" s="55">
        <f t="shared" si="211"/>
        <v>0</v>
      </c>
      <c r="PLK1590" s="55">
        <f t="shared" si="211"/>
        <v>0</v>
      </c>
      <c r="PLL1590" s="55">
        <f t="shared" si="211"/>
        <v>0</v>
      </c>
      <c r="PLM1590" s="55">
        <f t="shared" si="211"/>
        <v>0</v>
      </c>
      <c r="PLN1590" s="55">
        <f t="shared" si="211"/>
        <v>0</v>
      </c>
      <c r="PLO1590" s="55">
        <f t="shared" si="211"/>
        <v>0</v>
      </c>
      <c r="PLP1590" s="55">
        <f t="shared" si="211"/>
        <v>0</v>
      </c>
      <c r="PLQ1590" s="55">
        <f t="shared" si="211"/>
        <v>0</v>
      </c>
      <c r="PLR1590" s="55">
        <f t="shared" si="211"/>
        <v>0</v>
      </c>
      <c r="PLS1590" s="55">
        <f t="shared" si="211"/>
        <v>0</v>
      </c>
      <c r="PLT1590" s="55">
        <f t="shared" ref="PLT1590:POE1590" si="212">+(PLT1600+PLT1604)*1.18*1.1</f>
        <v>0</v>
      </c>
      <c r="PLU1590" s="55">
        <f t="shared" si="212"/>
        <v>0</v>
      </c>
      <c r="PLV1590" s="55">
        <f t="shared" si="212"/>
        <v>0</v>
      </c>
      <c r="PLW1590" s="55">
        <f t="shared" si="212"/>
        <v>0</v>
      </c>
      <c r="PLX1590" s="55">
        <f t="shared" si="212"/>
        <v>0</v>
      </c>
      <c r="PLY1590" s="55">
        <f t="shared" si="212"/>
        <v>0</v>
      </c>
      <c r="PLZ1590" s="55">
        <f t="shared" si="212"/>
        <v>0</v>
      </c>
      <c r="PMA1590" s="55">
        <f t="shared" si="212"/>
        <v>0</v>
      </c>
      <c r="PMB1590" s="55">
        <f t="shared" si="212"/>
        <v>0</v>
      </c>
      <c r="PMC1590" s="55">
        <f t="shared" si="212"/>
        <v>0</v>
      </c>
      <c r="PMD1590" s="55">
        <f t="shared" si="212"/>
        <v>0</v>
      </c>
      <c r="PME1590" s="55">
        <f t="shared" si="212"/>
        <v>0</v>
      </c>
      <c r="PMF1590" s="55">
        <f t="shared" si="212"/>
        <v>0</v>
      </c>
      <c r="PMG1590" s="55">
        <f t="shared" si="212"/>
        <v>0</v>
      </c>
      <c r="PMH1590" s="55">
        <f t="shared" si="212"/>
        <v>0</v>
      </c>
      <c r="PMI1590" s="55">
        <f t="shared" si="212"/>
        <v>0</v>
      </c>
      <c r="PMJ1590" s="55">
        <f t="shared" si="212"/>
        <v>0</v>
      </c>
      <c r="PMK1590" s="55">
        <f t="shared" si="212"/>
        <v>0</v>
      </c>
      <c r="PML1590" s="55">
        <f t="shared" si="212"/>
        <v>0</v>
      </c>
      <c r="PMM1590" s="55">
        <f t="shared" si="212"/>
        <v>0</v>
      </c>
      <c r="PMN1590" s="55">
        <f t="shared" si="212"/>
        <v>0</v>
      </c>
      <c r="PMO1590" s="55">
        <f t="shared" si="212"/>
        <v>0</v>
      </c>
      <c r="PMP1590" s="55">
        <f t="shared" si="212"/>
        <v>0</v>
      </c>
      <c r="PMQ1590" s="55">
        <f t="shared" si="212"/>
        <v>0</v>
      </c>
      <c r="PMR1590" s="55">
        <f t="shared" si="212"/>
        <v>0</v>
      </c>
      <c r="PMS1590" s="55">
        <f t="shared" si="212"/>
        <v>0</v>
      </c>
      <c r="PMT1590" s="55">
        <f t="shared" si="212"/>
        <v>0</v>
      </c>
      <c r="PMU1590" s="55">
        <f t="shared" si="212"/>
        <v>0</v>
      </c>
      <c r="PMV1590" s="55">
        <f t="shared" si="212"/>
        <v>0</v>
      </c>
      <c r="PMW1590" s="55">
        <f t="shared" si="212"/>
        <v>0</v>
      </c>
      <c r="PMX1590" s="55">
        <f t="shared" si="212"/>
        <v>0</v>
      </c>
      <c r="PMY1590" s="55">
        <f t="shared" si="212"/>
        <v>0</v>
      </c>
      <c r="PMZ1590" s="55">
        <f t="shared" si="212"/>
        <v>0</v>
      </c>
      <c r="PNA1590" s="55">
        <f t="shared" si="212"/>
        <v>0</v>
      </c>
      <c r="PNB1590" s="55">
        <f t="shared" si="212"/>
        <v>0</v>
      </c>
      <c r="PNC1590" s="55">
        <f t="shared" si="212"/>
        <v>0</v>
      </c>
      <c r="PND1590" s="55">
        <f t="shared" si="212"/>
        <v>0</v>
      </c>
      <c r="PNE1590" s="55">
        <f t="shared" si="212"/>
        <v>0</v>
      </c>
      <c r="PNF1590" s="55">
        <f t="shared" si="212"/>
        <v>0</v>
      </c>
      <c r="PNG1590" s="55">
        <f t="shared" si="212"/>
        <v>0</v>
      </c>
      <c r="PNH1590" s="55">
        <f t="shared" si="212"/>
        <v>0</v>
      </c>
      <c r="PNI1590" s="55">
        <f t="shared" si="212"/>
        <v>0</v>
      </c>
      <c r="PNJ1590" s="55">
        <f t="shared" si="212"/>
        <v>0</v>
      </c>
      <c r="PNK1590" s="55">
        <f t="shared" si="212"/>
        <v>0</v>
      </c>
      <c r="PNL1590" s="55">
        <f t="shared" si="212"/>
        <v>0</v>
      </c>
      <c r="PNM1590" s="55">
        <f t="shared" si="212"/>
        <v>0</v>
      </c>
      <c r="PNN1590" s="55">
        <f t="shared" si="212"/>
        <v>0</v>
      </c>
      <c r="PNO1590" s="55">
        <f t="shared" si="212"/>
        <v>0</v>
      </c>
      <c r="PNP1590" s="55">
        <f t="shared" si="212"/>
        <v>0</v>
      </c>
      <c r="PNQ1590" s="55">
        <f t="shared" si="212"/>
        <v>0</v>
      </c>
      <c r="PNR1590" s="55">
        <f t="shared" si="212"/>
        <v>0</v>
      </c>
      <c r="PNS1590" s="55">
        <f t="shared" si="212"/>
        <v>0</v>
      </c>
      <c r="PNT1590" s="55">
        <f t="shared" si="212"/>
        <v>0</v>
      </c>
      <c r="PNU1590" s="55">
        <f t="shared" si="212"/>
        <v>0</v>
      </c>
      <c r="PNV1590" s="55">
        <f t="shared" si="212"/>
        <v>0</v>
      </c>
      <c r="PNW1590" s="55">
        <f t="shared" si="212"/>
        <v>0</v>
      </c>
      <c r="PNX1590" s="55">
        <f t="shared" si="212"/>
        <v>0</v>
      </c>
      <c r="PNY1590" s="55">
        <f t="shared" si="212"/>
        <v>0</v>
      </c>
      <c r="PNZ1590" s="55">
        <f t="shared" si="212"/>
        <v>0</v>
      </c>
      <c r="POA1590" s="55">
        <f t="shared" si="212"/>
        <v>0</v>
      </c>
      <c r="POB1590" s="55">
        <f t="shared" si="212"/>
        <v>0</v>
      </c>
      <c r="POC1590" s="55">
        <f t="shared" si="212"/>
        <v>0</v>
      </c>
      <c r="POD1590" s="55">
        <f t="shared" si="212"/>
        <v>0</v>
      </c>
      <c r="POE1590" s="55">
        <f t="shared" si="212"/>
        <v>0</v>
      </c>
      <c r="POF1590" s="55">
        <f t="shared" ref="POF1590:PQQ1590" si="213">+(POF1600+POF1604)*1.18*1.1</f>
        <v>0</v>
      </c>
      <c r="POG1590" s="55">
        <f t="shared" si="213"/>
        <v>0</v>
      </c>
      <c r="POH1590" s="55">
        <f t="shared" si="213"/>
        <v>0</v>
      </c>
      <c r="POI1590" s="55">
        <f t="shared" si="213"/>
        <v>0</v>
      </c>
      <c r="POJ1590" s="55">
        <f t="shared" si="213"/>
        <v>0</v>
      </c>
      <c r="POK1590" s="55">
        <f t="shared" si="213"/>
        <v>0</v>
      </c>
      <c r="POL1590" s="55">
        <f t="shared" si="213"/>
        <v>0</v>
      </c>
      <c r="POM1590" s="55">
        <f t="shared" si="213"/>
        <v>0</v>
      </c>
      <c r="PON1590" s="55">
        <f t="shared" si="213"/>
        <v>0</v>
      </c>
      <c r="POO1590" s="55">
        <f t="shared" si="213"/>
        <v>0</v>
      </c>
      <c r="POP1590" s="55">
        <f t="shared" si="213"/>
        <v>0</v>
      </c>
      <c r="POQ1590" s="55">
        <f t="shared" si="213"/>
        <v>0</v>
      </c>
      <c r="POR1590" s="55">
        <f t="shared" si="213"/>
        <v>0</v>
      </c>
      <c r="POS1590" s="55">
        <f t="shared" si="213"/>
        <v>0</v>
      </c>
      <c r="POT1590" s="55">
        <f t="shared" si="213"/>
        <v>0</v>
      </c>
      <c r="POU1590" s="55">
        <f t="shared" si="213"/>
        <v>0</v>
      </c>
      <c r="POV1590" s="55">
        <f t="shared" si="213"/>
        <v>0</v>
      </c>
      <c r="POW1590" s="55">
        <f t="shared" si="213"/>
        <v>0</v>
      </c>
      <c r="POX1590" s="55">
        <f t="shared" si="213"/>
        <v>0</v>
      </c>
      <c r="POY1590" s="55">
        <f t="shared" si="213"/>
        <v>0</v>
      </c>
      <c r="POZ1590" s="55">
        <f t="shared" si="213"/>
        <v>0</v>
      </c>
      <c r="PPA1590" s="55">
        <f t="shared" si="213"/>
        <v>0</v>
      </c>
      <c r="PPB1590" s="55">
        <f t="shared" si="213"/>
        <v>0</v>
      </c>
      <c r="PPC1590" s="55">
        <f t="shared" si="213"/>
        <v>0</v>
      </c>
      <c r="PPD1590" s="55">
        <f t="shared" si="213"/>
        <v>0</v>
      </c>
      <c r="PPE1590" s="55">
        <f t="shared" si="213"/>
        <v>0</v>
      </c>
      <c r="PPF1590" s="55">
        <f t="shared" si="213"/>
        <v>0</v>
      </c>
      <c r="PPG1590" s="55">
        <f t="shared" si="213"/>
        <v>0</v>
      </c>
      <c r="PPH1590" s="55">
        <f t="shared" si="213"/>
        <v>0</v>
      </c>
      <c r="PPI1590" s="55">
        <f t="shared" si="213"/>
        <v>0</v>
      </c>
      <c r="PPJ1590" s="55">
        <f t="shared" si="213"/>
        <v>0</v>
      </c>
      <c r="PPK1590" s="55">
        <f t="shared" si="213"/>
        <v>0</v>
      </c>
      <c r="PPL1590" s="55">
        <f t="shared" si="213"/>
        <v>0</v>
      </c>
      <c r="PPM1590" s="55">
        <f t="shared" si="213"/>
        <v>0</v>
      </c>
      <c r="PPN1590" s="55">
        <f t="shared" si="213"/>
        <v>0</v>
      </c>
      <c r="PPO1590" s="55">
        <f t="shared" si="213"/>
        <v>0</v>
      </c>
      <c r="PPP1590" s="55">
        <f t="shared" si="213"/>
        <v>0</v>
      </c>
      <c r="PPQ1590" s="55">
        <f t="shared" si="213"/>
        <v>0</v>
      </c>
      <c r="PPR1590" s="55">
        <f t="shared" si="213"/>
        <v>0</v>
      </c>
      <c r="PPS1590" s="55">
        <f t="shared" si="213"/>
        <v>0</v>
      </c>
      <c r="PPT1590" s="55">
        <f t="shared" si="213"/>
        <v>0</v>
      </c>
      <c r="PPU1590" s="55">
        <f t="shared" si="213"/>
        <v>0</v>
      </c>
      <c r="PPV1590" s="55">
        <f t="shared" si="213"/>
        <v>0</v>
      </c>
      <c r="PPW1590" s="55">
        <f t="shared" si="213"/>
        <v>0</v>
      </c>
      <c r="PPX1590" s="55">
        <f t="shared" si="213"/>
        <v>0</v>
      </c>
      <c r="PPY1590" s="55">
        <f t="shared" si="213"/>
        <v>0</v>
      </c>
      <c r="PPZ1590" s="55">
        <f t="shared" si="213"/>
        <v>0</v>
      </c>
      <c r="PQA1590" s="55">
        <f t="shared" si="213"/>
        <v>0</v>
      </c>
      <c r="PQB1590" s="55">
        <f t="shared" si="213"/>
        <v>0</v>
      </c>
      <c r="PQC1590" s="55">
        <f t="shared" si="213"/>
        <v>0</v>
      </c>
      <c r="PQD1590" s="55">
        <f t="shared" si="213"/>
        <v>0</v>
      </c>
      <c r="PQE1590" s="55">
        <f t="shared" si="213"/>
        <v>0</v>
      </c>
      <c r="PQF1590" s="55">
        <f t="shared" si="213"/>
        <v>0</v>
      </c>
      <c r="PQG1590" s="55">
        <f t="shared" si="213"/>
        <v>0</v>
      </c>
      <c r="PQH1590" s="55">
        <f t="shared" si="213"/>
        <v>0</v>
      </c>
      <c r="PQI1590" s="55">
        <f t="shared" si="213"/>
        <v>0</v>
      </c>
      <c r="PQJ1590" s="55">
        <f t="shared" si="213"/>
        <v>0</v>
      </c>
      <c r="PQK1590" s="55">
        <f t="shared" si="213"/>
        <v>0</v>
      </c>
      <c r="PQL1590" s="55">
        <f t="shared" si="213"/>
        <v>0</v>
      </c>
      <c r="PQM1590" s="55">
        <f t="shared" si="213"/>
        <v>0</v>
      </c>
      <c r="PQN1590" s="55">
        <f t="shared" si="213"/>
        <v>0</v>
      </c>
      <c r="PQO1590" s="55">
        <f t="shared" si="213"/>
        <v>0</v>
      </c>
      <c r="PQP1590" s="55">
        <f t="shared" si="213"/>
        <v>0</v>
      </c>
      <c r="PQQ1590" s="55">
        <f t="shared" si="213"/>
        <v>0</v>
      </c>
      <c r="PQR1590" s="55">
        <f t="shared" ref="PQR1590:PTC1590" si="214">+(PQR1600+PQR1604)*1.18*1.1</f>
        <v>0</v>
      </c>
      <c r="PQS1590" s="55">
        <f t="shared" si="214"/>
        <v>0</v>
      </c>
      <c r="PQT1590" s="55">
        <f t="shared" si="214"/>
        <v>0</v>
      </c>
      <c r="PQU1590" s="55">
        <f t="shared" si="214"/>
        <v>0</v>
      </c>
      <c r="PQV1590" s="55">
        <f t="shared" si="214"/>
        <v>0</v>
      </c>
      <c r="PQW1590" s="55">
        <f t="shared" si="214"/>
        <v>0</v>
      </c>
      <c r="PQX1590" s="55">
        <f t="shared" si="214"/>
        <v>0</v>
      </c>
      <c r="PQY1590" s="55">
        <f t="shared" si="214"/>
        <v>0</v>
      </c>
      <c r="PQZ1590" s="55">
        <f t="shared" si="214"/>
        <v>0</v>
      </c>
      <c r="PRA1590" s="55">
        <f t="shared" si="214"/>
        <v>0</v>
      </c>
      <c r="PRB1590" s="55">
        <f t="shared" si="214"/>
        <v>0</v>
      </c>
      <c r="PRC1590" s="55">
        <f t="shared" si="214"/>
        <v>0</v>
      </c>
      <c r="PRD1590" s="55">
        <f t="shared" si="214"/>
        <v>0</v>
      </c>
      <c r="PRE1590" s="55">
        <f t="shared" si="214"/>
        <v>0</v>
      </c>
      <c r="PRF1590" s="55">
        <f t="shared" si="214"/>
        <v>0</v>
      </c>
      <c r="PRG1590" s="55">
        <f t="shared" si="214"/>
        <v>0</v>
      </c>
      <c r="PRH1590" s="55">
        <f t="shared" si="214"/>
        <v>0</v>
      </c>
      <c r="PRI1590" s="55">
        <f t="shared" si="214"/>
        <v>0</v>
      </c>
      <c r="PRJ1590" s="55">
        <f t="shared" si="214"/>
        <v>0</v>
      </c>
      <c r="PRK1590" s="55">
        <f t="shared" si="214"/>
        <v>0</v>
      </c>
      <c r="PRL1590" s="55">
        <f t="shared" si="214"/>
        <v>0</v>
      </c>
      <c r="PRM1590" s="55">
        <f t="shared" si="214"/>
        <v>0</v>
      </c>
      <c r="PRN1590" s="55">
        <f t="shared" si="214"/>
        <v>0</v>
      </c>
      <c r="PRO1590" s="55">
        <f t="shared" si="214"/>
        <v>0</v>
      </c>
      <c r="PRP1590" s="55">
        <f t="shared" si="214"/>
        <v>0</v>
      </c>
      <c r="PRQ1590" s="55">
        <f t="shared" si="214"/>
        <v>0</v>
      </c>
      <c r="PRR1590" s="55">
        <f t="shared" si="214"/>
        <v>0</v>
      </c>
      <c r="PRS1590" s="55">
        <f t="shared" si="214"/>
        <v>0</v>
      </c>
      <c r="PRT1590" s="55">
        <f t="shared" si="214"/>
        <v>0</v>
      </c>
      <c r="PRU1590" s="55">
        <f t="shared" si="214"/>
        <v>0</v>
      </c>
      <c r="PRV1590" s="55">
        <f t="shared" si="214"/>
        <v>0</v>
      </c>
      <c r="PRW1590" s="55">
        <f t="shared" si="214"/>
        <v>0</v>
      </c>
      <c r="PRX1590" s="55">
        <f t="shared" si="214"/>
        <v>0</v>
      </c>
      <c r="PRY1590" s="55">
        <f t="shared" si="214"/>
        <v>0</v>
      </c>
      <c r="PRZ1590" s="55">
        <f t="shared" si="214"/>
        <v>0</v>
      </c>
      <c r="PSA1590" s="55">
        <f t="shared" si="214"/>
        <v>0</v>
      </c>
      <c r="PSB1590" s="55">
        <f t="shared" si="214"/>
        <v>0</v>
      </c>
      <c r="PSC1590" s="55">
        <f t="shared" si="214"/>
        <v>0</v>
      </c>
      <c r="PSD1590" s="55">
        <f t="shared" si="214"/>
        <v>0</v>
      </c>
      <c r="PSE1590" s="55">
        <f t="shared" si="214"/>
        <v>0</v>
      </c>
      <c r="PSF1590" s="55">
        <f t="shared" si="214"/>
        <v>0</v>
      </c>
      <c r="PSG1590" s="55">
        <f t="shared" si="214"/>
        <v>0</v>
      </c>
      <c r="PSH1590" s="55">
        <f t="shared" si="214"/>
        <v>0</v>
      </c>
      <c r="PSI1590" s="55">
        <f t="shared" si="214"/>
        <v>0</v>
      </c>
      <c r="PSJ1590" s="55">
        <f t="shared" si="214"/>
        <v>0</v>
      </c>
      <c r="PSK1590" s="55">
        <f t="shared" si="214"/>
        <v>0</v>
      </c>
      <c r="PSL1590" s="55">
        <f t="shared" si="214"/>
        <v>0</v>
      </c>
      <c r="PSM1590" s="55">
        <f t="shared" si="214"/>
        <v>0</v>
      </c>
      <c r="PSN1590" s="55">
        <f t="shared" si="214"/>
        <v>0</v>
      </c>
      <c r="PSO1590" s="55">
        <f t="shared" si="214"/>
        <v>0</v>
      </c>
      <c r="PSP1590" s="55">
        <f t="shared" si="214"/>
        <v>0</v>
      </c>
      <c r="PSQ1590" s="55">
        <f t="shared" si="214"/>
        <v>0</v>
      </c>
      <c r="PSR1590" s="55">
        <f t="shared" si="214"/>
        <v>0</v>
      </c>
      <c r="PSS1590" s="55">
        <f t="shared" si="214"/>
        <v>0</v>
      </c>
      <c r="PST1590" s="55">
        <f t="shared" si="214"/>
        <v>0</v>
      </c>
      <c r="PSU1590" s="55">
        <f t="shared" si="214"/>
        <v>0</v>
      </c>
      <c r="PSV1590" s="55">
        <f t="shared" si="214"/>
        <v>0</v>
      </c>
      <c r="PSW1590" s="55">
        <f t="shared" si="214"/>
        <v>0</v>
      </c>
      <c r="PSX1590" s="55">
        <f t="shared" si="214"/>
        <v>0</v>
      </c>
      <c r="PSY1590" s="55">
        <f t="shared" si="214"/>
        <v>0</v>
      </c>
      <c r="PSZ1590" s="55">
        <f t="shared" si="214"/>
        <v>0</v>
      </c>
      <c r="PTA1590" s="55">
        <f t="shared" si="214"/>
        <v>0</v>
      </c>
      <c r="PTB1590" s="55">
        <f t="shared" si="214"/>
        <v>0</v>
      </c>
      <c r="PTC1590" s="55">
        <f t="shared" si="214"/>
        <v>0</v>
      </c>
      <c r="PTD1590" s="55">
        <f t="shared" ref="PTD1590:PVO1590" si="215">+(PTD1600+PTD1604)*1.18*1.1</f>
        <v>0</v>
      </c>
      <c r="PTE1590" s="55">
        <f t="shared" si="215"/>
        <v>0</v>
      </c>
      <c r="PTF1590" s="55">
        <f t="shared" si="215"/>
        <v>0</v>
      </c>
      <c r="PTG1590" s="55">
        <f t="shared" si="215"/>
        <v>0</v>
      </c>
      <c r="PTH1590" s="55">
        <f t="shared" si="215"/>
        <v>0</v>
      </c>
      <c r="PTI1590" s="55">
        <f t="shared" si="215"/>
        <v>0</v>
      </c>
      <c r="PTJ1590" s="55">
        <f t="shared" si="215"/>
        <v>0</v>
      </c>
      <c r="PTK1590" s="55">
        <f t="shared" si="215"/>
        <v>0</v>
      </c>
      <c r="PTL1590" s="55">
        <f t="shared" si="215"/>
        <v>0</v>
      </c>
      <c r="PTM1590" s="55">
        <f t="shared" si="215"/>
        <v>0</v>
      </c>
      <c r="PTN1590" s="55">
        <f t="shared" si="215"/>
        <v>0</v>
      </c>
      <c r="PTO1590" s="55">
        <f t="shared" si="215"/>
        <v>0</v>
      </c>
      <c r="PTP1590" s="55">
        <f t="shared" si="215"/>
        <v>0</v>
      </c>
      <c r="PTQ1590" s="55">
        <f t="shared" si="215"/>
        <v>0</v>
      </c>
      <c r="PTR1590" s="55">
        <f t="shared" si="215"/>
        <v>0</v>
      </c>
      <c r="PTS1590" s="55">
        <f t="shared" si="215"/>
        <v>0</v>
      </c>
      <c r="PTT1590" s="55">
        <f t="shared" si="215"/>
        <v>0</v>
      </c>
      <c r="PTU1590" s="55">
        <f t="shared" si="215"/>
        <v>0</v>
      </c>
      <c r="PTV1590" s="55">
        <f t="shared" si="215"/>
        <v>0</v>
      </c>
      <c r="PTW1590" s="55">
        <f t="shared" si="215"/>
        <v>0</v>
      </c>
      <c r="PTX1590" s="55">
        <f t="shared" si="215"/>
        <v>0</v>
      </c>
      <c r="PTY1590" s="55">
        <f t="shared" si="215"/>
        <v>0</v>
      </c>
      <c r="PTZ1590" s="55">
        <f t="shared" si="215"/>
        <v>0</v>
      </c>
      <c r="PUA1590" s="55">
        <f t="shared" si="215"/>
        <v>0</v>
      </c>
      <c r="PUB1590" s="55">
        <f t="shared" si="215"/>
        <v>0</v>
      </c>
      <c r="PUC1590" s="55">
        <f t="shared" si="215"/>
        <v>0</v>
      </c>
      <c r="PUD1590" s="55">
        <f t="shared" si="215"/>
        <v>0</v>
      </c>
      <c r="PUE1590" s="55">
        <f t="shared" si="215"/>
        <v>0</v>
      </c>
      <c r="PUF1590" s="55">
        <f t="shared" si="215"/>
        <v>0</v>
      </c>
      <c r="PUG1590" s="55">
        <f t="shared" si="215"/>
        <v>0</v>
      </c>
      <c r="PUH1590" s="55">
        <f t="shared" si="215"/>
        <v>0</v>
      </c>
      <c r="PUI1590" s="55">
        <f t="shared" si="215"/>
        <v>0</v>
      </c>
      <c r="PUJ1590" s="55">
        <f t="shared" si="215"/>
        <v>0</v>
      </c>
      <c r="PUK1590" s="55">
        <f t="shared" si="215"/>
        <v>0</v>
      </c>
      <c r="PUL1590" s="55">
        <f t="shared" si="215"/>
        <v>0</v>
      </c>
      <c r="PUM1590" s="55">
        <f t="shared" si="215"/>
        <v>0</v>
      </c>
      <c r="PUN1590" s="55">
        <f t="shared" si="215"/>
        <v>0</v>
      </c>
      <c r="PUO1590" s="55">
        <f t="shared" si="215"/>
        <v>0</v>
      </c>
      <c r="PUP1590" s="55">
        <f t="shared" si="215"/>
        <v>0</v>
      </c>
      <c r="PUQ1590" s="55">
        <f t="shared" si="215"/>
        <v>0</v>
      </c>
      <c r="PUR1590" s="55">
        <f t="shared" si="215"/>
        <v>0</v>
      </c>
      <c r="PUS1590" s="55">
        <f t="shared" si="215"/>
        <v>0</v>
      </c>
      <c r="PUT1590" s="55">
        <f t="shared" si="215"/>
        <v>0</v>
      </c>
      <c r="PUU1590" s="55">
        <f t="shared" si="215"/>
        <v>0</v>
      </c>
      <c r="PUV1590" s="55">
        <f t="shared" si="215"/>
        <v>0</v>
      </c>
      <c r="PUW1590" s="55">
        <f t="shared" si="215"/>
        <v>0</v>
      </c>
      <c r="PUX1590" s="55">
        <f t="shared" si="215"/>
        <v>0</v>
      </c>
      <c r="PUY1590" s="55">
        <f t="shared" si="215"/>
        <v>0</v>
      </c>
      <c r="PUZ1590" s="55">
        <f t="shared" si="215"/>
        <v>0</v>
      </c>
      <c r="PVA1590" s="55">
        <f t="shared" si="215"/>
        <v>0</v>
      </c>
      <c r="PVB1590" s="55">
        <f t="shared" si="215"/>
        <v>0</v>
      </c>
      <c r="PVC1590" s="55">
        <f t="shared" si="215"/>
        <v>0</v>
      </c>
      <c r="PVD1590" s="55">
        <f t="shared" si="215"/>
        <v>0</v>
      </c>
      <c r="PVE1590" s="55">
        <f t="shared" si="215"/>
        <v>0</v>
      </c>
      <c r="PVF1590" s="55">
        <f t="shared" si="215"/>
        <v>0</v>
      </c>
      <c r="PVG1590" s="55">
        <f t="shared" si="215"/>
        <v>0</v>
      </c>
      <c r="PVH1590" s="55">
        <f t="shared" si="215"/>
        <v>0</v>
      </c>
      <c r="PVI1590" s="55">
        <f t="shared" si="215"/>
        <v>0</v>
      </c>
      <c r="PVJ1590" s="55">
        <f t="shared" si="215"/>
        <v>0</v>
      </c>
      <c r="PVK1590" s="55">
        <f t="shared" si="215"/>
        <v>0</v>
      </c>
      <c r="PVL1590" s="55">
        <f t="shared" si="215"/>
        <v>0</v>
      </c>
      <c r="PVM1590" s="55">
        <f t="shared" si="215"/>
        <v>0</v>
      </c>
      <c r="PVN1590" s="55">
        <f t="shared" si="215"/>
        <v>0</v>
      </c>
      <c r="PVO1590" s="55">
        <f t="shared" si="215"/>
        <v>0</v>
      </c>
      <c r="PVP1590" s="55">
        <f t="shared" ref="PVP1590:PYA1590" si="216">+(PVP1600+PVP1604)*1.18*1.1</f>
        <v>0</v>
      </c>
      <c r="PVQ1590" s="55">
        <f t="shared" si="216"/>
        <v>0</v>
      </c>
      <c r="PVR1590" s="55">
        <f t="shared" si="216"/>
        <v>0</v>
      </c>
      <c r="PVS1590" s="55">
        <f t="shared" si="216"/>
        <v>0</v>
      </c>
      <c r="PVT1590" s="55">
        <f t="shared" si="216"/>
        <v>0</v>
      </c>
      <c r="PVU1590" s="55">
        <f t="shared" si="216"/>
        <v>0</v>
      </c>
      <c r="PVV1590" s="55">
        <f t="shared" si="216"/>
        <v>0</v>
      </c>
      <c r="PVW1590" s="55">
        <f t="shared" si="216"/>
        <v>0</v>
      </c>
      <c r="PVX1590" s="55">
        <f t="shared" si="216"/>
        <v>0</v>
      </c>
      <c r="PVY1590" s="55">
        <f t="shared" si="216"/>
        <v>0</v>
      </c>
      <c r="PVZ1590" s="55">
        <f t="shared" si="216"/>
        <v>0</v>
      </c>
      <c r="PWA1590" s="55">
        <f t="shared" si="216"/>
        <v>0</v>
      </c>
      <c r="PWB1590" s="55">
        <f t="shared" si="216"/>
        <v>0</v>
      </c>
      <c r="PWC1590" s="55">
        <f t="shared" si="216"/>
        <v>0</v>
      </c>
      <c r="PWD1590" s="55">
        <f t="shared" si="216"/>
        <v>0</v>
      </c>
      <c r="PWE1590" s="55">
        <f t="shared" si="216"/>
        <v>0</v>
      </c>
      <c r="PWF1590" s="55">
        <f t="shared" si="216"/>
        <v>0</v>
      </c>
      <c r="PWG1590" s="55">
        <f t="shared" si="216"/>
        <v>0</v>
      </c>
      <c r="PWH1590" s="55">
        <f t="shared" si="216"/>
        <v>0</v>
      </c>
      <c r="PWI1590" s="55">
        <f t="shared" si="216"/>
        <v>0</v>
      </c>
      <c r="PWJ1590" s="55">
        <f t="shared" si="216"/>
        <v>0</v>
      </c>
      <c r="PWK1590" s="55">
        <f t="shared" si="216"/>
        <v>0</v>
      </c>
      <c r="PWL1590" s="55">
        <f t="shared" si="216"/>
        <v>0</v>
      </c>
      <c r="PWM1590" s="55">
        <f t="shared" si="216"/>
        <v>0</v>
      </c>
      <c r="PWN1590" s="55">
        <f t="shared" si="216"/>
        <v>0</v>
      </c>
      <c r="PWO1590" s="55">
        <f t="shared" si="216"/>
        <v>0</v>
      </c>
      <c r="PWP1590" s="55">
        <f t="shared" si="216"/>
        <v>0</v>
      </c>
      <c r="PWQ1590" s="55">
        <f t="shared" si="216"/>
        <v>0</v>
      </c>
      <c r="PWR1590" s="55">
        <f t="shared" si="216"/>
        <v>0</v>
      </c>
      <c r="PWS1590" s="55">
        <f t="shared" si="216"/>
        <v>0</v>
      </c>
      <c r="PWT1590" s="55">
        <f t="shared" si="216"/>
        <v>0</v>
      </c>
      <c r="PWU1590" s="55">
        <f t="shared" si="216"/>
        <v>0</v>
      </c>
      <c r="PWV1590" s="55">
        <f t="shared" si="216"/>
        <v>0</v>
      </c>
      <c r="PWW1590" s="55">
        <f t="shared" si="216"/>
        <v>0</v>
      </c>
      <c r="PWX1590" s="55">
        <f t="shared" si="216"/>
        <v>0</v>
      </c>
      <c r="PWY1590" s="55">
        <f t="shared" si="216"/>
        <v>0</v>
      </c>
      <c r="PWZ1590" s="55">
        <f t="shared" si="216"/>
        <v>0</v>
      </c>
      <c r="PXA1590" s="55">
        <f t="shared" si="216"/>
        <v>0</v>
      </c>
      <c r="PXB1590" s="55">
        <f t="shared" si="216"/>
        <v>0</v>
      </c>
      <c r="PXC1590" s="55">
        <f t="shared" si="216"/>
        <v>0</v>
      </c>
      <c r="PXD1590" s="55">
        <f t="shared" si="216"/>
        <v>0</v>
      </c>
      <c r="PXE1590" s="55">
        <f t="shared" si="216"/>
        <v>0</v>
      </c>
      <c r="PXF1590" s="55">
        <f t="shared" si="216"/>
        <v>0</v>
      </c>
      <c r="PXG1590" s="55">
        <f t="shared" si="216"/>
        <v>0</v>
      </c>
      <c r="PXH1590" s="55">
        <f t="shared" si="216"/>
        <v>0</v>
      </c>
      <c r="PXI1590" s="55">
        <f t="shared" si="216"/>
        <v>0</v>
      </c>
      <c r="PXJ1590" s="55">
        <f t="shared" si="216"/>
        <v>0</v>
      </c>
      <c r="PXK1590" s="55">
        <f t="shared" si="216"/>
        <v>0</v>
      </c>
      <c r="PXL1590" s="55">
        <f t="shared" si="216"/>
        <v>0</v>
      </c>
      <c r="PXM1590" s="55">
        <f t="shared" si="216"/>
        <v>0</v>
      </c>
      <c r="PXN1590" s="55">
        <f t="shared" si="216"/>
        <v>0</v>
      </c>
      <c r="PXO1590" s="55">
        <f t="shared" si="216"/>
        <v>0</v>
      </c>
      <c r="PXP1590" s="55">
        <f t="shared" si="216"/>
        <v>0</v>
      </c>
      <c r="PXQ1590" s="55">
        <f t="shared" si="216"/>
        <v>0</v>
      </c>
      <c r="PXR1590" s="55">
        <f t="shared" si="216"/>
        <v>0</v>
      </c>
      <c r="PXS1590" s="55">
        <f t="shared" si="216"/>
        <v>0</v>
      </c>
      <c r="PXT1590" s="55">
        <f t="shared" si="216"/>
        <v>0</v>
      </c>
      <c r="PXU1590" s="55">
        <f t="shared" si="216"/>
        <v>0</v>
      </c>
      <c r="PXV1590" s="55">
        <f t="shared" si="216"/>
        <v>0</v>
      </c>
      <c r="PXW1590" s="55">
        <f t="shared" si="216"/>
        <v>0</v>
      </c>
      <c r="PXX1590" s="55">
        <f t="shared" si="216"/>
        <v>0</v>
      </c>
      <c r="PXY1590" s="55">
        <f t="shared" si="216"/>
        <v>0</v>
      </c>
      <c r="PXZ1590" s="55">
        <f t="shared" si="216"/>
        <v>0</v>
      </c>
      <c r="PYA1590" s="55">
        <f t="shared" si="216"/>
        <v>0</v>
      </c>
      <c r="PYB1590" s="55">
        <f t="shared" ref="PYB1590:QAM1590" si="217">+(PYB1600+PYB1604)*1.18*1.1</f>
        <v>0</v>
      </c>
      <c r="PYC1590" s="55">
        <f t="shared" si="217"/>
        <v>0</v>
      </c>
      <c r="PYD1590" s="55">
        <f t="shared" si="217"/>
        <v>0</v>
      </c>
      <c r="PYE1590" s="55">
        <f t="shared" si="217"/>
        <v>0</v>
      </c>
      <c r="PYF1590" s="55">
        <f t="shared" si="217"/>
        <v>0</v>
      </c>
      <c r="PYG1590" s="55">
        <f t="shared" si="217"/>
        <v>0</v>
      </c>
      <c r="PYH1590" s="55">
        <f t="shared" si="217"/>
        <v>0</v>
      </c>
      <c r="PYI1590" s="55">
        <f t="shared" si="217"/>
        <v>0</v>
      </c>
      <c r="PYJ1590" s="55">
        <f t="shared" si="217"/>
        <v>0</v>
      </c>
      <c r="PYK1590" s="55">
        <f t="shared" si="217"/>
        <v>0</v>
      </c>
      <c r="PYL1590" s="55">
        <f t="shared" si="217"/>
        <v>0</v>
      </c>
      <c r="PYM1590" s="55">
        <f t="shared" si="217"/>
        <v>0</v>
      </c>
      <c r="PYN1590" s="55">
        <f t="shared" si="217"/>
        <v>0</v>
      </c>
      <c r="PYO1590" s="55">
        <f t="shared" si="217"/>
        <v>0</v>
      </c>
      <c r="PYP1590" s="55">
        <f t="shared" si="217"/>
        <v>0</v>
      </c>
      <c r="PYQ1590" s="55">
        <f t="shared" si="217"/>
        <v>0</v>
      </c>
      <c r="PYR1590" s="55">
        <f t="shared" si="217"/>
        <v>0</v>
      </c>
      <c r="PYS1590" s="55">
        <f t="shared" si="217"/>
        <v>0</v>
      </c>
      <c r="PYT1590" s="55">
        <f t="shared" si="217"/>
        <v>0</v>
      </c>
      <c r="PYU1590" s="55">
        <f t="shared" si="217"/>
        <v>0</v>
      </c>
      <c r="PYV1590" s="55">
        <f t="shared" si="217"/>
        <v>0</v>
      </c>
      <c r="PYW1590" s="55">
        <f t="shared" si="217"/>
        <v>0</v>
      </c>
      <c r="PYX1590" s="55">
        <f t="shared" si="217"/>
        <v>0</v>
      </c>
      <c r="PYY1590" s="55">
        <f t="shared" si="217"/>
        <v>0</v>
      </c>
      <c r="PYZ1590" s="55">
        <f t="shared" si="217"/>
        <v>0</v>
      </c>
      <c r="PZA1590" s="55">
        <f t="shared" si="217"/>
        <v>0</v>
      </c>
      <c r="PZB1590" s="55">
        <f t="shared" si="217"/>
        <v>0</v>
      </c>
      <c r="PZC1590" s="55">
        <f t="shared" si="217"/>
        <v>0</v>
      </c>
      <c r="PZD1590" s="55">
        <f t="shared" si="217"/>
        <v>0</v>
      </c>
      <c r="PZE1590" s="55">
        <f t="shared" si="217"/>
        <v>0</v>
      </c>
      <c r="PZF1590" s="55">
        <f t="shared" si="217"/>
        <v>0</v>
      </c>
      <c r="PZG1590" s="55">
        <f t="shared" si="217"/>
        <v>0</v>
      </c>
      <c r="PZH1590" s="55">
        <f t="shared" si="217"/>
        <v>0</v>
      </c>
      <c r="PZI1590" s="55">
        <f t="shared" si="217"/>
        <v>0</v>
      </c>
      <c r="PZJ1590" s="55">
        <f t="shared" si="217"/>
        <v>0</v>
      </c>
      <c r="PZK1590" s="55">
        <f t="shared" si="217"/>
        <v>0</v>
      </c>
      <c r="PZL1590" s="55">
        <f t="shared" si="217"/>
        <v>0</v>
      </c>
      <c r="PZM1590" s="55">
        <f t="shared" si="217"/>
        <v>0</v>
      </c>
      <c r="PZN1590" s="55">
        <f t="shared" si="217"/>
        <v>0</v>
      </c>
      <c r="PZO1590" s="55">
        <f t="shared" si="217"/>
        <v>0</v>
      </c>
      <c r="PZP1590" s="55">
        <f t="shared" si="217"/>
        <v>0</v>
      </c>
      <c r="PZQ1590" s="55">
        <f t="shared" si="217"/>
        <v>0</v>
      </c>
      <c r="PZR1590" s="55">
        <f t="shared" si="217"/>
        <v>0</v>
      </c>
      <c r="PZS1590" s="55">
        <f t="shared" si="217"/>
        <v>0</v>
      </c>
      <c r="PZT1590" s="55">
        <f t="shared" si="217"/>
        <v>0</v>
      </c>
      <c r="PZU1590" s="55">
        <f t="shared" si="217"/>
        <v>0</v>
      </c>
      <c r="PZV1590" s="55">
        <f t="shared" si="217"/>
        <v>0</v>
      </c>
      <c r="PZW1590" s="55">
        <f t="shared" si="217"/>
        <v>0</v>
      </c>
      <c r="PZX1590" s="55">
        <f t="shared" si="217"/>
        <v>0</v>
      </c>
      <c r="PZY1590" s="55">
        <f t="shared" si="217"/>
        <v>0</v>
      </c>
      <c r="PZZ1590" s="55">
        <f t="shared" si="217"/>
        <v>0</v>
      </c>
      <c r="QAA1590" s="55">
        <f t="shared" si="217"/>
        <v>0</v>
      </c>
      <c r="QAB1590" s="55">
        <f t="shared" si="217"/>
        <v>0</v>
      </c>
      <c r="QAC1590" s="55">
        <f t="shared" si="217"/>
        <v>0</v>
      </c>
      <c r="QAD1590" s="55">
        <f t="shared" si="217"/>
        <v>0</v>
      </c>
      <c r="QAE1590" s="55">
        <f t="shared" si="217"/>
        <v>0</v>
      </c>
      <c r="QAF1590" s="55">
        <f t="shared" si="217"/>
        <v>0</v>
      </c>
      <c r="QAG1590" s="55">
        <f t="shared" si="217"/>
        <v>0</v>
      </c>
      <c r="QAH1590" s="55">
        <f t="shared" si="217"/>
        <v>0</v>
      </c>
      <c r="QAI1590" s="55">
        <f t="shared" si="217"/>
        <v>0</v>
      </c>
      <c r="QAJ1590" s="55">
        <f t="shared" si="217"/>
        <v>0</v>
      </c>
      <c r="QAK1590" s="55">
        <f t="shared" si="217"/>
        <v>0</v>
      </c>
      <c r="QAL1590" s="55">
        <f t="shared" si="217"/>
        <v>0</v>
      </c>
      <c r="QAM1590" s="55">
        <f t="shared" si="217"/>
        <v>0</v>
      </c>
      <c r="QAN1590" s="55">
        <f t="shared" ref="QAN1590:QCY1590" si="218">+(QAN1600+QAN1604)*1.18*1.1</f>
        <v>0</v>
      </c>
      <c r="QAO1590" s="55">
        <f t="shared" si="218"/>
        <v>0</v>
      </c>
      <c r="QAP1590" s="55">
        <f t="shared" si="218"/>
        <v>0</v>
      </c>
      <c r="QAQ1590" s="55">
        <f t="shared" si="218"/>
        <v>0</v>
      </c>
      <c r="QAR1590" s="55">
        <f t="shared" si="218"/>
        <v>0</v>
      </c>
      <c r="QAS1590" s="55">
        <f t="shared" si="218"/>
        <v>0</v>
      </c>
      <c r="QAT1590" s="55">
        <f t="shared" si="218"/>
        <v>0</v>
      </c>
      <c r="QAU1590" s="55">
        <f t="shared" si="218"/>
        <v>0</v>
      </c>
      <c r="QAV1590" s="55">
        <f t="shared" si="218"/>
        <v>0</v>
      </c>
      <c r="QAW1590" s="55">
        <f t="shared" si="218"/>
        <v>0</v>
      </c>
      <c r="QAX1590" s="55">
        <f t="shared" si="218"/>
        <v>0</v>
      </c>
      <c r="QAY1590" s="55">
        <f t="shared" si="218"/>
        <v>0</v>
      </c>
      <c r="QAZ1590" s="55">
        <f t="shared" si="218"/>
        <v>0</v>
      </c>
      <c r="QBA1590" s="55">
        <f t="shared" si="218"/>
        <v>0</v>
      </c>
      <c r="QBB1590" s="55">
        <f t="shared" si="218"/>
        <v>0</v>
      </c>
      <c r="QBC1590" s="55">
        <f t="shared" si="218"/>
        <v>0</v>
      </c>
      <c r="QBD1590" s="55">
        <f t="shared" si="218"/>
        <v>0</v>
      </c>
      <c r="QBE1590" s="55">
        <f t="shared" si="218"/>
        <v>0</v>
      </c>
      <c r="QBF1590" s="55">
        <f t="shared" si="218"/>
        <v>0</v>
      </c>
      <c r="QBG1590" s="55">
        <f t="shared" si="218"/>
        <v>0</v>
      </c>
      <c r="QBH1590" s="55">
        <f t="shared" si="218"/>
        <v>0</v>
      </c>
      <c r="QBI1590" s="55">
        <f t="shared" si="218"/>
        <v>0</v>
      </c>
      <c r="QBJ1590" s="55">
        <f t="shared" si="218"/>
        <v>0</v>
      </c>
      <c r="QBK1590" s="55">
        <f t="shared" si="218"/>
        <v>0</v>
      </c>
      <c r="QBL1590" s="55">
        <f t="shared" si="218"/>
        <v>0</v>
      </c>
      <c r="QBM1590" s="55">
        <f t="shared" si="218"/>
        <v>0</v>
      </c>
      <c r="QBN1590" s="55">
        <f t="shared" si="218"/>
        <v>0</v>
      </c>
      <c r="QBO1590" s="55">
        <f t="shared" si="218"/>
        <v>0</v>
      </c>
      <c r="QBP1590" s="55">
        <f t="shared" si="218"/>
        <v>0</v>
      </c>
      <c r="QBQ1590" s="55">
        <f t="shared" si="218"/>
        <v>0</v>
      </c>
      <c r="QBR1590" s="55">
        <f t="shared" si="218"/>
        <v>0</v>
      </c>
      <c r="QBS1590" s="55">
        <f t="shared" si="218"/>
        <v>0</v>
      </c>
      <c r="QBT1590" s="55">
        <f t="shared" si="218"/>
        <v>0</v>
      </c>
      <c r="QBU1590" s="55">
        <f t="shared" si="218"/>
        <v>0</v>
      </c>
      <c r="QBV1590" s="55">
        <f t="shared" si="218"/>
        <v>0</v>
      </c>
      <c r="QBW1590" s="55">
        <f t="shared" si="218"/>
        <v>0</v>
      </c>
      <c r="QBX1590" s="55">
        <f t="shared" si="218"/>
        <v>0</v>
      </c>
      <c r="QBY1590" s="55">
        <f t="shared" si="218"/>
        <v>0</v>
      </c>
      <c r="QBZ1590" s="55">
        <f t="shared" si="218"/>
        <v>0</v>
      </c>
      <c r="QCA1590" s="55">
        <f t="shared" si="218"/>
        <v>0</v>
      </c>
      <c r="QCB1590" s="55">
        <f t="shared" si="218"/>
        <v>0</v>
      </c>
      <c r="QCC1590" s="55">
        <f t="shared" si="218"/>
        <v>0</v>
      </c>
      <c r="QCD1590" s="55">
        <f t="shared" si="218"/>
        <v>0</v>
      </c>
      <c r="QCE1590" s="55">
        <f t="shared" si="218"/>
        <v>0</v>
      </c>
      <c r="QCF1590" s="55">
        <f t="shared" si="218"/>
        <v>0</v>
      </c>
      <c r="QCG1590" s="55">
        <f t="shared" si="218"/>
        <v>0</v>
      </c>
      <c r="QCH1590" s="55">
        <f t="shared" si="218"/>
        <v>0</v>
      </c>
      <c r="QCI1590" s="55">
        <f t="shared" si="218"/>
        <v>0</v>
      </c>
      <c r="QCJ1590" s="55">
        <f t="shared" si="218"/>
        <v>0</v>
      </c>
      <c r="QCK1590" s="55">
        <f t="shared" si="218"/>
        <v>0</v>
      </c>
      <c r="QCL1590" s="55">
        <f t="shared" si="218"/>
        <v>0</v>
      </c>
      <c r="QCM1590" s="55">
        <f t="shared" si="218"/>
        <v>0</v>
      </c>
      <c r="QCN1590" s="55">
        <f t="shared" si="218"/>
        <v>0</v>
      </c>
      <c r="QCO1590" s="55">
        <f t="shared" si="218"/>
        <v>0</v>
      </c>
      <c r="QCP1590" s="55">
        <f t="shared" si="218"/>
        <v>0</v>
      </c>
      <c r="QCQ1590" s="55">
        <f t="shared" si="218"/>
        <v>0</v>
      </c>
      <c r="QCR1590" s="55">
        <f t="shared" si="218"/>
        <v>0</v>
      </c>
      <c r="QCS1590" s="55">
        <f t="shared" si="218"/>
        <v>0</v>
      </c>
      <c r="QCT1590" s="55">
        <f t="shared" si="218"/>
        <v>0</v>
      </c>
      <c r="QCU1590" s="55">
        <f t="shared" si="218"/>
        <v>0</v>
      </c>
      <c r="QCV1590" s="55">
        <f t="shared" si="218"/>
        <v>0</v>
      </c>
      <c r="QCW1590" s="55">
        <f t="shared" si="218"/>
        <v>0</v>
      </c>
      <c r="QCX1590" s="55">
        <f t="shared" si="218"/>
        <v>0</v>
      </c>
      <c r="QCY1590" s="55">
        <f t="shared" si="218"/>
        <v>0</v>
      </c>
      <c r="QCZ1590" s="55">
        <f t="shared" ref="QCZ1590:QFK1590" si="219">+(QCZ1600+QCZ1604)*1.18*1.1</f>
        <v>0</v>
      </c>
      <c r="QDA1590" s="55">
        <f t="shared" si="219"/>
        <v>0</v>
      </c>
      <c r="QDB1590" s="55">
        <f t="shared" si="219"/>
        <v>0</v>
      </c>
      <c r="QDC1590" s="55">
        <f t="shared" si="219"/>
        <v>0</v>
      </c>
      <c r="QDD1590" s="55">
        <f t="shared" si="219"/>
        <v>0</v>
      </c>
      <c r="QDE1590" s="55">
        <f t="shared" si="219"/>
        <v>0</v>
      </c>
      <c r="QDF1590" s="55">
        <f t="shared" si="219"/>
        <v>0</v>
      </c>
      <c r="QDG1590" s="55">
        <f t="shared" si="219"/>
        <v>0</v>
      </c>
      <c r="QDH1590" s="55">
        <f t="shared" si="219"/>
        <v>0</v>
      </c>
      <c r="QDI1590" s="55">
        <f t="shared" si="219"/>
        <v>0</v>
      </c>
      <c r="QDJ1590" s="55">
        <f t="shared" si="219"/>
        <v>0</v>
      </c>
      <c r="QDK1590" s="55">
        <f t="shared" si="219"/>
        <v>0</v>
      </c>
      <c r="QDL1590" s="55">
        <f t="shared" si="219"/>
        <v>0</v>
      </c>
      <c r="QDM1590" s="55">
        <f t="shared" si="219"/>
        <v>0</v>
      </c>
      <c r="QDN1590" s="55">
        <f t="shared" si="219"/>
        <v>0</v>
      </c>
      <c r="QDO1590" s="55">
        <f t="shared" si="219"/>
        <v>0</v>
      </c>
      <c r="QDP1590" s="55">
        <f t="shared" si="219"/>
        <v>0</v>
      </c>
      <c r="QDQ1590" s="55">
        <f t="shared" si="219"/>
        <v>0</v>
      </c>
      <c r="QDR1590" s="55">
        <f t="shared" si="219"/>
        <v>0</v>
      </c>
      <c r="QDS1590" s="55">
        <f t="shared" si="219"/>
        <v>0</v>
      </c>
      <c r="QDT1590" s="55">
        <f t="shared" si="219"/>
        <v>0</v>
      </c>
      <c r="QDU1590" s="55">
        <f t="shared" si="219"/>
        <v>0</v>
      </c>
      <c r="QDV1590" s="55">
        <f t="shared" si="219"/>
        <v>0</v>
      </c>
      <c r="QDW1590" s="55">
        <f t="shared" si="219"/>
        <v>0</v>
      </c>
      <c r="QDX1590" s="55">
        <f t="shared" si="219"/>
        <v>0</v>
      </c>
      <c r="QDY1590" s="55">
        <f t="shared" si="219"/>
        <v>0</v>
      </c>
      <c r="QDZ1590" s="55">
        <f t="shared" si="219"/>
        <v>0</v>
      </c>
      <c r="QEA1590" s="55">
        <f t="shared" si="219"/>
        <v>0</v>
      </c>
      <c r="QEB1590" s="55">
        <f t="shared" si="219"/>
        <v>0</v>
      </c>
      <c r="QEC1590" s="55">
        <f t="shared" si="219"/>
        <v>0</v>
      </c>
      <c r="QED1590" s="55">
        <f t="shared" si="219"/>
        <v>0</v>
      </c>
      <c r="QEE1590" s="55">
        <f t="shared" si="219"/>
        <v>0</v>
      </c>
      <c r="QEF1590" s="55">
        <f t="shared" si="219"/>
        <v>0</v>
      </c>
      <c r="QEG1590" s="55">
        <f t="shared" si="219"/>
        <v>0</v>
      </c>
      <c r="QEH1590" s="55">
        <f t="shared" si="219"/>
        <v>0</v>
      </c>
      <c r="QEI1590" s="55">
        <f t="shared" si="219"/>
        <v>0</v>
      </c>
      <c r="QEJ1590" s="55">
        <f t="shared" si="219"/>
        <v>0</v>
      </c>
      <c r="QEK1590" s="55">
        <f t="shared" si="219"/>
        <v>0</v>
      </c>
      <c r="QEL1590" s="55">
        <f t="shared" si="219"/>
        <v>0</v>
      </c>
      <c r="QEM1590" s="55">
        <f t="shared" si="219"/>
        <v>0</v>
      </c>
      <c r="QEN1590" s="55">
        <f t="shared" si="219"/>
        <v>0</v>
      </c>
      <c r="QEO1590" s="55">
        <f t="shared" si="219"/>
        <v>0</v>
      </c>
      <c r="QEP1590" s="55">
        <f t="shared" si="219"/>
        <v>0</v>
      </c>
      <c r="QEQ1590" s="55">
        <f t="shared" si="219"/>
        <v>0</v>
      </c>
      <c r="QER1590" s="55">
        <f t="shared" si="219"/>
        <v>0</v>
      </c>
      <c r="QES1590" s="55">
        <f t="shared" si="219"/>
        <v>0</v>
      </c>
      <c r="QET1590" s="55">
        <f t="shared" si="219"/>
        <v>0</v>
      </c>
      <c r="QEU1590" s="55">
        <f t="shared" si="219"/>
        <v>0</v>
      </c>
      <c r="QEV1590" s="55">
        <f t="shared" si="219"/>
        <v>0</v>
      </c>
      <c r="QEW1590" s="55">
        <f t="shared" si="219"/>
        <v>0</v>
      </c>
      <c r="QEX1590" s="55">
        <f t="shared" si="219"/>
        <v>0</v>
      </c>
      <c r="QEY1590" s="55">
        <f t="shared" si="219"/>
        <v>0</v>
      </c>
      <c r="QEZ1590" s="55">
        <f t="shared" si="219"/>
        <v>0</v>
      </c>
      <c r="QFA1590" s="55">
        <f t="shared" si="219"/>
        <v>0</v>
      </c>
      <c r="QFB1590" s="55">
        <f t="shared" si="219"/>
        <v>0</v>
      </c>
      <c r="QFC1590" s="55">
        <f t="shared" si="219"/>
        <v>0</v>
      </c>
      <c r="QFD1590" s="55">
        <f t="shared" si="219"/>
        <v>0</v>
      </c>
      <c r="QFE1590" s="55">
        <f t="shared" si="219"/>
        <v>0</v>
      </c>
      <c r="QFF1590" s="55">
        <f t="shared" si="219"/>
        <v>0</v>
      </c>
      <c r="QFG1590" s="55">
        <f t="shared" si="219"/>
        <v>0</v>
      </c>
      <c r="QFH1590" s="55">
        <f t="shared" si="219"/>
        <v>0</v>
      </c>
      <c r="QFI1590" s="55">
        <f t="shared" si="219"/>
        <v>0</v>
      </c>
      <c r="QFJ1590" s="55">
        <f t="shared" si="219"/>
        <v>0</v>
      </c>
      <c r="QFK1590" s="55">
        <f t="shared" si="219"/>
        <v>0</v>
      </c>
      <c r="QFL1590" s="55">
        <f t="shared" ref="QFL1590:QHW1590" si="220">+(QFL1600+QFL1604)*1.18*1.1</f>
        <v>0</v>
      </c>
      <c r="QFM1590" s="55">
        <f t="shared" si="220"/>
        <v>0</v>
      </c>
      <c r="QFN1590" s="55">
        <f t="shared" si="220"/>
        <v>0</v>
      </c>
      <c r="QFO1590" s="55">
        <f t="shared" si="220"/>
        <v>0</v>
      </c>
      <c r="QFP1590" s="55">
        <f t="shared" si="220"/>
        <v>0</v>
      </c>
      <c r="QFQ1590" s="55">
        <f t="shared" si="220"/>
        <v>0</v>
      </c>
      <c r="QFR1590" s="55">
        <f t="shared" si="220"/>
        <v>0</v>
      </c>
      <c r="QFS1590" s="55">
        <f t="shared" si="220"/>
        <v>0</v>
      </c>
      <c r="QFT1590" s="55">
        <f t="shared" si="220"/>
        <v>0</v>
      </c>
      <c r="QFU1590" s="55">
        <f t="shared" si="220"/>
        <v>0</v>
      </c>
      <c r="QFV1590" s="55">
        <f t="shared" si="220"/>
        <v>0</v>
      </c>
      <c r="QFW1590" s="55">
        <f t="shared" si="220"/>
        <v>0</v>
      </c>
      <c r="QFX1590" s="55">
        <f t="shared" si="220"/>
        <v>0</v>
      </c>
      <c r="QFY1590" s="55">
        <f t="shared" si="220"/>
        <v>0</v>
      </c>
      <c r="QFZ1590" s="55">
        <f t="shared" si="220"/>
        <v>0</v>
      </c>
      <c r="QGA1590" s="55">
        <f t="shared" si="220"/>
        <v>0</v>
      </c>
      <c r="QGB1590" s="55">
        <f t="shared" si="220"/>
        <v>0</v>
      </c>
      <c r="QGC1590" s="55">
        <f t="shared" si="220"/>
        <v>0</v>
      </c>
      <c r="QGD1590" s="55">
        <f t="shared" si="220"/>
        <v>0</v>
      </c>
      <c r="QGE1590" s="55">
        <f t="shared" si="220"/>
        <v>0</v>
      </c>
      <c r="QGF1590" s="55">
        <f t="shared" si="220"/>
        <v>0</v>
      </c>
      <c r="QGG1590" s="55">
        <f t="shared" si="220"/>
        <v>0</v>
      </c>
      <c r="QGH1590" s="55">
        <f t="shared" si="220"/>
        <v>0</v>
      </c>
      <c r="QGI1590" s="55">
        <f t="shared" si="220"/>
        <v>0</v>
      </c>
      <c r="QGJ1590" s="55">
        <f t="shared" si="220"/>
        <v>0</v>
      </c>
      <c r="QGK1590" s="55">
        <f t="shared" si="220"/>
        <v>0</v>
      </c>
      <c r="QGL1590" s="55">
        <f t="shared" si="220"/>
        <v>0</v>
      </c>
      <c r="QGM1590" s="55">
        <f t="shared" si="220"/>
        <v>0</v>
      </c>
      <c r="QGN1590" s="55">
        <f t="shared" si="220"/>
        <v>0</v>
      </c>
      <c r="QGO1590" s="55">
        <f t="shared" si="220"/>
        <v>0</v>
      </c>
      <c r="QGP1590" s="55">
        <f t="shared" si="220"/>
        <v>0</v>
      </c>
      <c r="QGQ1590" s="55">
        <f t="shared" si="220"/>
        <v>0</v>
      </c>
      <c r="QGR1590" s="55">
        <f t="shared" si="220"/>
        <v>0</v>
      </c>
      <c r="QGS1590" s="55">
        <f t="shared" si="220"/>
        <v>0</v>
      </c>
      <c r="QGT1590" s="55">
        <f t="shared" si="220"/>
        <v>0</v>
      </c>
      <c r="QGU1590" s="55">
        <f t="shared" si="220"/>
        <v>0</v>
      </c>
      <c r="QGV1590" s="55">
        <f t="shared" si="220"/>
        <v>0</v>
      </c>
      <c r="QGW1590" s="55">
        <f t="shared" si="220"/>
        <v>0</v>
      </c>
      <c r="QGX1590" s="55">
        <f t="shared" si="220"/>
        <v>0</v>
      </c>
      <c r="QGY1590" s="55">
        <f t="shared" si="220"/>
        <v>0</v>
      </c>
      <c r="QGZ1590" s="55">
        <f t="shared" si="220"/>
        <v>0</v>
      </c>
      <c r="QHA1590" s="55">
        <f t="shared" si="220"/>
        <v>0</v>
      </c>
      <c r="QHB1590" s="55">
        <f t="shared" si="220"/>
        <v>0</v>
      </c>
      <c r="QHC1590" s="55">
        <f t="shared" si="220"/>
        <v>0</v>
      </c>
      <c r="QHD1590" s="55">
        <f t="shared" si="220"/>
        <v>0</v>
      </c>
      <c r="QHE1590" s="55">
        <f t="shared" si="220"/>
        <v>0</v>
      </c>
      <c r="QHF1590" s="55">
        <f t="shared" si="220"/>
        <v>0</v>
      </c>
      <c r="QHG1590" s="55">
        <f t="shared" si="220"/>
        <v>0</v>
      </c>
      <c r="QHH1590" s="55">
        <f t="shared" si="220"/>
        <v>0</v>
      </c>
      <c r="QHI1590" s="55">
        <f t="shared" si="220"/>
        <v>0</v>
      </c>
      <c r="QHJ1590" s="55">
        <f t="shared" si="220"/>
        <v>0</v>
      </c>
      <c r="QHK1590" s="55">
        <f t="shared" si="220"/>
        <v>0</v>
      </c>
      <c r="QHL1590" s="55">
        <f t="shared" si="220"/>
        <v>0</v>
      </c>
      <c r="QHM1590" s="55">
        <f t="shared" si="220"/>
        <v>0</v>
      </c>
      <c r="QHN1590" s="55">
        <f t="shared" si="220"/>
        <v>0</v>
      </c>
      <c r="QHO1590" s="55">
        <f t="shared" si="220"/>
        <v>0</v>
      </c>
      <c r="QHP1590" s="55">
        <f t="shared" si="220"/>
        <v>0</v>
      </c>
      <c r="QHQ1590" s="55">
        <f t="shared" si="220"/>
        <v>0</v>
      </c>
      <c r="QHR1590" s="55">
        <f t="shared" si="220"/>
        <v>0</v>
      </c>
      <c r="QHS1590" s="55">
        <f t="shared" si="220"/>
        <v>0</v>
      </c>
      <c r="QHT1590" s="55">
        <f t="shared" si="220"/>
        <v>0</v>
      </c>
      <c r="QHU1590" s="55">
        <f t="shared" si="220"/>
        <v>0</v>
      </c>
      <c r="QHV1590" s="55">
        <f t="shared" si="220"/>
        <v>0</v>
      </c>
      <c r="QHW1590" s="55">
        <f t="shared" si="220"/>
        <v>0</v>
      </c>
      <c r="QHX1590" s="55">
        <f t="shared" ref="QHX1590:QKI1590" si="221">+(QHX1600+QHX1604)*1.18*1.1</f>
        <v>0</v>
      </c>
      <c r="QHY1590" s="55">
        <f t="shared" si="221"/>
        <v>0</v>
      </c>
      <c r="QHZ1590" s="55">
        <f t="shared" si="221"/>
        <v>0</v>
      </c>
      <c r="QIA1590" s="55">
        <f t="shared" si="221"/>
        <v>0</v>
      </c>
      <c r="QIB1590" s="55">
        <f t="shared" si="221"/>
        <v>0</v>
      </c>
      <c r="QIC1590" s="55">
        <f t="shared" si="221"/>
        <v>0</v>
      </c>
      <c r="QID1590" s="55">
        <f t="shared" si="221"/>
        <v>0</v>
      </c>
      <c r="QIE1590" s="55">
        <f t="shared" si="221"/>
        <v>0</v>
      </c>
      <c r="QIF1590" s="55">
        <f t="shared" si="221"/>
        <v>0</v>
      </c>
      <c r="QIG1590" s="55">
        <f t="shared" si="221"/>
        <v>0</v>
      </c>
      <c r="QIH1590" s="55">
        <f t="shared" si="221"/>
        <v>0</v>
      </c>
      <c r="QII1590" s="55">
        <f t="shared" si="221"/>
        <v>0</v>
      </c>
      <c r="QIJ1590" s="55">
        <f t="shared" si="221"/>
        <v>0</v>
      </c>
      <c r="QIK1590" s="55">
        <f t="shared" si="221"/>
        <v>0</v>
      </c>
      <c r="QIL1590" s="55">
        <f t="shared" si="221"/>
        <v>0</v>
      </c>
      <c r="QIM1590" s="55">
        <f t="shared" si="221"/>
        <v>0</v>
      </c>
      <c r="QIN1590" s="55">
        <f t="shared" si="221"/>
        <v>0</v>
      </c>
      <c r="QIO1590" s="55">
        <f t="shared" si="221"/>
        <v>0</v>
      </c>
      <c r="QIP1590" s="55">
        <f t="shared" si="221"/>
        <v>0</v>
      </c>
      <c r="QIQ1590" s="55">
        <f t="shared" si="221"/>
        <v>0</v>
      </c>
      <c r="QIR1590" s="55">
        <f t="shared" si="221"/>
        <v>0</v>
      </c>
      <c r="QIS1590" s="55">
        <f t="shared" si="221"/>
        <v>0</v>
      </c>
      <c r="QIT1590" s="55">
        <f t="shared" si="221"/>
        <v>0</v>
      </c>
      <c r="QIU1590" s="55">
        <f t="shared" si="221"/>
        <v>0</v>
      </c>
      <c r="QIV1590" s="55">
        <f t="shared" si="221"/>
        <v>0</v>
      </c>
      <c r="QIW1590" s="55">
        <f t="shared" si="221"/>
        <v>0</v>
      </c>
      <c r="QIX1590" s="55">
        <f t="shared" si="221"/>
        <v>0</v>
      </c>
      <c r="QIY1590" s="55">
        <f t="shared" si="221"/>
        <v>0</v>
      </c>
      <c r="QIZ1590" s="55">
        <f t="shared" si="221"/>
        <v>0</v>
      </c>
      <c r="QJA1590" s="55">
        <f t="shared" si="221"/>
        <v>0</v>
      </c>
      <c r="QJB1590" s="55">
        <f t="shared" si="221"/>
        <v>0</v>
      </c>
      <c r="QJC1590" s="55">
        <f t="shared" si="221"/>
        <v>0</v>
      </c>
      <c r="QJD1590" s="55">
        <f t="shared" si="221"/>
        <v>0</v>
      </c>
      <c r="QJE1590" s="55">
        <f t="shared" si="221"/>
        <v>0</v>
      </c>
      <c r="QJF1590" s="55">
        <f t="shared" si="221"/>
        <v>0</v>
      </c>
      <c r="QJG1590" s="55">
        <f t="shared" si="221"/>
        <v>0</v>
      </c>
      <c r="QJH1590" s="55">
        <f t="shared" si="221"/>
        <v>0</v>
      </c>
      <c r="QJI1590" s="55">
        <f t="shared" si="221"/>
        <v>0</v>
      </c>
      <c r="QJJ1590" s="55">
        <f t="shared" si="221"/>
        <v>0</v>
      </c>
      <c r="QJK1590" s="55">
        <f t="shared" si="221"/>
        <v>0</v>
      </c>
      <c r="QJL1590" s="55">
        <f t="shared" si="221"/>
        <v>0</v>
      </c>
      <c r="QJM1590" s="55">
        <f t="shared" si="221"/>
        <v>0</v>
      </c>
      <c r="QJN1590" s="55">
        <f t="shared" si="221"/>
        <v>0</v>
      </c>
      <c r="QJO1590" s="55">
        <f t="shared" si="221"/>
        <v>0</v>
      </c>
      <c r="QJP1590" s="55">
        <f t="shared" si="221"/>
        <v>0</v>
      </c>
      <c r="QJQ1590" s="55">
        <f t="shared" si="221"/>
        <v>0</v>
      </c>
      <c r="QJR1590" s="55">
        <f t="shared" si="221"/>
        <v>0</v>
      </c>
      <c r="QJS1590" s="55">
        <f t="shared" si="221"/>
        <v>0</v>
      </c>
      <c r="QJT1590" s="55">
        <f t="shared" si="221"/>
        <v>0</v>
      </c>
      <c r="QJU1590" s="55">
        <f t="shared" si="221"/>
        <v>0</v>
      </c>
      <c r="QJV1590" s="55">
        <f t="shared" si="221"/>
        <v>0</v>
      </c>
      <c r="QJW1590" s="55">
        <f t="shared" si="221"/>
        <v>0</v>
      </c>
      <c r="QJX1590" s="55">
        <f t="shared" si="221"/>
        <v>0</v>
      </c>
      <c r="QJY1590" s="55">
        <f t="shared" si="221"/>
        <v>0</v>
      </c>
      <c r="QJZ1590" s="55">
        <f t="shared" si="221"/>
        <v>0</v>
      </c>
      <c r="QKA1590" s="55">
        <f t="shared" si="221"/>
        <v>0</v>
      </c>
      <c r="QKB1590" s="55">
        <f t="shared" si="221"/>
        <v>0</v>
      </c>
      <c r="QKC1590" s="55">
        <f t="shared" si="221"/>
        <v>0</v>
      </c>
      <c r="QKD1590" s="55">
        <f t="shared" si="221"/>
        <v>0</v>
      </c>
      <c r="QKE1590" s="55">
        <f t="shared" si="221"/>
        <v>0</v>
      </c>
      <c r="QKF1590" s="55">
        <f t="shared" si="221"/>
        <v>0</v>
      </c>
      <c r="QKG1590" s="55">
        <f t="shared" si="221"/>
        <v>0</v>
      </c>
      <c r="QKH1590" s="55">
        <f t="shared" si="221"/>
        <v>0</v>
      </c>
      <c r="QKI1590" s="55">
        <f t="shared" si="221"/>
        <v>0</v>
      </c>
      <c r="QKJ1590" s="55">
        <f t="shared" ref="QKJ1590:QMU1590" si="222">+(QKJ1600+QKJ1604)*1.18*1.1</f>
        <v>0</v>
      </c>
      <c r="QKK1590" s="55">
        <f t="shared" si="222"/>
        <v>0</v>
      </c>
      <c r="QKL1590" s="55">
        <f t="shared" si="222"/>
        <v>0</v>
      </c>
      <c r="QKM1590" s="55">
        <f t="shared" si="222"/>
        <v>0</v>
      </c>
      <c r="QKN1590" s="55">
        <f t="shared" si="222"/>
        <v>0</v>
      </c>
      <c r="QKO1590" s="55">
        <f t="shared" si="222"/>
        <v>0</v>
      </c>
      <c r="QKP1590" s="55">
        <f t="shared" si="222"/>
        <v>0</v>
      </c>
      <c r="QKQ1590" s="55">
        <f t="shared" si="222"/>
        <v>0</v>
      </c>
      <c r="QKR1590" s="55">
        <f t="shared" si="222"/>
        <v>0</v>
      </c>
      <c r="QKS1590" s="55">
        <f t="shared" si="222"/>
        <v>0</v>
      </c>
      <c r="QKT1590" s="55">
        <f t="shared" si="222"/>
        <v>0</v>
      </c>
      <c r="QKU1590" s="55">
        <f t="shared" si="222"/>
        <v>0</v>
      </c>
      <c r="QKV1590" s="55">
        <f t="shared" si="222"/>
        <v>0</v>
      </c>
      <c r="QKW1590" s="55">
        <f t="shared" si="222"/>
        <v>0</v>
      </c>
      <c r="QKX1590" s="55">
        <f t="shared" si="222"/>
        <v>0</v>
      </c>
      <c r="QKY1590" s="55">
        <f t="shared" si="222"/>
        <v>0</v>
      </c>
      <c r="QKZ1590" s="55">
        <f t="shared" si="222"/>
        <v>0</v>
      </c>
      <c r="QLA1590" s="55">
        <f t="shared" si="222"/>
        <v>0</v>
      </c>
      <c r="QLB1590" s="55">
        <f t="shared" si="222"/>
        <v>0</v>
      </c>
      <c r="QLC1590" s="55">
        <f t="shared" si="222"/>
        <v>0</v>
      </c>
      <c r="QLD1590" s="55">
        <f t="shared" si="222"/>
        <v>0</v>
      </c>
      <c r="QLE1590" s="55">
        <f t="shared" si="222"/>
        <v>0</v>
      </c>
      <c r="QLF1590" s="55">
        <f t="shared" si="222"/>
        <v>0</v>
      </c>
      <c r="QLG1590" s="55">
        <f t="shared" si="222"/>
        <v>0</v>
      </c>
      <c r="QLH1590" s="55">
        <f t="shared" si="222"/>
        <v>0</v>
      </c>
      <c r="QLI1590" s="55">
        <f t="shared" si="222"/>
        <v>0</v>
      </c>
      <c r="QLJ1590" s="55">
        <f t="shared" si="222"/>
        <v>0</v>
      </c>
      <c r="QLK1590" s="55">
        <f t="shared" si="222"/>
        <v>0</v>
      </c>
      <c r="QLL1590" s="55">
        <f t="shared" si="222"/>
        <v>0</v>
      </c>
      <c r="QLM1590" s="55">
        <f t="shared" si="222"/>
        <v>0</v>
      </c>
      <c r="QLN1590" s="55">
        <f t="shared" si="222"/>
        <v>0</v>
      </c>
      <c r="QLO1590" s="55">
        <f t="shared" si="222"/>
        <v>0</v>
      </c>
      <c r="QLP1590" s="55">
        <f t="shared" si="222"/>
        <v>0</v>
      </c>
      <c r="QLQ1590" s="55">
        <f t="shared" si="222"/>
        <v>0</v>
      </c>
      <c r="QLR1590" s="55">
        <f t="shared" si="222"/>
        <v>0</v>
      </c>
      <c r="QLS1590" s="55">
        <f t="shared" si="222"/>
        <v>0</v>
      </c>
      <c r="QLT1590" s="55">
        <f t="shared" si="222"/>
        <v>0</v>
      </c>
      <c r="QLU1590" s="55">
        <f t="shared" si="222"/>
        <v>0</v>
      </c>
      <c r="QLV1590" s="55">
        <f t="shared" si="222"/>
        <v>0</v>
      </c>
      <c r="QLW1590" s="55">
        <f t="shared" si="222"/>
        <v>0</v>
      </c>
      <c r="QLX1590" s="55">
        <f t="shared" si="222"/>
        <v>0</v>
      </c>
      <c r="QLY1590" s="55">
        <f t="shared" si="222"/>
        <v>0</v>
      </c>
      <c r="QLZ1590" s="55">
        <f t="shared" si="222"/>
        <v>0</v>
      </c>
      <c r="QMA1590" s="55">
        <f t="shared" si="222"/>
        <v>0</v>
      </c>
      <c r="QMB1590" s="55">
        <f t="shared" si="222"/>
        <v>0</v>
      </c>
      <c r="QMC1590" s="55">
        <f t="shared" si="222"/>
        <v>0</v>
      </c>
      <c r="QMD1590" s="55">
        <f t="shared" si="222"/>
        <v>0</v>
      </c>
      <c r="QME1590" s="55">
        <f t="shared" si="222"/>
        <v>0</v>
      </c>
      <c r="QMF1590" s="55">
        <f t="shared" si="222"/>
        <v>0</v>
      </c>
      <c r="QMG1590" s="55">
        <f t="shared" si="222"/>
        <v>0</v>
      </c>
      <c r="QMH1590" s="55">
        <f t="shared" si="222"/>
        <v>0</v>
      </c>
      <c r="QMI1590" s="55">
        <f t="shared" si="222"/>
        <v>0</v>
      </c>
      <c r="QMJ1590" s="55">
        <f t="shared" si="222"/>
        <v>0</v>
      </c>
      <c r="QMK1590" s="55">
        <f t="shared" si="222"/>
        <v>0</v>
      </c>
      <c r="QML1590" s="55">
        <f t="shared" si="222"/>
        <v>0</v>
      </c>
      <c r="QMM1590" s="55">
        <f t="shared" si="222"/>
        <v>0</v>
      </c>
      <c r="QMN1590" s="55">
        <f t="shared" si="222"/>
        <v>0</v>
      </c>
      <c r="QMO1590" s="55">
        <f t="shared" si="222"/>
        <v>0</v>
      </c>
      <c r="QMP1590" s="55">
        <f t="shared" si="222"/>
        <v>0</v>
      </c>
      <c r="QMQ1590" s="55">
        <f t="shared" si="222"/>
        <v>0</v>
      </c>
      <c r="QMR1590" s="55">
        <f t="shared" si="222"/>
        <v>0</v>
      </c>
      <c r="QMS1590" s="55">
        <f t="shared" si="222"/>
        <v>0</v>
      </c>
      <c r="QMT1590" s="55">
        <f t="shared" si="222"/>
        <v>0</v>
      </c>
      <c r="QMU1590" s="55">
        <f t="shared" si="222"/>
        <v>0</v>
      </c>
      <c r="QMV1590" s="55">
        <f t="shared" ref="QMV1590:QPG1590" si="223">+(QMV1600+QMV1604)*1.18*1.1</f>
        <v>0</v>
      </c>
      <c r="QMW1590" s="55">
        <f t="shared" si="223"/>
        <v>0</v>
      </c>
      <c r="QMX1590" s="55">
        <f t="shared" si="223"/>
        <v>0</v>
      </c>
      <c r="QMY1590" s="55">
        <f t="shared" si="223"/>
        <v>0</v>
      </c>
      <c r="QMZ1590" s="55">
        <f t="shared" si="223"/>
        <v>0</v>
      </c>
      <c r="QNA1590" s="55">
        <f t="shared" si="223"/>
        <v>0</v>
      </c>
      <c r="QNB1590" s="55">
        <f t="shared" si="223"/>
        <v>0</v>
      </c>
      <c r="QNC1590" s="55">
        <f t="shared" si="223"/>
        <v>0</v>
      </c>
      <c r="QND1590" s="55">
        <f t="shared" si="223"/>
        <v>0</v>
      </c>
      <c r="QNE1590" s="55">
        <f t="shared" si="223"/>
        <v>0</v>
      </c>
      <c r="QNF1590" s="55">
        <f t="shared" si="223"/>
        <v>0</v>
      </c>
      <c r="QNG1590" s="55">
        <f t="shared" si="223"/>
        <v>0</v>
      </c>
      <c r="QNH1590" s="55">
        <f t="shared" si="223"/>
        <v>0</v>
      </c>
      <c r="QNI1590" s="55">
        <f t="shared" si="223"/>
        <v>0</v>
      </c>
      <c r="QNJ1590" s="55">
        <f t="shared" si="223"/>
        <v>0</v>
      </c>
      <c r="QNK1590" s="55">
        <f t="shared" si="223"/>
        <v>0</v>
      </c>
      <c r="QNL1590" s="55">
        <f t="shared" si="223"/>
        <v>0</v>
      </c>
      <c r="QNM1590" s="55">
        <f t="shared" si="223"/>
        <v>0</v>
      </c>
      <c r="QNN1590" s="55">
        <f t="shared" si="223"/>
        <v>0</v>
      </c>
      <c r="QNO1590" s="55">
        <f t="shared" si="223"/>
        <v>0</v>
      </c>
      <c r="QNP1590" s="55">
        <f t="shared" si="223"/>
        <v>0</v>
      </c>
      <c r="QNQ1590" s="55">
        <f t="shared" si="223"/>
        <v>0</v>
      </c>
      <c r="QNR1590" s="55">
        <f t="shared" si="223"/>
        <v>0</v>
      </c>
      <c r="QNS1590" s="55">
        <f t="shared" si="223"/>
        <v>0</v>
      </c>
      <c r="QNT1590" s="55">
        <f t="shared" si="223"/>
        <v>0</v>
      </c>
      <c r="QNU1590" s="55">
        <f t="shared" si="223"/>
        <v>0</v>
      </c>
      <c r="QNV1590" s="55">
        <f t="shared" si="223"/>
        <v>0</v>
      </c>
      <c r="QNW1590" s="55">
        <f t="shared" si="223"/>
        <v>0</v>
      </c>
      <c r="QNX1590" s="55">
        <f t="shared" si="223"/>
        <v>0</v>
      </c>
      <c r="QNY1590" s="55">
        <f t="shared" si="223"/>
        <v>0</v>
      </c>
      <c r="QNZ1590" s="55">
        <f t="shared" si="223"/>
        <v>0</v>
      </c>
      <c r="QOA1590" s="55">
        <f t="shared" si="223"/>
        <v>0</v>
      </c>
      <c r="QOB1590" s="55">
        <f t="shared" si="223"/>
        <v>0</v>
      </c>
      <c r="QOC1590" s="55">
        <f t="shared" si="223"/>
        <v>0</v>
      </c>
      <c r="QOD1590" s="55">
        <f t="shared" si="223"/>
        <v>0</v>
      </c>
      <c r="QOE1590" s="55">
        <f t="shared" si="223"/>
        <v>0</v>
      </c>
      <c r="QOF1590" s="55">
        <f t="shared" si="223"/>
        <v>0</v>
      </c>
      <c r="QOG1590" s="55">
        <f t="shared" si="223"/>
        <v>0</v>
      </c>
      <c r="QOH1590" s="55">
        <f t="shared" si="223"/>
        <v>0</v>
      </c>
      <c r="QOI1590" s="55">
        <f t="shared" si="223"/>
        <v>0</v>
      </c>
      <c r="QOJ1590" s="55">
        <f t="shared" si="223"/>
        <v>0</v>
      </c>
      <c r="QOK1590" s="55">
        <f t="shared" si="223"/>
        <v>0</v>
      </c>
      <c r="QOL1590" s="55">
        <f t="shared" si="223"/>
        <v>0</v>
      </c>
      <c r="QOM1590" s="55">
        <f t="shared" si="223"/>
        <v>0</v>
      </c>
      <c r="QON1590" s="55">
        <f t="shared" si="223"/>
        <v>0</v>
      </c>
      <c r="QOO1590" s="55">
        <f t="shared" si="223"/>
        <v>0</v>
      </c>
      <c r="QOP1590" s="55">
        <f t="shared" si="223"/>
        <v>0</v>
      </c>
      <c r="QOQ1590" s="55">
        <f t="shared" si="223"/>
        <v>0</v>
      </c>
      <c r="QOR1590" s="55">
        <f t="shared" si="223"/>
        <v>0</v>
      </c>
      <c r="QOS1590" s="55">
        <f t="shared" si="223"/>
        <v>0</v>
      </c>
      <c r="QOT1590" s="55">
        <f t="shared" si="223"/>
        <v>0</v>
      </c>
      <c r="QOU1590" s="55">
        <f t="shared" si="223"/>
        <v>0</v>
      </c>
      <c r="QOV1590" s="55">
        <f t="shared" si="223"/>
        <v>0</v>
      </c>
      <c r="QOW1590" s="55">
        <f t="shared" si="223"/>
        <v>0</v>
      </c>
      <c r="QOX1590" s="55">
        <f t="shared" si="223"/>
        <v>0</v>
      </c>
      <c r="QOY1590" s="55">
        <f t="shared" si="223"/>
        <v>0</v>
      </c>
      <c r="QOZ1590" s="55">
        <f t="shared" si="223"/>
        <v>0</v>
      </c>
      <c r="QPA1590" s="55">
        <f t="shared" si="223"/>
        <v>0</v>
      </c>
      <c r="QPB1590" s="55">
        <f t="shared" si="223"/>
        <v>0</v>
      </c>
      <c r="QPC1590" s="55">
        <f t="shared" si="223"/>
        <v>0</v>
      </c>
      <c r="QPD1590" s="55">
        <f t="shared" si="223"/>
        <v>0</v>
      </c>
      <c r="QPE1590" s="55">
        <f t="shared" si="223"/>
        <v>0</v>
      </c>
      <c r="QPF1590" s="55">
        <f t="shared" si="223"/>
        <v>0</v>
      </c>
      <c r="QPG1590" s="55">
        <f t="shared" si="223"/>
        <v>0</v>
      </c>
      <c r="QPH1590" s="55">
        <f t="shared" ref="QPH1590:QRS1590" si="224">+(QPH1600+QPH1604)*1.18*1.1</f>
        <v>0</v>
      </c>
      <c r="QPI1590" s="55">
        <f t="shared" si="224"/>
        <v>0</v>
      </c>
      <c r="QPJ1590" s="55">
        <f t="shared" si="224"/>
        <v>0</v>
      </c>
      <c r="QPK1590" s="55">
        <f t="shared" si="224"/>
        <v>0</v>
      </c>
      <c r="QPL1590" s="55">
        <f t="shared" si="224"/>
        <v>0</v>
      </c>
      <c r="QPM1590" s="55">
        <f t="shared" si="224"/>
        <v>0</v>
      </c>
      <c r="QPN1590" s="55">
        <f t="shared" si="224"/>
        <v>0</v>
      </c>
      <c r="QPO1590" s="55">
        <f t="shared" si="224"/>
        <v>0</v>
      </c>
      <c r="QPP1590" s="55">
        <f t="shared" si="224"/>
        <v>0</v>
      </c>
      <c r="QPQ1590" s="55">
        <f t="shared" si="224"/>
        <v>0</v>
      </c>
      <c r="QPR1590" s="55">
        <f t="shared" si="224"/>
        <v>0</v>
      </c>
      <c r="QPS1590" s="55">
        <f t="shared" si="224"/>
        <v>0</v>
      </c>
      <c r="QPT1590" s="55">
        <f t="shared" si="224"/>
        <v>0</v>
      </c>
      <c r="QPU1590" s="55">
        <f t="shared" si="224"/>
        <v>0</v>
      </c>
      <c r="QPV1590" s="55">
        <f t="shared" si="224"/>
        <v>0</v>
      </c>
      <c r="QPW1590" s="55">
        <f t="shared" si="224"/>
        <v>0</v>
      </c>
      <c r="QPX1590" s="55">
        <f t="shared" si="224"/>
        <v>0</v>
      </c>
      <c r="QPY1590" s="55">
        <f t="shared" si="224"/>
        <v>0</v>
      </c>
      <c r="QPZ1590" s="55">
        <f t="shared" si="224"/>
        <v>0</v>
      </c>
      <c r="QQA1590" s="55">
        <f t="shared" si="224"/>
        <v>0</v>
      </c>
      <c r="QQB1590" s="55">
        <f t="shared" si="224"/>
        <v>0</v>
      </c>
      <c r="QQC1590" s="55">
        <f t="shared" si="224"/>
        <v>0</v>
      </c>
      <c r="QQD1590" s="55">
        <f t="shared" si="224"/>
        <v>0</v>
      </c>
      <c r="QQE1590" s="55">
        <f t="shared" si="224"/>
        <v>0</v>
      </c>
      <c r="QQF1590" s="55">
        <f t="shared" si="224"/>
        <v>0</v>
      </c>
      <c r="QQG1590" s="55">
        <f t="shared" si="224"/>
        <v>0</v>
      </c>
      <c r="QQH1590" s="55">
        <f t="shared" si="224"/>
        <v>0</v>
      </c>
      <c r="QQI1590" s="55">
        <f t="shared" si="224"/>
        <v>0</v>
      </c>
      <c r="QQJ1590" s="55">
        <f t="shared" si="224"/>
        <v>0</v>
      </c>
      <c r="QQK1590" s="55">
        <f t="shared" si="224"/>
        <v>0</v>
      </c>
      <c r="QQL1590" s="55">
        <f t="shared" si="224"/>
        <v>0</v>
      </c>
      <c r="QQM1590" s="55">
        <f t="shared" si="224"/>
        <v>0</v>
      </c>
      <c r="QQN1590" s="55">
        <f t="shared" si="224"/>
        <v>0</v>
      </c>
      <c r="QQO1590" s="55">
        <f t="shared" si="224"/>
        <v>0</v>
      </c>
      <c r="QQP1590" s="55">
        <f t="shared" si="224"/>
        <v>0</v>
      </c>
      <c r="QQQ1590" s="55">
        <f t="shared" si="224"/>
        <v>0</v>
      </c>
      <c r="QQR1590" s="55">
        <f t="shared" si="224"/>
        <v>0</v>
      </c>
      <c r="QQS1590" s="55">
        <f t="shared" si="224"/>
        <v>0</v>
      </c>
      <c r="QQT1590" s="55">
        <f t="shared" si="224"/>
        <v>0</v>
      </c>
      <c r="QQU1590" s="55">
        <f t="shared" si="224"/>
        <v>0</v>
      </c>
      <c r="QQV1590" s="55">
        <f t="shared" si="224"/>
        <v>0</v>
      </c>
      <c r="QQW1590" s="55">
        <f t="shared" si="224"/>
        <v>0</v>
      </c>
      <c r="QQX1590" s="55">
        <f t="shared" si="224"/>
        <v>0</v>
      </c>
      <c r="QQY1590" s="55">
        <f t="shared" si="224"/>
        <v>0</v>
      </c>
      <c r="QQZ1590" s="55">
        <f t="shared" si="224"/>
        <v>0</v>
      </c>
      <c r="QRA1590" s="55">
        <f t="shared" si="224"/>
        <v>0</v>
      </c>
      <c r="QRB1590" s="55">
        <f t="shared" si="224"/>
        <v>0</v>
      </c>
      <c r="QRC1590" s="55">
        <f t="shared" si="224"/>
        <v>0</v>
      </c>
      <c r="QRD1590" s="55">
        <f t="shared" si="224"/>
        <v>0</v>
      </c>
      <c r="QRE1590" s="55">
        <f t="shared" si="224"/>
        <v>0</v>
      </c>
      <c r="QRF1590" s="55">
        <f t="shared" si="224"/>
        <v>0</v>
      </c>
      <c r="QRG1590" s="55">
        <f t="shared" si="224"/>
        <v>0</v>
      </c>
      <c r="QRH1590" s="55">
        <f t="shared" si="224"/>
        <v>0</v>
      </c>
      <c r="QRI1590" s="55">
        <f t="shared" si="224"/>
        <v>0</v>
      </c>
      <c r="QRJ1590" s="55">
        <f t="shared" si="224"/>
        <v>0</v>
      </c>
      <c r="QRK1590" s="55">
        <f t="shared" si="224"/>
        <v>0</v>
      </c>
      <c r="QRL1590" s="55">
        <f t="shared" si="224"/>
        <v>0</v>
      </c>
      <c r="QRM1590" s="55">
        <f t="shared" si="224"/>
        <v>0</v>
      </c>
      <c r="QRN1590" s="55">
        <f t="shared" si="224"/>
        <v>0</v>
      </c>
      <c r="QRO1590" s="55">
        <f t="shared" si="224"/>
        <v>0</v>
      </c>
      <c r="QRP1590" s="55">
        <f t="shared" si="224"/>
        <v>0</v>
      </c>
      <c r="QRQ1590" s="55">
        <f t="shared" si="224"/>
        <v>0</v>
      </c>
      <c r="QRR1590" s="55">
        <f t="shared" si="224"/>
        <v>0</v>
      </c>
      <c r="QRS1590" s="55">
        <f t="shared" si="224"/>
        <v>0</v>
      </c>
      <c r="QRT1590" s="55">
        <f t="shared" ref="QRT1590:QUE1590" si="225">+(QRT1600+QRT1604)*1.18*1.1</f>
        <v>0</v>
      </c>
      <c r="QRU1590" s="55">
        <f t="shared" si="225"/>
        <v>0</v>
      </c>
      <c r="QRV1590" s="55">
        <f t="shared" si="225"/>
        <v>0</v>
      </c>
      <c r="QRW1590" s="55">
        <f t="shared" si="225"/>
        <v>0</v>
      </c>
      <c r="QRX1590" s="55">
        <f t="shared" si="225"/>
        <v>0</v>
      </c>
      <c r="QRY1590" s="55">
        <f t="shared" si="225"/>
        <v>0</v>
      </c>
      <c r="QRZ1590" s="55">
        <f t="shared" si="225"/>
        <v>0</v>
      </c>
      <c r="QSA1590" s="55">
        <f t="shared" si="225"/>
        <v>0</v>
      </c>
      <c r="QSB1590" s="55">
        <f t="shared" si="225"/>
        <v>0</v>
      </c>
      <c r="QSC1590" s="55">
        <f t="shared" si="225"/>
        <v>0</v>
      </c>
      <c r="QSD1590" s="55">
        <f t="shared" si="225"/>
        <v>0</v>
      </c>
      <c r="QSE1590" s="55">
        <f t="shared" si="225"/>
        <v>0</v>
      </c>
      <c r="QSF1590" s="55">
        <f t="shared" si="225"/>
        <v>0</v>
      </c>
      <c r="QSG1590" s="55">
        <f t="shared" si="225"/>
        <v>0</v>
      </c>
      <c r="QSH1590" s="55">
        <f t="shared" si="225"/>
        <v>0</v>
      </c>
      <c r="QSI1590" s="55">
        <f t="shared" si="225"/>
        <v>0</v>
      </c>
      <c r="QSJ1590" s="55">
        <f t="shared" si="225"/>
        <v>0</v>
      </c>
      <c r="QSK1590" s="55">
        <f t="shared" si="225"/>
        <v>0</v>
      </c>
      <c r="QSL1590" s="55">
        <f t="shared" si="225"/>
        <v>0</v>
      </c>
      <c r="QSM1590" s="55">
        <f t="shared" si="225"/>
        <v>0</v>
      </c>
      <c r="QSN1590" s="55">
        <f t="shared" si="225"/>
        <v>0</v>
      </c>
      <c r="QSO1590" s="55">
        <f t="shared" si="225"/>
        <v>0</v>
      </c>
      <c r="QSP1590" s="55">
        <f t="shared" si="225"/>
        <v>0</v>
      </c>
      <c r="QSQ1590" s="55">
        <f t="shared" si="225"/>
        <v>0</v>
      </c>
      <c r="QSR1590" s="55">
        <f t="shared" si="225"/>
        <v>0</v>
      </c>
      <c r="QSS1590" s="55">
        <f t="shared" si="225"/>
        <v>0</v>
      </c>
      <c r="QST1590" s="55">
        <f t="shared" si="225"/>
        <v>0</v>
      </c>
      <c r="QSU1590" s="55">
        <f t="shared" si="225"/>
        <v>0</v>
      </c>
      <c r="QSV1590" s="55">
        <f t="shared" si="225"/>
        <v>0</v>
      </c>
      <c r="QSW1590" s="55">
        <f t="shared" si="225"/>
        <v>0</v>
      </c>
      <c r="QSX1590" s="55">
        <f t="shared" si="225"/>
        <v>0</v>
      </c>
      <c r="QSY1590" s="55">
        <f t="shared" si="225"/>
        <v>0</v>
      </c>
      <c r="QSZ1590" s="55">
        <f t="shared" si="225"/>
        <v>0</v>
      </c>
      <c r="QTA1590" s="55">
        <f t="shared" si="225"/>
        <v>0</v>
      </c>
      <c r="QTB1590" s="55">
        <f t="shared" si="225"/>
        <v>0</v>
      </c>
      <c r="QTC1590" s="55">
        <f t="shared" si="225"/>
        <v>0</v>
      </c>
      <c r="QTD1590" s="55">
        <f t="shared" si="225"/>
        <v>0</v>
      </c>
      <c r="QTE1590" s="55">
        <f t="shared" si="225"/>
        <v>0</v>
      </c>
      <c r="QTF1590" s="55">
        <f t="shared" si="225"/>
        <v>0</v>
      </c>
      <c r="QTG1590" s="55">
        <f t="shared" si="225"/>
        <v>0</v>
      </c>
      <c r="QTH1590" s="55">
        <f t="shared" si="225"/>
        <v>0</v>
      </c>
      <c r="QTI1590" s="55">
        <f t="shared" si="225"/>
        <v>0</v>
      </c>
      <c r="QTJ1590" s="55">
        <f t="shared" si="225"/>
        <v>0</v>
      </c>
      <c r="QTK1590" s="55">
        <f t="shared" si="225"/>
        <v>0</v>
      </c>
      <c r="QTL1590" s="55">
        <f t="shared" si="225"/>
        <v>0</v>
      </c>
      <c r="QTM1590" s="55">
        <f t="shared" si="225"/>
        <v>0</v>
      </c>
      <c r="QTN1590" s="55">
        <f t="shared" si="225"/>
        <v>0</v>
      </c>
      <c r="QTO1590" s="55">
        <f t="shared" si="225"/>
        <v>0</v>
      </c>
      <c r="QTP1590" s="55">
        <f t="shared" si="225"/>
        <v>0</v>
      </c>
      <c r="QTQ1590" s="55">
        <f t="shared" si="225"/>
        <v>0</v>
      </c>
      <c r="QTR1590" s="55">
        <f t="shared" si="225"/>
        <v>0</v>
      </c>
      <c r="QTS1590" s="55">
        <f t="shared" si="225"/>
        <v>0</v>
      </c>
      <c r="QTT1590" s="55">
        <f t="shared" si="225"/>
        <v>0</v>
      </c>
      <c r="QTU1590" s="55">
        <f t="shared" si="225"/>
        <v>0</v>
      </c>
      <c r="QTV1590" s="55">
        <f t="shared" si="225"/>
        <v>0</v>
      </c>
      <c r="QTW1590" s="55">
        <f t="shared" si="225"/>
        <v>0</v>
      </c>
      <c r="QTX1590" s="55">
        <f t="shared" si="225"/>
        <v>0</v>
      </c>
      <c r="QTY1590" s="55">
        <f t="shared" si="225"/>
        <v>0</v>
      </c>
      <c r="QTZ1590" s="55">
        <f t="shared" si="225"/>
        <v>0</v>
      </c>
      <c r="QUA1590" s="55">
        <f t="shared" si="225"/>
        <v>0</v>
      </c>
      <c r="QUB1590" s="55">
        <f t="shared" si="225"/>
        <v>0</v>
      </c>
      <c r="QUC1590" s="55">
        <f t="shared" si="225"/>
        <v>0</v>
      </c>
      <c r="QUD1590" s="55">
        <f t="shared" si="225"/>
        <v>0</v>
      </c>
      <c r="QUE1590" s="55">
        <f t="shared" si="225"/>
        <v>0</v>
      </c>
      <c r="QUF1590" s="55">
        <f t="shared" ref="QUF1590:QWQ1590" si="226">+(QUF1600+QUF1604)*1.18*1.1</f>
        <v>0</v>
      </c>
      <c r="QUG1590" s="55">
        <f t="shared" si="226"/>
        <v>0</v>
      </c>
      <c r="QUH1590" s="55">
        <f t="shared" si="226"/>
        <v>0</v>
      </c>
      <c r="QUI1590" s="55">
        <f t="shared" si="226"/>
        <v>0</v>
      </c>
      <c r="QUJ1590" s="55">
        <f t="shared" si="226"/>
        <v>0</v>
      </c>
      <c r="QUK1590" s="55">
        <f t="shared" si="226"/>
        <v>0</v>
      </c>
      <c r="QUL1590" s="55">
        <f t="shared" si="226"/>
        <v>0</v>
      </c>
      <c r="QUM1590" s="55">
        <f t="shared" si="226"/>
        <v>0</v>
      </c>
      <c r="QUN1590" s="55">
        <f t="shared" si="226"/>
        <v>0</v>
      </c>
      <c r="QUO1590" s="55">
        <f t="shared" si="226"/>
        <v>0</v>
      </c>
      <c r="QUP1590" s="55">
        <f t="shared" si="226"/>
        <v>0</v>
      </c>
      <c r="QUQ1590" s="55">
        <f t="shared" si="226"/>
        <v>0</v>
      </c>
      <c r="QUR1590" s="55">
        <f t="shared" si="226"/>
        <v>0</v>
      </c>
      <c r="QUS1590" s="55">
        <f t="shared" si="226"/>
        <v>0</v>
      </c>
      <c r="QUT1590" s="55">
        <f t="shared" si="226"/>
        <v>0</v>
      </c>
      <c r="QUU1590" s="55">
        <f t="shared" si="226"/>
        <v>0</v>
      </c>
      <c r="QUV1590" s="55">
        <f t="shared" si="226"/>
        <v>0</v>
      </c>
      <c r="QUW1590" s="55">
        <f t="shared" si="226"/>
        <v>0</v>
      </c>
      <c r="QUX1590" s="55">
        <f t="shared" si="226"/>
        <v>0</v>
      </c>
      <c r="QUY1590" s="55">
        <f t="shared" si="226"/>
        <v>0</v>
      </c>
      <c r="QUZ1590" s="55">
        <f t="shared" si="226"/>
        <v>0</v>
      </c>
      <c r="QVA1590" s="55">
        <f t="shared" si="226"/>
        <v>0</v>
      </c>
      <c r="QVB1590" s="55">
        <f t="shared" si="226"/>
        <v>0</v>
      </c>
      <c r="QVC1590" s="55">
        <f t="shared" si="226"/>
        <v>0</v>
      </c>
      <c r="QVD1590" s="55">
        <f t="shared" si="226"/>
        <v>0</v>
      </c>
      <c r="QVE1590" s="55">
        <f t="shared" si="226"/>
        <v>0</v>
      </c>
      <c r="QVF1590" s="55">
        <f t="shared" si="226"/>
        <v>0</v>
      </c>
      <c r="QVG1590" s="55">
        <f t="shared" si="226"/>
        <v>0</v>
      </c>
      <c r="QVH1590" s="55">
        <f t="shared" si="226"/>
        <v>0</v>
      </c>
      <c r="QVI1590" s="55">
        <f t="shared" si="226"/>
        <v>0</v>
      </c>
      <c r="QVJ1590" s="55">
        <f t="shared" si="226"/>
        <v>0</v>
      </c>
      <c r="QVK1590" s="55">
        <f t="shared" si="226"/>
        <v>0</v>
      </c>
      <c r="QVL1590" s="55">
        <f t="shared" si="226"/>
        <v>0</v>
      </c>
      <c r="QVM1590" s="55">
        <f t="shared" si="226"/>
        <v>0</v>
      </c>
      <c r="QVN1590" s="55">
        <f t="shared" si="226"/>
        <v>0</v>
      </c>
      <c r="QVO1590" s="55">
        <f t="shared" si="226"/>
        <v>0</v>
      </c>
      <c r="QVP1590" s="55">
        <f t="shared" si="226"/>
        <v>0</v>
      </c>
      <c r="QVQ1590" s="55">
        <f t="shared" si="226"/>
        <v>0</v>
      </c>
      <c r="QVR1590" s="55">
        <f t="shared" si="226"/>
        <v>0</v>
      </c>
      <c r="QVS1590" s="55">
        <f t="shared" si="226"/>
        <v>0</v>
      </c>
      <c r="QVT1590" s="55">
        <f t="shared" si="226"/>
        <v>0</v>
      </c>
      <c r="QVU1590" s="55">
        <f t="shared" si="226"/>
        <v>0</v>
      </c>
      <c r="QVV1590" s="55">
        <f t="shared" si="226"/>
        <v>0</v>
      </c>
      <c r="QVW1590" s="55">
        <f t="shared" si="226"/>
        <v>0</v>
      </c>
      <c r="QVX1590" s="55">
        <f t="shared" si="226"/>
        <v>0</v>
      </c>
      <c r="QVY1590" s="55">
        <f t="shared" si="226"/>
        <v>0</v>
      </c>
      <c r="QVZ1590" s="55">
        <f t="shared" si="226"/>
        <v>0</v>
      </c>
      <c r="QWA1590" s="55">
        <f t="shared" si="226"/>
        <v>0</v>
      </c>
      <c r="QWB1590" s="55">
        <f t="shared" si="226"/>
        <v>0</v>
      </c>
      <c r="QWC1590" s="55">
        <f t="shared" si="226"/>
        <v>0</v>
      </c>
      <c r="QWD1590" s="55">
        <f t="shared" si="226"/>
        <v>0</v>
      </c>
      <c r="QWE1590" s="55">
        <f t="shared" si="226"/>
        <v>0</v>
      </c>
      <c r="QWF1590" s="55">
        <f t="shared" si="226"/>
        <v>0</v>
      </c>
      <c r="QWG1590" s="55">
        <f t="shared" si="226"/>
        <v>0</v>
      </c>
      <c r="QWH1590" s="55">
        <f t="shared" si="226"/>
        <v>0</v>
      </c>
      <c r="QWI1590" s="55">
        <f t="shared" si="226"/>
        <v>0</v>
      </c>
      <c r="QWJ1590" s="55">
        <f t="shared" si="226"/>
        <v>0</v>
      </c>
      <c r="QWK1590" s="55">
        <f t="shared" si="226"/>
        <v>0</v>
      </c>
      <c r="QWL1590" s="55">
        <f t="shared" si="226"/>
        <v>0</v>
      </c>
      <c r="QWM1590" s="55">
        <f t="shared" si="226"/>
        <v>0</v>
      </c>
      <c r="QWN1590" s="55">
        <f t="shared" si="226"/>
        <v>0</v>
      </c>
      <c r="QWO1590" s="55">
        <f t="shared" si="226"/>
        <v>0</v>
      </c>
      <c r="QWP1590" s="55">
        <f t="shared" si="226"/>
        <v>0</v>
      </c>
      <c r="QWQ1590" s="55">
        <f t="shared" si="226"/>
        <v>0</v>
      </c>
      <c r="QWR1590" s="55">
        <f t="shared" ref="QWR1590:QZC1590" si="227">+(QWR1600+QWR1604)*1.18*1.1</f>
        <v>0</v>
      </c>
      <c r="QWS1590" s="55">
        <f t="shared" si="227"/>
        <v>0</v>
      </c>
      <c r="QWT1590" s="55">
        <f t="shared" si="227"/>
        <v>0</v>
      </c>
      <c r="QWU1590" s="55">
        <f t="shared" si="227"/>
        <v>0</v>
      </c>
      <c r="QWV1590" s="55">
        <f t="shared" si="227"/>
        <v>0</v>
      </c>
      <c r="QWW1590" s="55">
        <f t="shared" si="227"/>
        <v>0</v>
      </c>
      <c r="QWX1590" s="55">
        <f t="shared" si="227"/>
        <v>0</v>
      </c>
      <c r="QWY1590" s="55">
        <f t="shared" si="227"/>
        <v>0</v>
      </c>
      <c r="QWZ1590" s="55">
        <f t="shared" si="227"/>
        <v>0</v>
      </c>
      <c r="QXA1590" s="55">
        <f t="shared" si="227"/>
        <v>0</v>
      </c>
      <c r="QXB1590" s="55">
        <f t="shared" si="227"/>
        <v>0</v>
      </c>
      <c r="QXC1590" s="55">
        <f t="shared" si="227"/>
        <v>0</v>
      </c>
      <c r="QXD1590" s="55">
        <f t="shared" si="227"/>
        <v>0</v>
      </c>
      <c r="QXE1590" s="55">
        <f t="shared" si="227"/>
        <v>0</v>
      </c>
      <c r="QXF1590" s="55">
        <f t="shared" si="227"/>
        <v>0</v>
      </c>
      <c r="QXG1590" s="55">
        <f t="shared" si="227"/>
        <v>0</v>
      </c>
      <c r="QXH1590" s="55">
        <f t="shared" si="227"/>
        <v>0</v>
      </c>
      <c r="QXI1590" s="55">
        <f t="shared" si="227"/>
        <v>0</v>
      </c>
      <c r="QXJ1590" s="55">
        <f t="shared" si="227"/>
        <v>0</v>
      </c>
      <c r="QXK1590" s="55">
        <f t="shared" si="227"/>
        <v>0</v>
      </c>
      <c r="QXL1590" s="55">
        <f t="shared" si="227"/>
        <v>0</v>
      </c>
      <c r="QXM1590" s="55">
        <f t="shared" si="227"/>
        <v>0</v>
      </c>
      <c r="QXN1590" s="55">
        <f t="shared" si="227"/>
        <v>0</v>
      </c>
      <c r="QXO1590" s="55">
        <f t="shared" si="227"/>
        <v>0</v>
      </c>
      <c r="QXP1590" s="55">
        <f t="shared" si="227"/>
        <v>0</v>
      </c>
      <c r="QXQ1590" s="55">
        <f t="shared" si="227"/>
        <v>0</v>
      </c>
      <c r="QXR1590" s="55">
        <f t="shared" si="227"/>
        <v>0</v>
      </c>
      <c r="QXS1590" s="55">
        <f t="shared" si="227"/>
        <v>0</v>
      </c>
      <c r="QXT1590" s="55">
        <f t="shared" si="227"/>
        <v>0</v>
      </c>
      <c r="QXU1590" s="55">
        <f t="shared" si="227"/>
        <v>0</v>
      </c>
      <c r="QXV1590" s="55">
        <f t="shared" si="227"/>
        <v>0</v>
      </c>
      <c r="QXW1590" s="55">
        <f t="shared" si="227"/>
        <v>0</v>
      </c>
      <c r="QXX1590" s="55">
        <f t="shared" si="227"/>
        <v>0</v>
      </c>
      <c r="QXY1590" s="55">
        <f t="shared" si="227"/>
        <v>0</v>
      </c>
      <c r="QXZ1590" s="55">
        <f t="shared" si="227"/>
        <v>0</v>
      </c>
      <c r="QYA1590" s="55">
        <f t="shared" si="227"/>
        <v>0</v>
      </c>
      <c r="QYB1590" s="55">
        <f t="shared" si="227"/>
        <v>0</v>
      </c>
      <c r="QYC1590" s="55">
        <f t="shared" si="227"/>
        <v>0</v>
      </c>
      <c r="QYD1590" s="55">
        <f t="shared" si="227"/>
        <v>0</v>
      </c>
      <c r="QYE1590" s="55">
        <f t="shared" si="227"/>
        <v>0</v>
      </c>
      <c r="QYF1590" s="55">
        <f t="shared" si="227"/>
        <v>0</v>
      </c>
      <c r="QYG1590" s="55">
        <f t="shared" si="227"/>
        <v>0</v>
      </c>
      <c r="QYH1590" s="55">
        <f t="shared" si="227"/>
        <v>0</v>
      </c>
      <c r="QYI1590" s="55">
        <f t="shared" si="227"/>
        <v>0</v>
      </c>
      <c r="QYJ1590" s="55">
        <f t="shared" si="227"/>
        <v>0</v>
      </c>
      <c r="QYK1590" s="55">
        <f t="shared" si="227"/>
        <v>0</v>
      </c>
      <c r="QYL1590" s="55">
        <f t="shared" si="227"/>
        <v>0</v>
      </c>
      <c r="QYM1590" s="55">
        <f t="shared" si="227"/>
        <v>0</v>
      </c>
      <c r="QYN1590" s="55">
        <f t="shared" si="227"/>
        <v>0</v>
      </c>
      <c r="QYO1590" s="55">
        <f t="shared" si="227"/>
        <v>0</v>
      </c>
      <c r="QYP1590" s="55">
        <f t="shared" si="227"/>
        <v>0</v>
      </c>
      <c r="QYQ1590" s="55">
        <f t="shared" si="227"/>
        <v>0</v>
      </c>
      <c r="QYR1590" s="55">
        <f t="shared" si="227"/>
        <v>0</v>
      </c>
      <c r="QYS1590" s="55">
        <f t="shared" si="227"/>
        <v>0</v>
      </c>
      <c r="QYT1590" s="55">
        <f t="shared" si="227"/>
        <v>0</v>
      </c>
      <c r="QYU1590" s="55">
        <f t="shared" si="227"/>
        <v>0</v>
      </c>
      <c r="QYV1590" s="55">
        <f t="shared" si="227"/>
        <v>0</v>
      </c>
      <c r="QYW1590" s="55">
        <f t="shared" si="227"/>
        <v>0</v>
      </c>
      <c r="QYX1590" s="55">
        <f t="shared" si="227"/>
        <v>0</v>
      </c>
      <c r="QYY1590" s="55">
        <f t="shared" si="227"/>
        <v>0</v>
      </c>
      <c r="QYZ1590" s="55">
        <f t="shared" si="227"/>
        <v>0</v>
      </c>
      <c r="QZA1590" s="55">
        <f t="shared" si="227"/>
        <v>0</v>
      </c>
      <c r="QZB1590" s="55">
        <f t="shared" si="227"/>
        <v>0</v>
      </c>
      <c r="QZC1590" s="55">
        <f t="shared" si="227"/>
        <v>0</v>
      </c>
      <c r="QZD1590" s="55">
        <f t="shared" ref="QZD1590:RBO1590" si="228">+(QZD1600+QZD1604)*1.18*1.1</f>
        <v>0</v>
      </c>
      <c r="QZE1590" s="55">
        <f t="shared" si="228"/>
        <v>0</v>
      </c>
      <c r="QZF1590" s="55">
        <f t="shared" si="228"/>
        <v>0</v>
      </c>
      <c r="QZG1590" s="55">
        <f t="shared" si="228"/>
        <v>0</v>
      </c>
      <c r="QZH1590" s="55">
        <f t="shared" si="228"/>
        <v>0</v>
      </c>
      <c r="QZI1590" s="55">
        <f t="shared" si="228"/>
        <v>0</v>
      </c>
      <c r="QZJ1590" s="55">
        <f t="shared" si="228"/>
        <v>0</v>
      </c>
      <c r="QZK1590" s="55">
        <f t="shared" si="228"/>
        <v>0</v>
      </c>
      <c r="QZL1590" s="55">
        <f t="shared" si="228"/>
        <v>0</v>
      </c>
      <c r="QZM1590" s="55">
        <f t="shared" si="228"/>
        <v>0</v>
      </c>
      <c r="QZN1590" s="55">
        <f t="shared" si="228"/>
        <v>0</v>
      </c>
      <c r="QZO1590" s="55">
        <f t="shared" si="228"/>
        <v>0</v>
      </c>
      <c r="QZP1590" s="55">
        <f t="shared" si="228"/>
        <v>0</v>
      </c>
      <c r="QZQ1590" s="55">
        <f t="shared" si="228"/>
        <v>0</v>
      </c>
      <c r="QZR1590" s="55">
        <f t="shared" si="228"/>
        <v>0</v>
      </c>
      <c r="QZS1590" s="55">
        <f t="shared" si="228"/>
        <v>0</v>
      </c>
      <c r="QZT1590" s="55">
        <f t="shared" si="228"/>
        <v>0</v>
      </c>
      <c r="QZU1590" s="55">
        <f t="shared" si="228"/>
        <v>0</v>
      </c>
      <c r="QZV1590" s="55">
        <f t="shared" si="228"/>
        <v>0</v>
      </c>
      <c r="QZW1590" s="55">
        <f t="shared" si="228"/>
        <v>0</v>
      </c>
      <c r="QZX1590" s="55">
        <f t="shared" si="228"/>
        <v>0</v>
      </c>
      <c r="QZY1590" s="55">
        <f t="shared" si="228"/>
        <v>0</v>
      </c>
      <c r="QZZ1590" s="55">
        <f t="shared" si="228"/>
        <v>0</v>
      </c>
      <c r="RAA1590" s="55">
        <f t="shared" si="228"/>
        <v>0</v>
      </c>
      <c r="RAB1590" s="55">
        <f t="shared" si="228"/>
        <v>0</v>
      </c>
      <c r="RAC1590" s="55">
        <f t="shared" si="228"/>
        <v>0</v>
      </c>
      <c r="RAD1590" s="55">
        <f t="shared" si="228"/>
        <v>0</v>
      </c>
      <c r="RAE1590" s="55">
        <f t="shared" si="228"/>
        <v>0</v>
      </c>
      <c r="RAF1590" s="55">
        <f t="shared" si="228"/>
        <v>0</v>
      </c>
      <c r="RAG1590" s="55">
        <f t="shared" si="228"/>
        <v>0</v>
      </c>
      <c r="RAH1590" s="55">
        <f t="shared" si="228"/>
        <v>0</v>
      </c>
      <c r="RAI1590" s="55">
        <f t="shared" si="228"/>
        <v>0</v>
      </c>
      <c r="RAJ1590" s="55">
        <f t="shared" si="228"/>
        <v>0</v>
      </c>
      <c r="RAK1590" s="55">
        <f t="shared" si="228"/>
        <v>0</v>
      </c>
      <c r="RAL1590" s="55">
        <f t="shared" si="228"/>
        <v>0</v>
      </c>
      <c r="RAM1590" s="55">
        <f t="shared" si="228"/>
        <v>0</v>
      </c>
      <c r="RAN1590" s="55">
        <f t="shared" si="228"/>
        <v>0</v>
      </c>
      <c r="RAO1590" s="55">
        <f t="shared" si="228"/>
        <v>0</v>
      </c>
      <c r="RAP1590" s="55">
        <f t="shared" si="228"/>
        <v>0</v>
      </c>
      <c r="RAQ1590" s="55">
        <f t="shared" si="228"/>
        <v>0</v>
      </c>
      <c r="RAR1590" s="55">
        <f t="shared" si="228"/>
        <v>0</v>
      </c>
      <c r="RAS1590" s="55">
        <f t="shared" si="228"/>
        <v>0</v>
      </c>
      <c r="RAT1590" s="55">
        <f t="shared" si="228"/>
        <v>0</v>
      </c>
      <c r="RAU1590" s="55">
        <f t="shared" si="228"/>
        <v>0</v>
      </c>
      <c r="RAV1590" s="55">
        <f t="shared" si="228"/>
        <v>0</v>
      </c>
      <c r="RAW1590" s="55">
        <f t="shared" si="228"/>
        <v>0</v>
      </c>
      <c r="RAX1590" s="55">
        <f t="shared" si="228"/>
        <v>0</v>
      </c>
      <c r="RAY1590" s="55">
        <f t="shared" si="228"/>
        <v>0</v>
      </c>
      <c r="RAZ1590" s="55">
        <f t="shared" si="228"/>
        <v>0</v>
      </c>
      <c r="RBA1590" s="55">
        <f t="shared" si="228"/>
        <v>0</v>
      </c>
      <c r="RBB1590" s="55">
        <f t="shared" si="228"/>
        <v>0</v>
      </c>
      <c r="RBC1590" s="55">
        <f t="shared" si="228"/>
        <v>0</v>
      </c>
      <c r="RBD1590" s="55">
        <f t="shared" si="228"/>
        <v>0</v>
      </c>
      <c r="RBE1590" s="55">
        <f t="shared" si="228"/>
        <v>0</v>
      </c>
      <c r="RBF1590" s="55">
        <f t="shared" si="228"/>
        <v>0</v>
      </c>
      <c r="RBG1590" s="55">
        <f t="shared" si="228"/>
        <v>0</v>
      </c>
      <c r="RBH1590" s="55">
        <f t="shared" si="228"/>
        <v>0</v>
      </c>
      <c r="RBI1590" s="55">
        <f t="shared" si="228"/>
        <v>0</v>
      </c>
      <c r="RBJ1590" s="55">
        <f t="shared" si="228"/>
        <v>0</v>
      </c>
      <c r="RBK1590" s="55">
        <f t="shared" si="228"/>
        <v>0</v>
      </c>
      <c r="RBL1590" s="55">
        <f t="shared" si="228"/>
        <v>0</v>
      </c>
      <c r="RBM1590" s="55">
        <f t="shared" si="228"/>
        <v>0</v>
      </c>
      <c r="RBN1590" s="55">
        <f t="shared" si="228"/>
        <v>0</v>
      </c>
      <c r="RBO1590" s="55">
        <f t="shared" si="228"/>
        <v>0</v>
      </c>
      <c r="RBP1590" s="55">
        <f t="shared" ref="RBP1590:REA1590" si="229">+(RBP1600+RBP1604)*1.18*1.1</f>
        <v>0</v>
      </c>
      <c r="RBQ1590" s="55">
        <f t="shared" si="229"/>
        <v>0</v>
      </c>
      <c r="RBR1590" s="55">
        <f t="shared" si="229"/>
        <v>0</v>
      </c>
      <c r="RBS1590" s="55">
        <f t="shared" si="229"/>
        <v>0</v>
      </c>
      <c r="RBT1590" s="55">
        <f t="shared" si="229"/>
        <v>0</v>
      </c>
      <c r="RBU1590" s="55">
        <f t="shared" si="229"/>
        <v>0</v>
      </c>
      <c r="RBV1590" s="55">
        <f t="shared" si="229"/>
        <v>0</v>
      </c>
      <c r="RBW1590" s="55">
        <f t="shared" si="229"/>
        <v>0</v>
      </c>
      <c r="RBX1590" s="55">
        <f t="shared" si="229"/>
        <v>0</v>
      </c>
      <c r="RBY1590" s="55">
        <f t="shared" si="229"/>
        <v>0</v>
      </c>
      <c r="RBZ1590" s="55">
        <f t="shared" si="229"/>
        <v>0</v>
      </c>
      <c r="RCA1590" s="55">
        <f t="shared" si="229"/>
        <v>0</v>
      </c>
      <c r="RCB1590" s="55">
        <f t="shared" si="229"/>
        <v>0</v>
      </c>
      <c r="RCC1590" s="55">
        <f t="shared" si="229"/>
        <v>0</v>
      </c>
      <c r="RCD1590" s="55">
        <f t="shared" si="229"/>
        <v>0</v>
      </c>
      <c r="RCE1590" s="55">
        <f t="shared" si="229"/>
        <v>0</v>
      </c>
      <c r="RCF1590" s="55">
        <f t="shared" si="229"/>
        <v>0</v>
      </c>
      <c r="RCG1590" s="55">
        <f t="shared" si="229"/>
        <v>0</v>
      </c>
      <c r="RCH1590" s="55">
        <f t="shared" si="229"/>
        <v>0</v>
      </c>
      <c r="RCI1590" s="55">
        <f t="shared" si="229"/>
        <v>0</v>
      </c>
      <c r="RCJ1590" s="55">
        <f t="shared" si="229"/>
        <v>0</v>
      </c>
      <c r="RCK1590" s="55">
        <f t="shared" si="229"/>
        <v>0</v>
      </c>
      <c r="RCL1590" s="55">
        <f t="shared" si="229"/>
        <v>0</v>
      </c>
      <c r="RCM1590" s="55">
        <f t="shared" si="229"/>
        <v>0</v>
      </c>
      <c r="RCN1590" s="55">
        <f t="shared" si="229"/>
        <v>0</v>
      </c>
      <c r="RCO1590" s="55">
        <f t="shared" si="229"/>
        <v>0</v>
      </c>
      <c r="RCP1590" s="55">
        <f t="shared" si="229"/>
        <v>0</v>
      </c>
      <c r="RCQ1590" s="55">
        <f t="shared" si="229"/>
        <v>0</v>
      </c>
      <c r="RCR1590" s="55">
        <f t="shared" si="229"/>
        <v>0</v>
      </c>
      <c r="RCS1590" s="55">
        <f t="shared" si="229"/>
        <v>0</v>
      </c>
      <c r="RCT1590" s="55">
        <f t="shared" si="229"/>
        <v>0</v>
      </c>
      <c r="RCU1590" s="55">
        <f t="shared" si="229"/>
        <v>0</v>
      </c>
      <c r="RCV1590" s="55">
        <f t="shared" si="229"/>
        <v>0</v>
      </c>
      <c r="RCW1590" s="55">
        <f t="shared" si="229"/>
        <v>0</v>
      </c>
      <c r="RCX1590" s="55">
        <f t="shared" si="229"/>
        <v>0</v>
      </c>
      <c r="RCY1590" s="55">
        <f t="shared" si="229"/>
        <v>0</v>
      </c>
      <c r="RCZ1590" s="55">
        <f t="shared" si="229"/>
        <v>0</v>
      </c>
      <c r="RDA1590" s="55">
        <f t="shared" si="229"/>
        <v>0</v>
      </c>
      <c r="RDB1590" s="55">
        <f t="shared" si="229"/>
        <v>0</v>
      </c>
      <c r="RDC1590" s="55">
        <f t="shared" si="229"/>
        <v>0</v>
      </c>
      <c r="RDD1590" s="55">
        <f t="shared" si="229"/>
        <v>0</v>
      </c>
      <c r="RDE1590" s="55">
        <f t="shared" si="229"/>
        <v>0</v>
      </c>
      <c r="RDF1590" s="55">
        <f t="shared" si="229"/>
        <v>0</v>
      </c>
      <c r="RDG1590" s="55">
        <f t="shared" si="229"/>
        <v>0</v>
      </c>
      <c r="RDH1590" s="55">
        <f t="shared" si="229"/>
        <v>0</v>
      </c>
      <c r="RDI1590" s="55">
        <f t="shared" si="229"/>
        <v>0</v>
      </c>
      <c r="RDJ1590" s="55">
        <f t="shared" si="229"/>
        <v>0</v>
      </c>
      <c r="RDK1590" s="55">
        <f t="shared" si="229"/>
        <v>0</v>
      </c>
      <c r="RDL1590" s="55">
        <f t="shared" si="229"/>
        <v>0</v>
      </c>
      <c r="RDM1590" s="55">
        <f t="shared" si="229"/>
        <v>0</v>
      </c>
      <c r="RDN1590" s="55">
        <f t="shared" si="229"/>
        <v>0</v>
      </c>
      <c r="RDO1590" s="55">
        <f t="shared" si="229"/>
        <v>0</v>
      </c>
      <c r="RDP1590" s="55">
        <f t="shared" si="229"/>
        <v>0</v>
      </c>
      <c r="RDQ1590" s="55">
        <f t="shared" si="229"/>
        <v>0</v>
      </c>
      <c r="RDR1590" s="55">
        <f t="shared" si="229"/>
        <v>0</v>
      </c>
      <c r="RDS1590" s="55">
        <f t="shared" si="229"/>
        <v>0</v>
      </c>
      <c r="RDT1590" s="55">
        <f t="shared" si="229"/>
        <v>0</v>
      </c>
      <c r="RDU1590" s="55">
        <f t="shared" si="229"/>
        <v>0</v>
      </c>
      <c r="RDV1590" s="55">
        <f t="shared" si="229"/>
        <v>0</v>
      </c>
      <c r="RDW1590" s="55">
        <f t="shared" si="229"/>
        <v>0</v>
      </c>
      <c r="RDX1590" s="55">
        <f t="shared" si="229"/>
        <v>0</v>
      </c>
      <c r="RDY1590" s="55">
        <f t="shared" si="229"/>
        <v>0</v>
      </c>
      <c r="RDZ1590" s="55">
        <f t="shared" si="229"/>
        <v>0</v>
      </c>
      <c r="REA1590" s="55">
        <f t="shared" si="229"/>
        <v>0</v>
      </c>
      <c r="REB1590" s="55">
        <f t="shared" ref="REB1590:RGM1590" si="230">+(REB1600+REB1604)*1.18*1.1</f>
        <v>0</v>
      </c>
      <c r="REC1590" s="55">
        <f t="shared" si="230"/>
        <v>0</v>
      </c>
      <c r="RED1590" s="55">
        <f t="shared" si="230"/>
        <v>0</v>
      </c>
      <c r="REE1590" s="55">
        <f t="shared" si="230"/>
        <v>0</v>
      </c>
      <c r="REF1590" s="55">
        <f t="shared" si="230"/>
        <v>0</v>
      </c>
      <c r="REG1590" s="55">
        <f t="shared" si="230"/>
        <v>0</v>
      </c>
      <c r="REH1590" s="55">
        <f t="shared" si="230"/>
        <v>0</v>
      </c>
      <c r="REI1590" s="55">
        <f t="shared" si="230"/>
        <v>0</v>
      </c>
      <c r="REJ1590" s="55">
        <f t="shared" si="230"/>
        <v>0</v>
      </c>
      <c r="REK1590" s="55">
        <f t="shared" si="230"/>
        <v>0</v>
      </c>
      <c r="REL1590" s="55">
        <f t="shared" si="230"/>
        <v>0</v>
      </c>
      <c r="REM1590" s="55">
        <f t="shared" si="230"/>
        <v>0</v>
      </c>
      <c r="REN1590" s="55">
        <f t="shared" si="230"/>
        <v>0</v>
      </c>
      <c r="REO1590" s="55">
        <f t="shared" si="230"/>
        <v>0</v>
      </c>
      <c r="REP1590" s="55">
        <f t="shared" si="230"/>
        <v>0</v>
      </c>
      <c r="REQ1590" s="55">
        <f t="shared" si="230"/>
        <v>0</v>
      </c>
      <c r="RER1590" s="55">
        <f t="shared" si="230"/>
        <v>0</v>
      </c>
      <c r="RES1590" s="55">
        <f t="shared" si="230"/>
        <v>0</v>
      </c>
      <c r="RET1590" s="55">
        <f t="shared" si="230"/>
        <v>0</v>
      </c>
      <c r="REU1590" s="55">
        <f t="shared" si="230"/>
        <v>0</v>
      </c>
      <c r="REV1590" s="55">
        <f t="shared" si="230"/>
        <v>0</v>
      </c>
      <c r="REW1590" s="55">
        <f t="shared" si="230"/>
        <v>0</v>
      </c>
      <c r="REX1590" s="55">
        <f t="shared" si="230"/>
        <v>0</v>
      </c>
      <c r="REY1590" s="55">
        <f t="shared" si="230"/>
        <v>0</v>
      </c>
      <c r="REZ1590" s="55">
        <f t="shared" si="230"/>
        <v>0</v>
      </c>
      <c r="RFA1590" s="55">
        <f t="shared" si="230"/>
        <v>0</v>
      </c>
      <c r="RFB1590" s="55">
        <f t="shared" si="230"/>
        <v>0</v>
      </c>
      <c r="RFC1590" s="55">
        <f t="shared" si="230"/>
        <v>0</v>
      </c>
      <c r="RFD1590" s="55">
        <f t="shared" si="230"/>
        <v>0</v>
      </c>
      <c r="RFE1590" s="55">
        <f t="shared" si="230"/>
        <v>0</v>
      </c>
      <c r="RFF1590" s="55">
        <f t="shared" si="230"/>
        <v>0</v>
      </c>
      <c r="RFG1590" s="55">
        <f t="shared" si="230"/>
        <v>0</v>
      </c>
      <c r="RFH1590" s="55">
        <f t="shared" si="230"/>
        <v>0</v>
      </c>
      <c r="RFI1590" s="55">
        <f t="shared" si="230"/>
        <v>0</v>
      </c>
      <c r="RFJ1590" s="55">
        <f t="shared" si="230"/>
        <v>0</v>
      </c>
      <c r="RFK1590" s="55">
        <f t="shared" si="230"/>
        <v>0</v>
      </c>
      <c r="RFL1590" s="55">
        <f t="shared" si="230"/>
        <v>0</v>
      </c>
      <c r="RFM1590" s="55">
        <f t="shared" si="230"/>
        <v>0</v>
      </c>
      <c r="RFN1590" s="55">
        <f t="shared" si="230"/>
        <v>0</v>
      </c>
      <c r="RFO1590" s="55">
        <f t="shared" si="230"/>
        <v>0</v>
      </c>
      <c r="RFP1590" s="55">
        <f t="shared" si="230"/>
        <v>0</v>
      </c>
      <c r="RFQ1590" s="55">
        <f t="shared" si="230"/>
        <v>0</v>
      </c>
      <c r="RFR1590" s="55">
        <f t="shared" si="230"/>
        <v>0</v>
      </c>
      <c r="RFS1590" s="55">
        <f t="shared" si="230"/>
        <v>0</v>
      </c>
      <c r="RFT1590" s="55">
        <f t="shared" si="230"/>
        <v>0</v>
      </c>
      <c r="RFU1590" s="55">
        <f t="shared" si="230"/>
        <v>0</v>
      </c>
      <c r="RFV1590" s="55">
        <f t="shared" si="230"/>
        <v>0</v>
      </c>
      <c r="RFW1590" s="55">
        <f t="shared" si="230"/>
        <v>0</v>
      </c>
      <c r="RFX1590" s="55">
        <f t="shared" si="230"/>
        <v>0</v>
      </c>
      <c r="RFY1590" s="55">
        <f t="shared" si="230"/>
        <v>0</v>
      </c>
      <c r="RFZ1590" s="55">
        <f t="shared" si="230"/>
        <v>0</v>
      </c>
      <c r="RGA1590" s="55">
        <f t="shared" si="230"/>
        <v>0</v>
      </c>
      <c r="RGB1590" s="55">
        <f t="shared" si="230"/>
        <v>0</v>
      </c>
      <c r="RGC1590" s="55">
        <f t="shared" si="230"/>
        <v>0</v>
      </c>
      <c r="RGD1590" s="55">
        <f t="shared" si="230"/>
        <v>0</v>
      </c>
      <c r="RGE1590" s="55">
        <f t="shared" si="230"/>
        <v>0</v>
      </c>
      <c r="RGF1590" s="55">
        <f t="shared" si="230"/>
        <v>0</v>
      </c>
      <c r="RGG1590" s="55">
        <f t="shared" si="230"/>
        <v>0</v>
      </c>
      <c r="RGH1590" s="55">
        <f t="shared" si="230"/>
        <v>0</v>
      </c>
      <c r="RGI1590" s="55">
        <f t="shared" si="230"/>
        <v>0</v>
      </c>
      <c r="RGJ1590" s="55">
        <f t="shared" si="230"/>
        <v>0</v>
      </c>
      <c r="RGK1590" s="55">
        <f t="shared" si="230"/>
        <v>0</v>
      </c>
      <c r="RGL1590" s="55">
        <f t="shared" si="230"/>
        <v>0</v>
      </c>
      <c r="RGM1590" s="55">
        <f t="shared" si="230"/>
        <v>0</v>
      </c>
      <c r="RGN1590" s="55">
        <f t="shared" ref="RGN1590:RIY1590" si="231">+(RGN1600+RGN1604)*1.18*1.1</f>
        <v>0</v>
      </c>
      <c r="RGO1590" s="55">
        <f t="shared" si="231"/>
        <v>0</v>
      </c>
      <c r="RGP1590" s="55">
        <f t="shared" si="231"/>
        <v>0</v>
      </c>
      <c r="RGQ1590" s="55">
        <f t="shared" si="231"/>
        <v>0</v>
      </c>
      <c r="RGR1590" s="55">
        <f t="shared" si="231"/>
        <v>0</v>
      </c>
      <c r="RGS1590" s="55">
        <f t="shared" si="231"/>
        <v>0</v>
      </c>
      <c r="RGT1590" s="55">
        <f t="shared" si="231"/>
        <v>0</v>
      </c>
      <c r="RGU1590" s="55">
        <f t="shared" si="231"/>
        <v>0</v>
      </c>
      <c r="RGV1590" s="55">
        <f t="shared" si="231"/>
        <v>0</v>
      </c>
      <c r="RGW1590" s="55">
        <f t="shared" si="231"/>
        <v>0</v>
      </c>
      <c r="RGX1590" s="55">
        <f t="shared" si="231"/>
        <v>0</v>
      </c>
      <c r="RGY1590" s="55">
        <f t="shared" si="231"/>
        <v>0</v>
      </c>
      <c r="RGZ1590" s="55">
        <f t="shared" si="231"/>
        <v>0</v>
      </c>
      <c r="RHA1590" s="55">
        <f t="shared" si="231"/>
        <v>0</v>
      </c>
      <c r="RHB1590" s="55">
        <f t="shared" si="231"/>
        <v>0</v>
      </c>
      <c r="RHC1590" s="55">
        <f t="shared" si="231"/>
        <v>0</v>
      </c>
      <c r="RHD1590" s="55">
        <f t="shared" si="231"/>
        <v>0</v>
      </c>
      <c r="RHE1590" s="55">
        <f t="shared" si="231"/>
        <v>0</v>
      </c>
      <c r="RHF1590" s="55">
        <f t="shared" si="231"/>
        <v>0</v>
      </c>
      <c r="RHG1590" s="55">
        <f t="shared" si="231"/>
        <v>0</v>
      </c>
      <c r="RHH1590" s="55">
        <f t="shared" si="231"/>
        <v>0</v>
      </c>
      <c r="RHI1590" s="55">
        <f t="shared" si="231"/>
        <v>0</v>
      </c>
      <c r="RHJ1590" s="55">
        <f t="shared" si="231"/>
        <v>0</v>
      </c>
      <c r="RHK1590" s="55">
        <f t="shared" si="231"/>
        <v>0</v>
      </c>
      <c r="RHL1590" s="55">
        <f t="shared" si="231"/>
        <v>0</v>
      </c>
      <c r="RHM1590" s="55">
        <f t="shared" si="231"/>
        <v>0</v>
      </c>
      <c r="RHN1590" s="55">
        <f t="shared" si="231"/>
        <v>0</v>
      </c>
      <c r="RHO1590" s="55">
        <f t="shared" si="231"/>
        <v>0</v>
      </c>
      <c r="RHP1590" s="55">
        <f t="shared" si="231"/>
        <v>0</v>
      </c>
      <c r="RHQ1590" s="55">
        <f t="shared" si="231"/>
        <v>0</v>
      </c>
      <c r="RHR1590" s="55">
        <f t="shared" si="231"/>
        <v>0</v>
      </c>
      <c r="RHS1590" s="55">
        <f t="shared" si="231"/>
        <v>0</v>
      </c>
      <c r="RHT1590" s="55">
        <f t="shared" si="231"/>
        <v>0</v>
      </c>
      <c r="RHU1590" s="55">
        <f t="shared" si="231"/>
        <v>0</v>
      </c>
      <c r="RHV1590" s="55">
        <f t="shared" si="231"/>
        <v>0</v>
      </c>
      <c r="RHW1590" s="55">
        <f t="shared" si="231"/>
        <v>0</v>
      </c>
      <c r="RHX1590" s="55">
        <f t="shared" si="231"/>
        <v>0</v>
      </c>
      <c r="RHY1590" s="55">
        <f t="shared" si="231"/>
        <v>0</v>
      </c>
      <c r="RHZ1590" s="55">
        <f t="shared" si="231"/>
        <v>0</v>
      </c>
      <c r="RIA1590" s="55">
        <f t="shared" si="231"/>
        <v>0</v>
      </c>
      <c r="RIB1590" s="55">
        <f t="shared" si="231"/>
        <v>0</v>
      </c>
      <c r="RIC1590" s="55">
        <f t="shared" si="231"/>
        <v>0</v>
      </c>
      <c r="RID1590" s="55">
        <f t="shared" si="231"/>
        <v>0</v>
      </c>
      <c r="RIE1590" s="55">
        <f t="shared" si="231"/>
        <v>0</v>
      </c>
      <c r="RIF1590" s="55">
        <f t="shared" si="231"/>
        <v>0</v>
      </c>
      <c r="RIG1590" s="55">
        <f t="shared" si="231"/>
        <v>0</v>
      </c>
      <c r="RIH1590" s="55">
        <f t="shared" si="231"/>
        <v>0</v>
      </c>
      <c r="RII1590" s="55">
        <f t="shared" si="231"/>
        <v>0</v>
      </c>
      <c r="RIJ1590" s="55">
        <f t="shared" si="231"/>
        <v>0</v>
      </c>
      <c r="RIK1590" s="55">
        <f t="shared" si="231"/>
        <v>0</v>
      </c>
      <c r="RIL1590" s="55">
        <f t="shared" si="231"/>
        <v>0</v>
      </c>
      <c r="RIM1590" s="55">
        <f t="shared" si="231"/>
        <v>0</v>
      </c>
      <c r="RIN1590" s="55">
        <f t="shared" si="231"/>
        <v>0</v>
      </c>
      <c r="RIO1590" s="55">
        <f t="shared" si="231"/>
        <v>0</v>
      </c>
      <c r="RIP1590" s="55">
        <f t="shared" si="231"/>
        <v>0</v>
      </c>
      <c r="RIQ1590" s="55">
        <f t="shared" si="231"/>
        <v>0</v>
      </c>
      <c r="RIR1590" s="55">
        <f t="shared" si="231"/>
        <v>0</v>
      </c>
      <c r="RIS1590" s="55">
        <f t="shared" si="231"/>
        <v>0</v>
      </c>
      <c r="RIT1590" s="55">
        <f t="shared" si="231"/>
        <v>0</v>
      </c>
      <c r="RIU1590" s="55">
        <f t="shared" si="231"/>
        <v>0</v>
      </c>
      <c r="RIV1590" s="55">
        <f t="shared" si="231"/>
        <v>0</v>
      </c>
      <c r="RIW1590" s="55">
        <f t="shared" si="231"/>
        <v>0</v>
      </c>
      <c r="RIX1590" s="55">
        <f t="shared" si="231"/>
        <v>0</v>
      </c>
      <c r="RIY1590" s="55">
        <f t="shared" si="231"/>
        <v>0</v>
      </c>
      <c r="RIZ1590" s="55">
        <f t="shared" ref="RIZ1590:RLK1590" si="232">+(RIZ1600+RIZ1604)*1.18*1.1</f>
        <v>0</v>
      </c>
      <c r="RJA1590" s="55">
        <f t="shared" si="232"/>
        <v>0</v>
      </c>
      <c r="RJB1590" s="55">
        <f t="shared" si="232"/>
        <v>0</v>
      </c>
      <c r="RJC1590" s="55">
        <f t="shared" si="232"/>
        <v>0</v>
      </c>
      <c r="RJD1590" s="55">
        <f t="shared" si="232"/>
        <v>0</v>
      </c>
      <c r="RJE1590" s="55">
        <f t="shared" si="232"/>
        <v>0</v>
      </c>
      <c r="RJF1590" s="55">
        <f t="shared" si="232"/>
        <v>0</v>
      </c>
      <c r="RJG1590" s="55">
        <f t="shared" si="232"/>
        <v>0</v>
      </c>
      <c r="RJH1590" s="55">
        <f t="shared" si="232"/>
        <v>0</v>
      </c>
      <c r="RJI1590" s="55">
        <f t="shared" si="232"/>
        <v>0</v>
      </c>
      <c r="RJJ1590" s="55">
        <f t="shared" si="232"/>
        <v>0</v>
      </c>
      <c r="RJK1590" s="55">
        <f t="shared" si="232"/>
        <v>0</v>
      </c>
      <c r="RJL1590" s="55">
        <f t="shared" si="232"/>
        <v>0</v>
      </c>
      <c r="RJM1590" s="55">
        <f t="shared" si="232"/>
        <v>0</v>
      </c>
      <c r="RJN1590" s="55">
        <f t="shared" si="232"/>
        <v>0</v>
      </c>
      <c r="RJO1590" s="55">
        <f t="shared" si="232"/>
        <v>0</v>
      </c>
      <c r="RJP1590" s="55">
        <f t="shared" si="232"/>
        <v>0</v>
      </c>
      <c r="RJQ1590" s="55">
        <f t="shared" si="232"/>
        <v>0</v>
      </c>
      <c r="RJR1590" s="55">
        <f t="shared" si="232"/>
        <v>0</v>
      </c>
      <c r="RJS1590" s="55">
        <f t="shared" si="232"/>
        <v>0</v>
      </c>
      <c r="RJT1590" s="55">
        <f t="shared" si="232"/>
        <v>0</v>
      </c>
      <c r="RJU1590" s="55">
        <f t="shared" si="232"/>
        <v>0</v>
      </c>
      <c r="RJV1590" s="55">
        <f t="shared" si="232"/>
        <v>0</v>
      </c>
      <c r="RJW1590" s="55">
        <f t="shared" si="232"/>
        <v>0</v>
      </c>
      <c r="RJX1590" s="55">
        <f t="shared" si="232"/>
        <v>0</v>
      </c>
      <c r="RJY1590" s="55">
        <f t="shared" si="232"/>
        <v>0</v>
      </c>
      <c r="RJZ1590" s="55">
        <f t="shared" si="232"/>
        <v>0</v>
      </c>
      <c r="RKA1590" s="55">
        <f t="shared" si="232"/>
        <v>0</v>
      </c>
      <c r="RKB1590" s="55">
        <f t="shared" si="232"/>
        <v>0</v>
      </c>
      <c r="RKC1590" s="55">
        <f t="shared" si="232"/>
        <v>0</v>
      </c>
      <c r="RKD1590" s="55">
        <f t="shared" si="232"/>
        <v>0</v>
      </c>
      <c r="RKE1590" s="55">
        <f t="shared" si="232"/>
        <v>0</v>
      </c>
      <c r="RKF1590" s="55">
        <f t="shared" si="232"/>
        <v>0</v>
      </c>
      <c r="RKG1590" s="55">
        <f t="shared" si="232"/>
        <v>0</v>
      </c>
      <c r="RKH1590" s="55">
        <f t="shared" si="232"/>
        <v>0</v>
      </c>
      <c r="RKI1590" s="55">
        <f t="shared" si="232"/>
        <v>0</v>
      </c>
      <c r="RKJ1590" s="55">
        <f t="shared" si="232"/>
        <v>0</v>
      </c>
      <c r="RKK1590" s="55">
        <f t="shared" si="232"/>
        <v>0</v>
      </c>
      <c r="RKL1590" s="55">
        <f t="shared" si="232"/>
        <v>0</v>
      </c>
      <c r="RKM1590" s="55">
        <f t="shared" si="232"/>
        <v>0</v>
      </c>
      <c r="RKN1590" s="55">
        <f t="shared" si="232"/>
        <v>0</v>
      </c>
      <c r="RKO1590" s="55">
        <f t="shared" si="232"/>
        <v>0</v>
      </c>
      <c r="RKP1590" s="55">
        <f t="shared" si="232"/>
        <v>0</v>
      </c>
      <c r="RKQ1590" s="55">
        <f t="shared" si="232"/>
        <v>0</v>
      </c>
      <c r="RKR1590" s="55">
        <f t="shared" si="232"/>
        <v>0</v>
      </c>
      <c r="RKS1590" s="55">
        <f t="shared" si="232"/>
        <v>0</v>
      </c>
      <c r="RKT1590" s="55">
        <f t="shared" si="232"/>
        <v>0</v>
      </c>
      <c r="RKU1590" s="55">
        <f t="shared" si="232"/>
        <v>0</v>
      </c>
      <c r="RKV1590" s="55">
        <f t="shared" si="232"/>
        <v>0</v>
      </c>
      <c r="RKW1590" s="55">
        <f t="shared" si="232"/>
        <v>0</v>
      </c>
      <c r="RKX1590" s="55">
        <f t="shared" si="232"/>
        <v>0</v>
      </c>
      <c r="RKY1590" s="55">
        <f t="shared" si="232"/>
        <v>0</v>
      </c>
      <c r="RKZ1590" s="55">
        <f t="shared" si="232"/>
        <v>0</v>
      </c>
      <c r="RLA1590" s="55">
        <f t="shared" si="232"/>
        <v>0</v>
      </c>
      <c r="RLB1590" s="55">
        <f t="shared" si="232"/>
        <v>0</v>
      </c>
      <c r="RLC1590" s="55">
        <f t="shared" si="232"/>
        <v>0</v>
      </c>
      <c r="RLD1590" s="55">
        <f t="shared" si="232"/>
        <v>0</v>
      </c>
      <c r="RLE1590" s="55">
        <f t="shared" si="232"/>
        <v>0</v>
      </c>
      <c r="RLF1590" s="55">
        <f t="shared" si="232"/>
        <v>0</v>
      </c>
      <c r="RLG1590" s="55">
        <f t="shared" si="232"/>
        <v>0</v>
      </c>
      <c r="RLH1590" s="55">
        <f t="shared" si="232"/>
        <v>0</v>
      </c>
      <c r="RLI1590" s="55">
        <f t="shared" si="232"/>
        <v>0</v>
      </c>
      <c r="RLJ1590" s="55">
        <f t="shared" si="232"/>
        <v>0</v>
      </c>
      <c r="RLK1590" s="55">
        <f t="shared" si="232"/>
        <v>0</v>
      </c>
      <c r="RLL1590" s="55">
        <f t="shared" ref="RLL1590:RNW1590" si="233">+(RLL1600+RLL1604)*1.18*1.1</f>
        <v>0</v>
      </c>
      <c r="RLM1590" s="55">
        <f t="shared" si="233"/>
        <v>0</v>
      </c>
      <c r="RLN1590" s="55">
        <f t="shared" si="233"/>
        <v>0</v>
      </c>
      <c r="RLO1590" s="55">
        <f t="shared" si="233"/>
        <v>0</v>
      </c>
      <c r="RLP1590" s="55">
        <f t="shared" si="233"/>
        <v>0</v>
      </c>
      <c r="RLQ1590" s="55">
        <f t="shared" si="233"/>
        <v>0</v>
      </c>
      <c r="RLR1590" s="55">
        <f t="shared" si="233"/>
        <v>0</v>
      </c>
      <c r="RLS1590" s="55">
        <f t="shared" si="233"/>
        <v>0</v>
      </c>
      <c r="RLT1590" s="55">
        <f t="shared" si="233"/>
        <v>0</v>
      </c>
      <c r="RLU1590" s="55">
        <f t="shared" si="233"/>
        <v>0</v>
      </c>
      <c r="RLV1590" s="55">
        <f t="shared" si="233"/>
        <v>0</v>
      </c>
      <c r="RLW1590" s="55">
        <f t="shared" si="233"/>
        <v>0</v>
      </c>
      <c r="RLX1590" s="55">
        <f t="shared" si="233"/>
        <v>0</v>
      </c>
      <c r="RLY1590" s="55">
        <f t="shared" si="233"/>
        <v>0</v>
      </c>
      <c r="RLZ1590" s="55">
        <f t="shared" si="233"/>
        <v>0</v>
      </c>
      <c r="RMA1590" s="55">
        <f t="shared" si="233"/>
        <v>0</v>
      </c>
      <c r="RMB1590" s="55">
        <f t="shared" si="233"/>
        <v>0</v>
      </c>
      <c r="RMC1590" s="55">
        <f t="shared" si="233"/>
        <v>0</v>
      </c>
      <c r="RMD1590" s="55">
        <f t="shared" si="233"/>
        <v>0</v>
      </c>
      <c r="RME1590" s="55">
        <f t="shared" si="233"/>
        <v>0</v>
      </c>
      <c r="RMF1590" s="55">
        <f t="shared" si="233"/>
        <v>0</v>
      </c>
      <c r="RMG1590" s="55">
        <f t="shared" si="233"/>
        <v>0</v>
      </c>
      <c r="RMH1590" s="55">
        <f t="shared" si="233"/>
        <v>0</v>
      </c>
      <c r="RMI1590" s="55">
        <f t="shared" si="233"/>
        <v>0</v>
      </c>
      <c r="RMJ1590" s="55">
        <f t="shared" si="233"/>
        <v>0</v>
      </c>
      <c r="RMK1590" s="55">
        <f t="shared" si="233"/>
        <v>0</v>
      </c>
      <c r="RML1590" s="55">
        <f t="shared" si="233"/>
        <v>0</v>
      </c>
      <c r="RMM1590" s="55">
        <f t="shared" si="233"/>
        <v>0</v>
      </c>
      <c r="RMN1590" s="55">
        <f t="shared" si="233"/>
        <v>0</v>
      </c>
      <c r="RMO1590" s="55">
        <f t="shared" si="233"/>
        <v>0</v>
      </c>
      <c r="RMP1590" s="55">
        <f t="shared" si="233"/>
        <v>0</v>
      </c>
      <c r="RMQ1590" s="55">
        <f t="shared" si="233"/>
        <v>0</v>
      </c>
      <c r="RMR1590" s="55">
        <f t="shared" si="233"/>
        <v>0</v>
      </c>
      <c r="RMS1590" s="55">
        <f t="shared" si="233"/>
        <v>0</v>
      </c>
      <c r="RMT1590" s="55">
        <f t="shared" si="233"/>
        <v>0</v>
      </c>
      <c r="RMU1590" s="55">
        <f t="shared" si="233"/>
        <v>0</v>
      </c>
      <c r="RMV1590" s="55">
        <f t="shared" si="233"/>
        <v>0</v>
      </c>
      <c r="RMW1590" s="55">
        <f t="shared" si="233"/>
        <v>0</v>
      </c>
      <c r="RMX1590" s="55">
        <f t="shared" si="233"/>
        <v>0</v>
      </c>
      <c r="RMY1590" s="55">
        <f t="shared" si="233"/>
        <v>0</v>
      </c>
      <c r="RMZ1590" s="55">
        <f t="shared" si="233"/>
        <v>0</v>
      </c>
      <c r="RNA1590" s="55">
        <f t="shared" si="233"/>
        <v>0</v>
      </c>
      <c r="RNB1590" s="55">
        <f t="shared" si="233"/>
        <v>0</v>
      </c>
      <c r="RNC1590" s="55">
        <f t="shared" si="233"/>
        <v>0</v>
      </c>
      <c r="RND1590" s="55">
        <f t="shared" si="233"/>
        <v>0</v>
      </c>
      <c r="RNE1590" s="55">
        <f t="shared" si="233"/>
        <v>0</v>
      </c>
      <c r="RNF1590" s="55">
        <f t="shared" si="233"/>
        <v>0</v>
      </c>
      <c r="RNG1590" s="55">
        <f t="shared" si="233"/>
        <v>0</v>
      </c>
      <c r="RNH1590" s="55">
        <f t="shared" si="233"/>
        <v>0</v>
      </c>
      <c r="RNI1590" s="55">
        <f t="shared" si="233"/>
        <v>0</v>
      </c>
      <c r="RNJ1590" s="55">
        <f t="shared" si="233"/>
        <v>0</v>
      </c>
      <c r="RNK1590" s="55">
        <f t="shared" si="233"/>
        <v>0</v>
      </c>
      <c r="RNL1590" s="55">
        <f t="shared" si="233"/>
        <v>0</v>
      </c>
      <c r="RNM1590" s="55">
        <f t="shared" si="233"/>
        <v>0</v>
      </c>
      <c r="RNN1590" s="55">
        <f t="shared" si="233"/>
        <v>0</v>
      </c>
      <c r="RNO1590" s="55">
        <f t="shared" si="233"/>
        <v>0</v>
      </c>
      <c r="RNP1590" s="55">
        <f t="shared" si="233"/>
        <v>0</v>
      </c>
      <c r="RNQ1590" s="55">
        <f t="shared" si="233"/>
        <v>0</v>
      </c>
      <c r="RNR1590" s="55">
        <f t="shared" si="233"/>
        <v>0</v>
      </c>
      <c r="RNS1590" s="55">
        <f t="shared" si="233"/>
        <v>0</v>
      </c>
      <c r="RNT1590" s="55">
        <f t="shared" si="233"/>
        <v>0</v>
      </c>
      <c r="RNU1590" s="55">
        <f t="shared" si="233"/>
        <v>0</v>
      </c>
      <c r="RNV1590" s="55">
        <f t="shared" si="233"/>
        <v>0</v>
      </c>
      <c r="RNW1590" s="55">
        <f t="shared" si="233"/>
        <v>0</v>
      </c>
      <c r="RNX1590" s="55">
        <f t="shared" ref="RNX1590:RQI1590" si="234">+(RNX1600+RNX1604)*1.18*1.1</f>
        <v>0</v>
      </c>
      <c r="RNY1590" s="55">
        <f t="shared" si="234"/>
        <v>0</v>
      </c>
      <c r="RNZ1590" s="55">
        <f t="shared" si="234"/>
        <v>0</v>
      </c>
      <c r="ROA1590" s="55">
        <f t="shared" si="234"/>
        <v>0</v>
      </c>
      <c r="ROB1590" s="55">
        <f t="shared" si="234"/>
        <v>0</v>
      </c>
      <c r="ROC1590" s="55">
        <f t="shared" si="234"/>
        <v>0</v>
      </c>
      <c r="ROD1590" s="55">
        <f t="shared" si="234"/>
        <v>0</v>
      </c>
      <c r="ROE1590" s="55">
        <f t="shared" si="234"/>
        <v>0</v>
      </c>
      <c r="ROF1590" s="55">
        <f t="shared" si="234"/>
        <v>0</v>
      </c>
      <c r="ROG1590" s="55">
        <f t="shared" si="234"/>
        <v>0</v>
      </c>
      <c r="ROH1590" s="55">
        <f t="shared" si="234"/>
        <v>0</v>
      </c>
      <c r="ROI1590" s="55">
        <f t="shared" si="234"/>
        <v>0</v>
      </c>
      <c r="ROJ1590" s="55">
        <f t="shared" si="234"/>
        <v>0</v>
      </c>
      <c r="ROK1590" s="55">
        <f t="shared" si="234"/>
        <v>0</v>
      </c>
      <c r="ROL1590" s="55">
        <f t="shared" si="234"/>
        <v>0</v>
      </c>
      <c r="ROM1590" s="55">
        <f t="shared" si="234"/>
        <v>0</v>
      </c>
      <c r="RON1590" s="55">
        <f t="shared" si="234"/>
        <v>0</v>
      </c>
      <c r="ROO1590" s="55">
        <f t="shared" si="234"/>
        <v>0</v>
      </c>
      <c r="ROP1590" s="55">
        <f t="shared" si="234"/>
        <v>0</v>
      </c>
      <c r="ROQ1590" s="55">
        <f t="shared" si="234"/>
        <v>0</v>
      </c>
      <c r="ROR1590" s="55">
        <f t="shared" si="234"/>
        <v>0</v>
      </c>
      <c r="ROS1590" s="55">
        <f t="shared" si="234"/>
        <v>0</v>
      </c>
      <c r="ROT1590" s="55">
        <f t="shared" si="234"/>
        <v>0</v>
      </c>
      <c r="ROU1590" s="55">
        <f t="shared" si="234"/>
        <v>0</v>
      </c>
      <c r="ROV1590" s="55">
        <f t="shared" si="234"/>
        <v>0</v>
      </c>
      <c r="ROW1590" s="55">
        <f t="shared" si="234"/>
        <v>0</v>
      </c>
      <c r="ROX1590" s="55">
        <f t="shared" si="234"/>
        <v>0</v>
      </c>
      <c r="ROY1590" s="55">
        <f t="shared" si="234"/>
        <v>0</v>
      </c>
      <c r="ROZ1590" s="55">
        <f t="shared" si="234"/>
        <v>0</v>
      </c>
      <c r="RPA1590" s="55">
        <f t="shared" si="234"/>
        <v>0</v>
      </c>
      <c r="RPB1590" s="55">
        <f t="shared" si="234"/>
        <v>0</v>
      </c>
      <c r="RPC1590" s="55">
        <f t="shared" si="234"/>
        <v>0</v>
      </c>
      <c r="RPD1590" s="55">
        <f t="shared" si="234"/>
        <v>0</v>
      </c>
      <c r="RPE1590" s="55">
        <f t="shared" si="234"/>
        <v>0</v>
      </c>
      <c r="RPF1590" s="55">
        <f t="shared" si="234"/>
        <v>0</v>
      </c>
      <c r="RPG1590" s="55">
        <f t="shared" si="234"/>
        <v>0</v>
      </c>
      <c r="RPH1590" s="55">
        <f t="shared" si="234"/>
        <v>0</v>
      </c>
      <c r="RPI1590" s="55">
        <f t="shared" si="234"/>
        <v>0</v>
      </c>
      <c r="RPJ1590" s="55">
        <f t="shared" si="234"/>
        <v>0</v>
      </c>
      <c r="RPK1590" s="55">
        <f t="shared" si="234"/>
        <v>0</v>
      </c>
      <c r="RPL1590" s="55">
        <f t="shared" si="234"/>
        <v>0</v>
      </c>
      <c r="RPM1590" s="55">
        <f t="shared" si="234"/>
        <v>0</v>
      </c>
      <c r="RPN1590" s="55">
        <f t="shared" si="234"/>
        <v>0</v>
      </c>
      <c r="RPO1590" s="55">
        <f t="shared" si="234"/>
        <v>0</v>
      </c>
      <c r="RPP1590" s="55">
        <f t="shared" si="234"/>
        <v>0</v>
      </c>
      <c r="RPQ1590" s="55">
        <f t="shared" si="234"/>
        <v>0</v>
      </c>
      <c r="RPR1590" s="55">
        <f t="shared" si="234"/>
        <v>0</v>
      </c>
      <c r="RPS1590" s="55">
        <f t="shared" si="234"/>
        <v>0</v>
      </c>
      <c r="RPT1590" s="55">
        <f t="shared" si="234"/>
        <v>0</v>
      </c>
      <c r="RPU1590" s="55">
        <f t="shared" si="234"/>
        <v>0</v>
      </c>
      <c r="RPV1590" s="55">
        <f t="shared" si="234"/>
        <v>0</v>
      </c>
      <c r="RPW1590" s="55">
        <f t="shared" si="234"/>
        <v>0</v>
      </c>
      <c r="RPX1590" s="55">
        <f t="shared" si="234"/>
        <v>0</v>
      </c>
      <c r="RPY1590" s="55">
        <f t="shared" si="234"/>
        <v>0</v>
      </c>
      <c r="RPZ1590" s="55">
        <f t="shared" si="234"/>
        <v>0</v>
      </c>
      <c r="RQA1590" s="55">
        <f t="shared" si="234"/>
        <v>0</v>
      </c>
      <c r="RQB1590" s="55">
        <f t="shared" si="234"/>
        <v>0</v>
      </c>
      <c r="RQC1590" s="55">
        <f t="shared" si="234"/>
        <v>0</v>
      </c>
      <c r="RQD1590" s="55">
        <f t="shared" si="234"/>
        <v>0</v>
      </c>
      <c r="RQE1590" s="55">
        <f t="shared" si="234"/>
        <v>0</v>
      </c>
      <c r="RQF1590" s="55">
        <f t="shared" si="234"/>
        <v>0</v>
      </c>
      <c r="RQG1590" s="55">
        <f t="shared" si="234"/>
        <v>0</v>
      </c>
      <c r="RQH1590" s="55">
        <f t="shared" si="234"/>
        <v>0</v>
      </c>
      <c r="RQI1590" s="55">
        <f t="shared" si="234"/>
        <v>0</v>
      </c>
      <c r="RQJ1590" s="55">
        <f t="shared" ref="RQJ1590:RSU1590" si="235">+(RQJ1600+RQJ1604)*1.18*1.1</f>
        <v>0</v>
      </c>
      <c r="RQK1590" s="55">
        <f t="shared" si="235"/>
        <v>0</v>
      </c>
      <c r="RQL1590" s="55">
        <f t="shared" si="235"/>
        <v>0</v>
      </c>
      <c r="RQM1590" s="55">
        <f t="shared" si="235"/>
        <v>0</v>
      </c>
      <c r="RQN1590" s="55">
        <f t="shared" si="235"/>
        <v>0</v>
      </c>
      <c r="RQO1590" s="55">
        <f t="shared" si="235"/>
        <v>0</v>
      </c>
      <c r="RQP1590" s="55">
        <f t="shared" si="235"/>
        <v>0</v>
      </c>
      <c r="RQQ1590" s="55">
        <f t="shared" si="235"/>
        <v>0</v>
      </c>
      <c r="RQR1590" s="55">
        <f t="shared" si="235"/>
        <v>0</v>
      </c>
      <c r="RQS1590" s="55">
        <f t="shared" si="235"/>
        <v>0</v>
      </c>
      <c r="RQT1590" s="55">
        <f t="shared" si="235"/>
        <v>0</v>
      </c>
      <c r="RQU1590" s="55">
        <f t="shared" si="235"/>
        <v>0</v>
      </c>
      <c r="RQV1590" s="55">
        <f t="shared" si="235"/>
        <v>0</v>
      </c>
      <c r="RQW1590" s="55">
        <f t="shared" si="235"/>
        <v>0</v>
      </c>
      <c r="RQX1590" s="55">
        <f t="shared" si="235"/>
        <v>0</v>
      </c>
      <c r="RQY1590" s="55">
        <f t="shared" si="235"/>
        <v>0</v>
      </c>
      <c r="RQZ1590" s="55">
        <f t="shared" si="235"/>
        <v>0</v>
      </c>
      <c r="RRA1590" s="55">
        <f t="shared" si="235"/>
        <v>0</v>
      </c>
      <c r="RRB1590" s="55">
        <f t="shared" si="235"/>
        <v>0</v>
      </c>
      <c r="RRC1590" s="55">
        <f t="shared" si="235"/>
        <v>0</v>
      </c>
      <c r="RRD1590" s="55">
        <f t="shared" si="235"/>
        <v>0</v>
      </c>
      <c r="RRE1590" s="55">
        <f t="shared" si="235"/>
        <v>0</v>
      </c>
      <c r="RRF1590" s="55">
        <f t="shared" si="235"/>
        <v>0</v>
      </c>
      <c r="RRG1590" s="55">
        <f t="shared" si="235"/>
        <v>0</v>
      </c>
      <c r="RRH1590" s="55">
        <f t="shared" si="235"/>
        <v>0</v>
      </c>
      <c r="RRI1590" s="55">
        <f t="shared" si="235"/>
        <v>0</v>
      </c>
      <c r="RRJ1590" s="55">
        <f t="shared" si="235"/>
        <v>0</v>
      </c>
      <c r="RRK1590" s="55">
        <f t="shared" si="235"/>
        <v>0</v>
      </c>
      <c r="RRL1590" s="55">
        <f t="shared" si="235"/>
        <v>0</v>
      </c>
      <c r="RRM1590" s="55">
        <f t="shared" si="235"/>
        <v>0</v>
      </c>
      <c r="RRN1590" s="55">
        <f t="shared" si="235"/>
        <v>0</v>
      </c>
      <c r="RRO1590" s="55">
        <f t="shared" si="235"/>
        <v>0</v>
      </c>
      <c r="RRP1590" s="55">
        <f t="shared" si="235"/>
        <v>0</v>
      </c>
      <c r="RRQ1590" s="55">
        <f t="shared" si="235"/>
        <v>0</v>
      </c>
      <c r="RRR1590" s="55">
        <f t="shared" si="235"/>
        <v>0</v>
      </c>
      <c r="RRS1590" s="55">
        <f t="shared" si="235"/>
        <v>0</v>
      </c>
      <c r="RRT1590" s="55">
        <f t="shared" si="235"/>
        <v>0</v>
      </c>
      <c r="RRU1590" s="55">
        <f t="shared" si="235"/>
        <v>0</v>
      </c>
      <c r="RRV1590" s="55">
        <f t="shared" si="235"/>
        <v>0</v>
      </c>
      <c r="RRW1590" s="55">
        <f t="shared" si="235"/>
        <v>0</v>
      </c>
      <c r="RRX1590" s="55">
        <f t="shared" si="235"/>
        <v>0</v>
      </c>
      <c r="RRY1590" s="55">
        <f t="shared" si="235"/>
        <v>0</v>
      </c>
      <c r="RRZ1590" s="55">
        <f t="shared" si="235"/>
        <v>0</v>
      </c>
      <c r="RSA1590" s="55">
        <f t="shared" si="235"/>
        <v>0</v>
      </c>
      <c r="RSB1590" s="55">
        <f t="shared" si="235"/>
        <v>0</v>
      </c>
      <c r="RSC1590" s="55">
        <f t="shared" si="235"/>
        <v>0</v>
      </c>
      <c r="RSD1590" s="55">
        <f t="shared" si="235"/>
        <v>0</v>
      </c>
      <c r="RSE1590" s="55">
        <f t="shared" si="235"/>
        <v>0</v>
      </c>
      <c r="RSF1590" s="55">
        <f t="shared" si="235"/>
        <v>0</v>
      </c>
      <c r="RSG1590" s="55">
        <f t="shared" si="235"/>
        <v>0</v>
      </c>
      <c r="RSH1590" s="55">
        <f t="shared" si="235"/>
        <v>0</v>
      </c>
      <c r="RSI1590" s="55">
        <f t="shared" si="235"/>
        <v>0</v>
      </c>
      <c r="RSJ1590" s="55">
        <f t="shared" si="235"/>
        <v>0</v>
      </c>
      <c r="RSK1590" s="55">
        <f t="shared" si="235"/>
        <v>0</v>
      </c>
      <c r="RSL1590" s="55">
        <f t="shared" si="235"/>
        <v>0</v>
      </c>
      <c r="RSM1590" s="55">
        <f t="shared" si="235"/>
        <v>0</v>
      </c>
      <c r="RSN1590" s="55">
        <f t="shared" si="235"/>
        <v>0</v>
      </c>
      <c r="RSO1590" s="55">
        <f t="shared" si="235"/>
        <v>0</v>
      </c>
      <c r="RSP1590" s="55">
        <f t="shared" si="235"/>
        <v>0</v>
      </c>
      <c r="RSQ1590" s="55">
        <f t="shared" si="235"/>
        <v>0</v>
      </c>
      <c r="RSR1590" s="55">
        <f t="shared" si="235"/>
        <v>0</v>
      </c>
      <c r="RSS1590" s="55">
        <f t="shared" si="235"/>
        <v>0</v>
      </c>
      <c r="RST1590" s="55">
        <f t="shared" si="235"/>
        <v>0</v>
      </c>
      <c r="RSU1590" s="55">
        <f t="shared" si="235"/>
        <v>0</v>
      </c>
      <c r="RSV1590" s="55">
        <f t="shared" ref="RSV1590:RVG1590" si="236">+(RSV1600+RSV1604)*1.18*1.1</f>
        <v>0</v>
      </c>
      <c r="RSW1590" s="55">
        <f t="shared" si="236"/>
        <v>0</v>
      </c>
      <c r="RSX1590" s="55">
        <f t="shared" si="236"/>
        <v>0</v>
      </c>
      <c r="RSY1590" s="55">
        <f t="shared" si="236"/>
        <v>0</v>
      </c>
      <c r="RSZ1590" s="55">
        <f t="shared" si="236"/>
        <v>0</v>
      </c>
      <c r="RTA1590" s="55">
        <f t="shared" si="236"/>
        <v>0</v>
      </c>
      <c r="RTB1590" s="55">
        <f t="shared" si="236"/>
        <v>0</v>
      </c>
      <c r="RTC1590" s="55">
        <f t="shared" si="236"/>
        <v>0</v>
      </c>
      <c r="RTD1590" s="55">
        <f t="shared" si="236"/>
        <v>0</v>
      </c>
      <c r="RTE1590" s="55">
        <f t="shared" si="236"/>
        <v>0</v>
      </c>
      <c r="RTF1590" s="55">
        <f t="shared" si="236"/>
        <v>0</v>
      </c>
      <c r="RTG1590" s="55">
        <f t="shared" si="236"/>
        <v>0</v>
      </c>
      <c r="RTH1590" s="55">
        <f t="shared" si="236"/>
        <v>0</v>
      </c>
      <c r="RTI1590" s="55">
        <f t="shared" si="236"/>
        <v>0</v>
      </c>
      <c r="RTJ1590" s="55">
        <f t="shared" si="236"/>
        <v>0</v>
      </c>
      <c r="RTK1590" s="55">
        <f t="shared" si="236"/>
        <v>0</v>
      </c>
      <c r="RTL1590" s="55">
        <f t="shared" si="236"/>
        <v>0</v>
      </c>
      <c r="RTM1590" s="55">
        <f t="shared" si="236"/>
        <v>0</v>
      </c>
      <c r="RTN1590" s="55">
        <f t="shared" si="236"/>
        <v>0</v>
      </c>
      <c r="RTO1590" s="55">
        <f t="shared" si="236"/>
        <v>0</v>
      </c>
      <c r="RTP1590" s="55">
        <f t="shared" si="236"/>
        <v>0</v>
      </c>
      <c r="RTQ1590" s="55">
        <f t="shared" si="236"/>
        <v>0</v>
      </c>
      <c r="RTR1590" s="55">
        <f t="shared" si="236"/>
        <v>0</v>
      </c>
      <c r="RTS1590" s="55">
        <f t="shared" si="236"/>
        <v>0</v>
      </c>
      <c r="RTT1590" s="55">
        <f t="shared" si="236"/>
        <v>0</v>
      </c>
      <c r="RTU1590" s="55">
        <f t="shared" si="236"/>
        <v>0</v>
      </c>
      <c r="RTV1590" s="55">
        <f t="shared" si="236"/>
        <v>0</v>
      </c>
      <c r="RTW1590" s="55">
        <f t="shared" si="236"/>
        <v>0</v>
      </c>
      <c r="RTX1590" s="55">
        <f t="shared" si="236"/>
        <v>0</v>
      </c>
      <c r="RTY1590" s="55">
        <f t="shared" si="236"/>
        <v>0</v>
      </c>
      <c r="RTZ1590" s="55">
        <f t="shared" si="236"/>
        <v>0</v>
      </c>
      <c r="RUA1590" s="55">
        <f t="shared" si="236"/>
        <v>0</v>
      </c>
      <c r="RUB1590" s="55">
        <f t="shared" si="236"/>
        <v>0</v>
      </c>
      <c r="RUC1590" s="55">
        <f t="shared" si="236"/>
        <v>0</v>
      </c>
      <c r="RUD1590" s="55">
        <f t="shared" si="236"/>
        <v>0</v>
      </c>
      <c r="RUE1590" s="55">
        <f t="shared" si="236"/>
        <v>0</v>
      </c>
      <c r="RUF1590" s="55">
        <f t="shared" si="236"/>
        <v>0</v>
      </c>
      <c r="RUG1590" s="55">
        <f t="shared" si="236"/>
        <v>0</v>
      </c>
      <c r="RUH1590" s="55">
        <f t="shared" si="236"/>
        <v>0</v>
      </c>
      <c r="RUI1590" s="55">
        <f t="shared" si="236"/>
        <v>0</v>
      </c>
      <c r="RUJ1590" s="55">
        <f t="shared" si="236"/>
        <v>0</v>
      </c>
      <c r="RUK1590" s="55">
        <f t="shared" si="236"/>
        <v>0</v>
      </c>
      <c r="RUL1590" s="55">
        <f t="shared" si="236"/>
        <v>0</v>
      </c>
      <c r="RUM1590" s="55">
        <f t="shared" si="236"/>
        <v>0</v>
      </c>
      <c r="RUN1590" s="55">
        <f t="shared" si="236"/>
        <v>0</v>
      </c>
      <c r="RUO1590" s="55">
        <f t="shared" si="236"/>
        <v>0</v>
      </c>
      <c r="RUP1590" s="55">
        <f t="shared" si="236"/>
        <v>0</v>
      </c>
      <c r="RUQ1590" s="55">
        <f t="shared" si="236"/>
        <v>0</v>
      </c>
      <c r="RUR1590" s="55">
        <f t="shared" si="236"/>
        <v>0</v>
      </c>
      <c r="RUS1590" s="55">
        <f t="shared" si="236"/>
        <v>0</v>
      </c>
      <c r="RUT1590" s="55">
        <f t="shared" si="236"/>
        <v>0</v>
      </c>
      <c r="RUU1590" s="55">
        <f t="shared" si="236"/>
        <v>0</v>
      </c>
      <c r="RUV1590" s="55">
        <f t="shared" si="236"/>
        <v>0</v>
      </c>
      <c r="RUW1590" s="55">
        <f t="shared" si="236"/>
        <v>0</v>
      </c>
      <c r="RUX1590" s="55">
        <f t="shared" si="236"/>
        <v>0</v>
      </c>
      <c r="RUY1590" s="55">
        <f t="shared" si="236"/>
        <v>0</v>
      </c>
      <c r="RUZ1590" s="55">
        <f t="shared" si="236"/>
        <v>0</v>
      </c>
      <c r="RVA1590" s="55">
        <f t="shared" si="236"/>
        <v>0</v>
      </c>
      <c r="RVB1590" s="55">
        <f t="shared" si="236"/>
        <v>0</v>
      </c>
      <c r="RVC1590" s="55">
        <f t="shared" si="236"/>
        <v>0</v>
      </c>
      <c r="RVD1590" s="55">
        <f t="shared" si="236"/>
        <v>0</v>
      </c>
      <c r="RVE1590" s="55">
        <f t="shared" si="236"/>
        <v>0</v>
      </c>
      <c r="RVF1590" s="55">
        <f t="shared" si="236"/>
        <v>0</v>
      </c>
      <c r="RVG1590" s="55">
        <f t="shared" si="236"/>
        <v>0</v>
      </c>
      <c r="RVH1590" s="55">
        <f t="shared" ref="RVH1590:RXS1590" si="237">+(RVH1600+RVH1604)*1.18*1.1</f>
        <v>0</v>
      </c>
      <c r="RVI1590" s="55">
        <f t="shared" si="237"/>
        <v>0</v>
      </c>
      <c r="RVJ1590" s="55">
        <f t="shared" si="237"/>
        <v>0</v>
      </c>
      <c r="RVK1590" s="55">
        <f t="shared" si="237"/>
        <v>0</v>
      </c>
      <c r="RVL1590" s="55">
        <f t="shared" si="237"/>
        <v>0</v>
      </c>
      <c r="RVM1590" s="55">
        <f t="shared" si="237"/>
        <v>0</v>
      </c>
      <c r="RVN1590" s="55">
        <f t="shared" si="237"/>
        <v>0</v>
      </c>
      <c r="RVO1590" s="55">
        <f t="shared" si="237"/>
        <v>0</v>
      </c>
      <c r="RVP1590" s="55">
        <f t="shared" si="237"/>
        <v>0</v>
      </c>
      <c r="RVQ1590" s="55">
        <f t="shared" si="237"/>
        <v>0</v>
      </c>
      <c r="RVR1590" s="55">
        <f t="shared" si="237"/>
        <v>0</v>
      </c>
      <c r="RVS1590" s="55">
        <f t="shared" si="237"/>
        <v>0</v>
      </c>
      <c r="RVT1590" s="55">
        <f t="shared" si="237"/>
        <v>0</v>
      </c>
      <c r="RVU1590" s="55">
        <f t="shared" si="237"/>
        <v>0</v>
      </c>
      <c r="RVV1590" s="55">
        <f t="shared" si="237"/>
        <v>0</v>
      </c>
      <c r="RVW1590" s="55">
        <f t="shared" si="237"/>
        <v>0</v>
      </c>
      <c r="RVX1590" s="55">
        <f t="shared" si="237"/>
        <v>0</v>
      </c>
      <c r="RVY1590" s="55">
        <f t="shared" si="237"/>
        <v>0</v>
      </c>
      <c r="RVZ1590" s="55">
        <f t="shared" si="237"/>
        <v>0</v>
      </c>
      <c r="RWA1590" s="55">
        <f t="shared" si="237"/>
        <v>0</v>
      </c>
      <c r="RWB1590" s="55">
        <f t="shared" si="237"/>
        <v>0</v>
      </c>
      <c r="RWC1590" s="55">
        <f t="shared" si="237"/>
        <v>0</v>
      </c>
      <c r="RWD1590" s="55">
        <f t="shared" si="237"/>
        <v>0</v>
      </c>
      <c r="RWE1590" s="55">
        <f t="shared" si="237"/>
        <v>0</v>
      </c>
      <c r="RWF1590" s="55">
        <f t="shared" si="237"/>
        <v>0</v>
      </c>
      <c r="RWG1590" s="55">
        <f t="shared" si="237"/>
        <v>0</v>
      </c>
      <c r="RWH1590" s="55">
        <f t="shared" si="237"/>
        <v>0</v>
      </c>
      <c r="RWI1590" s="55">
        <f t="shared" si="237"/>
        <v>0</v>
      </c>
      <c r="RWJ1590" s="55">
        <f t="shared" si="237"/>
        <v>0</v>
      </c>
      <c r="RWK1590" s="55">
        <f t="shared" si="237"/>
        <v>0</v>
      </c>
      <c r="RWL1590" s="55">
        <f t="shared" si="237"/>
        <v>0</v>
      </c>
      <c r="RWM1590" s="55">
        <f t="shared" si="237"/>
        <v>0</v>
      </c>
      <c r="RWN1590" s="55">
        <f t="shared" si="237"/>
        <v>0</v>
      </c>
      <c r="RWO1590" s="55">
        <f t="shared" si="237"/>
        <v>0</v>
      </c>
      <c r="RWP1590" s="55">
        <f t="shared" si="237"/>
        <v>0</v>
      </c>
      <c r="RWQ1590" s="55">
        <f t="shared" si="237"/>
        <v>0</v>
      </c>
      <c r="RWR1590" s="55">
        <f t="shared" si="237"/>
        <v>0</v>
      </c>
      <c r="RWS1590" s="55">
        <f t="shared" si="237"/>
        <v>0</v>
      </c>
      <c r="RWT1590" s="55">
        <f t="shared" si="237"/>
        <v>0</v>
      </c>
      <c r="RWU1590" s="55">
        <f t="shared" si="237"/>
        <v>0</v>
      </c>
      <c r="RWV1590" s="55">
        <f t="shared" si="237"/>
        <v>0</v>
      </c>
      <c r="RWW1590" s="55">
        <f t="shared" si="237"/>
        <v>0</v>
      </c>
      <c r="RWX1590" s="55">
        <f t="shared" si="237"/>
        <v>0</v>
      </c>
      <c r="RWY1590" s="55">
        <f t="shared" si="237"/>
        <v>0</v>
      </c>
      <c r="RWZ1590" s="55">
        <f t="shared" si="237"/>
        <v>0</v>
      </c>
      <c r="RXA1590" s="55">
        <f t="shared" si="237"/>
        <v>0</v>
      </c>
      <c r="RXB1590" s="55">
        <f t="shared" si="237"/>
        <v>0</v>
      </c>
      <c r="RXC1590" s="55">
        <f t="shared" si="237"/>
        <v>0</v>
      </c>
      <c r="RXD1590" s="55">
        <f t="shared" si="237"/>
        <v>0</v>
      </c>
      <c r="RXE1590" s="55">
        <f t="shared" si="237"/>
        <v>0</v>
      </c>
      <c r="RXF1590" s="55">
        <f t="shared" si="237"/>
        <v>0</v>
      </c>
      <c r="RXG1590" s="55">
        <f t="shared" si="237"/>
        <v>0</v>
      </c>
      <c r="RXH1590" s="55">
        <f t="shared" si="237"/>
        <v>0</v>
      </c>
      <c r="RXI1590" s="55">
        <f t="shared" si="237"/>
        <v>0</v>
      </c>
      <c r="RXJ1590" s="55">
        <f t="shared" si="237"/>
        <v>0</v>
      </c>
      <c r="RXK1590" s="55">
        <f t="shared" si="237"/>
        <v>0</v>
      </c>
      <c r="RXL1590" s="55">
        <f t="shared" si="237"/>
        <v>0</v>
      </c>
      <c r="RXM1590" s="55">
        <f t="shared" si="237"/>
        <v>0</v>
      </c>
      <c r="RXN1590" s="55">
        <f t="shared" si="237"/>
        <v>0</v>
      </c>
      <c r="RXO1590" s="55">
        <f t="shared" si="237"/>
        <v>0</v>
      </c>
      <c r="RXP1590" s="55">
        <f t="shared" si="237"/>
        <v>0</v>
      </c>
      <c r="RXQ1590" s="55">
        <f t="shared" si="237"/>
        <v>0</v>
      </c>
      <c r="RXR1590" s="55">
        <f t="shared" si="237"/>
        <v>0</v>
      </c>
      <c r="RXS1590" s="55">
        <f t="shared" si="237"/>
        <v>0</v>
      </c>
      <c r="RXT1590" s="55">
        <f t="shared" ref="RXT1590:SAE1590" si="238">+(RXT1600+RXT1604)*1.18*1.1</f>
        <v>0</v>
      </c>
      <c r="RXU1590" s="55">
        <f t="shared" si="238"/>
        <v>0</v>
      </c>
      <c r="RXV1590" s="55">
        <f t="shared" si="238"/>
        <v>0</v>
      </c>
      <c r="RXW1590" s="55">
        <f t="shared" si="238"/>
        <v>0</v>
      </c>
      <c r="RXX1590" s="55">
        <f t="shared" si="238"/>
        <v>0</v>
      </c>
      <c r="RXY1590" s="55">
        <f t="shared" si="238"/>
        <v>0</v>
      </c>
      <c r="RXZ1590" s="55">
        <f t="shared" si="238"/>
        <v>0</v>
      </c>
      <c r="RYA1590" s="55">
        <f t="shared" si="238"/>
        <v>0</v>
      </c>
      <c r="RYB1590" s="55">
        <f t="shared" si="238"/>
        <v>0</v>
      </c>
      <c r="RYC1590" s="55">
        <f t="shared" si="238"/>
        <v>0</v>
      </c>
      <c r="RYD1590" s="55">
        <f t="shared" si="238"/>
        <v>0</v>
      </c>
      <c r="RYE1590" s="55">
        <f t="shared" si="238"/>
        <v>0</v>
      </c>
      <c r="RYF1590" s="55">
        <f t="shared" si="238"/>
        <v>0</v>
      </c>
      <c r="RYG1590" s="55">
        <f t="shared" si="238"/>
        <v>0</v>
      </c>
      <c r="RYH1590" s="55">
        <f t="shared" si="238"/>
        <v>0</v>
      </c>
      <c r="RYI1590" s="55">
        <f t="shared" si="238"/>
        <v>0</v>
      </c>
      <c r="RYJ1590" s="55">
        <f t="shared" si="238"/>
        <v>0</v>
      </c>
      <c r="RYK1590" s="55">
        <f t="shared" si="238"/>
        <v>0</v>
      </c>
      <c r="RYL1590" s="55">
        <f t="shared" si="238"/>
        <v>0</v>
      </c>
      <c r="RYM1590" s="55">
        <f t="shared" si="238"/>
        <v>0</v>
      </c>
      <c r="RYN1590" s="55">
        <f t="shared" si="238"/>
        <v>0</v>
      </c>
      <c r="RYO1590" s="55">
        <f t="shared" si="238"/>
        <v>0</v>
      </c>
      <c r="RYP1590" s="55">
        <f t="shared" si="238"/>
        <v>0</v>
      </c>
      <c r="RYQ1590" s="55">
        <f t="shared" si="238"/>
        <v>0</v>
      </c>
      <c r="RYR1590" s="55">
        <f t="shared" si="238"/>
        <v>0</v>
      </c>
      <c r="RYS1590" s="55">
        <f t="shared" si="238"/>
        <v>0</v>
      </c>
      <c r="RYT1590" s="55">
        <f t="shared" si="238"/>
        <v>0</v>
      </c>
      <c r="RYU1590" s="55">
        <f t="shared" si="238"/>
        <v>0</v>
      </c>
      <c r="RYV1590" s="55">
        <f t="shared" si="238"/>
        <v>0</v>
      </c>
      <c r="RYW1590" s="55">
        <f t="shared" si="238"/>
        <v>0</v>
      </c>
      <c r="RYX1590" s="55">
        <f t="shared" si="238"/>
        <v>0</v>
      </c>
      <c r="RYY1590" s="55">
        <f t="shared" si="238"/>
        <v>0</v>
      </c>
      <c r="RYZ1590" s="55">
        <f t="shared" si="238"/>
        <v>0</v>
      </c>
      <c r="RZA1590" s="55">
        <f t="shared" si="238"/>
        <v>0</v>
      </c>
      <c r="RZB1590" s="55">
        <f t="shared" si="238"/>
        <v>0</v>
      </c>
      <c r="RZC1590" s="55">
        <f t="shared" si="238"/>
        <v>0</v>
      </c>
      <c r="RZD1590" s="55">
        <f t="shared" si="238"/>
        <v>0</v>
      </c>
      <c r="RZE1590" s="55">
        <f t="shared" si="238"/>
        <v>0</v>
      </c>
      <c r="RZF1590" s="55">
        <f t="shared" si="238"/>
        <v>0</v>
      </c>
      <c r="RZG1590" s="55">
        <f t="shared" si="238"/>
        <v>0</v>
      </c>
      <c r="RZH1590" s="55">
        <f t="shared" si="238"/>
        <v>0</v>
      </c>
      <c r="RZI1590" s="55">
        <f t="shared" si="238"/>
        <v>0</v>
      </c>
      <c r="RZJ1590" s="55">
        <f t="shared" si="238"/>
        <v>0</v>
      </c>
      <c r="RZK1590" s="55">
        <f t="shared" si="238"/>
        <v>0</v>
      </c>
      <c r="RZL1590" s="55">
        <f t="shared" si="238"/>
        <v>0</v>
      </c>
      <c r="RZM1590" s="55">
        <f t="shared" si="238"/>
        <v>0</v>
      </c>
      <c r="RZN1590" s="55">
        <f t="shared" si="238"/>
        <v>0</v>
      </c>
      <c r="RZO1590" s="55">
        <f t="shared" si="238"/>
        <v>0</v>
      </c>
      <c r="RZP1590" s="55">
        <f t="shared" si="238"/>
        <v>0</v>
      </c>
      <c r="RZQ1590" s="55">
        <f t="shared" si="238"/>
        <v>0</v>
      </c>
      <c r="RZR1590" s="55">
        <f t="shared" si="238"/>
        <v>0</v>
      </c>
      <c r="RZS1590" s="55">
        <f t="shared" si="238"/>
        <v>0</v>
      </c>
      <c r="RZT1590" s="55">
        <f t="shared" si="238"/>
        <v>0</v>
      </c>
      <c r="RZU1590" s="55">
        <f t="shared" si="238"/>
        <v>0</v>
      </c>
      <c r="RZV1590" s="55">
        <f t="shared" si="238"/>
        <v>0</v>
      </c>
      <c r="RZW1590" s="55">
        <f t="shared" si="238"/>
        <v>0</v>
      </c>
      <c r="RZX1590" s="55">
        <f t="shared" si="238"/>
        <v>0</v>
      </c>
      <c r="RZY1590" s="55">
        <f t="shared" si="238"/>
        <v>0</v>
      </c>
      <c r="RZZ1590" s="55">
        <f t="shared" si="238"/>
        <v>0</v>
      </c>
      <c r="SAA1590" s="55">
        <f t="shared" si="238"/>
        <v>0</v>
      </c>
      <c r="SAB1590" s="55">
        <f t="shared" si="238"/>
        <v>0</v>
      </c>
      <c r="SAC1590" s="55">
        <f t="shared" si="238"/>
        <v>0</v>
      </c>
      <c r="SAD1590" s="55">
        <f t="shared" si="238"/>
        <v>0</v>
      </c>
      <c r="SAE1590" s="55">
        <f t="shared" si="238"/>
        <v>0</v>
      </c>
      <c r="SAF1590" s="55">
        <f t="shared" ref="SAF1590:SCQ1590" si="239">+(SAF1600+SAF1604)*1.18*1.1</f>
        <v>0</v>
      </c>
      <c r="SAG1590" s="55">
        <f t="shared" si="239"/>
        <v>0</v>
      </c>
      <c r="SAH1590" s="55">
        <f t="shared" si="239"/>
        <v>0</v>
      </c>
      <c r="SAI1590" s="55">
        <f t="shared" si="239"/>
        <v>0</v>
      </c>
      <c r="SAJ1590" s="55">
        <f t="shared" si="239"/>
        <v>0</v>
      </c>
      <c r="SAK1590" s="55">
        <f t="shared" si="239"/>
        <v>0</v>
      </c>
      <c r="SAL1590" s="55">
        <f t="shared" si="239"/>
        <v>0</v>
      </c>
      <c r="SAM1590" s="55">
        <f t="shared" si="239"/>
        <v>0</v>
      </c>
      <c r="SAN1590" s="55">
        <f t="shared" si="239"/>
        <v>0</v>
      </c>
      <c r="SAO1590" s="55">
        <f t="shared" si="239"/>
        <v>0</v>
      </c>
      <c r="SAP1590" s="55">
        <f t="shared" si="239"/>
        <v>0</v>
      </c>
      <c r="SAQ1590" s="55">
        <f t="shared" si="239"/>
        <v>0</v>
      </c>
      <c r="SAR1590" s="55">
        <f t="shared" si="239"/>
        <v>0</v>
      </c>
      <c r="SAS1590" s="55">
        <f t="shared" si="239"/>
        <v>0</v>
      </c>
      <c r="SAT1590" s="55">
        <f t="shared" si="239"/>
        <v>0</v>
      </c>
      <c r="SAU1590" s="55">
        <f t="shared" si="239"/>
        <v>0</v>
      </c>
      <c r="SAV1590" s="55">
        <f t="shared" si="239"/>
        <v>0</v>
      </c>
      <c r="SAW1590" s="55">
        <f t="shared" si="239"/>
        <v>0</v>
      </c>
      <c r="SAX1590" s="55">
        <f t="shared" si="239"/>
        <v>0</v>
      </c>
      <c r="SAY1590" s="55">
        <f t="shared" si="239"/>
        <v>0</v>
      </c>
      <c r="SAZ1590" s="55">
        <f t="shared" si="239"/>
        <v>0</v>
      </c>
      <c r="SBA1590" s="55">
        <f t="shared" si="239"/>
        <v>0</v>
      </c>
      <c r="SBB1590" s="55">
        <f t="shared" si="239"/>
        <v>0</v>
      </c>
      <c r="SBC1590" s="55">
        <f t="shared" si="239"/>
        <v>0</v>
      </c>
      <c r="SBD1590" s="55">
        <f t="shared" si="239"/>
        <v>0</v>
      </c>
      <c r="SBE1590" s="55">
        <f t="shared" si="239"/>
        <v>0</v>
      </c>
      <c r="SBF1590" s="55">
        <f t="shared" si="239"/>
        <v>0</v>
      </c>
      <c r="SBG1590" s="55">
        <f t="shared" si="239"/>
        <v>0</v>
      </c>
      <c r="SBH1590" s="55">
        <f t="shared" si="239"/>
        <v>0</v>
      </c>
      <c r="SBI1590" s="55">
        <f t="shared" si="239"/>
        <v>0</v>
      </c>
      <c r="SBJ1590" s="55">
        <f t="shared" si="239"/>
        <v>0</v>
      </c>
      <c r="SBK1590" s="55">
        <f t="shared" si="239"/>
        <v>0</v>
      </c>
      <c r="SBL1590" s="55">
        <f t="shared" si="239"/>
        <v>0</v>
      </c>
      <c r="SBM1590" s="55">
        <f t="shared" si="239"/>
        <v>0</v>
      </c>
      <c r="SBN1590" s="55">
        <f t="shared" si="239"/>
        <v>0</v>
      </c>
      <c r="SBO1590" s="55">
        <f t="shared" si="239"/>
        <v>0</v>
      </c>
      <c r="SBP1590" s="55">
        <f t="shared" si="239"/>
        <v>0</v>
      </c>
      <c r="SBQ1590" s="55">
        <f t="shared" si="239"/>
        <v>0</v>
      </c>
      <c r="SBR1590" s="55">
        <f t="shared" si="239"/>
        <v>0</v>
      </c>
      <c r="SBS1590" s="55">
        <f t="shared" si="239"/>
        <v>0</v>
      </c>
      <c r="SBT1590" s="55">
        <f t="shared" si="239"/>
        <v>0</v>
      </c>
      <c r="SBU1590" s="55">
        <f t="shared" si="239"/>
        <v>0</v>
      </c>
      <c r="SBV1590" s="55">
        <f t="shared" si="239"/>
        <v>0</v>
      </c>
      <c r="SBW1590" s="55">
        <f t="shared" si="239"/>
        <v>0</v>
      </c>
      <c r="SBX1590" s="55">
        <f t="shared" si="239"/>
        <v>0</v>
      </c>
      <c r="SBY1590" s="55">
        <f t="shared" si="239"/>
        <v>0</v>
      </c>
      <c r="SBZ1590" s="55">
        <f t="shared" si="239"/>
        <v>0</v>
      </c>
      <c r="SCA1590" s="55">
        <f t="shared" si="239"/>
        <v>0</v>
      </c>
      <c r="SCB1590" s="55">
        <f t="shared" si="239"/>
        <v>0</v>
      </c>
      <c r="SCC1590" s="55">
        <f t="shared" si="239"/>
        <v>0</v>
      </c>
      <c r="SCD1590" s="55">
        <f t="shared" si="239"/>
        <v>0</v>
      </c>
      <c r="SCE1590" s="55">
        <f t="shared" si="239"/>
        <v>0</v>
      </c>
      <c r="SCF1590" s="55">
        <f t="shared" si="239"/>
        <v>0</v>
      </c>
      <c r="SCG1590" s="55">
        <f t="shared" si="239"/>
        <v>0</v>
      </c>
      <c r="SCH1590" s="55">
        <f t="shared" si="239"/>
        <v>0</v>
      </c>
      <c r="SCI1590" s="55">
        <f t="shared" si="239"/>
        <v>0</v>
      </c>
      <c r="SCJ1590" s="55">
        <f t="shared" si="239"/>
        <v>0</v>
      </c>
      <c r="SCK1590" s="55">
        <f t="shared" si="239"/>
        <v>0</v>
      </c>
      <c r="SCL1590" s="55">
        <f t="shared" si="239"/>
        <v>0</v>
      </c>
      <c r="SCM1590" s="55">
        <f t="shared" si="239"/>
        <v>0</v>
      </c>
      <c r="SCN1590" s="55">
        <f t="shared" si="239"/>
        <v>0</v>
      </c>
      <c r="SCO1590" s="55">
        <f t="shared" si="239"/>
        <v>0</v>
      </c>
      <c r="SCP1590" s="55">
        <f t="shared" si="239"/>
        <v>0</v>
      </c>
      <c r="SCQ1590" s="55">
        <f t="shared" si="239"/>
        <v>0</v>
      </c>
      <c r="SCR1590" s="55">
        <f t="shared" ref="SCR1590:SFC1590" si="240">+(SCR1600+SCR1604)*1.18*1.1</f>
        <v>0</v>
      </c>
      <c r="SCS1590" s="55">
        <f t="shared" si="240"/>
        <v>0</v>
      </c>
      <c r="SCT1590" s="55">
        <f t="shared" si="240"/>
        <v>0</v>
      </c>
      <c r="SCU1590" s="55">
        <f t="shared" si="240"/>
        <v>0</v>
      </c>
      <c r="SCV1590" s="55">
        <f t="shared" si="240"/>
        <v>0</v>
      </c>
      <c r="SCW1590" s="55">
        <f t="shared" si="240"/>
        <v>0</v>
      </c>
      <c r="SCX1590" s="55">
        <f t="shared" si="240"/>
        <v>0</v>
      </c>
      <c r="SCY1590" s="55">
        <f t="shared" si="240"/>
        <v>0</v>
      </c>
      <c r="SCZ1590" s="55">
        <f t="shared" si="240"/>
        <v>0</v>
      </c>
      <c r="SDA1590" s="55">
        <f t="shared" si="240"/>
        <v>0</v>
      </c>
      <c r="SDB1590" s="55">
        <f t="shared" si="240"/>
        <v>0</v>
      </c>
      <c r="SDC1590" s="55">
        <f t="shared" si="240"/>
        <v>0</v>
      </c>
      <c r="SDD1590" s="55">
        <f t="shared" si="240"/>
        <v>0</v>
      </c>
      <c r="SDE1590" s="55">
        <f t="shared" si="240"/>
        <v>0</v>
      </c>
      <c r="SDF1590" s="55">
        <f t="shared" si="240"/>
        <v>0</v>
      </c>
      <c r="SDG1590" s="55">
        <f t="shared" si="240"/>
        <v>0</v>
      </c>
      <c r="SDH1590" s="55">
        <f t="shared" si="240"/>
        <v>0</v>
      </c>
      <c r="SDI1590" s="55">
        <f t="shared" si="240"/>
        <v>0</v>
      </c>
      <c r="SDJ1590" s="55">
        <f t="shared" si="240"/>
        <v>0</v>
      </c>
      <c r="SDK1590" s="55">
        <f t="shared" si="240"/>
        <v>0</v>
      </c>
      <c r="SDL1590" s="55">
        <f t="shared" si="240"/>
        <v>0</v>
      </c>
      <c r="SDM1590" s="55">
        <f t="shared" si="240"/>
        <v>0</v>
      </c>
      <c r="SDN1590" s="55">
        <f t="shared" si="240"/>
        <v>0</v>
      </c>
      <c r="SDO1590" s="55">
        <f t="shared" si="240"/>
        <v>0</v>
      </c>
      <c r="SDP1590" s="55">
        <f t="shared" si="240"/>
        <v>0</v>
      </c>
      <c r="SDQ1590" s="55">
        <f t="shared" si="240"/>
        <v>0</v>
      </c>
      <c r="SDR1590" s="55">
        <f t="shared" si="240"/>
        <v>0</v>
      </c>
      <c r="SDS1590" s="55">
        <f t="shared" si="240"/>
        <v>0</v>
      </c>
      <c r="SDT1590" s="55">
        <f t="shared" si="240"/>
        <v>0</v>
      </c>
      <c r="SDU1590" s="55">
        <f t="shared" si="240"/>
        <v>0</v>
      </c>
      <c r="SDV1590" s="55">
        <f t="shared" si="240"/>
        <v>0</v>
      </c>
      <c r="SDW1590" s="55">
        <f t="shared" si="240"/>
        <v>0</v>
      </c>
      <c r="SDX1590" s="55">
        <f t="shared" si="240"/>
        <v>0</v>
      </c>
      <c r="SDY1590" s="55">
        <f t="shared" si="240"/>
        <v>0</v>
      </c>
      <c r="SDZ1590" s="55">
        <f t="shared" si="240"/>
        <v>0</v>
      </c>
      <c r="SEA1590" s="55">
        <f t="shared" si="240"/>
        <v>0</v>
      </c>
      <c r="SEB1590" s="55">
        <f t="shared" si="240"/>
        <v>0</v>
      </c>
      <c r="SEC1590" s="55">
        <f t="shared" si="240"/>
        <v>0</v>
      </c>
      <c r="SED1590" s="55">
        <f t="shared" si="240"/>
        <v>0</v>
      </c>
      <c r="SEE1590" s="55">
        <f t="shared" si="240"/>
        <v>0</v>
      </c>
      <c r="SEF1590" s="55">
        <f t="shared" si="240"/>
        <v>0</v>
      </c>
      <c r="SEG1590" s="55">
        <f t="shared" si="240"/>
        <v>0</v>
      </c>
      <c r="SEH1590" s="55">
        <f t="shared" si="240"/>
        <v>0</v>
      </c>
      <c r="SEI1590" s="55">
        <f t="shared" si="240"/>
        <v>0</v>
      </c>
      <c r="SEJ1590" s="55">
        <f t="shared" si="240"/>
        <v>0</v>
      </c>
      <c r="SEK1590" s="55">
        <f t="shared" si="240"/>
        <v>0</v>
      </c>
      <c r="SEL1590" s="55">
        <f t="shared" si="240"/>
        <v>0</v>
      </c>
      <c r="SEM1590" s="55">
        <f t="shared" si="240"/>
        <v>0</v>
      </c>
      <c r="SEN1590" s="55">
        <f t="shared" si="240"/>
        <v>0</v>
      </c>
      <c r="SEO1590" s="55">
        <f t="shared" si="240"/>
        <v>0</v>
      </c>
      <c r="SEP1590" s="55">
        <f t="shared" si="240"/>
        <v>0</v>
      </c>
      <c r="SEQ1590" s="55">
        <f t="shared" si="240"/>
        <v>0</v>
      </c>
      <c r="SER1590" s="55">
        <f t="shared" si="240"/>
        <v>0</v>
      </c>
      <c r="SES1590" s="55">
        <f t="shared" si="240"/>
        <v>0</v>
      </c>
      <c r="SET1590" s="55">
        <f t="shared" si="240"/>
        <v>0</v>
      </c>
      <c r="SEU1590" s="55">
        <f t="shared" si="240"/>
        <v>0</v>
      </c>
      <c r="SEV1590" s="55">
        <f t="shared" si="240"/>
        <v>0</v>
      </c>
      <c r="SEW1590" s="55">
        <f t="shared" si="240"/>
        <v>0</v>
      </c>
      <c r="SEX1590" s="55">
        <f t="shared" si="240"/>
        <v>0</v>
      </c>
      <c r="SEY1590" s="55">
        <f t="shared" si="240"/>
        <v>0</v>
      </c>
      <c r="SEZ1590" s="55">
        <f t="shared" si="240"/>
        <v>0</v>
      </c>
      <c r="SFA1590" s="55">
        <f t="shared" si="240"/>
        <v>0</v>
      </c>
      <c r="SFB1590" s="55">
        <f t="shared" si="240"/>
        <v>0</v>
      </c>
      <c r="SFC1590" s="55">
        <f t="shared" si="240"/>
        <v>0</v>
      </c>
      <c r="SFD1590" s="55">
        <f t="shared" ref="SFD1590:SHO1590" si="241">+(SFD1600+SFD1604)*1.18*1.1</f>
        <v>0</v>
      </c>
      <c r="SFE1590" s="55">
        <f t="shared" si="241"/>
        <v>0</v>
      </c>
      <c r="SFF1590" s="55">
        <f t="shared" si="241"/>
        <v>0</v>
      </c>
      <c r="SFG1590" s="55">
        <f t="shared" si="241"/>
        <v>0</v>
      </c>
      <c r="SFH1590" s="55">
        <f t="shared" si="241"/>
        <v>0</v>
      </c>
      <c r="SFI1590" s="55">
        <f t="shared" si="241"/>
        <v>0</v>
      </c>
      <c r="SFJ1590" s="55">
        <f t="shared" si="241"/>
        <v>0</v>
      </c>
      <c r="SFK1590" s="55">
        <f t="shared" si="241"/>
        <v>0</v>
      </c>
      <c r="SFL1590" s="55">
        <f t="shared" si="241"/>
        <v>0</v>
      </c>
      <c r="SFM1590" s="55">
        <f t="shared" si="241"/>
        <v>0</v>
      </c>
      <c r="SFN1590" s="55">
        <f t="shared" si="241"/>
        <v>0</v>
      </c>
      <c r="SFO1590" s="55">
        <f t="shared" si="241"/>
        <v>0</v>
      </c>
      <c r="SFP1590" s="55">
        <f t="shared" si="241"/>
        <v>0</v>
      </c>
      <c r="SFQ1590" s="55">
        <f t="shared" si="241"/>
        <v>0</v>
      </c>
      <c r="SFR1590" s="55">
        <f t="shared" si="241"/>
        <v>0</v>
      </c>
      <c r="SFS1590" s="55">
        <f t="shared" si="241"/>
        <v>0</v>
      </c>
      <c r="SFT1590" s="55">
        <f t="shared" si="241"/>
        <v>0</v>
      </c>
      <c r="SFU1590" s="55">
        <f t="shared" si="241"/>
        <v>0</v>
      </c>
      <c r="SFV1590" s="55">
        <f t="shared" si="241"/>
        <v>0</v>
      </c>
      <c r="SFW1590" s="55">
        <f t="shared" si="241"/>
        <v>0</v>
      </c>
      <c r="SFX1590" s="55">
        <f t="shared" si="241"/>
        <v>0</v>
      </c>
      <c r="SFY1590" s="55">
        <f t="shared" si="241"/>
        <v>0</v>
      </c>
      <c r="SFZ1590" s="55">
        <f t="shared" si="241"/>
        <v>0</v>
      </c>
      <c r="SGA1590" s="55">
        <f t="shared" si="241"/>
        <v>0</v>
      </c>
      <c r="SGB1590" s="55">
        <f t="shared" si="241"/>
        <v>0</v>
      </c>
      <c r="SGC1590" s="55">
        <f t="shared" si="241"/>
        <v>0</v>
      </c>
      <c r="SGD1590" s="55">
        <f t="shared" si="241"/>
        <v>0</v>
      </c>
      <c r="SGE1590" s="55">
        <f t="shared" si="241"/>
        <v>0</v>
      </c>
      <c r="SGF1590" s="55">
        <f t="shared" si="241"/>
        <v>0</v>
      </c>
      <c r="SGG1590" s="55">
        <f t="shared" si="241"/>
        <v>0</v>
      </c>
      <c r="SGH1590" s="55">
        <f t="shared" si="241"/>
        <v>0</v>
      </c>
      <c r="SGI1590" s="55">
        <f t="shared" si="241"/>
        <v>0</v>
      </c>
      <c r="SGJ1590" s="55">
        <f t="shared" si="241"/>
        <v>0</v>
      </c>
      <c r="SGK1590" s="55">
        <f t="shared" si="241"/>
        <v>0</v>
      </c>
      <c r="SGL1590" s="55">
        <f t="shared" si="241"/>
        <v>0</v>
      </c>
      <c r="SGM1590" s="55">
        <f t="shared" si="241"/>
        <v>0</v>
      </c>
      <c r="SGN1590" s="55">
        <f t="shared" si="241"/>
        <v>0</v>
      </c>
      <c r="SGO1590" s="55">
        <f t="shared" si="241"/>
        <v>0</v>
      </c>
      <c r="SGP1590" s="55">
        <f t="shared" si="241"/>
        <v>0</v>
      </c>
      <c r="SGQ1590" s="55">
        <f t="shared" si="241"/>
        <v>0</v>
      </c>
      <c r="SGR1590" s="55">
        <f t="shared" si="241"/>
        <v>0</v>
      </c>
      <c r="SGS1590" s="55">
        <f t="shared" si="241"/>
        <v>0</v>
      </c>
      <c r="SGT1590" s="55">
        <f t="shared" si="241"/>
        <v>0</v>
      </c>
      <c r="SGU1590" s="55">
        <f t="shared" si="241"/>
        <v>0</v>
      </c>
      <c r="SGV1590" s="55">
        <f t="shared" si="241"/>
        <v>0</v>
      </c>
      <c r="SGW1590" s="55">
        <f t="shared" si="241"/>
        <v>0</v>
      </c>
      <c r="SGX1590" s="55">
        <f t="shared" si="241"/>
        <v>0</v>
      </c>
      <c r="SGY1590" s="55">
        <f t="shared" si="241"/>
        <v>0</v>
      </c>
      <c r="SGZ1590" s="55">
        <f t="shared" si="241"/>
        <v>0</v>
      </c>
      <c r="SHA1590" s="55">
        <f t="shared" si="241"/>
        <v>0</v>
      </c>
      <c r="SHB1590" s="55">
        <f t="shared" si="241"/>
        <v>0</v>
      </c>
      <c r="SHC1590" s="55">
        <f t="shared" si="241"/>
        <v>0</v>
      </c>
      <c r="SHD1590" s="55">
        <f t="shared" si="241"/>
        <v>0</v>
      </c>
      <c r="SHE1590" s="55">
        <f t="shared" si="241"/>
        <v>0</v>
      </c>
      <c r="SHF1590" s="55">
        <f t="shared" si="241"/>
        <v>0</v>
      </c>
      <c r="SHG1590" s="55">
        <f t="shared" si="241"/>
        <v>0</v>
      </c>
      <c r="SHH1590" s="55">
        <f t="shared" si="241"/>
        <v>0</v>
      </c>
      <c r="SHI1590" s="55">
        <f t="shared" si="241"/>
        <v>0</v>
      </c>
      <c r="SHJ1590" s="55">
        <f t="shared" si="241"/>
        <v>0</v>
      </c>
      <c r="SHK1590" s="55">
        <f t="shared" si="241"/>
        <v>0</v>
      </c>
      <c r="SHL1590" s="55">
        <f t="shared" si="241"/>
        <v>0</v>
      </c>
      <c r="SHM1590" s="55">
        <f t="shared" si="241"/>
        <v>0</v>
      </c>
      <c r="SHN1590" s="55">
        <f t="shared" si="241"/>
        <v>0</v>
      </c>
      <c r="SHO1590" s="55">
        <f t="shared" si="241"/>
        <v>0</v>
      </c>
      <c r="SHP1590" s="55">
        <f t="shared" ref="SHP1590:SKA1590" si="242">+(SHP1600+SHP1604)*1.18*1.1</f>
        <v>0</v>
      </c>
      <c r="SHQ1590" s="55">
        <f t="shared" si="242"/>
        <v>0</v>
      </c>
      <c r="SHR1590" s="55">
        <f t="shared" si="242"/>
        <v>0</v>
      </c>
      <c r="SHS1590" s="55">
        <f t="shared" si="242"/>
        <v>0</v>
      </c>
      <c r="SHT1590" s="55">
        <f t="shared" si="242"/>
        <v>0</v>
      </c>
      <c r="SHU1590" s="55">
        <f t="shared" si="242"/>
        <v>0</v>
      </c>
      <c r="SHV1590" s="55">
        <f t="shared" si="242"/>
        <v>0</v>
      </c>
      <c r="SHW1590" s="55">
        <f t="shared" si="242"/>
        <v>0</v>
      </c>
      <c r="SHX1590" s="55">
        <f t="shared" si="242"/>
        <v>0</v>
      </c>
      <c r="SHY1590" s="55">
        <f t="shared" si="242"/>
        <v>0</v>
      </c>
      <c r="SHZ1590" s="55">
        <f t="shared" si="242"/>
        <v>0</v>
      </c>
      <c r="SIA1590" s="55">
        <f t="shared" si="242"/>
        <v>0</v>
      </c>
      <c r="SIB1590" s="55">
        <f t="shared" si="242"/>
        <v>0</v>
      </c>
      <c r="SIC1590" s="55">
        <f t="shared" si="242"/>
        <v>0</v>
      </c>
      <c r="SID1590" s="55">
        <f t="shared" si="242"/>
        <v>0</v>
      </c>
      <c r="SIE1590" s="55">
        <f t="shared" si="242"/>
        <v>0</v>
      </c>
      <c r="SIF1590" s="55">
        <f t="shared" si="242"/>
        <v>0</v>
      </c>
      <c r="SIG1590" s="55">
        <f t="shared" si="242"/>
        <v>0</v>
      </c>
      <c r="SIH1590" s="55">
        <f t="shared" si="242"/>
        <v>0</v>
      </c>
      <c r="SII1590" s="55">
        <f t="shared" si="242"/>
        <v>0</v>
      </c>
      <c r="SIJ1590" s="55">
        <f t="shared" si="242"/>
        <v>0</v>
      </c>
      <c r="SIK1590" s="55">
        <f t="shared" si="242"/>
        <v>0</v>
      </c>
      <c r="SIL1590" s="55">
        <f t="shared" si="242"/>
        <v>0</v>
      </c>
      <c r="SIM1590" s="55">
        <f t="shared" si="242"/>
        <v>0</v>
      </c>
      <c r="SIN1590" s="55">
        <f t="shared" si="242"/>
        <v>0</v>
      </c>
      <c r="SIO1590" s="55">
        <f t="shared" si="242"/>
        <v>0</v>
      </c>
      <c r="SIP1590" s="55">
        <f t="shared" si="242"/>
        <v>0</v>
      </c>
      <c r="SIQ1590" s="55">
        <f t="shared" si="242"/>
        <v>0</v>
      </c>
      <c r="SIR1590" s="55">
        <f t="shared" si="242"/>
        <v>0</v>
      </c>
      <c r="SIS1590" s="55">
        <f t="shared" si="242"/>
        <v>0</v>
      </c>
      <c r="SIT1590" s="55">
        <f t="shared" si="242"/>
        <v>0</v>
      </c>
      <c r="SIU1590" s="55">
        <f t="shared" si="242"/>
        <v>0</v>
      </c>
      <c r="SIV1590" s="55">
        <f t="shared" si="242"/>
        <v>0</v>
      </c>
      <c r="SIW1590" s="55">
        <f t="shared" si="242"/>
        <v>0</v>
      </c>
      <c r="SIX1590" s="55">
        <f t="shared" si="242"/>
        <v>0</v>
      </c>
      <c r="SIY1590" s="55">
        <f t="shared" si="242"/>
        <v>0</v>
      </c>
      <c r="SIZ1590" s="55">
        <f t="shared" si="242"/>
        <v>0</v>
      </c>
      <c r="SJA1590" s="55">
        <f t="shared" si="242"/>
        <v>0</v>
      </c>
      <c r="SJB1590" s="55">
        <f t="shared" si="242"/>
        <v>0</v>
      </c>
      <c r="SJC1590" s="55">
        <f t="shared" si="242"/>
        <v>0</v>
      </c>
      <c r="SJD1590" s="55">
        <f t="shared" si="242"/>
        <v>0</v>
      </c>
      <c r="SJE1590" s="55">
        <f t="shared" si="242"/>
        <v>0</v>
      </c>
      <c r="SJF1590" s="55">
        <f t="shared" si="242"/>
        <v>0</v>
      </c>
      <c r="SJG1590" s="55">
        <f t="shared" si="242"/>
        <v>0</v>
      </c>
      <c r="SJH1590" s="55">
        <f t="shared" si="242"/>
        <v>0</v>
      </c>
      <c r="SJI1590" s="55">
        <f t="shared" si="242"/>
        <v>0</v>
      </c>
      <c r="SJJ1590" s="55">
        <f t="shared" si="242"/>
        <v>0</v>
      </c>
      <c r="SJK1590" s="55">
        <f t="shared" si="242"/>
        <v>0</v>
      </c>
      <c r="SJL1590" s="55">
        <f t="shared" si="242"/>
        <v>0</v>
      </c>
      <c r="SJM1590" s="55">
        <f t="shared" si="242"/>
        <v>0</v>
      </c>
      <c r="SJN1590" s="55">
        <f t="shared" si="242"/>
        <v>0</v>
      </c>
      <c r="SJO1590" s="55">
        <f t="shared" si="242"/>
        <v>0</v>
      </c>
      <c r="SJP1590" s="55">
        <f t="shared" si="242"/>
        <v>0</v>
      </c>
      <c r="SJQ1590" s="55">
        <f t="shared" si="242"/>
        <v>0</v>
      </c>
      <c r="SJR1590" s="55">
        <f t="shared" si="242"/>
        <v>0</v>
      </c>
      <c r="SJS1590" s="55">
        <f t="shared" si="242"/>
        <v>0</v>
      </c>
      <c r="SJT1590" s="55">
        <f t="shared" si="242"/>
        <v>0</v>
      </c>
      <c r="SJU1590" s="55">
        <f t="shared" si="242"/>
        <v>0</v>
      </c>
      <c r="SJV1590" s="55">
        <f t="shared" si="242"/>
        <v>0</v>
      </c>
      <c r="SJW1590" s="55">
        <f t="shared" si="242"/>
        <v>0</v>
      </c>
      <c r="SJX1590" s="55">
        <f t="shared" si="242"/>
        <v>0</v>
      </c>
      <c r="SJY1590" s="55">
        <f t="shared" si="242"/>
        <v>0</v>
      </c>
      <c r="SJZ1590" s="55">
        <f t="shared" si="242"/>
        <v>0</v>
      </c>
      <c r="SKA1590" s="55">
        <f t="shared" si="242"/>
        <v>0</v>
      </c>
      <c r="SKB1590" s="55">
        <f t="shared" ref="SKB1590:SMM1590" si="243">+(SKB1600+SKB1604)*1.18*1.1</f>
        <v>0</v>
      </c>
      <c r="SKC1590" s="55">
        <f t="shared" si="243"/>
        <v>0</v>
      </c>
      <c r="SKD1590" s="55">
        <f t="shared" si="243"/>
        <v>0</v>
      </c>
      <c r="SKE1590" s="55">
        <f t="shared" si="243"/>
        <v>0</v>
      </c>
      <c r="SKF1590" s="55">
        <f t="shared" si="243"/>
        <v>0</v>
      </c>
      <c r="SKG1590" s="55">
        <f t="shared" si="243"/>
        <v>0</v>
      </c>
      <c r="SKH1590" s="55">
        <f t="shared" si="243"/>
        <v>0</v>
      </c>
      <c r="SKI1590" s="55">
        <f t="shared" si="243"/>
        <v>0</v>
      </c>
      <c r="SKJ1590" s="55">
        <f t="shared" si="243"/>
        <v>0</v>
      </c>
      <c r="SKK1590" s="55">
        <f t="shared" si="243"/>
        <v>0</v>
      </c>
      <c r="SKL1590" s="55">
        <f t="shared" si="243"/>
        <v>0</v>
      </c>
      <c r="SKM1590" s="55">
        <f t="shared" si="243"/>
        <v>0</v>
      </c>
      <c r="SKN1590" s="55">
        <f t="shared" si="243"/>
        <v>0</v>
      </c>
      <c r="SKO1590" s="55">
        <f t="shared" si="243"/>
        <v>0</v>
      </c>
      <c r="SKP1590" s="55">
        <f t="shared" si="243"/>
        <v>0</v>
      </c>
      <c r="SKQ1590" s="55">
        <f t="shared" si="243"/>
        <v>0</v>
      </c>
      <c r="SKR1590" s="55">
        <f t="shared" si="243"/>
        <v>0</v>
      </c>
      <c r="SKS1590" s="55">
        <f t="shared" si="243"/>
        <v>0</v>
      </c>
      <c r="SKT1590" s="55">
        <f t="shared" si="243"/>
        <v>0</v>
      </c>
      <c r="SKU1590" s="55">
        <f t="shared" si="243"/>
        <v>0</v>
      </c>
      <c r="SKV1590" s="55">
        <f t="shared" si="243"/>
        <v>0</v>
      </c>
      <c r="SKW1590" s="55">
        <f t="shared" si="243"/>
        <v>0</v>
      </c>
      <c r="SKX1590" s="55">
        <f t="shared" si="243"/>
        <v>0</v>
      </c>
      <c r="SKY1590" s="55">
        <f t="shared" si="243"/>
        <v>0</v>
      </c>
      <c r="SKZ1590" s="55">
        <f t="shared" si="243"/>
        <v>0</v>
      </c>
      <c r="SLA1590" s="55">
        <f t="shared" si="243"/>
        <v>0</v>
      </c>
      <c r="SLB1590" s="55">
        <f t="shared" si="243"/>
        <v>0</v>
      </c>
      <c r="SLC1590" s="55">
        <f t="shared" si="243"/>
        <v>0</v>
      </c>
      <c r="SLD1590" s="55">
        <f t="shared" si="243"/>
        <v>0</v>
      </c>
      <c r="SLE1590" s="55">
        <f t="shared" si="243"/>
        <v>0</v>
      </c>
      <c r="SLF1590" s="55">
        <f t="shared" si="243"/>
        <v>0</v>
      </c>
      <c r="SLG1590" s="55">
        <f t="shared" si="243"/>
        <v>0</v>
      </c>
      <c r="SLH1590" s="55">
        <f t="shared" si="243"/>
        <v>0</v>
      </c>
      <c r="SLI1590" s="55">
        <f t="shared" si="243"/>
        <v>0</v>
      </c>
      <c r="SLJ1590" s="55">
        <f t="shared" si="243"/>
        <v>0</v>
      </c>
      <c r="SLK1590" s="55">
        <f t="shared" si="243"/>
        <v>0</v>
      </c>
      <c r="SLL1590" s="55">
        <f t="shared" si="243"/>
        <v>0</v>
      </c>
      <c r="SLM1590" s="55">
        <f t="shared" si="243"/>
        <v>0</v>
      </c>
      <c r="SLN1590" s="55">
        <f t="shared" si="243"/>
        <v>0</v>
      </c>
      <c r="SLO1590" s="55">
        <f t="shared" si="243"/>
        <v>0</v>
      </c>
      <c r="SLP1590" s="55">
        <f t="shared" si="243"/>
        <v>0</v>
      </c>
      <c r="SLQ1590" s="55">
        <f t="shared" si="243"/>
        <v>0</v>
      </c>
      <c r="SLR1590" s="55">
        <f t="shared" si="243"/>
        <v>0</v>
      </c>
      <c r="SLS1590" s="55">
        <f t="shared" si="243"/>
        <v>0</v>
      </c>
      <c r="SLT1590" s="55">
        <f t="shared" si="243"/>
        <v>0</v>
      </c>
      <c r="SLU1590" s="55">
        <f t="shared" si="243"/>
        <v>0</v>
      </c>
      <c r="SLV1590" s="55">
        <f t="shared" si="243"/>
        <v>0</v>
      </c>
      <c r="SLW1590" s="55">
        <f t="shared" si="243"/>
        <v>0</v>
      </c>
      <c r="SLX1590" s="55">
        <f t="shared" si="243"/>
        <v>0</v>
      </c>
      <c r="SLY1590" s="55">
        <f t="shared" si="243"/>
        <v>0</v>
      </c>
      <c r="SLZ1590" s="55">
        <f t="shared" si="243"/>
        <v>0</v>
      </c>
      <c r="SMA1590" s="55">
        <f t="shared" si="243"/>
        <v>0</v>
      </c>
      <c r="SMB1590" s="55">
        <f t="shared" si="243"/>
        <v>0</v>
      </c>
      <c r="SMC1590" s="55">
        <f t="shared" si="243"/>
        <v>0</v>
      </c>
      <c r="SMD1590" s="55">
        <f t="shared" si="243"/>
        <v>0</v>
      </c>
      <c r="SME1590" s="55">
        <f t="shared" si="243"/>
        <v>0</v>
      </c>
      <c r="SMF1590" s="55">
        <f t="shared" si="243"/>
        <v>0</v>
      </c>
      <c r="SMG1590" s="55">
        <f t="shared" si="243"/>
        <v>0</v>
      </c>
      <c r="SMH1590" s="55">
        <f t="shared" si="243"/>
        <v>0</v>
      </c>
      <c r="SMI1590" s="55">
        <f t="shared" si="243"/>
        <v>0</v>
      </c>
      <c r="SMJ1590" s="55">
        <f t="shared" si="243"/>
        <v>0</v>
      </c>
      <c r="SMK1590" s="55">
        <f t="shared" si="243"/>
        <v>0</v>
      </c>
      <c r="SML1590" s="55">
        <f t="shared" si="243"/>
        <v>0</v>
      </c>
      <c r="SMM1590" s="55">
        <f t="shared" si="243"/>
        <v>0</v>
      </c>
      <c r="SMN1590" s="55">
        <f t="shared" ref="SMN1590:SOY1590" si="244">+(SMN1600+SMN1604)*1.18*1.1</f>
        <v>0</v>
      </c>
      <c r="SMO1590" s="55">
        <f t="shared" si="244"/>
        <v>0</v>
      </c>
      <c r="SMP1590" s="55">
        <f t="shared" si="244"/>
        <v>0</v>
      </c>
      <c r="SMQ1590" s="55">
        <f t="shared" si="244"/>
        <v>0</v>
      </c>
      <c r="SMR1590" s="55">
        <f t="shared" si="244"/>
        <v>0</v>
      </c>
      <c r="SMS1590" s="55">
        <f t="shared" si="244"/>
        <v>0</v>
      </c>
      <c r="SMT1590" s="55">
        <f t="shared" si="244"/>
        <v>0</v>
      </c>
      <c r="SMU1590" s="55">
        <f t="shared" si="244"/>
        <v>0</v>
      </c>
      <c r="SMV1590" s="55">
        <f t="shared" si="244"/>
        <v>0</v>
      </c>
      <c r="SMW1590" s="55">
        <f t="shared" si="244"/>
        <v>0</v>
      </c>
      <c r="SMX1590" s="55">
        <f t="shared" si="244"/>
        <v>0</v>
      </c>
      <c r="SMY1590" s="55">
        <f t="shared" si="244"/>
        <v>0</v>
      </c>
      <c r="SMZ1590" s="55">
        <f t="shared" si="244"/>
        <v>0</v>
      </c>
      <c r="SNA1590" s="55">
        <f t="shared" si="244"/>
        <v>0</v>
      </c>
      <c r="SNB1590" s="55">
        <f t="shared" si="244"/>
        <v>0</v>
      </c>
      <c r="SNC1590" s="55">
        <f t="shared" si="244"/>
        <v>0</v>
      </c>
      <c r="SND1590" s="55">
        <f t="shared" si="244"/>
        <v>0</v>
      </c>
      <c r="SNE1590" s="55">
        <f t="shared" si="244"/>
        <v>0</v>
      </c>
      <c r="SNF1590" s="55">
        <f t="shared" si="244"/>
        <v>0</v>
      </c>
      <c r="SNG1590" s="55">
        <f t="shared" si="244"/>
        <v>0</v>
      </c>
      <c r="SNH1590" s="55">
        <f t="shared" si="244"/>
        <v>0</v>
      </c>
      <c r="SNI1590" s="55">
        <f t="shared" si="244"/>
        <v>0</v>
      </c>
      <c r="SNJ1590" s="55">
        <f t="shared" si="244"/>
        <v>0</v>
      </c>
      <c r="SNK1590" s="55">
        <f t="shared" si="244"/>
        <v>0</v>
      </c>
      <c r="SNL1590" s="55">
        <f t="shared" si="244"/>
        <v>0</v>
      </c>
      <c r="SNM1590" s="55">
        <f t="shared" si="244"/>
        <v>0</v>
      </c>
      <c r="SNN1590" s="55">
        <f t="shared" si="244"/>
        <v>0</v>
      </c>
      <c r="SNO1590" s="55">
        <f t="shared" si="244"/>
        <v>0</v>
      </c>
      <c r="SNP1590" s="55">
        <f t="shared" si="244"/>
        <v>0</v>
      </c>
      <c r="SNQ1590" s="55">
        <f t="shared" si="244"/>
        <v>0</v>
      </c>
      <c r="SNR1590" s="55">
        <f t="shared" si="244"/>
        <v>0</v>
      </c>
      <c r="SNS1590" s="55">
        <f t="shared" si="244"/>
        <v>0</v>
      </c>
      <c r="SNT1590" s="55">
        <f t="shared" si="244"/>
        <v>0</v>
      </c>
      <c r="SNU1590" s="55">
        <f t="shared" si="244"/>
        <v>0</v>
      </c>
      <c r="SNV1590" s="55">
        <f t="shared" si="244"/>
        <v>0</v>
      </c>
      <c r="SNW1590" s="55">
        <f t="shared" si="244"/>
        <v>0</v>
      </c>
      <c r="SNX1590" s="55">
        <f t="shared" si="244"/>
        <v>0</v>
      </c>
      <c r="SNY1590" s="55">
        <f t="shared" si="244"/>
        <v>0</v>
      </c>
      <c r="SNZ1590" s="55">
        <f t="shared" si="244"/>
        <v>0</v>
      </c>
      <c r="SOA1590" s="55">
        <f t="shared" si="244"/>
        <v>0</v>
      </c>
      <c r="SOB1590" s="55">
        <f t="shared" si="244"/>
        <v>0</v>
      </c>
      <c r="SOC1590" s="55">
        <f t="shared" si="244"/>
        <v>0</v>
      </c>
      <c r="SOD1590" s="55">
        <f t="shared" si="244"/>
        <v>0</v>
      </c>
      <c r="SOE1590" s="55">
        <f t="shared" si="244"/>
        <v>0</v>
      </c>
      <c r="SOF1590" s="55">
        <f t="shared" si="244"/>
        <v>0</v>
      </c>
      <c r="SOG1590" s="55">
        <f t="shared" si="244"/>
        <v>0</v>
      </c>
      <c r="SOH1590" s="55">
        <f t="shared" si="244"/>
        <v>0</v>
      </c>
      <c r="SOI1590" s="55">
        <f t="shared" si="244"/>
        <v>0</v>
      </c>
      <c r="SOJ1590" s="55">
        <f t="shared" si="244"/>
        <v>0</v>
      </c>
      <c r="SOK1590" s="55">
        <f t="shared" si="244"/>
        <v>0</v>
      </c>
      <c r="SOL1590" s="55">
        <f t="shared" si="244"/>
        <v>0</v>
      </c>
      <c r="SOM1590" s="55">
        <f t="shared" si="244"/>
        <v>0</v>
      </c>
      <c r="SON1590" s="55">
        <f t="shared" si="244"/>
        <v>0</v>
      </c>
      <c r="SOO1590" s="55">
        <f t="shared" si="244"/>
        <v>0</v>
      </c>
      <c r="SOP1590" s="55">
        <f t="shared" si="244"/>
        <v>0</v>
      </c>
      <c r="SOQ1590" s="55">
        <f t="shared" si="244"/>
        <v>0</v>
      </c>
      <c r="SOR1590" s="55">
        <f t="shared" si="244"/>
        <v>0</v>
      </c>
      <c r="SOS1590" s="55">
        <f t="shared" si="244"/>
        <v>0</v>
      </c>
      <c r="SOT1590" s="55">
        <f t="shared" si="244"/>
        <v>0</v>
      </c>
      <c r="SOU1590" s="55">
        <f t="shared" si="244"/>
        <v>0</v>
      </c>
      <c r="SOV1590" s="55">
        <f t="shared" si="244"/>
        <v>0</v>
      </c>
      <c r="SOW1590" s="55">
        <f t="shared" si="244"/>
        <v>0</v>
      </c>
      <c r="SOX1590" s="55">
        <f t="shared" si="244"/>
        <v>0</v>
      </c>
      <c r="SOY1590" s="55">
        <f t="shared" si="244"/>
        <v>0</v>
      </c>
      <c r="SOZ1590" s="55">
        <f t="shared" ref="SOZ1590:SRK1590" si="245">+(SOZ1600+SOZ1604)*1.18*1.1</f>
        <v>0</v>
      </c>
      <c r="SPA1590" s="55">
        <f t="shared" si="245"/>
        <v>0</v>
      </c>
      <c r="SPB1590" s="55">
        <f t="shared" si="245"/>
        <v>0</v>
      </c>
      <c r="SPC1590" s="55">
        <f t="shared" si="245"/>
        <v>0</v>
      </c>
      <c r="SPD1590" s="55">
        <f t="shared" si="245"/>
        <v>0</v>
      </c>
      <c r="SPE1590" s="55">
        <f t="shared" si="245"/>
        <v>0</v>
      </c>
      <c r="SPF1590" s="55">
        <f t="shared" si="245"/>
        <v>0</v>
      </c>
      <c r="SPG1590" s="55">
        <f t="shared" si="245"/>
        <v>0</v>
      </c>
      <c r="SPH1590" s="55">
        <f t="shared" si="245"/>
        <v>0</v>
      </c>
      <c r="SPI1590" s="55">
        <f t="shared" si="245"/>
        <v>0</v>
      </c>
      <c r="SPJ1590" s="55">
        <f t="shared" si="245"/>
        <v>0</v>
      </c>
      <c r="SPK1590" s="55">
        <f t="shared" si="245"/>
        <v>0</v>
      </c>
      <c r="SPL1590" s="55">
        <f t="shared" si="245"/>
        <v>0</v>
      </c>
      <c r="SPM1590" s="55">
        <f t="shared" si="245"/>
        <v>0</v>
      </c>
      <c r="SPN1590" s="55">
        <f t="shared" si="245"/>
        <v>0</v>
      </c>
      <c r="SPO1590" s="55">
        <f t="shared" si="245"/>
        <v>0</v>
      </c>
      <c r="SPP1590" s="55">
        <f t="shared" si="245"/>
        <v>0</v>
      </c>
      <c r="SPQ1590" s="55">
        <f t="shared" si="245"/>
        <v>0</v>
      </c>
      <c r="SPR1590" s="55">
        <f t="shared" si="245"/>
        <v>0</v>
      </c>
      <c r="SPS1590" s="55">
        <f t="shared" si="245"/>
        <v>0</v>
      </c>
      <c r="SPT1590" s="55">
        <f t="shared" si="245"/>
        <v>0</v>
      </c>
      <c r="SPU1590" s="55">
        <f t="shared" si="245"/>
        <v>0</v>
      </c>
      <c r="SPV1590" s="55">
        <f t="shared" si="245"/>
        <v>0</v>
      </c>
      <c r="SPW1590" s="55">
        <f t="shared" si="245"/>
        <v>0</v>
      </c>
      <c r="SPX1590" s="55">
        <f t="shared" si="245"/>
        <v>0</v>
      </c>
      <c r="SPY1590" s="55">
        <f t="shared" si="245"/>
        <v>0</v>
      </c>
      <c r="SPZ1590" s="55">
        <f t="shared" si="245"/>
        <v>0</v>
      </c>
      <c r="SQA1590" s="55">
        <f t="shared" si="245"/>
        <v>0</v>
      </c>
      <c r="SQB1590" s="55">
        <f t="shared" si="245"/>
        <v>0</v>
      </c>
      <c r="SQC1590" s="55">
        <f t="shared" si="245"/>
        <v>0</v>
      </c>
      <c r="SQD1590" s="55">
        <f t="shared" si="245"/>
        <v>0</v>
      </c>
      <c r="SQE1590" s="55">
        <f t="shared" si="245"/>
        <v>0</v>
      </c>
      <c r="SQF1590" s="55">
        <f t="shared" si="245"/>
        <v>0</v>
      </c>
      <c r="SQG1590" s="55">
        <f t="shared" si="245"/>
        <v>0</v>
      </c>
      <c r="SQH1590" s="55">
        <f t="shared" si="245"/>
        <v>0</v>
      </c>
      <c r="SQI1590" s="55">
        <f t="shared" si="245"/>
        <v>0</v>
      </c>
      <c r="SQJ1590" s="55">
        <f t="shared" si="245"/>
        <v>0</v>
      </c>
      <c r="SQK1590" s="55">
        <f t="shared" si="245"/>
        <v>0</v>
      </c>
      <c r="SQL1590" s="55">
        <f t="shared" si="245"/>
        <v>0</v>
      </c>
      <c r="SQM1590" s="55">
        <f t="shared" si="245"/>
        <v>0</v>
      </c>
      <c r="SQN1590" s="55">
        <f t="shared" si="245"/>
        <v>0</v>
      </c>
      <c r="SQO1590" s="55">
        <f t="shared" si="245"/>
        <v>0</v>
      </c>
      <c r="SQP1590" s="55">
        <f t="shared" si="245"/>
        <v>0</v>
      </c>
      <c r="SQQ1590" s="55">
        <f t="shared" si="245"/>
        <v>0</v>
      </c>
      <c r="SQR1590" s="55">
        <f t="shared" si="245"/>
        <v>0</v>
      </c>
      <c r="SQS1590" s="55">
        <f t="shared" si="245"/>
        <v>0</v>
      </c>
      <c r="SQT1590" s="55">
        <f t="shared" si="245"/>
        <v>0</v>
      </c>
      <c r="SQU1590" s="55">
        <f t="shared" si="245"/>
        <v>0</v>
      </c>
      <c r="SQV1590" s="55">
        <f t="shared" si="245"/>
        <v>0</v>
      </c>
      <c r="SQW1590" s="55">
        <f t="shared" si="245"/>
        <v>0</v>
      </c>
      <c r="SQX1590" s="55">
        <f t="shared" si="245"/>
        <v>0</v>
      </c>
      <c r="SQY1590" s="55">
        <f t="shared" si="245"/>
        <v>0</v>
      </c>
      <c r="SQZ1590" s="55">
        <f t="shared" si="245"/>
        <v>0</v>
      </c>
      <c r="SRA1590" s="55">
        <f t="shared" si="245"/>
        <v>0</v>
      </c>
      <c r="SRB1590" s="55">
        <f t="shared" si="245"/>
        <v>0</v>
      </c>
      <c r="SRC1590" s="55">
        <f t="shared" si="245"/>
        <v>0</v>
      </c>
      <c r="SRD1590" s="55">
        <f t="shared" si="245"/>
        <v>0</v>
      </c>
      <c r="SRE1590" s="55">
        <f t="shared" si="245"/>
        <v>0</v>
      </c>
      <c r="SRF1590" s="55">
        <f t="shared" si="245"/>
        <v>0</v>
      </c>
      <c r="SRG1590" s="55">
        <f t="shared" si="245"/>
        <v>0</v>
      </c>
      <c r="SRH1590" s="55">
        <f t="shared" si="245"/>
        <v>0</v>
      </c>
      <c r="SRI1590" s="55">
        <f t="shared" si="245"/>
        <v>0</v>
      </c>
      <c r="SRJ1590" s="55">
        <f t="shared" si="245"/>
        <v>0</v>
      </c>
      <c r="SRK1590" s="55">
        <f t="shared" si="245"/>
        <v>0</v>
      </c>
      <c r="SRL1590" s="55">
        <f t="shared" ref="SRL1590:STW1590" si="246">+(SRL1600+SRL1604)*1.18*1.1</f>
        <v>0</v>
      </c>
      <c r="SRM1590" s="55">
        <f t="shared" si="246"/>
        <v>0</v>
      </c>
      <c r="SRN1590" s="55">
        <f t="shared" si="246"/>
        <v>0</v>
      </c>
      <c r="SRO1590" s="55">
        <f t="shared" si="246"/>
        <v>0</v>
      </c>
      <c r="SRP1590" s="55">
        <f t="shared" si="246"/>
        <v>0</v>
      </c>
      <c r="SRQ1590" s="55">
        <f t="shared" si="246"/>
        <v>0</v>
      </c>
      <c r="SRR1590" s="55">
        <f t="shared" si="246"/>
        <v>0</v>
      </c>
      <c r="SRS1590" s="55">
        <f t="shared" si="246"/>
        <v>0</v>
      </c>
      <c r="SRT1590" s="55">
        <f t="shared" si="246"/>
        <v>0</v>
      </c>
      <c r="SRU1590" s="55">
        <f t="shared" si="246"/>
        <v>0</v>
      </c>
      <c r="SRV1590" s="55">
        <f t="shared" si="246"/>
        <v>0</v>
      </c>
      <c r="SRW1590" s="55">
        <f t="shared" si="246"/>
        <v>0</v>
      </c>
      <c r="SRX1590" s="55">
        <f t="shared" si="246"/>
        <v>0</v>
      </c>
      <c r="SRY1590" s="55">
        <f t="shared" si="246"/>
        <v>0</v>
      </c>
      <c r="SRZ1590" s="55">
        <f t="shared" si="246"/>
        <v>0</v>
      </c>
      <c r="SSA1590" s="55">
        <f t="shared" si="246"/>
        <v>0</v>
      </c>
      <c r="SSB1590" s="55">
        <f t="shared" si="246"/>
        <v>0</v>
      </c>
      <c r="SSC1590" s="55">
        <f t="shared" si="246"/>
        <v>0</v>
      </c>
      <c r="SSD1590" s="55">
        <f t="shared" si="246"/>
        <v>0</v>
      </c>
      <c r="SSE1590" s="55">
        <f t="shared" si="246"/>
        <v>0</v>
      </c>
      <c r="SSF1590" s="55">
        <f t="shared" si="246"/>
        <v>0</v>
      </c>
      <c r="SSG1590" s="55">
        <f t="shared" si="246"/>
        <v>0</v>
      </c>
      <c r="SSH1590" s="55">
        <f t="shared" si="246"/>
        <v>0</v>
      </c>
      <c r="SSI1590" s="55">
        <f t="shared" si="246"/>
        <v>0</v>
      </c>
      <c r="SSJ1590" s="55">
        <f t="shared" si="246"/>
        <v>0</v>
      </c>
      <c r="SSK1590" s="55">
        <f t="shared" si="246"/>
        <v>0</v>
      </c>
      <c r="SSL1590" s="55">
        <f t="shared" si="246"/>
        <v>0</v>
      </c>
      <c r="SSM1590" s="55">
        <f t="shared" si="246"/>
        <v>0</v>
      </c>
      <c r="SSN1590" s="55">
        <f t="shared" si="246"/>
        <v>0</v>
      </c>
      <c r="SSO1590" s="55">
        <f t="shared" si="246"/>
        <v>0</v>
      </c>
      <c r="SSP1590" s="55">
        <f t="shared" si="246"/>
        <v>0</v>
      </c>
      <c r="SSQ1590" s="55">
        <f t="shared" si="246"/>
        <v>0</v>
      </c>
      <c r="SSR1590" s="55">
        <f t="shared" si="246"/>
        <v>0</v>
      </c>
      <c r="SSS1590" s="55">
        <f t="shared" si="246"/>
        <v>0</v>
      </c>
      <c r="SST1590" s="55">
        <f t="shared" si="246"/>
        <v>0</v>
      </c>
      <c r="SSU1590" s="55">
        <f t="shared" si="246"/>
        <v>0</v>
      </c>
      <c r="SSV1590" s="55">
        <f t="shared" si="246"/>
        <v>0</v>
      </c>
      <c r="SSW1590" s="55">
        <f t="shared" si="246"/>
        <v>0</v>
      </c>
      <c r="SSX1590" s="55">
        <f t="shared" si="246"/>
        <v>0</v>
      </c>
      <c r="SSY1590" s="55">
        <f t="shared" si="246"/>
        <v>0</v>
      </c>
      <c r="SSZ1590" s="55">
        <f t="shared" si="246"/>
        <v>0</v>
      </c>
      <c r="STA1590" s="55">
        <f t="shared" si="246"/>
        <v>0</v>
      </c>
      <c r="STB1590" s="55">
        <f t="shared" si="246"/>
        <v>0</v>
      </c>
      <c r="STC1590" s="55">
        <f t="shared" si="246"/>
        <v>0</v>
      </c>
      <c r="STD1590" s="55">
        <f t="shared" si="246"/>
        <v>0</v>
      </c>
      <c r="STE1590" s="55">
        <f t="shared" si="246"/>
        <v>0</v>
      </c>
      <c r="STF1590" s="55">
        <f t="shared" si="246"/>
        <v>0</v>
      </c>
      <c r="STG1590" s="55">
        <f t="shared" si="246"/>
        <v>0</v>
      </c>
      <c r="STH1590" s="55">
        <f t="shared" si="246"/>
        <v>0</v>
      </c>
      <c r="STI1590" s="55">
        <f t="shared" si="246"/>
        <v>0</v>
      </c>
      <c r="STJ1590" s="55">
        <f t="shared" si="246"/>
        <v>0</v>
      </c>
      <c r="STK1590" s="55">
        <f t="shared" si="246"/>
        <v>0</v>
      </c>
      <c r="STL1590" s="55">
        <f t="shared" si="246"/>
        <v>0</v>
      </c>
      <c r="STM1590" s="55">
        <f t="shared" si="246"/>
        <v>0</v>
      </c>
      <c r="STN1590" s="55">
        <f t="shared" si="246"/>
        <v>0</v>
      </c>
      <c r="STO1590" s="55">
        <f t="shared" si="246"/>
        <v>0</v>
      </c>
      <c r="STP1590" s="55">
        <f t="shared" si="246"/>
        <v>0</v>
      </c>
      <c r="STQ1590" s="55">
        <f t="shared" si="246"/>
        <v>0</v>
      </c>
      <c r="STR1590" s="55">
        <f t="shared" si="246"/>
        <v>0</v>
      </c>
      <c r="STS1590" s="55">
        <f t="shared" si="246"/>
        <v>0</v>
      </c>
      <c r="STT1590" s="55">
        <f t="shared" si="246"/>
        <v>0</v>
      </c>
      <c r="STU1590" s="55">
        <f t="shared" si="246"/>
        <v>0</v>
      </c>
      <c r="STV1590" s="55">
        <f t="shared" si="246"/>
        <v>0</v>
      </c>
      <c r="STW1590" s="55">
        <f t="shared" si="246"/>
        <v>0</v>
      </c>
      <c r="STX1590" s="55">
        <f t="shared" ref="STX1590:SWI1590" si="247">+(STX1600+STX1604)*1.18*1.1</f>
        <v>0</v>
      </c>
      <c r="STY1590" s="55">
        <f t="shared" si="247"/>
        <v>0</v>
      </c>
      <c r="STZ1590" s="55">
        <f t="shared" si="247"/>
        <v>0</v>
      </c>
      <c r="SUA1590" s="55">
        <f t="shared" si="247"/>
        <v>0</v>
      </c>
      <c r="SUB1590" s="55">
        <f t="shared" si="247"/>
        <v>0</v>
      </c>
      <c r="SUC1590" s="55">
        <f t="shared" si="247"/>
        <v>0</v>
      </c>
      <c r="SUD1590" s="55">
        <f t="shared" si="247"/>
        <v>0</v>
      </c>
      <c r="SUE1590" s="55">
        <f t="shared" si="247"/>
        <v>0</v>
      </c>
      <c r="SUF1590" s="55">
        <f t="shared" si="247"/>
        <v>0</v>
      </c>
      <c r="SUG1590" s="55">
        <f t="shared" si="247"/>
        <v>0</v>
      </c>
      <c r="SUH1590" s="55">
        <f t="shared" si="247"/>
        <v>0</v>
      </c>
      <c r="SUI1590" s="55">
        <f t="shared" si="247"/>
        <v>0</v>
      </c>
      <c r="SUJ1590" s="55">
        <f t="shared" si="247"/>
        <v>0</v>
      </c>
      <c r="SUK1590" s="55">
        <f t="shared" si="247"/>
        <v>0</v>
      </c>
      <c r="SUL1590" s="55">
        <f t="shared" si="247"/>
        <v>0</v>
      </c>
      <c r="SUM1590" s="55">
        <f t="shared" si="247"/>
        <v>0</v>
      </c>
      <c r="SUN1590" s="55">
        <f t="shared" si="247"/>
        <v>0</v>
      </c>
      <c r="SUO1590" s="55">
        <f t="shared" si="247"/>
        <v>0</v>
      </c>
      <c r="SUP1590" s="55">
        <f t="shared" si="247"/>
        <v>0</v>
      </c>
      <c r="SUQ1590" s="55">
        <f t="shared" si="247"/>
        <v>0</v>
      </c>
      <c r="SUR1590" s="55">
        <f t="shared" si="247"/>
        <v>0</v>
      </c>
      <c r="SUS1590" s="55">
        <f t="shared" si="247"/>
        <v>0</v>
      </c>
      <c r="SUT1590" s="55">
        <f t="shared" si="247"/>
        <v>0</v>
      </c>
      <c r="SUU1590" s="55">
        <f t="shared" si="247"/>
        <v>0</v>
      </c>
      <c r="SUV1590" s="55">
        <f t="shared" si="247"/>
        <v>0</v>
      </c>
      <c r="SUW1590" s="55">
        <f t="shared" si="247"/>
        <v>0</v>
      </c>
      <c r="SUX1590" s="55">
        <f t="shared" si="247"/>
        <v>0</v>
      </c>
      <c r="SUY1590" s="55">
        <f t="shared" si="247"/>
        <v>0</v>
      </c>
      <c r="SUZ1590" s="55">
        <f t="shared" si="247"/>
        <v>0</v>
      </c>
      <c r="SVA1590" s="55">
        <f t="shared" si="247"/>
        <v>0</v>
      </c>
      <c r="SVB1590" s="55">
        <f t="shared" si="247"/>
        <v>0</v>
      </c>
      <c r="SVC1590" s="55">
        <f t="shared" si="247"/>
        <v>0</v>
      </c>
      <c r="SVD1590" s="55">
        <f t="shared" si="247"/>
        <v>0</v>
      </c>
      <c r="SVE1590" s="55">
        <f t="shared" si="247"/>
        <v>0</v>
      </c>
      <c r="SVF1590" s="55">
        <f t="shared" si="247"/>
        <v>0</v>
      </c>
      <c r="SVG1590" s="55">
        <f t="shared" si="247"/>
        <v>0</v>
      </c>
      <c r="SVH1590" s="55">
        <f t="shared" si="247"/>
        <v>0</v>
      </c>
      <c r="SVI1590" s="55">
        <f t="shared" si="247"/>
        <v>0</v>
      </c>
      <c r="SVJ1590" s="55">
        <f t="shared" si="247"/>
        <v>0</v>
      </c>
      <c r="SVK1590" s="55">
        <f t="shared" si="247"/>
        <v>0</v>
      </c>
      <c r="SVL1590" s="55">
        <f t="shared" si="247"/>
        <v>0</v>
      </c>
      <c r="SVM1590" s="55">
        <f t="shared" si="247"/>
        <v>0</v>
      </c>
      <c r="SVN1590" s="55">
        <f t="shared" si="247"/>
        <v>0</v>
      </c>
      <c r="SVO1590" s="55">
        <f t="shared" si="247"/>
        <v>0</v>
      </c>
      <c r="SVP1590" s="55">
        <f t="shared" si="247"/>
        <v>0</v>
      </c>
      <c r="SVQ1590" s="55">
        <f t="shared" si="247"/>
        <v>0</v>
      </c>
      <c r="SVR1590" s="55">
        <f t="shared" si="247"/>
        <v>0</v>
      </c>
      <c r="SVS1590" s="55">
        <f t="shared" si="247"/>
        <v>0</v>
      </c>
      <c r="SVT1590" s="55">
        <f t="shared" si="247"/>
        <v>0</v>
      </c>
      <c r="SVU1590" s="55">
        <f t="shared" si="247"/>
        <v>0</v>
      </c>
      <c r="SVV1590" s="55">
        <f t="shared" si="247"/>
        <v>0</v>
      </c>
      <c r="SVW1590" s="55">
        <f t="shared" si="247"/>
        <v>0</v>
      </c>
      <c r="SVX1590" s="55">
        <f t="shared" si="247"/>
        <v>0</v>
      </c>
      <c r="SVY1590" s="55">
        <f t="shared" si="247"/>
        <v>0</v>
      </c>
      <c r="SVZ1590" s="55">
        <f t="shared" si="247"/>
        <v>0</v>
      </c>
      <c r="SWA1590" s="55">
        <f t="shared" si="247"/>
        <v>0</v>
      </c>
      <c r="SWB1590" s="55">
        <f t="shared" si="247"/>
        <v>0</v>
      </c>
      <c r="SWC1590" s="55">
        <f t="shared" si="247"/>
        <v>0</v>
      </c>
      <c r="SWD1590" s="55">
        <f t="shared" si="247"/>
        <v>0</v>
      </c>
      <c r="SWE1590" s="55">
        <f t="shared" si="247"/>
        <v>0</v>
      </c>
      <c r="SWF1590" s="55">
        <f t="shared" si="247"/>
        <v>0</v>
      </c>
      <c r="SWG1590" s="55">
        <f t="shared" si="247"/>
        <v>0</v>
      </c>
      <c r="SWH1590" s="55">
        <f t="shared" si="247"/>
        <v>0</v>
      </c>
      <c r="SWI1590" s="55">
        <f t="shared" si="247"/>
        <v>0</v>
      </c>
      <c r="SWJ1590" s="55">
        <f t="shared" ref="SWJ1590:SYU1590" si="248">+(SWJ1600+SWJ1604)*1.18*1.1</f>
        <v>0</v>
      </c>
      <c r="SWK1590" s="55">
        <f t="shared" si="248"/>
        <v>0</v>
      </c>
      <c r="SWL1590" s="55">
        <f t="shared" si="248"/>
        <v>0</v>
      </c>
      <c r="SWM1590" s="55">
        <f t="shared" si="248"/>
        <v>0</v>
      </c>
      <c r="SWN1590" s="55">
        <f t="shared" si="248"/>
        <v>0</v>
      </c>
      <c r="SWO1590" s="55">
        <f t="shared" si="248"/>
        <v>0</v>
      </c>
      <c r="SWP1590" s="55">
        <f t="shared" si="248"/>
        <v>0</v>
      </c>
      <c r="SWQ1590" s="55">
        <f t="shared" si="248"/>
        <v>0</v>
      </c>
      <c r="SWR1590" s="55">
        <f t="shared" si="248"/>
        <v>0</v>
      </c>
      <c r="SWS1590" s="55">
        <f t="shared" si="248"/>
        <v>0</v>
      </c>
      <c r="SWT1590" s="55">
        <f t="shared" si="248"/>
        <v>0</v>
      </c>
      <c r="SWU1590" s="55">
        <f t="shared" si="248"/>
        <v>0</v>
      </c>
      <c r="SWV1590" s="55">
        <f t="shared" si="248"/>
        <v>0</v>
      </c>
      <c r="SWW1590" s="55">
        <f t="shared" si="248"/>
        <v>0</v>
      </c>
      <c r="SWX1590" s="55">
        <f t="shared" si="248"/>
        <v>0</v>
      </c>
      <c r="SWY1590" s="55">
        <f t="shared" si="248"/>
        <v>0</v>
      </c>
      <c r="SWZ1590" s="55">
        <f t="shared" si="248"/>
        <v>0</v>
      </c>
      <c r="SXA1590" s="55">
        <f t="shared" si="248"/>
        <v>0</v>
      </c>
      <c r="SXB1590" s="55">
        <f t="shared" si="248"/>
        <v>0</v>
      </c>
      <c r="SXC1590" s="55">
        <f t="shared" si="248"/>
        <v>0</v>
      </c>
      <c r="SXD1590" s="55">
        <f t="shared" si="248"/>
        <v>0</v>
      </c>
      <c r="SXE1590" s="55">
        <f t="shared" si="248"/>
        <v>0</v>
      </c>
      <c r="SXF1590" s="55">
        <f t="shared" si="248"/>
        <v>0</v>
      </c>
      <c r="SXG1590" s="55">
        <f t="shared" si="248"/>
        <v>0</v>
      </c>
      <c r="SXH1590" s="55">
        <f t="shared" si="248"/>
        <v>0</v>
      </c>
      <c r="SXI1590" s="55">
        <f t="shared" si="248"/>
        <v>0</v>
      </c>
      <c r="SXJ1590" s="55">
        <f t="shared" si="248"/>
        <v>0</v>
      </c>
      <c r="SXK1590" s="55">
        <f t="shared" si="248"/>
        <v>0</v>
      </c>
      <c r="SXL1590" s="55">
        <f t="shared" si="248"/>
        <v>0</v>
      </c>
      <c r="SXM1590" s="55">
        <f t="shared" si="248"/>
        <v>0</v>
      </c>
      <c r="SXN1590" s="55">
        <f t="shared" si="248"/>
        <v>0</v>
      </c>
      <c r="SXO1590" s="55">
        <f t="shared" si="248"/>
        <v>0</v>
      </c>
      <c r="SXP1590" s="55">
        <f t="shared" si="248"/>
        <v>0</v>
      </c>
      <c r="SXQ1590" s="55">
        <f t="shared" si="248"/>
        <v>0</v>
      </c>
      <c r="SXR1590" s="55">
        <f t="shared" si="248"/>
        <v>0</v>
      </c>
      <c r="SXS1590" s="55">
        <f t="shared" si="248"/>
        <v>0</v>
      </c>
      <c r="SXT1590" s="55">
        <f t="shared" si="248"/>
        <v>0</v>
      </c>
      <c r="SXU1590" s="55">
        <f t="shared" si="248"/>
        <v>0</v>
      </c>
      <c r="SXV1590" s="55">
        <f t="shared" si="248"/>
        <v>0</v>
      </c>
      <c r="SXW1590" s="55">
        <f t="shared" si="248"/>
        <v>0</v>
      </c>
      <c r="SXX1590" s="55">
        <f t="shared" si="248"/>
        <v>0</v>
      </c>
      <c r="SXY1590" s="55">
        <f t="shared" si="248"/>
        <v>0</v>
      </c>
      <c r="SXZ1590" s="55">
        <f t="shared" si="248"/>
        <v>0</v>
      </c>
      <c r="SYA1590" s="55">
        <f t="shared" si="248"/>
        <v>0</v>
      </c>
      <c r="SYB1590" s="55">
        <f t="shared" si="248"/>
        <v>0</v>
      </c>
      <c r="SYC1590" s="55">
        <f t="shared" si="248"/>
        <v>0</v>
      </c>
      <c r="SYD1590" s="55">
        <f t="shared" si="248"/>
        <v>0</v>
      </c>
      <c r="SYE1590" s="55">
        <f t="shared" si="248"/>
        <v>0</v>
      </c>
      <c r="SYF1590" s="55">
        <f t="shared" si="248"/>
        <v>0</v>
      </c>
      <c r="SYG1590" s="55">
        <f t="shared" si="248"/>
        <v>0</v>
      </c>
      <c r="SYH1590" s="55">
        <f t="shared" si="248"/>
        <v>0</v>
      </c>
      <c r="SYI1590" s="55">
        <f t="shared" si="248"/>
        <v>0</v>
      </c>
      <c r="SYJ1590" s="55">
        <f t="shared" si="248"/>
        <v>0</v>
      </c>
      <c r="SYK1590" s="55">
        <f t="shared" si="248"/>
        <v>0</v>
      </c>
      <c r="SYL1590" s="55">
        <f t="shared" si="248"/>
        <v>0</v>
      </c>
      <c r="SYM1590" s="55">
        <f t="shared" si="248"/>
        <v>0</v>
      </c>
      <c r="SYN1590" s="55">
        <f t="shared" si="248"/>
        <v>0</v>
      </c>
      <c r="SYO1590" s="55">
        <f t="shared" si="248"/>
        <v>0</v>
      </c>
      <c r="SYP1590" s="55">
        <f t="shared" si="248"/>
        <v>0</v>
      </c>
      <c r="SYQ1590" s="55">
        <f t="shared" si="248"/>
        <v>0</v>
      </c>
      <c r="SYR1590" s="55">
        <f t="shared" si="248"/>
        <v>0</v>
      </c>
      <c r="SYS1590" s="55">
        <f t="shared" si="248"/>
        <v>0</v>
      </c>
      <c r="SYT1590" s="55">
        <f t="shared" si="248"/>
        <v>0</v>
      </c>
      <c r="SYU1590" s="55">
        <f t="shared" si="248"/>
        <v>0</v>
      </c>
      <c r="SYV1590" s="55">
        <f t="shared" ref="SYV1590:TBG1590" si="249">+(SYV1600+SYV1604)*1.18*1.1</f>
        <v>0</v>
      </c>
      <c r="SYW1590" s="55">
        <f t="shared" si="249"/>
        <v>0</v>
      </c>
      <c r="SYX1590" s="55">
        <f t="shared" si="249"/>
        <v>0</v>
      </c>
      <c r="SYY1590" s="55">
        <f t="shared" si="249"/>
        <v>0</v>
      </c>
      <c r="SYZ1590" s="55">
        <f t="shared" si="249"/>
        <v>0</v>
      </c>
      <c r="SZA1590" s="55">
        <f t="shared" si="249"/>
        <v>0</v>
      </c>
      <c r="SZB1590" s="55">
        <f t="shared" si="249"/>
        <v>0</v>
      </c>
      <c r="SZC1590" s="55">
        <f t="shared" si="249"/>
        <v>0</v>
      </c>
      <c r="SZD1590" s="55">
        <f t="shared" si="249"/>
        <v>0</v>
      </c>
      <c r="SZE1590" s="55">
        <f t="shared" si="249"/>
        <v>0</v>
      </c>
      <c r="SZF1590" s="55">
        <f t="shared" si="249"/>
        <v>0</v>
      </c>
      <c r="SZG1590" s="55">
        <f t="shared" si="249"/>
        <v>0</v>
      </c>
      <c r="SZH1590" s="55">
        <f t="shared" si="249"/>
        <v>0</v>
      </c>
      <c r="SZI1590" s="55">
        <f t="shared" si="249"/>
        <v>0</v>
      </c>
      <c r="SZJ1590" s="55">
        <f t="shared" si="249"/>
        <v>0</v>
      </c>
      <c r="SZK1590" s="55">
        <f t="shared" si="249"/>
        <v>0</v>
      </c>
      <c r="SZL1590" s="55">
        <f t="shared" si="249"/>
        <v>0</v>
      </c>
      <c r="SZM1590" s="55">
        <f t="shared" si="249"/>
        <v>0</v>
      </c>
      <c r="SZN1590" s="55">
        <f t="shared" si="249"/>
        <v>0</v>
      </c>
      <c r="SZO1590" s="55">
        <f t="shared" si="249"/>
        <v>0</v>
      </c>
      <c r="SZP1590" s="55">
        <f t="shared" si="249"/>
        <v>0</v>
      </c>
      <c r="SZQ1590" s="55">
        <f t="shared" si="249"/>
        <v>0</v>
      </c>
      <c r="SZR1590" s="55">
        <f t="shared" si="249"/>
        <v>0</v>
      </c>
      <c r="SZS1590" s="55">
        <f t="shared" si="249"/>
        <v>0</v>
      </c>
      <c r="SZT1590" s="55">
        <f t="shared" si="249"/>
        <v>0</v>
      </c>
      <c r="SZU1590" s="55">
        <f t="shared" si="249"/>
        <v>0</v>
      </c>
      <c r="SZV1590" s="55">
        <f t="shared" si="249"/>
        <v>0</v>
      </c>
      <c r="SZW1590" s="55">
        <f t="shared" si="249"/>
        <v>0</v>
      </c>
      <c r="SZX1590" s="55">
        <f t="shared" si="249"/>
        <v>0</v>
      </c>
      <c r="SZY1590" s="55">
        <f t="shared" si="249"/>
        <v>0</v>
      </c>
      <c r="SZZ1590" s="55">
        <f t="shared" si="249"/>
        <v>0</v>
      </c>
      <c r="TAA1590" s="55">
        <f t="shared" si="249"/>
        <v>0</v>
      </c>
      <c r="TAB1590" s="55">
        <f t="shared" si="249"/>
        <v>0</v>
      </c>
      <c r="TAC1590" s="55">
        <f t="shared" si="249"/>
        <v>0</v>
      </c>
      <c r="TAD1590" s="55">
        <f t="shared" si="249"/>
        <v>0</v>
      </c>
      <c r="TAE1590" s="55">
        <f t="shared" si="249"/>
        <v>0</v>
      </c>
      <c r="TAF1590" s="55">
        <f t="shared" si="249"/>
        <v>0</v>
      </c>
      <c r="TAG1590" s="55">
        <f t="shared" si="249"/>
        <v>0</v>
      </c>
      <c r="TAH1590" s="55">
        <f t="shared" si="249"/>
        <v>0</v>
      </c>
      <c r="TAI1590" s="55">
        <f t="shared" si="249"/>
        <v>0</v>
      </c>
      <c r="TAJ1590" s="55">
        <f t="shared" si="249"/>
        <v>0</v>
      </c>
      <c r="TAK1590" s="55">
        <f t="shared" si="249"/>
        <v>0</v>
      </c>
      <c r="TAL1590" s="55">
        <f t="shared" si="249"/>
        <v>0</v>
      </c>
      <c r="TAM1590" s="55">
        <f t="shared" si="249"/>
        <v>0</v>
      </c>
      <c r="TAN1590" s="55">
        <f t="shared" si="249"/>
        <v>0</v>
      </c>
      <c r="TAO1590" s="55">
        <f t="shared" si="249"/>
        <v>0</v>
      </c>
      <c r="TAP1590" s="55">
        <f t="shared" si="249"/>
        <v>0</v>
      </c>
      <c r="TAQ1590" s="55">
        <f t="shared" si="249"/>
        <v>0</v>
      </c>
      <c r="TAR1590" s="55">
        <f t="shared" si="249"/>
        <v>0</v>
      </c>
      <c r="TAS1590" s="55">
        <f t="shared" si="249"/>
        <v>0</v>
      </c>
      <c r="TAT1590" s="55">
        <f t="shared" si="249"/>
        <v>0</v>
      </c>
      <c r="TAU1590" s="55">
        <f t="shared" si="249"/>
        <v>0</v>
      </c>
      <c r="TAV1590" s="55">
        <f t="shared" si="249"/>
        <v>0</v>
      </c>
      <c r="TAW1590" s="55">
        <f t="shared" si="249"/>
        <v>0</v>
      </c>
      <c r="TAX1590" s="55">
        <f t="shared" si="249"/>
        <v>0</v>
      </c>
      <c r="TAY1590" s="55">
        <f t="shared" si="249"/>
        <v>0</v>
      </c>
      <c r="TAZ1590" s="55">
        <f t="shared" si="249"/>
        <v>0</v>
      </c>
      <c r="TBA1590" s="55">
        <f t="shared" si="249"/>
        <v>0</v>
      </c>
      <c r="TBB1590" s="55">
        <f t="shared" si="249"/>
        <v>0</v>
      </c>
      <c r="TBC1590" s="55">
        <f t="shared" si="249"/>
        <v>0</v>
      </c>
      <c r="TBD1590" s="55">
        <f t="shared" si="249"/>
        <v>0</v>
      </c>
      <c r="TBE1590" s="55">
        <f t="shared" si="249"/>
        <v>0</v>
      </c>
      <c r="TBF1590" s="55">
        <f t="shared" si="249"/>
        <v>0</v>
      </c>
      <c r="TBG1590" s="55">
        <f t="shared" si="249"/>
        <v>0</v>
      </c>
      <c r="TBH1590" s="55">
        <f t="shared" ref="TBH1590:TDS1590" si="250">+(TBH1600+TBH1604)*1.18*1.1</f>
        <v>0</v>
      </c>
      <c r="TBI1590" s="55">
        <f t="shared" si="250"/>
        <v>0</v>
      </c>
      <c r="TBJ1590" s="55">
        <f t="shared" si="250"/>
        <v>0</v>
      </c>
      <c r="TBK1590" s="55">
        <f t="shared" si="250"/>
        <v>0</v>
      </c>
      <c r="TBL1590" s="55">
        <f t="shared" si="250"/>
        <v>0</v>
      </c>
      <c r="TBM1590" s="55">
        <f t="shared" si="250"/>
        <v>0</v>
      </c>
      <c r="TBN1590" s="55">
        <f t="shared" si="250"/>
        <v>0</v>
      </c>
      <c r="TBO1590" s="55">
        <f t="shared" si="250"/>
        <v>0</v>
      </c>
      <c r="TBP1590" s="55">
        <f t="shared" si="250"/>
        <v>0</v>
      </c>
      <c r="TBQ1590" s="55">
        <f t="shared" si="250"/>
        <v>0</v>
      </c>
      <c r="TBR1590" s="55">
        <f t="shared" si="250"/>
        <v>0</v>
      </c>
      <c r="TBS1590" s="55">
        <f t="shared" si="250"/>
        <v>0</v>
      </c>
      <c r="TBT1590" s="55">
        <f t="shared" si="250"/>
        <v>0</v>
      </c>
      <c r="TBU1590" s="55">
        <f t="shared" si="250"/>
        <v>0</v>
      </c>
      <c r="TBV1590" s="55">
        <f t="shared" si="250"/>
        <v>0</v>
      </c>
      <c r="TBW1590" s="55">
        <f t="shared" si="250"/>
        <v>0</v>
      </c>
      <c r="TBX1590" s="55">
        <f t="shared" si="250"/>
        <v>0</v>
      </c>
      <c r="TBY1590" s="55">
        <f t="shared" si="250"/>
        <v>0</v>
      </c>
      <c r="TBZ1590" s="55">
        <f t="shared" si="250"/>
        <v>0</v>
      </c>
      <c r="TCA1590" s="55">
        <f t="shared" si="250"/>
        <v>0</v>
      </c>
      <c r="TCB1590" s="55">
        <f t="shared" si="250"/>
        <v>0</v>
      </c>
      <c r="TCC1590" s="55">
        <f t="shared" si="250"/>
        <v>0</v>
      </c>
      <c r="TCD1590" s="55">
        <f t="shared" si="250"/>
        <v>0</v>
      </c>
      <c r="TCE1590" s="55">
        <f t="shared" si="250"/>
        <v>0</v>
      </c>
      <c r="TCF1590" s="55">
        <f t="shared" si="250"/>
        <v>0</v>
      </c>
      <c r="TCG1590" s="55">
        <f t="shared" si="250"/>
        <v>0</v>
      </c>
      <c r="TCH1590" s="55">
        <f t="shared" si="250"/>
        <v>0</v>
      </c>
      <c r="TCI1590" s="55">
        <f t="shared" si="250"/>
        <v>0</v>
      </c>
      <c r="TCJ1590" s="55">
        <f t="shared" si="250"/>
        <v>0</v>
      </c>
      <c r="TCK1590" s="55">
        <f t="shared" si="250"/>
        <v>0</v>
      </c>
      <c r="TCL1590" s="55">
        <f t="shared" si="250"/>
        <v>0</v>
      </c>
      <c r="TCM1590" s="55">
        <f t="shared" si="250"/>
        <v>0</v>
      </c>
      <c r="TCN1590" s="55">
        <f t="shared" si="250"/>
        <v>0</v>
      </c>
      <c r="TCO1590" s="55">
        <f t="shared" si="250"/>
        <v>0</v>
      </c>
      <c r="TCP1590" s="55">
        <f t="shared" si="250"/>
        <v>0</v>
      </c>
      <c r="TCQ1590" s="55">
        <f t="shared" si="250"/>
        <v>0</v>
      </c>
      <c r="TCR1590" s="55">
        <f t="shared" si="250"/>
        <v>0</v>
      </c>
      <c r="TCS1590" s="55">
        <f t="shared" si="250"/>
        <v>0</v>
      </c>
      <c r="TCT1590" s="55">
        <f t="shared" si="250"/>
        <v>0</v>
      </c>
      <c r="TCU1590" s="55">
        <f t="shared" si="250"/>
        <v>0</v>
      </c>
      <c r="TCV1590" s="55">
        <f t="shared" si="250"/>
        <v>0</v>
      </c>
      <c r="TCW1590" s="55">
        <f t="shared" si="250"/>
        <v>0</v>
      </c>
      <c r="TCX1590" s="55">
        <f t="shared" si="250"/>
        <v>0</v>
      </c>
      <c r="TCY1590" s="55">
        <f t="shared" si="250"/>
        <v>0</v>
      </c>
      <c r="TCZ1590" s="55">
        <f t="shared" si="250"/>
        <v>0</v>
      </c>
      <c r="TDA1590" s="55">
        <f t="shared" si="250"/>
        <v>0</v>
      </c>
      <c r="TDB1590" s="55">
        <f t="shared" si="250"/>
        <v>0</v>
      </c>
      <c r="TDC1590" s="55">
        <f t="shared" si="250"/>
        <v>0</v>
      </c>
      <c r="TDD1590" s="55">
        <f t="shared" si="250"/>
        <v>0</v>
      </c>
      <c r="TDE1590" s="55">
        <f t="shared" si="250"/>
        <v>0</v>
      </c>
      <c r="TDF1590" s="55">
        <f t="shared" si="250"/>
        <v>0</v>
      </c>
      <c r="TDG1590" s="55">
        <f t="shared" si="250"/>
        <v>0</v>
      </c>
      <c r="TDH1590" s="55">
        <f t="shared" si="250"/>
        <v>0</v>
      </c>
      <c r="TDI1590" s="55">
        <f t="shared" si="250"/>
        <v>0</v>
      </c>
      <c r="TDJ1590" s="55">
        <f t="shared" si="250"/>
        <v>0</v>
      </c>
      <c r="TDK1590" s="55">
        <f t="shared" si="250"/>
        <v>0</v>
      </c>
      <c r="TDL1590" s="55">
        <f t="shared" si="250"/>
        <v>0</v>
      </c>
      <c r="TDM1590" s="55">
        <f t="shared" si="250"/>
        <v>0</v>
      </c>
      <c r="TDN1590" s="55">
        <f t="shared" si="250"/>
        <v>0</v>
      </c>
      <c r="TDO1590" s="55">
        <f t="shared" si="250"/>
        <v>0</v>
      </c>
      <c r="TDP1590" s="55">
        <f t="shared" si="250"/>
        <v>0</v>
      </c>
      <c r="TDQ1590" s="55">
        <f t="shared" si="250"/>
        <v>0</v>
      </c>
      <c r="TDR1590" s="55">
        <f t="shared" si="250"/>
        <v>0</v>
      </c>
      <c r="TDS1590" s="55">
        <f t="shared" si="250"/>
        <v>0</v>
      </c>
      <c r="TDT1590" s="55">
        <f t="shared" ref="TDT1590:TGE1590" si="251">+(TDT1600+TDT1604)*1.18*1.1</f>
        <v>0</v>
      </c>
      <c r="TDU1590" s="55">
        <f t="shared" si="251"/>
        <v>0</v>
      </c>
      <c r="TDV1590" s="55">
        <f t="shared" si="251"/>
        <v>0</v>
      </c>
      <c r="TDW1590" s="55">
        <f t="shared" si="251"/>
        <v>0</v>
      </c>
      <c r="TDX1590" s="55">
        <f t="shared" si="251"/>
        <v>0</v>
      </c>
      <c r="TDY1590" s="55">
        <f t="shared" si="251"/>
        <v>0</v>
      </c>
      <c r="TDZ1590" s="55">
        <f t="shared" si="251"/>
        <v>0</v>
      </c>
      <c r="TEA1590" s="55">
        <f t="shared" si="251"/>
        <v>0</v>
      </c>
      <c r="TEB1590" s="55">
        <f t="shared" si="251"/>
        <v>0</v>
      </c>
      <c r="TEC1590" s="55">
        <f t="shared" si="251"/>
        <v>0</v>
      </c>
      <c r="TED1590" s="55">
        <f t="shared" si="251"/>
        <v>0</v>
      </c>
      <c r="TEE1590" s="55">
        <f t="shared" si="251"/>
        <v>0</v>
      </c>
      <c r="TEF1590" s="55">
        <f t="shared" si="251"/>
        <v>0</v>
      </c>
      <c r="TEG1590" s="55">
        <f t="shared" si="251"/>
        <v>0</v>
      </c>
      <c r="TEH1590" s="55">
        <f t="shared" si="251"/>
        <v>0</v>
      </c>
      <c r="TEI1590" s="55">
        <f t="shared" si="251"/>
        <v>0</v>
      </c>
      <c r="TEJ1590" s="55">
        <f t="shared" si="251"/>
        <v>0</v>
      </c>
      <c r="TEK1590" s="55">
        <f t="shared" si="251"/>
        <v>0</v>
      </c>
      <c r="TEL1590" s="55">
        <f t="shared" si="251"/>
        <v>0</v>
      </c>
      <c r="TEM1590" s="55">
        <f t="shared" si="251"/>
        <v>0</v>
      </c>
      <c r="TEN1590" s="55">
        <f t="shared" si="251"/>
        <v>0</v>
      </c>
      <c r="TEO1590" s="55">
        <f t="shared" si="251"/>
        <v>0</v>
      </c>
      <c r="TEP1590" s="55">
        <f t="shared" si="251"/>
        <v>0</v>
      </c>
      <c r="TEQ1590" s="55">
        <f t="shared" si="251"/>
        <v>0</v>
      </c>
      <c r="TER1590" s="55">
        <f t="shared" si="251"/>
        <v>0</v>
      </c>
      <c r="TES1590" s="55">
        <f t="shared" si="251"/>
        <v>0</v>
      </c>
      <c r="TET1590" s="55">
        <f t="shared" si="251"/>
        <v>0</v>
      </c>
      <c r="TEU1590" s="55">
        <f t="shared" si="251"/>
        <v>0</v>
      </c>
      <c r="TEV1590" s="55">
        <f t="shared" si="251"/>
        <v>0</v>
      </c>
      <c r="TEW1590" s="55">
        <f t="shared" si="251"/>
        <v>0</v>
      </c>
      <c r="TEX1590" s="55">
        <f t="shared" si="251"/>
        <v>0</v>
      </c>
      <c r="TEY1590" s="55">
        <f t="shared" si="251"/>
        <v>0</v>
      </c>
      <c r="TEZ1590" s="55">
        <f t="shared" si="251"/>
        <v>0</v>
      </c>
      <c r="TFA1590" s="55">
        <f t="shared" si="251"/>
        <v>0</v>
      </c>
      <c r="TFB1590" s="55">
        <f t="shared" si="251"/>
        <v>0</v>
      </c>
      <c r="TFC1590" s="55">
        <f t="shared" si="251"/>
        <v>0</v>
      </c>
      <c r="TFD1590" s="55">
        <f t="shared" si="251"/>
        <v>0</v>
      </c>
      <c r="TFE1590" s="55">
        <f t="shared" si="251"/>
        <v>0</v>
      </c>
      <c r="TFF1590" s="55">
        <f t="shared" si="251"/>
        <v>0</v>
      </c>
      <c r="TFG1590" s="55">
        <f t="shared" si="251"/>
        <v>0</v>
      </c>
      <c r="TFH1590" s="55">
        <f t="shared" si="251"/>
        <v>0</v>
      </c>
      <c r="TFI1590" s="55">
        <f t="shared" si="251"/>
        <v>0</v>
      </c>
      <c r="TFJ1590" s="55">
        <f t="shared" si="251"/>
        <v>0</v>
      </c>
      <c r="TFK1590" s="55">
        <f t="shared" si="251"/>
        <v>0</v>
      </c>
      <c r="TFL1590" s="55">
        <f t="shared" si="251"/>
        <v>0</v>
      </c>
      <c r="TFM1590" s="55">
        <f t="shared" si="251"/>
        <v>0</v>
      </c>
      <c r="TFN1590" s="55">
        <f t="shared" si="251"/>
        <v>0</v>
      </c>
      <c r="TFO1590" s="55">
        <f t="shared" si="251"/>
        <v>0</v>
      </c>
      <c r="TFP1590" s="55">
        <f t="shared" si="251"/>
        <v>0</v>
      </c>
      <c r="TFQ1590" s="55">
        <f t="shared" si="251"/>
        <v>0</v>
      </c>
      <c r="TFR1590" s="55">
        <f t="shared" si="251"/>
        <v>0</v>
      </c>
      <c r="TFS1590" s="55">
        <f t="shared" si="251"/>
        <v>0</v>
      </c>
      <c r="TFT1590" s="55">
        <f t="shared" si="251"/>
        <v>0</v>
      </c>
      <c r="TFU1590" s="55">
        <f t="shared" si="251"/>
        <v>0</v>
      </c>
      <c r="TFV1590" s="55">
        <f t="shared" si="251"/>
        <v>0</v>
      </c>
      <c r="TFW1590" s="55">
        <f t="shared" si="251"/>
        <v>0</v>
      </c>
      <c r="TFX1590" s="55">
        <f t="shared" si="251"/>
        <v>0</v>
      </c>
      <c r="TFY1590" s="55">
        <f t="shared" si="251"/>
        <v>0</v>
      </c>
      <c r="TFZ1590" s="55">
        <f t="shared" si="251"/>
        <v>0</v>
      </c>
      <c r="TGA1590" s="55">
        <f t="shared" si="251"/>
        <v>0</v>
      </c>
      <c r="TGB1590" s="55">
        <f t="shared" si="251"/>
        <v>0</v>
      </c>
      <c r="TGC1590" s="55">
        <f t="shared" si="251"/>
        <v>0</v>
      </c>
      <c r="TGD1590" s="55">
        <f t="shared" si="251"/>
        <v>0</v>
      </c>
      <c r="TGE1590" s="55">
        <f t="shared" si="251"/>
        <v>0</v>
      </c>
      <c r="TGF1590" s="55">
        <f t="shared" ref="TGF1590:TIQ1590" si="252">+(TGF1600+TGF1604)*1.18*1.1</f>
        <v>0</v>
      </c>
      <c r="TGG1590" s="55">
        <f t="shared" si="252"/>
        <v>0</v>
      </c>
      <c r="TGH1590" s="55">
        <f t="shared" si="252"/>
        <v>0</v>
      </c>
      <c r="TGI1590" s="55">
        <f t="shared" si="252"/>
        <v>0</v>
      </c>
      <c r="TGJ1590" s="55">
        <f t="shared" si="252"/>
        <v>0</v>
      </c>
      <c r="TGK1590" s="55">
        <f t="shared" si="252"/>
        <v>0</v>
      </c>
      <c r="TGL1590" s="55">
        <f t="shared" si="252"/>
        <v>0</v>
      </c>
      <c r="TGM1590" s="55">
        <f t="shared" si="252"/>
        <v>0</v>
      </c>
      <c r="TGN1590" s="55">
        <f t="shared" si="252"/>
        <v>0</v>
      </c>
      <c r="TGO1590" s="55">
        <f t="shared" si="252"/>
        <v>0</v>
      </c>
      <c r="TGP1590" s="55">
        <f t="shared" si="252"/>
        <v>0</v>
      </c>
      <c r="TGQ1590" s="55">
        <f t="shared" si="252"/>
        <v>0</v>
      </c>
      <c r="TGR1590" s="55">
        <f t="shared" si="252"/>
        <v>0</v>
      </c>
      <c r="TGS1590" s="55">
        <f t="shared" si="252"/>
        <v>0</v>
      </c>
      <c r="TGT1590" s="55">
        <f t="shared" si="252"/>
        <v>0</v>
      </c>
      <c r="TGU1590" s="55">
        <f t="shared" si="252"/>
        <v>0</v>
      </c>
      <c r="TGV1590" s="55">
        <f t="shared" si="252"/>
        <v>0</v>
      </c>
      <c r="TGW1590" s="55">
        <f t="shared" si="252"/>
        <v>0</v>
      </c>
      <c r="TGX1590" s="55">
        <f t="shared" si="252"/>
        <v>0</v>
      </c>
      <c r="TGY1590" s="55">
        <f t="shared" si="252"/>
        <v>0</v>
      </c>
      <c r="TGZ1590" s="55">
        <f t="shared" si="252"/>
        <v>0</v>
      </c>
      <c r="THA1590" s="55">
        <f t="shared" si="252"/>
        <v>0</v>
      </c>
      <c r="THB1590" s="55">
        <f t="shared" si="252"/>
        <v>0</v>
      </c>
      <c r="THC1590" s="55">
        <f t="shared" si="252"/>
        <v>0</v>
      </c>
      <c r="THD1590" s="55">
        <f t="shared" si="252"/>
        <v>0</v>
      </c>
      <c r="THE1590" s="55">
        <f t="shared" si="252"/>
        <v>0</v>
      </c>
      <c r="THF1590" s="55">
        <f t="shared" si="252"/>
        <v>0</v>
      </c>
      <c r="THG1590" s="55">
        <f t="shared" si="252"/>
        <v>0</v>
      </c>
      <c r="THH1590" s="55">
        <f t="shared" si="252"/>
        <v>0</v>
      </c>
      <c r="THI1590" s="55">
        <f t="shared" si="252"/>
        <v>0</v>
      </c>
      <c r="THJ1590" s="55">
        <f t="shared" si="252"/>
        <v>0</v>
      </c>
      <c r="THK1590" s="55">
        <f t="shared" si="252"/>
        <v>0</v>
      </c>
      <c r="THL1590" s="55">
        <f t="shared" si="252"/>
        <v>0</v>
      </c>
      <c r="THM1590" s="55">
        <f t="shared" si="252"/>
        <v>0</v>
      </c>
      <c r="THN1590" s="55">
        <f t="shared" si="252"/>
        <v>0</v>
      </c>
      <c r="THO1590" s="55">
        <f t="shared" si="252"/>
        <v>0</v>
      </c>
      <c r="THP1590" s="55">
        <f t="shared" si="252"/>
        <v>0</v>
      </c>
      <c r="THQ1590" s="55">
        <f t="shared" si="252"/>
        <v>0</v>
      </c>
      <c r="THR1590" s="55">
        <f t="shared" si="252"/>
        <v>0</v>
      </c>
      <c r="THS1590" s="55">
        <f t="shared" si="252"/>
        <v>0</v>
      </c>
      <c r="THT1590" s="55">
        <f t="shared" si="252"/>
        <v>0</v>
      </c>
      <c r="THU1590" s="55">
        <f t="shared" si="252"/>
        <v>0</v>
      </c>
      <c r="THV1590" s="55">
        <f t="shared" si="252"/>
        <v>0</v>
      </c>
      <c r="THW1590" s="55">
        <f t="shared" si="252"/>
        <v>0</v>
      </c>
      <c r="THX1590" s="55">
        <f t="shared" si="252"/>
        <v>0</v>
      </c>
      <c r="THY1590" s="55">
        <f t="shared" si="252"/>
        <v>0</v>
      </c>
      <c r="THZ1590" s="55">
        <f t="shared" si="252"/>
        <v>0</v>
      </c>
      <c r="TIA1590" s="55">
        <f t="shared" si="252"/>
        <v>0</v>
      </c>
      <c r="TIB1590" s="55">
        <f t="shared" si="252"/>
        <v>0</v>
      </c>
      <c r="TIC1590" s="55">
        <f t="shared" si="252"/>
        <v>0</v>
      </c>
      <c r="TID1590" s="55">
        <f t="shared" si="252"/>
        <v>0</v>
      </c>
      <c r="TIE1590" s="55">
        <f t="shared" si="252"/>
        <v>0</v>
      </c>
      <c r="TIF1590" s="55">
        <f t="shared" si="252"/>
        <v>0</v>
      </c>
      <c r="TIG1590" s="55">
        <f t="shared" si="252"/>
        <v>0</v>
      </c>
      <c r="TIH1590" s="55">
        <f t="shared" si="252"/>
        <v>0</v>
      </c>
      <c r="TII1590" s="55">
        <f t="shared" si="252"/>
        <v>0</v>
      </c>
      <c r="TIJ1590" s="55">
        <f t="shared" si="252"/>
        <v>0</v>
      </c>
      <c r="TIK1590" s="55">
        <f t="shared" si="252"/>
        <v>0</v>
      </c>
      <c r="TIL1590" s="55">
        <f t="shared" si="252"/>
        <v>0</v>
      </c>
      <c r="TIM1590" s="55">
        <f t="shared" si="252"/>
        <v>0</v>
      </c>
      <c r="TIN1590" s="55">
        <f t="shared" si="252"/>
        <v>0</v>
      </c>
      <c r="TIO1590" s="55">
        <f t="shared" si="252"/>
        <v>0</v>
      </c>
      <c r="TIP1590" s="55">
        <f t="shared" si="252"/>
        <v>0</v>
      </c>
      <c r="TIQ1590" s="55">
        <f t="shared" si="252"/>
        <v>0</v>
      </c>
      <c r="TIR1590" s="55">
        <f t="shared" ref="TIR1590:TLC1590" si="253">+(TIR1600+TIR1604)*1.18*1.1</f>
        <v>0</v>
      </c>
      <c r="TIS1590" s="55">
        <f t="shared" si="253"/>
        <v>0</v>
      </c>
      <c r="TIT1590" s="55">
        <f t="shared" si="253"/>
        <v>0</v>
      </c>
      <c r="TIU1590" s="55">
        <f t="shared" si="253"/>
        <v>0</v>
      </c>
      <c r="TIV1590" s="55">
        <f t="shared" si="253"/>
        <v>0</v>
      </c>
      <c r="TIW1590" s="55">
        <f t="shared" si="253"/>
        <v>0</v>
      </c>
      <c r="TIX1590" s="55">
        <f t="shared" si="253"/>
        <v>0</v>
      </c>
      <c r="TIY1590" s="55">
        <f t="shared" si="253"/>
        <v>0</v>
      </c>
      <c r="TIZ1590" s="55">
        <f t="shared" si="253"/>
        <v>0</v>
      </c>
      <c r="TJA1590" s="55">
        <f t="shared" si="253"/>
        <v>0</v>
      </c>
      <c r="TJB1590" s="55">
        <f t="shared" si="253"/>
        <v>0</v>
      </c>
      <c r="TJC1590" s="55">
        <f t="shared" si="253"/>
        <v>0</v>
      </c>
      <c r="TJD1590" s="55">
        <f t="shared" si="253"/>
        <v>0</v>
      </c>
      <c r="TJE1590" s="55">
        <f t="shared" si="253"/>
        <v>0</v>
      </c>
      <c r="TJF1590" s="55">
        <f t="shared" si="253"/>
        <v>0</v>
      </c>
      <c r="TJG1590" s="55">
        <f t="shared" si="253"/>
        <v>0</v>
      </c>
      <c r="TJH1590" s="55">
        <f t="shared" si="253"/>
        <v>0</v>
      </c>
      <c r="TJI1590" s="55">
        <f t="shared" si="253"/>
        <v>0</v>
      </c>
      <c r="TJJ1590" s="55">
        <f t="shared" si="253"/>
        <v>0</v>
      </c>
      <c r="TJK1590" s="55">
        <f t="shared" si="253"/>
        <v>0</v>
      </c>
      <c r="TJL1590" s="55">
        <f t="shared" si="253"/>
        <v>0</v>
      </c>
      <c r="TJM1590" s="55">
        <f t="shared" si="253"/>
        <v>0</v>
      </c>
      <c r="TJN1590" s="55">
        <f t="shared" si="253"/>
        <v>0</v>
      </c>
      <c r="TJO1590" s="55">
        <f t="shared" si="253"/>
        <v>0</v>
      </c>
      <c r="TJP1590" s="55">
        <f t="shared" si="253"/>
        <v>0</v>
      </c>
      <c r="TJQ1590" s="55">
        <f t="shared" si="253"/>
        <v>0</v>
      </c>
      <c r="TJR1590" s="55">
        <f t="shared" si="253"/>
        <v>0</v>
      </c>
      <c r="TJS1590" s="55">
        <f t="shared" si="253"/>
        <v>0</v>
      </c>
      <c r="TJT1590" s="55">
        <f t="shared" si="253"/>
        <v>0</v>
      </c>
      <c r="TJU1590" s="55">
        <f t="shared" si="253"/>
        <v>0</v>
      </c>
      <c r="TJV1590" s="55">
        <f t="shared" si="253"/>
        <v>0</v>
      </c>
      <c r="TJW1590" s="55">
        <f t="shared" si="253"/>
        <v>0</v>
      </c>
      <c r="TJX1590" s="55">
        <f t="shared" si="253"/>
        <v>0</v>
      </c>
      <c r="TJY1590" s="55">
        <f t="shared" si="253"/>
        <v>0</v>
      </c>
      <c r="TJZ1590" s="55">
        <f t="shared" si="253"/>
        <v>0</v>
      </c>
      <c r="TKA1590" s="55">
        <f t="shared" si="253"/>
        <v>0</v>
      </c>
      <c r="TKB1590" s="55">
        <f t="shared" si="253"/>
        <v>0</v>
      </c>
      <c r="TKC1590" s="55">
        <f t="shared" si="253"/>
        <v>0</v>
      </c>
      <c r="TKD1590" s="55">
        <f t="shared" si="253"/>
        <v>0</v>
      </c>
      <c r="TKE1590" s="55">
        <f t="shared" si="253"/>
        <v>0</v>
      </c>
      <c r="TKF1590" s="55">
        <f t="shared" si="253"/>
        <v>0</v>
      </c>
      <c r="TKG1590" s="55">
        <f t="shared" si="253"/>
        <v>0</v>
      </c>
      <c r="TKH1590" s="55">
        <f t="shared" si="253"/>
        <v>0</v>
      </c>
      <c r="TKI1590" s="55">
        <f t="shared" si="253"/>
        <v>0</v>
      </c>
      <c r="TKJ1590" s="55">
        <f t="shared" si="253"/>
        <v>0</v>
      </c>
      <c r="TKK1590" s="55">
        <f t="shared" si="253"/>
        <v>0</v>
      </c>
      <c r="TKL1590" s="55">
        <f t="shared" si="253"/>
        <v>0</v>
      </c>
      <c r="TKM1590" s="55">
        <f t="shared" si="253"/>
        <v>0</v>
      </c>
      <c r="TKN1590" s="55">
        <f t="shared" si="253"/>
        <v>0</v>
      </c>
      <c r="TKO1590" s="55">
        <f t="shared" si="253"/>
        <v>0</v>
      </c>
      <c r="TKP1590" s="55">
        <f t="shared" si="253"/>
        <v>0</v>
      </c>
      <c r="TKQ1590" s="55">
        <f t="shared" si="253"/>
        <v>0</v>
      </c>
      <c r="TKR1590" s="55">
        <f t="shared" si="253"/>
        <v>0</v>
      </c>
      <c r="TKS1590" s="55">
        <f t="shared" si="253"/>
        <v>0</v>
      </c>
      <c r="TKT1590" s="55">
        <f t="shared" si="253"/>
        <v>0</v>
      </c>
      <c r="TKU1590" s="55">
        <f t="shared" si="253"/>
        <v>0</v>
      </c>
      <c r="TKV1590" s="55">
        <f t="shared" si="253"/>
        <v>0</v>
      </c>
      <c r="TKW1590" s="55">
        <f t="shared" si="253"/>
        <v>0</v>
      </c>
      <c r="TKX1590" s="55">
        <f t="shared" si="253"/>
        <v>0</v>
      </c>
      <c r="TKY1590" s="55">
        <f t="shared" si="253"/>
        <v>0</v>
      </c>
      <c r="TKZ1590" s="55">
        <f t="shared" si="253"/>
        <v>0</v>
      </c>
      <c r="TLA1590" s="55">
        <f t="shared" si="253"/>
        <v>0</v>
      </c>
      <c r="TLB1590" s="55">
        <f t="shared" si="253"/>
        <v>0</v>
      </c>
      <c r="TLC1590" s="55">
        <f t="shared" si="253"/>
        <v>0</v>
      </c>
      <c r="TLD1590" s="55">
        <f t="shared" ref="TLD1590:TNO1590" si="254">+(TLD1600+TLD1604)*1.18*1.1</f>
        <v>0</v>
      </c>
      <c r="TLE1590" s="55">
        <f t="shared" si="254"/>
        <v>0</v>
      </c>
      <c r="TLF1590" s="55">
        <f t="shared" si="254"/>
        <v>0</v>
      </c>
      <c r="TLG1590" s="55">
        <f t="shared" si="254"/>
        <v>0</v>
      </c>
      <c r="TLH1590" s="55">
        <f t="shared" si="254"/>
        <v>0</v>
      </c>
      <c r="TLI1590" s="55">
        <f t="shared" si="254"/>
        <v>0</v>
      </c>
      <c r="TLJ1590" s="55">
        <f t="shared" si="254"/>
        <v>0</v>
      </c>
      <c r="TLK1590" s="55">
        <f t="shared" si="254"/>
        <v>0</v>
      </c>
      <c r="TLL1590" s="55">
        <f t="shared" si="254"/>
        <v>0</v>
      </c>
      <c r="TLM1590" s="55">
        <f t="shared" si="254"/>
        <v>0</v>
      </c>
      <c r="TLN1590" s="55">
        <f t="shared" si="254"/>
        <v>0</v>
      </c>
      <c r="TLO1590" s="55">
        <f t="shared" si="254"/>
        <v>0</v>
      </c>
      <c r="TLP1590" s="55">
        <f t="shared" si="254"/>
        <v>0</v>
      </c>
      <c r="TLQ1590" s="55">
        <f t="shared" si="254"/>
        <v>0</v>
      </c>
      <c r="TLR1590" s="55">
        <f t="shared" si="254"/>
        <v>0</v>
      </c>
      <c r="TLS1590" s="55">
        <f t="shared" si="254"/>
        <v>0</v>
      </c>
      <c r="TLT1590" s="55">
        <f t="shared" si="254"/>
        <v>0</v>
      </c>
      <c r="TLU1590" s="55">
        <f t="shared" si="254"/>
        <v>0</v>
      </c>
      <c r="TLV1590" s="55">
        <f t="shared" si="254"/>
        <v>0</v>
      </c>
      <c r="TLW1590" s="55">
        <f t="shared" si="254"/>
        <v>0</v>
      </c>
      <c r="TLX1590" s="55">
        <f t="shared" si="254"/>
        <v>0</v>
      </c>
      <c r="TLY1590" s="55">
        <f t="shared" si="254"/>
        <v>0</v>
      </c>
      <c r="TLZ1590" s="55">
        <f t="shared" si="254"/>
        <v>0</v>
      </c>
      <c r="TMA1590" s="55">
        <f t="shared" si="254"/>
        <v>0</v>
      </c>
      <c r="TMB1590" s="55">
        <f t="shared" si="254"/>
        <v>0</v>
      </c>
      <c r="TMC1590" s="55">
        <f t="shared" si="254"/>
        <v>0</v>
      </c>
      <c r="TMD1590" s="55">
        <f t="shared" si="254"/>
        <v>0</v>
      </c>
      <c r="TME1590" s="55">
        <f t="shared" si="254"/>
        <v>0</v>
      </c>
      <c r="TMF1590" s="55">
        <f t="shared" si="254"/>
        <v>0</v>
      </c>
      <c r="TMG1590" s="55">
        <f t="shared" si="254"/>
        <v>0</v>
      </c>
      <c r="TMH1590" s="55">
        <f t="shared" si="254"/>
        <v>0</v>
      </c>
      <c r="TMI1590" s="55">
        <f t="shared" si="254"/>
        <v>0</v>
      </c>
      <c r="TMJ1590" s="55">
        <f t="shared" si="254"/>
        <v>0</v>
      </c>
      <c r="TMK1590" s="55">
        <f t="shared" si="254"/>
        <v>0</v>
      </c>
      <c r="TML1590" s="55">
        <f t="shared" si="254"/>
        <v>0</v>
      </c>
      <c r="TMM1590" s="55">
        <f t="shared" si="254"/>
        <v>0</v>
      </c>
      <c r="TMN1590" s="55">
        <f t="shared" si="254"/>
        <v>0</v>
      </c>
      <c r="TMO1590" s="55">
        <f t="shared" si="254"/>
        <v>0</v>
      </c>
      <c r="TMP1590" s="55">
        <f t="shared" si="254"/>
        <v>0</v>
      </c>
      <c r="TMQ1590" s="55">
        <f t="shared" si="254"/>
        <v>0</v>
      </c>
      <c r="TMR1590" s="55">
        <f t="shared" si="254"/>
        <v>0</v>
      </c>
      <c r="TMS1590" s="55">
        <f t="shared" si="254"/>
        <v>0</v>
      </c>
      <c r="TMT1590" s="55">
        <f t="shared" si="254"/>
        <v>0</v>
      </c>
      <c r="TMU1590" s="55">
        <f t="shared" si="254"/>
        <v>0</v>
      </c>
      <c r="TMV1590" s="55">
        <f t="shared" si="254"/>
        <v>0</v>
      </c>
      <c r="TMW1590" s="55">
        <f t="shared" si="254"/>
        <v>0</v>
      </c>
      <c r="TMX1590" s="55">
        <f t="shared" si="254"/>
        <v>0</v>
      </c>
      <c r="TMY1590" s="55">
        <f t="shared" si="254"/>
        <v>0</v>
      </c>
      <c r="TMZ1590" s="55">
        <f t="shared" si="254"/>
        <v>0</v>
      </c>
      <c r="TNA1590" s="55">
        <f t="shared" si="254"/>
        <v>0</v>
      </c>
      <c r="TNB1590" s="55">
        <f t="shared" si="254"/>
        <v>0</v>
      </c>
      <c r="TNC1590" s="55">
        <f t="shared" si="254"/>
        <v>0</v>
      </c>
      <c r="TND1590" s="55">
        <f t="shared" si="254"/>
        <v>0</v>
      </c>
      <c r="TNE1590" s="55">
        <f t="shared" si="254"/>
        <v>0</v>
      </c>
      <c r="TNF1590" s="55">
        <f t="shared" si="254"/>
        <v>0</v>
      </c>
      <c r="TNG1590" s="55">
        <f t="shared" si="254"/>
        <v>0</v>
      </c>
      <c r="TNH1590" s="55">
        <f t="shared" si="254"/>
        <v>0</v>
      </c>
      <c r="TNI1590" s="55">
        <f t="shared" si="254"/>
        <v>0</v>
      </c>
      <c r="TNJ1590" s="55">
        <f t="shared" si="254"/>
        <v>0</v>
      </c>
      <c r="TNK1590" s="55">
        <f t="shared" si="254"/>
        <v>0</v>
      </c>
      <c r="TNL1590" s="55">
        <f t="shared" si="254"/>
        <v>0</v>
      </c>
      <c r="TNM1590" s="55">
        <f t="shared" si="254"/>
        <v>0</v>
      </c>
      <c r="TNN1590" s="55">
        <f t="shared" si="254"/>
        <v>0</v>
      </c>
      <c r="TNO1590" s="55">
        <f t="shared" si="254"/>
        <v>0</v>
      </c>
      <c r="TNP1590" s="55">
        <f t="shared" ref="TNP1590:TQA1590" si="255">+(TNP1600+TNP1604)*1.18*1.1</f>
        <v>0</v>
      </c>
      <c r="TNQ1590" s="55">
        <f t="shared" si="255"/>
        <v>0</v>
      </c>
      <c r="TNR1590" s="55">
        <f t="shared" si="255"/>
        <v>0</v>
      </c>
      <c r="TNS1590" s="55">
        <f t="shared" si="255"/>
        <v>0</v>
      </c>
      <c r="TNT1590" s="55">
        <f t="shared" si="255"/>
        <v>0</v>
      </c>
      <c r="TNU1590" s="55">
        <f t="shared" si="255"/>
        <v>0</v>
      </c>
      <c r="TNV1590" s="55">
        <f t="shared" si="255"/>
        <v>0</v>
      </c>
      <c r="TNW1590" s="55">
        <f t="shared" si="255"/>
        <v>0</v>
      </c>
      <c r="TNX1590" s="55">
        <f t="shared" si="255"/>
        <v>0</v>
      </c>
      <c r="TNY1590" s="55">
        <f t="shared" si="255"/>
        <v>0</v>
      </c>
      <c r="TNZ1590" s="55">
        <f t="shared" si="255"/>
        <v>0</v>
      </c>
      <c r="TOA1590" s="55">
        <f t="shared" si="255"/>
        <v>0</v>
      </c>
      <c r="TOB1590" s="55">
        <f t="shared" si="255"/>
        <v>0</v>
      </c>
      <c r="TOC1590" s="55">
        <f t="shared" si="255"/>
        <v>0</v>
      </c>
      <c r="TOD1590" s="55">
        <f t="shared" si="255"/>
        <v>0</v>
      </c>
      <c r="TOE1590" s="55">
        <f t="shared" si="255"/>
        <v>0</v>
      </c>
      <c r="TOF1590" s="55">
        <f t="shared" si="255"/>
        <v>0</v>
      </c>
      <c r="TOG1590" s="55">
        <f t="shared" si="255"/>
        <v>0</v>
      </c>
      <c r="TOH1590" s="55">
        <f t="shared" si="255"/>
        <v>0</v>
      </c>
      <c r="TOI1590" s="55">
        <f t="shared" si="255"/>
        <v>0</v>
      </c>
      <c r="TOJ1590" s="55">
        <f t="shared" si="255"/>
        <v>0</v>
      </c>
      <c r="TOK1590" s="55">
        <f t="shared" si="255"/>
        <v>0</v>
      </c>
      <c r="TOL1590" s="55">
        <f t="shared" si="255"/>
        <v>0</v>
      </c>
      <c r="TOM1590" s="55">
        <f t="shared" si="255"/>
        <v>0</v>
      </c>
      <c r="TON1590" s="55">
        <f t="shared" si="255"/>
        <v>0</v>
      </c>
      <c r="TOO1590" s="55">
        <f t="shared" si="255"/>
        <v>0</v>
      </c>
      <c r="TOP1590" s="55">
        <f t="shared" si="255"/>
        <v>0</v>
      </c>
      <c r="TOQ1590" s="55">
        <f t="shared" si="255"/>
        <v>0</v>
      </c>
      <c r="TOR1590" s="55">
        <f t="shared" si="255"/>
        <v>0</v>
      </c>
      <c r="TOS1590" s="55">
        <f t="shared" si="255"/>
        <v>0</v>
      </c>
      <c r="TOT1590" s="55">
        <f t="shared" si="255"/>
        <v>0</v>
      </c>
      <c r="TOU1590" s="55">
        <f t="shared" si="255"/>
        <v>0</v>
      </c>
      <c r="TOV1590" s="55">
        <f t="shared" si="255"/>
        <v>0</v>
      </c>
      <c r="TOW1590" s="55">
        <f t="shared" si="255"/>
        <v>0</v>
      </c>
      <c r="TOX1590" s="55">
        <f t="shared" si="255"/>
        <v>0</v>
      </c>
      <c r="TOY1590" s="55">
        <f t="shared" si="255"/>
        <v>0</v>
      </c>
      <c r="TOZ1590" s="55">
        <f t="shared" si="255"/>
        <v>0</v>
      </c>
      <c r="TPA1590" s="55">
        <f t="shared" si="255"/>
        <v>0</v>
      </c>
      <c r="TPB1590" s="55">
        <f t="shared" si="255"/>
        <v>0</v>
      </c>
      <c r="TPC1590" s="55">
        <f t="shared" si="255"/>
        <v>0</v>
      </c>
      <c r="TPD1590" s="55">
        <f t="shared" si="255"/>
        <v>0</v>
      </c>
      <c r="TPE1590" s="55">
        <f t="shared" si="255"/>
        <v>0</v>
      </c>
      <c r="TPF1590" s="55">
        <f t="shared" si="255"/>
        <v>0</v>
      </c>
      <c r="TPG1590" s="55">
        <f t="shared" si="255"/>
        <v>0</v>
      </c>
      <c r="TPH1590" s="55">
        <f t="shared" si="255"/>
        <v>0</v>
      </c>
      <c r="TPI1590" s="55">
        <f t="shared" si="255"/>
        <v>0</v>
      </c>
      <c r="TPJ1590" s="55">
        <f t="shared" si="255"/>
        <v>0</v>
      </c>
      <c r="TPK1590" s="55">
        <f t="shared" si="255"/>
        <v>0</v>
      </c>
      <c r="TPL1590" s="55">
        <f t="shared" si="255"/>
        <v>0</v>
      </c>
      <c r="TPM1590" s="55">
        <f t="shared" si="255"/>
        <v>0</v>
      </c>
      <c r="TPN1590" s="55">
        <f t="shared" si="255"/>
        <v>0</v>
      </c>
      <c r="TPO1590" s="55">
        <f t="shared" si="255"/>
        <v>0</v>
      </c>
      <c r="TPP1590" s="55">
        <f t="shared" si="255"/>
        <v>0</v>
      </c>
      <c r="TPQ1590" s="55">
        <f t="shared" si="255"/>
        <v>0</v>
      </c>
      <c r="TPR1590" s="55">
        <f t="shared" si="255"/>
        <v>0</v>
      </c>
      <c r="TPS1590" s="55">
        <f t="shared" si="255"/>
        <v>0</v>
      </c>
      <c r="TPT1590" s="55">
        <f t="shared" si="255"/>
        <v>0</v>
      </c>
      <c r="TPU1590" s="55">
        <f t="shared" si="255"/>
        <v>0</v>
      </c>
      <c r="TPV1590" s="55">
        <f t="shared" si="255"/>
        <v>0</v>
      </c>
      <c r="TPW1590" s="55">
        <f t="shared" si="255"/>
        <v>0</v>
      </c>
      <c r="TPX1590" s="55">
        <f t="shared" si="255"/>
        <v>0</v>
      </c>
      <c r="TPY1590" s="55">
        <f t="shared" si="255"/>
        <v>0</v>
      </c>
      <c r="TPZ1590" s="55">
        <f t="shared" si="255"/>
        <v>0</v>
      </c>
      <c r="TQA1590" s="55">
        <f t="shared" si="255"/>
        <v>0</v>
      </c>
      <c r="TQB1590" s="55">
        <f t="shared" ref="TQB1590:TSM1590" si="256">+(TQB1600+TQB1604)*1.18*1.1</f>
        <v>0</v>
      </c>
      <c r="TQC1590" s="55">
        <f t="shared" si="256"/>
        <v>0</v>
      </c>
      <c r="TQD1590" s="55">
        <f t="shared" si="256"/>
        <v>0</v>
      </c>
      <c r="TQE1590" s="55">
        <f t="shared" si="256"/>
        <v>0</v>
      </c>
      <c r="TQF1590" s="55">
        <f t="shared" si="256"/>
        <v>0</v>
      </c>
      <c r="TQG1590" s="55">
        <f t="shared" si="256"/>
        <v>0</v>
      </c>
      <c r="TQH1590" s="55">
        <f t="shared" si="256"/>
        <v>0</v>
      </c>
      <c r="TQI1590" s="55">
        <f t="shared" si="256"/>
        <v>0</v>
      </c>
      <c r="TQJ1590" s="55">
        <f t="shared" si="256"/>
        <v>0</v>
      </c>
      <c r="TQK1590" s="55">
        <f t="shared" si="256"/>
        <v>0</v>
      </c>
      <c r="TQL1590" s="55">
        <f t="shared" si="256"/>
        <v>0</v>
      </c>
      <c r="TQM1590" s="55">
        <f t="shared" si="256"/>
        <v>0</v>
      </c>
      <c r="TQN1590" s="55">
        <f t="shared" si="256"/>
        <v>0</v>
      </c>
      <c r="TQO1590" s="55">
        <f t="shared" si="256"/>
        <v>0</v>
      </c>
      <c r="TQP1590" s="55">
        <f t="shared" si="256"/>
        <v>0</v>
      </c>
      <c r="TQQ1590" s="55">
        <f t="shared" si="256"/>
        <v>0</v>
      </c>
      <c r="TQR1590" s="55">
        <f t="shared" si="256"/>
        <v>0</v>
      </c>
      <c r="TQS1590" s="55">
        <f t="shared" si="256"/>
        <v>0</v>
      </c>
      <c r="TQT1590" s="55">
        <f t="shared" si="256"/>
        <v>0</v>
      </c>
      <c r="TQU1590" s="55">
        <f t="shared" si="256"/>
        <v>0</v>
      </c>
      <c r="TQV1590" s="55">
        <f t="shared" si="256"/>
        <v>0</v>
      </c>
      <c r="TQW1590" s="55">
        <f t="shared" si="256"/>
        <v>0</v>
      </c>
      <c r="TQX1590" s="55">
        <f t="shared" si="256"/>
        <v>0</v>
      </c>
      <c r="TQY1590" s="55">
        <f t="shared" si="256"/>
        <v>0</v>
      </c>
      <c r="TQZ1590" s="55">
        <f t="shared" si="256"/>
        <v>0</v>
      </c>
      <c r="TRA1590" s="55">
        <f t="shared" si="256"/>
        <v>0</v>
      </c>
      <c r="TRB1590" s="55">
        <f t="shared" si="256"/>
        <v>0</v>
      </c>
      <c r="TRC1590" s="55">
        <f t="shared" si="256"/>
        <v>0</v>
      </c>
      <c r="TRD1590" s="55">
        <f t="shared" si="256"/>
        <v>0</v>
      </c>
      <c r="TRE1590" s="55">
        <f t="shared" si="256"/>
        <v>0</v>
      </c>
      <c r="TRF1590" s="55">
        <f t="shared" si="256"/>
        <v>0</v>
      </c>
      <c r="TRG1590" s="55">
        <f t="shared" si="256"/>
        <v>0</v>
      </c>
      <c r="TRH1590" s="55">
        <f t="shared" si="256"/>
        <v>0</v>
      </c>
      <c r="TRI1590" s="55">
        <f t="shared" si="256"/>
        <v>0</v>
      </c>
      <c r="TRJ1590" s="55">
        <f t="shared" si="256"/>
        <v>0</v>
      </c>
      <c r="TRK1590" s="55">
        <f t="shared" si="256"/>
        <v>0</v>
      </c>
      <c r="TRL1590" s="55">
        <f t="shared" si="256"/>
        <v>0</v>
      </c>
      <c r="TRM1590" s="55">
        <f t="shared" si="256"/>
        <v>0</v>
      </c>
      <c r="TRN1590" s="55">
        <f t="shared" si="256"/>
        <v>0</v>
      </c>
      <c r="TRO1590" s="55">
        <f t="shared" si="256"/>
        <v>0</v>
      </c>
      <c r="TRP1590" s="55">
        <f t="shared" si="256"/>
        <v>0</v>
      </c>
      <c r="TRQ1590" s="55">
        <f t="shared" si="256"/>
        <v>0</v>
      </c>
      <c r="TRR1590" s="55">
        <f t="shared" si="256"/>
        <v>0</v>
      </c>
      <c r="TRS1590" s="55">
        <f t="shared" si="256"/>
        <v>0</v>
      </c>
      <c r="TRT1590" s="55">
        <f t="shared" si="256"/>
        <v>0</v>
      </c>
      <c r="TRU1590" s="55">
        <f t="shared" si="256"/>
        <v>0</v>
      </c>
      <c r="TRV1590" s="55">
        <f t="shared" si="256"/>
        <v>0</v>
      </c>
      <c r="TRW1590" s="55">
        <f t="shared" si="256"/>
        <v>0</v>
      </c>
      <c r="TRX1590" s="55">
        <f t="shared" si="256"/>
        <v>0</v>
      </c>
      <c r="TRY1590" s="55">
        <f t="shared" si="256"/>
        <v>0</v>
      </c>
      <c r="TRZ1590" s="55">
        <f t="shared" si="256"/>
        <v>0</v>
      </c>
      <c r="TSA1590" s="55">
        <f t="shared" si="256"/>
        <v>0</v>
      </c>
      <c r="TSB1590" s="55">
        <f t="shared" si="256"/>
        <v>0</v>
      </c>
      <c r="TSC1590" s="55">
        <f t="shared" si="256"/>
        <v>0</v>
      </c>
      <c r="TSD1590" s="55">
        <f t="shared" si="256"/>
        <v>0</v>
      </c>
      <c r="TSE1590" s="55">
        <f t="shared" si="256"/>
        <v>0</v>
      </c>
      <c r="TSF1590" s="55">
        <f t="shared" si="256"/>
        <v>0</v>
      </c>
      <c r="TSG1590" s="55">
        <f t="shared" si="256"/>
        <v>0</v>
      </c>
      <c r="TSH1590" s="55">
        <f t="shared" si="256"/>
        <v>0</v>
      </c>
      <c r="TSI1590" s="55">
        <f t="shared" si="256"/>
        <v>0</v>
      </c>
      <c r="TSJ1590" s="55">
        <f t="shared" si="256"/>
        <v>0</v>
      </c>
      <c r="TSK1590" s="55">
        <f t="shared" si="256"/>
        <v>0</v>
      </c>
      <c r="TSL1590" s="55">
        <f t="shared" si="256"/>
        <v>0</v>
      </c>
      <c r="TSM1590" s="55">
        <f t="shared" si="256"/>
        <v>0</v>
      </c>
      <c r="TSN1590" s="55">
        <f t="shared" ref="TSN1590:TUY1590" si="257">+(TSN1600+TSN1604)*1.18*1.1</f>
        <v>0</v>
      </c>
      <c r="TSO1590" s="55">
        <f t="shared" si="257"/>
        <v>0</v>
      </c>
      <c r="TSP1590" s="55">
        <f t="shared" si="257"/>
        <v>0</v>
      </c>
      <c r="TSQ1590" s="55">
        <f t="shared" si="257"/>
        <v>0</v>
      </c>
      <c r="TSR1590" s="55">
        <f t="shared" si="257"/>
        <v>0</v>
      </c>
      <c r="TSS1590" s="55">
        <f t="shared" si="257"/>
        <v>0</v>
      </c>
      <c r="TST1590" s="55">
        <f t="shared" si="257"/>
        <v>0</v>
      </c>
      <c r="TSU1590" s="55">
        <f t="shared" si="257"/>
        <v>0</v>
      </c>
      <c r="TSV1590" s="55">
        <f t="shared" si="257"/>
        <v>0</v>
      </c>
      <c r="TSW1590" s="55">
        <f t="shared" si="257"/>
        <v>0</v>
      </c>
      <c r="TSX1590" s="55">
        <f t="shared" si="257"/>
        <v>0</v>
      </c>
      <c r="TSY1590" s="55">
        <f t="shared" si="257"/>
        <v>0</v>
      </c>
      <c r="TSZ1590" s="55">
        <f t="shared" si="257"/>
        <v>0</v>
      </c>
      <c r="TTA1590" s="55">
        <f t="shared" si="257"/>
        <v>0</v>
      </c>
      <c r="TTB1590" s="55">
        <f t="shared" si="257"/>
        <v>0</v>
      </c>
      <c r="TTC1590" s="55">
        <f t="shared" si="257"/>
        <v>0</v>
      </c>
      <c r="TTD1590" s="55">
        <f t="shared" si="257"/>
        <v>0</v>
      </c>
      <c r="TTE1590" s="55">
        <f t="shared" si="257"/>
        <v>0</v>
      </c>
      <c r="TTF1590" s="55">
        <f t="shared" si="257"/>
        <v>0</v>
      </c>
      <c r="TTG1590" s="55">
        <f t="shared" si="257"/>
        <v>0</v>
      </c>
      <c r="TTH1590" s="55">
        <f t="shared" si="257"/>
        <v>0</v>
      </c>
      <c r="TTI1590" s="55">
        <f t="shared" si="257"/>
        <v>0</v>
      </c>
      <c r="TTJ1590" s="55">
        <f t="shared" si="257"/>
        <v>0</v>
      </c>
      <c r="TTK1590" s="55">
        <f t="shared" si="257"/>
        <v>0</v>
      </c>
      <c r="TTL1590" s="55">
        <f t="shared" si="257"/>
        <v>0</v>
      </c>
      <c r="TTM1590" s="55">
        <f t="shared" si="257"/>
        <v>0</v>
      </c>
      <c r="TTN1590" s="55">
        <f t="shared" si="257"/>
        <v>0</v>
      </c>
      <c r="TTO1590" s="55">
        <f t="shared" si="257"/>
        <v>0</v>
      </c>
      <c r="TTP1590" s="55">
        <f t="shared" si="257"/>
        <v>0</v>
      </c>
      <c r="TTQ1590" s="55">
        <f t="shared" si="257"/>
        <v>0</v>
      </c>
      <c r="TTR1590" s="55">
        <f t="shared" si="257"/>
        <v>0</v>
      </c>
      <c r="TTS1590" s="55">
        <f t="shared" si="257"/>
        <v>0</v>
      </c>
      <c r="TTT1590" s="55">
        <f t="shared" si="257"/>
        <v>0</v>
      </c>
      <c r="TTU1590" s="55">
        <f t="shared" si="257"/>
        <v>0</v>
      </c>
      <c r="TTV1590" s="55">
        <f t="shared" si="257"/>
        <v>0</v>
      </c>
      <c r="TTW1590" s="55">
        <f t="shared" si="257"/>
        <v>0</v>
      </c>
      <c r="TTX1590" s="55">
        <f t="shared" si="257"/>
        <v>0</v>
      </c>
      <c r="TTY1590" s="55">
        <f t="shared" si="257"/>
        <v>0</v>
      </c>
      <c r="TTZ1590" s="55">
        <f t="shared" si="257"/>
        <v>0</v>
      </c>
      <c r="TUA1590" s="55">
        <f t="shared" si="257"/>
        <v>0</v>
      </c>
      <c r="TUB1590" s="55">
        <f t="shared" si="257"/>
        <v>0</v>
      </c>
      <c r="TUC1590" s="55">
        <f t="shared" si="257"/>
        <v>0</v>
      </c>
      <c r="TUD1590" s="55">
        <f t="shared" si="257"/>
        <v>0</v>
      </c>
      <c r="TUE1590" s="55">
        <f t="shared" si="257"/>
        <v>0</v>
      </c>
      <c r="TUF1590" s="55">
        <f t="shared" si="257"/>
        <v>0</v>
      </c>
      <c r="TUG1590" s="55">
        <f t="shared" si="257"/>
        <v>0</v>
      </c>
      <c r="TUH1590" s="55">
        <f t="shared" si="257"/>
        <v>0</v>
      </c>
      <c r="TUI1590" s="55">
        <f t="shared" si="257"/>
        <v>0</v>
      </c>
      <c r="TUJ1590" s="55">
        <f t="shared" si="257"/>
        <v>0</v>
      </c>
      <c r="TUK1590" s="55">
        <f t="shared" si="257"/>
        <v>0</v>
      </c>
      <c r="TUL1590" s="55">
        <f t="shared" si="257"/>
        <v>0</v>
      </c>
      <c r="TUM1590" s="55">
        <f t="shared" si="257"/>
        <v>0</v>
      </c>
      <c r="TUN1590" s="55">
        <f t="shared" si="257"/>
        <v>0</v>
      </c>
      <c r="TUO1590" s="55">
        <f t="shared" si="257"/>
        <v>0</v>
      </c>
      <c r="TUP1590" s="55">
        <f t="shared" si="257"/>
        <v>0</v>
      </c>
      <c r="TUQ1590" s="55">
        <f t="shared" si="257"/>
        <v>0</v>
      </c>
      <c r="TUR1590" s="55">
        <f t="shared" si="257"/>
        <v>0</v>
      </c>
      <c r="TUS1590" s="55">
        <f t="shared" si="257"/>
        <v>0</v>
      </c>
      <c r="TUT1590" s="55">
        <f t="shared" si="257"/>
        <v>0</v>
      </c>
      <c r="TUU1590" s="55">
        <f t="shared" si="257"/>
        <v>0</v>
      </c>
      <c r="TUV1590" s="55">
        <f t="shared" si="257"/>
        <v>0</v>
      </c>
      <c r="TUW1590" s="55">
        <f t="shared" si="257"/>
        <v>0</v>
      </c>
      <c r="TUX1590" s="55">
        <f t="shared" si="257"/>
        <v>0</v>
      </c>
      <c r="TUY1590" s="55">
        <f t="shared" si="257"/>
        <v>0</v>
      </c>
      <c r="TUZ1590" s="55">
        <f t="shared" ref="TUZ1590:TXK1590" si="258">+(TUZ1600+TUZ1604)*1.18*1.1</f>
        <v>0</v>
      </c>
      <c r="TVA1590" s="55">
        <f t="shared" si="258"/>
        <v>0</v>
      </c>
      <c r="TVB1590" s="55">
        <f t="shared" si="258"/>
        <v>0</v>
      </c>
      <c r="TVC1590" s="55">
        <f t="shared" si="258"/>
        <v>0</v>
      </c>
      <c r="TVD1590" s="55">
        <f t="shared" si="258"/>
        <v>0</v>
      </c>
      <c r="TVE1590" s="55">
        <f t="shared" si="258"/>
        <v>0</v>
      </c>
      <c r="TVF1590" s="55">
        <f t="shared" si="258"/>
        <v>0</v>
      </c>
      <c r="TVG1590" s="55">
        <f t="shared" si="258"/>
        <v>0</v>
      </c>
      <c r="TVH1590" s="55">
        <f t="shared" si="258"/>
        <v>0</v>
      </c>
      <c r="TVI1590" s="55">
        <f t="shared" si="258"/>
        <v>0</v>
      </c>
      <c r="TVJ1590" s="55">
        <f t="shared" si="258"/>
        <v>0</v>
      </c>
      <c r="TVK1590" s="55">
        <f t="shared" si="258"/>
        <v>0</v>
      </c>
      <c r="TVL1590" s="55">
        <f t="shared" si="258"/>
        <v>0</v>
      </c>
      <c r="TVM1590" s="55">
        <f t="shared" si="258"/>
        <v>0</v>
      </c>
      <c r="TVN1590" s="55">
        <f t="shared" si="258"/>
        <v>0</v>
      </c>
      <c r="TVO1590" s="55">
        <f t="shared" si="258"/>
        <v>0</v>
      </c>
      <c r="TVP1590" s="55">
        <f t="shared" si="258"/>
        <v>0</v>
      </c>
      <c r="TVQ1590" s="55">
        <f t="shared" si="258"/>
        <v>0</v>
      </c>
      <c r="TVR1590" s="55">
        <f t="shared" si="258"/>
        <v>0</v>
      </c>
      <c r="TVS1590" s="55">
        <f t="shared" si="258"/>
        <v>0</v>
      </c>
      <c r="TVT1590" s="55">
        <f t="shared" si="258"/>
        <v>0</v>
      </c>
      <c r="TVU1590" s="55">
        <f t="shared" si="258"/>
        <v>0</v>
      </c>
      <c r="TVV1590" s="55">
        <f t="shared" si="258"/>
        <v>0</v>
      </c>
      <c r="TVW1590" s="55">
        <f t="shared" si="258"/>
        <v>0</v>
      </c>
      <c r="TVX1590" s="55">
        <f t="shared" si="258"/>
        <v>0</v>
      </c>
      <c r="TVY1590" s="55">
        <f t="shared" si="258"/>
        <v>0</v>
      </c>
      <c r="TVZ1590" s="55">
        <f t="shared" si="258"/>
        <v>0</v>
      </c>
      <c r="TWA1590" s="55">
        <f t="shared" si="258"/>
        <v>0</v>
      </c>
      <c r="TWB1590" s="55">
        <f t="shared" si="258"/>
        <v>0</v>
      </c>
      <c r="TWC1590" s="55">
        <f t="shared" si="258"/>
        <v>0</v>
      </c>
      <c r="TWD1590" s="55">
        <f t="shared" si="258"/>
        <v>0</v>
      </c>
      <c r="TWE1590" s="55">
        <f t="shared" si="258"/>
        <v>0</v>
      </c>
      <c r="TWF1590" s="55">
        <f t="shared" si="258"/>
        <v>0</v>
      </c>
      <c r="TWG1590" s="55">
        <f t="shared" si="258"/>
        <v>0</v>
      </c>
      <c r="TWH1590" s="55">
        <f t="shared" si="258"/>
        <v>0</v>
      </c>
      <c r="TWI1590" s="55">
        <f t="shared" si="258"/>
        <v>0</v>
      </c>
      <c r="TWJ1590" s="55">
        <f t="shared" si="258"/>
        <v>0</v>
      </c>
      <c r="TWK1590" s="55">
        <f t="shared" si="258"/>
        <v>0</v>
      </c>
      <c r="TWL1590" s="55">
        <f t="shared" si="258"/>
        <v>0</v>
      </c>
      <c r="TWM1590" s="55">
        <f t="shared" si="258"/>
        <v>0</v>
      </c>
      <c r="TWN1590" s="55">
        <f t="shared" si="258"/>
        <v>0</v>
      </c>
      <c r="TWO1590" s="55">
        <f t="shared" si="258"/>
        <v>0</v>
      </c>
      <c r="TWP1590" s="55">
        <f t="shared" si="258"/>
        <v>0</v>
      </c>
      <c r="TWQ1590" s="55">
        <f t="shared" si="258"/>
        <v>0</v>
      </c>
      <c r="TWR1590" s="55">
        <f t="shared" si="258"/>
        <v>0</v>
      </c>
      <c r="TWS1590" s="55">
        <f t="shared" si="258"/>
        <v>0</v>
      </c>
      <c r="TWT1590" s="55">
        <f t="shared" si="258"/>
        <v>0</v>
      </c>
      <c r="TWU1590" s="55">
        <f t="shared" si="258"/>
        <v>0</v>
      </c>
      <c r="TWV1590" s="55">
        <f t="shared" si="258"/>
        <v>0</v>
      </c>
      <c r="TWW1590" s="55">
        <f t="shared" si="258"/>
        <v>0</v>
      </c>
      <c r="TWX1590" s="55">
        <f t="shared" si="258"/>
        <v>0</v>
      </c>
      <c r="TWY1590" s="55">
        <f t="shared" si="258"/>
        <v>0</v>
      </c>
      <c r="TWZ1590" s="55">
        <f t="shared" si="258"/>
        <v>0</v>
      </c>
      <c r="TXA1590" s="55">
        <f t="shared" si="258"/>
        <v>0</v>
      </c>
      <c r="TXB1590" s="55">
        <f t="shared" si="258"/>
        <v>0</v>
      </c>
      <c r="TXC1590" s="55">
        <f t="shared" si="258"/>
        <v>0</v>
      </c>
      <c r="TXD1590" s="55">
        <f t="shared" si="258"/>
        <v>0</v>
      </c>
      <c r="TXE1590" s="55">
        <f t="shared" si="258"/>
        <v>0</v>
      </c>
      <c r="TXF1590" s="55">
        <f t="shared" si="258"/>
        <v>0</v>
      </c>
      <c r="TXG1590" s="55">
        <f t="shared" si="258"/>
        <v>0</v>
      </c>
      <c r="TXH1590" s="55">
        <f t="shared" si="258"/>
        <v>0</v>
      </c>
      <c r="TXI1590" s="55">
        <f t="shared" si="258"/>
        <v>0</v>
      </c>
      <c r="TXJ1590" s="55">
        <f t="shared" si="258"/>
        <v>0</v>
      </c>
      <c r="TXK1590" s="55">
        <f t="shared" si="258"/>
        <v>0</v>
      </c>
      <c r="TXL1590" s="55">
        <f t="shared" ref="TXL1590:TZW1590" si="259">+(TXL1600+TXL1604)*1.18*1.1</f>
        <v>0</v>
      </c>
      <c r="TXM1590" s="55">
        <f t="shared" si="259"/>
        <v>0</v>
      </c>
      <c r="TXN1590" s="55">
        <f t="shared" si="259"/>
        <v>0</v>
      </c>
      <c r="TXO1590" s="55">
        <f t="shared" si="259"/>
        <v>0</v>
      </c>
      <c r="TXP1590" s="55">
        <f t="shared" si="259"/>
        <v>0</v>
      </c>
      <c r="TXQ1590" s="55">
        <f t="shared" si="259"/>
        <v>0</v>
      </c>
      <c r="TXR1590" s="55">
        <f t="shared" si="259"/>
        <v>0</v>
      </c>
      <c r="TXS1590" s="55">
        <f t="shared" si="259"/>
        <v>0</v>
      </c>
      <c r="TXT1590" s="55">
        <f t="shared" si="259"/>
        <v>0</v>
      </c>
      <c r="TXU1590" s="55">
        <f t="shared" si="259"/>
        <v>0</v>
      </c>
      <c r="TXV1590" s="55">
        <f t="shared" si="259"/>
        <v>0</v>
      </c>
      <c r="TXW1590" s="55">
        <f t="shared" si="259"/>
        <v>0</v>
      </c>
      <c r="TXX1590" s="55">
        <f t="shared" si="259"/>
        <v>0</v>
      </c>
      <c r="TXY1590" s="55">
        <f t="shared" si="259"/>
        <v>0</v>
      </c>
      <c r="TXZ1590" s="55">
        <f t="shared" si="259"/>
        <v>0</v>
      </c>
      <c r="TYA1590" s="55">
        <f t="shared" si="259"/>
        <v>0</v>
      </c>
      <c r="TYB1590" s="55">
        <f t="shared" si="259"/>
        <v>0</v>
      </c>
      <c r="TYC1590" s="55">
        <f t="shared" si="259"/>
        <v>0</v>
      </c>
      <c r="TYD1590" s="55">
        <f t="shared" si="259"/>
        <v>0</v>
      </c>
      <c r="TYE1590" s="55">
        <f t="shared" si="259"/>
        <v>0</v>
      </c>
      <c r="TYF1590" s="55">
        <f t="shared" si="259"/>
        <v>0</v>
      </c>
      <c r="TYG1590" s="55">
        <f t="shared" si="259"/>
        <v>0</v>
      </c>
      <c r="TYH1590" s="55">
        <f t="shared" si="259"/>
        <v>0</v>
      </c>
      <c r="TYI1590" s="55">
        <f t="shared" si="259"/>
        <v>0</v>
      </c>
      <c r="TYJ1590" s="55">
        <f t="shared" si="259"/>
        <v>0</v>
      </c>
      <c r="TYK1590" s="55">
        <f t="shared" si="259"/>
        <v>0</v>
      </c>
      <c r="TYL1590" s="55">
        <f t="shared" si="259"/>
        <v>0</v>
      </c>
      <c r="TYM1590" s="55">
        <f t="shared" si="259"/>
        <v>0</v>
      </c>
      <c r="TYN1590" s="55">
        <f t="shared" si="259"/>
        <v>0</v>
      </c>
      <c r="TYO1590" s="55">
        <f t="shared" si="259"/>
        <v>0</v>
      </c>
      <c r="TYP1590" s="55">
        <f t="shared" si="259"/>
        <v>0</v>
      </c>
      <c r="TYQ1590" s="55">
        <f t="shared" si="259"/>
        <v>0</v>
      </c>
      <c r="TYR1590" s="55">
        <f t="shared" si="259"/>
        <v>0</v>
      </c>
      <c r="TYS1590" s="55">
        <f t="shared" si="259"/>
        <v>0</v>
      </c>
      <c r="TYT1590" s="55">
        <f t="shared" si="259"/>
        <v>0</v>
      </c>
      <c r="TYU1590" s="55">
        <f t="shared" si="259"/>
        <v>0</v>
      </c>
      <c r="TYV1590" s="55">
        <f t="shared" si="259"/>
        <v>0</v>
      </c>
      <c r="TYW1590" s="55">
        <f t="shared" si="259"/>
        <v>0</v>
      </c>
      <c r="TYX1590" s="55">
        <f t="shared" si="259"/>
        <v>0</v>
      </c>
      <c r="TYY1590" s="55">
        <f t="shared" si="259"/>
        <v>0</v>
      </c>
      <c r="TYZ1590" s="55">
        <f t="shared" si="259"/>
        <v>0</v>
      </c>
      <c r="TZA1590" s="55">
        <f t="shared" si="259"/>
        <v>0</v>
      </c>
      <c r="TZB1590" s="55">
        <f t="shared" si="259"/>
        <v>0</v>
      </c>
      <c r="TZC1590" s="55">
        <f t="shared" si="259"/>
        <v>0</v>
      </c>
      <c r="TZD1590" s="55">
        <f t="shared" si="259"/>
        <v>0</v>
      </c>
      <c r="TZE1590" s="55">
        <f t="shared" si="259"/>
        <v>0</v>
      </c>
      <c r="TZF1590" s="55">
        <f t="shared" si="259"/>
        <v>0</v>
      </c>
      <c r="TZG1590" s="55">
        <f t="shared" si="259"/>
        <v>0</v>
      </c>
      <c r="TZH1590" s="55">
        <f t="shared" si="259"/>
        <v>0</v>
      </c>
      <c r="TZI1590" s="55">
        <f t="shared" si="259"/>
        <v>0</v>
      </c>
      <c r="TZJ1590" s="55">
        <f t="shared" si="259"/>
        <v>0</v>
      </c>
      <c r="TZK1590" s="55">
        <f t="shared" si="259"/>
        <v>0</v>
      </c>
      <c r="TZL1590" s="55">
        <f t="shared" si="259"/>
        <v>0</v>
      </c>
      <c r="TZM1590" s="55">
        <f t="shared" si="259"/>
        <v>0</v>
      </c>
      <c r="TZN1590" s="55">
        <f t="shared" si="259"/>
        <v>0</v>
      </c>
      <c r="TZO1590" s="55">
        <f t="shared" si="259"/>
        <v>0</v>
      </c>
      <c r="TZP1590" s="55">
        <f t="shared" si="259"/>
        <v>0</v>
      </c>
      <c r="TZQ1590" s="55">
        <f t="shared" si="259"/>
        <v>0</v>
      </c>
      <c r="TZR1590" s="55">
        <f t="shared" si="259"/>
        <v>0</v>
      </c>
      <c r="TZS1590" s="55">
        <f t="shared" si="259"/>
        <v>0</v>
      </c>
      <c r="TZT1590" s="55">
        <f t="shared" si="259"/>
        <v>0</v>
      </c>
      <c r="TZU1590" s="55">
        <f t="shared" si="259"/>
        <v>0</v>
      </c>
      <c r="TZV1590" s="55">
        <f t="shared" si="259"/>
        <v>0</v>
      </c>
      <c r="TZW1590" s="55">
        <f t="shared" si="259"/>
        <v>0</v>
      </c>
      <c r="TZX1590" s="55">
        <f t="shared" ref="TZX1590:UCI1590" si="260">+(TZX1600+TZX1604)*1.18*1.1</f>
        <v>0</v>
      </c>
      <c r="TZY1590" s="55">
        <f t="shared" si="260"/>
        <v>0</v>
      </c>
      <c r="TZZ1590" s="55">
        <f t="shared" si="260"/>
        <v>0</v>
      </c>
      <c r="UAA1590" s="55">
        <f t="shared" si="260"/>
        <v>0</v>
      </c>
      <c r="UAB1590" s="55">
        <f t="shared" si="260"/>
        <v>0</v>
      </c>
      <c r="UAC1590" s="55">
        <f t="shared" si="260"/>
        <v>0</v>
      </c>
      <c r="UAD1590" s="55">
        <f t="shared" si="260"/>
        <v>0</v>
      </c>
      <c r="UAE1590" s="55">
        <f t="shared" si="260"/>
        <v>0</v>
      </c>
      <c r="UAF1590" s="55">
        <f t="shared" si="260"/>
        <v>0</v>
      </c>
      <c r="UAG1590" s="55">
        <f t="shared" si="260"/>
        <v>0</v>
      </c>
      <c r="UAH1590" s="55">
        <f t="shared" si="260"/>
        <v>0</v>
      </c>
      <c r="UAI1590" s="55">
        <f t="shared" si="260"/>
        <v>0</v>
      </c>
      <c r="UAJ1590" s="55">
        <f t="shared" si="260"/>
        <v>0</v>
      </c>
      <c r="UAK1590" s="55">
        <f t="shared" si="260"/>
        <v>0</v>
      </c>
      <c r="UAL1590" s="55">
        <f t="shared" si="260"/>
        <v>0</v>
      </c>
      <c r="UAM1590" s="55">
        <f t="shared" si="260"/>
        <v>0</v>
      </c>
      <c r="UAN1590" s="55">
        <f t="shared" si="260"/>
        <v>0</v>
      </c>
      <c r="UAO1590" s="55">
        <f t="shared" si="260"/>
        <v>0</v>
      </c>
      <c r="UAP1590" s="55">
        <f t="shared" si="260"/>
        <v>0</v>
      </c>
      <c r="UAQ1590" s="55">
        <f t="shared" si="260"/>
        <v>0</v>
      </c>
      <c r="UAR1590" s="55">
        <f t="shared" si="260"/>
        <v>0</v>
      </c>
      <c r="UAS1590" s="55">
        <f t="shared" si="260"/>
        <v>0</v>
      </c>
      <c r="UAT1590" s="55">
        <f t="shared" si="260"/>
        <v>0</v>
      </c>
      <c r="UAU1590" s="55">
        <f t="shared" si="260"/>
        <v>0</v>
      </c>
      <c r="UAV1590" s="55">
        <f t="shared" si="260"/>
        <v>0</v>
      </c>
      <c r="UAW1590" s="55">
        <f t="shared" si="260"/>
        <v>0</v>
      </c>
      <c r="UAX1590" s="55">
        <f t="shared" si="260"/>
        <v>0</v>
      </c>
      <c r="UAY1590" s="55">
        <f t="shared" si="260"/>
        <v>0</v>
      </c>
      <c r="UAZ1590" s="55">
        <f t="shared" si="260"/>
        <v>0</v>
      </c>
      <c r="UBA1590" s="55">
        <f t="shared" si="260"/>
        <v>0</v>
      </c>
      <c r="UBB1590" s="55">
        <f t="shared" si="260"/>
        <v>0</v>
      </c>
      <c r="UBC1590" s="55">
        <f t="shared" si="260"/>
        <v>0</v>
      </c>
      <c r="UBD1590" s="55">
        <f t="shared" si="260"/>
        <v>0</v>
      </c>
      <c r="UBE1590" s="55">
        <f t="shared" si="260"/>
        <v>0</v>
      </c>
      <c r="UBF1590" s="55">
        <f t="shared" si="260"/>
        <v>0</v>
      </c>
      <c r="UBG1590" s="55">
        <f t="shared" si="260"/>
        <v>0</v>
      </c>
      <c r="UBH1590" s="55">
        <f t="shared" si="260"/>
        <v>0</v>
      </c>
      <c r="UBI1590" s="55">
        <f t="shared" si="260"/>
        <v>0</v>
      </c>
      <c r="UBJ1590" s="55">
        <f t="shared" si="260"/>
        <v>0</v>
      </c>
      <c r="UBK1590" s="55">
        <f t="shared" si="260"/>
        <v>0</v>
      </c>
      <c r="UBL1590" s="55">
        <f t="shared" si="260"/>
        <v>0</v>
      </c>
      <c r="UBM1590" s="55">
        <f t="shared" si="260"/>
        <v>0</v>
      </c>
      <c r="UBN1590" s="55">
        <f t="shared" si="260"/>
        <v>0</v>
      </c>
      <c r="UBO1590" s="55">
        <f t="shared" si="260"/>
        <v>0</v>
      </c>
      <c r="UBP1590" s="55">
        <f t="shared" si="260"/>
        <v>0</v>
      </c>
      <c r="UBQ1590" s="55">
        <f t="shared" si="260"/>
        <v>0</v>
      </c>
      <c r="UBR1590" s="55">
        <f t="shared" si="260"/>
        <v>0</v>
      </c>
      <c r="UBS1590" s="55">
        <f t="shared" si="260"/>
        <v>0</v>
      </c>
      <c r="UBT1590" s="55">
        <f t="shared" si="260"/>
        <v>0</v>
      </c>
      <c r="UBU1590" s="55">
        <f t="shared" si="260"/>
        <v>0</v>
      </c>
      <c r="UBV1590" s="55">
        <f t="shared" si="260"/>
        <v>0</v>
      </c>
      <c r="UBW1590" s="55">
        <f t="shared" si="260"/>
        <v>0</v>
      </c>
      <c r="UBX1590" s="55">
        <f t="shared" si="260"/>
        <v>0</v>
      </c>
      <c r="UBY1590" s="55">
        <f t="shared" si="260"/>
        <v>0</v>
      </c>
      <c r="UBZ1590" s="55">
        <f t="shared" si="260"/>
        <v>0</v>
      </c>
      <c r="UCA1590" s="55">
        <f t="shared" si="260"/>
        <v>0</v>
      </c>
      <c r="UCB1590" s="55">
        <f t="shared" si="260"/>
        <v>0</v>
      </c>
      <c r="UCC1590" s="55">
        <f t="shared" si="260"/>
        <v>0</v>
      </c>
      <c r="UCD1590" s="55">
        <f t="shared" si="260"/>
        <v>0</v>
      </c>
      <c r="UCE1590" s="55">
        <f t="shared" si="260"/>
        <v>0</v>
      </c>
      <c r="UCF1590" s="55">
        <f t="shared" si="260"/>
        <v>0</v>
      </c>
      <c r="UCG1590" s="55">
        <f t="shared" si="260"/>
        <v>0</v>
      </c>
      <c r="UCH1590" s="55">
        <f t="shared" si="260"/>
        <v>0</v>
      </c>
      <c r="UCI1590" s="55">
        <f t="shared" si="260"/>
        <v>0</v>
      </c>
      <c r="UCJ1590" s="55">
        <f t="shared" ref="UCJ1590:UEU1590" si="261">+(UCJ1600+UCJ1604)*1.18*1.1</f>
        <v>0</v>
      </c>
      <c r="UCK1590" s="55">
        <f t="shared" si="261"/>
        <v>0</v>
      </c>
      <c r="UCL1590" s="55">
        <f t="shared" si="261"/>
        <v>0</v>
      </c>
      <c r="UCM1590" s="55">
        <f t="shared" si="261"/>
        <v>0</v>
      </c>
      <c r="UCN1590" s="55">
        <f t="shared" si="261"/>
        <v>0</v>
      </c>
      <c r="UCO1590" s="55">
        <f t="shared" si="261"/>
        <v>0</v>
      </c>
      <c r="UCP1590" s="55">
        <f t="shared" si="261"/>
        <v>0</v>
      </c>
      <c r="UCQ1590" s="55">
        <f t="shared" si="261"/>
        <v>0</v>
      </c>
      <c r="UCR1590" s="55">
        <f t="shared" si="261"/>
        <v>0</v>
      </c>
      <c r="UCS1590" s="55">
        <f t="shared" si="261"/>
        <v>0</v>
      </c>
      <c r="UCT1590" s="55">
        <f t="shared" si="261"/>
        <v>0</v>
      </c>
      <c r="UCU1590" s="55">
        <f t="shared" si="261"/>
        <v>0</v>
      </c>
      <c r="UCV1590" s="55">
        <f t="shared" si="261"/>
        <v>0</v>
      </c>
      <c r="UCW1590" s="55">
        <f t="shared" si="261"/>
        <v>0</v>
      </c>
      <c r="UCX1590" s="55">
        <f t="shared" si="261"/>
        <v>0</v>
      </c>
      <c r="UCY1590" s="55">
        <f t="shared" si="261"/>
        <v>0</v>
      </c>
      <c r="UCZ1590" s="55">
        <f t="shared" si="261"/>
        <v>0</v>
      </c>
      <c r="UDA1590" s="55">
        <f t="shared" si="261"/>
        <v>0</v>
      </c>
      <c r="UDB1590" s="55">
        <f t="shared" si="261"/>
        <v>0</v>
      </c>
      <c r="UDC1590" s="55">
        <f t="shared" si="261"/>
        <v>0</v>
      </c>
      <c r="UDD1590" s="55">
        <f t="shared" si="261"/>
        <v>0</v>
      </c>
      <c r="UDE1590" s="55">
        <f t="shared" si="261"/>
        <v>0</v>
      </c>
      <c r="UDF1590" s="55">
        <f t="shared" si="261"/>
        <v>0</v>
      </c>
      <c r="UDG1590" s="55">
        <f t="shared" si="261"/>
        <v>0</v>
      </c>
      <c r="UDH1590" s="55">
        <f t="shared" si="261"/>
        <v>0</v>
      </c>
      <c r="UDI1590" s="55">
        <f t="shared" si="261"/>
        <v>0</v>
      </c>
      <c r="UDJ1590" s="55">
        <f t="shared" si="261"/>
        <v>0</v>
      </c>
      <c r="UDK1590" s="55">
        <f t="shared" si="261"/>
        <v>0</v>
      </c>
      <c r="UDL1590" s="55">
        <f t="shared" si="261"/>
        <v>0</v>
      </c>
      <c r="UDM1590" s="55">
        <f t="shared" si="261"/>
        <v>0</v>
      </c>
      <c r="UDN1590" s="55">
        <f t="shared" si="261"/>
        <v>0</v>
      </c>
      <c r="UDO1590" s="55">
        <f t="shared" si="261"/>
        <v>0</v>
      </c>
      <c r="UDP1590" s="55">
        <f t="shared" si="261"/>
        <v>0</v>
      </c>
      <c r="UDQ1590" s="55">
        <f t="shared" si="261"/>
        <v>0</v>
      </c>
      <c r="UDR1590" s="55">
        <f t="shared" si="261"/>
        <v>0</v>
      </c>
      <c r="UDS1590" s="55">
        <f t="shared" si="261"/>
        <v>0</v>
      </c>
      <c r="UDT1590" s="55">
        <f t="shared" si="261"/>
        <v>0</v>
      </c>
      <c r="UDU1590" s="55">
        <f t="shared" si="261"/>
        <v>0</v>
      </c>
      <c r="UDV1590" s="55">
        <f t="shared" si="261"/>
        <v>0</v>
      </c>
      <c r="UDW1590" s="55">
        <f t="shared" si="261"/>
        <v>0</v>
      </c>
      <c r="UDX1590" s="55">
        <f t="shared" si="261"/>
        <v>0</v>
      </c>
      <c r="UDY1590" s="55">
        <f t="shared" si="261"/>
        <v>0</v>
      </c>
      <c r="UDZ1590" s="55">
        <f t="shared" si="261"/>
        <v>0</v>
      </c>
      <c r="UEA1590" s="55">
        <f t="shared" si="261"/>
        <v>0</v>
      </c>
      <c r="UEB1590" s="55">
        <f t="shared" si="261"/>
        <v>0</v>
      </c>
      <c r="UEC1590" s="55">
        <f t="shared" si="261"/>
        <v>0</v>
      </c>
      <c r="UED1590" s="55">
        <f t="shared" si="261"/>
        <v>0</v>
      </c>
      <c r="UEE1590" s="55">
        <f t="shared" si="261"/>
        <v>0</v>
      </c>
      <c r="UEF1590" s="55">
        <f t="shared" si="261"/>
        <v>0</v>
      </c>
      <c r="UEG1590" s="55">
        <f t="shared" si="261"/>
        <v>0</v>
      </c>
      <c r="UEH1590" s="55">
        <f t="shared" si="261"/>
        <v>0</v>
      </c>
      <c r="UEI1590" s="55">
        <f t="shared" si="261"/>
        <v>0</v>
      </c>
      <c r="UEJ1590" s="55">
        <f t="shared" si="261"/>
        <v>0</v>
      </c>
      <c r="UEK1590" s="55">
        <f t="shared" si="261"/>
        <v>0</v>
      </c>
      <c r="UEL1590" s="55">
        <f t="shared" si="261"/>
        <v>0</v>
      </c>
      <c r="UEM1590" s="55">
        <f t="shared" si="261"/>
        <v>0</v>
      </c>
      <c r="UEN1590" s="55">
        <f t="shared" si="261"/>
        <v>0</v>
      </c>
      <c r="UEO1590" s="55">
        <f t="shared" si="261"/>
        <v>0</v>
      </c>
      <c r="UEP1590" s="55">
        <f t="shared" si="261"/>
        <v>0</v>
      </c>
      <c r="UEQ1590" s="55">
        <f t="shared" si="261"/>
        <v>0</v>
      </c>
      <c r="UER1590" s="55">
        <f t="shared" si="261"/>
        <v>0</v>
      </c>
      <c r="UES1590" s="55">
        <f t="shared" si="261"/>
        <v>0</v>
      </c>
      <c r="UET1590" s="55">
        <f t="shared" si="261"/>
        <v>0</v>
      </c>
      <c r="UEU1590" s="55">
        <f t="shared" si="261"/>
        <v>0</v>
      </c>
      <c r="UEV1590" s="55">
        <f t="shared" ref="UEV1590:UHG1590" si="262">+(UEV1600+UEV1604)*1.18*1.1</f>
        <v>0</v>
      </c>
      <c r="UEW1590" s="55">
        <f t="shared" si="262"/>
        <v>0</v>
      </c>
      <c r="UEX1590" s="55">
        <f t="shared" si="262"/>
        <v>0</v>
      </c>
      <c r="UEY1590" s="55">
        <f t="shared" si="262"/>
        <v>0</v>
      </c>
      <c r="UEZ1590" s="55">
        <f t="shared" si="262"/>
        <v>0</v>
      </c>
      <c r="UFA1590" s="55">
        <f t="shared" si="262"/>
        <v>0</v>
      </c>
      <c r="UFB1590" s="55">
        <f t="shared" si="262"/>
        <v>0</v>
      </c>
      <c r="UFC1590" s="55">
        <f t="shared" si="262"/>
        <v>0</v>
      </c>
      <c r="UFD1590" s="55">
        <f t="shared" si="262"/>
        <v>0</v>
      </c>
      <c r="UFE1590" s="55">
        <f t="shared" si="262"/>
        <v>0</v>
      </c>
      <c r="UFF1590" s="55">
        <f t="shared" si="262"/>
        <v>0</v>
      </c>
      <c r="UFG1590" s="55">
        <f t="shared" si="262"/>
        <v>0</v>
      </c>
      <c r="UFH1590" s="55">
        <f t="shared" si="262"/>
        <v>0</v>
      </c>
      <c r="UFI1590" s="55">
        <f t="shared" si="262"/>
        <v>0</v>
      </c>
      <c r="UFJ1590" s="55">
        <f t="shared" si="262"/>
        <v>0</v>
      </c>
      <c r="UFK1590" s="55">
        <f t="shared" si="262"/>
        <v>0</v>
      </c>
      <c r="UFL1590" s="55">
        <f t="shared" si="262"/>
        <v>0</v>
      </c>
      <c r="UFM1590" s="55">
        <f t="shared" si="262"/>
        <v>0</v>
      </c>
      <c r="UFN1590" s="55">
        <f t="shared" si="262"/>
        <v>0</v>
      </c>
      <c r="UFO1590" s="55">
        <f t="shared" si="262"/>
        <v>0</v>
      </c>
      <c r="UFP1590" s="55">
        <f t="shared" si="262"/>
        <v>0</v>
      </c>
      <c r="UFQ1590" s="55">
        <f t="shared" si="262"/>
        <v>0</v>
      </c>
      <c r="UFR1590" s="55">
        <f t="shared" si="262"/>
        <v>0</v>
      </c>
      <c r="UFS1590" s="55">
        <f t="shared" si="262"/>
        <v>0</v>
      </c>
      <c r="UFT1590" s="55">
        <f t="shared" si="262"/>
        <v>0</v>
      </c>
      <c r="UFU1590" s="55">
        <f t="shared" si="262"/>
        <v>0</v>
      </c>
      <c r="UFV1590" s="55">
        <f t="shared" si="262"/>
        <v>0</v>
      </c>
      <c r="UFW1590" s="55">
        <f t="shared" si="262"/>
        <v>0</v>
      </c>
      <c r="UFX1590" s="55">
        <f t="shared" si="262"/>
        <v>0</v>
      </c>
      <c r="UFY1590" s="55">
        <f t="shared" si="262"/>
        <v>0</v>
      </c>
      <c r="UFZ1590" s="55">
        <f t="shared" si="262"/>
        <v>0</v>
      </c>
      <c r="UGA1590" s="55">
        <f t="shared" si="262"/>
        <v>0</v>
      </c>
      <c r="UGB1590" s="55">
        <f t="shared" si="262"/>
        <v>0</v>
      </c>
      <c r="UGC1590" s="55">
        <f t="shared" si="262"/>
        <v>0</v>
      </c>
      <c r="UGD1590" s="55">
        <f t="shared" si="262"/>
        <v>0</v>
      </c>
      <c r="UGE1590" s="55">
        <f t="shared" si="262"/>
        <v>0</v>
      </c>
      <c r="UGF1590" s="55">
        <f t="shared" si="262"/>
        <v>0</v>
      </c>
      <c r="UGG1590" s="55">
        <f t="shared" si="262"/>
        <v>0</v>
      </c>
      <c r="UGH1590" s="55">
        <f t="shared" si="262"/>
        <v>0</v>
      </c>
      <c r="UGI1590" s="55">
        <f t="shared" si="262"/>
        <v>0</v>
      </c>
      <c r="UGJ1590" s="55">
        <f t="shared" si="262"/>
        <v>0</v>
      </c>
      <c r="UGK1590" s="55">
        <f t="shared" si="262"/>
        <v>0</v>
      </c>
      <c r="UGL1590" s="55">
        <f t="shared" si="262"/>
        <v>0</v>
      </c>
      <c r="UGM1590" s="55">
        <f t="shared" si="262"/>
        <v>0</v>
      </c>
      <c r="UGN1590" s="55">
        <f t="shared" si="262"/>
        <v>0</v>
      </c>
      <c r="UGO1590" s="55">
        <f t="shared" si="262"/>
        <v>0</v>
      </c>
      <c r="UGP1590" s="55">
        <f t="shared" si="262"/>
        <v>0</v>
      </c>
      <c r="UGQ1590" s="55">
        <f t="shared" si="262"/>
        <v>0</v>
      </c>
      <c r="UGR1590" s="55">
        <f t="shared" si="262"/>
        <v>0</v>
      </c>
      <c r="UGS1590" s="55">
        <f t="shared" si="262"/>
        <v>0</v>
      </c>
      <c r="UGT1590" s="55">
        <f t="shared" si="262"/>
        <v>0</v>
      </c>
      <c r="UGU1590" s="55">
        <f t="shared" si="262"/>
        <v>0</v>
      </c>
      <c r="UGV1590" s="55">
        <f t="shared" si="262"/>
        <v>0</v>
      </c>
      <c r="UGW1590" s="55">
        <f t="shared" si="262"/>
        <v>0</v>
      </c>
      <c r="UGX1590" s="55">
        <f t="shared" si="262"/>
        <v>0</v>
      </c>
      <c r="UGY1590" s="55">
        <f t="shared" si="262"/>
        <v>0</v>
      </c>
      <c r="UGZ1590" s="55">
        <f t="shared" si="262"/>
        <v>0</v>
      </c>
      <c r="UHA1590" s="55">
        <f t="shared" si="262"/>
        <v>0</v>
      </c>
      <c r="UHB1590" s="55">
        <f t="shared" si="262"/>
        <v>0</v>
      </c>
      <c r="UHC1590" s="55">
        <f t="shared" si="262"/>
        <v>0</v>
      </c>
      <c r="UHD1590" s="55">
        <f t="shared" si="262"/>
        <v>0</v>
      </c>
      <c r="UHE1590" s="55">
        <f t="shared" si="262"/>
        <v>0</v>
      </c>
      <c r="UHF1590" s="55">
        <f t="shared" si="262"/>
        <v>0</v>
      </c>
      <c r="UHG1590" s="55">
        <f t="shared" si="262"/>
        <v>0</v>
      </c>
      <c r="UHH1590" s="55">
        <f t="shared" ref="UHH1590:UJS1590" si="263">+(UHH1600+UHH1604)*1.18*1.1</f>
        <v>0</v>
      </c>
      <c r="UHI1590" s="55">
        <f t="shared" si="263"/>
        <v>0</v>
      </c>
      <c r="UHJ1590" s="55">
        <f t="shared" si="263"/>
        <v>0</v>
      </c>
      <c r="UHK1590" s="55">
        <f t="shared" si="263"/>
        <v>0</v>
      </c>
      <c r="UHL1590" s="55">
        <f t="shared" si="263"/>
        <v>0</v>
      </c>
      <c r="UHM1590" s="55">
        <f t="shared" si="263"/>
        <v>0</v>
      </c>
      <c r="UHN1590" s="55">
        <f t="shared" si="263"/>
        <v>0</v>
      </c>
      <c r="UHO1590" s="55">
        <f t="shared" si="263"/>
        <v>0</v>
      </c>
      <c r="UHP1590" s="55">
        <f t="shared" si="263"/>
        <v>0</v>
      </c>
      <c r="UHQ1590" s="55">
        <f t="shared" si="263"/>
        <v>0</v>
      </c>
      <c r="UHR1590" s="55">
        <f t="shared" si="263"/>
        <v>0</v>
      </c>
      <c r="UHS1590" s="55">
        <f t="shared" si="263"/>
        <v>0</v>
      </c>
      <c r="UHT1590" s="55">
        <f t="shared" si="263"/>
        <v>0</v>
      </c>
      <c r="UHU1590" s="55">
        <f t="shared" si="263"/>
        <v>0</v>
      </c>
      <c r="UHV1590" s="55">
        <f t="shared" si="263"/>
        <v>0</v>
      </c>
      <c r="UHW1590" s="55">
        <f t="shared" si="263"/>
        <v>0</v>
      </c>
      <c r="UHX1590" s="55">
        <f t="shared" si="263"/>
        <v>0</v>
      </c>
      <c r="UHY1590" s="55">
        <f t="shared" si="263"/>
        <v>0</v>
      </c>
      <c r="UHZ1590" s="55">
        <f t="shared" si="263"/>
        <v>0</v>
      </c>
      <c r="UIA1590" s="55">
        <f t="shared" si="263"/>
        <v>0</v>
      </c>
      <c r="UIB1590" s="55">
        <f t="shared" si="263"/>
        <v>0</v>
      </c>
      <c r="UIC1590" s="55">
        <f t="shared" si="263"/>
        <v>0</v>
      </c>
      <c r="UID1590" s="55">
        <f t="shared" si="263"/>
        <v>0</v>
      </c>
      <c r="UIE1590" s="55">
        <f t="shared" si="263"/>
        <v>0</v>
      </c>
      <c r="UIF1590" s="55">
        <f t="shared" si="263"/>
        <v>0</v>
      </c>
      <c r="UIG1590" s="55">
        <f t="shared" si="263"/>
        <v>0</v>
      </c>
      <c r="UIH1590" s="55">
        <f t="shared" si="263"/>
        <v>0</v>
      </c>
      <c r="UII1590" s="55">
        <f t="shared" si="263"/>
        <v>0</v>
      </c>
      <c r="UIJ1590" s="55">
        <f t="shared" si="263"/>
        <v>0</v>
      </c>
      <c r="UIK1590" s="55">
        <f t="shared" si="263"/>
        <v>0</v>
      </c>
      <c r="UIL1590" s="55">
        <f t="shared" si="263"/>
        <v>0</v>
      </c>
      <c r="UIM1590" s="55">
        <f t="shared" si="263"/>
        <v>0</v>
      </c>
      <c r="UIN1590" s="55">
        <f t="shared" si="263"/>
        <v>0</v>
      </c>
      <c r="UIO1590" s="55">
        <f t="shared" si="263"/>
        <v>0</v>
      </c>
      <c r="UIP1590" s="55">
        <f t="shared" si="263"/>
        <v>0</v>
      </c>
      <c r="UIQ1590" s="55">
        <f t="shared" si="263"/>
        <v>0</v>
      </c>
      <c r="UIR1590" s="55">
        <f t="shared" si="263"/>
        <v>0</v>
      </c>
      <c r="UIS1590" s="55">
        <f t="shared" si="263"/>
        <v>0</v>
      </c>
      <c r="UIT1590" s="55">
        <f t="shared" si="263"/>
        <v>0</v>
      </c>
      <c r="UIU1590" s="55">
        <f t="shared" si="263"/>
        <v>0</v>
      </c>
      <c r="UIV1590" s="55">
        <f t="shared" si="263"/>
        <v>0</v>
      </c>
      <c r="UIW1590" s="55">
        <f t="shared" si="263"/>
        <v>0</v>
      </c>
      <c r="UIX1590" s="55">
        <f t="shared" si="263"/>
        <v>0</v>
      </c>
      <c r="UIY1590" s="55">
        <f t="shared" si="263"/>
        <v>0</v>
      </c>
      <c r="UIZ1590" s="55">
        <f t="shared" si="263"/>
        <v>0</v>
      </c>
      <c r="UJA1590" s="55">
        <f t="shared" si="263"/>
        <v>0</v>
      </c>
      <c r="UJB1590" s="55">
        <f t="shared" si="263"/>
        <v>0</v>
      </c>
      <c r="UJC1590" s="55">
        <f t="shared" si="263"/>
        <v>0</v>
      </c>
      <c r="UJD1590" s="55">
        <f t="shared" si="263"/>
        <v>0</v>
      </c>
      <c r="UJE1590" s="55">
        <f t="shared" si="263"/>
        <v>0</v>
      </c>
      <c r="UJF1590" s="55">
        <f t="shared" si="263"/>
        <v>0</v>
      </c>
      <c r="UJG1590" s="55">
        <f t="shared" si="263"/>
        <v>0</v>
      </c>
      <c r="UJH1590" s="55">
        <f t="shared" si="263"/>
        <v>0</v>
      </c>
      <c r="UJI1590" s="55">
        <f t="shared" si="263"/>
        <v>0</v>
      </c>
      <c r="UJJ1590" s="55">
        <f t="shared" si="263"/>
        <v>0</v>
      </c>
      <c r="UJK1590" s="55">
        <f t="shared" si="263"/>
        <v>0</v>
      </c>
      <c r="UJL1590" s="55">
        <f t="shared" si="263"/>
        <v>0</v>
      </c>
      <c r="UJM1590" s="55">
        <f t="shared" si="263"/>
        <v>0</v>
      </c>
      <c r="UJN1590" s="55">
        <f t="shared" si="263"/>
        <v>0</v>
      </c>
      <c r="UJO1590" s="55">
        <f t="shared" si="263"/>
        <v>0</v>
      </c>
      <c r="UJP1590" s="55">
        <f t="shared" si="263"/>
        <v>0</v>
      </c>
      <c r="UJQ1590" s="55">
        <f t="shared" si="263"/>
        <v>0</v>
      </c>
      <c r="UJR1590" s="55">
        <f t="shared" si="263"/>
        <v>0</v>
      </c>
      <c r="UJS1590" s="55">
        <f t="shared" si="263"/>
        <v>0</v>
      </c>
      <c r="UJT1590" s="55">
        <f t="shared" ref="UJT1590:UME1590" si="264">+(UJT1600+UJT1604)*1.18*1.1</f>
        <v>0</v>
      </c>
      <c r="UJU1590" s="55">
        <f t="shared" si="264"/>
        <v>0</v>
      </c>
      <c r="UJV1590" s="55">
        <f t="shared" si="264"/>
        <v>0</v>
      </c>
      <c r="UJW1590" s="55">
        <f t="shared" si="264"/>
        <v>0</v>
      </c>
      <c r="UJX1590" s="55">
        <f t="shared" si="264"/>
        <v>0</v>
      </c>
      <c r="UJY1590" s="55">
        <f t="shared" si="264"/>
        <v>0</v>
      </c>
      <c r="UJZ1590" s="55">
        <f t="shared" si="264"/>
        <v>0</v>
      </c>
      <c r="UKA1590" s="55">
        <f t="shared" si="264"/>
        <v>0</v>
      </c>
      <c r="UKB1590" s="55">
        <f t="shared" si="264"/>
        <v>0</v>
      </c>
      <c r="UKC1590" s="55">
        <f t="shared" si="264"/>
        <v>0</v>
      </c>
      <c r="UKD1590" s="55">
        <f t="shared" si="264"/>
        <v>0</v>
      </c>
      <c r="UKE1590" s="55">
        <f t="shared" si="264"/>
        <v>0</v>
      </c>
      <c r="UKF1590" s="55">
        <f t="shared" si="264"/>
        <v>0</v>
      </c>
      <c r="UKG1590" s="55">
        <f t="shared" si="264"/>
        <v>0</v>
      </c>
      <c r="UKH1590" s="55">
        <f t="shared" si="264"/>
        <v>0</v>
      </c>
      <c r="UKI1590" s="55">
        <f t="shared" si="264"/>
        <v>0</v>
      </c>
      <c r="UKJ1590" s="55">
        <f t="shared" si="264"/>
        <v>0</v>
      </c>
      <c r="UKK1590" s="55">
        <f t="shared" si="264"/>
        <v>0</v>
      </c>
      <c r="UKL1590" s="55">
        <f t="shared" si="264"/>
        <v>0</v>
      </c>
      <c r="UKM1590" s="55">
        <f t="shared" si="264"/>
        <v>0</v>
      </c>
      <c r="UKN1590" s="55">
        <f t="shared" si="264"/>
        <v>0</v>
      </c>
      <c r="UKO1590" s="55">
        <f t="shared" si="264"/>
        <v>0</v>
      </c>
      <c r="UKP1590" s="55">
        <f t="shared" si="264"/>
        <v>0</v>
      </c>
      <c r="UKQ1590" s="55">
        <f t="shared" si="264"/>
        <v>0</v>
      </c>
      <c r="UKR1590" s="55">
        <f t="shared" si="264"/>
        <v>0</v>
      </c>
      <c r="UKS1590" s="55">
        <f t="shared" si="264"/>
        <v>0</v>
      </c>
      <c r="UKT1590" s="55">
        <f t="shared" si="264"/>
        <v>0</v>
      </c>
      <c r="UKU1590" s="55">
        <f t="shared" si="264"/>
        <v>0</v>
      </c>
      <c r="UKV1590" s="55">
        <f t="shared" si="264"/>
        <v>0</v>
      </c>
      <c r="UKW1590" s="55">
        <f t="shared" si="264"/>
        <v>0</v>
      </c>
      <c r="UKX1590" s="55">
        <f t="shared" si="264"/>
        <v>0</v>
      </c>
      <c r="UKY1590" s="55">
        <f t="shared" si="264"/>
        <v>0</v>
      </c>
      <c r="UKZ1590" s="55">
        <f t="shared" si="264"/>
        <v>0</v>
      </c>
      <c r="ULA1590" s="55">
        <f t="shared" si="264"/>
        <v>0</v>
      </c>
      <c r="ULB1590" s="55">
        <f t="shared" si="264"/>
        <v>0</v>
      </c>
      <c r="ULC1590" s="55">
        <f t="shared" si="264"/>
        <v>0</v>
      </c>
      <c r="ULD1590" s="55">
        <f t="shared" si="264"/>
        <v>0</v>
      </c>
      <c r="ULE1590" s="55">
        <f t="shared" si="264"/>
        <v>0</v>
      </c>
      <c r="ULF1590" s="55">
        <f t="shared" si="264"/>
        <v>0</v>
      </c>
      <c r="ULG1590" s="55">
        <f t="shared" si="264"/>
        <v>0</v>
      </c>
      <c r="ULH1590" s="55">
        <f t="shared" si="264"/>
        <v>0</v>
      </c>
      <c r="ULI1590" s="55">
        <f t="shared" si="264"/>
        <v>0</v>
      </c>
      <c r="ULJ1590" s="55">
        <f t="shared" si="264"/>
        <v>0</v>
      </c>
      <c r="ULK1590" s="55">
        <f t="shared" si="264"/>
        <v>0</v>
      </c>
      <c r="ULL1590" s="55">
        <f t="shared" si="264"/>
        <v>0</v>
      </c>
      <c r="ULM1590" s="55">
        <f t="shared" si="264"/>
        <v>0</v>
      </c>
      <c r="ULN1590" s="55">
        <f t="shared" si="264"/>
        <v>0</v>
      </c>
      <c r="ULO1590" s="55">
        <f t="shared" si="264"/>
        <v>0</v>
      </c>
      <c r="ULP1590" s="55">
        <f t="shared" si="264"/>
        <v>0</v>
      </c>
      <c r="ULQ1590" s="55">
        <f t="shared" si="264"/>
        <v>0</v>
      </c>
      <c r="ULR1590" s="55">
        <f t="shared" si="264"/>
        <v>0</v>
      </c>
      <c r="ULS1590" s="55">
        <f t="shared" si="264"/>
        <v>0</v>
      </c>
      <c r="ULT1590" s="55">
        <f t="shared" si="264"/>
        <v>0</v>
      </c>
      <c r="ULU1590" s="55">
        <f t="shared" si="264"/>
        <v>0</v>
      </c>
      <c r="ULV1590" s="55">
        <f t="shared" si="264"/>
        <v>0</v>
      </c>
      <c r="ULW1590" s="55">
        <f t="shared" si="264"/>
        <v>0</v>
      </c>
      <c r="ULX1590" s="55">
        <f t="shared" si="264"/>
        <v>0</v>
      </c>
      <c r="ULY1590" s="55">
        <f t="shared" si="264"/>
        <v>0</v>
      </c>
      <c r="ULZ1590" s="55">
        <f t="shared" si="264"/>
        <v>0</v>
      </c>
      <c r="UMA1590" s="55">
        <f t="shared" si="264"/>
        <v>0</v>
      </c>
      <c r="UMB1590" s="55">
        <f t="shared" si="264"/>
        <v>0</v>
      </c>
      <c r="UMC1590" s="55">
        <f t="shared" si="264"/>
        <v>0</v>
      </c>
      <c r="UMD1590" s="55">
        <f t="shared" si="264"/>
        <v>0</v>
      </c>
      <c r="UME1590" s="55">
        <f t="shared" si="264"/>
        <v>0</v>
      </c>
      <c r="UMF1590" s="55">
        <f t="shared" ref="UMF1590:UOQ1590" si="265">+(UMF1600+UMF1604)*1.18*1.1</f>
        <v>0</v>
      </c>
      <c r="UMG1590" s="55">
        <f t="shared" si="265"/>
        <v>0</v>
      </c>
      <c r="UMH1590" s="55">
        <f t="shared" si="265"/>
        <v>0</v>
      </c>
      <c r="UMI1590" s="55">
        <f t="shared" si="265"/>
        <v>0</v>
      </c>
      <c r="UMJ1590" s="55">
        <f t="shared" si="265"/>
        <v>0</v>
      </c>
      <c r="UMK1590" s="55">
        <f t="shared" si="265"/>
        <v>0</v>
      </c>
      <c r="UML1590" s="55">
        <f t="shared" si="265"/>
        <v>0</v>
      </c>
      <c r="UMM1590" s="55">
        <f t="shared" si="265"/>
        <v>0</v>
      </c>
      <c r="UMN1590" s="55">
        <f t="shared" si="265"/>
        <v>0</v>
      </c>
      <c r="UMO1590" s="55">
        <f t="shared" si="265"/>
        <v>0</v>
      </c>
      <c r="UMP1590" s="55">
        <f t="shared" si="265"/>
        <v>0</v>
      </c>
      <c r="UMQ1590" s="55">
        <f t="shared" si="265"/>
        <v>0</v>
      </c>
      <c r="UMR1590" s="55">
        <f t="shared" si="265"/>
        <v>0</v>
      </c>
      <c r="UMS1590" s="55">
        <f t="shared" si="265"/>
        <v>0</v>
      </c>
      <c r="UMT1590" s="55">
        <f t="shared" si="265"/>
        <v>0</v>
      </c>
      <c r="UMU1590" s="55">
        <f t="shared" si="265"/>
        <v>0</v>
      </c>
      <c r="UMV1590" s="55">
        <f t="shared" si="265"/>
        <v>0</v>
      </c>
      <c r="UMW1590" s="55">
        <f t="shared" si="265"/>
        <v>0</v>
      </c>
      <c r="UMX1590" s="55">
        <f t="shared" si="265"/>
        <v>0</v>
      </c>
      <c r="UMY1590" s="55">
        <f t="shared" si="265"/>
        <v>0</v>
      </c>
      <c r="UMZ1590" s="55">
        <f t="shared" si="265"/>
        <v>0</v>
      </c>
      <c r="UNA1590" s="55">
        <f t="shared" si="265"/>
        <v>0</v>
      </c>
      <c r="UNB1590" s="55">
        <f t="shared" si="265"/>
        <v>0</v>
      </c>
      <c r="UNC1590" s="55">
        <f t="shared" si="265"/>
        <v>0</v>
      </c>
      <c r="UND1590" s="55">
        <f t="shared" si="265"/>
        <v>0</v>
      </c>
      <c r="UNE1590" s="55">
        <f t="shared" si="265"/>
        <v>0</v>
      </c>
      <c r="UNF1590" s="55">
        <f t="shared" si="265"/>
        <v>0</v>
      </c>
      <c r="UNG1590" s="55">
        <f t="shared" si="265"/>
        <v>0</v>
      </c>
      <c r="UNH1590" s="55">
        <f t="shared" si="265"/>
        <v>0</v>
      </c>
      <c r="UNI1590" s="55">
        <f t="shared" si="265"/>
        <v>0</v>
      </c>
      <c r="UNJ1590" s="55">
        <f t="shared" si="265"/>
        <v>0</v>
      </c>
      <c r="UNK1590" s="55">
        <f t="shared" si="265"/>
        <v>0</v>
      </c>
      <c r="UNL1590" s="55">
        <f t="shared" si="265"/>
        <v>0</v>
      </c>
      <c r="UNM1590" s="55">
        <f t="shared" si="265"/>
        <v>0</v>
      </c>
      <c r="UNN1590" s="55">
        <f t="shared" si="265"/>
        <v>0</v>
      </c>
      <c r="UNO1590" s="55">
        <f t="shared" si="265"/>
        <v>0</v>
      </c>
      <c r="UNP1590" s="55">
        <f t="shared" si="265"/>
        <v>0</v>
      </c>
      <c r="UNQ1590" s="55">
        <f t="shared" si="265"/>
        <v>0</v>
      </c>
      <c r="UNR1590" s="55">
        <f t="shared" si="265"/>
        <v>0</v>
      </c>
      <c r="UNS1590" s="55">
        <f t="shared" si="265"/>
        <v>0</v>
      </c>
      <c r="UNT1590" s="55">
        <f t="shared" si="265"/>
        <v>0</v>
      </c>
      <c r="UNU1590" s="55">
        <f t="shared" si="265"/>
        <v>0</v>
      </c>
      <c r="UNV1590" s="55">
        <f t="shared" si="265"/>
        <v>0</v>
      </c>
      <c r="UNW1590" s="55">
        <f t="shared" si="265"/>
        <v>0</v>
      </c>
      <c r="UNX1590" s="55">
        <f t="shared" si="265"/>
        <v>0</v>
      </c>
      <c r="UNY1590" s="55">
        <f t="shared" si="265"/>
        <v>0</v>
      </c>
      <c r="UNZ1590" s="55">
        <f t="shared" si="265"/>
        <v>0</v>
      </c>
      <c r="UOA1590" s="55">
        <f t="shared" si="265"/>
        <v>0</v>
      </c>
      <c r="UOB1590" s="55">
        <f t="shared" si="265"/>
        <v>0</v>
      </c>
      <c r="UOC1590" s="55">
        <f t="shared" si="265"/>
        <v>0</v>
      </c>
      <c r="UOD1590" s="55">
        <f t="shared" si="265"/>
        <v>0</v>
      </c>
      <c r="UOE1590" s="55">
        <f t="shared" si="265"/>
        <v>0</v>
      </c>
      <c r="UOF1590" s="55">
        <f t="shared" si="265"/>
        <v>0</v>
      </c>
      <c r="UOG1590" s="55">
        <f t="shared" si="265"/>
        <v>0</v>
      </c>
      <c r="UOH1590" s="55">
        <f t="shared" si="265"/>
        <v>0</v>
      </c>
      <c r="UOI1590" s="55">
        <f t="shared" si="265"/>
        <v>0</v>
      </c>
      <c r="UOJ1590" s="55">
        <f t="shared" si="265"/>
        <v>0</v>
      </c>
      <c r="UOK1590" s="55">
        <f t="shared" si="265"/>
        <v>0</v>
      </c>
      <c r="UOL1590" s="55">
        <f t="shared" si="265"/>
        <v>0</v>
      </c>
      <c r="UOM1590" s="55">
        <f t="shared" si="265"/>
        <v>0</v>
      </c>
      <c r="UON1590" s="55">
        <f t="shared" si="265"/>
        <v>0</v>
      </c>
      <c r="UOO1590" s="55">
        <f t="shared" si="265"/>
        <v>0</v>
      </c>
      <c r="UOP1590" s="55">
        <f t="shared" si="265"/>
        <v>0</v>
      </c>
      <c r="UOQ1590" s="55">
        <f t="shared" si="265"/>
        <v>0</v>
      </c>
      <c r="UOR1590" s="55">
        <f t="shared" ref="UOR1590:URC1590" si="266">+(UOR1600+UOR1604)*1.18*1.1</f>
        <v>0</v>
      </c>
      <c r="UOS1590" s="55">
        <f t="shared" si="266"/>
        <v>0</v>
      </c>
      <c r="UOT1590" s="55">
        <f t="shared" si="266"/>
        <v>0</v>
      </c>
      <c r="UOU1590" s="55">
        <f t="shared" si="266"/>
        <v>0</v>
      </c>
      <c r="UOV1590" s="55">
        <f t="shared" si="266"/>
        <v>0</v>
      </c>
      <c r="UOW1590" s="55">
        <f t="shared" si="266"/>
        <v>0</v>
      </c>
      <c r="UOX1590" s="55">
        <f t="shared" si="266"/>
        <v>0</v>
      </c>
      <c r="UOY1590" s="55">
        <f t="shared" si="266"/>
        <v>0</v>
      </c>
      <c r="UOZ1590" s="55">
        <f t="shared" si="266"/>
        <v>0</v>
      </c>
      <c r="UPA1590" s="55">
        <f t="shared" si="266"/>
        <v>0</v>
      </c>
      <c r="UPB1590" s="55">
        <f t="shared" si="266"/>
        <v>0</v>
      </c>
      <c r="UPC1590" s="55">
        <f t="shared" si="266"/>
        <v>0</v>
      </c>
      <c r="UPD1590" s="55">
        <f t="shared" si="266"/>
        <v>0</v>
      </c>
      <c r="UPE1590" s="55">
        <f t="shared" si="266"/>
        <v>0</v>
      </c>
      <c r="UPF1590" s="55">
        <f t="shared" si="266"/>
        <v>0</v>
      </c>
      <c r="UPG1590" s="55">
        <f t="shared" si="266"/>
        <v>0</v>
      </c>
      <c r="UPH1590" s="55">
        <f t="shared" si="266"/>
        <v>0</v>
      </c>
      <c r="UPI1590" s="55">
        <f t="shared" si="266"/>
        <v>0</v>
      </c>
      <c r="UPJ1590" s="55">
        <f t="shared" si="266"/>
        <v>0</v>
      </c>
      <c r="UPK1590" s="55">
        <f t="shared" si="266"/>
        <v>0</v>
      </c>
      <c r="UPL1590" s="55">
        <f t="shared" si="266"/>
        <v>0</v>
      </c>
      <c r="UPM1590" s="55">
        <f t="shared" si="266"/>
        <v>0</v>
      </c>
      <c r="UPN1590" s="55">
        <f t="shared" si="266"/>
        <v>0</v>
      </c>
      <c r="UPO1590" s="55">
        <f t="shared" si="266"/>
        <v>0</v>
      </c>
      <c r="UPP1590" s="55">
        <f t="shared" si="266"/>
        <v>0</v>
      </c>
      <c r="UPQ1590" s="55">
        <f t="shared" si="266"/>
        <v>0</v>
      </c>
      <c r="UPR1590" s="55">
        <f t="shared" si="266"/>
        <v>0</v>
      </c>
      <c r="UPS1590" s="55">
        <f t="shared" si="266"/>
        <v>0</v>
      </c>
      <c r="UPT1590" s="55">
        <f t="shared" si="266"/>
        <v>0</v>
      </c>
      <c r="UPU1590" s="55">
        <f t="shared" si="266"/>
        <v>0</v>
      </c>
      <c r="UPV1590" s="55">
        <f t="shared" si="266"/>
        <v>0</v>
      </c>
      <c r="UPW1590" s="55">
        <f t="shared" si="266"/>
        <v>0</v>
      </c>
      <c r="UPX1590" s="55">
        <f t="shared" si="266"/>
        <v>0</v>
      </c>
      <c r="UPY1590" s="55">
        <f t="shared" si="266"/>
        <v>0</v>
      </c>
      <c r="UPZ1590" s="55">
        <f t="shared" si="266"/>
        <v>0</v>
      </c>
      <c r="UQA1590" s="55">
        <f t="shared" si="266"/>
        <v>0</v>
      </c>
      <c r="UQB1590" s="55">
        <f t="shared" si="266"/>
        <v>0</v>
      </c>
      <c r="UQC1590" s="55">
        <f t="shared" si="266"/>
        <v>0</v>
      </c>
      <c r="UQD1590" s="55">
        <f t="shared" si="266"/>
        <v>0</v>
      </c>
      <c r="UQE1590" s="55">
        <f t="shared" si="266"/>
        <v>0</v>
      </c>
      <c r="UQF1590" s="55">
        <f t="shared" si="266"/>
        <v>0</v>
      </c>
      <c r="UQG1590" s="55">
        <f t="shared" si="266"/>
        <v>0</v>
      </c>
      <c r="UQH1590" s="55">
        <f t="shared" si="266"/>
        <v>0</v>
      </c>
      <c r="UQI1590" s="55">
        <f t="shared" si="266"/>
        <v>0</v>
      </c>
      <c r="UQJ1590" s="55">
        <f t="shared" si="266"/>
        <v>0</v>
      </c>
      <c r="UQK1590" s="55">
        <f t="shared" si="266"/>
        <v>0</v>
      </c>
      <c r="UQL1590" s="55">
        <f t="shared" si="266"/>
        <v>0</v>
      </c>
      <c r="UQM1590" s="55">
        <f t="shared" si="266"/>
        <v>0</v>
      </c>
      <c r="UQN1590" s="55">
        <f t="shared" si="266"/>
        <v>0</v>
      </c>
      <c r="UQO1590" s="55">
        <f t="shared" si="266"/>
        <v>0</v>
      </c>
      <c r="UQP1590" s="55">
        <f t="shared" si="266"/>
        <v>0</v>
      </c>
      <c r="UQQ1590" s="55">
        <f t="shared" si="266"/>
        <v>0</v>
      </c>
      <c r="UQR1590" s="55">
        <f t="shared" si="266"/>
        <v>0</v>
      </c>
      <c r="UQS1590" s="55">
        <f t="shared" si="266"/>
        <v>0</v>
      </c>
      <c r="UQT1590" s="55">
        <f t="shared" si="266"/>
        <v>0</v>
      </c>
      <c r="UQU1590" s="55">
        <f t="shared" si="266"/>
        <v>0</v>
      </c>
      <c r="UQV1590" s="55">
        <f t="shared" si="266"/>
        <v>0</v>
      </c>
      <c r="UQW1590" s="55">
        <f t="shared" si="266"/>
        <v>0</v>
      </c>
      <c r="UQX1590" s="55">
        <f t="shared" si="266"/>
        <v>0</v>
      </c>
      <c r="UQY1590" s="55">
        <f t="shared" si="266"/>
        <v>0</v>
      </c>
      <c r="UQZ1590" s="55">
        <f t="shared" si="266"/>
        <v>0</v>
      </c>
      <c r="URA1590" s="55">
        <f t="shared" si="266"/>
        <v>0</v>
      </c>
      <c r="URB1590" s="55">
        <f t="shared" si="266"/>
        <v>0</v>
      </c>
      <c r="URC1590" s="55">
        <f t="shared" si="266"/>
        <v>0</v>
      </c>
      <c r="URD1590" s="55">
        <f t="shared" ref="URD1590:UTO1590" si="267">+(URD1600+URD1604)*1.18*1.1</f>
        <v>0</v>
      </c>
      <c r="URE1590" s="55">
        <f t="shared" si="267"/>
        <v>0</v>
      </c>
      <c r="URF1590" s="55">
        <f t="shared" si="267"/>
        <v>0</v>
      </c>
      <c r="URG1590" s="55">
        <f t="shared" si="267"/>
        <v>0</v>
      </c>
      <c r="URH1590" s="55">
        <f t="shared" si="267"/>
        <v>0</v>
      </c>
      <c r="URI1590" s="55">
        <f t="shared" si="267"/>
        <v>0</v>
      </c>
      <c r="URJ1590" s="55">
        <f t="shared" si="267"/>
        <v>0</v>
      </c>
      <c r="URK1590" s="55">
        <f t="shared" si="267"/>
        <v>0</v>
      </c>
      <c r="URL1590" s="55">
        <f t="shared" si="267"/>
        <v>0</v>
      </c>
      <c r="URM1590" s="55">
        <f t="shared" si="267"/>
        <v>0</v>
      </c>
      <c r="URN1590" s="55">
        <f t="shared" si="267"/>
        <v>0</v>
      </c>
      <c r="URO1590" s="55">
        <f t="shared" si="267"/>
        <v>0</v>
      </c>
      <c r="URP1590" s="55">
        <f t="shared" si="267"/>
        <v>0</v>
      </c>
      <c r="URQ1590" s="55">
        <f t="shared" si="267"/>
        <v>0</v>
      </c>
      <c r="URR1590" s="55">
        <f t="shared" si="267"/>
        <v>0</v>
      </c>
      <c r="URS1590" s="55">
        <f t="shared" si="267"/>
        <v>0</v>
      </c>
      <c r="URT1590" s="55">
        <f t="shared" si="267"/>
        <v>0</v>
      </c>
      <c r="URU1590" s="55">
        <f t="shared" si="267"/>
        <v>0</v>
      </c>
      <c r="URV1590" s="55">
        <f t="shared" si="267"/>
        <v>0</v>
      </c>
      <c r="URW1590" s="55">
        <f t="shared" si="267"/>
        <v>0</v>
      </c>
      <c r="URX1590" s="55">
        <f t="shared" si="267"/>
        <v>0</v>
      </c>
      <c r="URY1590" s="55">
        <f t="shared" si="267"/>
        <v>0</v>
      </c>
      <c r="URZ1590" s="55">
        <f t="shared" si="267"/>
        <v>0</v>
      </c>
      <c r="USA1590" s="55">
        <f t="shared" si="267"/>
        <v>0</v>
      </c>
      <c r="USB1590" s="55">
        <f t="shared" si="267"/>
        <v>0</v>
      </c>
      <c r="USC1590" s="55">
        <f t="shared" si="267"/>
        <v>0</v>
      </c>
      <c r="USD1590" s="55">
        <f t="shared" si="267"/>
        <v>0</v>
      </c>
      <c r="USE1590" s="55">
        <f t="shared" si="267"/>
        <v>0</v>
      </c>
      <c r="USF1590" s="55">
        <f t="shared" si="267"/>
        <v>0</v>
      </c>
      <c r="USG1590" s="55">
        <f t="shared" si="267"/>
        <v>0</v>
      </c>
      <c r="USH1590" s="55">
        <f t="shared" si="267"/>
        <v>0</v>
      </c>
      <c r="USI1590" s="55">
        <f t="shared" si="267"/>
        <v>0</v>
      </c>
      <c r="USJ1590" s="55">
        <f t="shared" si="267"/>
        <v>0</v>
      </c>
      <c r="USK1590" s="55">
        <f t="shared" si="267"/>
        <v>0</v>
      </c>
      <c r="USL1590" s="55">
        <f t="shared" si="267"/>
        <v>0</v>
      </c>
      <c r="USM1590" s="55">
        <f t="shared" si="267"/>
        <v>0</v>
      </c>
      <c r="USN1590" s="55">
        <f t="shared" si="267"/>
        <v>0</v>
      </c>
      <c r="USO1590" s="55">
        <f t="shared" si="267"/>
        <v>0</v>
      </c>
      <c r="USP1590" s="55">
        <f t="shared" si="267"/>
        <v>0</v>
      </c>
      <c r="USQ1590" s="55">
        <f t="shared" si="267"/>
        <v>0</v>
      </c>
      <c r="USR1590" s="55">
        <f t="shared" si="267"/>
        <v>0</v>
      </c>
      <c r="USS1590" s="55">
        <f t="shared" si="267"/>
        <v>0</v>
      </c>
      <c r="UST1590" s="55">
        <f t="shared" si="267"/>
        <v>0</v>
      </c>
      <c r="USU1590" s="55">
        <f t="shared" si="267"/>
        <v>0</v>
      </c>
      <c r="USV1590" s="55">
        <f t="shared" si="267"/>
        <v>0</v>
      </c>
      <c r="USW1590" s="55">
        <f t="shared" si="267"/>
        <v>0</v>
      </c>
      <c r="USX1590" s="55">
        <f t="shared" si="267"/>
        <v>0</v>
      </c>
      <c r="USY1590" s="55">
        <f t="shared" si="267"/>
        <v>0</v>
      </c>
      <c r="USZ1590" s="55">
        <f t="shared" si="267"/>
        <v>0</v>
      </c>
      <c r="UTA1590" s="55">
        <f t="shared" si="267"/>
        <v>0</v>
      </c>
      <c r="UTB1590" s="55">
        <f t="shared" si="267"/>
        <v>0</v>
      </c>
      <c r="UTC1590" s="55">
        <f t="shared" si="267"/>
        <v>0</v>
      </c>
      <c r="UTD1590" s="55">
        <f t="shared" si="267"/>
        <v>0</v>
      </c>
      <c r="UTE1590" s="55">
        <f t="shared" si="267"/>
        <v>0</v>
      </c>
      <c r="UTF1590" s="55">
        <f t="shared" si="267"/>
        <v>0</v>
      </c>
      <c r="UTG1590" s="55">
        <f t="shared" si="267"/>
        <v>0</v>
      </c>
      <c r="UTH1590" s="55">
        <f t="shared" si="267"/>
        <v>0</v>
      </c>
      <c r="UTI1590" s="55">
        <f t="shared" si="267"/>
        <v>0</v>
      </c>
      <c r="UTJ1590" s="55">
        <f t="shared" si="267"/>
        <v>0</v>
      </c>
      <c r="UTK1590" s="55">
        <f t="shared" si="267"/>
        <v>0</v>
      </c>
      <c r="UTL1590" s="55">
        <f t="shared" si="267"/>
        <v>0</v>
      </c>
      <c r="UTM1590" s="55">
        <f t="shared" si="267"/>
        <v>0</v>
      </c>
      <c r="UTN1590" s="55">
        <f t="shared" si="267"/>
        <v>0</v>
      </c>
      <c r="UTO1590" s="55">
        <f t="shared" si="267"/>
        <v>0</v>
      </c>
      <c r="UTP1590" s="55">
        <f t="shared" ref="UTP1590:UWA1590" si="268">+(UTP1600+UTP1604)*1.18*1.1</f>
        <v>0</v>
      </c>
      <c r="UTQ1590" s="55">
        <f t="shared" si="268"/>
        <v>0</v>
      </c>
      <c r="UTR1590" s="55">
        <f t="shared" si="268"/>
        <v>0</v>
      </c>
      <c r="UTS1590" s="55">
        <f t="shared" si="268"/>
        <v>0</v>
      </c>
      <c r="UTT1590" s="55">
        <f t="shared" si="268"/>
        <v>0</v>
      </c>
      <c r="UTU1590" s="55">
        <f t="shared" si="268"/>
        <v>0</v>
      </c>
      <c r="UTV1590" s="55">
        <f t="shared" si="268"/>
        <v>0</v>
      </c>
      <c r="UTW1590" s="55">
        <f t="shared" si="268"/>
        <v>0</v>
      </c>
      <c r="UTX1590" s="55">
        <f t="shared" si="268"/>
        <v>0</v>
      </c>
      <c r="UTY1590" s="55">
        <f t="shared" si="268"/>
        <v>0</v>
      </c>
      <c r="UTZ1590" s="55">
        <f t="shared" si="268"/>
        <v>0</v>
      </c>
      <c r="UUA1590" s="55">
        <f t="shared" si="268"/>
        <v>0</v>
      </c>
      <c r="UUB1590" s="55">
        <f t="shared" si="268"/>
        <v>0</v>
      </c>
      <c r="UUC1590" s="55">
        <f t="shared" si="268"/>
        <v>0</v>
      </c>
      <c r="UUD1590" s="55">
        <f t="shared" si="268"/>
        <v>0</v>
      </c>
      <c r="UUE1590" s="55">
        <f t="shared" si="268"/>
        <v>0</v>
      </c>
      <c r="UUF1590" s="55">
        <f t="shared" si="268"/>
        <v>0</v>
      </c>
      <c r="UUG1590" s="55">
        <f t="shared" si="268"/>
        <v>0</v>
      </c>
      <c r="UUH1590" s="55">
        <f t="shared" si="268"/>
        <v>0</v>
      </c>
      <c r="UUI1590" s="55">
        <f t="shared" si="268"/>
        <v>0</v>
      </c>
      <c r="UUJ1590" s="55">
        <f t="shared" si="268"/>
        <v>0</v>
      </c>
      <c r="UUK1590" s="55">
        <f t="shared" si="268"/>
        <v>0</v>
      </c>
      <c r="UUL1590" s="55">
        <f t="shared" si="268"/>
        <v>0</v>
      </c>
      <c r="UUM1590" s="55">
        <f t="shared" si="268"/>
        <v>0</v>
      </c>
      <c r="UUN1590" s="55">
        <f t="shared" si="268"/>
        <v>0</v>
      </c>
      <c r="UUO1590" s="55">
        <f t="shared" si="268"/>
        <v>0</v>
      </c>
      <c r="UUP1590" s="55">
        <f t="shared" si="268"/>
        <v>0</v>
      </c>
      <c r="UUQ1590" s="55">
        <f t="shared" si="268"/>
        <v>0</v>
      </c>
      <c r="UUR1590" s="55">
        <f t="shared" si="268"/>
        <v>0</v>
      </c>
      <c r="UUS1590" s="55">
        <f t="shared" si="268"/>
        <v>0</v>
      </c>
      <c r="UUT1590" s="55">
        <f t="shared" si="268"/>
        <v>0</v>
      </c>
      <c r="UUU1590" s="55">
        <f t="shared" si="268"/>
        <v>0</v>
      </c>
      <c r="UUV1590" s="55">
        <f t="shared" si="268"/>
        <v>0</v>
      </c>
      <c r="UUW1590" s="55">
        <f t="shared" si="268"/>
        <v>0</v>
      </c>
      <c r="UUX1590" s="55">
        <f t="shared" si="268"/>
        <v>0</v>
      </c>
      <c r="UUY1590" s="55">
        <f t="shared" si="268"/>
        <v>0</v>
      </c>
      <c r="UUZ1590" s="55">
        <f t="shared" si="268"/>
        <v>0</v>
      </c>
      <c r="UVA1590" s="55">
        <f t="shared" si="268"/>
        <v>0</v>
      </c>
      <c r="UVB1590" s="55">
        <f t="shared" si="268"/>
        <v>0</v>
      </c>
      <c r="UVC1590" s="55">
        <f t="shared" si="268"/>
        <v>0</v>
      </c>
      <c r="UVD1590" s="55">
        <f t="shared" si="268"/>
        <v>0</v>
      </c>
      <c r="UVE1590" s="55">
        <f t="shared" si="268"/>
        <v>0</v>
      </c>
      <c r="UVF1590" s="55">
        <f t="shared" si="268"/>
        <v>0</v>
      </c>
      <c r="UVG1590" s="55">
        <f t="shared" si="268"/>
        <v>0</v>
      </c>
      <c r="UVH1590" s="55">
        <f t="shared" si="268"/>
        <v>0</v>
      </c>
      <c r="UVI1590" s="55">
        <f t="shared" si="268"/>
        <v>0</v>
      </c>
      <c r="UVJ1590" s="55">
        <f t="shared" si="268"/>
        <v>0</v>
      </c>
      <c r="UVK1590" s="55">
        <f t="shared" si="268"/>
        <v>0</v>
      </c>
      <c r="UVL1590" s="55">
        <f t="shared" si="268"/>
        <v>0</v>
      </c>
      <c r="UVM1590" s="55">
        <f t="shared" si="268"/>
        <v>0</v>
      </c>
      <c r="UVN1590" s="55">
        <f t="shared" si="268"/>
        <v>0</v>
      </c>
      <c r="UVO1590" s="55">
        <f t="shared" si="268"/>
        <v>0</v>
      </c>
      <c r="UVP1590" s="55">
        <f t="shared" si="268"/>
        <v>0</v>
      </c>
      <c r="UVQ1590" s="55">
        <f t="shared" si="268"/>
        <v>0</v>
      </c>
      <c r="UVR1590" s="55">
        <f t="shared" si="268"/>
        <v>0</v>
      </c>
      <c r="UVS1590" s="55">
        <f t="shared" si="268"/>
        <v>0</v>
      </c>
      <c r="UVT1590" s="55">
        <f t="shared" si="268"/>
        <v>0</v>
      </c>
      <c r="UVU1590" s="55">
        <f t="shared" si="268"/>
        <v>0</v>
      </c>
      <c r="UVV1590" s="55">
        <f t="shared" si="268"/>
        <v>0</v>
      </c>
      <c r="UVW1590" s="55">
        <f t="shared" si="268"/>
        <v>0</v>
      </c>
      <c r="UVX1590" s="55">
        <f t="shared" si="268"/>
        <v>0</v>
      </c>
      <c r="UVY1590" s="55">
        <f t="shared" si="268"/>
        <v>0</v>
      </c>
      <c r="UVZ1590" s="55">
        <f t="shared" si="268"/>
        <v>0</v>
      </c>
      <c r="UWA1590" s="55">
        <f t="shared" si="268"/>
        <v>0</v>
      </c>
      <c r="UWB1590" s="55">
        <f t="shared" ref="UWB1590:UYM1590" si="269">+(UWB1600+UWB1604)*1.18*1.1</f>
        <v>0</v>
      </c>
      <c r="UWC1590" s="55">
        <f t="shared" si="269"/>
        <v>0</v>
      </c>
      <c r="UWD1590" s="55">
        <f t="shared" si="269"/>
        <v>0</v>
      </c>
      <c r="UWE1590" s="55">
        <f t="shared" si="269"/>
        <v>0</v>
      </c>
      <c r="UWF1590" s="55">
        <f t="shared" si="269"/>
        <v>0</v>
      </c>
      <c r="UWG1590" s="55">
        <f t="shared" si="269"/>
        <v>0</v>
      </c>
      <c r="UWH1590" s="55">
        <f t="shared" si="269"/>
        <v>0</v>
      </c>
      <c r="UWI1590" s="55">
        <f t="shared" si="269"/>
        <v>0</v>
      </c>
      <c r="UWJ1590" s="55">
        <f t="shared" si="269"/>
        <v>0</v>
      </c>
      <c r="UWK1590" s="55">
        <f t="shared" si="269"/>
        <v>0</v>
      </c>
      <c r="UWL1590" s="55">
        <f t="shared" si="269"/>
        <v>0</v>
      </c>
      <c r="UWM1590" s="55">
        <f t="shared" si="269"/>
        <v>0</v>
      </c>
      <c r="UWN1590" s="55">
        <f t="shared" si="269"/>
        <v>0</v>
      </c>
      <c r="UWO1590" s="55">
        <f t="shared" si="269"/>
        <v>0</v>
      </c>
      <c r="UWP1590" s="55">
        <f t="shared" si="269"/>
        <v>0</v>
      </c>
      <c r="UWQ1590" s="55">
        <f t="shared" si="269"/>
        <v>0</v>
      </c>
      <c r="UWR1590" s="55">
        <f t="shared" si="269"/>
        <v>0</v>
      </c>
      <c r="UWS1590" s="55">
        <f t="shared" si="269"/>
        <v>0</v>
      </c>
      <c r="UWT1590" s="55">
        <f t="shared" si="269"/>
        <v>0</v>
      </c>
      <c r="UWU1590" s="55">
        <f t="shared" si="269"/>
        <v>0</v>
      </c>
      <c r="UWV1590" s="55">
        <f t="shared" si="269"/>
        <v>0</v>
      </c>
      <c r="UWW1590" s="55">
        <f t="shared" si="269"/>
        <v>0</v>
      </c>
      <c r="UWX1590" s="55">
        <f t="shared" si="269"/>
        <v>0</v>
      </c>
      <c r="UWY1590" s="55">
        <f t="shared" si="269"/>
        <v>0</v>
      </c>
      <c r="UWZ1590" s="55">
        <f t="shared" si="269"/>
        <v>0</v>
      </c>
      <c r="UXA1590" s="55">
        <f t="shared" si="269"/>
        <v>0</v>
      </c>
      <c r="UXB1590" s="55">
        <f t="shared" si="269"/>
        <v>0</v>
      </c>
      <c r="UXC1590" s="55">
        <f t="shared" si="269"/>
        <v>0</v>
      </c>
      <c r="UXD1590" s="55">
        <f t="shared" si="269"/>
        <v>0</v>
      </c>
      <c r="UXE1590" s="55">
        <f t="shared" si="269"/>
        <v>0</v>
      </c>
      <c r="UXF1590" s="55">
        <f t="shared" si="269"/>
        <v>0</v>
      </c>
      <c r="UXG1590" s="55">
        <f t="shared" si="269"/>
        <v>0</v>
      </c>
      <c r="UXH1590" s="55">
        <f t="shared" si="269"/>
        <v>0</v>
      </c>
      <c r="UXI1590" s="55">
        <f t="shared" si="269"/>
        <v>0</v>
      </c>
      <c r="UXJ1590" s="55">
        <f t="shared" si="269"/>
        <v>0</v>
      </c>
      <c r="UXK1590" s="55">
        <f t="shared" si="269"/>
        <v>0</v>
      </c>
      <c r="UXL1590" s="55">
        <f t="shared" si="269"/>
        <v>0</v>
      </c>
      <c r="UXM1590" s="55">
        <f t="shared" si="269"/>
        <v>0</v>
      </c>
      <c r="UXN1590" s="55">
        <f t="shared" si="269"/>
        <v>0</v>
      </c>
      <c r="UXO1590" s="55">
        <f t="shared" si="269"/>
        <v>0</v>
      </c>
      <c r="UXP1590" s="55">
        <f t="shared" si="269"/>
        <v>0</v>
      </c>
      <c r="UXQ1590" s="55">
        <f t="shared" si="269"/>
        <v>0</v>
      </c>
      <c r="UXR1590" s="55">
        <f t="shared" si="269"/>
        <v>0</v>
      </c>
      <c r="UXS1590" s="55">
        <f t="shared" si="269"/>
        <v>0</v>
      </c>
      <c r="UXT1590" s="55">
        <f t="shared" si="269"/>
        <v>0</v>
      </c>
      <c r="UXU1590" s="55">
        <f t="shared" si="269"/>
        <v>0</v>
      </c>
      <c r="UXV1590" s="55">
        <f t="shared" si="269"/>
        <v>0</v>
      </c>
      <c r="UXW1590" s="55">
        <f t="shared" si="269"/>
        <v>0</v>
      </c>
      <c r="UXX1590" s="55">
        <f t="shared" si="269"/>
        <v>0</v>
      </c>
      <c r="UXY1590" s="55">
        <f t="shared" si="269"/>
        <v>0</v>
      </c>
      <c r="UXZ1590" s="55">
        <f t="shared" si="269"/>
        <v>0</v>
      </c>
      <c r="UYA1590" s="55">
        <f t="shared" si="269"/>
        <v>0</v>
      </c>
      <c r="UYB1590" s="55">
        <f t="shared" si="269"/>
        <v>0</v>
      </c>
      <c r="UYC1590" s="55">
        <f t="shared" si="269"/>
        <v>0</v>
      </c>
      <c r="UYD1590" s="55">
        <f t="shared" si="269"/>
        <v>0</v>
      </c>
      <c r="UYE1590" s="55">
        <f t="shared" si="269"/>
        <v>0</v>
      </c>
      <c r="UYF1590" s="55">
        <f t="shared" si="269"/>
        <v>0</v>
      </c>
      <c r="UYG1590" s="55">
        <f t="shared" si="269"/>
        <v>0</v>
      </c>
      <c r="UYH1590" s="55">
        <f t="shared" si="269"/>
        <v>0</v>
      </c>
      <c r="UYI1590" s="55">
        <f t="shared" si="269"/>
        <v>0</v>
      </c>
      <c r="UYJ1590" s="55">
        <f t="shared" si="269"/>
        <v>0</v>
      </c>
      <c r="UYK1590" s="55">
        <f t="shared" si="269"/>
        <v>0</v>
      </c>
      <c r="UYL1590" s="55">
        <f t="shared" si="269"/>
        <v>0</v>
      </c>
      <c r="UYM1590" s="55">
        <f t="shared" si="269"/>
        <v>0</v>
      </c>
      <c r="UYN1590" s="55">
        <f t="shared" ref="UYN1590:VAY1590" si="270">+(UYN1600+UYN1604)*1.18*1.1</f>
        <v>0</v>
      </c>
      <c r="UYO1590" s="55">
        <f t="shared" si="270"/>
        <v>0</v>
      </c>
      <c r="UYP1590" s="55">
        <f t="shared" si="270"/>
        <v>0</v>
      </c>
      <c r="UYQ1590" s="55">
        <f t="shared" si="270"/>
        <v>0</v>
      </c>
      <c r="UYR1590" s="55">
        <f t="shared" si="270"/>
        <v>0</v>
      </c>
      <c r="UYS1590" s="55">
        <f t="shared" si="270"/>
        <v>0</v>
      </c>
      <c r="UYT1590" s="55">
        <f t="shared" si="270"/>
        <v>0</v>
      </c>
      <c r="UYU1590" s="55">
        <f t="shared" si="270"/>
        <v>0</v>
      </c>
      <c r="UYV1590" s="55">
        <f t="shared" si="270"/>
        <v>0</v>
      </c>
      <c r="UYW1590" s="55">
        <f t="shared" si="270"/>
        <v>0</v>
      </c>
      <c r="UYX1590" s="55">
        <f t="shared" si="270"/>
        <v>0</v>
      </c>
      <c r="UYY1590" s="55">
        <f t="shared" si="270"/>
        <v>0</v>
      </c>
      <c r="UYZ1590" s="55">
        <f t="shared" si="270"/>
        <v>0</v>
      </c>
      <c r="UZA1590" s="55">
        <f t="shared" si="270"/>
        <v>0</v>
      </c>
      <c r="UZB1590" s="55">
        <f t="shared" si="270"/>
        <v>0</v>
      </c>
      <c r="UZC1590" s="55">
        <f t="shared" si="270"/>
        <v>0</v>
      </c>
      <c r="UZD1590" s="55">
        <f t="shared" si="270"/>
        <v>0</v>
      </c>
      <c r="UZE1590" s="55">
        <f t="shared" si="270"/>
        <v>0</v>
      </c>
      <c r="UZF1590" s="55">
        <f t="shared" si="270"/>
        <v>0</v>
      </c>
      <c r="UZG1590" s="55">
        <f t="shared" si="270"/>
        <v>0</v>
      </c>
      <c r="UZH1590" s="55">
        <f t="shared" si="270"/>
        <v>0</v>
      </c>
      <c r="UZI1590" s="55">
        <f t="shared" si="270"/>
        <v>0</v>
      </c>
      <c r="UZJ1590" s="55">
        <f t="shared" si="270"/>
        <v>0</v>
      </c>
      <c r="UZK1590" s="55">
        <f t="shared" si="270"/>
        <v>0</v>
      </c>
      <c r="UZL1590" s="55">
        <f t="shared" si="270"/>
        <v>0</v>
      </c>
      <c r="UZM1590" s="55">
        <f t="shared" si="270"/>
        <v>0</v>
      </c>
      <c r="UZN1590" s="55">
        <f t="shared" si="270"/>
        <v>0</v>
      </c>
      <c r="UZO1590" s="55">
        <f t="shared" si="270"/>
        <v>0</v>
      </c>
      <c r="UZP1590" s="55">
        <f t="shared" si="270"/>
        <v>0</v>
      </c>
      <c r="UZQ1590" s="55">
        <f t="shared" si="270"/>
        <v>0</v>
      </c>
      <c r="UZR1590" s="55">
        <f t="shared" si="270"/>
        <v>0</v>
      </c>
      <c r="UZS1590" s="55">
        <f t="shared" si="270"/>
        <v>0</v>
      </c>
      <c r="UZT1590" s="55">
        <f t="shared" si="270"/>
        <v>0</v>
      </c>
      <c r="UZU1590" s="55">
        <f t="shared" si="270"/>
        <v>0</v>
      </c>
      <c r="UZV1590" s="55">
        <f t="shared" si="270"/>
        <v>0</v>
      </c>
      <c r="UZW1590" s="55">
        <f t="shared" si="270"/>
        <v>0</v>
      </c>
      <c r="UZX1590" s="55">
        <f t="shared" si="270"/>
        <v>0</v>
      </c>
      <c r="UZY1590" s="55">
        <f t="shared" si="270"/>
        <v>0</v>
      </c>
      <c r="UZZ1590" s="55">
        <f t="shared" si="270"/>
        <v>0</v>
      </c>
      <c r="VAA1590" s="55">
        <f t="shared" si="270"/>
        <v>0</v>
      </c>
      <c r="VAB1590" s="55">
        <f t="shared" si="270"/>
        <v>0</v>
      </c>
      <c r="VAC1590" s="55">
        <f t="shared" si="270"/>
        <v>0</v>
      </c>
      <c r="VAD1590" s="55">
        <f t="shared" si="270"/>
        <v>0</v>
      </c>
      <c r="VAE1590" s="55">
        <f t="shared" si="270"/>
        <v>0</v>
      </c>
      <c r="VAF1590" s="55">
        <f t="shared" si="270"/>
        <v>0</v>
      </c>
      <c r="VAG1590" s="55">
        <f t="shared" si="270"/>
        <v>0</v>
      </c>
      <c r="VAH1590" s="55">
        <f t="shared" si="270"/>
        <v>0</v>
      </c>
      <c r="VAI1590" s="55">
        <f t="shared" si="270"/>
        <v>0</v>
      </c>
      <c r="VAJ1590" s="55">
        <f t="shared" si="270"/>
        <v>0</v>
      </c>
      <c r="VAK1590" s="55">
        <f t="shared" si="270"/>
        <v>0</v>
      </c>
      <c r="VAL1590" s="55">
        <f t="shared" si="270"/>
        <v>0</v>
      </c>
      <c r="VAM1590" s="55">
        <f t="shared" si="270"/>
        <v>0</v>
      </c>
      <c r="VAN1590" s="55">
        <f t="shared" si="270"/>
        <v>0</v>
      </c>
      <c r="VAO1590" s="55">
        <f t="shared" si="270"/>
        <v>0</v>
      </c>
      <c r="VAP1590" s="55">
        <f t="shared" si="270"/>
        <v>0</v>
      </c>
      <c r="VAQ1590" s="55">
        <f t="shared" si="270"/>
        <v>0</v>
      </c>
      <c r="VAR1590" s="55">
        <f t="shared" si="270"/>
        <v>0</v>
      </c>
      <c r="VAS1590" s="55">
        <f t="shared" si="270"/>
        <v>0</v>
      </c>
      <c r="VAT1590" s="55">
        <f t="shared" si="270"/>
        <v>0</v>
      </c>
      <c r="VAU1590" s="55">
        <f t="shared" si="270"/>
        <v>0</v>
      </c>
      <c r="VAV1590" s="55">
        <f t="shared" si="270"/>
        <v>0</v>
      </c>
      <c r="VAW1590" s="55">
        <f t="shared" si="270"/>
        <v>0</v>
      </c>
      <c r="VAX1590" s="55">
        <f t="shared" si="270"/>
        <v>0</v>
      </c>
      <c r="VAY1590" s="55">
        <f t="shared" si="270"/>
        <v>0</v>
      </c>
      <c r="VAZ1590" s="55">
        <f t="shared" ref="VAZ1590:VDK1590" si="271">+(VAZ1600+VAZ1604)*1.18*1.1</f>
        <v>0</v>
      </c>
      <c r="VBA1590" s="55">
        <f t="shared" si="271"/>
        <v>0</v>
      </c>
      <c r="VBB1590" s="55">
        <f t="shared" si="271"/>
        <v>0</v>
      </c>
      <c r="VBC1590" s="55">
        <f t="shared" si="271"/>
        <v>0</v>
      </c>
      <c r="VBD1590" s="55">
        <f t="shared" si="271"/>
        <v>0</v>
      </c>
      <c r="VBE1590" s="55">
        <f t="shared" si="271"/>
        <v>0</v>
      </c>
      <c r="VBF1590" s="55">
        <f t="shared" si="271"/>
        <v>0</v>
      </c>
      <c r="VBG1590" s="55">
        <f t="shared" si="271"/>
        <v>0</v>
      </c>
      <c r="VBH1590" s="55">
        <f t="shared" si="271"/>
        <v>0</v>
      </c>
      <c r="VBI1590" s="55">
        <f t="shared" si="271"/>
        <v>0</v>
      </c>
      <c r="VBJ1590" s="55">
        <f t="shared" si="271"/>
        <v>0</v>
      </c>
      <c r="VBK1590" s="55">
        <f t="shared" si="271"/>
        <v>0</v>
      </c>
      <c r="VBL1590" s="55">
        <f t="shared" si="271"/>
        <v>0</v>
      </c>
      <c r="VBM1590" s="55">
        <f t="shared" si="271"/>
        <v>0</v>
      </c>
      <c r="VBN1590" s="55">
        <f t="shared" si="271"/>
        <v>0</v>
      </c>
      <c r="VBO1590" s="55">
        <f t="shared" si="271"/>
        <v>0</v>
      </c>
      <c r="VBP1590" s="55">
        <f t="shared" si="271"/>
        <v>0</v>
      </c>
      <c r="VBQ1590" s="55">
        <f t="shared" si="271"/>
        <v>0</v>
      </c>
      <c r="VBR1590" s="55">
        <f t="shared" si="271"/>
        <v>0</v>
      </c>
      <c r="VBS1590" s="55">
        <f t="shared" si="271"/>
        <v>0</v>
      </c>
      <c r="VBT1590" s="55">
        <f t="shared" si="271"/>
        <v>0</v>
      </c>
      <c r="VBU1590" s="55">
        <f t="shared" si="271"/>
        <v>0</v>
      </c>
      <c r="VBV1590" s="55">
        <f t="shared" si="271"/>
        <v>0</v>
      </c>
      <c r="VBW1590" s="55">
        <f t="shared" si="271"/>
        <v>0</v>
      </c>
      <c r="VBX1590" s="55">
        <f t="shared" si="271"/>
        <v>0</v>
      </c>
      <c r="VBY1590" s="55">
        <f t="shared" si="271"/>
        <v>0</v>
      </c>
      <c r="VBZ1590" s="55">
        <f t="shared" si="271"/>
        <v>0</v>
      </c>
      <c r="VCA1590" s="55">
        <f t="shared" si="271"/>
        <v>0</v>
      </c>
      <c r="VCB1590" s="55">
        <f t="shared" si="271"/>
        <v>0</v>
      </c>
      <c r="VCC1590" s="55">
        <f t="shared" si="271"/>
        <v>0</v>
      </c>
      <c r="VCD1590" s="55">
        <f t="shared" si="271"/>
        <v>0</v>
      </c>
      <c r="VCE1590" s="55">
        <f t="shared" si="271"/>
        <v>0</v>
      </c>
      <c r="VCF1590" s="55">
        <f t="shared" si="271"/>
        <v>0</v>
      </c>
      <c r="VCG1590" s="55">
        <f t="shared" si="271"/>
        <v>0</v>
      </c>
      <c r="VCH1590" s="55">
        <f t="shared" si="271"/>
        <v>0</v>
      </c>
      <c r="VCI1590" s="55">
        <f t="shared" si="271"/>
        <v>0</v>
      </c>
      <c r="VCJ1590" s="55">
        <f t="shared" si="271"/>
        <v>0</v>
      </c>
      <c r="VCK1590" s="55">
        <f t="shared" si="271"/>
        <v>0</v>
      </c>
      <c r="VCL1590" s="55">
        <f t="shared" si="271"/>
        <v>0</v>
      </c>
      <c r="VCM1590" s="55">
        <f t="shared" si="271"/>
        <v>0</v>
      </c>
      <c r="VCN1590" s="55">
        <f t="shared" si="271"/>
        <v>0</v>
      </c>
      <c r="VCO1590" s="55">
        <f t="shared" si="271"/>
        <v>0</v>
      </c>
      <c r="VCP1590" s="55">
        <f t="shared" si="271"/>
        <v>0</v>
      </c>
      <c r="VCQ1590" s="55">
        <f t="shared" si="271"/>
        <v>0</v>
      </c>
      <c r="VCR1590" s="55">
        <f t="shared" si="271"/>
        <v>0</v>
      </c>
      <c r="VCS1590" s="55">
        <f t="shared" si="271"/>
        <v>0</v>
      </c>
      <c r="VCT1590" s="55">
        <f t="shared" si="271"/>
        <v>0</v>
      </c>
      <c r="VCU1590" s="55">
        <f t="shared" si="271"/>
        <v>0</v>
      </c>
      <c r="VCV1590" s="55">
        <f t="shared" si="271"/>
        <v>0</v>
      </c>
      <c r="VCW1590" s="55">
        <f t="shared" si="271"/>
        <v>0</v>
      </c>
      <c r="VCX1590" s="55">
        <f t="shared" si="271"/>
        <v>0</v>
      </c>
      <c r="VCY1590" s="55">
        <f t="shared" si="271"/>
        <v>0</v>
      </c>
      <c r="VCZ1590" s="55">
        <f t="shared" si="271"/>
        <v>0</v>
      </c>
      <c r="VDA1590" s="55">
        <f t="shared" si="271"/>
        <v>0</v>
      </c>
      <c r="VDB1590" s="55">
        <f t="shared" si="271"/>
        <v>0</v>
      </c>
      <c r="VDC1590" s="55">
        <f t="shared" si="271"/>
        <v>0</v>
      </c>
      <c r="VDD1590" s="55">
        <f t="shared" si="271"/>
        <v>0</v>
      </c>
      <c r="VDE1590" s="55">
        <f t="shared" si="271"/>
        <v>0</v>
      </c>
      <c r="VDF1590" s="55">
        <f t="shared" si="271"/>
        <v>0</v>
      </c>
      <c r="VDG1590" s="55">
        <f t="shared" si="271"/>
        <v>0</v>
      </c>
      <c r="VDH1590" s="55">
        <f t="shared" si="271"/>
        <v>0</v>
      </c>
      <c r="VDI1590" s="55">
        <f t="shared" si="271"/>
        <v>0</v>
      </c>
      <c r="VDJ1590" s="55">
        <f t="shared" si="271"/>
        <v>0</v>
      </c>
      <c r="VDK1590" s="55">
        <f t="shared" si="271"/>
        <v>0</v>
      </c>
      <c r="VDL1590" s="55">
        <f t="shared" ref="VDL1590:VFW1590" si="272">+(VDL1600+VDL1604)*1.18*1.1</f>
        <v>0</v>
      </c>
      <c r="VDM1590" s="55">
        <f t="shared" si="272"/>
        <v>0</v>
      </c>
      <c r="VDN1590" s="55">
        <f t="shared" si="272"/>
        <v>0</v>
      </c>
      <c r="VDO1590" s="55">
        <f t="shared" si="272"/>
        <v>0</v>
      </c>
      <c r="VDP1590" s="55">
        <f t="shared" si="272"/>
        <v>0</v>
      </c>
      <c r="VDQ1590" s="55">
        <f t="shared" si="272"/>
        <v>0</v>
      </c>
      <c r="VDR1590" s="55">
        <f t="shared" si="272"/>
        <v>0</v>
      </c>
      <c r="VDS1590" s="55">
        <f t="shared" si="272"/>
        <v>0</v>
      </c>
      <c r="VDT1590" s="55">
        <f t="shared" si="272"/>
        <v>0</v>
      </c>
      <c r="VDU1590" s="55">
        <f t="shared" si="272"/>
        <v>0</v>
      </c>
      <c r="VDV1590" s="55">
        <f t="shared" si="272"/>
        <v>0</v>
      </c>
      <c r="VDW1590" s="55">
        <f t="shared" si="272"/>
        <v>0</v>
      </c>
      <c r="VDX1590" s="55">
        <f t="shared" si="272"/>
        <v>0</v>
      </c>
      <c r="VDY1590" s="55">
        <f t="shared" si="272"/>
        <v>0</v>
      </c>
      <c r="VDZ1590" s="55">
        <f t="shared" si="272"/>
        <v>0</v>
      </c>
      <c r="VEA1590" s="55">
        <f t="shared" si="272"/>
        <v>0</v>
      </c>
      <c r="VEB1590" s="55">
        <f t="shared" si="272"/>
        <v>0</v>
      </c>
      <c r="VEC1590" s="55">
        <f t="shared" si="272"/>
        <v>0</v>
      </c>
      <c r="VED1590" s="55">
        <f t="shared" si="272"/>
        <v>0</v>
      </c>
      <c r="VEE1590" s="55">
        <f t="shared" si="272"/>
        <v>0</v>
      </c>
      <c r="VEF1590" s="55">
        <f t="shared" si="272"/>
        <v>0</v>
      </c>
      <c r="VEG1590" s="55">
        <f t="shared" si="272"/>
        <v>0</v>
      </c>
      <c r="VEH1590" s="55">
        <f t="shared" si="272"/>
        <v>0</v>
      </c>
      <c r="VEI1590" s="55">
        <f t="shared" si="272"/>
        <v>0</v>
      </c>
      <c r="VEJ1590" s="55">
        <f t="shared" si="272"/>
        <v>0</v>
      </c>
      <c r="VEK1590" s="55">
        <f t="shared" si="272"/>
        <v>0</v>
      </c>
      <c r="VEL1590" s="55">
        <f t="shared" si="272"/>
        <v>0</v>
      </c>
      <c r="VEM1590" s="55">
        <f t="shared" si="272"/>
        <v>0</v>
      </c>
      <c r="VEN1590" s="55">
        <f t="shared" si="272"/>
        <v>0</v>
      </c>
      <c r="VEO1590" s="55">
        <f t="shared" si="272"/>
        <v>0</v>
      </c>
      <c r="VEP1590" s="55">
        <f t="shared" si="272"/>
        <v>0</v>
      </c>
      <c r="VEQ1590" s="55">
        <f t="shared" si="272"/>
        <v>0</v>
      </c>
      <c r="VER1590" s="55">
        <f t="shared" si="272"/>
        <v>0</v>
      </c>
      <c r="VES1590" s="55">
        <f t="shared" si="272"/>
        <v>0</v>
      </c>
      <c r="VET1590" s="55">
        <f t="shared" si="272"/>
        <v>0</v>
      </c>
      <c r="VEU1590" s="55">
        <f t="shared" si="272"/>
        <v>0</v>
      </c>
      <c r="VEV1590" s="55">
        <f t="shared" si="272"/>
        <v>0</v>
      </c>
      <c r="VEW1590" s="55">
        <f t="shared" si="272"/>
        <v>0</v>
      </c>
      <c r="VEX1590" s="55">
        <f t="shared" si="272"/>
        <v>0</v>
      </c>
      <c r="VEY1590" s="55">
        <f t="shared" si="272"/>
        <v>0</v>
      </c>
      <c r="VEZ1590" s="55">
        <f t="shared" si="272"/>
        <v>0</v>
      </c>
      <c r="VFA1590" s="55">
        <f t="shared" si="272"/>
        <v>0</v>
      </c>
      <c r="VFB1590" s="55">
        <f t="shared" si="272"/>
        <v>0</v>
      </c>
      <c r="VFC1590" s="55">
        <f t="shared" si="272"/>
        <v>0</v>
      </c>
      <c r="VFD1590" s="55">
        <f t="shared" si="272"/>
        <v>0</v>
      </c>
      <c r="VFE1590" s="55">
        <f t="shared" si="272"/>
        <v>0</v>
      </c>
      <c r="VFF1590" s="55">
        <f t="shared" si="272"/>
        <v>0</v>
      </c>
      <c r="VFG1590" s="55">
        <f t="shared" si="272"/>
        <v>0</v>
      </c>
      <c r="VFH1590" s="55">
        <f t="shared" si="272"/>
        <v>0</v>
      </c>
      <c r="VFI1590" s="55">
        <f t="shared" si="272"/>
        <v>0</v>
      </c>
      <c r="VFJ1590" s="55">
        <f t="shared" si="272"/>
        <v>0</v>
      </c>
      <c r="VFK1590" s="55">
        <f t="shared" si="272"/>
        <v>0</v>
      </c>
      <c r="VFL1590" s="55">
        <f t="shared" si="272"/>
        <v>0</v>
      </c>
      <c r="VFM1590" s="55">
        <f t="shared" si="272"/>
        <v>0</v>
      </c>
      <c r="VFN1590" s="55">
        <f t="shared" si="272"/>
        <v>0</v>
      </c>
      <c r="VFO1590" s="55">
        <f t="shared" si="272"/>
        <v>0</v>
      </c>
      <c r="VFP1590" s="55">
        <f t="shared" si="272"/>
        <v>0</v>
      </c>
      <c r="VFQ1590" s="55">
        <f t="shared" si="272"/>
        <v>0</v>
      </c>
      <c r="VFR1590" s="55">
        <f t="shared" si="272"/>
        <v>0</v>
      </c>
      <c r="VFS1590" s="55">
        <f t="shared" si="272"/>
        <v>0</v>
      </c>
      <c r="VFT1590" s="55">
        <f t="shared" si="272"/>
        <v>0</v>
      </c>
      <c r="VFU1590" s="55">
        <f t="shared" si="272"/>
        <v>0</v>
      </c>
      <c r="VFV1590" s="55">
        <f t="shared" si="272"/>
        <v>0</v>
      </c>
      <c r="VFW1590" s="55">
        <f t="shared" si="272"/>
        <v>0</v>
      </c>
      <c r="VFX1590" s="55">
        <f t="shared" ref="VFX1590:VII1590" si="273">+(VFX1600+VFX1604)*1.18*1.1</f>
        <v>0</v>
      </c>
      <c r="VFY1590" s="55">
        <f t="shared" si="273"/>
        <v>0</v>
      </c>
      <c r="VFZ1590" s="55">
        <f t="shared" si="273"/>
        <v>0</v>
      </c>
      <c r="VGA1590" s="55">
        <f t="shared" si="273"/>
        <v>0</v>
      </c>
      <c r="VGB1590" s="55">
        <f t="shared" si="273"/>
        <v>0</v>
      </c>
      <c r="VGC1590" s="55">
        <f t="shared" si="273"/>
        <v>0</v>
      </c>
      <c r="VGD1590" s="55">
        <f t="shared" si="273"/>
        <v>0</v>
      </c>
      <c r="VGE1590" s="55">
        <f t="shared" si="273"/>
        <v>0</v>
      </c>
      <c r="VGF1590" s="55">
        <f t="shared" si="273"/>
        <v>0</v>
      </c>
      <c r="VGG1590" s="55">
        <f t="shared" si="273"/>
        <v>0</v>
      </c>
      <c r="VGH1590" s="55">
        <f t="shared" si="273"/>
        <v>0</v>
      </c>
      <c r="VGI1590" s="55">
        <f t="shared" si="273"/>
        <v>0</v>
      </c>
      <c r="VGJ1590" s="55">
        <f t="shared" si="273"/>
        <v>0</v>
      </c>
      <c r="VGK1590" s="55">
        <f t="shared" si="273"/>
        <v>0</v>
      </c>
      <c r="VGL1590" s="55">
        <f t="shared" si="273"/>
        <v>0</v>
      </c>
      <c r="VGM1590" s="55">
        <f t="shared" si="273"/>
        <v>0</v>
      </c>
      <c r="VGN1590" s="55">
        <f t="shared" si="273"/>
        <v>0</v>
      </c>
      <c r="VGO1590" s="55">
        <f t="shared" si="273"/>
        <v>0</v>
      </c>
      <c r="VGP1590" s="55">
        <f t="shared" si="273"/>
        <v>0</v>
      </c>
      <c r="VGQ1590" s="55">
        <f t="shared" si="273"/>
        <v>0</v>
      </c>
      <c r="VGR1590" s="55">
        <f t="shared" si="273"/>
        <v>0</v>
      </c>
      <c r="VGS1590" s="55">
        <f t="shared" si="273"/>
        <v>0</v>
      </c>
      <c r="VGT1590" s="55">
        <f t="shared" si="273"/>
        <v>0</v>
      </c>
      <c r="VGU1590" s="55">
        <f t="shared" si="273"/>
        <v>0</v>
      </c>
      <c r="VGV1590" s="55">
        <f t="shared" si="273"/>
        <v>0</v>
      </c>
      <c r="VGW1590" s="55">
        <f t="shared" si="273"/>
        <v>0</v>
      </c>
      <c r="VGX1590" s="55">
        <f t="shared" si="273"/>
        <v>0</v>
      </c>
      <c r="VGY1590" s="55">
        <f t="shared" si="273"/>
        <v>0</v>
      </c>
      <c r="VGZ1590" s="55">
        <f t="shared" si="273"/>
        <v>0</v>
      </c>
      <c r="VHA1590" s="55">
        <f t="shared" si="273"/>
        <v>0</v>
      </c>
      <c r="VHB1590" s="55">
        <f t="shared" si="273"/>
        <v>0</v>
      </c>
      <c r="VHC1590" s="55">
        <f t="shared" si="273"/>
        <v>0</v>
      </c>
      <c r="VHD1590" s="55">
        <f t="shared" si="273"/>
        <v>0</v>
      </c>
      <c r="VHE1590" s="55">
        <f t="shared" si="273"/>
        <v>0</v>
      </c>
      <c r="VHF1590" s="55">
        <f t="shared" si="273"/>
        <v>0</v>
      </c>
      <c r="VHG1590" s="55">
        <f t="shared" si="273"/>
        <v>0</v>
      </c>
      <c r="VHH1590" s="55">
        <f t="shared" si="273"/>
        <v>0</v>
      </c>
      <c r="VHI1590" s="55">
        <f t="shared" si="273"/>
        <v>0</v>
      </c>
      <c r="VHJ1590" s="55">
        <f t="shared" si="273"/>
        <v>0</v>
      </c>
      <c r="VHK1590" s="55">
        <f t="shared" si="273"/>
        <v>0</v>
      </c>
      <c r="VHL1590" s="55">
        <f t="shared" si="273"/>
        <v>0</v>
      </c>
      <c r="VHM1590" s="55">
        <f t="shared" si="273"/>
        <v>0</v>
      </c>
      <c r="VHN1590" s="55">
        <f t="shared" si="273"/>
        <v>0</v>
      </c>
      <c r="VHO1590" s="55">
        <f t="shared" si="273"/>
        <v>0</v>
      </c>
      <c r="VHP1590" s="55">
        <f t="shared" si="273"/>
        <v>0</v>
      </c>
      <c r="VHQ1590" s="55">
        <f t="shared" si="273"/>
        <v>0</v>
      </c>
      <c r="VHR1590" s="55">
        <f t="shared" si="273"/>
        <v>0</v>
      </c>
      <c r="VHS1590" s="55">
        <f t="shared" si="273"/>
        <v>0</v>
      </c>
      <c r="VHT1590" s="55">
        <f t="shared" si="273"/>
        <v>0</v>
      </c>
      <c r="VHU1590" s="55">
        <f t="shared" si="273"/>
        <v>0</v>
      </c>
      <c r="VHV1590" s="55">
        <f t="shared" si="273"/>
        <v>0</v>
      </c>
      <c r="VHW1590" s="55">
        <f t="shared" si="273"/>
        <v>0</v>
      </c>
      <c r="VHX1590" s="55">
        <f t="shared" si="273"/>
        <v>0</v>
      </c>
      <c r="VHY1590" s="55">
        <f t="shared" si="273"/>
        <v>0</v>
      </c>
      <c r="VHZ1590" s="55">
        <f t="shared" si="273"/>
        <v>0</v>
      </c>
      <c r="VIA1590" s="55">
        <f t="shared" si="273"/>
        <v>0</v>
      </c>
      <c r="VIB1590" s="55">
        <f t="shared" si="273"/>
        <v>0</v>
      </c>
      <c r="VIC1590" s="55">
        <f t="shared" si="273"/>
        <v>0</v>
      </c>
      <c r="VID1590" s="55">
        <f t="shared" si="273"/>
        <v>0</v>
      </c>
      <c r="VIE1590" s="55">
        <f t="shared" si="273"/>
        <v>0</v>
      </c>
      <c r="VIF1590" s="55">
        <f t="shared" si="273"/>
        <v>0</v>
      </c>
      <c r="VIG1590" s="55">
        <f t="shared" si="273"/>
        <v>0</v>
      </c>
      <c r="VIH1590" s="55">
        <f t="shared" si="273"/>
        <v>0</v>
      </c>
      <c r="VII1590" s="55">
        <f t="shared" si="273"/>
        <v>0</v>
      </c>
      <c r="VIJ1590" s="55">
        <f t="shared" ref="VIJ1590:VKU1590" si="274">+(VIJ1600+VIJ1604)*1.18*1.1</f>
        <v>0</v>
      </c>
      <c r="VIK1590" s="55">
        <f t="shared" si="274"/>
        <v>0</v>
      </c>
      <c r="VIL1590" s="55">
        <f t="shared" si="274"/>
        <v>0</v>
      </c>
      <c r="VIM1590" s="55">
        <f t="shared" si="274"/>
        <v>0</v>
      </c>
      <c r="VIN1590" s="55">
        <f t="shared" si="274"/>
        <v>0</v>
      </c>
      <c r="VIO1590" s="55">
        <f t="shared" si="274"/>
        <v>0</v>
      </c>
      <c r="VIP1590" s="55">
        <f t="shared" si="274"/>
        <v>0</v>
      </c>
      <c r="VIQ1590" s="55">
        <f t="shared" si="274"/>
        <v>0</v>
      </c>
      <c r="VIR1590" s="55">
        <f t="shared" si="274"/>
        <v>0</v>
      </c>
      <c r="VIS1590" s="55">
        <f t="shared" si="274"/>
        <v>0</v>
      </c>
      <c r="VIT1590" s="55">
        <f t="shared" si="274"/>
        <v>0</v>
      </c>
      <c r="VIU1590" s="55">
        <f t="shared" si="274"/>
        <v>0</v>
      </c>
      <c r="VIV1590" s="55">
        <f t="shared" si="274"/>
        <v>0</v>
      </c>
      <c r="VIW1590" s="55">
        <f t="shared" si="274"/>
        <v>0</v>
      </c>
      <c r="VIX1590" s="55">
        <f t="shared" si="274"/>
        <v>0</v>
      </c>
      <c r="VIY1590" s="55">
        <f t="shared" si="274"/>
        <v>0</v>
      </c>
      <c r="VIZ1590" s="55">
        <f t="shared" si="274"/>
        <v>0</v>
      </c>
      <c r="VJA1590" s="55">
        <f t="shared" si="274"/>
        <v>0</v>
      </c>
      <c r="VJB1590" s="55">
        <f t="shared" si="274"/>
        <v>0</v>
      </c>
      <c r="VJC1590" s="55">
        <f t="shared" si="274"/>
        <v>0</v>
      </c>
      <c r="VJD1590" s="55">
        <f t="shared" si="274"/>
        <v>0</v>
      </c>
      <c r="VJE1590" s="55">
        <f t="shared" si="274"/>
        <v>0</v>
      </c>
      <c r="VJF1590" s="55">
        <f t="shared" si="274"/>
        <v>0</v>
      </c>
      <c r="VJG1590" s="55">
        <f t="shared" si="274"/>
        <v>0</v>
      </c>
      <c r="VJH1590" s="55">
        <f t="shared" si="274"/>
        <v>0</v>
      </c>
      <c r="VJI1590" s="55">
        <f t="shared" si="274"/>
        <v>0</v>
      </c>
      <c r="VJJ1590" s="55">
        <f t="shared" si="274"/>
        <v>0</v>
      </c>
      <c r="VJK1590" s="55">
        <f t="shared" si="274"/>
        <v>0</v>
      </c>
      <c r="VJL1590" s="55">
        <f t="shared" si="274"/>
        <v>0</v>
      </c>
      <c r="VJM1590" s="55">
        <f t="shared" si="274"/>
        <v>0</v>
      </c>
      <c r="VJN1590" s="55">
        <f t="shared" si="274"/>
        <v>0</v>
      </c>
      <c r="VJO1590" s="55">
        <f t="shared" si="274"/>
        <v>0</v>
      </c>
      <c r="VJP1590" s="55">
        <f t="shared" si="274"/>
        <v>0</v>
      </c>
      <c r="VJQ1590" s="55">
        <f t="shared" si="274"/>
        <v>0</v>
      </c>
      <c r="VJR1590" s="55">
        <f t="shared" si="274"/>
        <v>0</v>
      </c>
      <c r="VJS1590" s="55">
        <f t="shared" si="274"/>
        <v>0</v>
      </c>
      <c r="VJT1590" s="55">
        <f t="shared" si="274"/>
        <v>0</v>
      </c>
      <c r="VJU1590" s="55">
        <f t="shared" si="274"/>
        <v>0</v>
      </c>
      <c r="VJV1590" s="55">
        <f t="shared" si="274"/>
        <v>0</v>
      </c>
      <c r="VJW1590" s="55">
        <f t="shared" si="274"/>
        <v>0</v>
      </c>
      <c r="VJX1590" s="55">
        <f t="shared" si="274"/>
        <v>0</v>
      </c>
      <c r="VJY1590" s="55">
        <f t="shared" si="274"/>
        <v>0</v>
      </c>
      <c r="VJZ1590" s="55">
        <f t="shared" si="274"/>
        <v>0</v>
      </c>
      <c r="VKA1590" s="55">
        <f t="shared" si="274"/>
        <v>0</v>
      </c>
      <c r="VKB1590" s="55">
        <f t="shared" si="274"/>
        <v>0</v>
      </c>
      <c r="VKC1590" s="55">
        <f t="shared" si="274"/>
        <v>0</v>
      </c>
      <c r="VKD1590" s="55">
        <f t="shared" si="274"/>
        <v>0</v>
      </c>
      <c r="VKE1590" s="55">
        <f t="shared" si="274"/>
        <v>0</v>
      </c>
      <c r="VKF1590" s="55">
        <f t="shared" si="274"/>
        <v>0</v>
      </c>
      <c r="VKG1590" s="55">
        <f t="shared" si="274"/>
        <v>0</v>
      </c>
      <c r="VKH1590" s="55">
        <f t="shared" si="274"/>
        <v>0</v>
      </c>
      <c r="VKI1590" s="55">
        <f t="shared" si="274"/>
        <v>0</v>
      </c>
      <c r="VKJ1590" s="55">
        <f t="shared" si="274"/>
        <v>0</v>
      </c>
      <c r="VKK1590" s="55">
        <f t="shared" si="274"/>
        <v>0</v>
      </c>
      <c r="VKL1590" s="55">
        <f t="shared" si="274"/>
        <v>0</v>
      </c>
      <c r="VKM1590" s="55">
        <f t="shared" si="274"/>
        <v>0</v>
      </c>
      <c r="VKN1590" s="55">
        <f t="shared" si="274"/>
        <v>0</v>
      </c>
      <c r="VKO1590" s="55">
        <f t="shared" si="274"/>
        <v>0</v>
      </c>
      <c r="VKP1590" s="55">
        <f t="shared" si="274"/>
        <v>0</v>
      </c>
      <c r="VKQ1590" s="55">
        <f t="shared" si="274"/>
        <v>0</v>
      </c>
      <c r="VKR1590" s="55">
        <f t="shared" si="274"/>
        <v>0</v>
      </c>
      <c r="VKS1590" s="55">
        <f t="shared" si="274"/>
        <v>0</v>
      </c>
      <c r="VKT1590" s="55">
        <f t="shared" si="274"/>
        <v>0</v>
      </c>
      <c r="VKU1590" s="55">
        <f t="shared" si="274"/>
        <v>0</v>
      </c>
      <c r="VKV1590" s="55">
        <f t="shared" ref="VKV1590:VNG1590" si="275">+(VKV1600+VKV1604)*1.18*1.1</f>
        <v>0</v>
      </c>
      <c r="VKW1590" s="55">
        <f t="shared" si="275"/>
        <v>0</v>
      </c>
      <c r="VKX1590" s="55">
        <f t="shared" si="275"/>
        <v>0</v>
      </c>
      <c r="VKY1590" s="55">
        <f t="shared" si="275"/>
        <v>0</v>
      </c>
      <c r="VKZ1590" s="55">
        <f t="shared" si="275"/>
        <v>0</v>
      </c>
      <c r="VLA1590" s="55">
        <f t="shared" si="275"/>
        <v>0</v>
      </c>
      <c r="VLB1590" s="55">
        <f t="shared" si="275"/>
        <v>0</v>
      </c>
      <c r="VLC1590" s="55">
        <f t="shared" si="275"/>
        <v>0</v>
      </c>
      <c r="VLD1590" s="55">
        <f t="shared" si="275"/>
        <v>0</v>
      </c>
      <c r="VLE1590" s="55">
        <f t="shared" si="275"/>
        <v>0</v>
      </c>
      <c r="VLF1590" s="55">
        <f t="shared" si="275"/>
        <v>0</v>
      </c>
      <c r="VLG1590" s="55">
        <f t="shared" si="275"/>
        <v>0</v>
      </c>
      <c r="VLH1590" s="55">
        <f t="shared" si="275"/>
        <v>0</v>
      </c>
      <c r="VLI1590" s="55">
        <f t="shared" si="275"/>
        <v>0</v>
      </c>
      <c r="VLJ1590" s="55">
        <f t="shared" si="275"/>
        <v>0</v>
      </c>
      <c r="VLK1590" s="55">
        <f t="shared" si="275"/>
        <v>0</v>
      </c>
      <c r="VLL1590" s="55">
        <f t="shared" si="275"/>
        <v>0</v>
      </c>
      <c r="VLM1590" s="55">
        <f t="shared" si="275"/>
        <v>0</v>
      </c>
      <c r="VLN1590" s="55">
        <f t="shared" si="275"/>
        <v>0</v>
      </c>
      <c r="VLO1590" s="55">
        <f t="shared" si="275"/>
        <v>0</v>
      </c>
      <c r="VLP1590" s="55">
        <f t="shared" si="275"/>
        <v>0</v>
      </c>
      <c r="VLQ1590" s="55">
        <f t="shared" si="275"/>
        <v>0</v>
      </c>
      <c r="VLR1590" s="55">
        <f t="shared" si="275"/>
        <v>0</v>
      </c>
      <c r="VLS1590" s="55">
        <f t="shared" si="275"/>
        <v>0</v>
      </c>
      <c r="VLT1590" s="55">
        <f t="shared" si="275"/>
        <v>0</v>
      </c>
      <c r="VLU1590" s="55">
        <f t="shared" si="275"/>
        <v>0</v>
      </c>
      <c r="VLV1590" s="55">
        <f t="shared" si="275"/>
        <v>0</v>
      </c>
      <c r="VLW1590" s="55">
        <f t="shared" si="275"/>
        <v>0</v>
      </c>
      <c r="VLX1590" s="55">
        <f t="shared" si="275"/>
        <v>0</v>
      </c>
      <c r="VLY1590" s="55">
        <f t="shared" si="275"/>
        <v>0</v>
      </c>
      <c r="VLZ1590" s="55">
        <f t="shared" si="275"/>
        <v>0</v>
      </c>
      <c r="VMA1590" s="55">
        <f t="shared" si="275"/>
        <v>0</v>
      </c>
      <c r="VMB1590" s="55">
        <f t="shared" si="275"/>
        <v>0</v>
      </c>
      <c r="VMC1590" s="55">
        <f t="shared" si="275"/>
        <v>0</v>
      </c>
      <c r="VMD1590" s="55">
        <f t="shared" si="275"/>
        <v>0</v>
      </c>
      <c r="VME1590" s="55">
        <f t="shared" si="275"/>
        <v>0</v>
      </c>
      <c r="VMF1590" s="55">
        <f t="shared" si="275"/>
        <v>0</v>
      </c>
      <c r="VMG1590" s="55">
        <f t="shared" si="275"/>
        <v>0</v>
      </c>
      <c r="VMH1590" s="55">
        <f t="shared" si="275"/>
        <v>0</v>
      </c>
      <c r="VMI1590" s="55">
        <f t="shared" si="275"/>
        <v>0</v>
      </c>
      <c r="VMJ1590" s="55">
        <f t="shared" si="275"/>
        <v>0</v>
      </c>
      <c r="VMK1590" s="55">
        <f t="shared" si="275"/>
        <v>0</v>
      </c>
      <c r="VML1590" s="55">
        <f t="shared" si="275"/>
        <v>0</v>
      </c>
      <c r="VMM1590" s="55">
        <f t="shared" si="275"/>
        <v>0</v>
      </c>
      <c r="VMN1590" s="55">
        <f t="shared" si="275"/>
        <v>0</v>
      </c>
      <c r="VMO1590" s="55">
        <f t="shared" si="275"/>
        <v>0</v>
      </c>
      <c r="VMP1590" s="55">
        <f t="shared" si="275"/>
        <v>0</v>
      </c>
      <c r="VMQ1590" s="55">
        <f t="shared" si="275"/>
        <v>0</v>
      </c>
      <c r="VMR1590" s="55">
        <f t="shared" si="275"/>
        <v>0</v>
      </c>
      <c r="VMS1590" s="55">
        <f t="shared" si="275"/>
        <v>0</v>
      </c>
      <c r="VMT1590" s="55">
        <f t="shared" si="275"/>
        <v>0</v>
      </c>
      <c r="VMU1590" s="55">
        <f t="shared" si="275"/>
        <v>0</v>
      </c>
      <c r="VMV1590" s="55">
        <f t="shared" si="275"/>
        <v>0</v>
      </c>
      <c r="VMW1590" s="55">
        <f t="shared" si="275"/>
        <v>0</v>
      </c>
      <c r="VMX1590" s="55">
        <f t="shared" si="275"/>
        <v>0</v>
      </c>
      <c r="VMY1590" s="55">
        <f t="shared" si="275"/>
        <v>0</v>
      </c>
      <c r="VMZ1590" s="55">
        <f t="shared" si="275"/>
        <v>0</v>
      </c>
      <c r="VNA1590" s="55">
        <f t="shared" si="275"/>
        <v>0</v>
      </c>
      <c r="VNB1590" s="55">
        <f t="shared" si="275"/>
        <v>0</v>
      </c>
      <c r="VNC1590" s="55">
        <f t="shared" si="275"/>
        <v>0</v>
      </c>
      <c r="VND1590" s="55">
        <f t="shared" si="275"/>
        <v>0</v>
      </c>
      <c r="VNE1590" s="55">
        <f t="shared" si="275"/>
        <v>0</v>
      </c>
      <c r="VNF1590" s="55">
        <f t="shared" si="275"/>
        <v>0</v>
      </c>
      <c r="VNG1590" s="55">
        <f t="shared" si="275"/>
        <v>0</v>
      </c>
      <c r="VNH1590" s="55">
        <f t="shared" ref="VNH1590:VPS1590" si="276">+(VNH1600+VNH1604)*1.18*1.1</f>
        <v>0</v>
      </c>
      <c r="VNI1590" s="55">
        <f t="shared" si="276"/>
        <v>0</v>
      </c>
      <c r="VNJ1590" s="55">
        <f t="shared" si="276"/>
        <v>0</v>
      </c>
      <c r="VNK1590" s="55">
        <f t="shared" si="276"/>
        <v>0</v>
      </c>
      <c r="VNL1590" s="55">
        <f t="shared" si="276"/>
        <v>0</v>
      </c>
      <c r="VNM1590" s="55">
        <f t="shared" si="276"/>
        <v>0</v>
      </c>
      <c r="VNN1590" s="55">
        <f t="shared" si="276"/>
        <v>0</v>
      </c>
      <c r="VNO1590" s="55">
        <f t="shared" si="276"/>
        <v>0</v>
      </c>
      <c r="VNP1590" s="55">
        <f t="shared" si="276"/>
        <v>0</v>
      </c>
      <c r="VNQ1590" s="55">
        <f t="shared" si="276"/>
        <v>0</v>
      </c>
      <c r="VNR1590" s="55">
        <f t="shared" si="276"/>
        <v>0</v>
      </c>
      <c r="VNS1590" s="55">
        <f t="shared" si="276"/>
        <v>0</v>
      </c>
      <c r="VNT1590" s="55">
        <f t="shared" si="276"/>
        <v>0</v>
      </c>
      <c r="VNU1590" s="55">
        <f t="shared" si="276"/>
        <v>0</v>
      </c>
      <c r="VNV1590" s="55">
        <f t="shared" si="276"/>
        <v>0</v>
      </c>
      <c r="VNW1590" s="55">
        <f t="shared" si="276"/>
        <v>0</v>
      </c>
      <c r="VNX1590" s="55">
        <f t="shared" si="276"/>
        <v>0</v>
      </c>
      <c r="VNY1590" s="55">
        <f t="shared" si="276"/>
        <v>0</v>
      </c>
      <c r="VNZ1590" s="55">
        <f t="shared" si="276"/>
        <v>0</v>
      </c>
      <c r="VOA1590" s="55">
        <f t="shared" si="276"/>
        <v>0</v>
      </c>
      <c r="VOB1590" s="55">
        <f t="shared" si="276"/>
        <v>0</v>
      </c>
      <c r="VOC1590" s="55">
        <f t="shared" si="276"/>
        <v>0</v>
      </c>
      <c r="VOD1590" s="55">
        <f t="shared" si="276"/>
        <v>0</v>
      </c>
      <c r="VOE1590" s="55">
        <f t="shared" si="276"/>
        <v>0</v>
      </c>
      <c r="VOF1590" s="55">
        <f t="shared" si="276"/>
        <v>0</v>
      </c>
      <c r="VOG1590" s="55">
        <f t="shared" si="276"/>
        <v>0</v>
      </c>
      <c r="VOH1590" s="55">
        <f t="shared" si="276"/>
        <v>0</v>
      </c>
      <c r="VOI1590" s="55">
        <f t="shared" si="276"/>
        <v>0</v>
      </c>
      <c r="VOJ1590" s="55">
        <f t="shared" si="276"/>
        <v>0</v>
      </c>
      <c r="VOK1590" s="55">
        <f t="shared" si="276"/>
        <v>0</v>
      </c>
      <c r="VOL1590" s="55">
        <f t="shared" si="276"/>
        <v>0</v>
      </c>
      <c r="VOM1590" s="55">
        <f t="shared" si="276"/>
        <v>0</v>
      </c>
      <c r="VON1590" s="55">
        <f t="shared" si="276"/>
        <v>0</v>
      </c>
      <c r="VOO1590" s="55">
        <f t="shared" si="276"/>
        <v>0</v>
      </c>
      <c r="VOP1590" s="55">
        <f t="shared" si="276"/>
        <v>0</v>
      </c>
      <c r="VOQ1590" s="55">
        <f t="shared" si="276"/>
        <v>0</v>
      </c>
      <c r="VOR1590" s="55">
        <f t="shared" si="276"/>
        <v>0</v>
      </c>
      <c r="VOS1590" s="55">
        <f t="shared" si="276"/>
        <v>0</v>
      </c>
      <c r="VOT1590" s="55">
        <f t="shared" si="276"/>
        <v>0</v>
      </c>
      <c r="VOU1590" s="55">
        <f t="shared" si="276"/>
        <v>0</v>
      </c>
      <c r="VOV1590" s="55">
        <f t="shared" si="276"/>
        <v>0</v>
      </c>
      <c r="VOW1590" s="55">
        <f t="shared" si="276"/>
        <v>0</v>
      </c>
      <c r="VOX1590" s="55">
        <f t="shared" si="276"/>
        <v>0</v>
      </c>
      <c r="VOY1590" s="55">
        <f t="shared" si="276"/>
        <v>0</v>
      </c>
      <c r="VOZ1590" s="55">
        <f t="shared" si="276"/>
        <v>0</v>
      </c>
      <c r="VPA1590" s="55">
        <f t="shared" si="276"/>
        <v>0</v>
      </c>
      <c r="VPB1590" s="55">
        <f t="shared" si="276"/>
        <v>0</v>
      </c>
      <c r="VPC1590" s="55">
        <f t="shared" si="276"/>
        <v>0</v>
      </c>
      <c r="VPD1590" s="55">
        <f t="shared" si="276"/>
        <v>0</v>
      </c>
      <c r="VPE1590" s="55">
        <f t="shared" si="276"/>
        <v>0</v>
      </c>
      <c r="VPF1590" s="55">
        <f t="shared" si="276"/>
        <v>0</v>
      </c>
      <c r="VPG1590" s="55">
        <f t="shared" si="276"/>
        <v>0</v>
      </c>
      <c r="VPH1590" s="55">
        <f t="shared" si="276"/>
        <v>0</v>
      </c>
      <c r="VPI1590" s="55">
        <f t="shared" si="276"/>
        <v>0</v>
      </c>
      <c r="VPJ1590" s="55">
        <f t="shared" si="276"/>
        <v>0</v>
      </c>
      <c r="VPK1590" s="55">
        <f t="shared" si="276"/>
        <v>0</v>
      </c>
      <c r="VPL1590" s="55">
        <f t="shared" si="276"/>
        <v>0</v>
      </c>
      <c r="VPM1590" s="55">
        <f t="shared" si="276"/>
        <v>0</v>
      </c>
      <c r="VPN1590" s="55">
        <f t="shared" si="276"/>
        <v>0</v>
      </c>
      <c r="VPO1590" s="55">
        <f t="shared" si="276"/>
        <v>0</v>
      </c>
      <c r="VPP1590" s="55">
        <f t="shared" si="276"/>
        <v>0</v>
      </c>
      <c r="VPQ1590" s="55">
        <f t="shared" si="276"/>
        <v>0</v>
      </c>
      <c r="VPR1590" s="55">
        <f t="shared" si="276"/>
        <v>0</v>
      </c>
      <c r="VPS1590" s="55">
        <f t="shared" si="276"/>
        <v>0</v>
      </c>
      <c r="VPT1590" s="55">
        <f t="shared" ref="VPT1590:VSE1590" si="277">+(VPT1600+VPT1604)*1.18*1.1</f>
        <v>0</v>
      </c>
      <c r="VPU1590" s="55">
        <f t="shared" si="277"/>
        <v>0</v>
      </c>
      <c r="VPV1590" s="55">
        <f t="shared" si="277"/>
        <v>0</v>
      </c>
      <c r="VPW1590" s="55">
        <f t="shared" si="277"/>
        <v>0</v>
      </c>
      <c r="VPX1590" s="55">
        <f t="shared" si="277"/>
        <v>0</v>
      </c>
      <c r="VPY1590" s="55">
        <f t="shared" si="277"/>
        <v>0</v>
      </c>
      <c r="VPZ1590" s="55">
        <f t="shared" si="277"/>
        <v>0</v>
      </c>
      <c r="VQA1590" s="55">
        <f t="shared" si="277"/>
        <v>0</v>
      </c>
      <c r="VQB1590" s="55">
        <f t="shared" si="277"/>
        <v>0</v>
      </c>
      <c r="VQC1590" s="55">
        <f t="shared" si="277"/>
        <v>0</v>
      </c>
      <c r="VQD1590" s="55">
        <f t="shared" si="277"/>
        <v>0</v>
      </c>
      <c r="VQE1590" s="55">
        <f t="shared" si="277"/>
        <v>0</v>
      </c>
      <c r="VQF1590" s="55">
        <f t="shared" si="277"/>
        <v>0</v>
      </c>
      <c r="VQG1590" s="55">
        <f t="shared" si="277"/>
        <v>0</v>
      </c>
      <c r="VQH1590" s="55">
        <f t="shared" si="277"/>
        <v>0</v>
      </c>
      <c r="VQI1590" s="55">
        <f t="shared" si="277"/>
        <v>0</v>
      </c>
      <c r="VQJ1590" s="55">
        <f t="shared" si="277"/>
        <v>0</v>
      </c>
      <c r="VQK1590" s="55">
        <f t="shared" si="277"/>
        <v>0</v>
      </c>
      <c r="VQL1590" s="55">
        <f t="shared" si="277"/>
        <v>0</v>
      </c>
      <c r="VQM1590" s="55">
        <f t="shared" si="277"/>
        <v>0</v>
      </c>
      <c r="VQN1590" s="55">
        <f t="shared" si="277"/>
        <v>0</v>
      </c>
      <c r="VQO1590" s="55">
        <f t="shared" si="277"/>
        <v>0</v>
      </c>
      <c r="VQP1590" s="55">
        <f t="shared" si="277"/>
        <v>0</v>
      </c>
      <c r="VQQ1590" s="55">
        <f t="shared" si="277"/>
        <v>0</v>
      </c>
      <c r="VQR1590" s="55">
        <f t="shared" si="277"/>
        <v>0</v>
      </c>
      <c r="VQS1590" s="55">
        <f t="shared" si="277"/>
        <v>0</v>
      </c>
      <c r="VQT1590" s="55">
        <f t="shared" si="277"/>
        <v>0</v>
      </c>
      <c r="VQU1590" s="55">
        <f t="shared" si="277"/>
        <v>0</v>
      </c>
      <c r="VQV1590" s="55">
        <f t="shared" si="277"/>
        <v>0</v>
      </c>
      <c r="VQW1590" s="55">
        <f t="shared" si="277"/>
        <v>0</v>
      </c>
      <c r="VQX1590" s="55">
        <f t="shared" si="277"/>
        <v>0</v>
      </c>
      <c r="VQY1590" s="55">
        <f t="shared" si="277"/>
        <v>0</v>
      </c>
      <c r="VQZ1590" s="55">
        <f t="shared" si="277"/>
        <v>0</v>
      </c>
      <c r="VRA1590" s="55">
        <f t="shared" si="277"/>
        <v>0</v>
      </c>
      <c r="VRB1590" s="55">
        <f t="shared" si="277"/>
        <v>0</v>
      </c>
      <c r="VRC1590" s="55">
        <f t="shared" si="277"/>
        <v>0</v>
      </c>
      <c r="VRD1590" s="55">
        <f t="shared" si="277"/>
        <v>0</v>
      </c>
      <c r="VRE1590" s="55">
        <f t="shared" si="277"/>
        <v>0</v>
      </c>
      <c r="VRF1590" s="55">
        <f t="shared" si="277"/>
        <v>0</v>
      </c>
      <c r="VRG1590" s="55">
        <f t="shared" si="277"/>
        <v>0</v>
      </c>
      <c r="VRH1590" s="55">
        <f t="shared" si="277"/>
        <v>0</v>
      </c>
      <c r="VRI1590" s="55">
        <f t="shared" si="277"/>
        <v>0</v>
      </c>
      <c r="VRJ1590" s="55">
        <f t="shared" si="277"/>
        <v>0</v>
      </c>
      <c r="VRK1590" s="55">
        <f t="shared" si="277"/>
        <v>0</v>
      </c>
      <c r="VRL1590" s="55">
        <f t="shared" si="277"/>
        <v>0</v>
      </c>
      <c r="VRM1590" s="55">
        <f t="shared" si="277"/>
        <v>0</v>
      </c>
      <c r="VRN1590" s="55">
        <f t="shared" si="277"/>
        <v>0</v>
      </c>
      <c r="VRO1590" s="55">
        <f t="shared" si="277"/>
        <v>0</v>
      </c>
      <c r="VRP1590" s="55">
        <f t="shared" si="277"/>
        <v>0</v>
      </c>
      <c r="VRQ1590" s="55">
        <f t="shared" si="277"/>
        <v>0</v>
      </c>
      <c r="VRR1590" s="55">
        <f t="shared" si="277"/>
        <v>0</v>
      </c>
      <c r="VRS1590" s="55">
        <f t="shared" si="277"/>
        <v>0</v>
      </c>
      <c r="VRT1590" s="55">
        <f t="shared" si="277"/>
        <v>0</v>
      </c>
      <c r="VRU1590" s="55">
        <f t="shared" si="277"/>
        <v>0</v>
      </c>
      <c r="VRV1590" s="55">
        <f t="shared" si="277"/>
        <v>0</v>
      </c>
      <c r="VRW1590" s="55">
        <f t="shared" si="277"/>
        <v>0</v>
      </c>
      <c r="VRX1590" s="55">
        <f t="shared" si="277"/>
        <v>0</v>
      </c>
      <c r="VRY1590" s="55">
        <f t="shared" si="277"/>
        <v>0</v>
      </c>
      <c r="VRZ1590" s="55">
        <f t="shared" si="277"/>
        <v>0</v>
      </c>
      <c r="VSA1590" s="55">
        <f t="shared" si="277"/>
        <v>0</v>
      </c>
      <c r="VSB1590" s="55">
        <f t="shared" si="277"/>
        <v>0</v>
      </c>
      <c r="VSC1590" s="55">
        <f t="shared" si="277"/>
        <v>0</v>
      </c>
      <c r="VSD1590" s="55">
        <f t="shared" si="277"/>
        <v>0</v>
      </c>
      <c r="VSE1590" s="55">
        <f t="shared" si="277"/>
        <v>0</v>
      </c>
      <c r="VSF1590" s="55">
        <f t="shared" ref="VSF1590:VUQ1590" si="278">+(VSF1600+VSF1604)*1.18*1.1</f>
        <v>0</v>
      </c>
      <c r="VSG1590" s="55">
        <f t="shared" si="278"/>
        <v>0</v>
      </c>
      <c r="VSH1590" s="55">
        <f t="shared" si="278"/>
        <v>0</v>
      </c>
      <c r="VSI1590" s="55">
        <f t="shared" si="278"/>
        <v>0</v>
      </c>
      <c r="VSJ1590" s="55">
        <f t="shared" si="278"/>
        <v>0</v>
      </c>
      <c r="VSK1590" s="55">
        <f t="shared" si="278"/>
        <v>0</v>
      </c>
      <c r="VSL1590" s="55">
        <f t="shared" si="278"/>
        <v>0</v>
      </c>
      <c r="VSM1590" s="55">
        <f t="shared" si="278"/>
        <v>0</v>
      </c>
      <c r="VSN1590" s="55">
        <f t="shared" si="278"/>
        <v>0</v>
      </c>
      <c r="VSO1590" s="55">
        <f t="shared" si="278"/>
        <v>0</v>
      </c>
      <c r="VSP1590" s="55">
        <f t="shared" si="278"/>
        <v>0</v>
      </c>
      <c r="VSQ1590" s="55">
        <f t="shared" si="278"/>
        <v>0</v>
      </c>
      <c r="VSR1590" s="55">
        <f t="shared" si="278"/>
        <v>0</v>
      </c>
      <c r="VSS1590" s="55">
        <f t="shared" si="278"/>
        <v>0</v>
      </c>
      <c r="VST1590" s="55">
        <f t="shared" si="278"/>
        <v>0</v>
      </c>
      <c r="VSU1590" s="55">
        <f t="shared" si="278"/>
        <v>0</v>
      </c>
      <c r="VSV1590" s="55">
        <f t="shared" si="278"/>
        <v>0</v>
      </c>
      <c r="VSW1590" s="55">
        <f t="shared" si="278"/>
        <v>0</v>
      </c>
      <c r="VSX1590" s="55">
        <f t="shared" si="278"/>
        <v>0</v>
      </c>
      <c r="VSY1590" s="55">
        <f t="shared" si="278"/>
        <v>0</v>
      </c>
      <c r="VSZ1590" s="55">
        <f t="shared" si="278"/>
        <v>0</v>
      </c>
      <c r="VTA1590" s="55">
        <f t="shared" si="278"/>
        <v>0</v>
      </c>
      <c r="VTB1590" s="55">
        <f t="shared" si="278"/>
        <v>0</v>
      </c>
      <c r="VTC1590" s="55">
        <f t="shared" si="278"/>
        <v>0</v>
      </c>
      <c r="VTD1590" s="55">
        <f t="shared" si="278"/>
        <v>0</v>
      </c>
      <c r="VTE1590" s="55">
        <f t="shared" si="278"/>
        <v>0</v>
      </c>
      <c r="VTF1590" s="55">
        <f t="shared" si="278"/>
        <v>0</v>
      </c>
      <c r="VTG1590" s="55">
        <f t="shared" si="278"/>
        <v>0</v>
      </c>
      <c r="VTH1590" s="55">
        <f t="shared" si="278"/>
        <v>0</v>
      </c>
      <c r="VTI1590" s="55">
        <f t="shared" si="278"/>
        <v>0</v>
      </c>
      <c r="VTJ1590" s="55">
        <f t="shared" si="278"/>
        <v>0</v>
      </c>
      <c r="VTK1590" s="55">
        <f t="shared" si="278"/>
        <v>0</v>
      </c>
      <c r="VTL1590" s="55">
        <f t="shared" si="278"/>
        <v>0</v>
      </c>
      <c r="VTM1590" s="55">
        <f t="shared" si="278"/>
        <v>0</v>
      </c>
      <c r="VTN1590" s="55">
        <f t="shared" si="278"/>
        <v>0</v>
      </c>
      <c r="VTO1590" s="55">
        <f t="shared" si="278"/>
        <v>0</v>
      </c>
      <c r="VTP1590" s="55">
        <f t="shared" si="278"/>
        <v>0</v>
      </c>
      <c r="VTQ1590" s="55">
        <f t="shared" si="278"/>
        <v>0</v>
      </c>
      <c r="VTR1590" s="55">
        <f t="shared" si="278"/>
        <v>0</v>
      </c>
      <c r="VTS1590" s="55">
        <f t="shared" si="278"/>
        <v>0</v>
      </c>
      <c r="VTT1590" s="55">
        <f t="shared" si="278"/>
        <v>0</v>
      </c>
      <c r="VTU1590" s="55">
        <f t="shared" si="278"/>
        <v>0</v>
      </c>
      <c r="VTV1590" s="55">
        <f t="shared" si="278"/>
        <v>0</v>
      </c>
      <c r="VTW1590" s="55">
        <f t="shared" si="278"/>
        <v>0</v>
      </c>
      <c r="VTX1590" s="55">
        <f t="shared" si="278"/>
        <v>0</v>
      </c>
      <c r="VTY1590" s="55">
        <f t="shared" si="278"/>
        <v>0</v>
      </c>
      <c r="VTZ1590" s="55">
        <f t="shared" si="278"/>
        <v>0</v>
      </c>
      <c r="VUA1590" s="55">
        <f t="shared" si="278"/>
        <v>0</v>
      </c>
      <c r="VUB1590" s="55">
        <f t="shared" si="278"/>
        <v>0</v>
      </c>
      <c r="VUC1590" s="55">
        <f t="shared" si="278"/>
        <v>0</v>
      </c>
      <c r="VUD1590" s="55">
        <f t="shared" si="278"/>
        <v>0</v>
      </c>
      <c r="VUE1590" s="55">
        <f t="shared" si="278"/>
        <v>0</v>
      </c>
      <c r="VUF1590" s="55">
        <f t="shared" si="278"/>
        <v>0</v>
      </c>
      <c r="VUG1590" s="55">
        <f t="shared" si="278"/>
        <v>0</v>
      </c>
      <c r="VUH1590" s="55">
        <f t="shared" si="278"/>
        <v>0</v>
      </c>
      <c r="VUI1590" s="55">
        <f t="shared" si="278"/>
        <v>0</v>
      </c>
      <c r="VUJ1590" s="55">
        <f t="shared" si="278"/>
        <v>0</v>
      </c>
      <c r="VUK1590" s="55">
        <f t="shared" si="278"/>
        <v>0</v>
      </c>
      <c r="VUL1590" s="55">
        <f t="shared" si="278"/>
        <v>0</v>
      </c>
      <c r="VUM1590" s="55">
        <f t="shared" si="278"/>
        <v>0</v>
      </c>
      <c r="VUN1590" s="55">
        <f t="shared" si="278"/>
        <v>0</v>
      </c>
      <c r="VUO1590" s="55">
        <f t="shared" si="278"/>
        <v>0</v>
      </c>
      <c r="VUP1590" s="55">
        <f t="shared" si="278"/>
        <v>0</v>
      </c>
      <c r="VUQ1590" s="55">
        <f t="shared" si="278"/>
        <v>0</v>
      </c>
      <c r="VUR1590" s="55">
        <f t="shared" ref="VUR1590:VXC1590" si="279">+(VUR1600+VUR1604)*1.18*1.1</f>
        <v>0</v>
      </c>
      <c r="VUS1590" s="55">
        <f t="shared" si="279"/>
        <v>0</v>
      </c>
      <c r="VUT1590" s="55">
        <f t="shared" si="279"/>
        <v>0</v>
      </c>
      <c r="VUU1590" s="55">
        <f t="shared" si="279"/>
        <v>0</v>
      </c>
      <c r="VUV1590" s="55">
        <f t="shared" si="279"/>
        <v>0</v>
      </c>
      <c r="VUW1590" s="55">
        <f t="shared" si="279"/>
        <v>0</v>
      </c>
      <c r="VUX1590" s="55">
        <f t="shared" si="279"/>
        <v>0</v>
      </c>
      <c r="VUY1590" s="55">
        <f t="shared" si="279"/>
        <v>0</v>
      </c>
      <c r="VUZ1590" s="55">
        <f t="shared" si="279"/>
        <v>0</v>
      </c>
      <c r="VVA1590" s="55">
        <f t="shared" si="279"/>
        <v>0</v>
      </c>
      <c r="VVB1590" s="55">
        <f t="shared" si="279"/>
        <v>0</v>
      </c>
      <c r="VVC1590" s="55">
        <f t="shared" si="279"/>
        <v>0</v>
      </c>
      <c r="VVD1590" s="55">
        <f t="shared" si="279"/>
        <v>0</v>
      </c>
      <c r="VVE1590" s="55">
        <f t="shared" si="279"/>
        <v>0</v>
      </c>
      <c r="VVF1590" s="55">
        <f t="shared" si="279"/>
        <v>0</v>
      </c>
      <c r="VVG1590" s="55">
        <f t="shared" si="279"/>
        <v>0</v>
      </c>
      <c r="VVH1590" s="55">
        <f t="shared" si="279"/>
        <v>0</v>
      </c>
      <c r="VVI1590" s="55">
        <f t="shared" si="279"/>
        <v>0</v>
      </c>
      <c r="VVJ1590" s="55">
        <f t="shared" si="279"/>
        <v>0</v>
      </c>
      <c r="VVK1590" s="55">
        <f t="shared" si="279"/>
        <v>0</v>
      </c>
      <c r="VVL1590" s="55">
        <f t="shared" si="279"/>
        <v>0</v>
      </c>
      <c r="VVM1590" s="55">
        <f t="shared" si="279"/>
        <v>0</v>
      </c>
      <c r="VVN1590" s="55">
        <f t="shared" si="279"/>
        <v>0</v>
      </c>
      <c r="VVO1590" s="55">
        <f t="shared" si="279"/>
        <v>0</v>
      </c>
      <c r="VVP1590" s="55">
        <f t="shared" si="279"/>
        <v>0</v>
      </c>
      <c r="VVQ1590" s="55">
        <f t="shared" si="279"/>
        <v>0</v>
      </c>
      <c r="VVR1590" s="55">
        <f t="shared" si="279"/>
        <v>0</v>
      </c>
      <c r="VVS1590" s="55">
        <f t="shared" si="279"/>
        <v>0</v>
      </c>
      <c r="VVT1590" s="55">
        <f t="shared" si="279"/>
        <v>0</v>
      </c>
      <c r="VVU1590" s="55">
        <f t="shared" si="279"/>
        <v>0</v>
      </c>
      <c r="VVV1590" s="55">
        <f t="shared" si="279"/>
        <v>0</v>
      </c>
      <c r="VVW1590" s="55">
        <f t="shared" si="279"/>
        <v>0</v>
      </c>
      <c r="VVX1590" s="55">
        <f t="shared" si="279"/>
        <v>0</v>
      </c>
      <c r="VVY1590" s="55">
        <f t="shared" si="279"/>
        <v>0</v>
      </c>
      <c r="VVZ1590" s="55">
        <f t="shared" si="279"/>
        <v>0</v>
      </c>
      <c r="VWA1590" s="55">
        <f t="shared" si="279"/>
        <v>0</v>
      </c>
      <c r="VWB1590" s="55">
        <f t="shared" si="279"/>
        <v>0</v>
      </c>
      <c r="VWC1590" s="55">
        <f t="shared" si="279"/>
        <v>0</v>
      </c>
      <c r="VWD1590" s="55">
        <f t="shared" si="279"/>
        <v>0</v>
      </c>
      <c r="VWE1590" s="55">
        <f t="shared" si="279"/>
        <v>0</v>
      </c>
      <c r="VWF1590" s="55">
        <f t="shared" si="279"/>
        <v>0</v>
      </c>
      <c r="VWG1590" s="55">
        <f t="shared" si="279"/>
        <v>0</v>
      </c>
      <c r="VWH1590" s="55">
        <f t="shared" si="279"/>
        <v>0</v>
      </c>
      <c r="VWI1590" s="55">
        <f t="shared" si="279"/>
        <v>0</v>
      </c>
      <c r="VWJ1590" s="55">
        <f t="shared" si="279"/>
        <v>0</v>
      </c>
      <c r="VWK1590" s="55">
        <f t="shared" si="279"/>
        <v>0</v>
      </c>
      <c r="VWL1590" s="55">
        <f t="shared" si="279"/>
        <v>0</v>
      </c>
      <c r="VWM1590" s="55">
        <f t="shared" si="279"/>
        <v>0</v>
      </c>
      <c r="VWN1590" s="55">
        <f t="shared" si="279"/>
        <v>0</v>
      </c>
      <c r="VWO1590" s="55">
        <f t="shared" si="279"/>
        <v>0</v>
      </c>
      <c r="VWP1590" s="55">
        <f t="shared" si="279"/>
        <v>0</v>
      </c>
      <c r="VWQ1590" s="55">
        <f t="shared" si="279"/>
        <v>0</v>
      </c>
      <c r="VWR1590" s="55">
        <f t="shared" si="279"/>
        <v>0</v>
      </c>
      <c r="VWS1590" s="55">
        <f t="shared" si="279"/>
        <v>0</v>
      </c>
      <c r="VWT1590" s="55">
        <f t="shared" si="279"/>
        <v>0</v>
      </c>
      <c r="VWU1590" s="55">
        <f t="shared" si="279"/>
        <v>0</v>
      </c>
      <c r="VWV1590" s="55">
        <f t="shared" si="279"/>
        <v>0</v>
      </c>
      <c r="VWW1590" s="55">
        <f t="shared" si="279"/>
        <v>0</v>
      </c>
      <c r="VWX1590" s="55">
        <f t="shared" si="279"/>
        <v>0</v>
      </c>
      <c r="VWY1590" s="55">
        <f t="shared" si="279"/>
        <v>0</v>
      </c>
      <c r="VWZ1590" s="55">
        <f t="shared" si="279"/>
        <v>0</v>
      </c>
      <c r="VXA1590" s="55">
        <f t="shared" si="279"/>
        <v>0</v>
      </c>
      <c r="VXB1590" s="55">
        <f t="shared" si="279"/>
        <v>0</v>
      </c>
      <c r="VXC1590" s="55">
        <f t="shared" si="279"/>
        <v>0</v>
      </c>
      <c r="VXD1590" s="55">
        <f t="shared" ref="VXD1590:VZO1590" si="280">+(VXD1600+VXD1604)*1.18*1.1</f>
        <v>0</v>
      </c>
      <c r="VXE1590" s="55">
        <f t="shared" si="280"/>
        <v>0</v>
      </c>
      <c r="VXF1590" s="55">
        <f t="shared" si="280"/>
        <v>0</v>
      </c>
      <c r="VXG1590" s="55">
        <f t="shared" si="280"/>
        <v>0</v>
      </c>
      <c r="VXH1590" s="55">
        <f t="shared" si="280"/>
        <v>0</v>
      </c>
      <c r="VXI1590" s="55">
        <f t="shared" si="280"/>
        <v>0</v>
      </c>
      <c r="VXJ1590" s="55">
        <f t="shared" si="280"/>
        <v>0</v>
      </c>
      <c r="VXK1590" s="55">
        <f t="shared" si="280"/>
        <v>0</v>
      </c>
      <c r="VXL1590" s="55">
        <f t="shared" si="280"/>
        <v>0</v>
      </c>
      <c r="VXM1590" s="55">
        <f t="shared" si="280"/>
        <v>0</v>
      </c>
      <c r="VXN1590" s="55">
        <f t="shared" si="280"/>
        <v>0</v>
      </c>
      <c r="VXO1590" s="55">
        <f t="shared" si="280"/>
        <v>0</v>
      </c>
      <c r="VXP1590" s="55">
        <f t="shared" si="280"/>
        <v>0</v>
      </c>
      <c r="VXQ1590" s="55">
        <f t="shared" si="280"/>
        <v>0</v>
      </c>
      <c r="VXR1590" s="55">
        <f t="shared" si="280"/>
        <v>0</v>
      </c>
      <c r="VXS1590" s="55">
        <f t="shared" si="280"/>
        <v>0</v>
      </c>
      <c r="VXT1590" s="55">
        <f t="shared" si="280"/>
        <v>0</v>
      </c>
      <c r="VXU1590" s="55">
        <f t="shared" si="280"/>
        <v>0</v>
      </c>
      <c r="VXV1590" s="55">
        <f t="shared" si="280"/>
        <v>0</v>
      </c>
      <c r="VXW1590" s="55">
        <f t="shared" si="280"/>
        <v>0</v>
      </c>
      <c r="VXX1590" s="55">
        <f t="shared" si="280"/>
        <v>0</v>
      </c>
      <c r="VXY1590" s="55">
        <f t="shared" si="280"/>
        <v>0</v>
      </c>
      <c r="VXZ1590" s="55">
        <f t="shared" si="280"/>
        <v>0</v>
      </c>
      <c r="VYA1590" s="55">
        <f t="shared" si="280"/>
        <v>0</v>
      </c>
      <c r="VYB1590" s="55">
        <f t="shared" si="280"/>
        <v>0</v>
      </c>
      <c r="VYC1590" s="55">
        <f t="shared" si="280"/>
        <v>0</v>
      </c>
      <c r="VYD1590" s="55">
        <f t="shared" si="280"/>
        <v>0</v>
      </c>
      <c r="VYE1590" s="55">
        <f t="shared" si="280"/>
        <v>0</v>
      </c>
      <c r="VYF1590" s="55">
        <f t="shared" si="280"/>
        <v>0</v>
      </c>
      <c r="VYG1590" s="55">
        <f t="shared" si="280"/>
        <v>0</v>
      </c>
      <c r="VYH1590" s="55">
        <f t="shared" si="280"/>
        <v>0</v>
      </c>
      <c r="VYI1590" s="55">
        <f t="shared" si="280"/>
        <v>0</v>
      </c>
      <c r="VYJ1590" s="55">
        <f t="shared" si="280"/>
        <v>0</v>
      </c>
      <c r="VYK1590" s="55">
        <f t="shared" si="280"/>
        <v>0</v>
      </c>
      <c r="VYL1590" s="55">
        <f t="shared" si="280"/>
        <v>0</v>
      </c>
      <c r="VYM1590" s="55">
        <f t="shared" si="280"/>
        <v>0</v>
      </c>
      <c r="VYN1590" s="55">
        <f t="shared" si="280"/>
        <v>0</v>
      </c>
      <c r="VYO1590" s="55">
        <f t="shared" si="280"/>
        <v>0</v>
      </c>
      <c r="VYP1590" s="55">
        <f t="shared" si="280"/>
        <v>0</v>
      </c>
      <c r="VYQ1590" s="55">
        <f t="shared" si="280"/>
        <v>0</v>
      </c>
      <c r="VYR1590" s="55">
        <f t="shared" si="280"/>
        <v>0</v>
      </c>
      <c r="VYS1590" s="55">
        <f t="shared" si="280"/>
        <v>0</v>
      </c>
      <c r="VYT1590" s="55">
        <f t="shared" si="280"/>
        <v>0</v>
      </c>
      <c r="VYU1590" s="55">
        <f t="shared" si="280"/>
        <v>0</v>
      </c>
      <c r="VYV1590" s="55">
        <f t="shared" si="280"/>
        <v>0</v>
      </c>
      <c r="VYW1590" s="55">
        <f t="shared" si="280"/>
        <v>0</v>
      </c>
      <c r="VYX1590" s="55">
        <f t="shared" si="280"/>
        <v>0</v>
      </c>
      <c r="VYY1590" s="55">
        <f t="shared" si="280"/>
        <v>0</v>
      </c>
      <c r="VYZ1590" s="55">
        <f t="shared" si="280"/>
        <v>0</v>
      </c>
      <c r="VZA1590" s="55">
        <f t="shared" si="280"/>
        <v>0</v>
      </c>
      <c r="VZB1590" s="55">
        <f t="shared" si="280"/>
        <v>0</v>
      </c>
      <c r="VZC1590" s="55">
        <f t="shared" si="280"/>
        <v>0</v>
      </c>
      <c r="VZD1590" s="55">
        <f t="shared" si="280"/>
        <v>0</v>
      </c>
      <c r="VZE1590" s="55">
        <f t="shared" si="280"/>
        <v>0</v>
      </c>
      <c r="VZF1590" s="55">
        <f t="shared" si="280"/>
        <v>0</v>
      </c>
      <c r="VZG1590" s="55">
        <f t="shared" si="280"/>
        <v>0</v>
      </c>
      <c r="VZH1590" s="55">
        <f t="shared" si="280"/>
        <v>0</v>
      </c>
      <c r="VZI1590" s="55">
        <f t="shared" si="280"/>
        <v>0</v>
      </c>
      <c r="VZJ1590" s="55">
        <f t="shared" si="280"/>
        <v>0</v>
      </c>
      <c r="VZK1590" s="55">
        <f t="shared" si="280"/>
        <v>0</v>
      </c>
      <c r="VZL1590" s="55">
        <f t="shared" si="280"/>
        <v>0</v>
      </c>
      <c r="VZM1590" s="55">
        <f t="shared" si="280"/>
        <v>0</v>
      </c>
      <c r="VZN1590" s="55">
        <f t="shared" si="280"/>
        <v>0</v>
      </c>
      <c r="VZO1590" s="55">
        <f t="shared" si="280"/>
        <v>0</v>
      </c>
      <c r="VZP1590" s="55">
        <f t="shared" ref="VZP1590:WCA1590" si="281">+(VZP1600+VZP1604)*1.18*1.1</f>
        <v>0</v>
      </c>
      <c r="VZQ1590" s="55">
        <f t="shared" si="281"/>
        <v>0</v>
      </c>
      <c r="VZR1590" s="55">
        <f t="shared" si="281"/>
        <v>0</v>
      </c>
      <c r="VZS1590" s="55">
        <f t="shared" si="281"/>
        <v>0</v>
      </c>
      <c r="VZT1590" s="55">
        <f t="shared" si="281"/>
        <v>0</v>
      </c>
      <c r="VZU1590" s="55">
        <f t="shared" si="281"/>
        <v>0</v>
      </c>
      <c r="VZV1590" s="55">
        <f t="shared" si="281"/>
        <v>0</v>
      </c>
      <c r="VZW1590" s="55">
        <f t="shared" si="281"/>
        <v>0</v>
      </c>
      <c r="VZX1590" s="55">
        <f t="shared" si="281"/>
        <v>0</v>
      </c>
      <c r="VZY1590" s="55">
        <f t="shared" si="281"/>
        <v>0</v>
      </c>
      <c r="VZZ1590" s="55">
        <f t="shared" si="281"/>
        <v>0</v>
      </c>
      <c r="WAA1590" s="55">
        <f t="shared" si="281"/>
        <v>0</v>
      </c>
      <c r="WAB1590" s="55">
        <f t="shared" si="281"/>
        <v>0</v>
      </c>
      <c r="WAC1590" s="55">
        <f t="shared" si="281"/>
        <v>0</v>
      </c>
      <c r="WAD1590" s="55">
        <f t="shared" si="281"/>
        <v>0</v>
      </c>
      <c r="WAE1590" s="55">
        <f t="shared" si="281"/>
        <v>0</v>
      </c>
      <c r="WAF1590" s="55">
        <f t="shared" si="281"/>
        <v>0</v>
      </c>
      <c r="WAG1590" s="55">
        <f t="shared" si="281"/>
        <v>0</v>
      </c>
      <c r="WAH1590" s="55">
        <f t="shared" si="281"/>
        <v>0</v>
      </c>
      <c r="WAI1590" s="55">
        <f t="shared" si="281"/>
        <v>0</v>
      </c>
      <c r="WAJ1590" s="55">
        <f t="shared" si="281"/>
        <v>0</v>
      </c>
      <c r="WAK1590" s="55">
        <f t="shared" si="281"/>
        <v>0</v>
      </c>
      <c r="WAL1590" s="55">
        <f t="shared" si="281"/>
        <v>0</v>
      </c>
      <c r="WAM1590" s="55">
        <f t="shared" si="281"/>
        <v>0</v>
      </c>
      <c r="WAN1590" s="55">
        <f t="shared" si="281"/>
        <v>0</v>
      </c>
      <c r="WAO1590" s="55">
        <f t="shared" si="281"/>
        <v>0</v>
      </c>
      <c r="WAP1590" s="55">
        <f t="shared" si="281"/>
        <v>0</v>
      </c>
      <c r="WAQ1590" s="55">
        <f t="shared" si="281"/>
        <v>0</v>
      </c>
      <c r="WAR1590" s="55">
        <f t="shared" si="281"/>
        <v>0</v>
      </c>
      <c r="WAS1590" s="55">
        <f t="shared" si="281"/>
        <v>0</v>
      </c>
      <c r="WAT1590" s="55">
        <f t="shared" si="281"/>
        <v>0</v>
      </c>
      <c r="WAU1590" s="55">
        <f t="shared" si="281"/>
        <v>0</v>
      </c>
      <c r="WAV1590" s="55">
        <f t="shared" si="281"/>
        <v>0</v>
      </c>
      <c r="WAW1590" s="55">
        <f t="shared" si="281"/>
        <v>0</v>
      </c>
      <c r="WAX1590" s="55">
        <f t="shared" si="281"/>
        <v>0</v>
      </c>
      <c r="WAY1590" s="55">
        <f t="shared" si="281"/>
        <v>0</v>
      </c>
      <c r="WAZ1590" s="55">
        <f t="shared" si="281"/>
        <v>0</v>
      </c>
      <c r="WBA1590" s="55">
        <f t="shared" si="281"/>
        <v>0</v>
      </c>
      <c r="WBB1590" s="55">
        <f t="shared" si="281"/>
        <v>0</v>
      </c>
      <c r="WBC1590" s="55">
        <f t="shared" si="281"/>
        <v>0</v>
      </c>
      <c r="WBD1590" s="55">
        <f t="shared" si="281"/>
        <v>0</v>
      </c>
      <c r="WBE1590" s="55">
        <f t="shared" si="281"/>
        <v>0</v>
      </c>
      <c r="WBF1590" s="55">
        <f t="shared" si="281"/>
        <v>0</v>
      </c>
      <c r="WBG1590" s="55">
        <f t="shared" si="281"/>
        <v>0</v>
      </c>
      <c r="WBH1590" s="55">
        <f t="shared" si="281"/>
        <v>0</v>
      </c>
      <c r="WBI1590" s="55">
        <f t="shared" si="281"/>
        <v>0</v>
      </c>
      <c r="WBJ1590" s="55">
        <f t="shared" si="281"/>
        <v>0</v>
      </c>
      <c r="WBK1590" s="55">
        <f t="shared" si="281"/>
        <v>0</v>
      </c>
      <c r="WBL1590" s="55">
        <f t="shared" si="281"/>
        <v>0</v>
      </c>
      <c r="WBM1590" s="55">
        <f t="shared" si="281"/>
        <v>0</v>
      </c>
      <c r="WBN1590" s="55">
        <f t="shared" si="281"/>
        <v>0</v>
      </c>
      <c r="WBO1590" s="55">
        <f t="shared" si="281"/>
        <v>0</v>
      </c>
      <c r="WBP1590" s="55">
        <f t="shared" si="281"/>
        <v>0</v>
      </c>
      <c r="WBQ1590" s="55">
        <f t="shared" si="281"/>
        <v>0</v>
      </c>
      <c r="WBR1590" s="55">
        <f t="shared" si="281"/>
        <v>0</v>
      </c>
      <c r="WBS1590" s="55">
        <f t="shared" si="281"/>
        <v>0</v>
      </c>
      <c r="WBT1590" s="55">
        <f t="shared" si="281"/>
        <v>0</v>
      </c>
      <c r="WBU1590" s="55">
        <f t="shared" si="281"/>
        <v>0</v>
      </c>
      <c r="WBV1590" s="55">
        <f t="shared" si="281"/>
        <v>0</v>
      </c>
      <c r="WBW1590" s="55">
        <f t="shared" si="281"/>
        <v>0</v>
      </c>
      <c r="WBX1590" s="55">
        <f t="shared" si="281"/>
        <v>0</v>
      </c>
      <c r="WBY1590" s="55">
        <f t="shared" si="281"/>
        <v>0</v>
      </c>
      <c r="WBZ1590" s="55">
        <f t="shared" si="281"/>
        <v>0</v>
      </c>
      <c r="WCA1590" s="55">
        <f t="shared" si="281"/>
        <v>0</v>
      </c>
      <c r="WCB1590" s="55">
        <f t="shared" ref="WCB1590:WEM1590" si="282">+(WCB1600+WCB1604)*1.18*1.1</f>
        <v>0</v>
      </c>
      <c r="WCC1590" s="55">
        <f t="shared" si="282"/>
        <v>0</v>
      </c>
      <c r="WCD1590" s="55">
        <f t="shared" si="282"/>
        <v>0</v>
      </c>
      <c r="WCE1590" s="55">
        <f t="shared" si="282"/>
        <v>0</v>
      </c>
      <c r="WCF1590" s="55">
        <f t="shared" si="282"/>
        <v>0</v>
      </c>
      <c r="WCG1590" s="55">
        <f t="shared" si="282"/>
        <v>0</v>
      </c>
      <c r="WCH1590" s="55">
        <f t="shared" si="282"/>
        <v>0</v>
      </c>
      <c r="WCI1590" s="55">
        <f t="shared" si="282"/>
        <v>0</v>
      </c>
      <c r="WCJ1590" s="55">
        <f t="shared" si="282"/>
        <v>0</v>
      </c>
      <c r="WCK1590" s="55">
        <f t="shared" si="282"/>
        <v>0</v>
      </c>
      <c r="WCL1590" s="55">
        <f t="shared" si="282"/>
        <v>0</v>
      </c>
      <c r="WCM1590" s="55">
        <f t="shared" si="282"/>
        <v>0</v>
      </c>
      <c r="WCN1590" s="55">
        <f t="shared" si="282"/>
        <v>0</v>
      </c>
      <c r="WCO1590" s="55">
        <f t="shared" si="282"/>
        <v>0</v>
      </c>
      <c r="WCP1590" s="55">
        <f t="shared" si="282"/>
        <v>0</v>
      </c>
      <c r="WCQ1590" s="55">
        <f t="shared" si="282"/>
        <v>0</v>
      </c>
      <c r="WCR1590" s="55">
        <f t="shared" si="282"/>
        <v>0</v>
      </c>
      <c r="WCS1590" s="55">
        <f t="shared" si="282"/>
        <v>0</v>
      </c>
      <c r="WCT1590" s="55">
        <f t="shared" si="282"/>
        <v>0</v>
      </c>
      <c r="WCU1590" s="55">
        <f t="shared" si="282"/>
        <v>0</v>
      </c>
      <c r="WCV1590" s="55">
        <f t="shared" si="282"/>
        <v>0</v>
      </c>
      <c r="WCW1590" s="55">
        <f t="shared" si="282"/>
        <v>0</v>
      </c>
      <c r="WCX1590" s="55">
        <f t="shared" si="282"/>
        <v>0</v>
      </c>
      <c r="WCY1590" s="55">
        <f t="shared" si="282"/>
        <v>0</v>
      </c>
      <c r="WCZ1590" s="55">
        <f t="shared" si="282"/>
        <v>0</v>
      </c>
      <c r="WDA1590" s="55">
        <f t="shared" si="282"/>
        <v>0</v>
      </c>
      <c r="WDB1590" s="55">
        <f t="shared" si="282"/>
        <v>0</v>
      </c>
      <c r="WDC1590" s="55">
        <f t="shared" si="282"/>
        <v>0</v>
      </c>
      <c r="WDD1590" s="55">
        <f t="shared" si="282"/>
        <v>0</v>
      </c>
      <c r="WDE1590" s="55">
        <f t="shared" si="282"/>
        <v>0</v>
      </c>
      <c r="WDF1590" s="55">
        <f t="shared" si="282"/>
        <v>0</v>
      </c>
      <c r="WDG1590" s="55">
        <f t="shared" si="282"/>
        <v>0</v>
      </c>
      <c r="WDH1590" s="55">
        <f t="shared" si="282"/>
        <v>0</v>
      </c>
      <c r="WDI1590" s="55">
        <f t="shared" si="282"/>
        <v>0</v>
      </c>
      <c r="WDJ1590" s="55">
        <f t="shared" si="282"/>
        <v>0</v>
      </c>
      <c r="WDK1590" s="55">
        <f t="shared" si="282"/>
        <v>0</v>
      </c>
      <c r="WDL1590" s="55">
        <f t="shared" si="282"/>
        <v>0</v>
      </c>
      <c r="WDM1590" s="55">
        <f t="shared" si="282"/>
        <v>0</v>
      </c>
      <c r="WDN1590" s="55">
        <f t="shared" si="282"/>
        <v>0</v>
      </c>
      <c r="WDO1590" s="55">
        <f t="shared" si="282"/>
        <v>0</v>
      </c>
      <c r="WDP1590" s="55">
        <f t="shared" si="282"/>
        <v>0</v>
      </c>
      <c r="WDQ1590" s="55">
        <f t="shared" si="282"/>
        <v>0</v>
      </c>
      <c r="WDR1590" s="55">
        <f t="shared" si="282"/>
        <v>0</v>
      </c>
      <c r="WDS1590" s="55">
        <f t="shared" si="282"/>
        <v>0</v>
      </c>
      <c r="WDT1590" s="55">
        <f t="shared" si="282"/>
        <v>0</v>
      </c>
      <c r="WDU1590" s="55">
        <f t="shared" si="282"/>
        <v>0</v>
      </c>
      <c r="WDV1590" s="55">
        <f t="shared" si="282"/>
        <v>0</v>
      </c>
      <c r="WDW1590" s="55">
        <f t="shared" si="282"/>
        <v>0</v>
      </c>
      <c r="WDX1590" s="55">
        <f t="shared" si="282"/>
        <v>0</v>
      </c>
      <c r="WDY1590" s="55">
        <f t="shared" si="282"/>
        <v>0</v>
      </c>
      <c r="WDZ1590" s="55">
        <f t="shared" si="282"/>
        <v>0</v>
      </c>
      <c r="WEA1590" s="55">
        <f t="shared" si="282"/>
        <v>0</v>
      </c>
      <c r="WEB1590" s="55">
        <f t="shared" si="282"/>
        <v>0</v>
      </c>
      <c r="WEC1590" s="55">
        <f t="shared" si="282"/>
        <v>0</v>
      </c>
      <c r="WED1590" s="55">
        <f t="shared" si="282"/>
        <v>0</v>
      </c>
      <c r="WEE1590" s="55">
        <f t="shared" si="282"/>
        <v>0</v>
      </c>
      <c r="WEF1590" s="55">
        <f t="shared" si="282"/>
        <v>0</v>
      </c>
      <c r="WEG1590" s="55">
        <f t="shared" si="282"/>
        <v>0</v>
      </c>
      <c r="WEH1590" s="55">
        <f t="shared" si="282"/>
        <v>0</v>
      </c>
      <c r="WEI1590" s="55">
        <f t="shared" si="282"/>
        <v>0</v>
      </c>
      <c r="WEJ1590" s="55">
        <f t="shared" si="282"/>
        <v>0</v>
      </c>
      <c r="WEK1590" s="55">
        <f t="shared" si="282"/>
        <v>0</v>
      </c>
      <c r="WEL1590" s="55">
        <f t="shared" si="282"/>
        <v>0</v>
      </c>
      <c r="WEM1590" s="55">
        <f t="shared" si="282"/>
        <v>0</v>
      </c>
      <c r="WEN1590" s="55">
        <f t="shared" ref="WEN1590:WGY1590" si="283">+(WEN1600+WEN1604)*1.18*1.1</f>
        <v>0</v>
      </c>
      <c r="WEO1590" s="55">
        <f t="shared" si="283"/>
        <v>0</v>
      </c>
      <c r="WEP1590" s="55">
        <f t="shared" si="283"/>
        <v>0</v>
      </c>
      <c r="WEQ1590" s="55">
        <f t="shared" si="283"/>
        <v>0</v>
      </c>
      <c r="WER1590" s="55">
        <f t="shared" si="283"/>
        <v>0</v>
      </c>
      <c r="WES1590" s="55">
        <f t="shared" si="283"/>
        <v>0</v>
      </c>
      <c r="WET1590" s="55">
        <f t="shared" si="283"/>
        <v>0</v>
      </c>
      <c r="WEU1590" s="55">
        <f t="shared" si="283"/>
        <v>0</v>
      </c>
      <c r="WEV1590" s="55">
        <f t="shared" si="283"/>
        <v>0</v>
      </c>
      <c r="WEW1590" s="55">
        <f t="shared" si="283"/>
        <v>0</v>
      </c>
      <c r="WEX1590" s="55">
        <f t="shared" si="283"/>
        <v>0</v>
      </c>
      <c r="WEY1590" s="55">
        <f t="shared" si="283"/>
        <v>0</v>
      </c>
      <c r="WEZ1590" s="55">
        <f t="shared" si="283"/>
        <v>0</v>
      </c>
      <c r="WFA1590" s="55">
        <f t="shared" si="283"/>
        <v>0</v>
      </c>
      <c r="WFB1590" s="55">
        <f t="shared" si="283"/>
        <v>0</v>
      </c>
      <c r="WFC1590" s="55">
        <f t="shared" si="283"/>
        <v>0</v>
      </c>
      <c r="WFD1590" s="55">
        <f t="shared" si="283"/>
        <v>0</v>
      </c>
      <c r="WFE1590" s="55">
        <f t="shared" si="283"/>
        <v>0</v>
      </c>
      <c r="WFF1590" s="55">
        <f t="shared" si="283"/>
        <v>0</v>
      </c>
      <c r="WFG1590" s="55">
        <f t="shared" si="283"/>
        <v>0</v>
      </c>
      <c r="WFH1590" s="55">
        <f t="shared" si="283"/>
        <v>0</v>
      </c>
      <c r="WFI1590" s="55">
        <f t="shared" si="283"/>
        <v>0</v>
      </c>
      <c r="WFJ1590" s="55">
        <f t="shared" si="283"/>
        <v>0</v>
      </c>
      <c r="WFK1590" s="55">
        <f t="shared" si="283"/>
        <v>0</v>
      </c>
      <c r="WFL1590" s="55">
        <f t="shared" si="283"/>
        <v>0</v>
      </c>
      <c r="WFM1590" s="55">
        <f t="shared" si="283"/>
        <v>0</v>
      </c>
      <c r="WFN1590" s="55">
        <f t="shared" si="283"/>
        <v>0</v>
      </c>
      <c r="WFO1590" s="55">
        <f t="shared" si="283"/>
        <v>0</v>
      </c>
      <c r="WFP1590" s="55">
        <f t="shared" si="283"/>
        <v>0</v>
      </c>
      <c r="WFQ1590" s="55">
        <f t="shared" si="283"/>
        <v>0</v>
      </c>
      <c r="WFR1590" s="55">
        <f t="shared" si="283"/>
        <v>0</v>
      </c>
      <c r="WFS1590" s="55">
        <f t="shared" si="283"/>
        <v>0</v>
      </c>
      <c r="WFT1590" s="55">
        <f t="shared" si="283"/>
        <v>0</v>
      </c>
      <c r="WFU1590" s="55">
        <f t="shared" si="283"/>
        <v>0</v>
      </c>
      <c r="WFV1590" s="55">
        <f t="shared" si="283"/>
        <v>0</v>
      </c>
      <c r="WFW1590" s="55">
        <f t="shared" si="283"/>
        <v>0</v>
      </c>
      <c r="WFX1590" s="55">
        <f t="shared" si="283"/>
        <v>0</v>
      </c>
      <c r="WFY1590" s="55">
        <f t="shared" si="283"/>
        <v>0</v>
      </c>
      <c r="WFZ1590" s="55">
        <f t="shared" si="283"/>
        <v>0</v>
      </c>
      <c r="WGA1590" s="55">
        <f t="shared" si="283"/>
        <v>0</v>
      </c>
      <c r="WGB1590" s="55">
        <f t="shared" si="283"/>
        <v>0</v>
      </c>
      <c r="WGC1590" s="55">
        <f t="shared" si="283"/>
        <v>0</v>
      </c>
      <c r="WGD1590" s="55">
        <f t="shared" si="283"/>
        <v>0</v>
      </c>
      <c r="WGE1590" s="55">
        <f t="shared" si="283"/>
        <v>0</v>
      </c>
      <c r="WGF1590" s="55">
        <f t="shared" si="283"/>
        <v>0</v>
      </c>
      <c r="WGG1590" s="55">
        <f t="shared" si="283"/>
        <v>0</v>
      </c>
      <c r="WGH1590" s="55">
        <f t="shared" si="283"/>
        <v>0</v>
      </c>
      <c r="WGI1590" s="55">
        <f t="shared" si="283"/>
        <v>0</v>
      </c>
      <c r="WGJ1590" s="55">
        <f t="shared" si="283"/>
        <v>0</v>
      </c>
      <c r="WGK1590" s="55">
        <f t="shared" si="283"/>
        <v>0</v>
      </c>
      <c r="WGL1590" s="55">
        <f t="shared" si="283"/>
        <v>0</v>
      </c>
      <c r="WGM1590" s="55">
        <f t="shared" si="283"/>
        <v>0</v>
      </c>
      <c r="WGN1590" s="55">
        <f t="shared" si="283"/>
        <v>0</v>
      </c>
      <c r="WGO1590" s="55">
        <f t="shared" si="283"/>
        <v>0</v>
      </c>
      <c r="WGP1590" s="55">
        <f t="shared" si="283"/>
        <v>0</v>
      </c>
      <c r="WGQ1590" s="55">
        <f t="shared" si="283"/>
        <v>0</v>
      </c>
      <c r="WGR1590" s="55">
        <f t="shared" si="283"/>
        <v>0</v>
      </c>
      <c r="WGS1590" s="55">
        <f t="shared" si="283"/>
        <v>0</v>
      </c>
      <c r="WGT1590" s="55">
        <f t="shared" si="283"/>
        <v>0</v>
      </c>
      <c r="WGU1590" s="55">
        <f t="shared" si="283"/>
        <v>0</v>
      </c>
      <c r="WGV1590" s="55">
        <f t="shared" si="283"/>
        <v>0</v>
      </c>
      <c r="WGW1590" s="55">
        <f t="shared" si="283"/>
        <v>0</v>
      </c>
      <c r="WGX1590" s="55">
        <f t="shared" si="283"/>
        <v>0</v>
      </c>
      <c r="WGY1590" s="55">
        <f t="shared" si="283"/>
        <v>0</v>
      </c>
      <c r="WGZ1590" s="55">
        <f t="shared" ref="WGZ1590:WJK1590" si="284">+(WGZ1600+WGZ1604)*1.18*1.1</f>
        <v>0</v>
      </c>
      <c r="WHA1590" s="55">
        <f t="shared" si="284"/>
        <v>0</v>
      </c>
      <c r="WHB1590" s="55">
        <f t="shared" si="284"/>
        <v>0</v>
      </c>
      <c r="WHC1590" s="55">
        <f t="shared" si="284"/>
        <v>0</v>
      </c>
      <c r="WHD1590" s="55">
        <f t="shared" si="284"/>
        <v>0</v>
      </c>
      <c r="WHE1590" s="55">
        <f t="shared" si="284"/>
        <v>0</v>
      </c>
      <c r="WHF1590" s="55">
        <f t="shared" si="284"/>
        <v>0</v>
      </c>
      <c r="WHG1590" s="55">
        <f t="shared" si="284"/>
        <v>0</v>
      </c>
      <c r="WHH1590" s="55">
        <f t="shared" si="284"/>
        <v>0</v>
      </c>
      <c r="WHI1590" s="55">
        <f t="shared" si="284"/>
        <v>0</v>
      </c>
      <c r="WHJ1590" s="55">
        <f t="shared" si="284"/>
        <v>0</v>
      </c>
      <c r="WHK1590" s="55">
        <f t="shared" si="284"/>
        <v>0</v>
      </c>
      <c r="WHL1590" s="55">
        <f t="shared" si="284"/>
        <v>0</v>
      </c>
      <c r="WHM1590" s="55">
        <f t="shared" si="284"/>
        <v>0</v>
      </c>
      <c r="WHN1590" s="55">
        <f t="shared" si="284"/>
        <v>0</v>
      </c>
      <c r="WHO1590" s="55">
        <f t="shared" si="284"/>
        <v>0</v>
      </c>
      <c r="WHP1590" s="55">
        <f t="shared" si="284"/>
        <v>0</v>
      </c>
      <c r="WHQ1590" s="55">
        <f t="shared" si="284"/>
        <v>0</v>
      </c>
      <c r="WHR1590" s="55">
        <f t="shared" si="284"/>
        <v>0</v>
      </c>
      <c r="WHS1590" s="55">
        <f t="shared" si="284"/>
        <v>0</v>
      </c>
      <c r="WHT1590" s="55">
        <f t="shared" si="284"/>
        <v>0</v>
      </c>
      <c r="WHU1590" s="55">
        <f t="shared" si="284"/>
        <v>0</v>
      </c>
      <c r="WHV1590" s="55">
        <f t="shared" si="284"/>
        <v>0</v>
      </c>
      <c r="WHW1590" s="55">
        <f t="shared" si="284"/>
        <v>0</v>
      </c>
      <c r="WHX1590" s="55">
        <f t="shared" si="284"/>
        <v>0</v>
      </c>
      <c r="WHY1590" s="55">
        <f t="shared" si="284"/>
        <v>0</v>
      </c>
      <c r="WHZ1590" s="55">
        <f t="shared" si="284"/>
        <v>0</v>
      </c>
      <c r="WIA1590" s="55">
        <f t="shared" si="284"/>
        <v>0</v>
      </c>
      <c r="WIB1590" s="55">
        <f t="shared" si="284"/>
        <v>0</v>
      </c>
      <c r="WIC1590" s="55">
        <f t="shared" si="284"/>
        <v>0</v>
      </c>
      <c r="WID1590" s="55">
        <f t="shared" si="284"/>
        <v>0</v>
      </c>
      <c r="WIE1590" s="55">
        <f t="shared" si="284"/>
        <v>0</v>
      </c>
      <c r="WIF1590" s="55">
        <f t="shared" si="284"/>
        <v>0</v>
      </c>
      <c r="WIG1590" s="55">
        <f t="shared" si="284"/>
        <v>0</v>
      </c>
      <c r="WIH1590" s="55">
        <f t="shared" si="284"/>
        <v>0</v>
      </c>
      <c r="WII1590" s="55">
        <f t="shared" si="284"/>
        <v>0</v>
      </c>
      <c r="WIJ1590" s="55">
        <f t="shared" si="284"/>
        <v>0</v>
      </c>
      <c r="WIK1590" s="55">
        <f t="shared" si="284"/>
        <v>0</v>
      </c>
      <c r="WIL1590" s="55">
        <f t="shared" si="284"/>
        <v>0</v>
      </c>
      <c r="WIM1590" s="55">
        <f t="shared" si="284"/>
        <v>0</v>
      </c>
      <c r="WIN1590" s="55">
        <f t="shared" si="284"/>
        <v>0</v>
      </c>
      <c r="WIO1590" s="55">
        <f t="shared" si="284"/>
        <v>0</v>
      </c>
      <c r="WIP1590" s="55">
        <f t="shared" si="284"/>
        <v>0</v>
      </c>
      <c r="WIQ1590" s="55">
        <f t="shared" si="284"/>
        <v>0</v>
      </c>
      <c r="WIR1590" s="55">
        <f t="shared" si="284"/>
        <v>0</v>
      </c>
      <c r="WIS1590" s="55">
        <f t="shared" si="284"/>
        <v>0</v>
      </c>
      <c r="WIT1590" s="55">
        <f t="shared" si="284"/>
        <v>0</v>
      </c>
      <c r="WIU1590" s="55">
        <f t="shared" si="284"/>
        <v>0</v>
      </c>
      <c r="WIV1590" s="55">
        <f t="shared" si="284"/>
        <v>0</v>
      </c>
      <c r="WIW1590" s="55">
        <f t="shared" si="284"/>
        <v>0</v>
      </c>
      <c r="WIX1590" s="55">
        <f t="shared" si="284"/>
        <v>0</v>
      </c>
      <c r="WIY1590" s="55">
        <f t="shared" si="284"/>
        <v>0</v>
      </c>
      <c r="WIZ1590" s="55">
        <f t="shared" si="284"/>
        <v>0</v>
      </c>
      <c r="WJA1590" s="55">
        <f t="shared" si="284"/>
        <v>0</v>
      </c>
      <c r="WJB1590" s="55">
        <f t="shared" si="284"/>
        <v>0</v>
      </c>
      <c r="WJC1590" s="55">
        <f t="shared" si="284"/>
        <v>0</v>
      </c>
      <c r="WJD1590" s="55">
        <f t="shared" si="284"/>
        <v>0</v>
      </c>
      <c r="WJE1590" s="55">
        <f t="shared" si="284"/>
        <v>0</v>
      </c>
      <c r="WJF1590" s="55">
        <f t="shared" si="284"/>
        <v>0</v>
      </c>
      <c r="WJG1590" s="55">
        <f t="shared" si="284"/>
        <v>0</v>
      </c>
      <c r="WJH1590" s="55">
        <f t="shared" si="284"/>
        <v>0</v>
      </c>
      <c r="WJI1590" s="55">
        <f t="shared" si="284"/>
        <v>0</v>
      </c>
      <c r="WJJ1590" s="55">
        <f t="shared" si="284"/>
        <v>0</v>
      </c>
      <c r="WJK1590" s="55">
        <f t="shared" si="284"/>
        <v>0</v>
      </c>
      <c r="WJL1590" s="55">
        <f t="shared" ref="WJL1590:WLW1590" si="285">+(WJL1600+WJL1604)*1.18*1.1</f>
        <v>0</v>
      </c>
      <c r="WJM1590" s="55">
        <f t="shared" si="285"/>
        <v>0</v>
      </c>
      <c r="WJN1590" s="55">
        <f t="shared" si="285"/>
        <v>0</v>
      </c>
      <c r="WJO1590" s="55">
        <f t="shared" si="285"/>
        <v>0</v>
      </c>
      <c r="WJP1590" s="55">
        <f t="shared" si="285"/>
        <v>0</v>
      </c>
      <c r="WJQ1590" s="55">
        <f t="shared" si="285"/>
        <v>0</v>
      </c>
      <c r="WJR1590" s="55">
        <f t="shared" si="285"/>
        <v>0</v>
      </c>
      <c r="WJS1590" s="55">
        <f t="shared" si="285"/>
        <v>0</v>
      </c>
      <c r="WJT1590" s="55">
        <f t="shared" si="285"/>
        <v>0</v>
      </c>
      <c r="WJU1590" s="55">
        <f t="shared" si="285"/>
        <v>0</v>
      </c>
      <c r="WJV1590" s="55">
        <f t="shared" si="285"/>
        <v>0</v>
      </c>
      <c r="WJW1590" s="55">
        <f t="shared" si="285"/>
        <v>0</v>
      </c>
      <c r="WJX1590" s="55">
        <f t="shared" si="285"/>
        <v>0</v>
      </c>
      <c r="WJY1590" s="55">
        <f t="shared" si="285"/>
        <v>0</v>
      </c>
      <c r="WJZ1590" s="55">
        <f t="shared" si="285"/>
        <v>0</v>
      </c>
      <c r="WKA1590" s="55">
        <f t="shared" si="285"/>
        <v>0</v>
      </c>
      <c r="WKB1590" s="55">
        <f t="shared" si="285"/>
        <v>0</v>
      </c>
      <c r="WKC1590" s="55">
        <f t="shared" si="285"/>
        <v>0</v>
      </c>
      <c r="WKD1590" s="55">
        <f t="shared" si="285"/>
        <v>0</v>
      </c>
      <c r="WKE1590" s="55">
        <f t="shared" si="285"/>
        <v>0</v>
      </c>
      <c r="WKF1590" s="55">
        <f t="shared" si="285"/>
        <v>0</v>
      </c>
      <c r="WKG1590" s="55">
        <f t="shared" si="285"/>
        <v>0</v>
      </c>
      <c r="WKH1590" s="55">
        <f t="shared" si="285"/>
        <v>0</v>
      </c>
      <c r="WKI1590" s="55">
        <f t="shared" si="285"/>
        <v>0</v>
      </c>
      <c r="WKJ1590" s="55">
        <f t="shared" si="285"/>
        <v>0</v>
      </c>
      <c r="WKK1590" s="55">
        <f t="shared" si="285"/>
        <v>0</v>
      </c>
      <c r="WKL1590" s="55">
        <f t="shared" si="285"/>
        <v>0</v>
      </c>
      <c r="WKM1590" s="55">
        <f t="shared" si="285"/>
        <v>0</v>
      </c>
      <c r="WKN1590" s="55">
        <f t="shared" si="285"/>
        <v>0</v>
      </c>
      <c r="WKO1590" s="55">
        <f t="shared" si="285"/>
        <v>0</v>
      </c>
      <c r="WKP1590" s="55">
        <f t="shared" si="285"/>
        <v>0</v>
      </c>
      <c r="WKQ1590" s="55">
        <f t="shared" si="285"/>
        <v>0</v>
      </c>
      <c r="WKR1590" s="55">
        <f t="shared" si="285"/>
        <v>0</v>
      </c>
      <c r="WKS1590" s="55">
        <f t="shared" si="285"/>
        <v>0</v>
      </c>
      <c r="WKT1590" s="55">
        <f t="shared" si="285"/>
        <v>0</v>
      </c>
      <c r="WKU1590" s="55">
        <f t="shared" si="285"/>
        <v>0</v>
      </c>
      <c r="WKV1590" s="55">
        <f t="shared" si="285"/>
        <v>0</v>
      </c>
      <c r="WKW1590" s="55">
        <f t="shared" si="285"/>
        <v>0</v>
      </c>
      <c r="WKX1590" s="55">
        <f t="shared" si="285"/>
        <v>0</v>
      </c>
      <c r="WKY1590" s="55">
        <f t="shared" si="285"/>
        <v>0</v>
      </c>
      <c r="WKZ1590" s="55">
        <f t="shared" si="285"/>
        <v>0</v>
      </c>
      <c r="WLA1590" s="55">
        <f t="shared" si="285"/>
        <v>0</v>
      </c>
      <c r="WLB1590" s="55">
        <f t="shared" si="285"/>
        <v>0</v>
      </c>
      <c r="WLC1590" s="55">
        <f t="shared" si="285"/>
        <v>0</v>
      </c>
      <c r="WLD1590" s="55">
        <f t="shared" si="285"/>
        <v>0</v>
      </c>
      <c r="WLE1590" s="55">
        <f t="shared" si="285"/>
        <v>0</v>
      </c>
      <c r="WLF1590" s="55">
        <f t="shared" si="285"/>
        <v>0</v>
      </c>
      <c r="WLG1590" s="55">
        <f t="shared" si="285"/>
        <v>0</v>
      </c>
      <c r="WLH1590" s="55">
        <f t="shared" si="285"/>
        <v>0</v>
      </c>
      <c r="WLI1590" s="55">
        <f t="shared" si="285"/>
        <v>0</v>
      </c>
      <c r="WLJ1590" s="55">
        <f t="shared" si="285"/>
        <v>0</v>
      </c>
      <c r="WLK1590" s="55">
        <f t="shared" si="285"/>
        <v>0</v>
      </c>
      <c r="WLL1590" s="55">
        <f t="shared" si="285"/>
        <v>0</v>
      </c>
      <c r="WLM1590" s="55">
        <f t="shared" si="285"/>
        <v>0</v>
      </c>
      <c r="WLN1590" s="55">
        <f t="shared" si="285"/>
        <v>0</v>
      </c>
      <c r="WLO1590" s="55">
        <f t="shared" si="285"/>
        <v>0</v>
      </c>
      <c r="WLP1590" s="55">
        <f t="shared" si="285"/>
        <v>0</v>
      </c>
      <c r="WLQ1590" s="55">
        <f t="shared" si="285"/>
        <v>0</v>
      </c>
      <c r="WLR1590" s="55">
        <f t="shared" si="285"/>
        <v>0</v>
      </c>
      <c r="WLS1590" s="55">
        <f t="shared" si="285"/>
        <v>0</v>
      </c>
      <c r="WLT1590" s="55">
        <f t="shared" si="285"/>
        <v>0</v>
      </c>
      <c r="WLU1590" s="55">
        <f t="shared" si="285"/>
        <v>0</v>
      </c>
      <c r="WLV1590" s="55">
        <f t="shared" si="285"/>
        <v>0</v>
      </c>
      <c r="WLW1590" s="55">
        <f t="shared" si="285"/>
        <v>0</v>
      </c>
      <c r="WLX1590" s="55">
        <f t="shared" ref="WLX1590:WOI1590" si="286">+(WLX1600+WLX1604)*1.18*1.1</f>
        <v>0</v>
      </c>
      <c r="WLY1590" s="55">
        <f t="shared" si="286"/>
        <v>0</v>
      </c>
      <c r="WLZ1590" s="55">
        <f t="shared" si="286"/>
        <v>0</v>
      </c>
      <c r="WMA1590" s="55">
        <f t="shared" si="286"/>
        <v>0</v>
      </c>
      <c r="WMB1590" s="55">
        <f t="shared" si="286"/>
        <v>0</v>
      </c>
      <c r="WMC1590" s="55">
        <f t="shared" si="286"/>
        <v>0</v>
      </c>
      <c r="WMD1590" s="55">
        <f t="shared" si="286"/>
        <v>0</v>
      </c>
      <c r="WME1590" s="55">
        <f t="shared" si="286"/>
        <v>0</v>
      </c>
      <c r="WMF1590" s="55">
        <f t="shared" si="286"/>
        <v>0</v>
      </c>
      <c r="WMG1590" s="55">
        <f t="shared" si="286"/>
        <v>0</v>
      </c>
      <c r="WMH1590" s="55">
        <f t="shared" si="286"/>
        <v>0</v>
      </c>
      <c r="WMI1590" s="55">
        <f t="shared" si="286"/>
        <v>0</v>
      </c>
      <c r="WMJ1590" s="55">
        <f t="shared" si="286"/>
        <v>0</v>
      </c>
      <c r="WMK1590" s="55">
        <f t="shared" si="286"/>
        <v>0</v>
      </c>
      <c r="WML1590" s="55">
        <f t="shared" si="286"/>
        <v>0</v>
      </c>
      <c r="WMM1590" s="55">
        <f t="shared" si="286"/>
        <v>0</v>
      </c>
      <c r="WMN1590" s="55">
        <f t="shared" si="286"/>
        <v>0</v>
      </c>
      <c r="WMO1590" s="55">
        <f t="shared" si="286"/>
        <v>0</v>
      </c>
      <c r="WMP1590" s="55">
        <f t="shared" si="286"/>
        <v>0</v>
      </c>
      <c r="WMQ1590" s="55">
        <f t="shared" si="286"/>
        <v>0</v>
      </c>
      <c r="WMR1590" s="55">
        <f t="shared" si="286"/>
        <v>0</v>
      </c>
      <c r="WMS1590" s="55">
        <f t="shared" si="286"/>
        <v>0</v>
      </c>
      <c r="WMT1590" s="55">
        <f t="shared" si="286"/>
        <v>0</v>
      </c>
      <c r="WMU1590" s="55">
        <f t="shared" si="286"/>
        <v>0</v>
      </c>
      <c r="WMV1590" s="55">
        <f t="shared" si="286"/>
        <v>0</v>
      </c>
      <c r="WMW1590" s="55">
        <f t="shared" si="286"/>
        <v>0</v>
      </c>
      <c r="WMX1590" s="55">
        <f t="shared" si="286"/>
        <v>0</v>
      </c>
      <c r="WMY1590" s="55">
        <f t="shared" si="286"/>
        <v>0</v>
      </c>
      <c r="WMZ1590" s="55">
        <f t="shared" si="286"/>
        <v>0</v>
      </c>
      <c r="WNA1590" s="55">
        <f t="shared" si="286"/>
        <v>0</v>
      </c>
      <c r="WNB1590" s="55">
        <f t="shared" si="286"/>
        <v>0</v>
      </c>
      <c r="WNC1590" s="55">
        <f t="shared" si="286"/>
        <v>0</v>
      </c>
      <c r="WND1590" s="55">
        <f t="shared" si="286"/>
        <v>0</v>
      </c>
      <c r="WNE1590" s="55">
        <f t="shared" si="286"/>
        <v>0</v>
      </c>
      <c r="WNF1590" s="55">
        <f t="shared" si="286"/>
        <v>0</v>
      </c>
      <c r="WNG1590" s="55">
        <f t="shared" si="286"/>
        <v>0</v>
      </c>
      <c r="WNH1590" s="55">
        <f t="shared" si="286"/>
        <v>0</v>
      </c>
      <c r="WNI1590" s="55">
        <f t="shared" si="286"/>
        <v>0</v>
      </c>
      <c r="WNJ1590" s="55">
        <f t="shared" si="286"/>
        <v>0</v>
      </c>
      <c r="WNK1590" s="55">
        <f t="shared" si="286"/>
        <v>0</v>
      </c>
      <c r="WNL1590" s="55">
        <f t="shared" si="286"/>
        <v>0</v>
      </c>
      <c r="WNM1590" s="55">
        <f t="shared" si="286"/>
        <v>0</v>
      </c>
      <c r="WNN1590" s="55">
        <f t="shared" si="286"/>
        <v>0</v>
      </c>
      <c r="WNO1590" s="55">
        <f t="shared" si="286"/>
        <v>0</v>
      </c>
      <c r="WNP1590" s="55">
        <f t="shared" si="286"/>
        <v>0</v>
      </c>
      <c r="WNQ1590" s="55">
        <f t="shared" si="286"/>
        <v>0</v>
      </c>
      <c r="WNR1590" s="55">
        <f t="shared" si="286"/>
        <v>0</v>
      </c>
      <c r="WNS1590" s="55">
        <f t="shared" si="286"/>
        <v>0</v>
      </c>
      <c r="WNT1590" s="55">
        <f t="shared" si="286"/>
        <v>0</v>
      </c>
      <c r="WNU1590" s="55">
        <f t="shared" si="286"/>
        <v>0</v>
      </c>
      <c r="WNV1590" s="55">
        <f t="shared" si="286"/>
        <v>0</v>
      </c>
      <c r="WNW1590" s="55">
        <f t="shared" si="286"/>
        <v>0</v>
      </c>
      <c r="WNX1590" s="55">
        <f t="shared" si="286"/>
        <v>0</v>
      </c>
      <c r="WNY1590" s="55">
        <f t="shared" si="286"/>
        <v>0</v>
      </c>
      <c r="WNZ1590" s="55">
        <f t="shared" si="286"/>
        <v>0</v>
      </c>
      <c r="WOA1590" s="55">
        <f t="shared" si="286"/>
        <v>0</v>
      </c>
      <c r="WOB1590" s="55">
        <f t="shared" si="286"/>
        <v>0</v>
      </c>
      <c r="WOC1590" s="55">
        <f t="shared" si="286"/>
        <v>0</v>
      </c>
      <c r="WOD1590" s="55">
        <f t="shared" si="286"/>
        <v>0</v>
      </c>
      <c r="WOE1590" s="55">
        <f t="shared" si="286"/>
        <v>0</v>
      </c>
      <c r="WOF1590" s="55">
        <f t="shared" si="286"/>
        <v>0</v>
      </c>
      <c r="WOG1590" s="55">
        <f t="shared" si="286"/>
        <v>0</v>
      </c>
      <c r="WOH1590" s="55">
        <f t="shared" si="286"/>
        <v>0</v>
      </c>
      <c r="WOI1590" s="55">
        <f t="shared" si="286"/>
        <v>0</v>
      </c>
      <c r="WOJ1590" s="55">
        <f t="shared" ref="WOJ1590:WQU1590" si="287">+(WOJ1600+WOJ1604)*1.18*1.1</f>
        <v>0</v>
      </c>
      <c r="WOK1590" s="55">
        <f t="shared" si="287"/>
        <v>0</v>
      </c>
      <c r="WOL1590" s="55">
        <f t="shared" si="287"/>
        <v>0</v>
      </c>
      <c r="WOM1590" s="55">
        <f t="shared" si="287"/>
        <v>0</v>
      </c>
      <c r="WON1590" s="55">
        <f t="shared" si="287"/>
        <v>0</v>
      </c>
      <c r="WOO1590" s="55">
        <f t="shared" si="287"/>
        <v>0</v>
      </c>
      <c r="WOP1590" s="55">
        <f t="shared" si="287"/>
        <v>0</v>
      </c>
      <c r="WOQ1590" s="55">
        <f t="shared" si="287"/>
        <v>0</v>
      </c>
      <c r="WOR1590" s="55">
        <f t="shared" si="287"/>
        <v>0</v>
      </c>
      <c r="WOS1590" s="55">
        <f t="shared" si="287"/>
        <v>0</v>
      </c>
      <c r="WOT1590" s="55">
        <f t="shared" si="287"/>
        <v>0</v>
      </c>
      <c r="WOU1590" s="55">
        <f t="shared" si="287"/>
        <v>0</v>
      </c>
      <c r="WOV1590" s="55">
        <f t="shared" si="287"/>
        <v>0</v>
      </c>
      <c r="WOW1590" s="55">
        <f t="shared" si="287"/>
        <v>0</v>
      </c>
      <c r="WOX1590" s="55">
        <f t="shared" si="287"/>
        <v>0</v>
      </c>
      <c r="WOY1590" s="55">
        <f t="shared" si="287"/>
        <v>0</v>
      </c>
      <c r="WOZ1590" s="55">
        <f t="shared" si="287"/>
        <v>0</v>
      </c>
      <c r="WPA1590" s="55">
        <f t="shared" si="287"/>
        <v>0</v>
      </c>
      <c r="WPB1590" s="55">
        <f t="shared" si="287"/>
        <v>0</v>
      </c>
      <c r="WPC1590" s="55">
        <f t="shared" si="287"/>
        <v>0</v>
      </c>
      <c r="WPD1590" s="55">
        <f t="shared" si="287"/>
        <v>0</v>
      </c>
      <c r="WPE1590" s="55">
        <f t="shared" si="287"/>
        <v>0</v>
      </c>
      <c r="WPF1590" s="55">
        <f t="shared" si="287"/>
        <v>0</v>
      </c>
      <c r="WPG1590" s="55">
        <f t="shared" si="287"/>
        <v>0</v>
      </c>
      <c r="WPH1590" s="55">
        <f t="shared" si="287"/>
        <v>0</v>
      </c>
      <c r="WPI1590" s="55">
        <f t="shared" si="287"/>
        <v>0</v>
      </c>
      <c r="WPJ1590" s="55">
        <f t="shared" si="287"/>
        <v>0</v>
      </c>
      <c r="WPK1590" s="55">
        <f t="shared" si="287"/>
        <v>0</v>
      </c>
      <c r="WPL1590" s="55">
        <f t="shared" si="287"/>
        <v>0</v>
      </c>
      <c r="WPM1590" s="55">
        <f t="shared" si="287"/>
        <v>0</v>
      </c>
      <c r="WPN1590" s="55">
        <f t="shared" si="287"/>
        <v>0</v>
      </c>
      <c r="WPO1590" s="55">
        <f t="shared" si="287"/>
        <v>0</v>
      </c>
      <c r="WPP1590" s="55">
        <f t="shared" si="287"/>
        <v>0</v>
      </c>
      <c r="WPQ1590" s="55">
        <f t="shared" si="287"/>
        <v>0</v>
      </c>
      <c r="WPR1590" s="55">
        <f t="shared" si="287"/>
        <v>0</v>
      </c>
      <c r="WPS1590" s="55">
        <f t="shared" si="287"/>
        <v>0</v>
      </c>
      <c r="WPT1590" s="55">
        <f t="shared" si="287"/>
        <v>0</v>
      </c>
      <c r="WPU1590" s="55">
        <f t="shared" si="287"/>
        <v>0</v>
      </c>
      <c r="WPV1590" s="55">
        <f t="shared" si="287"/>
        <v>0</v>
      </c>
      <c r="WPW1590" s="55">
        <f t="shared" si="287"/>
        <v>0</v>
      </c>
      <c r="WPX1590" s="55">
        <f t="shared" si="287"/>
        <v>0</v>
      </c>
      <c r="WPY1590" s="55">
        <f t="shared" si="287"/>
        <v>0</v>
      </c>
      <c r="WPZ1590" s="55">
        <f t="shared" si="287"/>
        <v>0</v>
      </c>
      <c r="WQA1590" s="55">
        <f t="shared" si="287"/>
        <v>0</v>
      </c>
      <c r="WQB1590" s="55">
        <f t="shared" si="287"/>
        <v>0</v>
      </c>
      <c r="WQC1590" s="55">
        <f t="shared" si="287"/>
        <v>0</v>
      </c>
      <c r="WQD1590" s="55">
        <f t="shared" si="287"/>
        <v>0</v>
      </c>
      <c r="WQE1590" s="55">
        <f t="shared" si="287"/>
        <v>0</v>
      </c>
      <c r="WQF1590" s="55">
        <f t="shared" si="287"/>
        <v>0</v>
      </c>
      <c r="WQG1590" s="55">
        <f t="shared" si="287"/>
        <v>0</v>
      </c>
      <c r="WQH1590" s="55">
        <f t="shared" si="287"/>
        <v>0</v>
      </c>
      <c r="WQI1590" s="55">
        <f t="shared" si="287"/>
        <v>0</v>
      </c>
      <c r="WQJ1590" s="55">
        <f t="shared" si="287"/>
        <v>0</v>
      </c>
      <c r="WQK1590" s="55">
        <f t="shared" si="287"/>
        <v>0</v>
      </c>
      <c r="WQL1590" s="55">
        <f t="shared" si="287"/>
        <v>0</v>
      </c>
      <c r="WQM1590" s="55">
        <f t="shared" si="287"/>
        <v>0</v>
      </c>
      <c r="WQN1590" s="55">
        <f t="shared" si="287"/>
        <v>0</v>
      </c>
      <c r="WQO1590" s="55">
        <f t="shared" si="287"/>
        <v>0</v>
      </c>
      <c r="WQP1590" s="55">
        <f t="shared" si="287"/>
        <v>0</v>
      </c>
      <c r="WQQ1590" s="55">
        <f t="shared" si="287"/>
        <v>0</v>
      </c>
      <c r="WQR1590" s="55">
        <f t="shared" si="287"/>
        <v>0</v>
      </c>
      <c r="WQS1590" s="55">
        <f t="shared" si="287"/>
        <v>0</v>
      </c>
      <c r="WQT1590" s="55">
        <f t="shared" si="287"/>
        <v>0</v>
      </c>
      <c r="WQU1590" s="55">
        <f t="shared" si="287"/>
        <v>0</v>
      </c>
      <c r="WQV1590" s="55">
        <f t="shared" ref="WQV1590:WTG1590" si="288">+(WQV1600+WQV1604)*1.18*1.1</f>
        <v>0</v>
      </c>
      <c r="WQW1590" s="55">
        <f t="shared" si="288"/>
        <v>0</v>
      </c>
      <c r="WQX1590" s="55">
        <f t="shared" si="288"/>
        <v>0</v>
      </c>
      <c r="WQY1590" s="55">
        <f t="shared" si="288"/>
        <v>0</v>
      </c>
      <c r="WQZ1590" s="55">
        <f t="shared" si="288"/>
        <v>0</v>
      </c>
      <c r="WRA1590" s="55">
        <f t="shared" si="288"/>
        <v>0</v>
      </c>
      <c r="WRB1590" s="55">
        <f t="shared" si="288"/>
        <v>0</v>
      </c>
      <c r="WRC1590" s="55">
        <f t="shared" si="288"/>
        <v>0</v>
      </c>
      <c r="WRD1590" s="55">
        <f t="shared" si="288"/>
        <v>0</v>
      </c>
      <c r="WRE1590" s="55">
        <f t="shared" si="288"/>
        <v>0</v>
      </c>
      <c r="WRF1590" s="55">
        <f t="shared" si="288"/>
        <v>0</v>
      </c>
      <c r="WRG1590" s="55">
        <f t="shared" si="288"/>
        <v>0</v>
      </c>
      <c r="WRH1590" s="55">
        <f t="shared" si="288"/>
        <v>0</v>
      </c>
      <c r="WRI1590" s="55">
        <f t="shared" si="288"/>
        <v>0</v>
      </c>
      <c r="WRJ1590" s="55">
        <f t="shared" si="288"/>
        <v>0</v>
      </c>
      <c r="WRK1590" s="55">
        <f t="shared" si="288"/>
        <v>0</v>
      </c>
      <c r="WRL1590" s="55">
        <f t="shared" si="288"/>
        <v>0</v>
      </c>
      <c r="WRM1590" s="55">
        <f t="shared" si="288"/>
        <v>0</v>
      </c>
      <c r="WRN1590" s="55">
        <f t="shared" si="288"/>
        <v>0</v>
      </c>
      <c r="WRO1590" s="55">
        <f t="shared" si="288"/>
        <v>0</v>
      </c>
      <c r="WRP1590" s="55">
        <f t="shared" si="288"/>
        <v>0</v>
      </c>
      <c r="WRQ1590" s="55">
        <f t="shared" si="288"/>
        <v>0</v>
      </c>
      <c r="WRR1590" s="55">
        <f t="shared" si="288"/>
        <v>0</v>
      </c>
      <c r="WRS1590" s="55">
        <f t="shared" si="288"/>
        <v>0</v>
      </c>
      <c r="WRT1590" s="55">
        <f t="shared" si="288"/>
        <v>0</v>
      </c>
      <c r="WRU1590" s="55">
        <f t="shared" si="288"/>
        <v>0</v>
      </c>
      <c r="WRV1590" s="55">
        <f t="shared" si="288"/>
        <v>0</v>
      </c>
      <c r="WRW1590" s="55">
        <f t="shared" si="288"/>
        <v>0</v>
      </c>
      <c r="WRX1590" s="55">
        <f t="shared" si="288"/>
        <v>0</v>
      </c>
      <c r="WRY1590" s="55">
        <f t="shared" si="288"/>
        <v>0</v>
      </c>
      <c r="WRZ1590" s="55">
        <f t="shared" si="288"/>
        <v>0</v>
      </c>
      <c r="WSA1590" s="55">
        <f t="shared" si="288"/>
        <v>0</v>
      </c>
      <c r="WSB1590" s="55">
        <f t="shared" si="288"/>
        <v>0</v>
      </c>
      <c r="WSC1590" s="55">
        <f t="shared" si="288"/>
        <v>0</v>
      </c>
      <c r="WSD1590" s="55">
        <f t="shared" si="288"/>
        <v>0</v>
      </c>
      <c r="WSE1590" s="55">
        <f t="shared" si="288"/>
        <v>0</v>
      </c>
      <c r="WSF1590" s="55">
        <f t="shared" si="288"/>
        <v>0</v>
      </c>
      <c r="WSG1590" s="55">
        <f t="shared" si="288"/>
        <v>0</v>
      </c>
      <c r="WSH1590" s="55">
        <f t="shared" si="288"/>
        <v>0</v>
      </c>
      <c r="WSI1590" s="55">
        <f t="shared" si="288"/>
        <v>0</v>
      </c>
      <c r="WSJ1590" s="55">
        <f t="shared" si="288"/>
        <v>0</v>
      </c>
      <c r="WSK1590" s="55">
        <f t="shared" si="288"/>
        <v>0</v>
      </c>
      <c r="WSL1590" s="55">
        <f t="shared" si="288"/>
        <v>0</v>
      </c>
      <c r="WSM1590" s="55">
        <f t="shared" si="288"/>
        <v>0</v>
      </c>
      <c r="WSN1590" s="55">
        <f t="shared" si="288"/>
        <v>0</v>
      </c>
      <c r="WSO1590" s="55">
        <f t="shared" si="288"/>
        <v>0</v>
      </c>
      <c r="WSP1590" s="55">
        <f t="shared" si="288"/>
        <v>0</v>
      </c>
      <c r="WSQ1590" s="55">
        <f t="shared" si="288"/>
        <v>0</v>
      </c>
      <c r="WSR1590" s="55">
        <f t="shared" si="288"/>
        <v>0</v>
      </c>
      <c r="WSS1590" s="55">
        <f t="shared" si="288"/>
        <v>0</v>
      </c>
      <c r="WST1590" s="55">
        <f t="shared" si="288"/>
        <v>0</v>
      </c>
      <c r="WSU1590" s="55">
        <f t="shared" si="288"/>
        <v>0</v>
      </c>
      <c r="WSV1590" s="55">
        <f t="shared" si="288"/>
        <v>0</v>
      </c>
      <c r="WSW1590" s="55">
        <f t="shared" si="288"/>
        <v>0</v>
      </c>
      <c r="WSX1590" s="55">
        <f t="shared" si="288"/>
        <v>0</v>
      </c>
      <c r="WSY1590" s="55">
        <f t="shared" si="288"/>
        <v>0</v>
      </c>
      <c r="WSZ1590" s="55">
        <f t="shared" si="288"/>
        <v>0</v>
      </c>
      <c r="WTA1590" s="55">
        <f t="shared" si="288"/>
        <v>0</v>
      </c>
      <c r="WTB1590" s="55">
        <f t="shared" si="288"/>
        <v>0</v>
      </c>
      <c r="WTC1590" s="55">
        <f t="shared" si="288"/>
        <v>0</v>
      </c>
      <c r="WTD1590" s="55">
        <f t="shared" si="288"/>
        <v>0</v>
      </c>
      <c r="WTE1590" s="55">
        <f t="shared" si="288"/>
        <v>0</v>
      </c>
      <c r="WTF1590" s="55">
        <f t="shared" si="288"/>
        <v>0</v>
      </c>
      <c r="WTG1590" s="55">
        <f t="shared" si="288"/>
        <v>0</v>
      </c>
      <c r="WTH1590" s="55">
        <f t="shared" ref="WTH1590:WVS1590" si="289">+(WTH1600+WTH1604)*1.18*1.1</f>
        <v>0</v>
      </c>
      <c r="WTI1590" s="55">
        <f t="shared" si="289"/>
        <v>0</v>
      </c>
      <c r="WTJ1590" s="55">
        <f t="shared" si="289"/>
        <v>0</v>
      </c>
      <c r="WTK1590" s="55">
        <f t="shared" si="289"/>
        <v>0</v>
      </c>
      <c r="WTL1590" s="55">
        <f t="shared" si="289"/>
        <v>0</v>
      </c>
      <c r="WTM1590" s="55">
        <f t="shared" si="289"/>
        <v>0</v>
      </c>
      <c r="WTN1590" s="55">
        <f t="shared" si="289"/>
        <v>0</v>
      </c>
      <c r="WTO1590" s="55">
        <f t="shared" si="289"/>
        <v>0</v>
      </c>
      <c r="WTP1590" s="55">
        <f t="shared" si="289"/>
        <v>0</v>
      </c>
      <c r="WTQ1590" s="55">
        <f t="shared" si="289"/>
        <v>0</v>
      </c>
      <c r="WTR1590" s="55">
        <f t="shared" si="289"/>
        <v>0</v>
      </c>
      <c r="WTS1590" s="55">
        <f t="shared" si="289"/>
        <v>0</v>
      </c>
      <c r="WTT1590" s="55">
        <f t="shared" si="289"/>
        <v>0</v>
      </c>
      <c r="WTU1590" s="55">
        <f t="shared" si="289"/>
        <v>0</v>
      </c>
      <c r="WTV1590" s="55">
        <f t="shared" si="289"/>
        <v>0</v>
      </c>
      <c r="WTW1590" s="55">
        <f t="shared" si="289"/>
        <v>0</v>
      </c>
      <c r="WTX1590" s="55">
        <f t="shared" si="289"/>
        <v>0</v>
      </c>
      <c r="WTY1590" s="55">
        <f t="shared" si="289"/>
        <v>0</v>
      </c>
      <c r="WTZ1590" s="55">
        <f t="shared" si="289"/>
        <v>0</v>
      </c>
      <c r="WUA1590" s="55">
        <f t="shared" si="289"/>
        <v>0</v>
      </c>
      <c r="WUB1590" s="55">
        <f t="shared" si="289"/>
        <v>0</v>
      </c>
      <c r="WUC1590" s="55">
        <f t="shared" si="289"/>
        <v>0</v>
      </c>
      <c r="WUD1590" s="55">
        <f t="shared" si="289"/>
        <v>0</v>
      </c>
      <c r="WUE1590" s="55">
        <f t="shared" si="289"/>
        <v>0</v>
      </c>
      <c r="WUF1590" s="55">
        <f t="shared" si="289"/>
        <v>0</v>
      </c>
      <c r="WUG1590" s="55">
        <f t="shared" si="289"/>
        <v>0</v>
      </c>
      <c r="WUH1590" s="55">
        <f t="shared" si="289"/>
        <v>0</v>
      </c>
      <c r="WUI1590" s="55">
        <f t="shared" si="289"/>
        <v>0</v>
      </c>
      <c r="WUJ1590" s="55">
        <f t="shared" si="289"/>
        <v>0</v>
      </c>
      <c r="WUK1590" s="55">
        <f t="shared" si="289"/>
        <v>0</v>
      </c>
      <c r="WUL1590" s="55">
        <f t="shared" si="289"/>
        <v>0</v>
      </c>
      <c r="WUM1590" s="55">
        <f t="shared" si="289"/>
        <v>0</v>
      </c>
      <c r="WUN1590" s="55">
        <f t="shared" si="289"/>
        <v>0</v>
      </c>
      <c r="WUO1590" s="55">
        <f t="shared" si="289"/>
        <v>0</v>
      </c>
      <c r="WUP1590" s="55">
        <f t="shared" si="289"/>
        <v>0</v>
      </c>
      <c r="WUQ1590" s="55">
        <f t="shared" si="289"/>
        <v>0</v>
      </c>
      <c r="WUR1590" s="55">
        <f t="shared" si="289"/>
        <v>0</v>
      </c>
      <c r="WUS1590" s="55">
        <f t="shared" si="289"/>
        <v>0</v>
      </c>
      <c r="WUT1590" s="55">
        <f t="shared" si="289"/>
        <v>0</v>
      </c>
      <c r="WUU1590" s="55">
        <f t="shared" si="289"/>
        <v>0</v>
      </c>
      <c r="WUV1590" s="55">
        <f t="shared" si="289"/>
        <v>0</v>
      </c>
      <c r="WUW1590" s="55">
        <f t="shared" si="289"/>
        <v>0</v>
      </c>
      <c r="WUX1590" s="55">
        <f t="shared" si="289"/>
        <v>0</v>
      </c>
      <c r="WUY1590" s="55">
        <f t="shared" si="289"/>
        <v>0</v>
      </c>
      <c r="WUZ1590" s="55">
        <f t="shared" si="289"/>
        <v>0</v>
      </c>
      <c r="WVA1590" s="55">
        <f t="shared" si="289"/>
        <v>0</v>
      </c>
      <c r="WVB1590" s="55">
        <f t="shared" si="289"/>
        <v>0</v>
      </c>
      <c r="WVC1590" s="55">
        <f t="shared" si="289"/>
        <v>0</v>
      </c>
      <c r="WVD1590" s="55">
        <f t="shared" si="289"/>
        <v>0</v>
      </c>
      <c r="WVE1590" s="55">
        <f t="shared" si="289"/>
        <v>0</v>
      </c>
      <c r="WVF1590" s="55">
        <f t="shared" si="289"/>
        <v>0</v>
      </c>
      <c r="WVG1590" s="55">
        <f t="shared" si="289"/>
        <v>0</v>
      </c>
      <c r="WVH1590" s="55">
        <f t="shared" si="289"/>
        <v>0</v>
      </c>
      <c r="WVI1590" s="55">
        <f t="shared" si="289"/>
        <v>0</v>
      </c>
      <c r="WVJ1590" s="55">
        <f t="shared" si="289"/>
        <v>0</v>
      </c>
      <c r="WVK1590" s="55">
        <f t="shared" si="289"/>
        <v>0</v>
      </c>
      <c r="WVL1590" s="55">
        <f t="shared" si="289"/>
        <v>0</v>
      </c>
      <c r="WVM1590" s="55">
        <f t="shared" si="289"/>
        <v>0</v>
      </c>
      <c r="WVN1590" s="55">
        <f t="shared" si="289"/>
        <v>0</v>
      </c>
      <c r="WVO1590" s="55">
        <f t="shared" si="289"/>
        <v>0</v>
      </c>
      <c r="WVP1590" s="55">
        <f t="shared" si="289"/>
        <v>0</v>
      </c>
      <c r="WVQ1590" s="55">
        <f t="shared" si="289"/>
        <v>0</v>
      </c>
      <c r="WVR1590" s="55">
        <f t="shared" si="289"/>
        <v>0</v>
      </c>
      <c r="WVS1590" s="55">
        <f t="shared" si="289"/>
        <v>0</v>
      </c>
      <c r="WVT1590" s="55">
        <f t="shared" ref="WVT1590:WYE1590" si="290">+(WVT1600+WVT1604)*1.18*1.1</f>
        <v>0</v>
      </c>
      <c r="WVU1590" s="55">
        <f t="shared" si="290"/>
        <v>0</v>
      </c>
      <c r="WVV1590" s="55">
        <f t="shared" si="290"/>
        <v>0</v>
      </c>
      <c r="WVW1590" s="55">
        <f t="shared" si="290"/>
        <v>0</v>
      </c>
      <c r="WVX1590" s="55">
        <f t="shared" si="290"/>
        <v>0</v>
      </c>
      <c r="WVY1590" s="55">
        <f t="shared" si="290"/>
        <v>0</v>
      </c>
      <c r="WVZ1590" s="55">
        <f t="shared" si="290"/>
        <v>0</v>
      </c>
      <c r="WWA1590" s="55">
        <f t="shared" si="290"/>
        <v>0</v>
      </c>
      <c r="WWB1590" s="55">
        <f t="shared" si="290"/>
        <v>0</v>
      </c>
      <c r="WWC1590" s="55">
        <f t="shared" si="290"/>
        <v>0</v>
      </c>
      <c r="WWD1590" s="55">
        <f t="shared" si="290"/>
        <v>0</v>
      </c>
      <c r="WWE1590" s="55">
        <f t="shared" si="290"/>
        <v>0</v>
      </c>
      <c r="WWF1590" s="55">
        <f t="shared" si="290"/>
        <v>0</v>
      </c>
      <c r="WWG1590" s="55">
        <f t="shared" si="290"/>
        <v>0</v>
      </c>
      <c r="WWH1590" s="55">
        <f t="shared" si="290"/>
        <v>0</v>
      </c>
      <c r="WWI1590" s="55">
        <f t="shared" si="290"/>
        <v>0</v>
      </c>
      <c r="WWJ1590" s="55">
        <f t="shared" si="290"/>
        <v>0</v>
      </c>
      <c r="WWK1590" s="55">
        <f t="shared" si="290"/>
        <v>0</v>
      </c>
      <c r="WWL1590" s="55">
        <f t="shared" si="290"/>
        <v>0</v>
      </c>
      <c r="WWM1590" s="55">
        <f t="shared" si="290"/>
        <v>0</v>
      </c>
      <c r="WWN1590" s="55">
        <f t="shared" si="290"/>
        <v>0</v>
      </c>
      <c r="WWO1590" s="55">
        <f t="shared" si="290"/>
        <v>0</v>
      </c>
      <c r="WWP1590" s="55">
        <f t="shared" si="290"/>
        <v>0</v>
      </c>
      <c r="WWQ1590" s="55">
        <f t="shared" si="290"/>
        <v>0</v>
      </c>
      <c r="WWR1590" s="55">
        <f t="shared" si="290"/>
        <v>0</v>
      </c>
      <c r="WWS1590" s="55">
        <f t="shared" si="290"/>
        <v>0</v>
      </c>
      <c r="WWT1590" s="55">
        <f t="shared" si="290"/>
        <v>0</v>
      </c>
      <c r="WWU1590" s="55">
        <f t="shared" si="290"/>
        <v>0</v>
      </c>
      <c r="WWV1590" s="55">
        <f t="shared" si="290"/>
        <v>0</v>
      </c>
      <c r="WWW1590" s="55">
        <f t="shared" si="290"/>
        <v>0</v>
      </c>
      <c r="WWX1590" s="55">
        <f t="shared" si="290"/>
        <v>0</v>
      </c>
      <c r="WWY1590" s="55">
        <f t="shared" si="290"/>
        <v>0</v>
      </c>
      <c r="WWZ1590" s="55">
        <f t="shared" si="290"/>
        <v>0</v>
      </c>
      <c r="WXA1590" s="55">
        <f t="shared" si="290"/>
        <v>0</v>
      </c>
      <c r="WXB1590" s="55">
        <f t="shared" si="290"/>
        <v>0</v>
      </c>
      <c r="WXC1590" s="55">
        <f t="shared" si="290"/>
        <v>0</v>
      </c>
      <c r="WXD1590" s="55">
        <f t="shared" si="290"/>
        <v>0</v>
      </c>
      <c r="WXE1590" s="55">
        <f t="shared" si="290"/>
        <v>0</v>
      </c>
      <c r="WXF1590" s="55">
        <f t="shared" si="290"/>
        <v>0</v>
      </c>
      <c r="WXG1590" s="55">
        <f t="shared" si="290"/>
        <v>0</v>
      </c>
      <c r="WXH1590" s="55">
        <f t="shared" si="290"/>
        <v>0</v>
      </c>
      <c r="WXI1590" s="55">
        <f t="shared" si="290"/>
        <v>0</v>
      </c>
      <c r="WXJ1590" s="55">
        <f t="shared" si="290"/>
        <v>0</v>
      </c>
      <c r="WXK1590" s="55">
        <f t="shared" si="290"/>
        <v>0</v>
      </c>
      <c r="WXL1590" s="55">
        <f t="shared" si="290"/>
        <v>0</v>
      </c>
      <c r="WXM1590" s="55">
        <f t="shared" si="290"/>
        <v>0</v>
      </c>
      <c r="WXN1590" s="55">
        <f t="shared" si="290"/>
        <v>0</v>
      </c>
      <c r="WXO1590" s="55">
        <f t="shared" si="290"/>
        <v>0</v>
      </c>
      <c r="WXP1590" s="55">
        <f t="shared" si="290"/>
        <v>0</v>
      </c>
      <c r="WXQ1590" s="55">
        <f t="shared" si="290"/>
        <v>0</v>
      </c>
      <c r="WXR1590" s="55">
        <f t="shared" si="290"/>
        <v>0</v>
      </c>
      <c r="WXS1590" s="55">
        <f t="shared" si="290"/>
        <v>0</v>
      </c>
      <c r="WXT1590" s="55">
        <f t="shared" si="290"/>
        <v>0</v>
      </c>
      <c r="WXU1590" s="55">
        <f t="shared" si="290"/>
        <v>0</v>
      </c>
      <c r="WXV1590" s="55">
        <f t="shared" si="290"/>
        <v>0</v>
      </c>
      <c r="WXW1590" s="55">
        <f t="shared" si="290"/>
        <v>0</v>
      </c>
      <c r="WXX1590" s="55">
        <f t="shared" si="290"/>
        <v>0</v>
      </c>
      <c r="WXY1590" s="55">
        <f t="shared" si="290"/>
        <v>0</v>
      </c>
      <c r="WXZ1590" s="55">
        <f t="shared" si="290"/>
        <v>0</v>
      </c>
      <c r="WYA1590" s="55">
        <f t="shared" si="290"/>
        <v>0</v>
      </c>
      <c r="WYB1590" s="55">
        <f t="shared" si="290"/>
        <v>0</v>
      </c>
      <c r="WYC1590" s="55">
        <f t="shared" si="290"/>
        <v>0</v>
      </c>
      <c r="WYD1590" s="55">
        <f t="shared" si="290"/>
        <v>0</v>
      </c>
      <c r="WYE1590" s="55">
        <f t="shared" si="290"/>
        <v>0</v>
      </c>
      <c r="WYF1590" s="55">
        <f t="shared" ref="WYF1590:XAQ1590" si="291">+(WYF1600+WYF1604)*1.18*1.1</f>
        <v>0</v>
      </c>
      <c r="WYG1590" s="55">
        <f t="shared" si="291"/>
        <v>0</v>
      </c>
      <c r="WYH1590" s="55">
        <f t="shared" si="291"/>
        <v>0</v>
      </c>
      <c r="WYI1590" s="55">
        <f t="shared" si="291"/>
        <v>0</v>
      </c>
      <c r="WYJ1590" s="55">
        <f t="shared" si="291"/>
        <v>0</v>
      </c>
      <c r="WYK1590" s="55">
        <f t="shared" si="291"/>
        <v>0</v>
      </c>
      <c r="WYL1590" s="55">
        <f t="shared" si="291"/>
        <v>0</v>
      </c>
      <c r="WYM1590" s="55">
        <f t="shared" si="291"/>
        <v>0</v>
      </c>
      <c r="WYN1590" s="55">
        <f t="shared" si="291"/>
        <v>0</v>
      </c>
      <c r="WYO1590" s="55">
        <f t="shared" si="291"/>
        <v>0</v>
      </c>
      <c r="WYP1590" s="55">
        <f t="shared" si="291"/>
        <v>0</v>
      </c>
      <c r="WYQ1590" s="55">
        <f t="shared" si="291"/>
        <v>0</v>
      </c>
      <c r="WYR1590" s="55">
        <f t="shared" si="291"/>
        <v>0</v>
      </c>
      <c r="WYS1590" s="55">
        <f t="shared" si="291"/>
        <v>0</v>
      </c>
      <c r="WYT1590" s="55">
        <f t="shared" si="291"/>
        <v>0</v>
      </c>
      <c r="WYU1590" s="55">
        <f t="shared" si="291"/>
        <v>0</v>
      </c>
      <c r="WYV1590" s="55">
        <f t="shared" si="291"/>
        <v>0</v>
      </c>
      <c r="WYW1590" s="55">
        <f t="shared" si="291"/>
        <v>0</v>
      </c>
      <c r="WYX1590" s="55">
        <f t="shared" si="291"/>
        <v>0</v>
      </c>
      <c r="WYY1590" s="55">
        <f t="shared" si="291"/>
        <v>0</v>
      </c>
      <c r="WYZ1590" s="55">
        <f t="shared" si="291"/>
        <v>0</v>
      </c>
      <c r="WZA1590" s="55">
        <f t="shared" si="291"/>
        <v>0</v>
      </c>
      <c r="WZB1590" s="55">
        <f t="shared" si="291"/>
        <v>0</v>
      </c>
      <c r="WZC1590" s="55">
        <f t="shared" si="291"/>
        <v>0</v>
      </c>
      <c r="WZD1590" s="55">
        <f t="shared" si="291"/>
        <v>0</v>
      </c>
      <c r="WZE1590" s="55">
        <f t="shared" si="291"/>
        <v>0</v>
      </c>
      <c r="WZF1590" s="55">
        <f t="shared" si="291"/>
        <v>0</v>
      </c>
      <c r="WZG1590" s="55">
        <f t="shared" si="291"/>
        <v>0</v>
      </c>
      <c r="WZH1590" s="55">
        <f t="shared" si="291"/>
        <v>0</v>
      </c>
      <c r="WZI1590" s="55">
        <f t="shared" si="291"/>
        <v>0</v>
      </c>
      <c r="WZJ1590" s="55">
        <f t="shared" si="291"/>
        <v>0</v>
      </c>
      <c r="WZK1590" s="55">
        <f t="shared" si="291"/>
        <v>0</v>
      </c>
      <c r="WZL1590" s="55">
        <f t="shared" si="291"/>
        <v>0</v>
      </c>
      <c r="WZM1590" s="55">
        <f t="shared" si="291"/>
        <v>0</v>
      </c>
      <c r="WZN1590" s="55">
        <f t="shared" si="291"/>
        <v>0</v>
      </c>
      <c r="WZO1590" s="55">
        <f t="shared" si="291"/>
        <v>0</v>
      </c>
      <c r="WZP1590" s="55">
        <f t="shared" si="291"/>
        <v>0</v>
      </c>
      <c r="WZQ1590" s="55">
        <f t="shared" si="291"/>
        <v>0</v>
      </c>
      <c r="WZR1590" s="55">
        <f t="shared" si="291"/>
        <v>0</v>
      </c>
      <c r="WZS1590" s="55">
        <f t="shared" si="291"/>
        <v>0</v>
      </c>
      <c r="WZT1590" s="55">
        <f t="shared" si="291"/>
        <v>0</v>
      </c>
      <c r="WZU1590" s="55">
        <f t="shared" si="291"/>
        <v>0</v>
      </c>
      <c r="WZV1590" s="55">
        <f t="shared" si="291"/>
        <v>0</v>
      </c>
      <c r="WZW1590" s="55">
        <f t="shared" si="291"/>
        <v>0</v>
      </c>
      <c r="WZX1590" s="55">
        <f t="shared" si="291"/>
        <v>0</v>
      </c>
      <c r="WZY1590" s="55">
        <f t="shared" si="291"/>
        <v>0</v>
      </c>
      <c r="WZZ1590" s="55">
        <f t="shared" si="291"/>
        <v>0</v>
      </c>
      <c r="XAA1590" s="55">
        <f t="shared" si="291"/>
        <v>0</v>
      </c>
      <c r="XAB1590" s="55">
        <f t="shared" si="291"/>
        <v>0</v>
      </c>
      <c r="XAC1590" s="55">
        <f t="shared" si="291"/>
        <v>0</v>
      </c>
      <c r="XAD1590" s="55">
        <f t="shared" si="291"/>
        <v>0</v>
      </c>
      <c r="XAE1590" s="55">
        <f t="shared" si="291"/>
        <v>0</v>
      </c>
      <c r="XAF1590" s="55">
        <f t="shared" si="291"/>
        <v>0</v>
      </c>
      <c r="XAG1590" s="55">
        <f t="shared" si="291"/>
        <v>0</v>
      </c>
      <c r="XAH1590" s="55">
        <f t="shared" si="291"/>
        <v>0</v>
      </c>
      <c r="XAI1590" s="55">
        <f t="shared" si="291"/>
        <v>0</v>
      </c>
      <c r="XAJ1590" s="55">
        <f t="shared" si="291"/>
        <v>0</v>
      </c>
      <c r="XAK1590" s="55">
        <f t="shared" si="291"/>
        <v>0</v>
      </c>
      <c r="XAL1590" s="55">
        <f t="shared" si="291"/>
        <v>0</v>
      </c>
      <c r="XAM1590" s="55">
        <f t="shared" si="291"/>
        <v>0</v>
      </c>
      <c r="XAN1590" s="55">
        <f t="shared" si="291"/>
        <v>0</v>
      </c>
      <c r="XAO1590" s="55">
        <f t="shared" si="291"/>
        <v>0</v>
      </c>
      <c r="XAP1590" s="55">
        <f t="shared" si="291"/>
        <v>0</v>
      </c>
      <c r="XAQ1590" s="55">
        <f t="shared" si="291"/>
        <v>0</v>
      </c>
      <c r="XAR1590" s="55">
        <f t="shared" ref="XAR1590:XDC1590" si="292">+(XAR1600+XAR1604)*1.18*1.1</f>
        <v>0</v>
      </c>
      <c r="XAS1590" s="55">
        <f t="shared" si="292"/>
        <v>0</v>
      </c>
      <c r="XAT1590" s="55">
        <f t="shared" si="292"/>
        <v>0</v>
      </c>
      <c r="XAU1590" s="55">
        <f t="shared" si="292"/>
        <v>0</v>
      </c>
      <c r="XAV1590" s="55">
        <f t="shared" si="292"/>
        <v>0</v>
      </c>
      <c r="XAW1590" s="55">
        <f t="shared" si="292"/>
        <v>0</v>
      </c>
      <c r="XAX1590" s="55">
        <f t="shared" si="292"/>
        <v>0</v>
      </c>
      <c r="XAY1590" s="55">
        <f t="shared" si="292"/>
        <v>0</v>
      </c>
      <c r="XAZ1590" s="55">
        <f t="shared" si="292"/>
        <v>0</v>
      </c>
      <c r="XBA1590" s="55">
        <f t="shared" si="292"/>
        <v>0</v>
      </c>
      <c r="XBB1590" s="55">
        <f t="shared" si="292"/>
        <v>0</v>
      </c>
      <c r="XBC1590" s="55">
        <f t="shared" si="292"/>
        <v>0</v>
      </c>
      <c r="XBD1590" s="55">
        <f t="shared" si="292"/>
        <v>0</v>
      </c>
      <c r="XBE1590" s="55">
        <f t="shared" si="292"/>
        <v>0</v>
      </c>
      <c r="XBF1590" s="55">
        <f t="shared" si="292"/>
        <v>0</v>
      </c>
      <c r="XBG1590" s="55">
        <f t="shared" si="292"/>
        <v>0</v>
      </c>
      <c r="XBH1590" s="55">
        <f t="shared" si="292"/>
        <v>0</v>
      </c>
      <c r="XBI1590" s="55">
        <f t="shared" si="292"/>
        <v>0</v>
      </c>
      <c r="XBJ1590" s="55">
        <f t="shared" si="292"/>
        <v>0</v>
      </c>
      <c r="XBK1590" s="55">
        <f t="shared" si="292"/>
        <v>0</v>
      </c>
      <c r="XBL1590" s="55">
        <f t="shared" si="292"/>
        <v>0</v>
      </c>
      <c r="XBM1590" s="55">
        <f t="shared" si="292"/>
        <v>0</v>
      </c>
      <c r="XBN1590" s="55">
        <f t="shared" si="292"/>
        <v>0</v>
      </c>
      <c r="XBO1590" s="55">
        <f t="shared" si="292"/>
        <v>0</v>
      </c>
      <c r="XBP1590" s="55">
        <f t="shared" si="292"/>
        <v>0</v>
      </c>
      <c r="XBQ1590" s="55">
        <f t="shared" si="292"/>
        <v>0</v>
      </c>
      <c r="XBR1590" s="55">
        <f t="shared" si="292"/>
        <v>0</v>
      </c>
      <c r="XBS1590" s="55">
        <f t="shared" si="292"/>
        <v>0</v>
      </c>
      <c r="XBT1590" s="55">
        <f t="shared" si="292"/>
        <v>0</v>
      </c>
      <c r="XBU1590" s="55">
        <f t="shared" si="292"/>
        <v>0</v>
      </c>
      <c r="XBV1590" s="55">
        <f t="shared" si="292"/>
        <v>0</v>
      </c>
      <c r="XBW1590" s="55">
        <f t="shared" si="292"/>
        <v>0</v>
      </c>
      <c r="XBX1590" s="55">
        <f t="shared" si="292"/>
        <v>0</v>
      </c>
      <c r="XBY1590" s="55">
        <f t="shared" si="292"/>
        <v>0</v>
      </c>
      <c r="XBZ1590" s="55">
        <f t="shared" si="292"/>
        <v>0</v>
      </c>
      <c r="XCA1590" s="55">
        <f t="shared" si="292"/>
        <v>0</v>
      </c>
      <c r="XCB1590" s="55">
        <f t="shared" si="292"/>
        <v>0</v>
      </c>
      <c r="XCC1590" s="55">
        <f t="shared" si="292"/>
        <v>0</v>
      </c>
      <c r="XCD1590" s="55">
        <f t="shared" si="292"/>
        <v>0</v>
      </c>
      <c r="XCE1590" s="55">
        <f t="shared" si="292"/>
        <v>0</v>
      </c>
      <c r="XCF1590" s="55">
        <f t="shared" si="292"/>
        <v>0</v>
      </c>
      <c r="XCG1590" s="55">
        <f t="shared" si="292"/>
        <v>0</v>
      </c>
      <c r="XCH1590" s="55">
        <f t="shared" si="292"/>
        <v>0</v>
      </c>
      <c r="XCI1590" s="55">
        <f t="shared" si="292"/>
        <v>0</v>
      </c>
      <c r="XCJ1590" s="55">
        <f t="shared" si="292"/>
        <v>0</v>
      </c>
      <c r="XCK1590" s="55">
        <f t="shared" si="292"/>
        <v>0</v>
      </c>
      <c r="XCL1590" s="55">
        <f t="shared" si="292"/>
        <v>0</v>
      </c>
      <c r="XCM1590" s="55">
        <f t="shared" si="292"/>
        <v>0</v>
      </c>
      <c r="XCN1590" s="55">
        <f t="shared" si="292"/>
        <v>0</v>
      </c>
      <c r="XCO1590" s="55">
        <f t="shared" si="292"/>
        <v>0</v>
      </c>
      <c r="XCP1590" s="55">
        <f t="shared" si="292"/>
        <v>0</v>
      </c>
      <c r="XCQ1590" s="55">
        <f t="shared" si="292"/>
        <v>0</v>
      </c>
      <c r="XCR1590" s="55">
        <f t="shared" si="292"/>
        <v>0</v>
      </c>
      <c r="XCS1590" s="55">
        <f t="shared" si="292"/>
        <v>0</v>
      </c>
      <c r="XCT1590" s="55">
        <f t="shared" si="292"/>
        <v>0</v>
      </c>
      <c r="XCU1590" s="55">
        <f t="shared" si="292"/>
        <v>0</v>
      </c>
      <c r="XCV1590" s="55">
        <f t="shared" si="292"/>
        <v>0</v>
      </c>
      <c r="XCW1590" s="55">
        <f t="shared" si="292"/>
        <v>0</v>
      </c>
      <c r="XCX1590" s="55">
        <f t="shared" si="292"/>
        <v>0</v>
      </c>
      <c r="XCY1590" s="55">
        <f t="shared" si="292"/>
        <v>0</v>
      </c>
      <c r="XCZ1590" s="55">
        <f t="shared" si="292"/>
        <v>0</v>
      </c>
      <c r="XDA1590" s="55">
        <f t="shared" si="292"/>
        <v>0</v>
      </c>
      <c r="XDB1590" s="55">
        <f t="shared" si="292"/>
        <v>0</v>
      </c>
      <c r="XDC1590" s="55">
        <f t="shared" si="292"/>
        <v>0</v>
      </c>
      <c r="XDD1590" s="55">
        <f t="shared" ref="XDD1590:XFC1590" si="293">+(XDD1600+XDD1604)*1.18*1.1</f>
        <v>0</v>
      </c>
      <c r="XDE1590" s="55">
        <f t="shared" si="293"/>
        <v>0</v>
      </c>
      <c r="XDF1590" s="55">
        <f t="shared" si="293"/>
        <v>0</v>
      </c>
      <c r="XDG1590" s="55">
        <f t="shared" si="293"/>
        <v>0</v>
      </c>
      <c r="XDH1590" s="55">
        <f t="shared" si="293"/>
        <v>0</v>
      </c>
      <c r="XDI1590" s="55">
        <f t="shared" si="293"/>
        <v>0</v>
      </c>
      <c r="XDJ1590" s="55">
        <f t="shared" si="293"/>
        <v>0</v>
      </c>
      <c r="XDK1590" s="55">
        <f t="shared" si="293"/>
        <v>0</v>
      </c>
      <c r="XDL1590" s="55">
        <f t="shared" si="293"/>
        <v>0</v>
      </c>
      <c r="XDM1590" s="55">
        <f t="shared" si="293"/>
        <v>0</v>
      </c>
      <c r="XDN1590" s="55">
        <f t="shared" si="293"/>
        <v>0</v>
      </c>
      <c r="XDO1590" s="55">
        <f t="shared" si="293"/>
        <v>0</v>
      </c>
      <c r="XDP1590" s="55">
        <f t="shared" si="293"/>
        <v>0</v>
      </c>
      <c r="XDQ1590" s="55">
        <f t="shared" si="293"/>
        <v>0</v>
      </c>
      <c r="XDR1590" s="55">
        <f t="shared" si="293"/>
        <v>0</v>
      </c>
      <c r="XDS1590" s="55">
        <f t="shared" si="293"/>
        <v>0</v>
      </c>
      <c r="XDT1590" s="55">
        <f t="shared" si="293"/>
        <v>0</v>
      </c>
      <c r="XDU1590" s="55">
        <f t="shared" si="293"/>
        <v>0</v>
      </c>
      <c r="XDV1590" s="55">
        <f t="shared" si="293"/>
        <v>0</v>
      </c>
      <c r="XDW1590" s="55">
        <f t="shared" si="293"/>
        <v>0</v>
      </c>
      <c r="XDX1590" s="55">
        <f t="shared" si="293"/>
        <v>0</v>
      </c>
      <c r="XDY1590" s="55">
        <f t="shared" si="293"/>
        <v>0</v>
      </c>
      <c r="XDZ1590" s="55">
        <f t="shared" si="293"/>
        <v>0</v>
      </c>
      <c r="XEA1590" s="55">
        <f t="shared" si="293"/>
        <v>0</v>
      </c>
      <c r="XEB1590" s="55">
        <f t="shared" si="293"/>
        <v>0</v>
      </c>
      <c r="XEC1590" s="55">
        <f t="shared" si="293"/>
        <v>0</v>
      </c>
      <c r="XED1590" s="55">
        <f t="shared" si="293"/>
        <v>0</v>
      </c>
      <c r="XEE1590" s="55">
        <f t="shared" si="293"/>
        <v>0</v>
      </c>
      <c r="XEF1590" s="55">
        <f t="shared" si="293"/>
        <v>0</v>
      </c>
      <c r="XEG1590" s="55">
        <f t="shared" si="293"/>
        <v>0</v>
      </c>
      <c r="XEH1590" s="55">
        <f t="shared" si="293"/>
        <v>0</v>
      </c>
      <c r="XEI1590" s="55">
        <f t="shared" si="293"/>
        <v>0</v>
      </c>
      <c r="XEJ1590" s="55">
        <f t="shared" si="293"/>
        <v>0</v>
      </c>
      <c r="XEK1590" s="55">
        <f t="shared" si="293"/>
        <v>0</v>
      </c>
      <c r="XEL1590" s="55">
        <f t="shared" si="293"/>
        <v>0</v>
      </c>
      <c r="XEM1590" s="55">
        <f t="shared" si="293"/>
        <v>0</v>
      </c>
      <c r="XEN1590" s="55">
        <f t="shared" si="293"/>
        <v>0</v>
      </c>
      <c r="XEO1590" s="55">
        <f t="shared" si="293"/>
        <v>0</v>
      </c>
      <c r="XEP1590" s="55">
        <f t="shared" si="293"/>
        <v>0</v>
      </c>
      <c r="XEQ1590" s="55">
        <f t="shared" si="293"/>
        <v>0</v>
      </c>
      <c r="XER1590" s="55">
        <f t="shared" si="293"/>
        <v>0</v>
      </c>
      <c r="XES1590" s="55">
        <f t="shared" si="293"/>
        <v>0</v>
      </c>
      <c r="XET1590" s="55">
        <f t="shared" si="293"/>
        <v>0</v>
      </c>
      <c r="XEU1590" s="55">
        <f t="shared" si="293"/>
        <v>0</v>
      </c>
      <c r="XEV1590" s="55">
        <f t="shared" si="293"/>
        <v>0</v>
      </c>
      <c r="XEW1590" s="55">
        <f t="shared" si="293"/>
        <v>0</v>
      </c>
      <c r="XEX1590" s="55">
        <f t="shared" si="293"/>
        <v>0</v>
      </c>
      <c r="XEY1590" s="55">
        <f t="shared" si="293"/>
        <v>0</v>
      </c>
      <c r="XEZ1590" s="55">
        <f t="shared" si="293"/>
        <v>0</v>
      </c>
      <c r="XFA1590" s="55">
        <f t="shared" si="293"/>
        <v>0</v>
      </c>
      <c r="XFB1590" s="55">
        <f t="shared" si="293"/>
        <v>0</v>
      </c>
      <c r="XFC1590" s="55">
        <f t="shared" si="293"/>
        <v>0</v>
      </c>
    </row>
    <row r="1591" spans="1:16383" ht="15.6" x14ac:dyDescent="0.3">
      <c r="A1591" s="90"/>
      <c r="B1591" s="41"/>
      <c r="C1591" s="53"/>
      <c r="D1591" s="41"/>
      <c r="E1591" s="54"/>
      <c r="F1591" s="53"/>
      <c r="G1591" s="56">
        <f>SUM(F1582:F1590)</f>
        <v>1359.1433211588785</v>
      </c>
      <c r="H1591" s="57" t="s">
        <v>150</v>
      </c>
      <c r="I1591" s="153"/>
    </row>
    <row r="1592" spans="1:16383" ht="15.6" x14ac:dyDescent="0.3">
      <c r="A1592" s="90"/>
      <c r="B1592" s="41"/>
      <c r="C1592" s="53"/>
      <c r="D1592" s="41"/>
      <c r="E1592" s="54"/>
      <c r="F1592" s="53"/>
      <c r="G1592" s="56">
        <f>SUM(F1582:F1590)+(F1588+F1589)*0.05</f>
        <v>1380.2745711588784</v>
      </c>
      <c r="H1592" s="57" t="s">
        <v>150</v>
      </c>
      <c r="I1592" s="153"/>
    </row>
    <row r="1593" spans="1:16383" ht="15.6" x14ac:dyDescent="0.3">
      <c r="A1593" s="90"/>
      <c r="B1593" s="3" t="s">
        <v>532</v>
      </c>
      <c r="C1593" s="8"/>
      <c r="E1593" s="46"/>
      <c r="F1593" s="8"/>
      <c r="G1593" s="58"/>
      <c r="I1593" s="153"/>
    </row>
    <row r="1594" spans="1:16383" x14ac:dyDescent="0.25">
      <c r="A1594" s="90">
        <f>0.01+A1570</f>
        <v>13.359999999999992</v>
      </c>
      <c r="B1594" s="41" t="s">
        <v>455</v>
      </c>
      <c r="C1594" s="53">
        <v>0.25</v>
      </c>
      <c r="D1594" s="41" t="s">
        <v>81</v>
      </c>
      <c r="E1594" s="54">
        <f>+E1297</f>
        <v>1508.75</v>
      </c>
      <c r="F1594" s="53">
        <f>E1594*C1594</f>
        <v>377.1875</v>
      </c>
      <c r="G1594" s="58"/>
      <c r="I1594" s="153"/>
    </row>
    <row r="1595" spans="1:16383" x14ac:dyDescent="0.25">
      <c r="A1595" s="90"/>
      <c r="B1595" s="41" t="s">
        <v>407</v>
      </c>
      <c r="C1595" s="53">
        <f>0.3*0.05</f>
        <v>1.4999999999999999E-2</v>
      </c>
      <c r="D1595" s="41" t="s">
        <v>54</v>
      </c>
      <c r="E1595" s="54">
        <f>+$G$55</f>
        <v>9859.73</v>
      </c>
      <c r="F1595" s="53">
        <f>E1595*C1595</f>
        <v>147.89595</v>
      </c>
      <c r="G1595" s="58"/>
      <c r="I1595" s="153"/>
    </row>
    <row r="1596" spans="1:16383" x14ac:dyDescent="0.25">
      <c r="A1596" s="90"/>
      <c r="B1596" s="41" t="s">
        <v>408</v>
      </c>
      <c r="C1596" s="53">
        <f>0.3*0.13</f>
        <v>3.9E-2</v>
      </c>
      <c r="D1596" s="41" t="s">
        <v>409</v>
      </c>
      <c r="E1596" s="54">
        <f>+'[1]Lista de precios MAY25'!$E$138</f>
        <v>1350</v>
      </c>
      <c r="F1596" s="53">
        <f>E1596*C1596</f>
        <v>52.65</v>
      </c>
      <c r="G1596" s="58"/>
      <c r="H1596" s="41"/>
      <c r="I1596" s="153"/>
    </row>
    <row r="1597" spans="1:16383" x14ac:dyDescent="0.25">
      <c r="A1597" s="90"/>
      <c r="B1597" s="41" t="s">
        <v>411</v>
      </c>
      <c r="C1597" s="53">
        <f>0.05*0.3</f>
        <v>1.4999999999999999E-2</v>
      </c>
      <c r="D1597" s="41" t="s">
        <v>82</v>
      </c>
      <c r="E1597" s="54">
        <f>+'[1]Lista de precios MAY25'!$E$141</f>
        <v>80.850000000000009</v>
      </c>
      <c r="F1597" s="53">
        <f>E1597*C1597</f>
        <v>1.21275</v>
      </c>
      <c r="G1597" s="58"/>
      <c r="H1597" s="41"/>
      <c r="I1597" s="153"/>
    </row>
    <row r="1598" spans="1:16383" x14ac:dyDescent="0.25">
      <c r="A1598" s="90"/>
      <c r="B1598" s="41" t="s">
        <v>458</v>
      </c>
      <c r="C1598" s="53">
        <f>(1/10.7)*0.5</f>
        <v>4.6728971962616828E-2</v>
      </c>
      <c r="D1598" s="41" t="s">
        <v>82</v>
      </c>
      <c r="E1598" s="54">
        <f>+$E$1586</f>
        <v>3135.0270679999999</v>
      </c>
      <c r="F1598" s="53">
        <f>E1598*C1598</f>
        <v>146.49659196261683</v>
      </c>
      <c r="G1598" s="58"/>
      <c r="I1598" s="153"/>
    </row>
    <row r="1599" spans="1:16383" s="55" customFormat="1" x14ac:dyDescent="0.25">
      <c r="A1599" s="90"/>
      <c r="B1599" s="41" t="s">
        <v>67</v>
      </c>
      <c r="C1599" s="53">
        <v>10</v>
      </c>
      <c r="D1599" s="41" t="s">
        <v>34</v>
      </c>
      <c r="E1599" s="54">
        <f>SUM(F1594:F1598)</f>
        <v>725.44279196261687</v>
      </c>
      <c r="F1599" s="53">
        <f>E1599*C1599/100</f>
        <v>72.544279196261684</v>
      </c>
      <c r="G1599" s="58"/>
      <c r="H1599" s="2"/>
      <c r="I1599" s="153"/>
      <c r="J1599" s="2"/>
      <c r="K1599" s="2"/>
      <c r="L1599" s="55">
        <f t="shared" ref="L1599:BW1599" si="294">+(L1619+L1623)*1.18*1.1</f>
        <v>0</v>
      </c>
      <c r="M1599" s="55">
        <f t="shared" si="294"/>
        <v>0</v>
      </c>
      <c r="N1599" s="55">
        <f t="shared" si="294"/>
        <v>0</v>
      </c>
      <c r="O1599" s="55">
        <f t="shared" si="294"/>
        <v>0</v>
      </c>
      <c r="P1599" s="55">
        <f t="shared" si="294"/>
        <v>0</v>
      </c>
      <c r="Q1599" s="55">
        <f t="shared" si="294"/>
        <v>0</v>
      </c>
      <c r="R1599" s="55">
        <f t="shared" si="294"/>
        <v>0</v>
      </c>
      <c r="S1599" s="55">
        <f t="shared" si="294"/>
        <v>0</v>
      </c>
      <c r="T1599" s="55">
        <f t="shared" si="294"/>
        <v>0</v>
      </c>
      <c r="U1599" s="55">
        <f t="shared" si="294"/>
        <v>0</v>
      </c>
      <c r="V1599" s="55">
        <f t="shared" si="294"/>
        <v>0</v>
      </c>
      <c r="W1599" s="55">
        <f t="shared" si="294"/>
        <v>0</v>
      </c>
      <c r="X1599" s="55">
        <f t="shared" si="294"/>
        <v>0</v>
      </c>
      <c r="Y1599" s="55">
        <f t="shared" si="294"/>
        <v>0</v>
      </c>
      <c r="Z1599" s="55">
        <f t="shared" si="294"/>
        <v>0</v>
      </c>
      <c r="AA1599" s="55">
        <f t="shared" si="294"/>
        <v>0</v>
      </c>
      <c r="AB1599" s="55">
        <f t="shared" si="294"/>
        <v>0</v>
      </c>
      <c r="AC1599" s="55">
        <f t="shared" si="294"/>
        <v>0</v>
      </c>
      <c r="AD1599" s="55">
        <f t="shared" si="294"/>
        <v>0</v>
      </c>
      <c r="AE1599" s="55">
        <f t="shared" si="294"/>
        <v>0</v>
      </c>
      <c r="AF1599" s="55">
        <f t="shared" si="294"/>
        <v>0</v>
      </c>
      <c r="AG1599" s="55">
        <f t="shared" si="294"/>
        <v>0</v>
      </c>
      <c r="AH1599" s="55">
        <f t="shared" si="294"/>
        <v>0</v>
      </c>
      <c r="AI1599" s="55">
        <f t="shared" si="294"/>
        <v>0</v>
      </c>
      <c r="AJ1599" s="55">
        <f t="shared" si="294"/>
        <v>0</v>
      </c>
      <c r="AK1599" s="55">
        <f t="shared" si="294"/>
        <v>0</v>
      </c>
      <c r="AL1599" s="55">
        <f t="shared" si="294"/>
        <v>0</v>
      </c>
      <c r="AM1599" s="55">
        <f t="shared" si="294"/>
        <v>0</v>
      </c>
      <c r="AN1599" s="55">
        <f t="shared" si="294"/>
        <v>0</v>
      </c>
      <c r="AO1599" s="55">
        <f t="shared" si="294"/>
        <v>0</v>
      </c>
      <c r="AP1599" s="55">
        <f t="shared" si="294"/>
        <v>0</v>
      </c>
      <c r="AQ1599" s="55">
        <f t="shared" si="294"/>
        <v>0</v>
      </c>
      <c r="AR1599" s="55">
        <f t="shared" si="294"/>
        <v>0</v>
      </c>
      <c r="AS1599" s="55">
        <f t="shared" si="294"/>
        <v>0</v>
      </c>
      <c r="AT1599" s="55">
        <f t="shared" si="294"/>
        <v>0</v>
      </c>
      <c r="AU1599" s="55">
        <f t="shared" si="294"/>
        <v>0</v>
      </c>
      <c r="AV1599" s="55">
        <f t="shared" si="294"/>
        <v>0</v>
      </c>
      <c r="AW1599" s="55">
        <f t="shared" si="294"/>
        <v>0</v>
      </c>
      <c r="AX1599" s="55">
        <f t="shared" si="294"/>
        <v>0</v>
      </c>
      <c r="AY1599" s="55">
        <f t="shared" si="294"/>
        <v>0</v>
      </c>
      <c r="AZ1599" s="55">
        <f t="shared" si="294"/>
        <v>0</v>
      </c>
      <c r="BA1599" s="55">
        <f t="shared" si="294"/>
        <v>0</v>
      </c>
      <c r="BB1599" s="55">
        <f t="shared" si="294"/>
        <v>0</v>
      </c>
      <c r="BC1599" s="55">
        <f t="shared" si="294"/>
        <v>0</v>
      </c>
      <c r="BD1599" s="55">
        <f t="shared" si="294"/>
        <v>0</v>
      </c>
      <c r="BE1599" s="55">
        <f t="shared" si="294"/>
        <v>0</v>
      </c>
      <c r="BF1599" s="55">
        <f t="shared" si="294"/>
        <v>0</v>
      </c>
      <c r="BG1599" s="55">
        <f t="shared" si="294"/>
        <v>0</v>
      </c>
      <c r="BH1599" s="55">
        <f t="shared" si="294"/>
        <v>0</v>
      </c>
      <c r="BI1599" s="55">
        <f t="shared" si="294"/>
        <v>0</v>
      </c>
      <c r="BJ1599" s="55">
        <f t="shared" si="294"/>
        <v>0</v>
      </c>
      <c r="BK1599" s="55">
        <f t="shared" si="294"/>
        <v>0</v>
      </c>
      <c r="BL1599" s="55">
        <f t="shared" si="294"/>
        <v>0</v>
      </c>
      <c r="BM1599" s="55">
        <f t="shared" si="294"/>
        <v>0</v>
      </c>
      <c r="BN1599" s="55">
        <f t="shared" si="294"/>
        <v>0</v>
      </c>
      <c r="BO1599" s="55">
        <f t="shared" si="294"/>
        <v>0</v>
      </c>
      <c r="BP1599" s="55">
        <f t="shared" si="294"/>
        <v>0</v>
      </c>
      <c r="BQ1599" s="55">
        <f t="shared" si="294"/>
        <v>0</v>
      </c>
      <c r="BR1599" s="55">
        <f t="shared" si="294"/>
        <v>0</v>
      </c>
      <c r="BS1599" s="55">
        <f t="shared" si="294"/>
        <v>0</v>
      </c>
      <c r="BT1599" s="55">
        <f t="shared" si="294"/>
        <v>0</v>
      </c>
      <c r="BU1599" s="55">
        <f t="shared" si="294"/>
        <v>0</v>
      </c>
      <c r="BV1599" s="55">
        <f t="shared" si="294"/>
        <v>0</v>
      </c>
      <c r="BW1599" s="55">
        <f t="shared" si="294"/>
        <v>0</v>
      </c>
      <c r="BX1599" s="55">
        <f t="shared" ref="BX1599:EI1599" si="295">+(BX1619+BX1623)*1.18*1.1</f>
        <v>0</v>
      </c>
      <c r="BY1599" s="55">
        <f t="shared" si="295"/>
        <v>0</v>
      </c>
      <c r="BZ1599" s="55">
        <f t="shared" si="295"/>
        <v>0</v>
      </c>
      <c r="CA1599" s="55">
        <f t="shared" si="295"/>
        <v>0</v>
      </c>
      <c r="CB1599" s="55">
        <f t="shared" si="295"/>
        <v>0</v>
      </c>
      <c r="CC1599" s="55">
        <f t="shared" si="295"/>
        <v>0</v>
      </c>
      <c r="CD1599" s="55">
        <f t="shared" si="295"/>
        <v>0</v>
      </c>
      <c r="CE1599" s="55">
        <f t="shared" si="295"/>
        <v>0</v>
      </c>
      <c r="CF1599" s="55">
        <f t="shared" si="295"/>
        <v>0</v>
      </c>
      <c r="CG1599" s="55">
        <f t="shared" si="295"/>
        <v>0</v>
      </c>
      <c r="CH1599" s="55">
        <f t="shared" si="295"/>
        <v>0</v>
      </c>
      <c r="CI1599" s="55">
        <f t="shared" si="295"/>
        <v>0</v>
      </c>
      <c r="CJ1599" s="55">
        <f t="shared" si="295"/>
        <v>0</v>
      </c>
      <c r="CK1599" s="55">
        <f t="shared" si="295"/>
        <v>0</v>
      </c>
      <c r="CL1599" s="55">
        <f t="shared" si="295"/>
        <v>0</v>
      </c>
      <c r="CM1599" s="55">
        <f t="shared" si="295"/>
        <v>0</v>
      </c>
      <c r="CN1599" s="55">
        <f t="shared" si="295"/>
        <v>0</v>
      </c>
      <c r="CO1599" s="55">
        <f t="shared" si="295"/>
        <v>0</v>
      </c>
      <c r="CP1599" s="55">
        <f t="shared" si="295"/>
        <v>0</v>
      </c>
      <c r="CQ1599" s="55">
        <f t="shared" si="295"/>
        <v>0</v>
      </c>
      <c r="CR1599" s="55">
        <f t="shared" si="295"/>
        <v>0</v>
      </c>
      <c r="CS1599" s="55">
        <f t="shared" si="295"/>
        <v>0</v>
      </c>
      <c r="CT1599" s="55">
        <f t="shared" si="295"/>
        <v>0</v>
      </c>
      <c r="CU1599" s="55">
        <f t="shared" si="295"/>
        <v>0</v>
      </c>
      <c r="CV1599" s="55">
        <f t="shared" si="295"/>
        <v>0</v>
      </c>
      <c r="CW1599" s="55">
        <f t="shared" si="295"/>
        <v>0</v>
      </c>
      <c r="CX1599" s="55">
        <f t="shared" si="295"/>
        <v>0</v>
      </c>
      <c r="CY1599" s="55">
        <f t="shared" si="295"/>
        <v>0</v>
      </c>
      <c r="CZ1599" s="55">
        <f t="shared" si="295"/>
        <v>0</v>
      </c>
      <c r="DA1599" s="55">
        <f t="shared" si="295"/>
        <v>0</v>
      </c>
      <c r="DB1599" s="55">
        <f t="shared" si="295"/>
        <v>0</v>
      </c>
      <c r="DC1599" s="55">
        <f t="shared" si="295"/>
        <v>0</v>
      </c>
      <c r="DD1599" s="55">
        <f t="shared" si="295"/>
        <v>0</v>
      </c>
      <c r="DE1599" s="55">
        <f t="shared" si="295"/>
        <v>0</v>
      </c>
      <c r="DF1599" s="55">
        <f t="shared" si="295"/>
        <v>0</v>
      </c>
      <c r="DG1599" s="55">
        <f t="shared" si="295"/>
        <v>0</v>
      </c>
      <c r="DH1599" s="55">
        <f t="shared" si="295"/>
        <v>0</v>
      </c>
      <c r="DI1599" s="55">
        <f t="shared" si="295"/>
        <v>0</v>
      </c>
      <c r="DJ1599" s="55">
        <f t="shared" si="295"/>
        <v>0</v>
      </c>
      <c r="DK1599" s="55">
        <f t="shared" si="295"/>
        <v>0</v>
      </c>
      <c r="DL1599" s="55">
        <f t="shared" si="295"/>
        <v>0</v>
      </c>
      <c r="DM1599" s="55">
        <f t="shared" si="295"/>
        <v>0</v>
      </c>
      <c r="DN1599" s="55">
        <f t="shared" si="295"/>
        <v>0</v>
      </c>
      <c r="DO1599" s="55">
        <f t="shared" si="295"/>
        <v>0</v>
      </c>
      <c r="DP1599" s="55">
        <f t="shared" si="295"/>
        <v>0</v>
      </c>
      <c r="DQ1599" s="55">
        <f t="shared" si="295"/>
        <v>0</v>
      </c>
      <c r="DR1599" s="55">
        <f t="shared" si="295"/>
        <v>0</v>
      </c>
      <c r="DS1599" s="55">
        <f t="shared" si="295"/>
        <v>0</v>
      </c>
      <c r="DT1599" s="55">
        <f t="shared" si="295"/>
        <v>0</v>
      </c>
      <c r="DU1599" s="55">
        <f t="shared" si="295"/>
        <v>0</v>
      </c>
      <c r="DV1599" s="55">
        <f t="shared" si="295"/>
        <v>0</v>
      </c>
      <c r="DW1599" s="55">
        <f t="shared" si="295"/>
        <v>0</v>
      </c>
      <c r="DX1599" s="55">
        <f t="shared" si="295"/>
        <v>0</v>
      </c>
      <c r="DY1599" s="55">
        <f t="shared" si="295"/>
        <v>0</v>
      </c>
      <c r="DZ1599" s="55">
        <f t="shared" si="295"/>
        <v>0</v>
      </c>
      <c r="EA1599" s="55">
        <f t="shared" si="295"/>
        <v>0</v>
      </c>
      <c r="EB1599" s="55">
        <f t="shared" si="295"/>
        <v>0</v>
      </c>
      <c r="EC1599" s="55">
        <f t="shared" si="295"/>
        <v>0</v>
      </c>
      <c r="ED1599" s="55">
        <f t="shared" si="295"/>
        <v>0</v>
      </c>
      <c r="EE1599" s="55">
        <f t="shared" si="295"/>
        <v>0</v>
      </c>
      <c r="EF1599" s="55">
        <f t="shared" si="295"/>
        <v>0</v>
      </c>
      <c r="EG1599" s="55">
        <f t="shared" si="295"/>
        <v>0</v>
      </c>
      <c r="EH1599" s="55">
        <f t="shared" si="295"/>
        <v>0</v>
      </c>
      <c r="EI1599" s="55">
        <f t="shared" si="295"/>
        <v>0</v>
      </c>
      <c r="EJ1599" s="55">
        <f t="shared" ref="EJ1599:GU1599" si="296">+(EJ1619+EJ1623)*1.18*1.1</f>
        <v>0</v>
      </c>
      <c r="EK1599" s="55">
        <f t="shared" si="296"/>
        <v>0</v>
      </c>
      <c r="EL1599" s="55">
        <f t="shared" si="296"/>
        <v>0</v>
      </c>
      <c r="EM1599" s="55">
        <f t="shared" si="296"/>
        <v>0</v>
      </c>
      <c r="EN1599" s="55">
        <f t="shared" si="296"/>
        <v>0</v>
      </c>
      <c r="EO1599" s="55">
        <f t="shared" si="296"/>
        <v>0</v>
      </c>
      <c r="EP1599" s="55">
        <f t="shared" si="296"/>
        <v>0</v>
      </c>
      <c r="EQ1599" s="55">
        <f t="shared" si="296"/>
        <v>0</v>
      </c>
      <c r="ER1599" s="55">
        <f t="shared" si="296"/>
        <v>0</v>
      </c>
      <c r="ES1599" s="55">
        <f t="shared" si="296"/>
        <v>0</v>
      </c>
      <c r="ET1599" s="55">
        <f t="shared" si="296"/>
        <v>0</v>
      </c>
      <c r="EU1599" s="55">
        <f t="shared" si="296"/>
        <v>0</v>
      </c>
      <c r="EV1599" s="55">
        <f t="shared" si="296"/>
        <v>0</v>
      </c>
      <c r="EW1599" s="55">
        <f t="shared" si="296"/>
        <v>0</v>
      </c>
      <c r="EX1599" s="55">
        <f t="shared" si="296"/>
        <v>0</v>
      </c>
      <c r="EY1599" s="55">
        <f t="shared" si="296"/>
        <v>0</v>
      </c>
      <c r="EZ1599" s="55">
        <f t="shared" si="296"/>
        <v>0</v>
      </c>
      <c r="FA1599" s="55">
        <f t="shared" si="296"/>
        <v>0</v>
      </c>
      <c r="FB1599" s="55">
        <f t="shared" si="296"/>
        <v>0</v>
      </c>
      <c r="FC1599" s="55">
        <f t="shared" si="296"/>
        <v>0</v>
      </c>
      <c r="FD1599" s="55">
        <f t="shared" si="296"/>
        <v>0</v>
      </c>
      <c r="FE1599" s="55">
        <f t="shared" si="296"/>
        <v>0</v>
      </c>
      <c r="FF1599" s="55">
        <f t="shared" si="296"/>
        <v>0</v>
      </c>
      <c r="FG1599" s="55">
        <f t="shared" si="296"/>
        <v>0</v>
      </c>
      <c r="FH1599" s="55">
        <f t="shared" si="296"/>
        <v>0</v>
      </c>
      <c r="FI1599" s="55">
        <f t="shared" si="296"/>
        <v>0</v>
      </c>
      <c r="FJ1599" s="55">
        <f t="shared" si="296"/>
        <v>0</v>
      </c>
      <c r="FK1599" s="55">
        <f t="shared" si="296"/>
        <v>0</v>
      </c>
      <c r="FL1599" s="55">
        <f t="shared" si="296"/>
        <v>0</v>
      </c>
      <c r="FM1599" s="55">
        <f t="shared" si="296"/>
        <v>0</v>
      </c>
      <c r="FN1599" s="55">
        <f t="shared" si="296"/>
        <v>0</v>
      </c>
      <c r="FO1599" s="55">
        <f t="shared" si="296"/>
        <v>0</v>
      </c>
      <c r="FP1599" s="55">
        <f t="shared" si="296"/>
        <v>0</v>
      </c>
      <c r="FQ1599" s="55">
        <f t="shared" si="296"/>
        <v>0</v>
      </c>
      <c r="FR1599" s="55">
        <f t="shared" si="296"/>
        <v>0</v>
      </c>
      <c r="FS1599" s="55">
        <f t="shared" si="296"/>
        <v>0</v>
      </c>
      <c r="FT1599" s="55">
        <f t="shared" si="296"/>
        <v>0</v>
      </c>
      <c r="FU1599" s="55">
        <f t="shared" si="296"/>
        <v>0</v>
      </c>
      <c r="FV1599" s="55">
        <f t="shared" si="296"/>
        <v>0</v>
      </c>
      <c r="FW1599" s="55">
        <f t="shared" si="296"/>
        <v>0</v>
      </c>
      <c r="FX1599" s="55">
        <f t="shared" si="296"/>
        <v>0</v>
      </c>
      <c r="FY1599" s="55">
        <f t="shared" si="296"/>
        <v>0</v>
      </c>
      <c r="FZ1599" s="55">
        <f t="shared" si="296"/>
        <v>0</v>
      </c>
      <c r="GA1599" s="55">
        <f t="shared" si="296"/>
        <v>0</v>
      </c>
      <c r="GB1599" s="55">
        <f t="shared" si="296"/>
        <v>0</v>
      </c>
      <c r="GC1599" s="55">
        <f t="shared" si="296"/>
        <v>0</v>
      </c>
      <c r="GD1599" s="55">
        <f t="shared" si="296"/>
        <v>0</v>
      </c>
      <c r="GE1599" s="55">
        <f t="shared" si="296"/>
        <v>0</v>
      </c>
      <c r="GF1599" s="55">
        <f t="shared" si="296"/>
        <v>0</v>
      </c>
      <c r="GG1599" s="55">
        <f t="shared" si="296"/>
        <v>0</v>
      </c>
      <c r="GH1599" s="55">
        <f t="shared" si="296"/>
        <v>0</v>
      </c>
      <c r="GI1599" s="55">
        <f t="shared" si="296"/>
        <v>0</v>
      </c>
      <c r="GJ1599" s="55">
        <f t="shared" si="296"/>
        <v>0</v>
      </c>
      <c r="GK1599" s="55">
        <f t="shared" si="296"/>
        <v>0</v>
      </c>
      <c r="GL1599" s="55">
        <f t="shared" si="296"/>
        <v>0</v>
      </c>
      <c r="GM1599" s="55">
        <f t="shared" si="296"/>
        <v>0</v>
      </c>
      <c r="GN1599" s="55">
        <f t="shared" si="296"/>
        <v>0</v>
      </c>
      <c r="GO1599" s="55">
        <f t="shared" si="296"/>
        <v>0</v>
      </c>
      <c r="GP1599" s="55">
        <f t="shared" si="296"/>
        <v>0</v>
      </c>
      <c r="GQ1599" s="55">
        <f t="shared" si="296"/>
        <v>0</v>
      </c>
      <c r="GR1599" s="55">
        <f t="shared" si="296"/>
        <v>0</v>
      </c>
      <c r="GS1599" s="55">
        <f t="shared" si="296"/>
        <v>0</v>
      </c>
      <c r="GT1599" s="55">
        <f t="shared" si="296"/>
        <v>0</v>
      </c>
      <c r="GU1599" s="55">
        <f t="shared" si="296"/>
        <v>0</v>
      </c>
      <c r="GV1599" s="55">
        <f t="shared" ref="GV1599:JG1599" si="297">+(GV1619+GV1623)*1.18*1.1</f>
        <v>0</v>
      </c>
      <c r="GW1599" s="55">
        <f t="shared" si="297"/>
        <v>0</v>
      </c>
      <c r="GX1599" s="55">
        <f t="shared" si="297"/>
        <v>0</v>
      </c>
      <c r="GY1599" s="55">
        <f t="shared" si="297"/>
        <v>0</v>
      </c>
      <c r="GZ1599" s="55">
        <f t="shared" si="297"/>
        <v>0</v>
      </c>
      <c r="HA1599" s="55">
        <f t="shared" si="297"/>
        <v>0</v>
      </c>
      <c r="HB1599" s="55">
        <f t="shared" si="297"/>
        <v>0</v>
      </c>
      <c r="HC1599" s="55">
        <f t="shared" si="297"/>
        <v>0</v>
      </c>
      <c r="HD1599" s="55">
        <f t="shared" si="297"/>
        <v>0</v>
      </c>
      <c r="HE1599" s="55">
        <f t="shared" si="297"/>
        <v>0</v>
      </c>
      <c r="HF1599" s="55">
        <f t="shared" si="297"/>
        <v>0</v>
      </c>
      <c r="HG1599" s="55">
        <f t="shared" si="297"/>
        <v>0</v>
      </c>
      <c r="HH1599" s="55">
        <f t="shared" si="297"/>
        <v>0</v>
      </c>
      <c r="HI1599" s="55">
        <f t="shared" si="297"/>
        <v>0</v>
      </c>
      <c r="HJ1599" s="55">
        <f t="shared" si="297"/>
        <v>0</v>
      </c>
      <c r="HK1599" s="55">
        <f t="shared" si="297"/>
        <v>0</v>
      </c>
      <c r="HL1599" s="55">
        <f t="shared" si="297"/>
        <v>0</v>
      </c>
      <c r="HM1599" s="55">
        <f t="shared" si="297"/>
        <v>0</v>
      </c>
      <c r="HN1599" s="55">
        <f t="shared" si="297"/>
        <v>0</v>
      </c>
      <c r="HO1599" s="55">
        <f t="shared" si="297"/>
        <v>0</v>
      </c>
      <c r="HP1599" s="55">
        <f t="shared" si="297"/>
        <v>0</v>
      </c>
      <c r="HQ1599" s="55">
        <f t="shared" si="297"/>
        <v>0</v>
      </c>
      <c r="HR1599" s="55">
        <f t="shared" si="297"/>
        <v>0</v>
      </c>
      <c r="HS1599" s="55">
        <f t="shared" si="297"/>
        <v>0</v>
      </c>
      <c r="HT1599" s="55">
        <f t="shared" si="297"/>
        <v>0</v>
      </c>
      <c r="HU1599" s="55">
        <f t="shared" si="297"/>
        <v>0</v>
      </c>
      <c r="HV1599" s="55">
        <f t="shared" si="297"/>
        <v>0</v>
      </c>
      <c r="HW1599" s="55">
        <f t="shared" si="297"/>
        <v>0</v>
      </c>
      <c r="HX1599" s="55">
        <f t="shared" si="297"/>
        <v>0</v>
      </c>
      <c r="HY1599" s="55">
        <f t="shared" si="297"/>
        <v>0</v>
      </c>
      <c r="HZ1599" s="55">
        <f t="shared" si="297"/>
        <v>0</v>
      </c>
      <c r="IA1599" s="55">
        <f t="shared" si="297"/>
        <v>0</v>
      </c>
      <c r="IB1599" s="55">
        <f t="shared" si="297"/>
        <v>0</v>
      </c>
      <c r="IC1599" s="55">
        <f t="shared" si="297"/>
        <v>0</v>
      </c>
      <c r="ID1599" s="55">
        <f t="shared" si="297"/>
        <v>0</v>
      </c>
      <c r="IE1599" s="55">
        <f t="shared" si="297"/>
        <v>0</v>
      </c>
      <c r="IF1599" s="55">
        <f t="shared" si="297"/>
        <v>0</v>
      </c>
      <c r="IG1599" s="55">
        <f t="shared" si="297"/>
        <v>0</v>
      </c>
      <c r="IH1599" s="55">
        <f t="shared" si="297"/>
        <v>0</v>
      </c>
      <c r="II1599" s="55">
        <f t="shared" si="297"/>
        <v>0</v>
      </c>
      <c r="IJ1599" s="55">
        <f t="shared" si="297"/>
        <v>0</v>
      </c>
      <c r="IK1599" s="55">
        <f t="shared" si="297"/>
        <v>0</v>
      </c>
      <c r="IL1599" s="55">
        <f t="shared" si="297"/>
        <v>0</v>
      </c>
      <c r="IM1599" s="55">
        <f t="shared" si="297"/>
        <v>0</v>
      </c>
      <c r="IN1599" s="55">
        <f t="shared" si="297"/>
        <v>0</v>
      </c>
      <c r="IO1599" s="55">
        <f t="shared" si="297"/>
        <v>0</v>
      </c>
      <c r="IP1599" s="55">
        <f t="shared" si="297"/>
        <v>0</v>
      </c>
      <c r="IQ1599" s="55">
        <f t="shared" si="297"/>
        <v>0</v>
      </c>
      <c r="IR1599" s="55">
        <f t="shared" si="297"/>
        <v>0</v>
      </c>
      <c r="IS1599" s="55">
        <f t="shared" si="297"/>
        <v>0</v>
      </c>
      <c r="IT1599" s="55">
        <f t="shared" si="297"/>
        <v>0</v>
      </c>
      <c r="IU1599" s="55">
        <f t="shared" si="297"/>
        <v>0</v>
      </c>
      <c r="IV1599" s="55">
        <f t="shared" si="297"/>
        <v>0</v>
      </c>
      <c r="IW1599" s="55">
        <f t="shared" si="297"/>
        <v>0</v>
      </c>
      <c r="IX1599" s="55">
        <f t="shared" si="297"/>
        <v>0</v>
      </c>
      <c r="IY1599" s="55">
        <f t="shared" si="297"/>
        <v>0</v>
      </c>
      <c r="IZ1599" s="55">
        <f t="shared" si="297"/>
        <v>0</v>
      </c>
      <c r="JA1599" s="55">
        <f t="shared" si="297"/>
        <v>0</v>
      </c>
      <c r="JB1599" s="55">
        <f t="shared" si="297"/>
        <v>0</v>
      </c>
      <c r="JC1599" s="55">
        <f t="shared" si="297"/>
        <v>0</v>
      </c>
      <c r="JD1599" s="55">
        <f t="shared" si="297"/>
        <v>0</v>
      </c>
      <c r="JE1599" s="55">
        <f t="shared" si="297"/>
        <v>0</v>
      </c>
      <c r="JF1599" s="55">
        <f t="shared" si="297"/>
        <v>0</v>
      </c>
      <c r="JG1599" s="55">
        <f t="shared" si="297"/>
        <v>0</v>
      </c>
      <c r="JH1599" s="55">
        <f t="shared" ref="JH1599:LS1599" si="298">+(JH1619+JH1623)*1.18*1.1</f>
        <v>0</v>
      </c>
      <c r="JI1599" s="55">
        <f t="shared" si="298"/>
        <v>0</v>
      </c>
      <c r="JJ1599" s="55">
        <f t="shared" si="298"/>
        <v>0</v>
      </c>
      <c r="JK1599" s="55">
        <f t="shared" si="298"/>
        <v>0</v>
      </c>
      <c r="JL1599" s="55">
        <f t="shared" si="298"/>
        <v>0</v>
      </c>
      <c r="JM1599" s="55">
        <f t="shared" si="298"/>
        <v>0</v>
      </c>
      <c r="JN1599" s="55">
        <f t="shared" si="298"/>
        <v>0</v>
      </c>
      <c r="JO1599" s="55">
        <f t="shared" si="298"/>
        <v>0</v>
      </c>
      <c r="JP1599" s="55">
        <f t="shared" si="298"/>
        <v>0</v>
      </c>
      <c r="JQ1599" s="55">
        <f t="shared" si="298"/>
        <v>0</v>
      </c>
      <c r="JR1599" s="55">
        <f t="shared" si="298"/>
        <v>0</v>
      </c>
      <c r="JS1599" s="55">
        <f t="shared" si="298"/>
        <v>0</v>
      </c>
      <c r="JT1599" s="55">
        <f t="shared" si="298"/>
        <v>0</v>
      </c>
      <c r="JU1599" s="55">
        <f t="shared" si="298"/>
        <v>0</v>
      </c>
      <c r="JV1599" s="55">
        <f t="shared" si="298"/>
        <v>0</v>
      </c>
      <c r="JW1599" s="55">
        <f t="shared" si="298"/>
        <v>0</v>
      </c>
      <c r="JX1599" s="55">
        <f t="shared" si="298"/>
        <v>0</v>
      </c>
      <c r="JY1599" s="55">
        <f t="shared" si="298"/>
        <v>0</v>
      </c>
      <c r="JZ1599" s="55">
        <f t="shared" si="298"/>
        <v>0</v>
      </c>
      <c r="KA1599" s="55">
        <f t="shared" si="298"/>
        <v>0</v>
      </c>
      <c r="KB1599" s="55">
        <f t="shared" si="298"/>
        <v>0</v>
      </c>
      <c r="KC1599" s="55">
        <f t="shared" si="298"/>
        <v>0</v>
      </c>
      <c r="KD1599" s="55">
        <f t="shared" si="298"/>
        <v>0</v>
      </c>
      <c r="KE1599" s="55">
        <f t="shared" si="298"/>
        <v>0</v>
      </c>
      <c r="KF1599" s="55">
        <f t="shared" si="298"/>
        <v>0</v>
      </c>
      <c r="KG1599" s="55">
        <f t="shared" si="298"/>
        <v>0</v>
      </c>
      <c r="KH1599" s="55">
        <f t="shared" si="298"/>
        <v>0</v>
      </c>
      <c r="KI1599" s="55">
        <f t="shared" si="298"/>
        <v>0</v>
      </c>
      <c r="KJ1599" s="55">
        <f t="shared" si="298"/>
        <v>0</v>
      </c>
      <c r="KK1599" s="55">
        <f t="shared" si="298"/>
        <v>0</v>
      </c>
      <c r="KL1599" s="55">
        <f t="shared" si="298"/>
        <v>0</v>
      </c>
      <c r="KM1599" s="55">
        <f t="shared" si="298"/>
        <v>0</v>
      </c>
      <c r="KN1599" s="55">
        <f t="shared" si="298"/>
        <v>0</v>
      </c>
      <c r="KO1599" s="55">
        <f t="shared" si="298"/>
        <v>0</v>
      </c>
      <c r="KP1599" s="55">
        <f t="shared" si="298"/>
        <v>0</v>
      </c>
      <c r="KQ1599" s="55">
        <f t="shared" si="298"/>
        <v>0</v>
      </c>
      <c r="KR1599" s="55">
        <f t="shared" si="298"/>
        <v>0</v>
      </c>
      <c r="KS1599" s="55">
        <f t="shared" si="298"/>
        <v>0</v>
      </c>
      <c r="KT1599" s="55">
        <f t="shared" si="298"/>
        <v>0</v>
      </c>
      <c r="KU1599" s="55">
        <f t="shared" si="298"/>
        <v>0</v>
      </c>
      <c r="KV1599" s="55">
        <f t="shared" si="298"/>
        <v>0</v>
      </c>
      <c r="KW1599" s="55">
        <f t="shared" si="298"/>
        <v>0</v>
      </c>
      <c r="KX1599" s="55">
        <f t="shared" si="298"/>
        <v>0</v>
      </c>
      <c r="KY1599" s="55">
        <f t="shared" si="298"/>
        <v>0</v>
      </c>
      <c r="KZ1599" s="55">
        <f t="shared" si="298"/>
        <v>0</v>
      </c>
      <c r="LA1599" s="55">
        <f t="shared" si="298"/>
        <v>0</v>
      </c>
      <c r="LB1599" s="55">
        <f t="shared" si="298"/>
        <v>0</v>
      </c>
      <c r="LC1599" s="55">
        <f t="shared" si="298"/>
        <v>0</v>
      </c>
      <c r="LD1599" s="55">
        <f t="shared" si="298"/>
        <v>0</v>
      </c>
      <c r="LE1599" s="55">
        <f t="shared" si="298"/>
        <v>0</v>
      </c>
      <c r="LF1599" s="55">
        <f t="shared" si="298"/>
        <v>0</v>
      </c>
      <c r="LG1599" s="55">
        <f t="shared" si="298"/>
        <v>0</v>
      </c>
      <c r="LH1599" s="55">
        <f t="shared" si="298"/>
        <v>0</v>
      </c>
      <c r="LI1599" s="55">
        <f t="shared" si="298"/>
        <v>0</v>
      </c>
      <c r="LJ1599" s="55">
        <f t="shared" si="298"/>
        <v>0</v>
      </c>
      <c r="LK1599" s="55">
        <f t="shared" si="298"/>
        <v>0</v>
      </c>
      <c r="LL1599" s="55">
        <f t="shared" si="298"/>
        <v>0</v>
      </c>
      <c r="LM1599" s="55">
        <f t="shared" si="298"/>
        <v>0</v>
      </c>
      <c r="LN1599" s="55">
        <f t="shared" si="298"/>
        <v>0</v>
      </c>
      <c r="LO1599" s="55">
        <f t="shared" si="298"/>
        <v>0</v>
      </c>
      <c r="LP1599" s="55">
        <f t="shared" si="298"/>
        <v>0</v>
      </c>
      <c r="LQ1599" s="55">
        <f t="shared" si="298"/>
        <v>0</v>
      </c>
      <c r="LR1599" s="55">
        <f t="shared" si="298"/>
        <v>0</v>
      </c>
      <c r="LS1599" s="55">
        <f t="shared" si="298"/>
        <v>0</v>
      </c>
      <c r="LT1599" s="55">
        <f t="shared" ref="LT1599:OE1599" si="299">+(LT1619+LT1623)*1.18*1.1</f>
        <v>0</v>
      </c>
      <c r="LU1599" s="55">
        <f t="shared" si="299"/>
        <v>0</v>
      </c>
      <c r="LV1599" s="55">
        <f t="shared" si="299"/>
        <v>0</v>
      </c>
      <c r="LW1599" s="55">
        <f t="shared" si="299"/>
        <v>0</v>
      </c>
      <c r="LX1599" s="55">
        <f t="shared" si="299"/>
        <v>0</v>
      </c>
      <c r="LY1599" s="55">
        <f t="shared" si="299"/>
        <v>0</v>
      </c>
      <c r="LZ1599" s="55">
        <f t="shared" si="299"/>
        <v>0</v>
      </c>
      <c r="MA1599" s="55">
        <f t="shared" si="299"/>
        <v>0</v>
      </c>
      <c r="MB1599" s="55">
        <f t="shared" si="299"/>
        <v>0</v>
      </c>
      <c r="MC1599" s="55">
        <f t="shared" si="299"/>
        <v>0</v>
      </c>
      <c r="MD1599" s="55">
        <f t="shared" si="299"/>
        <v>0</v>
      </c>
      <c r="ME1599" s="55">
        <f t="shared" si="299"/>
        <v>0</v>
      </c>
      <c r="MF1599" s="55">
        <f t="shared" si="299"/>
        <v>0</v>
      </c>
      <c r="MG1599" s="55">
        <f t="shared" si="299"/>
        <v>0</v>
      </c>
      <c r="MH1599" s="55">
        <f t="shared" si="299"/>
        <v>0</v>
      </c>
      <c r="MI1599" s="55">
        <f t="shared" si="299"/>
        <v>0</v>
      </c>
      <c r="MJ1599" s="55">
        <f t="shared" si="299"/>
        <v>0</v>
      </c>
      <c r="MK1599" s="55">
        <f t="shared" si="299"/>
        <v>0</v>
      </c>
      <c r="ML1599" s="55">
        <f t="shared" si="299"/>
        <v>0</v>
      </c>
      <c r="MM1599" s="55">
        <f t="shared" si="299"/>
        <v>0</v>
      </c>
      <c r="MN1599" s="55">
        <f t="shared" si="299"/>
        <v>0</v>
      </c>
      <c r="MO1599" s="55">
        <f t="shared" si="299"/>
        <v>0</v>
      </c>
      <c r="MP1599" s="55">
        <f t="shared" si="299"/>
        <v>0</v>
      </c>
      <c r="MQ1599" s="55">
        <f t="shared" si="299"/>
        <v>0</v>
      </c>
      <c r="MR1599" s="55">
        <f t="shared" si="299"/>
        <v>0</v>
      </c>
      <c r="MS1599" s="55">
        <f t="shared" si="299"/>
        <v>0</v>
      </c>
      <c r="MT1599" s="55">
        <f t="shared" si="299"/>
        <v>0</v>
      </c>
      <c r="MU1599" s="55">
        <f t="shared" si="299"/>
        <v>0</v>
      </c>
      <c r="MV1599" s="55">
        <f t="shared" si="299"/>
        <v>0</v>
      </c>
      <c r="MW1599" s="55">
        <f t="shared" si="299"/>
        <v>0</v>
      </c>
      <c r="MX1599" s="55">
        <f t="shared" si="299"/>
        <v>0</v>
      </c>
      <c r="MY1599" s="55">
        <f t="shared" si="299"/>
        <v>0</v>
      </c>
      <c r="MZ1599" s="55">
        <f t="shared" si="299"/>
        <v>0</v>
      </c>
      <c r="NA1599" s="55">
        <f t="shared" si="299"/>
        <v>0</v>
      </c>
      <c r="NB1599" s="55">
        <f t="shared" si="299"/>
        <v>0</v>
      </c>
      <c r="NC1599" s="55">
        <f t="shared" si="299"/>
        <v>0</v>
      </c>
      <c r="ND1599" s="55">
        <f t="shared" si="299"/>
        <v>0</v>
      </c>
      <c r="NE1599" s="55">
        <f t="shared" si="299"/>
        <v>0</v>
      </c>
      <c r="NF1599" s="55">
        <f t="shared" si="299"/>
        <v>0</v>
      </c>
      <c r="NG1599" s="55">
        <f t="shared" si="299"/>
        <v>0</v>
      </c>
      <c r="NH1599" s="55">
        <f t="shared" si="299"/>
        <v>0</v>
      </c>
      <c r="NI1599" s="55">
        <f t="shared" si="299"/>
        <v>0</v>
      </c>
      <c r="NJ1599" s="55">
        <f t="shared" si="299"/>
        <v>0</v>
      </c>
      <c r="NK1599" s="55">
        <f t="shared" si="299"/>
        <v>0</v>
      </c>
      <c r="NL1599" s="55">
        <f t="shared" si="299"/>
        <v>0</v>
      </c>
      <c r="NM1599" s="55">
        <f t="shared" si="299"/>
        <v>0</v>
      </c>
      <c r="NN1599" s="55">
        <f t="shared" si="299"/>
        <v>0</v>
      </c>
      <c r="NO1599" s="55">
        <f t="shared" si="299"/>
        <v>0</v>
      </c>
      <c r="NP1599" s="55">
        <f t="shared" si="299"/>
        <v>0</v>
      </c>
      <c r="NQ1599" s="55">
        <f t="shared" si="299"/>
        <v>0</v>
      </c>
      <c r="NR1599" s="55">
        <f t="shared" si="299"/>
        <v>0</v>
      </c>
      <c r="NS1599" s="55">
        <f t="shared" si="299"/>
        <v>0</v>
      </c>
      <c r="NT1599" s="55">
        <f t="shared" si="299"/>
        <v>0</v>
      </c>
      <c r="NU1599" s="55">
        <f t="shared" si="299"/>
        <v>0</v>
      </c>
      <c r="NV1599" s="55">
        <f t="shared" si="299"/>
        <v>0</v>
      </c>
      <c r="NW1599" s="55">
        <f t="shared" si="299"/>
        <v>0</v>
      </c>
      <c r="NX1599" s="55">
        <f t="shared" si="299"/>
        <v>0</v>
      </c>
      <c r="NY1599" s="55">
        <f t="shared" si="299"/>
        <v>0</v>
      </c>
      <c r="NZ1599" s="55">
        <f t="shared" si="299"/>
        <v>0</v>
      </c>
      <c r="OA1599" s="55">
        <f t="shared" si="299"/>
        <v>0</v>
      </c>
      <c r="OB1599" s="55">
        <f t="shared" si="299"/>
        <v>0</v>
      </c>
      <c r="OC1599" s="55">
        <f t="shared" si="299"/>
        <v>0</v>
      </c>
      <c r="OD1599" s="55">
        <f t="shared" si="299"/>
        <v>0</v>
      </c>
      <c r="OE1599" s="55">
        <f t="shared" si="299"/>
        <v>0</v>
      </c>
      <c r="OF1599" s="55">
        <f t="shared" ref="OF1599:QQ1599" si="300">+(OF1619+OF1623)*1.18*1.1</f>
        <v>0</v>
      </c>
      <c r="OG1599" s="55">
        <f t="shared" si="300"/>
        <v>0</v>
      </c>
      <c r="OH1599" s="55">
        <f t="shared" si="300"/>
        <v>0</v>
      </c>
      <c r="OI1599" s="55">
        <f t="shared" si="300"/>
        <v>0</v>
      </c>
      <c r="OJ1599" s="55">
        <f t="shared" si="300"/>
        <v>0</v>
      </c>
      <c r="OK1599" s="55">
        <f t="shared" si="300"/>
        <v>0</v>
      </c>
      <c r="OL1599" s="55">
        <f t="shared" si="300"/>
        <v>0</v>
      </c>
      <c r="OM1599" s="55">
        <f t="shared" si="300"/>
        <v>0</v>
      </c>
      <c r="ON1599" s="55">
        <f t="shared" si="300"/>
        <v>0</v>
      </c>
      <c r="OO1599" s="55">
        <f t="shared" si="300"/>
        <v>0</v>
      </c>
      <c r="OP1599" s="55">
        <f t="shared" si="300"/>
        <v>0</v>
      </c>
      <c r="OQ1599" s="55">
        <f t="shared" si="300"/>
        <v>0</v>
      </c>
      <c r="OR1599" s="55">
        <f t="shared" si="300"/>
        <v>0</v>
      </c>
      <c r="OS1599" s="55">
        <f t="shared" si="300"/>
        <v>0</v>
      </c>
      <c r="OT1599" s="55">
        <f t="shared" si="300"/>
        <v>0</v>
      </c>
      <c r="OU1599" s="55">
        <f t="shared" si="300"/>
        <v>0</v>
      </c>
      <c r="OV1599" s="55">
        <f t="shared" si="300"/>
        <v>0</v>
      </c>
      <c r="OW1599" s="55">
        <f t="shared" si="300"/>
        <v>0</v>
      </c>
      <c r="OX1599" s="55">
        <f t="shared" si="300"/>
        <v>0</v>
      </c>
      <c r="OY1599" s="55">
        <f t="shared" si="300"/>
        <v>0</v>
      </c>
      <c r="OZ1599" s="55">
        <f t="shared" si="300"/>
        <v>0</v>
      </c>
      <c r="PA1599" s="55">
        <f t="shared" si="300"/>
        <v>0</v>
      </c>
      <c r="PB1599" s="55">
        <f t="shared" si="300"/>
        <v>0</v>
      </c>
      <c r="PC1599" s="55">
        <f t="shared" si="300"/>
        <v>0</v>
      </c>
      <c r="PD1599" s="55">
        <f t="shared" si="300"/>
        <v>0</v>
      </c>
      <c r="PE1599" s="55">
        <f t="shared" si="300"/>
        <v>0</v>
      </c>
      <c r="PF1599" s="55">
        <f t="shared" si="300"/>
        <v>0</v>
      </c>
      <c r="PG1599" s="55">
        <f t="shared" si="300"/>
        <v>0</v>
      </c>
      <c r="PH1599" s="55">
        <f t="shared" si="300"/>
        <v>0</v>
      </c>
      <c r="PI1599" s="55">
        <f t="shared" si="300"/>
        <v>0</v>
      </c>
      <c r="PJ1599" s="55">
        <f t="shared" si="300"/>
        <v>0</v>
      </c>
      <c r="PK1599" s="55">
        <f t="shared" si="300"/>
        <v>0</v>
      </c>
      <c r="PL1599" s="55">
        <f t="shared" si="300"/>
        <v>0</v>
      </c>
      <c r="PM1599" s="55">
        <f t="shared" si="300"/>
        <v>0</v>
      </c>
      <c r="PN1599" s="55">
        <f t="shared" si="300"/>
        <v>0</v>
      </c>
      <c r="PO1599" s="55">
        <f t="shared" si="300"/>
        <v>0</v>
      </c>
      <c r="PP1599" s="55">
        <f t="shared" si="300"/>
        <v>0</v>
      </c>
      <c r="PQ1599" s="55">
        <f t="shared" si="300"/>
        <v>0</v>
      </c>
      <c r="PR1599" s="55">
        <f t="shared" si="300"/>
        <v>0</v>
      </c>
      <c r="PS1599" s="55">
        <f t="shared" si="300"/>
        <v>0</v>
      </c>
      <c r="PT1599" s="55">
        <f t="shared" si="300"/>
        <v>0</v>
      </c>
      <c r="PU1599" s="55">
        <f t="shared" si="300"/>
        <v>0</v>
      </c>
      <c r="PV1599" s="55">
        <f t="shared" si="300"/>
        <v>0</v>
      </c>
      <c r="PW1599" s="55">
        <f t="shared" si="300"/>
        <v>0</v>
      </c>
      <c r="PX1599" s="55">
        <f t="shared" si="300"/>
        <v>0</v>
      </c>
      <c r="PY1599" s="55">
        <f t="shared" si="300"/>
        <v>0</v>
      </c>
      <c r="PZ1599" s="55">
        <f t="shared" si="300"/>
        <v>0</v>
      </c>
      <c r="QA1599" s="55">
        <f t="shared" si="300"/>
        <v>0</v>
      </c>
      <c r="QB1599" s="55">
        <f t="shared" si="300"/>
        <v>0</v>
      </c>
      <c r="QC1599" s="55">
        <f t="shared" si="300"/>
        <v>0</v>
      </c>
      <c r="QD1599" s="55">
        <f t="shared" si="300"/>
        <v>0</v>
      </c>
      <c r="QE1599" s="55">
        <f t="shared" si="300"/>
        <v>0</v>
      </c>
      <c r="QF1599" s="55">
        <f t="shared" si="300"/>
        <v>0</v>
      </c>
      <c r="QG1599" s="55">
        <f t="shared" si="300"/>
        <v>0</v>
      </c>
      <c r="QH1599" s="55">
        <f t="shared" si="300"/>
        <v>0</v>
      </c>
      <c r="QI1599" s="55">
        <f t="shared" si="300"/>
        <v>0</v>
      </c>
      <c r="QJ1599" s="55">
        <f t="shared" si="300"/>
        <v>0</v>
      </c>
      <c r="QK1599" s="55">
        <f t="shared" si="300"/>
        <v>0</v>
      </c>
      <c r="QL1599" s="55">
        <f t="shared" si="300"/>
        <v>0</v>
      </c>
      <c r="QM1599" s="55">
        <f t="shared" si="300"/>
        <v>0</v>
      </c>
      <c r="QN1599" s="55">
        <f t="shared" si="300"/>
        <v>0</v>
      </c>
      <c r="QO1599" s="55">
        <f t="shared" si="300"/>
        <v>0</v>
      </c>
      <c r="QP1599" s="55">
        <f t="shared" si="300"/>
        <v>0</v>
      </c>
      <c r="QQ1599" s="55">
        <f t="shared" si="300"/>
        <v>0</v>
      </c>
      <c r="QR1599" s="55">
        <f t="shared" ref="QR1599:TC1599" si="301">+(QR1619+QR1623)*1.18*1.1</f>
        <v>0</v>
      </c>
      <c r="QS1599" s="55">
        <f t="shared" si="301"/>
        <v>0</v>
      </c>
      <c r="QT1599" s="55">
        <f t="shared" si="301"/>
        <v>0</v>
      </c>
      <c r="QU1599" s="55">
        <f t="shared" si="301"/>
        <v>0</v>
      </c>
      <c r="QV1599" s="55">
        <f t="shared" si="301"/>
        <v>0</v>
      </c>
      <c r="QW1599" s="55">
        <f t="shared" si="301"/>
        <v>0</v>
      </c>
      <c r="QX1599" s="55">
        <f t="shared" si="301"/>
        <v>0</v>
      </c>
      <c r="QY1599" s="55">
        <f t="shared" si="301"/>
        <v>0</v>
      </c>
      <c r="QZ1599" s="55">
        <f t="shared" si="301"/>
        <v>0</v>
      </c>
      <c r="RA1599" s="55">
        <f t="shared" si="301"/>
        <v>0</v>
      </c>
      <c r="RB1599" s="55">
        <f t="shared" si="301"/>
        <v>0</v>
      </c>
      <c r="RC1599" s="55">
        <f t="shared" si="301"/>
        <v>0</v>
      </c>
      <c r="RD1599" s="55">
        <f t="shared" si="301"/>
        <v>0</v>
      </c>
      <c r="RE1599" s="55">
        <f t="shared" si="301"/>
        <v>0</v>
      </c>
      <c r="RF1599" s="55">
        <f t="shared" si="301"/>
        <v>0</v>
      </c>
      <c r="RG1599" s="55">
        <f t="shared" si="301"/>
        <v>0</v>
      </c>
      <c r="RH1599" s="55">
        <f t="shared" si="301"/>
        <v>0</v>
      </c>
      <c r="RI1599" s="55">
        <f t="shared" si="301"/>
        <v>0</v>
      </c>
      <c r="RJ1599" s="55">
        <f t="shared" si="301"/>
        <v>0</v>
      </c>
      <c r="RK1599" s="55">
        <f t="shared" si="301"/>
        <v>0</v>
      </c>
      <c r="RL1599" s="55">
        <f t="shared" si="301"/>
        <v>0</v>
      </c>
      <c r="RM1599" s="55">
        <f t="shared" si="301"/>
        <v>0</v>
      </c>
      <c r="RN1599" s="55">
        <f t="shared" si="301"/>
        <v>0</v>
      </c>
      <c r="RO1599" s="55">
        <f t="shared" si="301"/>
        <v>0</v>
      </c>
      <c r="RP1599" s="55">
        <f t="shared" si="301"/>
        <v>0</v>
      </c>
      <c r="RQ1599" s="55">
        <f t="shared" si="301"/>
        <v>0</v>
      </c>
      <c r="RR1599" s="55">
        <f t="shared" si="301"/>
        <v>0</v>
      </c>
      <c r="RS1599" s="55">
        <f t="shared" si="301"/>
        <v>0</v>
      </c>
      <c r="RT1599" s="55">
        <f t="shared" si="301"/>
        <v>0</v>
      </c>
      <c r="RU1599" s="55">
        <f t="shared" si="301"/>
        <v>0</v>
      </c>
      <c r="RV1599" s="55">
        <f t="shared" si="301"/>
        <v>0</v>
      </c>
      <c r="RW1599" s="55">
        <f t="shared" si="301"/>
        <v>0</v>
      </c>
      <c r="RX1599" s="55">
        <f t="shared" si="301"/>
        <v>0</v>
      </c>
      <c r="RY1599" s="55">
        <f t="shared" si="301"/>
        <v>0</v>
      </c>
      <c r="RZ1599" s="55">
        <f t="shared" si="301"/>
        <v>0</v>
      </c>
      <c r="SA1599" s="55">
        <f t="shared" si="301"/>
        <v>0</v>
      </c>
      <c r="SB1599" s="55">
        <f t="shared" si="301"/>
        <v>0</v>
      </c>
      <c r="SC1599" s="55">
        <f t="shared" si="301"/>
        <v>0</v>
      </c>
      <c r="SD1599" s="55">
        <f t="shared" si="301"/>
        <v>0</v>
      </c>
      <c r="SE1599" s="55">
        <f t="shared" si="301"/>
        <v>0</v>
      </c>
      <c r="SF1599" s="55">
        <f t="shared" si="301"/>
        <v>0</v>
      </c>
      <c r="SG1599" s="55">
        <f t="shared" si="301"/>
        <v>0</v>
      </c>
      <c r="SH1599" s="55">
        <f t="shared" si="301"/>
        <v>0</v>
      </c>
      <c r="SI1599" s="55">
        <f t="shared" si="301"/>
        <v>0</v>
      </c>
      <c r="SJ1599" s="55">
        <f t="shared" si="301"/>
        <v>0</v>
      </c>
      <c r="SK1599" s="55">
        <f t="shared" si="301"/>
        <v>0</v>
      </c>
      <c r="SL1599" s="55">
        <f t="shared" si="301"/>
        <v>0</v>
      </c>
      <c r="SM1599" s="55">
        <f t="shared" si="301"/>
        <v>0</v>
      </c>
      <c r="SN1599" s="55">
        <f t="shared" si="301"/>
        <v>0</v>
      </c>
      <c r="SO1599" s="55">
        <f t="shared" si="301"/>
        <v>0</v>
      </c>
      <c r="SP1599" s="55">
        <f t="shared" si="301"/>
        <v>0</v>
      </c>
      <c r="SQ1599" s="55">
        <f t="shared" si="301"/>
        <v>0</v>
      </c>
      <c r="SR1599" s="55">
        <f t="shared" si="301"/>
        <v>0</v>
      </c>
      <c r="SS1599" s="55">
        <f t="shared" si="301"/>
        <v>0</v>
      </c>
      <c r="ST1599" s="55">
        <f t="shared" si="301"/>
        <v>0</v>
      </c>
      <c r="SU1599" s="55">
        <f t="shared" si="301"/>
        <v>0</v>
      </c>
      <c r="SV1599" s="55">
        <f t="shared" si="301"/>
        <v>0</v>
      </c>
      <c r="SW1599" s="55">
        <f t="shared" si="301"/>
        <v>0</v>
      </c>
      <c r="SX1599" s="55">
        <f t="shared" si="301"/>
        <v>0</v>
      </c>
      <c r="SY1599" s="55">
        <f t="shared" si="301"/>
        <v>0</v>
      </c>
      <c r="SZ1599" s="55">
        <f t="shared" si="301"/>
        <v>0</v>
      </c>
      <c r="TA1599" s="55">
        <f t="shared" si="301"/>
        <v>0</v>
      </c>
      <c r="TB1599" s="55">
        <f t="shared" si="301"/>
        <v>0</v>
      </c>
      <c r="TC1599" s="55">
        <f t="shared" si="301"/>
        <v>0</v>
      </c>
      <c r="TD1599" s="55">
        <f t="shared" ref="TD1599:VO1599" si="302">+(TD1619+TD1623)*1.18*1.1</f>
        <v>0</v>
      </c>
      <c r="TE1599" s="55">
        <f t="shared" si="302"/>
        <v>0</v>
      </c>
      <c r="TF1599" s="55">
        <f t="shared" si="302"/>
        <v>0</v>
      </c>
      <c r="TG1599" s="55">
        <f t="shared" si="302"/>
        <v>0</v>
      </c>
      <c r="TH1599" s="55">
        <f t="shared" si="302"/>
        <v>0</v>
      </c>
      <c r="TI1599" s="55">
        <f t="shared" si="302"/>
        <v>0</v>
      </c>
      <c r="TJ1599" s="55">
        <f t="shared" si="302"/>
        <v>0</v>
      </c>
      <c r="TK1599" s="55">
        <f t="shared" si="302"/>
        <v>0</v>
      </c>
      <c r="TL1599" s="55">
        <f t="shared" si="302"/>
        <v>0</v>
      </c>
      <c r="TM1599" s="55">
        <f t="shared" si="302"/>
        <v>0</v>
      </c>
      <c r="TN1599" s="55">
        <f t="shared" si="302"/>
        <v>0</v>
      </c>
      <c r="TO1599" s="55">
        <f t="shared" si="302"/>
        <v>0</v>
      </c>
      <c r="TP1599" s="55">
        <f t="shared" si="302"/>
        <v>0</v>
      </c>
      <c r="TQ1599" s="55">
        <f t="shared" si="302"/>
        <v>0</v>
      </c>
      <c r="TR1599" s="55">
        <f t="shared" si="302"/>
        <v>0</v>
      </c>
      <c r="TS1599" s="55">
        <f t="shared" si="302"/>
        <v>0</v>
      </c>
      <c r="TT1599" s="55">
        <f t="shared" si="302"/>
        <v>0</v>
      </c>
      <c r="TU1599" s="55">
        <f t="shared" si="302"/>
        <v>0</v>
      </c>
      <c r="TV1599" s="55">
        <f t="shared" si="302"/>
        <v>0</v>
      </c>
      <c r="TW1599" s="55">
        <f t="shared" si="302"/>
        <v>0</v>
      </c>
      <c r="TX1599" s="55">
        <f t="shared" si="302"/>
        <v>0</v>
      </c>
      <c r="TY1599" s="55">
        <f t="shared" si="302"/>
        <v>0</v>
      </c>
      <c r="TZ1599" s="55">
        <f t="shared" si="302"/>
        <v>0</v>
      </c>
      <c r="UA1599" s="55">
        <f t="shared" si="302"/>
        <v>0</v>
      </c>
      <c r="UB1599" s="55">
        <f t="shared" si="302"/>
        <v>0</v>
      </c>
      <c r="UC1599" s="55">
        <f t="shared" si="302"/>
        <v>0</v>
      </c>
      <c r="UD1599" s="55">
        <f t="shared" si="302"/>
        <v>0</v>
      </c>
      <c r="UE1599" s="55">
        <f t="shared" si="302"/>
        <v>0</v>
      </c>
      <c r="UF1599" s="55">
        <f t="shared" si="302"/>
        <v>0</v>
      </c>
      <c r="UG1599" s="55">
        <f t="shared" si="302"/>
        <v>0</v>
      </c>
      <c r="UH1599" s="55">
        <f t="shared" si="302"/>
        <v>0</v>
      </c>
      <c r="UI1599" s="55">
        <f t="shared" si="302"/>
        <v>0</v>
      </c>
      <c r="UJ1599" s="55">
        <f t="shared" si="302"/>
        <v>0</v>
      </c>
      <c r="UK1599" s="55">
        <f t="shared" si="302"/>
        <v>0</v>
      </c>
      <c r="UL1599" s="55">
        <f t="shared" si="302"/>
        <v>0</v>
      </c>
      <c r="UM1599" s="55">
        <f t="shared" si="302"/>
        <v>0</v>
      </c>
      <c r="UN1599" s="55">
        <f t="shared" si="302"/>
        <v>0</v>
      </c>
      <c r="UO1599" s="55">
        <f t="shared" si="302"/>
        <v>0</v>
      </c>
      <c r="UP1599" s="55">
        <f t="shared" si="302"/>
        <v>0</v>
      </c>
      <c r="UQ1599" s="55">
        <f t="shared" si="302"/>
        <v>0</v>
      </c>
      <c r="UR1599" s="55">
        <f t="shared" si="302"/>
        <v>0</v>
      </c>
      <c r="US1599" s="55">
        <f t="shared" si="302"/>
        <v>0</v>
      </c>
      <c r="UT1599" s="55">
        <f t="shared" si="302"/>
        <v>0</v>
      </c>
      <c r="UU1599" s="55">
        <f t="shared" si="302"/>
        <v>0</v>
      </c>
      <c r="UV1599" s="55">
        <f t="shared" si="302"/>
        <v>0</v>
      </c>
      <c r="UW1599" s="55">
        <f t="shared" si="302"/>
        <v>0</v>
      </c>
      <c r="UX1599" s="55">
        <f t="shared" si="302"/>
        <v>0</v>
      </c>
      <c r="UY1599" s="55">
        <f t="shared" si="302"/>
        <v>0</v>
      </c>
      <c r="UZ1599" s="55">
        <f t="shared" si="302"/>
        <v>0</v>
      </c>
      <c r="VA1599" s="55">
        <f t="shared" si="302"/>
        <v>0</v>
      </c>
      <c r="VB1599" s="55">
        <f t="shared" si="302"/>
        <v>0</v>
      </c>
      <c r="VC1599" s="55">
        <f t="shared" si="302"/>
        <v>0</v>
      </c>
      <c r="VD1599" s="55">
        <f t="shared" si="302"/>
        <v>0</v>
      </c>
      <c r="VE1599" s="55">
        <f t="shared" si="302"/>
        <v>0</v>
      </c>
      <c r="VF1599" s="55">
        <f t="shared" si="302"/>
        <v>0</v>
      </c>
      <c r="VG1599" s="55">
        <f t="shared" si="302"/>
        <v>0</v>
      </c>
      <c r="VH1599" s="55">
        <f t="shared" si="302"/>
        <v>0</v>
      </c>
      <c r="VI1599" s="55">
        <f t="shared" si="302"/>
        <v>0</v>
      </c>
      <c r="VJ1599" s="55">
        <f t="shared" si="302"/>
        <v>0</v>
      </c>
      <c r="VK1599" s="55">
        <f t="shared" si="302"/>
        <v>0</v>
      </c>
      <c r="VL1599" s="55">
        <f t="shared" si="302"/>
        <v>0</v>
      </c>
      <c r="VM1599" s="55">
        <f t="shared" si="302"/>
        <v>0</v>
      </c>
      <c r="VN1599" s="55">
        <f t="shared" si="302"/>
        <v>0</v>
      </c>
      <c r="VO1599" s="55">
        <f t="shared" si="302"/>
        <v>0</v>
      </c>
      <c r="VP1599" s="55">
        <f t="shared" ref="VP1599:YA1599" si="303">+(VP1619+VP1623)*1.18*1.1</f>
        <v>0</v>
      </c>
      <c r="VQ1599" s="55">
        <f t="shared" si="303"/>
        <v>0</v>
      </c>
      <c r="VR1599" s="55">
        <f t="shared" si="303"/>
        <v>0</v>
      </c>
      <c r="VS1599" s="55">
        <f t="shared" si="303"/>
        <v>0</v>
      </c>
      <c r="VT1599" s="55">
        <f t="shared" si="303"/>
        <v>0</v>
      </c>
      <c r="VU1599" s="55">
        <f t="shared" si="303"/>
        <v>0</v>
      </c>
      <c r="VV1599" s="55">
        <f t="shared" si="303"/>
        <v>0</v>
      </c>
      <c r="VW1599" s="55">
        <f t="shared" si="303"/>
        <v>0</v>
      </c>
      <c r="VX1599" s="55">
        <f t="shared" si="303"/>
        <v>0</v>
      </c>
      <c r="VY1599" s="55">
        <f t="shared" si="303"/>
        <v>0</v>
      </c>
      <c r="VZ1599" s="55">
        <f t="shared" si="303"/>
        <v>0</v>
      </c>
      <c r="WA1599" s="55">
        <f t="shared" si="303"/>
        <v>0</v>
      </c>
      <c r="WB1599" s="55">
        <f t="shared" si="303"/>
        <v>0</v>
      </c>
      <c r="WC1599" s="55">
        <f t="shared" si="303"/>
        <v>0</v>
      </c>
      <c r="WD1599" s="55">
        <f t="shared" si="303"/>
        <v>0</v>
      </c>
      <c r="WE1599" s="55">
        <f t="shared" si="303"/>
        <v>0</v>
      </c>
      <c r="WF1599" s="55">
        <f t="shared" si="303"/>
        <v>0</v>
      </c>
      <c r="WG1599" s="55">
        <f t="shared" si="303"/>
        <v>0</v>
      </c>
      <c r="WH1599" s="55">
        <f t="shared" si="303"/>
        <v>0</v>
      </c>
      <c r="WI1599" s="55">
        <f t="shared" si="303"/>
        <v>0</v>
      </c>
      <c r="WJ1599" s="55">
        <f t="shared" si="303"/>
        <v>0</v>
      </c>
      <c r="WK1599" s="55">
        <f t="shared" si="303"/>
        <v>0</v>
      </c>
      <c r="WL1599" s="55">
        <f t="shared" si="303"/>
        <v>0</v>
      </c>
      <c r="WM1599" s="55">
        <f t="shared" si="303"/>
        <v>0</v>
      </c>
      <c r="WN1599" s="55">
        <f t="shared" si="303"/>
        <v>0</v>
      </c>
      <c r="WO1599" s="55">
        <f t="shared" si="303"/>
        <v>0</v>
      </c>
      <c r="WP1599" s="55">
        <f t="shared" si="303"/>
        <v>0</v>
      </c>
      <c r="WQ1599" s="55">
        <f t="shared" si="303"/>
        <v>0</v>
      </c>
      <c r="WR1599" s="55">
        <f t="shared" si="303"/>
        <v>0</v>
      </c>
      <c r="WS1599" s="55">
        <f t="shared" si="303"/>
        <v>0</v>
      </c>
      <c r="WT1599" s="55">
        <f t="shared" si="303"/>
        <v>0</v>
      </c>
      <c r="WU1599" s="55">
        <f t="shared" si="303"/>
        <v>0</v>
      </c>
      <c r="WV1599" s="55">
        <f t="shared" si="303"/>
        <v>0</v>
      </c>
      <c r="WW1599" s="55">
        <f t="shared" si="303"/>
        <v>0</v>
      </c>
      <c r="WX1599" s="55">
        <f t="shared" si="303"/>
        <v>0</v>
      </c>
      <c r="WY1599" s="55">
        <f t="shared" si="303"/>
        <v>0</v>
      </c>
      <c r="WZ1599" s="55">
        <f t="shared" si="303"/>
        <v>0</v>
      </c>
      <c r="XA1599" s="55">
        <f t="shared" si="303"/>
        <v>0</v>
      </c>
      <c r="XB1599" s="55">
        <f t="shared" si="303"/>
        <v>0</v>
      </c>
      <c r="XC1599" s="55">
        <f t="shared" si="303"/>
        <v>0</v>
      </c>
      <c r="XD1599" s="55">
        <f t="shared" si="303"/>
        <v>0</v>
      </c>
      <c r="XE1599" s="55">
        <f t="shared" si="303"/>
        <v>0</v>
      </c>
      <c r="XF1599" s="55">
        <f t="shared" si="303"/>
        <v>0</v>
      </c>
      <c r="XG1599" s="55">
        <f t="shared" si="303"/>
        <v>0</v>
      </c>
      <c r="XH1599" s="55">
        <f t="shared" si="303"/>
        <v>0</v>
      </c>
      <c r="XI1599" s="55">
        <f t="shared" si="303"/>
        <v>0</v>
      </c>
      <c r="XJ1599" s="55">
        <f t="shared" si="303"/>
        <v>0</v>
      </c>
      <c r="XK1599" s="55">
        <f t="shared" si="303"/>
        <v>0</v>
      </c>
      <c r="XL1599" s="55">
        <f t="shared" si="303"/>
        <v>0</v>
      </c>
      <c r="XM1599" s="55">
        <f t="shared" si="303"/>
        <v>0</v>
      </c>
      <c r="XN1599" s="55">
        <f t="shared" si="303"/>
        <v>0</v>
      </c>
      <c r="XO1599" s="55">
        <f t="shared" si="303"/>
        <v>0</v>
      </c>
      <c r="XP1599" s="55">
        <f t="shared" si="303"/>
        <v>0</v>
      </c>
      <c r="XQ1599" s="55">
        <f t="shared" si="303"/>
        <v>0</v>
      </c>
      <c r="XR1599" s="55">
        <f t="shared" si="303"/>
        <v>0</v>
      </c>
      <c r="XS1599" s="55">
        <f t="shared" si="303"/>
        <v>0</v>
      </c>
      <c r="XT1599" s="55">
        <f t="shared" si="303"/>
        <v>0</v>
      </c>
      <c r="XU1599" s="55">
        <f t="shared" si="303"/>
        <v>0</v>
      </c>
      <c r="XV1599" s="55">
        <f t="shared" si="303"/>
        <v>0</v>
      </c>
      <c r="XW1599" s="55">
        <f t="shared" si="303"/>
        <v>0</v>
      </c>
      <c r="XX1599" s="55">
        <f t="shared" si="303"/>
        <v>0</v>
      </c>
      <c r="XY1599" s="55">
        <f t="shared" si="303"/>
        <v>0</v>
      </c>
      <c r="XZ1599" s="55">
        <f t="shared" si="303"/>
        <v>0</v>
      </c>
      <c r="YA1599" s="55">
        <f t="shared" si="303"/>
        <v>0</v>
      </c>
      <c r="YB1599" s="55">
        <f t="shared" ref="YB1599:AAM1599" si="304">+(YB1619+YB1623)*1.18*1.1</f>
        <v>0</v>
      </c>
      <c r="YC1599" s="55">
        <f t="shared" si="304"/>
        <v>0</v>
      </c>
      <c r="YD1599" s="55">
        <f t="shared" si="304"/>
        <v>0</v>
      </c>
      <c r="YE1599" s="55">
        <f t="shared" si="304"/>
        <v>0</v>
      </c>
      <c r="YF1599" s="55">
        <f t="shared" si="304"/>
        <v>0</v>
      </c>
      <c r="YG1599" s="55">
        <f t="shared" si="304"/>
        <v>0</v>
      </c>
      <c r="YH1599" s="55">
        <f t="shared" si="304"/>
        <v>0</v>
      </c>
      <c r="YI1599" s="55">
        <f t="shared" si="304"/>
        <v>0</v>
      </c>
      <c r="YJ1599" s="55">
        <f t="shared" si="304"/>
        <v>0</v>
      </c>
      <c r="YK1599" s="55">
        <f t="shared" si="304"/>
        <v>0</v>
      </c>
      <c r="YL1599" s="55">
        <f t="shared" si="304"/>
        <v>0</v>
      </c>
      <c r="YM1599" s="55">
        <f t="shared" si="304"/>
        <v>0</v>
      </c>
      <c r="YN1599" s="55">
        <f t="shared" si="304"/>
        <v>0</v>
      </c>
      <c r="YO1599" s="55">
        <f t="shared" si="304"/>
        <v>0</v>
      </c>
      <c r="YP1599" s="55">
        <f t="shared" si="304"/>
        <v>0</v>
      </c>
      <c r="YQ1599" s="55">
        <f t="shared" si="304"/>
        <v>0</v>
      </c>
      <c r="YR1599" s="55">
        <f t="shared" si="304"/>
        <v>0</v>
      </c>
      <c r="YS1599" s="55">
        <f t="shared" si="304"/>
        <v>0</v>
      </c>
      <c r="YT1599" s="55">
        <f t="shared" si="304"/>
        <v>0</v>
      </c>
      <c r="YU1599" s="55">
        <f t="shared" si="304"/>
        <v>0</v>
      </c>
      <c r="YV1599" s="55">
        <f t="shared" si="304"/>
        <v>0</v>
      </c>
      <c r="YW1599" s="55">
        <f t="shared" si="304"/>
        <v>0</v>
      </c>
      <c r="YX1599" s="55">
        <f t="shared" si="304"/>
        <v>0</v>
      </c>
      <c r="YY1599" s="55">
        <f t="shared" si="304"/>
        <v>0</v>
      </c>
      <c r="YZ1599" s="55">
        <f t="shared" si="304"/>
        <v>0</v>
      </c>
      <c r="ZA1599" s="55">
        <f t="shared" si="304"/>
        <v>0</v>
      </c>
      <c r="ZB1599" s="55">
        <f t="shared" si="304"/>
        <v>0</v>
      </c>
      <c r="ZC1599" s="55">
        <f t="shared" si="304"/>
        <v>0</v>
      </c>
      <c r="ZD1599" s="55">
        <f t="shared" si="304"/>
        <v>0</v>
      </c>
      <c r="ZE1599" s="55">
        <f t="shared" si="304"/>
        <v>0</v>
      </c>
      <c r="ZF1599" s="55">
        <f t="shared" si="304"/>
        <v>0</v>
      </c>
      <c r="ZG1599" s="55">
        <f t="shared" si="304"/>
        <v>0</v>
      </c>
      <c r="ZH1599" s="55">
        <f t="shared" si="304"/>
        <v>0</v>
      </c>
      <c r="ZI1599" s="55">
        <f t="shared" si="304"/>
        <v>0</v>
      </c>
      <c r="ZJ1599" s="55">
        <f t="shared" si="304"/>
        <v>0</v>
      </c>
      <c r="ZK1599" s="55">
        <f t="shared" si="304"/>
        <v>0</v>
      </c>
      <c r="ZL1599" s="55">
        <f t="shared" si="304"/>
        <v>0</v>
      </c>
      <c r="ZM1599" s="55">
        <f t="shared" si="304"/>
        <v>0</v>
      </c>
      <c r="ZN1599" s="55">
        <f t="shared" si="304"/>
        <v>0</v>
      </c>
      <c r="ZO1599" s="55">
        <f t="shared" si="304"/>
        <v>0</v>
      </c>
      <c r="ZP1599" s="55">
        <f t="shared" si="304"/>
        <v>0</v>
      </c>
      <c r="ZQ1599" s="55">
        <f t="shared" si="304"/>
        <v>0</v>
      </c>
      <c r="ZR1599" s="55">
        <f t="shared" si="304"/>
        <v>0</v>
      </c>
      <c r="ZS1599" s="55">
        <f t="shared" si="304"/>
        <v>0</v>
      </c>
      <c r="ZT1599" s="55">
        <f t="shared" si="304"/>
        <v>0</v>
      </c>
      <c r="ZU1599" s="55">
        <f t="shared" si="304"/>
        <v>0</v>
      </c>
      <c r="ZV1599" s="55">
        <f t="shared" si="304"/>
        <v>0</v>
      </c>
      <c r="ZW1599" s="55">
        <f t="shared" si="304"/>
        <v>0</v>
      </c>
      <c r="ZX1599" s="55">
        <f t="shared" si="304"/>
        <v>0</v>
      </c>
      <c r="ZY1599" s="55">
        <f t="shared" si="304"/>
        <v>0</v>
      </c>
      <c r="ZZ1599" s="55">
        <f t="shared" si="304"/>
        <v>0</v>
      </c>
      <c r="AAA1599" s="55">
        <f t="shared" si="304"/>
        <v>0</v>
      </c>
      <c r="AAB1599" s="55">
        <f t="shared" si="304"/>
        <v>0</v>
      </c>
      <c r="AAC1599" s="55">
        <f t="shared" si="304"/>
        <v>0</v>
      </c>
      <c r="AAD1599" s="55">
        <f t="shared" si="304"/>
        <v>0</v>
      </c>
      <c r="AAE1599" s="55">
        <f t="shared" si="304"/>
        <v>0</v>
      </c>
      <c r="AAF1599" s="55">
        <f t="shared" si="304"/>
        <v>0</v>
      </c>
      <c r="AAG1599" s="55">
        <f t="shared" si="304"/>
        <v>0</v>
      </c>
      <c r="AAH1599" s="55">
        <f t="shared" si="304"/>
        <v>0</v>
      </c>
      <c r="AAI1599" s="55">
        <f t="shared" si="304"/>
        <v>0</v>
      </c>
      <c r="AAJ1599" s="55">
        <f t="shared" si="304"/>
        <v>0</v>
      </c>
      <c r="AAK1599" s="55">
        <f t="shared" si="304"/>
        <v>0</v>
      </c>
      <c r="AAL1599" s="55">
        <f t="shared" si="304"/>
        <v>0</v>
      </c>
      <c r="AAM1599" s="55">
        <f t="shared" si="304"/>
        <v>0</v>
      </c>
      <c r="AAN1599" s="55">
        <f t="shared" ref="AAN1599:ACY1599" si="305">+(AAN1619+AAN1623)*1.18*1.1</f>
        <v>0</v>
      </c>
      <c r="AAO1599" s="55">
        <f t="shared" si="305"/>
        <v>0</v>
      </c>
      <c r="AAP1599" s="55">
        <f t="shared" si="305"/>
        <v>0</v>
      </c>
      <c r="AAQ1599" s="55">
        <f t="shared" si="305"/>
        <v>0</v>
      </c>
      <c r="AAR1599" s="55">
        <f t="shared" si="305"/>
        <v>0</v>
      </c>
      <c r="AAS1599" s="55">
        <f t="shared" si="305"/>
        <v>0</v>
      </c>
      <c r="AAT1599" s="55">
        <f t="shared" si="305"/>
        <v>0</v>
      </c>
      <c r="AAU1599" s="55">
        <f t="shared" si="305"/>
        <v>0</v>
      </c>
      <c r="AAV1599" s="55">
        <f t="shared" si="305"/>
        <v>0</v>
      </c>
      <c r="AAW1599" s="55">
        <f t="shared" si="305"/>
        <v>0</v>
      </c>
      <c r="AAX1599" s="55">
        <f t="shared" si="305"/>
        <v>0</v>
      </c>
      <c r="AAY1599" s="55">
        <f t="shared" si="305"/>
        <v>0</v>
      </c>
      <c r="AAZ1599" s="55">
        <f t="shared" si="305"/>
        <v>0</v>
      </c>
      <c r="ABA1599" s="55">
        <f t="shared" si="305"/>
        <v>0</v>
      </c>
      <c r="ABB1599" s="55">
        <f t="shared" si="305"/>
        <v>0</v>
      </c>
      <c r="ABC1599" s="55">
        <f t="shared" si="305"/>
        <v>0</v>
      </c>
      <c r="ABD1599" s="55">
        <f t="shared" si="305"/>
        <v>0</v>
      </c>
      <c r="ABE1599" s="55">
        <f t="shared" si="305"/>
        <v>0</v>
      </c>
      <c r="ABF1599" s="55">
        <f t="shared" si="305"/>
        <v>0</v>
      </c>
      <c r="ABG1599" s="55">
        <f t="shared" si="305"/>
        <v>0</v>
      </c>
      <c r="ABH1599" s="55">
        <f t="shared" si="305"/>
        <v>0</v>
      </c>
      <c r="ABI1599" s="55">
        <f t="shared" si="305"/>
        <v>0</v>
      </c>
      <c r="ABJ1599" s="55">
        <f t="shared" si="305"/>
        <v>0</v>
      </c>
      <c r="ABK1599" s="55">
        <f t="shared" si="305"/>
        <v>0</v>
      </c>
      <c r="ABL1599" s="55">
        <f t="shared" si="305"/>
        <v>0</v>
      </c>
      <c r="ABM1599" s="55">
        <f t="shared" si="305"/>
        <v>0</v>
      </c>
      <c r="ABN1599" s="55">
        <f t="shared" si="305"/>
        <v>0</v>
      </c>
      <c r="ABO1599" s="55">
        <f t="shared" si="305"/>
        <v>0</v>
      </c>
      <c r="ABP1599" s="55">
        <f t="shared" si="305"/>
        <v>0</v>
      </c>
      <c r="ABQ1599" s="55">
        <f t="shared" si="305"/>
        <v>0</v>
      </c>
      <c r="ABR1599" s="55">
        <f t="shared" si="305"/>
        <v>0</v>
      </c>
      <c r="ABS1599" s="55">
        <f t="shared" si="305"/>
        <v>0</v>
      </c>
      <c r="ABT1599" s="55">
        <f t="shared" si="305"/>
        <v>0</v>
      </c>
      <c r="ABU1599" s="55">
        <f t="shared" si="305"/>
        <v>0</v>
      </c>
      <c r="ABV1599" s="55">
        <f t="shared" si="305"/>
        <v>0</v>
      </c>
      <c r="ABW1599" s="55">
        <f t="shared" si="305"/>
        <v>0</v>
      </c>
      <c r="ABX1599" s="55">
        <f t="shared" si="305"/>
        <v>0</v>
      </c>
      <c r="ABY1599" s="55">
        <f t="shared" si="305"/>
        <v>0</v>
      </c>
      <c r="ABZ1599" s="55">
        <f t="shared" si="305"/>
        <v>0</v>
      </c>
      <c r="ACA1599" s="55">
        <f t="shared" si="305"/>
        <v>0</v>
      </c>
      <c r="ACB1599" s="55">
        <f t="shared" si="305"/>
        <v>0</v>
      </c>
      <c r="ACC1599" s="55">
        <f t="shared" si="305"/>
        <v>0</v>
      </c>
      <c r="ACD1599" s="55">
        <f t="shared" si="305"/>
        <v>0</v>
      </c>
      <c r="ACE1599" s="55">
        <f t="shared" si="305"/>
        <v>0</v>
      </c>
      <c r="ACF1599" s="55">
        <f t="shared" si="305"/>
        <v>0</v>
      </c>
      <c r="ACG1599" s="55">
        <f t="shared" si="305"/>
        <v>0</v>
      </c>
      <c r="ACH1599" s="55">
        <f t="shared" si="305"/>
        <v>0</v>
      </c>
      <c r="ACI1599" s="55">
        <f t="shared" si="305"/>
        <v>0</v>
      </c>
      <c r="ACJ1599" s="55">
        <f t="shared" si="305"/>
        <v>0</v>
      </c>
      <c r="ACK1599" s="55">
        <f t="shared" si="305"/>
        <v>0</v>
      </c>
      <c r="ACL1599" s="55">
        <f t="shared" si="305"/>
        <v>0</v>
      </c>
      <c r="ACM1599" s="55">
        <f t="shared" si="305"/>
        <v>0</v>
      </c>
      <c r="ACN1599" s="55">
        <f t="shared" si="305"/>
        <v>0</v>
      </c>
      <c r="ACO1599" s="55">
        <f t="shared" si="305"/>
        <v>0</v>
      </c>
      <c r="ACP1599" s="55">
        <f t="shared" si="305"/>
        <v>0</v>
      </c>
      <c r="ACQ1599" s="55">
        <f t="shared" si="305"/>
        <v>0</v>
      </c>
      <c r="ACR1599" s="55">
        <f t="shared" si="305"/>
        <v>0</v>
      </c>
      <c r="ACS1599" s="55">
        <f t="shared" si="305"/>
        <v>0</v>
      </c>
      <c r="ACT1599" s="55">
        <f t="shared" si="305"/>
        <v>0</v>
      </c>
      <c r="ACU1599" s="55">
        <f t="shared" si="305"/>
        <v>0</v>
      </c>
      <c r="ACV1599" s="55">
        <f t="shared" si="305"/>
        <v>0</v>
      </c>
      <c r="ACW1599" s="55">
        <f t="shared" si="305"/>
        <v>0</v>
      </c>
      <c r="ACX1599" s="55">
        <f t="shared" si="305"/>
        <v>0</v>
      </c>
      <c r="ACY1599" s="55">
        <f t="shared" si="305"/>
        <v>0</v>
      </c>
      <c r="ACZ1599" s="55">
        <f t="shared" ref="ACZ1599:AFK1599" si="306">+(ACZ1619+ACZ1623)*1.18*1.1</f>
        <v>0</v>
      </c>
      <c r="ADA1599" s="55">
        <f t="shared" si="306"/>
        <v>0</v>
      </c>
      <c r="ADB1599" s="55">
        <f t="shared" si="306"/>
        <v>0</v>
      </c>
      <c r="ADC1599" s="55">
        <f t="shared" si="306"/>
        <v>0</v>
      </c>
      <c r="ADD1599" s="55">
        <f t="shared" si="306"/>
        <v>0</v>
      </c>
      <c r="ADE1599" s="55">
        <f t="shared" si="306"/>
        <v>0</v>
      </c>
      <c r="ADF1599" s="55">
        <f t="shared" si="306"/>
        <v>0</v>
      </c>
      <c r="ADG1599" s="55">
        <f t="shared" si="306"/>
        <v>0</v>
      </c>
      <c r="ADH1599" s="55">
        <f t="shared" si="306"/>
        <v>0</v>
      </c>
      <c r="ADI1599" s="55">
        <f t="shared" si="306"/>
        <v>0</v>
      </c>
      <c r="ADJ1599" s="55">
        <f t="shared" si="306"/>
        <v>0</v>
      </c>
      <c r="ADK1599" s="55">
        <f t="shared" si="306"/>
        <v>0</v>
      </c>
      <c r="ADL1599" s="55">
        <f t="shared" si="306"/>
        <v>0</v>
      </c>
      <c r="ADM1599" s="55">
        <f t="shared" si="306"/>
        <v>0</v>
      </c>
      <c r="ADN1599" s="55">
        <f t="shared" si="306"/>
        <v>0</v>
      </c>
      <c r="ADO1599" s="55">
        <f t="shared" si="306"/>
        <v>0</v>
      </c>
      <c r="ADP1599" s="55">
        <f t="shared" si="306"/>
        <v>0</v>
      </c>
      <c r="ADQ1599" s="55">
        <f t="shared" si="306"/>
        <v>0</v>
      </c>
      <c r="ADR1599" s="55">
        <f t="shared" si="306"/>
        <v>0</v>
      </c>
      <c r="ADS1599" s="55">
        <f t="shared" si="306"/>
        <v>0</v>
      </c>
      <c r="ADT1599" s="55">
        <f t="shared" si="306"/>
        <v>0</v>
      </c>
      <c r="ADU1599" s="55">
        <f t="shared" si="306"/>
        <v>0</v>
      </c>
      <c r="ADV1599" s="55">
        <f t="shared" si="306"/>
        <v>0</v>
      </c>
      <c r="ADW1599" s="55">
        <f t="shared" si="306"/>
        <v>0</v>
      </c>
      <c r="ADX1599" s="55">
        <f t="shared" si="306"/>
        <v>0</v>
      </c>
      <c r="ADY1599" s="55">
        <f t="shared" si="306"/>
        <v>0</v>
      </c>
      <c r="ADZ1599" s="55">
        <f t="shared" si="306"/>
        <v>0</v>
      </c>
      <c r="AEA1599" s="55">
        <f t="shared" si="306"/>
        <v>0</v>
      </c>
      <c r="AEB1599" s="55">
        <f t="shared" si="306"/>
        <v>0</v>
      </c>
      <c r="AEC1599" s="55">
        <f t="shared" si="306"/>
        <v>0</v>
      </c>
      <c r="AED1599" s="55">
        <f t="shared" si="306"/>
        <v>0</v>
      </c>
      <c r="AEE1599" s="55">
        <f t="shared" si="306"/>
        <v>0</v>
      </c>
      <c r="AEF1599" s="55">
        <f t="shared" si="306"/>
        <v>0</v>
      </c>
      <c r="AEG1599" s="55">
        <f t="shared" si="306"/>
        <v>0</v>
      </c>
      <c r="AEH1599" s="55">
        <f t="shared" si="306"/>
        <v>0</v>
      </c>
      <c r="AEI1599" s="55">
        <f t="shared" si="306"/>
        <v>0</v>
      </c>
      <c r="AEJ1599" s="55">
        <f t="shared" si="306"/>
        <v>0</v>
      </c>
      <c r="AEK1599" s="55">
        <f t="shared" si="306"/>
        <v>0</v>
      </c>
      <c r="AEL1599" s="55">
        <f t="shared" si="306"/>
        <v>0</v>
      </c>
      <c r="AEM1599" s="55">
        <f t="shared" si="306"/>
        <v>0</v>
      </c>
      <c r="AEN1599" s="55">
        <f t="shared" si="306"/>
        <v>0</v>
      </c>
      <c r="AEO1599" s="55">
        <f t="shared" si="306"/>
        <v>0</v>
      </c>
      <c r="AEP1599" s="55">
        <f t="shared" si="306"/>
        <v>0</v>
      </c>
      <c r="AEQ1599" s="55">
        <f t="shared" si="306"/>
        <v>0</v>
      </c>
      <c r="AER1599" s="55">
        <f t="shared" si="306"/>
        <v>0</v>
      </c>
      <c r="AES1599" s="55">
        <f t="shared" si="306"/>
        <v>0</v>
      </c>
      <c r="AET1599" s="55">
        <f t="shared" si="306"/>
        <v>0</v>
      </c>
      <c r="AEU1599" s="55">
        <f t="shared" si="306"/>
        <v>0</v>
      </c>
      <c r="AEV1599" s="55">
        <f t="shared" si="306"/>
        <v>0</v>
      </c>
      <c r="AEW1599" s="55">
        <f t="shared" si="306"/>
        <v>0</v>
      </c>
      <c r="AEX1599" s="55">
        <f t="shared" si="306"/>
        <v>0</v>
      </c>
      <c r="AEY1599" s="55">
        <f t="shared" si="306"/>
        <v>0</v>
      </c>
      <c r="AEZ1599" s="55">
        <f t="shared" si="306"/>
        <v>0</v>
      </c>
      <c r="AFA1599" s="55">
        <f t="shared" si="306"/>
        <v>0</v>
      </c>
      <c r="AFB1599" s="55">
        <f t="shared" si="306"/>
        <v>0</v>
      </c>
      <c r="AFC1599" s="55">
        <f t="shared" si="306"/>
        <v>0</v>
      </c>
      <c r="AFD1599" s="55">
        <f t="shared" si="306"/>
        <v>0</v>
      </c>
      <c r="AFE1599" s="55">
        <f t="shared" si="306"/>
        <v>0</v>
      </c>
      <c r="AFF1599" s="55">
        <f t="shared" si="306"/>
        <v>0</v>
      </c>
      <c r="AFG1599" s="55">
        <f t="shared" si="306"/>
        <v>0</v>
      </c>
      <c r="AFH1599" s="55">
        <f t="shared" si="306"/>
        <v>0</v>
      </c>
      <c r="AFI1599" s="55">
        <f t="shared" si="306"/>
        <v>0</v>
      </c>
      <c r="AFJ1599" s="55">
        <f t="shared" si="306"/>
        <v>0</v>
      </c>
      <c r="AFK1599" s="55">
        <f t="shared" si="306"/>
        <v>0</v>
      </c>
      <c r="AFL1599" s="55">
        <f t="shared" ref="AFL1599:AHW1599" si="307">+(AFL1619+AFL1623)*1.18*1.1</f>
        <v>0</v>
      </c>
      <c r="AFM1599" s="55">
        <f t="shared" si="307"/>
        <v>0</v>
      </c>
      <c r="AFN1599" s="55">
        <f t="shared" si="307"/>
        <v>0</v>
      </c>
      <c r="AFO1599" s="55">
        <f t="shared" si="307"/>
        <v>0</v>
      </c>
      <c r="AFP1599" s="55">
        <f t="shared" si="307"/>
        <v>0</v>
      </c>
      <c r="AFQ1599" s="55">
        <f t="shared" si="307"/>
        <v>0</v>
      </c>
      <c r="AFR1599" s="55">
        <f t="shared" si="307"/>
        <v>0</v>
      </c>
      <c r="AFS1599" s="55">
        <f t="shared" si="307"/>
        <v>0</v>
      </c>
      <c r="AFT1599" s="55">
        <f t="shared" si="307"/>
        <v>0</v>
      </c>
      <c r="AFU1599" s="55">
        <f t="shared" si="307"/>
        <v>0</v>
      </c>
      <c r="AFV1599" s="55">
        <f t="shared" si="307"/>
        <v>0</v>
      </c>
      <c r="AFW1599" s="55">
        <f t="shared" si="307"/>
        <v>0</v>
      </c>
      <c r="AFX1599" s="55">
        <f t="shared" si="307"/>
        <v>0</v>
      </c>
      <c r="AFY1599" s="55">
        <f t="shared" si="307"/>
        <v>0</v>
      </c>
      <c r="AFZ1599" s="55">
        <f t="shared" si="307"/>
        <v>0</v>
      </c>
      <c r="AGA1599" s="55">
        <f t="shared" si="307"/>
        <v>0</v>
      </c>
      <c r="AGB1599" s="55">
        <f t="shared" si="307"/>
        <v>0</v>
      </c>
      <c r="AGC1599" s="55">
        <f t="shared" si="307"/>
        <v>0</v>
      </c>
      <c r="AGD1599" s="55">
        <f t="shared" si="307"/>
        <v>0</v>
      </c>
      <c r="AGE1599" s="55">
        <f t="shared" si="307"/>
        <v>0</v>
      </c>
      <c r="AGF1599" s="55">
        <f t="shared" si="307"/>
        <v>0</v>
      </c>
      <c r="AGG1599" s="55">
        <f t="shared" si="307"/>
        <v>0</v>
      </c>
      <c r="AGH1599" s="55">
        <f t="shared" si="307"/>
        <v>0</v>
      </c>
      <c r="AGI1599" s="55">
        <f t="shared" si="307"/>
        <v>0</v>
      </c>
      <c r="AGJ1599" s="55">
        <f t="shared" si="307"/>
        <v>0</v>
      </c>
      <c r="AGK1599" s="55">
        <f t="shared" si="307"/>
        <v>0</v>
      </c>
      <c r="AGL1599" s="55">
        <f t="shared" si="307"/>
        <v>0</v>
      </c>
      <c r="AGM1599" s="55">
        <f t="shared" si="307"/>
        <v>0</v>
      </c>
      <c r="AGN1599" s="55">
        <f t="shared" si="307"/>
        <v>0</v>
      </c>
      <c r="AGO1599" s="55">
        <f t="shared" si="307"/>
        <v>0</v>
      </c>
      <c r="AGP1599" s="55">
        <f t="shared" si="307"/>
        <v>0</v>
      </c>
      <c r="AGQ1599" s="55">
        <f t="shared" si="307"/>
        <v>0</v>
      </c>
      <c r="AGR1599" s="55">
        <f t="shared" si="307"/>
        <v>0</v>
      </c>
      <c r="AGS1599" s="55">
        <f t="shared" si="307"/>
        <v>0</v>
      </c>
      <c r="AGT1599" s="55">
        <f t="shared" si="307"/>
        <v>0</v>
      </c>
      <c r="AGU1599" s="55">
        <f t="shared" si="307"/>
        <v>0</v>
      </c>
      <c r="AGV1599" s="55">
        <f t="shared" si="307"/>
        <v>0</v>
      </c>
      <c r="AGW1599" s="55">
        <f t="shared" si="307"/>
        <v>0</v>
      </c>
      <c r="AGX1599" s="55">
        <f t="shared" si="307"/>
        <v>0</v>
      </c>
      <c r="AGY1599" s="55">
        <f t="shared" si="307"/>
        <v>0</v>
      </c>
      <c r="AGZ1599" s="55">
        <f t="shared" si="307"/>
        <v>0</v>
      </c>
      <c r="AHA1599" s="55">
        <f t="shared" si="307"/>
        <v>0</v>
      </c>
      <c r="AHB1599" s="55">
        <f t="shared" si="307"/>
        <v>0</v>
      </c>
      <c r="AHC1599" s="55">
        <f t="shared" si="307"/>
        <v>0</v>
      </c>
      <c r="AHD1599" s="55">
        <f t="shared" si="307"/>
        <v>0</v>
      </c>
      <c r="AHE1599" s="55">
        <f t="shared" si="307"/>
        <v>0</v>
      </c>
      <c r="AHF1599" s="55">
        <f t="shared" si="307"/>
        <v>0</v>
      </c>
      <c r="AHG1599" s="55">
        <f t="shared" si="307"/>
        <v>0</v>
      </c>
      <c r="AHH1599" s="55">
        <f t="shared" si="307"/>
        <v>0</v>
      </c>
      <c r="AHI1599" s="55">
        <f t="shared" si="307"/>
        <v>0</v>
      </c>
      <c r="AHJ1599" s="55">
        <f t="shared" si="307"/>
        <v>0</v>
      </c>
      <c r="AHK1599" s="55">
        <f t="shared" si="307"/>
        <v>0</v>
      </c>
      <c r="AHL1599" s="55">
        <f t="shared" si="307"/>
        <v>0</v>
      </c>
      <c r="AHM1599" s="55">
        <f t="shared" si="307"/>
        <v>0</v>
      </c>
      <c r="AHN1599" s="55">
        <f t="shared" si="307"/>
        <v>0</v>
      </c>
      <c r="AHO1599" s="55">
        <f t="shared" si="307"/>
        <v>0</v>
      </c>
      <c r="AHP1599" s="55">
        <f t="shared" si="307"/>
        <v>0</v>
      </c>
      <c r="AHQ1599" s="55">
        <f t="shared" si="307"/>
        <v>0</v>
      </c>
      <c r="AHR1599" s="55">
        <f t="shared" si="307"/>
        <v>0</v>
      </c>
      <c r="AHS1599" s="55">
        <f t="shared" si="307"/>
        <v>0</v>
      </c>
      <c r="AHT1599" s="55">
        <f t="shared" si="307"/>
        <v>0</v>
      </c>
      <c r="AHU1599" s="55">
        <f t="shared" si="307"/>
        <v>0</v>
      </c>
      <c r="AHV1599" s="55">
        <f t="shared" si="307"/>
        <v>0</v>
      </c>
      <c r="AHW1599" s="55">
        <f t="shared" si="307"/>
        <v>0</v>
      </c>
      <c r="AHX1599" s="55">
        <f t="shared" ref="AHX1599:AKI1599" si="308">+(AHX1619+AHX1623)*1.18*1.1</f>
        <v>0</v>
      </c>
      <c r="AHY1599" s="55">
        <f t="shared" si="308"/>
        <v>0</v>
      </c>
      <c r="AHZ1599" s="55">
        <f t="shared" si="308"/>
        <v>0</v>
      </c>
      <c r="AIA1599" s="55">
        <f t="shared" si="308"/>
        <v>0</v>
      </c>
      <c r="AIB1599" s="55">
        <f t="shared" si="308"/>
        <v>0</v>
      </c>
      <c r="AIC1599" s="55">
        <f t="shared" si="308"/>
        <v>0</v>
      </c>
      <c r="AID1599" s="55">
        <f t="shared" si="308"/>
        <v>0</v>
      </c>
      <c r="AIE1599" s="55">
        <f t="shared" si="308"/>
        <v>0</v>
      </c>
      <c r="AIF1599" s="55">
        <f t="shared" si="308"/>
        <v>0</v>
      </c>
      <c r="AIG1599" s="55">
        <f t="shared" si="308"/>
        <v>0</v>
      </c>
      <c r="AIH1599" s="55">
        <f t="shared" si="308"/>
        <v>0</v>
      </c>
      <c r="AII1599" s="55">
        <f t="shared" si="308"/>
        <v>0</v>
      </c>
      <c r="AIJ1599" s="55">
        <f t="shared" si="308"/>
        <v>0</v>
      </c>
      <c r="AIK1599" s="55">
        <f t="shared" si="308"/>
        <v>0</v>
      </c>
      <c r="AIL1599" s="55">
        <f t="shared" si="308"/>
        <v>0</v>
      </c>
      <c r="AIM1599" s="55">
        <f t="shared" si="308"/>
        <v>0</v>
      </c>
      <c r="AIN1599" s="55">
        <f t="shared" si="308"/>
        <v>0</v>
      </c>
      <c r="AIO1599" s="55">
        <f t="shared" si="308"/>
        <v>0</v>
      </c>
      <c r="AIP1599" s="55">
        <f t="shared" si="308"/>
        <v>0</v>
      </c>
      <c r="AIQ1599" s="55">
        <f t="shared" si="308"/>
        <v>0</v>
      </c>
      <c r="AIR1599" s="55">
        <f t="shared" si="308"/>
        <v>0</v>
      </c>
      <c r="AIS1599" s="55">
        <f t="shared" si="308"/>
        <v>0</v>
      </c>
      <c r="AIT1599" s="55">
        <f t="shared" si="308"/>
        <v>0</v>
      </c>
      <c r="AIU1599" s="55">
        <f t="shared" si="308"/>
        <v>0</v>
      </c>
      <c r="AIV1599" s="55">
        <f t="shared" si="308"/>
        <v>0</v>
      </c>
      <c r="AIW1599" s="55">
        <f t="shared" si="308"/>
        <v>0</v>
      </c>
      <c r="AIX1599" s="55">
        <f t="shared" si="308"/>
        <v>0</v>
      </c>
      <c r="AIY1599" s="55">
        <f t="shared" si="308"/>
        <v>0</v>
      </c>
      <c r="AIZ1599" s="55">
        <f t="shared" si="308"/>
        <v>0</v>
      </c>
      <c r="AJA1599" s="55">
        <f t="shared" si="308"/>
        <v>0</v>
      </c>
      <c r="AJB1599" s="55">
        <f t="shared" si="308"/>
        <v>0</v>
      </c>
      <c r="AJC1599" s="55">
        <f t="shared" si="308"/>
        <v>0</v>
      </c>
      <c r="AJD1599" s="55">
        <f t="shared" si="308"/>
        <v>0</v>
      </c>
      <c r="AJE1599" s="55">
        <f t="shared" si="308"/>
        <v>0</v>
      </c>
      <c r="AJF1599" s="55">
        <f t="shared" si="308"/>
        <v>0</v>
      </c>
      <c r="AJG1599" s="55">
        <f t="shared" si="308"/>
        <v>0</v>
      </c>
      <c r="AJH1599" s="55">
        <f t="shared" si="308"/>
        <v>0</v>
      </c>
      <c r="AJI1599" s="55">
        <f t="shared" si="308"/>
        <v>0</v>
      </c>
      <c r="AJJ1599" s="55">
        <f t="shared" si="308"/>
        <v>0</v>
      </c>
      <c r="AJK1599" s="55">
        <f t="shared" si="308"/>
        <v>0</v>
      </c>
      <c r="AJL1599" s="55">
        <f t="shared" si="308"/>
        <v>0</v>
      </c>
      <c r="AJM1599" s="55">
        <f t="shared" si="308"/>
        <v>0</v>
      </c>
      <c r="AJN1599" s="55">
        <f t="shared" si="308"/>
        <v>0</v>
      </c>
      <c r="AJO1599" s="55">
        <f t="shared" si="308"/>
        <v>0</v>
      </c>
      <c r="AJP1599" s="55">
        <f t="shared" si="308"/>
        <v>0</v>
      </c>
      <c r="AJQ1599" s="55">
        <f t="shared" si="308"/>
        <v>0</v>
      </c>
      <c r="AJR1599" s="55">
        <f t="shared" si="308"/>
        <v>0</v>
      </c>
      <c r="AJS1599" s="55">
        <f t="shared" si="308"/>
        <v>0</v>
      </c>
      <c r="AJT1599" s="55">
        <f t="shared" si="308"/>
        <v>0</v>
      </c>
      <c r="AJU1599" s="55">
        <f t="shared" si="308"/>
        <v>0</v>
      </c>
      <c r="AJV1599" s="55">
        <f t="shared" si="308"/>
        <v>0</v>
      </c>
      <c r="AJW1599" s="55">
        <f t="shared" si="308"/>
        <v>0</v>
      </c>
      <c r="AJX1599" s="55">
        <f t="shared" si="308"/>
        <v>0</v>
      </c>
      <c r="AJY1599" s="55">
        <f t="shared" si="308"/>
        <v>0</v>
      </c>
      <c r="AJZ1599" s="55">
        <f t="shared" si="308"/>
        <v>0</v>
      </c>
      <c r="AKA1599" s="55">
        <f t="shared" si="308"/>
        <v>0</v>
      </c>
      <c r="AKB1599" s="55">
        <f t="shared" si="308"/>
        <v>0</v>
      </c>
      <c r="AKC1599" s="55">
        <f t="shared" si="308"/>
        <v>0</v>
      </c>
      <c r="AKD1599" s="55">
        <f t="shared" si="308"/>
        <v>0</v>
      </c>
      <c r="AKE1599" s="55">
        <f t="shared" si="308"/>
        <v>0</v>
      </c>
      <c r="AKF1599" s="55">
        <f t="shared" si="308"/>
        <v>0</v>
      </c>
      <c r="AKG1599" s="55">
        <f t="shared" si="308"/>
        <v>0</v>
      </c>
      <c r="AKH1599" s="55">
        <f t="shared" si="308"/>
        <v>0</v>
      </c>
      <c r="AKI1599" s="55">
        <f t="shared" si="308"/>
        <v>0</v>
      </c>
      <c r="AKJ1599" s="55">
        <f t="shared" ref="AKJ1599:AMU1599" si="309">+(AKJ1619+AKJ1623)*1.18*1.1</f>
        <v>0</v>
      </c>
      <c r="AKK1599" s="55">
        <f t="shared" si="309"/>
        <v>0</v>
      </c>
      <c r="AKL1599" s="55">
        <f t="shared" si="309"/>
        <v>0</v>
      </c>
      <c r="AKM1599" s="55">
        <f t="shared" si="309"/>
        <v>0</v>
      </c>
      <c r="AKN1599" s="55">
        <f t="shared" si="309"/>
        <v>0</v>
      </c>
      <c r="AKO1599" s="55">
        <f t="shared" si="309"/>
        <v>0</v>
      </c>
      <c r="AKP1599" s="55">
        <f t="shared" si="309"/>
        <v>0</v>
      </c>
      <c r="AKQ1599" s="55">
        <f t="shared" si="309"/>
        <v>0</v>
      </c>
      <c r="AKR1599" s="55">
        <f t="shared" si="309"/>
        <v>0</v>
      </c>
      <c r="AKS1599" s="55">
        <f t="shared" si="309"/>
        <v>0</v>
      </c>
      <c r="AKT1599" s="55">
        <f t="shared" si="309"/>
        <v>0</v>
      </c>
      <c r="AKU1599" s="55">
        <f t="shared" si="309"/>
        <v>0</v>
      </c>
      <c r="AKV1599" s="55">
        <f t="shared" si="309"/>
        <v>0</v>
      </c>
      <c r="AKW1599" s="55">
        <f t="shared" si="309"/>
        <v>0</v>
      </c>
      <c r="AKX1599" s="55">
        <f t="shared" si="309"/>
        <v>0</v>
      </c>
      <c r="AKY1599" s="55">
        <f t="shared" si="309"/>
        <v>0</v>
      </c>
      <c r="AKZ1599" s="55">
        <f t="shared" si="309"/>
        <v>0</v>
      </c>
      <c r="ALA1599" s="55">
        <f t="shared" si="309"/>
        <v>0</v>
      </c>
      <c r="ALB1599" s="55">
        <f t="shared" si="309"/>
        <v>0</v>
      </c>
      <c r="ALC1599" s="55">
        <f t="shared" si="309"/>
        <v>0</v>
      </c>
      <c r="ALD1599" s="55">
        <f t="shared" si="309"/>
        <v>0</v>
      </c>
      <c r="ALE1599" s="55">
        <f t="shared" si="309"/>
        <v>0</v>
      </c>
      <c r="ALF1599" s="55">
        <f t="shared" si="309"/>
        <v>0</v>
      </c>
      <c r="ALG1599" s="55">
        <f t="shared" si="309"/>
        <v>0</v>
      </c>
      <c r="ALH1599" s="55">
        <f t="shared" si="309"/>
        <v>0</v>
      </c>
      <c r="ALI1599" s="55">
        <f t="shared" si="309"/>
        <v>0</v>
      </c>
      <c r="ALJ1599" s="55">
        <f t="shared" si="309"/>
        <v>0</v>
      </c>
      <c r="ALK1599" s="55">
        <f t="shared" si="309"/>
        <v>0</v>
      </c>
      <c r="ALL1599" s="55">
        <f t="shared" si="309"/>
        <v>0</v>
      </c>
      <c r="ALM1599" s="55">
        <f t="shared" si="309"/>
        <v>0</v>
      </c>
      <c r="ALN1599" s="55">
        <f t="shared" si="309"/>
        <v>0</v>
      </c>
      <c r="ALO1599" s="55">
        <f t="shared" si="309"/>
        <v>0</v>
      </c>
      <c r="ALP1599" s="55">
        <f t="shared" si="309"/>
        <v>0</v>
      </c>
      <c r="ALQ1599" s="55">
        <f t="shared" si="309"/>
        <v>0</v>
      </c>
      <c r="ALR1599" s="55">
        <f t="shared" si="309"/>
        <v>0</v>
      </c>
      <c r="ALS1599" s="55">
        <f t="shared" si="309"/>
        <v>0</v>
      </c>
      <c r="ALT1599" s="55">
        <f t="shared" si="309"/>
        <v>0</v>
      </c>
      <c r="ALU1599" s="55">
        <f t="shared" si="309"/>
        <v>0</v>
      </c>
      <c r="ALV1599" s="55">
        <f t="shared" si="309"/>
        <v>0</v>
      </c>
      <c r="ALW1599" s="55">
        <f t="shared" si="309"/>
        <v>0</v>
      </c>
      <c r="ALX1599" s="55">
        <f t="shared" si="309"/>
        <v>0</v>
      </c>
      <c r="ALY1599" s="55">
        <f t="shared" si="309"/>
        <v>0</v>
      </c>
      <c r="ALZ1599" s="55">
        <f t="shared" si="309"/>
        <v>0</v>
      </c>
      <c r="AMA1599" s="55">
        <f t="shared" si="309"/>
        <v>0</v>
      </c>
      <c r="AMB1599" s="55">
        <f t="shared" si="309"/>
        <v>0</v>
      </c>
      <c r="AMC1599" s="55">
        <f t="shared" si="309"/>
        <v>0</v>
      </c>
      <c r="AMD1599" s="55">
        <f t="shared" si="309"/>
        <v>0</v>
      </c>
      <c r="AME1599" s="55">
        <f t="shared" si="309"/>
        <v>0</v>
      </c>
      <c r="AMF1599" s="55">
        <f t="shared" si="309"/>
        <v>0</v>
      </c>
      <c r="AMG1599" s="55">
        <f t="shared" si="309"/>
        <v>0</v>
      </c>
      <c r="AMH1599" s="55">
        <f t="shared" si="309"/>
        <v>0</v>
      </c>
      <c r="AMI1599" s="55">
        <f t="shared" si="309"/>
        <v>0</v>
      </c>
      <c r="AMJ1599" s="55">
        <f t="shared" si="309"/>
        <v>0</v>
      </c>
      <c r="AMK1599" s="55">
        <f t="shared" si="309"/>
        <v>0</v>
      </c>
      <c r="AML1599" s="55">
        <f t="shared" si="309"/>
        <v>0</v>
      </c>
      <c r="AMM1599" s="55">
        <f t="shared" si="309"/>
        <v>0</v>
      </c>
      <c r="AMN1599" s="55">
        <f t="shared" si="309"/>
        <v>0</v>
      </c>
      <c r="AMO1599" s="55">
        <f t="shared" si="309"/>
        <v>0</v>
      </c>
      <c r="AMP1599" s="55">
        <f t="shared" si="309"/>
        <v>0</v>
      </c>
      <c r="AMQ1599" s="55">
        <f t="shared" si="309"/>
        <v>0</v>
      </c>
      <c r="AMR1599" s="55">
        <f t="shared" si="309"/>
        <v>0</v>
      </c>
      <c r="AMS1599" s="55">
        <f t="shared" si="309"/>
        <v>0</v>
      </c>
      <c r="AMT1599" s="55">
        <f t="shared" si="309"/>
        <v>0</v>
      </c>
      <c r="AMU1599" s="55">
        <f t="shared" si="309"/>
        <v>0</v>
      </c>
      <c r="AMV1599" s="55">
        <f t="shared" ref="AMV1599:APG1599" si="310">+(AMV1619+AMV1623)*1.18*1.1</f>
        <v>0</v>
      </c>
      <c r="AMW1599" s="55">
        <f t="shared" si="310"/>
        <v>0</v>
      </c>
      <c r="AMX1599" s="55">
        <f t="shared" si="310"/>
        <v>0</v>
      </c>
      <c r="AMY1599" s="55">
        <f t="shared" si="310"/>
        <v>0</v>
      </c>
      <c r="AMZ1599" s="55">
        <f t="shared" si="310"/>
        <v>0</v>
      </c>
      <c r="ANA1599" s="55">
        <f t="shared" si="310"/>
        <v>0</v>
      </c>
      <c r="ANB1599" s="55">
        <f t="shared" si="310"/>
        <v>0</v>
      </c>
      <c r="ANC1599" s="55">
        <f t="shared" si="310"/>
        <v>0</v>
      </c>
      <c r="AND1599" s="55">
        <f t="shared" si="310"/>
        <v>0</v>
      </c>
      <c r="ANE1599" s="55">
        <f t="shared" si="310"/>
        <v>0</v>
      </c>
      <c r="ANF1599" s="55">
        <f t="shared" si="310"/>
        <v>0</v>
      </c>
      <c r="ANG1599" s="55">
        <f t="shared" si="310"/>
        <v>0</v>
      </c>
      <c r="ANH1599" s="55">
        <f t="shared" si="310"/>
        <v>0</v>
      </c>
      <c r="ANI1599" s="55">
        <f t="shared" si="310"/>
        <v>0</v>
      </c>
      <c r="ANJ1599" s="55">
        <f t="shared" si="310"/>
        <v>0</v>
      </c>
      <c r="ANK1599" s="55">
        <f t="shared" si="310"/>
        <v>0</v>
      </c>
      <c r="ANL1599" s="55">
        <f t="shared" si="310"/>
        <v>0</v>
      </c>
      <c r="ANM1599" s="55">
        <f t="shared" si="310"/>
        <v>0</v>
      </c>
      <c r="ANN1599" s="55">
        <f t="shared" si="310"/>
        <v>0</v>
      </c>
      <c r="ANO1599" s="55">
        <f t="shared" si="310"/>
        <v>0</v>
      </c>
      <c r="ANP1599" s="55">
        <f t="shared" si="310"/>
        <v>0</v>
      </c>
      <c r="ANQ1599" s="55">
        <f t="shared" si="310"/>
        <v>0</v>
      </c>
      <c r="ANR1599" s="55">
        <f t="shared" si="310"/>
        <v>0</v>
      </c>
      <c r="ANS1599" s="55">
        <f t="shared" si="310"/>
        <v>0</v>
      </c>
      <c r="ANT1599" s="55">
        <f t="shared" si="310"/>
        <v>0</v>
      </c>
      <c r="ANU1599" s="55">
        <f t="shared" si="310"/>
        <v>0</v>
      </c>
      <c r="ANV1599" s="55">
        <f t="shared" si="310"/>
        <v>0</v>
      </c>
      <c r="ANW1599" s="55">
        <f t="shared" si="310"/>
        <v>0</v>
      </c>
      <c r="ANX1599" s="55">
        <f t="shared" si="310"/>
        <v>0</v>
      </c>
      <c r="ANY1599" s="55">
        <f t="shared" si="310"/>
        <v>0</v>
      </c>
      <c r="ANZ1599" s="55">
        <f t="shared" si="310"/>
        <v>0</v>
      </c>
      <c r="AOA1599" s="55">
        <f t="shared" si="310"/>
        <v>0</v>
      </c>
      <c r="AOB1599" s="55">
        <f t="shared" si="310"/>
        <v>0</v>
      </c>
      <c r="AOC1599" s="55">
        <f t="shared" si="310"/>
        <v>0</v>
      </c>
      <c r="AOD1599" s="55">
        <f t="shared" si="310"/>
        <v>0</v>
      </c>
      <c r="AOE1599" s="55">
        <f t="shared" si="310"/>
        <v>0</v>
      </c>
      <c r="AOF1599" s="55">
        <f t="shared" si="310"/>
        <v>0</v>
      </c>
      <c r="AOG1599" s="55">
        <f t="shared" si="310"/>
        <v>0</v>
      </c>
      <c r="AOH1599" s="55">
        <f t="shared" si="310"/>
        <v>0</v>
      </c>
      <c r="AOI1599" s="55">
        <f t="shared" si="310"/>
        <v>0</v>
      </c>
      <c r="AOJ1599" s="55">
        <f t="shared" si="310"/>
        <v>0</v>
      </c>
      <c r="AOK1599" s="55">
        <f t="shared" si="310"/>
        <v>0</v>
      </c>
      <c r="AOL1599" s="55">
        <f t="shared" si="310"/>
        <v>0</v>
      </c>
      <c r="AOM1599" s="55">
        <f t="shared" si="310"/>
        <v>0</v>
      </c>
      <c r="AON1599" s="55">
        <f t="shared" si="310"/>
        <v>0</v>
      </c>
      <c r="AOO1599" s="55">
        <f t="shared" si="310"/>
        <v>0</v>
      </c>
      <c r="AOP1599" s="55">
        <f t="shared" si="310"/>
        <v>0</v>
      </c>
      <c r="AOQ1599" s="55">
        <f t="shared" si="310"/>
        <v>0</v>
      </c>
      <c r="AOR1599" s="55">
        <f t="shared" si="310"/>
        <v>0</v>
      </c>
      <c r="AOS1599" s="55">
        <f t="shared" si="310"/>
        <v>0</v>
      </c>
      <c r="AOT1599" s="55">
        <f t="shared" si="310"/>
        <v>0</v>
      </c>
      <c r="AOU1599" s="55">
        <f t="shared" si="310"/>
        <v>0</v>
      </c>
      <c r="AOV1599" s="55">
        <f t="shared" si="310"/>
        <v>0</v>
      </c>
      <c r="AOW1599" s="55">
        <f t="shared" si="310"/>
        <v>0</v>
      </c>
      <c r="AOX1599" s="55">
        <f t="shared" si="310"/>
        <v>0</v>
      </c>
      <c r="AOY1599" s="55">
        <f t="shared" si="310"/>
        <v>0</v>
      </c>
      <c r="AOZ1599" s="55">
        <f t="shared" si="310"/>
        <v>0</v>
      </c>
      <c r="APA1599" s="55">
        <f t="shared" si="310"/>
        <v>0</v>
      </c>
      <c r="APB1599" s="55">
        <f t="shared" si="310"/>
        <v>0</v>
      </c>
      <c r="APC1599" s="55">
        <f t="shared" si="310"/>
        <v>0</v>
      </c>
      <c r="APD1599" s="55">
        <f t="shared" si="310"/>
        <v>0</v>
      </c>
      <c r="APE1599" s="55">
        <f t="shared" si="310"/>
        <v>0</v>
      </c>
      <c r="APF1599" s="55">
        <f t="shared" si="310"/>
        <v>0</v>
      </c>
      <c r="APG1599" s="55">
        <f t="shared" si="310"/>
        <v>0</v>
      </c>
      <c r="APH1599" s="55">
        <f t="shared" ref="APH1599:ARS1599" si="311">+(APH1619+APH1623)*1.18*1.1</f>
        <v>0</v>
      </c>
      <c r="API1599" s="55">
        <f t="shared" si="311"/>
        <v>0</v>
      </c>
      <c r="APJ1599" s="55">
        <f t="shared" si="311"/>
        <v>0</v>
      </c>
      <c r="APK1599" s="55">
        <f t="shared" si="311"/>
        <v>0</v>
      </c>
      <c r="APL1599" s="55">
        <f t="shared" si="311"/>
        <v>0</v>
      </c>
      <c r="APM1599" s="55">
        <f t="shared" si="311"/>
        <v>0</v>
      </c>
      <c r="APN1599" s="55">
        <f t="shared" si="311"/>
        <v>0</v>
      </c>
      <c r="APO1599" s="55">
        <f t="shared" si="311"/>
        <v>0</v>
      </c>
      <c r="APP1599" s="55">
        <f t="shared" si="311"/>
        <v>0</v>
      </c>
      <c r="APQ1599" s="55">
        <f t="shared" si="311"/>
        <v>0</v>
      </c>
      <c r="APR1599" s="55">
        <f t="shared" si="311"/>
        <v>0</v>
      </c>
      <c r="APS1599" s="55">
        <f t="shared" si="311"/>
        <v>0</v>
      </c>
      <c r="APT1599" s="55">
        <f t="shared" si="311"/>
        <v>0</v>
      </c>
      <c r="APU1599" s="55">
        <f t="shared" si="311"/>
        <v>0</v>
      </c>
      <c r="APV1599" s="55">
        <f t="shared" si="311"/>
        <v>0</v>
      </c>
      <c r="APW1599" s="55">
        <f t="shared" si="311"/>
        <v>0</v>
      </c>
      <c r="APX1599" s="55">
        <f t="shared" si="311"/>
        <v>0</v>
      </c>
      <c r="APY1599" s="55">
        <f t="shared" si="311"/>
        <v>0</v>
      </c>
      <c r="APZ1599" s="55">
        <f t="shared" si="311"/>
        <v>0</v>
      </c>
      <c r="AQA1599" s="55">
        <f t="shared" si="311"/>
        <v>0</v>
      </c>
      <c r="AQB1599" s="55">
        <f t="shared" si="311"/>
        <v>0</v>
      </c>
      <c r="AQC1599" s="55">
        <f t="shared" si="311"/>
        <v>0</v>
      </c>
      <c r="AQD1599" s="55">
        <f t="shared" si="311"/>
        <v>0</v>
      </c>
      <c r="AQE1599" s="55">
        <f t="shared" si="311"/>
        <v>0</v>
      </c>
      <c r="AQF1599" s="55">
        <f t="shared" si="311"/>
        <v>0</v>
      </c>
      <c r="AQG1599" s="55">
        <f t="shared" si="311"/>
        <v>0</v>
      </c>
      <c r="AQH1599" s="55">
        <f t="shared" si="311"/>
        <v>0</v>
      </c>
      <c r="AQI1599" s="55">
        <f t="shared" si="311"/>
        <v>0</v>
      </c>
      <c r="AQJ1599" s="55">
        <f t="shared" si="311"/>
        <v>0</v>
      </c>
      <c r="AQK1599" s="55">
        <f t="shared" si="311"/>
        <v>0</v>
      </c>
      <c r="AQL1599" s="55">
        <f t="shared" si="311"/>
        <v>0</v>
      </c>
      <c r="AQM1599" s="55">
        <f t="shared" si="311"/>
        <v>0</v>
      </c>
      <c r="AQN1599" s="55">
        <f t="shared" si="311"/>
        <v>0</v>
      </c>
      <c r="AQO1599" s="55">
        <f t="shared" si="311"/>
        <v>0</v>
      </c>
      <c r="AQP1599" s="55">
        <f t="shared" si="311"/>
        <v>0</v>
      </c>
      <c r="AQQ1599" s="55">
        <f t="shared" si="311"/>
        <v>0</v>
      </c>
      <c r="AQR1599" s="55">
        <f t="shared" si="311"/>
        <v>0</v>
      </c>
      <c r="AQS1599" s="55">
        <f t="shared" si="311"/>
        <v>0</v>
      </c>
      <c r="AQT1599" s="55">
        <f t="shared" si="311"/>
        <v>0</v>
      </c>
      <c r="AQU1599" s="55">
        <f t="shared" si="311"/>
        <v>0</v>
      </c>
      <c r="AQV1599" s="55">
        <f t="shared" si="311"/>
        <v>0</v>
      </c>
      <c r="AQW1599" s="55">
        <f t="shared" si="311"/>
        <v>0</v>
      </c>
      <c r="AQX1599" s="55">
        <f t="shared" si="311"/>
        <v>0</v>
      </c>
      <c r="AQY1599" s="55">
        <f t="shared" si="311"/>
        <v>0</v>
      </c>
      <c r="AQZ1599" s="55">
        <f t="shared" si="311"/>
        <v>0</v>
      </c>
      <c r="ARA1599" s="55">
        <f t="shared" si="311"/>
        <v>0</v>
      </c>
      <c r="ARB1599" s="55">
        <f t="shared" si="311"/>
        <v>0</v>
      </c>
      <c r="ARC1599" s="55">
        <f t="shared" si="311"/>
        <v>0</v>
      </c>
      <c r="ARD1599" s="55">
        <f t="shared" si="311"/>
        <v>0</v>
      </c>
      <c r="ARE1599" s="55">
        <f t="shared" si="311"/>
        <v>0</v>
      </c>
      <c r="ARF1599" s="55">
        <f t="shared" si="311"/>
        <v>0</v>
      </c>
      <c r="ARG1599" s="55">
        <f t="shared" si="311"/>
        <v>0</v>
      </c>
      <c r="ARH1599" s="55">
        <f t="shared" si="311"/>
        <v>0</v>
      </c>
      <c r="ARI1599" s="55">
        <f t="shared" si="311"/>
        <v>0</v>
      </c>
      <c r="ARJ1599" s="55">
        <f t="shared" si="311"/>
        <v>0</v>
      </c>
      <c r="ARK1599" s="55">
        <f t="shared" si="311"/>
        <v>0</v>
      </c>
      <c r="ARL1599" s="55">
        <f t="shared" si="311"/>
        <v>0</v>
      </c>
      <c r="ARM1599" s="55">
        <f t="shared" si="311"/>
        <v>0</v>
      </c>
      <c r="ARN1599" s="55">
        <f t="shared" si="311"/>
        <v>0</v>
      </c>
      <c r="ARO1599" s="55">
        <f t="shared" si="311"/>
        <v>0</v>
      </c>
      <c r="ARP1599" s="55">
        <f t="shared" si="311"/>
        <v>0</v>
      </c>
      <c r="ARQ1599" s="55">
        <f t="shared" si="311"/>
        <v>0</v>
      </c>
      <c r="ARR1599" s="55">
        <f t="shared" si="311"/>
        <v>0</v>
      </c>
      <c r="ARS1599" s="55">
        <f t="shared" si="311"/>
        <v>0</v>
      </c>
      <c r="ART1599" s="55">
        <f t="shared" ref="ART1599:AUE1599" si="312">+(ART1619+ART1623)*1.18*1.1</f>
        <v>0</v>
      </c>
      <c r="ARU1599" s="55">
        <f t="shared" si="312"/>
        <v>0</v>
      </c>
      <c r="ARV1599" s="55">
        <f t="shared" si="312"/>
        <v>0</v>
      </c>
      <c r="ARW1599" s="55">
        <f t="shared" si="312"/>
        <v>0</v>
      </c>
      <c r="ARX1599" s="55">
        <f t="shared" si="312"/>
        <v>0</v>
      </c>
      <c r="ARY1599" s="55">
        <f t="shared" si="312"/>
        <v>0</v>
      </c>
      <c r="ARZ1599" s="55">
        <f t="shared" si="312"/>
        <v>0</v>
      </c>
      <c r="ASA1599" s="55">
        <f t="shared" si="312"/>
        <v>0</v>
      </c>
      <c r="ASB1599" s="55">
        <f t="shared" si="312"/>
        <v>0</v>
      </c>
      <c r="ASC1599" s="55">
        <f t="shared" si="312"/>
        <v>0</v>
      </c>
      <c r="ASD1599" s="55">
        <f t="shared" si="312"/>
        <v>0</v>
      </c>
      <c r="ASE1599" s="55">
        <f t="shared" si="312"/>
        <v>0</v>
      </c>
      <c r="ASF1599" s="55">
        <f t="shared" si="312"/>
        <v>0</v>
      </c>
      <c r="ASG1599" s="55">
        <f t="shared" si="312"/>
        <v>0</v>
      </c>
      <c r="ASH1599" s="55">
        <f t="shared" si="312"/>
        <v>0</v>
      </c>
      <c r="ASI1599" s="55">
        <f t="shared" si="312"/>
        <v>0</v>
      </c>
      <c r="ASJ1599" s="55">
        <f t="shared" si="312"/>
        <v>0</v>
      </c>
      <c r="ASK1599" s="55">
        <f t="shared" si="312"/>
        <v>0</v>
      </c>
      <c r="ASL1599" s="55">
        <f t="shared" si="312"/>
        <v>0</v>
      </c>
      <c r="ASM1599" s="55">
        <f t="shared" si="312"/>
        <v>0</v>
      </c>
      <c r="ASN1599" s="55">
        <f t="shared" si="312"/>
        <v>0</v>
      </c>
      <c r="ASO1599" s="55">
        <f t="shared" si="312"/>
        <v>0</v>
      </c>
      <c r="ASP1599" s="55">
        <f t="shared" si="312"/>
        <v>0</v>
      </c>
      <c r="ASQ1599" s="55">
        <f t="shared" si="312"/>
        <v>0</v>
      </c>
      <c r="ASR1599" s="55">
        <f t="shared" si="312"/>
        <v>0</v>
      </c>
      <c r="ASS1599" s="55">
        <f t="shared" si="312"/>
        <v>0</v>
      </c>
      <c r="AST1599" s="55">
        <f t="shared" si="312"/>
        <v>0</v>
      </c>
      <c r="ASU1599" s="55">
        <f t="shared" si="312"/>
        <v>0</v>
      </c>
      <c r="ASV1599" s="55">
        <f t="shared" si="312"/>
        <v>0</v>
      </c>
      <c r="ASW1599" s="55">
        <f t="shared" si="312"/>
        <v>0</v>
      </c>
      <c r="ASX1599" s="55">
        <f t="shared" si="312"/>
        <v>0</v>
      </c>
      <c r="ASY1599" s="55">
        <f t="shared" si="312"/>
        <v>0</v>
      </c>
      <c r="ASZ1599" s="55">
        <f t="shared" si="312"/>
        <v>0</v>
      </c>
      <c r="ATA1599" s="55">
        <f t="shared" si="312"/>
        <v>0</v>
      </c>
      <c r="ATB1599" s="55">
        <f t="shared" si="312"/>
        <v>0</v>
      </c>
      <c r="ATC1599" s="55">
        <f t="shared" si="312"/>
        <v>0</v>
      </c>
      <c r="ATD1599" s="55">
        <f t="shared" si="312"/>
        <v>0</v>
      </c>
      <c r="ATE1599" s="55">
        <f t="shared" si="312"/>
        <v>0</v>
      </c>
      <c r="ATF1599" s="55">
        <f t="shared" si="312"/>
        <v>0</v>
      </c>
      <c r="ATG1599" s="55">
        <f t="shared" si="312"/>
        <v>0</v>
      </c>
      <c r="ATH1599" s="55">
        <f t="shared" si="312"/>
        <v>0</v>
      </c>
      <c r="ATI1599" s="55">
        <f t="shared" si="312"/>
        <v>0</v>
      </c>
      <c r="ATJ1599" s="55">
        <f t="shared" si="312"/>
        <v>0</v>
      </c>
      <c r="ATK1599" s="55">
        <f t="shared" si="312"/>
        <v>0</v>
      </c>
      <c r="ATL1599" s="55">
        <f t="shared" si="312"/>
        <v>0</v>
      </c>
      <c r="ATM1599" s="55">
        <f t="shared" si="312"/>
        <v>0</v>
      </c>
      <c r="ATN1599" s="55">
        <f t="shared" si="312"/>
        <v>0</v>
      </c>
      <c r="ATO1599" s="55">
        <f t="shared" si="312"/>
        <v>0</v>
      </c>
      <c r="ATP1599" s="55">
        <f t="shared" si="312"/>
        <v>0</v>
      </c>
      <c r="ATQ1599" s="55">
        <f t="shared" si="312"/>
        <v>0</v>
      </c>
      <c r="ATR1599" s="55">
        <f t="shared" si="312"/>
        <v>0</v>
      </c>
      <c r="ATS1599" s="55">
        <f t="shared" si="312"/>
        <v>0</v>
      </c>
      <c r="ATT1599" s="55">
        <f t="shared" si="312"/>
        <v>0</v>
      </c>
      <c r="ATU1599" s="55">
        <f t="shared" si="312"/>
        <v>0</v>
      </c>
      <c r="ATV1599" s="55">
        <f t="shared" si="312"/>
        <v>0</v>
      </c>
      <c r="ATW1599" s="55">
        <f t="shared" si="312"/>
        <v>0</v>
      </c>
      <c r="ATX1599" s="55">
        <f t="shared" si="312"/>
        <v>0</v>
      </c>
      <c r="ATY1599" s="55">
        <f t="shared" si="312"/>
        <v>0</v>
      </c>
      <c r="ATZ1599" s="55">
        <f t="shared" si="312"/>
        <v>0</v>
      </c>
      <c r="AUA1599" s="55">
        <f t="shared" si="312"/>
        <v>0</v>
      </c>
      <c r="AUB1599" s="55">
        <f t="shared" si="312"/>
        <v>0</v>
      </c>
      <c r="AUC1599" s="55">
        <f t="shared" si="312"/>
        <v>0</v>
      </c>
      <c r="AUD1599" s="55">
        <f t="shared" si="312"/>
        <v>0</v>
      </c>
      <c r="AUE1599" s="55">
        <f t="shared" si="312"/>
        <v>0</v>
      </c>
      <c r="AUF1599" s="55">
        <f t="shared" ref="AUF1599:AWQ1599" si="313">+(AUF1619+AUF1623)*1.18*1.1</f>
        <v>0</v>
      </c>
      <c r="AUG1599" s="55">
        <f t="shared" si="313"/>
        <v>0</v>
      </c>
      <c r="AUH1599" s="55">
        <f t="shared" si="313"/>
        <v>0</v>
      </c>
      <c r="AUI1599" s="55">
        <f t="shared" si="313"/>
        <v>0</v>
      </c>
      <c r="AUJ1599" s="55">
        <f t="shared" si="313"/>
        <v>0</v>
      </c>
      <c r="AUK1599" s="55">
        <f t="shared" si="313"/>
        <v>0</v>
      </c>
      <c r="AUL1599" s="55">
        <f t="shared" si="313"/>
        <v>0</v>
      </c>
      <c r="AUM1599" s="55">
        <f t="shared" si="313"/>
        <v>0</v>
      </c>
      <c r="AUN1599" s="55">
        <f t="shared" si="313"/>
        <v>0</v>
      </c>
      <c r="AUO1599" s="55">
        <f t="shared" si="313"/>
        <v>0</v>
      </c>
      <c r="AUP1599" s="55">
        <f t="shared" si="313"/>
        <v>0</v>
      </c>
      <c r="AUQ1599" s="55">
        <f t="shared" si="313"/>
        <v>0</v>
      </c>
      <c r="AUR1599" s="55">
        <f t="shared" si="313"/>
        <v>0</v>
      </c>
      <c r="AUS1599" s="55">
        <f t="shared" si="313"/>
        <v>0</v>
      </c>
      <c r="AUT1599" s="55">
        <f t="shared" si="313"/>
        <v>0</v>
      </c>
      <c r="AUU1599" s="55">
        <f t="shared" si="313"/>
        <v>0</v>
      </c>
      <c r="AUV1599" s="55">
        <f t="shared" si="313"/>
        <v>0</v>
      </c>
      <c r="AUW1599" s="55">
        <f t="shared" si="313"/>
        <v>0</v>
      </c>
      <c r="AUX1599" s="55">
        <f t="shared" si="313"/>
        <v>0</v>
      </c>
      <c r="AUY1599" s="55">
        <f t="shared" si="313"/>
        <v>0</v>
      </c>
      <c r="AUZ1599" s="55">
        <f t="shared" si="313"/>
        <v>0</v>
      </c>
      <c r="AVA1599" s="55">
        <f t="shared" si="313"/>
        <v>0</v>
      </c>
      <c r="AVB1599" s="55">
        <f t="shared" si="313"/>
        <v>0</v>
      </c>
      <c r="AVC1599" s="55">
        <f t="shared" si="313"/>
        <v>0</v>
      </c>
      <c r="AVD1599" s="55">
        <f t="shared" si="313"/>
        <v>0</v>
      </c>
      <c r="AVE1599" s="55">
        <f t="shared" si="313"/>
        <v>0</v>
      </c>
      <c r="AVF1599" s="55">
        <f t="shared" si="313"/>
        <v>0</v>
      </c>
      <c r="AVG1599" s="55">
        <f t="shared" si="313"/>
        <v>0</v>
      </c>
      <c r="AVH1599" s="55">
        <f t="shared" si="313"/>
        <v>0</v>
      </c>
      <c r="AVI1599" s="55">
        <f t="shared" si="313"/>
        <v>0</v>
      </c>
      <c r="AVJ1599" s="55">
        <f t="shared" si="313"/>
        <v>0</v>
      </c>
      <c r="AVK1599" s="55">
        <f t="shared" si="313"/>
        <v>0</v>
      </c>
      <c r="AVL1599" s="55">
        <f t="shared" si="313"/>
        <v>0</v>
      </c>
      <c r="AVM1599" s="55">
        <f t="shared" si="313"/>
        <v>0</v>
      </c>
      <c r="AVN1599" s="55">
        <f t="shared" si="313"/>
        <v>0</v>
      </c>
      <c r="AVO1599" s="55">
        <f t="shared" si="313"/>
        <v>0</v>
      </c>
      <c r="AVP1599" s="55">
        <f t="shared" si="313"/>
        <v>0</v>
      </c>
      <c r="AVQ1599" s="55">
        <f t="shared" si="313"/>
        <v>0</v>
      </c>
      <c r="AVR1599" s="55">
        <f t="shared" si="313"/>
        <v>0</v>
      </c>
      <c r="AVS1599" s="55">
        <f t="shared" si="313"/>
        <v>0</v>
      </c>
      <c r="AVT1599" s="55">
        <f t="shared" si="313"/>
        <v>0</v>
      </c>
      <c r="AVU1599" s="55">
        <f t="shared" si="313"/>
        <v>0</v>
      </c>
      <c r="AVV1599" s="55">
        <f t="shared" si="313"/>
        <v>0</v>
      </c>
      <c r="AVW1599" s="55">
        <f t="shared" si="313"/>
        <v>0</v>
      </c>
      <c r="AVX1599" s="55">
        <f t="shared" si="313"/>
        <v>0</v>
      </c>
      <c r="AVY1599" s="55">
        <f t="shared" si="313"/>
        <v>0</v>
      </c>
      <c r="AVZ1599" s="55">
        <f t="shared" si="313"/>
        <v>0</v>
      </c>
      <c r="AWA1599" s="55">
        <f t="shared" si="313"/>
        <v>0</v>
      </c>
      <c r="AWB1599" s="55">
        <f t="shared" si="313"/>
        <v>0</v>
      </c>
      <c r="AWC1599" s="55">
        <f t="shared" si="313"/>
        <v>0</v>
      </c>
      <c r="AWD1599" s="55">
        <f t="shared" si="313"/>
        <v>0</v>
      </c>
      <c r="AWE1599" s="55">
        <f t="shared" si="313"/>
        <v>0</v>
      </c>
      <c r="AWF1599" s="55">
        <f t="shared" si="313"/>
        <v>0</v>
      </c>
      <c r="AWG1599" s="55">
        <f t="shared" si="313"/>
        <v>0</v>
      </c>
      <c r="AWH1599" s="55">
        <f t="shared" si="313"/>
        <v>0</v>
      </c>
      <c r="AWI1599" s="55">
        <f t="shared" si="313"/>
        <v>0</v>
      </c>
      <c r="AWJ1599" s="55">
        <f t="shared" si="313"/>
        <v>0</v>
      </c>
      <c r="AWK1599" s="55">
        <f t="shared" si="313"/>
        <v>0</v>
      </c>
      <c r="AWL1599" s="55">
        <f t="shared" si="313"/>
        <v>0</v>
      </c>
      <c r="AWM1599" s="55">
        <f t="shared" si="313"/>
        <v>0</v>
      </c>
      <c r="AWN1599" s="55">
        <f t="shared" si="313"/>
        <v>0</v>
      </c>
      <c r="AWO1599" s="55">
        <f t="shared" si="313"/>
        <v>0</v>
      </c>
      <c r="AWP1599" s="55">
        <f t="shared" si="313"/>
        <v>0</v>
      </c>
      <c r="AWQ1599" s="55">
        <f t="shared" si="313"/>
        <v>0</v>
      </c>
      <c r="AWR1599" s="55">
        <f t="shared" ref="AWR1599:AZC1599" si="314">+(AWR1619+AWR1623)*1.18*1.1</f>
        <v>0</v>
      </c>
      <c r="AWS1599" s="55">
        <f t="shared" si="314"/>
        <v>0</v>
      </c>
      <c r="AWT1599" s="55">
        <f t="shared" si="314"/>
        <v>0</v>
      </c>
      <c r="AWU1599" s="55">
        <f t="shared" si="314"/>
        <v>0</v>
      </c>
      <c r="AWV1599" s="55">
        <f t="shared" si="314"/>
        <v>0</v>
      </c>
      <c r="AWW1599" s="55">
        <f t="shared" si="314"/>
        <v>0</v>
      </c>
      <c r="AWX1599" s="55">
        <f t="shared" si="314"/>
        <v>0</v>
      </c>
      <c r="AWY1599" s="55">
        <f t="shared" si="314"/>
        <v>0</v>
      </c>
      <c r="AWZ1599" s="55">
        <f t="shared" si="314"/>
        <v>0</v>
      </c>
      <c r="AXA1599" s="55">
        <f t="shared" si="314"/>
        <v>0</v>
      </c>
      <c r="AXB1599" s="55">
        <f t="shared" si="314"/>
        <v>0</v>
      </c>
      <c r="AXC1599" s="55">
        <f t="shared" si="314"/>
        <v>0</v>
      </c>
      <c r="AXD1599" s="55">
        <f t="shared" si="314"/>
        <v>0</v>
      </c>
      <c r="AXE1599" s="55">
        <f t="shared" si="314"/>
        <v>0</v>
      </c>
      <c r="AXF1599" s="55">
        <f t="shared" si="314"/>
        <v>0</v>
      </c>
      <c r="AXG1599" s="55">
        <f t="shared" si="314"/>
        <v>0</v>
      </c>
      <c r="AXH1599" s="55">
        <f t="shared" si="314"/>
        <v>0</v>
      </c>
      <c r="AXI1599" s="55">
        <f t="shared" si="314"/>
        <v>0</v>
      </c>
      <c r="AXJ1599" s="55">
        <f t="shared" si="314"/>
        <v>0</v>
      </c>
      <c r="AXK1599" s="55">
        <f t="shared" si="314"/>
        <v>0</v>
      </c>
      <c r="AXL1599" s="55">
        <f t="shared" si="314"/>
        <v>0</v>
      </c>
      <c r="AXM1599" s="55">
        <f t="shared" si="314"/>
        <v>0</v>
      </c>
      <c r="AXN1599" s="55">
        <f t="shared" si="314"/>
        <v>0</v>
      </c>
      <c r="AXO1599" s="55">
        <f t="shared" si="314"/>
        <v>0</v>
      </c>
      <c r="AXP1599" s="55">
        <f t="shared" si="314"/>
        <v>0</v>
      </c>
      <c r="AXQ1599" s="55">
        <f t="shared" si="314"/>
        <v>0</v>
      </c>
      <c r="AXR1599" s="55">
        <f t="shared" si="314"/>
        <v>0</v>
      </c>
      <c r="AXS1599" s="55">
        <f t="shared" si="314"/>
        <v>0</v>
      </c>
      <c r="AXT1599" s="55">
        <f t="shared" si="314"/>
        <v>0</v>
      </c>
      <c r="AXU1599" s="55">
        <f t="shared" si="314"/>
        <v>0</v>
      </c>
      <c r="AXV1599" s="55">
        <f t="shared" si="314"/>
        <v>0</v>
      </c>
      <c r="AXW1599" s="55">
        <f t="shared" si="314"/>
        <v>0</v>
      </c>
      <c r="AXX1599" s="55">
        <f t="shared" si="314"/>
        <v>0</v>
      </c>
      <c r="AXY1599" s="55">
        <f t="shared" si="314"/>
        <v>0</v>
      </c>
      <c r="AXZ1599" s="55">
        <f t="shared" si="314"/>
        <v>0</v>
      </c>
      <c r="AYA1599" s="55">
        <f t="shared" si="314"/>
        <v>0</v>
      </c>
      <c r="AYB1599" s="55">
        <f t="shared" si="314"/>
        <v>0</v>
      </c>
      <c r="AYC1599" s="55">
        <f t="shared" si="314"/>
        <v>0</v>
      </c>
      <c r="AYD1599" s="55">
        <f t="shared" si="314"/>
        <v>0</v>
      </c>
      <c r="AYE1599" s="55">
        <f t="shared" si="314"/>
        <v>0</v>
      </c>
      <c r="AYF1599" s="55">
        <f t="shared" si="314"/>
        <v>0</v>
      </c>
      <c r="AYG1599" s="55">
        <f t="shared" si="314"/>
        <v>0</v>
      </c>
      <c r="AYH1599" s="55">
        <f t="shared" si="314"/>
        <v>0</v>
      </c>
      <c r="AYI1599" s="55">
        <f t="shared" si="314"/>
        <v>0</v>
      </c>
      <c r="AYJ1599" s="55">
        <f t="shared" si="314"/>
        <v>0</v>
      </c>
      <c r="AYK1599" s="55">
        <f t="shared" si="314"/>
        <v>0</v>
      </c>
      <c r="AYL1599" s="55">
        <f t="shared" si="314"/>
        <v>0</v>
      </c>
      <c r="AYM1599" s="55">
        <f t="shared" si="314"/>
        <v>0</v>
      </c>
      <c r="AYN1599" s="55">
        <f t="shared" si="314"/>
        <v>0</v>
      </c>
      <c r="AYO1599" s="55">
        <f t="shared" si="314"/>
        <v>0</v>
      </c>
      <c r="AYP1599" s="55">
        <f t="shared" si="314"/>
        <v>0</v>
      </c>
      <c r="AYQ1599" s="55">
        <f t="shared" si="314"/>
        <v>0</v>
      </c>
      <c r="AYR1599" s="55">
        <f t="shared" si="314"/>
        <v>0</v>
      </c>
      <c r="AYS1599" s="55">
        <f t="shared" si="314"/>
        <v>0</v>
      </c>
      <c r="AYT1599" s="55">
        <f t="shared" si="314"/>
        <v>0</v>
      </c>
      <c r="AYU1599" s="55">
        <f t="shared" si="314"/>
        <v>0</v>
      </c>
      <c r="AYV1599" s="55">
        <f t="shared" si="314"/>
        <v>0</v>
      </c>
      <c r="AYW1599" s="55">
        <f t="shared" si="314"/>
        <v>0</v>
      </c>
      <c r="AYX1599" s="55">
        <f t="shared" si="314"/>
        <v>0</v>
      </c>
      <c r="AYY1599" s="55">
        <f t="shared" si="314"/>
        <v>0</v>
      </c>
      <c r="AYZ1599" s="55">
        <f t="shared" si="314"/>
        <v>0</v>
      </c>
      <c r="AZA1599" s="55">
        <f t="shared" si="314"/>
        <v>0</v>
      </c>
      <c r="AZB1599" s="55">
        <f t="shared" si="314"/>
        <v>0</v>
      </c>
      <c r="AZC1599" s="55">
        <f t="shared" si="314"/>
        <v>0</v>
      </c>
      <c r="AZD1599" s="55">
        <f t="shared" ref="AZD1599:BBO1599" si="315">+(AZD1619+AZD1623)*1.18*1.1</f>
        <v>0</v>
      </c>
      <c r="AZE1599" s="55">
        <f t="shared" si="315"/>
        <v>0</v>
      </c>
      <c r="AZF1599" s="55">
        <f t="shared" si="315"/>
        <v>0</v>
      </c>
      <c r="AZG1599" s="55">
        <f t="shared" si="315"/>
        <v>0</v>
      </c>
      <c r="AZH1599" s="55">
        <f t="shared" si="315"/>
        <v>0</v>
      </c>
      <c r="AZI1599" s="55">
        <f t="shared" si="315"/>
        <v>0</v>
      </c>
      <c r="AZJ1599" s="55">
        <f t="shared" si="315"/>
        <v>0</v>
      </c>
      <c r="AZK1599" s="55">
        <f t="shared" si="315"/>
        <v>0</v>
      </c>
      <c r="AZL1599" s="55">
        <f t="shared" si="315"/>
        <v>0</v>
      </c>
      <c r="AZM1599" s="55">
        <f t="shared" si="315"/>
        <v>0</v>
      </c>
      <c r="AZN1599" s="55">
        <f t="shared" si="315"/>
        <v>0</v>
      </c>
      <c r="AZO1599" s="55">
        <f t="shared" si="315"/>
        <v>0</v>
      </c>
      <c r="AZP1599" s="55">
        <f t="shared" si="315"/>
        <v>0</v>
      </c>
      <c r="AZQ1599" s="55">
        <f t="shared" si="315"/>
        <v>0</v>
      </c>
      <c r="AZR1599" s="55">
        <f t="shared" si="315"/>
        <v>0</v>
      </c>
      <c r="AZS1599" s="55">
        <f t="shared" si="315"/>
        <v>0</v>
      </c>
      <c r="AZT1599" s="55">
        <f t="shared" si="315"/>
        <v>0</v>
      </c>
      <c r="AZU1599" s="55">
        <f t="shared" si="315"/>
        <v>0</v>
      </c>
      <c r="AZV1599" s="55">
        <f t="shared" si="315"/>
        <v>0</v>
      </c>
      <c r="AZW1599" s="55">
        <f t="shared" si="315"/>
        <v>0</v>
      </c>
      <c r="AZX1599" s="55">
        <f t="shared" si="315"/>
        <v>0</v>
      </c>
      <c r="AZY1599" s="55">
        <f t="shared" si="315"/>
        <v>0</v>
      </c>
      <c r="AZZ1599" s="55">
        <f t="shared" si="315"/>
        <v>0</v>
      </c>
      <c r="BAA1599" s="55">
        <f t="shared" si="315"/>
        <v>0</v>
      </c>
      <c r="BAB1599" s="55">
        <f t="shared" si="315"/>
        <v>0</v>
      </c>
      <c r="BAC1599" s="55">
        <f t="shared" si="315"/>
        <v>0</v>
      </c>
      <c r="BAD1599" s="55">
        <f t="shared" si="315"/>
        <v>0</v>
      </c>
      <c r="BAE1599" s="55">
        <f t="shared" si="315"/>
        <v>0</v>
      </c>
      <c r="BAF1599" s="55">
        <f t="shared" si="315"/>
        <v>0</v>
      </c>
      <c r="BAG1599" s="55">
        <f t="shared" si="315"/>
        <v>0</v>
      </c>
      <c r="BAH1599" s="55">
        <f t="shared" si="315"/>
        <v>0</v>
      </c>
      <c r="BAI1599" s="55">
        <f t="shared" si="315"/>
        <v>0</v>
      </c>
      <c r="BAJ1599" s="55">
        <f t="shared" si="315"/>
        <v>0</v>
      </c>
      <c r="BAK1599" s="55">
        <f t="shared" si="315"/>
        <v>0</v>
      </c>
      <c r="BAL1599" s="55">
        <f t="shared" si="315"/>
        <v>0</v>
      </c>
      <c r="BAM1599" s="55">
        <f t="shared" si="315"/>
        <v>0</v>
      </c>
      <c r="BAN1599" s="55">
        <f t="shared" si="315"/>
        <v>0</v>
      </c>
      <c r="BAO1599" s="55">
        <f t="shared" si="315"/>
        <v>0</v>
      </c>
      <c r="BAP1599" s="55">
        <f t="shared" si="315"/>
        <v>0</v>
      </c>
      <c r="BAQ1599" s="55">
        <f t="shared" si="315"/>
        <v>0</v>
      </c>
      <c r="BAR1599" s="55">
        <f t="shared" si="315"/>
        <v>0</v>
      </c>
      <c r="BAS1599" s="55">
        <f t="shared" si="315"/>
        <v>0</v>
      </c>
      <c r="BAT1599" s="55">
        <f t="shared" si="315"/>
        <v>0</v>
      </c>
      <c r="BAU1599" s="55">
        <f t="shared" si="315"/>
        <v>0</v>
      </c>
      <c r="BAV1599" s="55">
        <f t="shared" si="315"/>
        <v>0</v>
      </c>
      <c r="BAW1599" s="55">
        <f t="shared" si="315"/>
        <v>0</v>
      </c>
      <c r="BAX1599" s="55">
        <f t="shared" si="315"/>
        <v>0</v>
      </c>
      <c r="BAY1599" s="55">
        <f t="shared" si="315"/>
        <v>0</v>
      </c>
      <c r="BAZ1599" s="55">
        <f t="shared" si="315"/>
        <v>0</v>
      </c>
      <c r="BBA1599" s="55">
        <f t="shared" si="315"/>
        <v>0</v>
      </c>
      <c r="BBB1599" s="55">
        <f t="shared" si="315"/>
        <v>0</v>
      </c>
      <c r="BBC1599" s="55">
        <f t="shared" si="315"/>
        <v>0</v>
      </c>
      <c r="BBD1599" s="55">
        <f t="shared" si="315"/>
        <v>0</v>
      </c>
      <c r="BBE1599" s="55">
        <f t="shared" si="315"/>
        <v>0</v>
      </c>
      <c r="BBF1599" s="55">
        <f t="shared" si="315"/>
        <v>0</v>
      </c>
      <c r="BBG1599" s="55">
        <f t="shared" si="315"/>
        <v>0</v>
      </c>
      <c r="BBH1599" s="55">
        <f t="shared" si="315"/>
        <v>0</v>
      </c>
      <c r="BBI1599" s="55">
        <f t="shared" si="315"/>
        <v>0</v>
      </c>
      <c r="BBJ1599" s="55">
        <f t="shared" si="315"/>
        <v>0</v>
      </c>
      <c r="BBK1599" s="55">
        <f t="shared" si="315"/>
        <v>0</v>
      </c>
      <c r="BBL1599" s="55">
        <f t="shared" si="315"/>
        <v>0</v>
      </c>
      <c r="BBM1599" s="55">
        <f t="shared" si="315"/>
        <v>0</v>
      </c>
      <c r="BBN1599" s="55">
        <f t="shared" si="315"/>
        <v>0</v>
      </c>
      <c r="BBO1599" s="55">
        <f t="shared" si="315"/>
        <v>0</v>
      </c>
      <c r="BBP1599" s="55">
        <f t="shared" ref="BBP1599:BEA1599" si="316">+(BBP1619+BBP1623)*1.18*1.1</f>
        <v>0</v>
      </c>
      <c r="BBQ1599" s="55">
        <f t="shared" si="316"/>
        <v>0</v>
      </c>
      <c r="BBR1599" s="55">
        <f t="shared" si="316"/>
        <v>0</v>
      </c>
      <c r="BBS1599" s="55">
        <f t="shared" si="316"/>
        <v>0</v>
      </c>
      <c r="BBT1599" s="55">
        <f t="shared" si="316"/>
        <v>0</v>
      </c>
      <c r="BBU1599" s="55">
        <f t="shared" si="316"/>
        <v>0</v>
      </c>
      <c r="BBV1599" s="55">
        <f t="shared" si="316"/>
        <v>0</v>
      </c>
      <c r="BBW1599" s="55">
        <f t="shared" si="316"/>
        <v>0</v>
      </c>
      <c r="BBX1599" s="55">
        <f t="shared" si="316"/>
        <v>0</v>
      </c>
      <c r="BBY1599" s="55">
        <f t="shared" si="316"/>
        <v>0</v>
      </c>
      <c r="BBZ1599" s="55">
        <f t="shared" si="316"/>
        <v>0</v>
      </c>
      <c r="BCA1599" s="55">
        <f t="shared" si="316"/>
        <v>0</v>
      </c>
      <c r="BCB1599" s="55">
        <f t="shared" si="316"/>
        <v>0</v>
      </c>
      <c r="BCC1599" s="55">
        <f t="shared" si="316"/>
        <v>0</v>
      </c>
      <c r="BCD1599" s="55">
        <f t="shared" si="316"/>
        <v>0</v>
      </c>
      <c r="BCE1599" s="55">
        <f t="shared" si="316"/>
        <v>0</v>
      </c>
      <c r="BCF1599" s="55">
        <f t="shared" si="316"/>
        <v>0</v>
      </c>
      <c r="BCG1599" s="55">
        <f t="shared" si="316"/>
        <v>0</v>
      </c>
      <c r="BCH1599" s="55">
        <f t="shared" si="316"/>
        <v>0</v>
      </c>
      <c r="BCI1599" s="55">
        <f t="shared" si="316"/>
        <v>0</v>
      </c>
      <c r="BCJ1599" s="55">
        <f t="shared" si="316"/>
        <v>0</v>
      </c>
      <c r="BCK1599" s="55">
        <f t="shared" si="316"/>
        <v>0</v>
      </c>
      <c r="BCL1599" s="55">
        <f t="shared" si="316"/>
        <v>0</v>
      </c>
      <c r="BCM1599" s="55">
        <f t="shared" si="316"/>
        <v>0</v>
      </c>
      <c r="BCN1599" s="55">
        <f t="shared" si="316"/>
        <v>0</v>
      </c>
      <c r="BCO1599" s="55">
        <f t="shared" si="316"/>
        <v>0</v>
      </c>
      <c r="BCP1599" s="55">
        <f t="shared" si="316"/>
        <v>0</v>
      </c>
      <c r="BCQ1599" s="55">
        <f t="shared" si="316"/>
        <v>0</v>
      </c>
      <c r="BCR1599" s="55">
        <f t="shared" si="316"/>
        <v>0</v>
      </c>
      <c r="BCS1599" s="55">
        <f t="shared" si="316"/>
        <v>0</v>
      </c>
      <c r="BCT1599" s="55">
        <f t="shared" si="316"/>
        <v>0</v>
      </c>
      <c r="BCU1599" s="55">
        <f t="shared" si="316"/>
        <v>0</v>
      </c>
      <c r="BCV1599" s="55">
        <f t="shared" si="316"/>
        <v>0</v>
      </c>
      <c r="BCW1599" s="55">
        <f t="shared" si="316"/>
        <v>0</v>
      </c>
      <c r="BCX1599" s="55">
        <f t="shared" si="316"/>
        <v>0</v>
      </c>
      <c r="BCY1599" s="55">
        <f t="shared" si="316"/>
        <v>0</v>
      </c>
      <c r="BCZ1599" s="55">
        <f t="shared" si="316"/>
        <v>0</v>
      </c>
      <c r="BDA1599" s="55">
        <f t="shared" si="316"/>
        <v>0</v>
      </c>
      <c r="BDB1599" s="55">
        <f t="shared" si="316"/>
        <v>0</v>
      </c>
      <c r="BDC1599" s="55">
        <f t="shared" si="316"/>
        <v>0</v>
      </c>
      <c r="BDD1599" s="55">
        <f t="shared" si="316"/>
        <v>0</v>
      </c>
      <c r="BDE1599" s="55">
        <f t="shared" si="316"/>
        <v>0</v>
      </c>
      <c r="BDF1599" s="55">
        <f t="shared" si="316"/>
        <v>0</v>
      </c>
      <c r="BDG1599" s="55">
        <f t="shared" si="316"/>
        <v>0</v>
      </c>
      <c r="BDH1599" s="55">
        <f t="shared" si="316"/>
        <v>0</v>
      </c>
      <c r="BDI1599" s="55">
        <f t="shared" si="316"/>
        <v>0</v>
      </c>
      <c r="BDJ1599" s="55">
        <f t="shared" si="316"/>
        <v>0</v>
      </c>
      <c r="BDK1599" s="55">
        <f t="shared" si="316"/>
        <v>0</v>
      </c>
      <c r="BDL1599" s="55">
        <f t="shared" si="316"/>
        <v>0</v>
      </c>
      <c r="BDM1599" s="55">
        <f t="shared" si="316"/>
        <v>0</v>
      </c>
      <c r="BDN1599" s="55">
        <f t="shared" si="316"/>
        <v>0</v>
      </c>
      <c r="BDO1599" s="55">
        <f t="shared" si="316"/>
        <v>0</v>
      </c>
      <c r="BDP1599" s="55">
        <f t="shared" si="316"/>
        <v>0</v>
      </c>
      <c r="BDQ1599" s="55">
        <f t="shared" si="316"/>
        <v>0</v>
      </c>
      <c r="BDR1599" s="55">
        <f t="shared" si="316"/>
        <v>0</v>
      </c>
      <c r="BDS1599" s="55">
        <f t="shared" si="316"/>
        <v>0</v>
      </c>
      <c r="BDT1599" s="55">
        <f t="shared" si="316"/>
        <v>0</v>
      </c>
      <c r="BDU1599" s="55">
        <f t="shared" si="316"/>
        <v>0</v>
      </c>
      <c r="BDV1599" s="55">
        <f t="shared" si="316"/>
        <v>0</v>
      </c>
      <c r="BDW1599" s="55">
        <f t="shared" si="316"/>
        <v>0</v>
      </c>
      <c r="BDX1599" s="55">
        <f t="shared" si="316"/>
        <v>0</v>
      </c>
      <c r="BDY1599" s="55">
        <f t="shared" si="316"/>
        <v>0</v>
      </c>
      <c r="BDZ1599" s="55">
        <f t="shared" si="316"/>
        <v>0</v>
      </c>
      <c r="BEA1599" s="55">
        <f t="shared" si="316"/>
        <v>0</v>
      </c>
      <c r="BEB1599" s="55">
        <f t="shared" ref="BEB1599:BGM1599" si="317">+(BEB1619+BEB1623)*1.18*1.1</f>
        <v>0</v>
      </c>
      <c r="BEC1599" s="55">
        <f t="shared" si="317"/>
        <v>0</v>
      </c>
      <c r="BED1599" s="55">
        <f t="shared" si="317"/>
        <v>0</v>
      </c>
      <c r="BEE1599" s="55">
        <f t="shared" si="317"/>
        <v>0</v>
      </c>
      <c r="BEF1599" s="55">
        <f t="shared" si="317"/>
        <v>0</v>
      </c>
      <c r="BEG1599" s="55">
        <f t="shared" si="317"/>
        <v>0</v>
      </c>
      <c r="BEH1599" s="55">
        <f t="shared" si="317"/>
        <v>0</v>
      </c>
      <c r="BEI1599" s="55">
        <f t="shared" si="317"/>
        <v>0</v>
      </c>
      <c r="BEJ1599" s="55">
        <f t="shared" si="317"/>
        <v>0</v>
      </c>
      <c r="BEK1599" s="55">
        <f t="shared" si="317"/>
        <v>0</v>
      </c>
      <c r="BEL1599" s="55">
        <f t="shared" si="317"/>
        <v>0</v>
      </c>
      <c r="BEM1599" s="55">
        <f t="shared" si="317"/>
        <v>0</v>
      </c>
      <c r="BEN1599" s="55">
        <f t="shared" si="317"/>
        <v>0</v>
      </c>
      <c r="BEO1599" s="55">
        <f t="shared" si="317"/>
        <v>0</v>
      </c>
      <c r="BEP1599" s="55">
        <f t="shared" si="317"/>
        <v>0</v>
      </c>
      <c r="BEQ1599" s="55">
        <f t="shared" si="317"/>
        <v>0</v>
      </c>
      <c r="BER1599" s="55">
        <f t="shared" si="317"/>
        <v>0</v>
      </c>
      <c r="BES1599" s="55">
        <f t="shared" si="317"/>
        <v>0</v>
      </c>
      <c r="BET1599" s="55">
        <f t="shared" si="317"/>
        <v>0</v>
      </c>
      <c r="BEU1599" s="55">
        <f t="shared" si="317"/>
        <v>0</v>
      </c>
      <c r="BEV1599" s="55">
        <f t="shared" si="317"/>
        <v>0</v>
      </c>
      <c r="BEW1599" s="55">
        <f t="shared" si="317"/>
        <v>0</v>
      </c>
      <c r="BEX1599" s="55">
        <f t="shared" si="317"/>
        <v>0</v>
      </c>
      <c r="BEY1599" s="55">
        <f t="shared" si="317"/>
        <v>0</v>
      </c>
      <c r="BEZ1599" s="55">
        <f t="shared" si="317"/>
        <v>0</v>
      </c>
      <c r="BFA1599" s="55">
        <f t="shared" si="317"/>
        <v>0</v>
      </c>
      <c r="BFB1599" s="55">
        <f t="shared" si="317"/>
        <v>0</v>
      </c>
      <c r="BFC1599" s="55">
        <f t="shared" si="317"/>
        <v>0</v>
      </c>
      <c r="BFD1599" s="55">
        <f t="shared" si="317"/>
        <v>0</v>
      </c>
      <c r="BFE1599" s="55">
        <f t="shared" si="317"/>
        <v>0</v>
      </c>
      <c r="BFF1599" s="55">
        <f t="shared" si="317"/>
        <v>0</v>
      </c>
      <c r="BFG1599" s="55">
        <f t="shared" si="317"/>
        <v>0</v>
      </c>
      <c r="BFH1599" s="55">
        <f t="shared" si="317"/>
        <v>0</v>
      </c>
      <c r="BFI1599" s="55">
        <f t="shared" si="317"/>
        <v>0</v>
      </c>
      <c r="BFJ1599" s="55">
        <f t="shared" si="317"/>
        <v>0</v>
      </c>
      <c r="BFK1599" s="55">
        <f t="shared" si="317"/>
        <v>0</v>
      </c>
      <c r="BFL1599" s="55">
        <f t="shared" si="317"/>
        <v>0</v>
      </c>
      <c r="BFM1599" s="55">
        <f t="shared" si="317"/>
        <v>0</v>
      </c>
      <c r="BFN1599" s="55">
        <f t="shared" si="317"/>
        <v>0</v>
      </c>
      <c r="BFO1599" s="55">
        <f t="shared" si="317"/>
        <v>0</v>
      </c>
      <c r="BFP1599" s="55">
        <f t="shared" si="317"/>
        <v>0</v>
      </c>
      <c r="BFQ1599" s="55">
        <f t="shared" si="317"/>
        <v>0</v>
      </c>
      <c r="BFR1599" s="55">
        <f t="shared" si="317"/>
        <v>0</v>
      </c>
      <c r="BFS1599" s="55">
        <f t="shared" si="317"/>
        <v>0</v>
      </c>
      <c r="BFT1599" s="55">
        <f t="shared" si="317"/>
        <v>0</v>
      </c>
      <c r="BFU1599" s="55">
        <f t="shared" si="317"/>
        <v>0</v>
      </c>
      <c r="BFV1599" s="55">
        <f t="shared" si="317"/>
        <v>0</v>
      </c>
      <c r="BFW1599" s="55">
        <f t="shared" si="317"/>
        <v>0</v>
      </c>
      <c r="BFX1599" s="55">
        <f t="shared" si="317"/>
        <v>0</v>
      </c>
      <c r="BFY1599" s="55">
        <f t="shared" si="317"/>
        <v>0</v>
      </c>
      <c r="BFZ1599" s="55">
        <f t="shared" si="317"/>
        <v>0</v>
      </c>
      <c r="BGA1599" s="55">
        <f t="shared" si="317"/>
        <v>0</v>
      </c>
      <c r="BGB1599" s="55">
        <f t="shared" si="317"/>
        <v>0</v>
      </c>
      <c r="BGC1599" s="55">
        <f t="shared" si="317"/>
        <v>0</v>
      </c>
      <c r="BGD1599" s="55">
        <f t="shared" si="317"/>
        <v>0</v>
      </c>
      <c r="BGE1599" s="55">
        <f t="shared" si="317"/>
        <v>0</v>
      </c>
      <c r="BGF1599" s="55">
        <f t="shared" si="317"/>
        <v>0</v>
      </c>
      <c r="BGG1599" s="55">
        <f t="shared" si="317"/>
        <v>0</v>
      </c>
      <c r="BGH1599" s="55">
        <f t="shared" si="317"/>
        <v>0</v>
      </c>
      <c r="BGI1599" s="55">
        <f t="shared" si="317"/>
        <v>0</v>
      </c>
      <c r="BGJ1599" s="55">
        <f t="shared" si="317"/>
        <v>0</v>
      </c>
      <c r="BGK1599" s="55">
        <f t="shared" si="317"/>
        <v>0</v>
      </c>
      <c r="BGL1599" s="55">
        <f t="shared" si="317"/>
        <v>0</v>
      </c>
      <c r="BGM1599" s="55">
        <f t="shared" si="317"/>
        <v>0</v>
      </c>
      <c r="BGN1599" s="55">
        <f t="shared" ref="BGN1599:BIY1599" si="318">+(BGN1619+BGN1623)*1.18*1.1</f>
        <v>0</v>
      </c>
      <c r="BGO1599" s="55">
        <f t="shared" si="318"/>
        <v>0</v>
      </c>
      <c r="BGP1599" s="55">
        <f t="shared" si="318"/>
        <v>0</v>
      </c>
      <c r="BGQ1599" s="55">
        <f t="shared" si="318"/>
        <v>0</v>
      </c>
      <c r="BGR1599" s="55">
        <f t="shared" si="318"/>
        <v>0</v>
      </c>
      <c r="BGS1599" s="55">
        <f t="shared" si="318"/>
        <v>0</v>
      </c>
      <c r="BGT1599" s="55">
        <f t="shared" si="318"/>
        <v>0</v>
      </c>
      <c r="BGU1599" s="55">
        <f t="shared" si="318"/>
        <v>0</v>
      </c>
      <c r="BGV1599" s="55">
        <f t="shared" si="318"/>
        <v>0</v>
      </c>
      <c r="BGW1599" s="55">
        <f t="shared" si="318"/>
        <v>0</v>
      </c>
      <c r="BGX1599" s="55">
        <f t="shared" si="318"/>
        <v>0</v>
      </c>
      <c r="BGY1599" s="55">
        <f t="shared" si="318"/>
        <v>0</v>
      </c>
      <c r="BGZ1599" s="55">
        <f t="shared" si="318"/>
        <v>0</v>
      </c>
      <c r="BHA1599" s="55">
        <f t="shared" si="318"/>
        <v>0</v>
      </c>
      <c r="BHB1599" s="55">
        <f t="shared" si="318"/>
        <v>0</v>
      </c>
      <c r="BHC1599" s="55">
        <f t="shared" si="318"/>
        <v>0</v>
      </c>
      <c r="BHD1599" s="55">
        <f t="shared" si="318"/>
        <v>0</v>
      </c>
      <c r="BHE1599" s="55">
        <f t="shared" si="318"/>
        <v>0</v>
      </c>
      <c r="BHF1599" s="55">
        <f t="shared" si="318"/>
        <v>0</v>
      </c>
      <c r="BHG1599" s="55">
        <f t="shared" si="318"/>
        <v>0</v>
      </c>
      <c r="BHH1599" s="55">
        <f t="shared" si="318"/>
        <v>0</v>
      </c>
      <c r="BHI1599" s="55">
        <f t="shared" si="318"/>
        <v>0</v>
      </c>
      <c r="BHJ1599" s="55">
        <f t="shared" si="318"/>
        <v>0</v>
      </c>
      <c r="BHK1599" s="55">
        <f t="shared" si="318"/>
        <v>0</v>
      </c>
      <c r="BHL1599" s="55">
        <f t="shared" si="318"/>
        <v>0</v>
      </c>
      <c r="BHM1599" s="55">
        <f t="shared" si="318"/>
        <v>0</v>
      </c>
      <c r="BHN1599" s="55">
        <f t="shared" si="318"/>
        <v>0</v>
      </c>
      <c r="BHO1599" s="55">
        <f t="shared" si="318"/>
        <v>0</v>
      </c>
      <c r="BHP1599" s="55">
        <f t="shared" si="318"/>
        <v>0</v>
      </c>
      <c r="BHQ1599" s="55">
        <f t="shared" si="318"/>
        <v>0</v>
      </c>
      <c r="BHR1599" s="55">
        <f t="shared" si="318"/>
        <v>0</v>
      </c>
      <c r="BHS1599" s="55">
        <f t="shared" si="318"/>
        <v>0</v>
      </c>
      <c r="BHT1599" s="55">
        <f t="shared" si="318"/>
        <v>0</v>
      </c>
      <c r="BHU1599" s="55">
        <f t="shared" si="318"/>
        <v>0</v>
      </c>
      <c r="BHV1599" s="55">
        <f t="shared" si="318"/>
        <v>0</v>
      </c>
      <c r="BHW1599" s="55">
        <f t="shared" si="318"/>
        <v>0</v>
      </c>
      <c r="BHX1599" s="55">
        <f t="shared" si="318"/>
        <v>0</v>
      </c>
      <c r="BHY1599" s="55">
        <f t="shared" si="318"/>
        <v>0</v>
      </c>
      <c r="BHZ1599" s="55">
        <f t="shared" si="318"/>
        <v>0</v>
      </c>
      <c r="BIA1599" s="55">
        <f t="shared" si="318"/>
        <v>0</v>
      </c>
      <c r="BIB1599" s="55">
        <f t="shared" si="318"/>
        <v>0</v>
      </c>
      <c r="BIC1599" s="55">
        <f t="shared" si="318"/>
        <v>0</v>
      </c>
      <c r="BID1599" s="55">
        <f t="shared" si="318"/>
        <v>0</v>
      </c>
      <c r="BIE1599" s="55">
        <f t="shared" si="318"/>
        <v>0</v>
      </c>
      <c r="BIF1599" s="55">
        <f t="shared" si="318"/>
        <v>0</v>
      </c>
      <c r="BIG1599" s="55">
        <f t="shared" si="318"/>
        <v>0</v>
      </c>
      <c r="BIH1599" s="55">
        <f t="shared" si="318"/>
        <v>0</v>
      </c>
      <c r="BII1599" s="55">
        <f t="shared" si="318"/>
        <v>0</v>
      </c>
      <c r="BIJ1599" s="55">
        <f t="shared" si="318"/>
        <v>0</v>
      </c>
      <c r="BIK1599" s="55">
        <f t="shared" si="318"/>
        <v>0</v>
      </c>
      <c r="BIL1599" s="55">
        <f t="shared" si="318"/>
        <v>0</v>
      </c>
      <c r="BIM1599" s="55">
        <f t="shared" si="318"/>
        <v>0</v>
      </c>
      <c r="BIN1599" s="55">
        <f t="shared" si="318"/>
        <v>0</v>
      </c>
      <c r="BIO1599" s="55">
        <f t="shared" si="318"/>
        <v>0</v>
      </c>
      <c r="BIP1599" s="55">
        <f t="shared" si="318"/>
        <v>0</v>
      </c>
      <c r="BIQ1599" s="55">
        <f t="shared" si="318"/>
        <v>0</v>
      </c>
      <c r="BIR1599" s="55">
        <f t="shared" si="318"/>
        <v>0</v>
      </c>
      <c r="BIS1599" s="55">
        <f t="shared" si="318"/>
        <v>0</v>
      </c>
      <c r="BIT1599" s="55">
        <f t="shared" si="318"/>
        <v>0</v>
      </c>
      <c r="BIU1599" s="55">
        <f t="shared" si="318"/>
        <v>0</v>
      </c>
      <c r="BIV1599" s="55">
        <f t="shared" si="318"/>
        <v>0</v>
      </c>
      <c r="BIW1599" s="55">
        <f t="shared" si="318"/>
        <v>0</v>
      </c>
      <c r="BIX1599" s="55">
        <f t="shared" si="318"/>
        <v>0</v>
      </c>
      <c r="BIY1599" s="55">
        <f t="shared" si="318"/>
        <v>0</v>
      </c>
      <c r="BIZ1599" s="55">
        <f t="shared" ref="BIZ1599:BLK1599" si="319">+(BIZ1619+BIZ1623)*1.18*1.1</f>
        <v>0</v>
      </c>
      <c r="BJA1599" s="55">
        <f t="shared" si="319"/>
        <v>0</v>
      </c>
      <c r="BJB1599" s="55">
        <f t="shared" si="319"/>
        <v>0</v>
      </c>
      <c r="BJC1599" s="55">
        <f t="shared" si="319"/>
        <v>0</v>
      </c>
      <c r="BJD1599" s="55">
        <f t="shared" si="319"/>
        <v>0</v>
      </c>
      <c r="BJE1599" s="55">
        <f t="shared" si="319"/>
        <v>0</v>
      </c>
      <c r="BJF1599" s="55">
        <f t="shared" si="319"/>
        <v>0</v>
      </c>
      <c r="BJG1599" s="55">
        <f t="shared" si="319"/>
        <v>0</v>
      </c>
      <c r="BJH1599" s="55">
        <f t="shared" si="319"/>
        <v>0</v>
      </c>
      <c r="BJI1599" s="55">
        <f t="shared" si="319"/>
        <v>0</v>
      </c>
      <c r="BJJ1599" s="55">
        <f t="shared" si="319"/>
        <v>0</v>
      </c>
      <c r="BJK1599" s="55">
        <f t="shared" si="319"/>
        <v>0</v>
      </c>
      <c r="BJL1599" s="55">
        <f t="shared" si="319"/>
        <v>0</v>
      </c>
      <c r="BJM1599" s="55">
        <f t="shared" si="319"/>
        <v>0</v>
      </c>
      <c r="BJN1599" s="55">
        <f t="shared" si="319"/>
        <v>0</v>
      </c>
      <c r="BJO1599" s="55">
        <f t="shared" si="319"/>
        <v>0</v>
      </c>
      <c r="BJP1599" s="55">
        <f t="shared" si="319"/>
        <v>0</v>
      </c>
      <c r="BJQ1599" s="55">
        <f t="shared" si="319"/>
        <v>0</v>
      </c>
      <c r="BJR1599" s="55">
        <f t="shared" si="319"/>
        <v>0</v>
      </c>
      <c r="BJS1599" s="55">
        <f t="shared" si="319"/>
        <v>0</v>
      </c>
      <c r="BJT1599" s="55">
        <f t="shared" si="319"/>
        <v>0</v>
      </c>
      <c r="BJU1599" s="55">
        <f t="shared" si="319"/>
        <v>0</v>
      </c>
      <c r="BJV1599" s="55">
        <f t="shared" si="319"/>
        <v>0</v>
      </c>
      <c r="BJW1599" s="55">
        <f t="shared" si="319"/>
        <v>0</v>
      </c>
      <c r="BJX1599" s="55">
        <f t="shared" si="319"/>
        <v>0</v>
      </c>
      <c r="BJY1599" s="55">
        <f t="shared" si="319"/>
        <v>0</v>
      </c>
      <c r="BJZ1599" s="55">
        <f t="shared" si="319"/>
        <v>0</v>
      </c>
      <c r="BKA1599" s="55">
        <f t="shared" si="319"/>
        <v>0</v>
      </c>
      <c r="BKB1599" s="55">
        <f t="shared" si="319"/>
        <v>0</v>
      </c>
      <c r="BKC1599" s="55">
        <f t="shared" si="319"/>
        <v>0</v>
      </c>
      <c r="BKD1599" s="55">
        <f t="shared" si="319"/>
        <v>0</v>
      </c>
      <c r="BKE1599" s="55">
        <f t="shared" si="319"/>
        <v>0</v>
      </c>
      <c r="BKF1599" s="55">
        <f t="shared" si="319"/>
        <v>0</v>
      </c>
      <c r="BKG1599" s="55">
        <f t="shared" si="319"/>
        <v>0</v>
      </c>
      <c r="BKH1599" s="55">
        <f t="shared" si="319"/>
        <v>0</v>
      </c>
      <c r="BKI1599" s="55">
        <f t="shared" si="319"/>
        <v>0</v>
      </c>
      <c r="BKJ1599" s="55">
        <f t="shared" si="319"/>
        <v>0</v>
      </c>
      <c r="BKK1599" s="55">
        <f t="shared" si="319"/>
        <v>0</v>
      </c>
      <c r="BKL1599" s="55">
        <f t="shared" si="319"/>
        <v>0</v>
      </c>
      <c r="BKM1599" s="55">
        <f t="shared" si="319"/>
        <v>0</v>
      </c>
      <c r="BKN1599" s="55">
        <f t="shared" si="319"/>
        <v>0</v>
      </c>
      <c r="BKO1599" s="55">
        <f t="shared" si="319"/>
        <v>0</v>
      </c>
      <c r="BKP1599" s="55">
        <f t="shared" si="319"/>
        <v>0</v>
      </c>
      <c r="BKQ1599" s="55">
        <f t="shared" si="319"/>
        <v>0</v>
      </c>
      <c r="BKR1599" s="55">
        <f t="shared" si="319"/>
        <v>0</v>
      </c>
      <c r="BKS1599" s="55">
        <f t="shared" si="319"/>
        <v>0</v>
      </c>
      <c r="BKT1599" s="55">
        <f t="shared" si="319"/>
        <v>0</v>
      </c>
      <c r="BKU1599" s="55">
        <f t="shared" si="319"/>
        <v>0</v>
      </c>
      <c r="BKV1599" s="55">
        <f t="shared" si="319"/>
        <v>0</v>
      </c>
      <c r="BKW1599" s="55">
        <f t="shared" si="319"/>
        <v>0</v>
      </c>
      <c r="BKX1599" s="55">
        <f t="shared" si="319"/>
        <v>0</v>
      </c>
      <c r="BKY1599" s="55">
        <f t="shared" si="319"/>
        <v>0</v>
      </c>
      <c r="BKZ1599" s="55">
        <f t="shared" si="319"/>
        <v>0</v>
      </c>
      <c r="BLA1599" s="55">
        <f t="shared" si="319"/>
        <v>0</v>
      </c>
      <c r="BLB1599" s="55">
        <f t="shared" si="319"/>
        <v>0</v>
      </c>
      <c r="BLC1599" s="55">
        <f t="shared" si="319"/>
        <v>0</v>
      </c>
      <c r="BLD1599" s="55">
        <f t="shared" si="319"/>
        <v>0</v>
      </c>
      <c r="BLE1599" s="55">
        <f t="shared" si="319"/>
        <v>0</v>
      </c>
      <c r="BLF1599" s="55">
        <f t="shared" si="319"/>
        <v>0</v>
      </c>
      <c r="BLG1599" s="55">
        <f t="shared" si="319"/>
        <v>0</v>
      </c>
      <c r="BLH1599" s="55">
        <f t="shared" si="319"/>
        <v>0</v>
      </c>
      <c r="BLI1599" s="55">
        <f t="shared" si="319"/>
        <v>0</v>
      </c>
      <c r="BLJ1599" s="55">
        <f t="shared" si="319"/>
        <v>0</v>
      </c>
      <c r="BLK1599" s="55">
        <f t="shared" si="319"/>
        <v>0</v>
      </c>
      <c r="BLL1599" s="55">
        <f t="shared" ref="BLL1599:BNW1599" si="320">+(BLL1619+BLL1623)*1.18*1.1</f>
        <v>0</v>
      </c>
      <c r="BLM1599" s="55">
        <f t="shared" si="320"/>
        <v>0</v>
      </c>
      <c r="BLN1599" s="55">
        <f t="shared" si="320"/>
        <v>0</v>
      </c>
      <c r="BLO1599" s="55">
        <f t="shared" si="320"/>
        <v>0</v>
      </c>
      <c r="BLP1599" s="55">
        <f t="shared" si="320"/>
        <v>0</v>
      </c>
      <c r="BLQ1599" s="55">
        <f t="shared" si="320"/>
        <v>0</v>
      </c>
      <c r="BLR1599" s="55">
        <f t="shared" si="320"/>
        <v>0</v>
      </c>
      <c r="BLS1599" s="55">
        <f t="shared" si="320"/>
        <v>0</v>
      </c>
      <c r="BLT1599" s="55">
        <f t="shared" si="320"/>
        <v>0</v>
      </c>
      <c r="BLU1599" s="55">
        <f t="shared" si="320"/>
        <v>0</v>
      </c>
      <c r="BLV1599" s="55">
        <f t="shared" si="320"/>
        <v>0</v>
      </c>
      <c r="BLW1599" s="55">
        <f t="shared" si="320"/>
        <v>0</v>
      </c>
      <c r="BLX1599" s="55">
        <f t="shared" si="320"/>
        <v>0</v>
      </c>
      <c r="BLY1599" s="55">
        <f t="shared" si="320"/>
        <v>0</v>
      </c>
      <c r="BLZ1599" s="55">
        <f t="shared" si="320"/>
        <v>0</v>
      </c>
      <c r="BMA1599" s="55">
        <f t="shared" si="320"/>
        <v>0</v>
      </c>
      <c r="BMB1599" s="55">
        <f t="shared" si="320"/>
        <v>0</v>
      </c>
      <c r="BMC1599" s="55">
        <f t="shared" si="320"/>
        <v>0</v>
      </c>
      <c r="BMD1599" s="55">
        <f t="shared" si="320"/>
        <v>0</v>
      </c>
      <c r="BME1599" s="55">
        <f t="shared" si="320"/>
        <v>0</v>
      </c>
      <c r="BMF1599" s="55">
        <f t="shared" si="320"/>
        <v>0</v>
      </c>
      <c r="BMG1599" s="55">
        <f t="shared" si="320"/>
        <v>0</v>
      </c>
      <c r="BMH1599" s="55">
        <f t="shared" si="320"/>
        <v>0</v>
      </c>
      <c r="BMI1599" s="55">
        <f t="shared" si="320"/>
        <v>0</v>
      </c>
      <c r="BMJ1599" s="55">
        <f t="shared" si="320"/>
        <v>0</v>
      </c>
      <c r="BMK1599" s="55">
        <f t="shared" si="320"/>
        <v>0</v>
      </c>
      <c r="BML1599" s="55">
        <f t="shared" si="320"/>
        <v>0</v>
      </c>
      <c r="BMM1599" s="55">
        <f t="shared" si="320"/>
        <v>0</v>
      </c>
      <c r="BMN1599" s="55">
        <f t="shared" si="320"/>
        <v>0</v>
      </c>
      <c r="BMO1599" s="55">
        <f t="shared" si="320"/>
        <v>0</v>
      </c>
      <c r="BMP1599" s="55">
        <f t="shared" si="320"/>
        <v>0</v>
      </c>
      <c r="BMQ1599" s="55">
        <f t="shared" si="320"/>
        <v>0</v>
      </c>
      <c r="BMR1599" s="55">
        <f t="shared" si="320"/>
        <v>0</v>
      </c>
      <c r="BMS1599" s="55">
        <f t="shared" si="320"/>
        <v>0</v>
      </c>
      <c r="BMT1599" s="55">
        <f t="shared" si="320"/>
        <v>0</v>
      </c>
      <c r="BMU1599" s="55">
        <f t="shared" si="320"/>
        <v>0</v>
      </c>
      <c r="BMV1599" s="55">
        <f t="shared" si="320"/>
        <v>0</v>
      </c>
      <c r="BMW1599" s="55">
        <f t="shared" si="320"/>
        <v>0</v>
      </c>
      <c r="BMX1599" s="55">
        <f t="shared" si="320"/>
        <v>0</v>
      </c>
      <c r="BMY1599" s="55">
        <f t="shared" si="320"/>
        <v>0</v>
      </c>
      <c r="BMZ1599" s="55">
        <f t="shared" si="320"/>
        <v>0</v>
      </c>
      <c r="BNA1599" s="55">
        <f t="shared" si="320"/>
        <v>0</v>
      </c>
      <c r="BNB1599" s="55">
        <f t="shared" si="320"/>
        <v>0</v>
      </c>
      <c r="BNC1599" s="55">
        <f t="shared" si="320"/>
        <v>0</v>
      </c>
      <c r="BND1599" s="55">
        <f t="shared" si="320"/>
        <v>0</v>
      </c>
      <c r="BNE1599" s="55">
        <f t="shared" si="320"/>
        <v>0</v>
      </c>
      <c r="BNF1599" s="55">
        <f t="shared" si="320"/>
        <v>0</v>
      </c>
      <c r="BNG1599" s="55">
        <f t="shared" si="320"/>
        <v>0</v>
      </c>
      <c r="BNH1599" s="55">
        <f t="shared" si="320"/>
        <v>0</v>
      </c>
      <c r="BNI1599" s="55">
        <f t="shared" si="320"/>
        <v>0</v>
      </c>
      <c r="BNJ1599" s="55">
        <f t="shared" si="320"/>
        <v>0</v>
      </c>
      <c r="BNK1599" s="55">
        <f t="shared" si="320"/>
        <v>0</v>
      </c>
      <c r="BNL1599" s="55">
        <f t="shared" si="320"/>
        <v>0</v>
      </c>
      <c r="BNM1599" s="55">
        <f t="shared" si="320"/>
        <v>0</v>
      </c>
      <c r="BNN1599" s="55">
        <f t="shared" si="320"/>
        <v>0</v>
      </c>
      <c r="BNO1599" s="55">
        <f t="shared" si="320"/>
        <v>0</v>
      </c>
      <c r="BNP1599" s="55">
        <f t="shared" si="320"/>
        <v>0</v>
      </c>
      <c r="BNQ1599" s="55">
        <f t="shared" si="320"/>
        <v>0</v>
      </c>
      <c r="BNR1599" s="55">
        <f t="shared" si="320"/>
        <v>0</v>
      </c>
      <c r="BNS1599" s="55">
        <f t="shared" si="320"/>
        <v>0</v>
      </c>
      <c r="BNT1599" s="55">
        <f t="shared" si="320"/>
        <v>0</v>
      </c>
      <c r="BNU1599" s="55">
        <f t="shared" si="320"/>
        <v>0</v>
      </c>
      <c r="BNV1599" s="55">
        <f t="shared" si="320"/>
        <v>0</v>
      </c>
      <c r="BNW1599" s="55">
        <f t="shared" si="320"/>
        <v>0</v>
      </c>
      <c r="BNX1599" s="55">
        <f t="shared" ref="BNX1599:BQI1599" si="321">+(BNX1619+BNX1623)*1.18*1.1</f>
        <v>0</v>
      </c>
      <c r="BNY1599" s="55">
        <f t="shared" si="321"/>
        <v>0</v>
      </c>
      <c r="BNZ1599" s="55">
        <f t="shared" si="321"/>
        <v>0</v>
      </c>
      <c r="BOA1599" s="55">
        <f t="shared" si="321"/>
        <v>0</v>
      </c>
      <c r="BOB1599" s="55">
        <f t="shared" si="321"/>
        <v>0</v>
      </c>
      <c r="BOC1599" s="55">
        <f t="shared" si="321"/>
        <v>0</v>
      </c>
      <c r="BOD1599" s="55">
        <f t="shared" si="321"/>
        <v>0</v>
      </c>
      <c r="BOE1599" s="55">
        <f t="shared" si="321"/>
        <v>0</v>
      </c>
      <c r="BOF1599" s="55">
        <f t="shared" si="321"/>
        <v>0</v>
      </c>
      <c r="BOG1599" s="55">
        <f t="shared" si="321"/>
        <v>0</v>
      </c>
      <c r="BOH1599" s="55">
        <f t="shared" si="321"/>
        <v>0</v>
      </c>
      <c r="BOI1599" s="55">
        <f t="shared" si="321"/>
        <v>0</v>
      </c>
      <c r="BOJ1599" s="55">
        <f t="shared" si="321"/>
        <v>0</v>
      </c>
      <c r="BOK1599" s="55">
        <f t="shared" si="321"/>
        <v>0</v>
      </c>
      <c r="BOL1599" s="55">
        <f t="shared" si="321"/>
        <v>0</v>
      </c>
      <c r="BOM1599" s="55">
        <f t="shared" si="321"/>
        <v>0</v>
      </c>
      <c r="BON1599" s="55">
        <f t="shared" si="321"/>
        <v>0</v>
      </c>
      <c r="BOO1599" s="55">
        <f t="shared" si="321"/>
        <v>0</v>
      </c>
      <c r="BOP1599" s="55">
        <f t="shared" si="321"/>
        <v>0</v>
      </c>
      <c r="BOQ1599" s="55">
        <f t="shared" si="321"/>
        <v>0</v>
      </c>
      <c r="BOR1599" s="55">
        <f t="shared" si="321"/>
        <v>0</v>
      </c>
      <c r="BOS1599" s="55">
        <f t="shared" si="321"/>
        <v>0</v>
      </c>
      <c r="BOT1599" s="55">
        <f t="shared" si="321"/>
        <v>0</v>
      </c>
      <c r="BOU1599" s="55">
        <f t="shared" si="321"/>
        <v>0</v>
      </c>
      <c r="BOV1599" s="55">
        <f t="shared" si="321"/>
        <v>0</v>
      </c>
      <c r="BOW1599" s="55">
        <f t="shared" si="321"/>
        <v>0</v>
      </c>
      <c r="BOX1599" s="55">
        <f t="shared" si="321"/>
        <v>0</v>
      </c>
      <c r="BOY1599" s="55">
        <f t="shared" si="321"/>
        <v>0</v>
      </c>
      <c r="BOZ1599" s="55">
        <f t="shared" si="321"/>
        <v>0</v>
      </c>
      <c r="BPA1599" s="55">
        <f t="shared" si="321"/>
        <v>0</v>
      </c>
      <c r="BPB1599" s="55">
        <f t="shared" si="321"/>
        <v>0</v>
      </c>
      <c r="BPC1599" s="55">
        <f t="shared" si="321"/>
        <v>0</v>
      </c>
      <c r="BPD1599" s="55">
        <f t="shared" si="321"/>
        <v>0</v>
      </c>
      <c r="BPE1599" s="55">
        <f t="shared" si="321"/>
        <v>0</v>
      </c>
      <c r="BPF1599" s="55">
        <f t="shared" si="321"/>
        <v>0</v>
      </c>
      <c r="BPG1599" s="55">
        <f t="shared" si="321"/>
        <v>0</v>
      </c>
      <c r="BPH1599" s="55">
        <f t="shared" si="321"/>
        <v>0</v>
      </c>
      <c r="BPI1599" s="55">
        <f t="shared" si="321"/>
        <v>0</v>
      </c>
      <c r="BPJ1599" s="55">
        <f t="shared" si="321"/>
        <v>0</v>
      </c>
      <c r="BPK1599" s="55">
        <f t="shared" si="321"/>
        <v>0</v>
      </c>
      <c r="BPL1599" s="55">
        <f t="shared" si="321"/>
        <v>0</v>
      </c>
      <c r="BPM1599" s="55">
        <f t="shared" si="321"/>
        <v>0</v>
      </c>
      <c r="BPN1599" s="55">
        <f t="shared" si="321"/>
        <v>0</v>
      </c>
      <c r="BPO1599" s="55">
        <f t="shared" si="321"/>
        <v>0</v>
      </c>
      <c r="BPP1599" s="55">
        <f t="shared" si="321"/>
        <v>0</v>
      </c>
      <c r="BPQ1599" s="55">
        <f t="shared" si="321"/>
        <v>0</v>
      </c>
      <c r="BPR1599" s="55">
        <f t="shared" si="321"/>
        <v>0</v>
      </c>
      <c r="BPS1599" s="55">
        <f t="shared" si="321"/>
        <v>0</v>
      </c>
      <c r="BPT1599" s="55">
        <f t="shared" si="321"/>
        <v>0</v>
      </c>
      <c r="BPU1599" s="55">
        <f t="shared" si="321"/>
        <v>0</v>
      </c>
      <c r="BPV1599" s="55">
        <f t="shared" si="321"/>
        <v>0</v>
      </c>
      <c r="BPW1599" s="55">
        <f t="shared" si="321"/>
        <v>0</v>
      </c>
      <c r="BPX1599" s="55">
        <f t="shared" si="321"/>
        <v>0</v>
      </c>
      <c r="BPY1599" s="55">
        <f t="shared" si="321"/>
        <v>0</v>
      </c>
      <c r="BPZ1599" s="55">
        <f t="shared" si="321"/>
        <v>0</v>
      </c>
      <c r="BQA1599" s="55">
        <f t="shared" si="321"/>
        <v>0</v>
      </c>
      <c r="BQB1599" s="55">
        <f t="shared" si="321"/>
        <v>0</v>
      </c>
      <c r="BQC1599" s="55">
        <f t="shared" si="321"/>
        <v>0</v>
      </c>
      <c r="BQD1599" s="55">
        <f t="shared" si="321"/>
        <v>0</v>
      </c>
      <c r="BQE1599" s="55">
        <f t="shared" si="321"/>
        <v>0</v>
      </c>
      <c r="BQF1599" s="55">
        <f t="shared" si="321"/>
        <v>0</v>
      </c>
      <c r="BQG1599" s="55">
        <f t="shared" si="321"/>
        <v>0</v>
      </c>
      <c r="BQH1599" s="55">
        <f t="shared" si="321"/>
        <v>0</v>
      </c>
      <c r="BQI1599" s="55">
        <f t="shared" si="321"/>
        <v>0</v>
      </c>
      <c r="BQJ1599" s="55">
        <f t="shared" ref="BQJ1599:BSU1599" si="322">+(BQJ1619+BQJ1623)*1.18*1.1</f>
        <v>0</v>
      </c>
      <c r="BQK1599" s="55">
        <f t="shared" si="322"/>
        <v>0</v>
      </c>
      <c r="BQL1599" s="55">
        <f t="shared" si="322"/>
        <v>0</v>
      </c>
      <c r="BQM1599" s="55">
        <f t="shared" si="322"/>
        <v>0</v>
      </c>
      <c r="BQN1599" s="55">
        <f t="shared" si="322"/>
        <v>0</v>
      </c>
      <c r="BQO1599" s="55">
        <f t="shared" si="322"/>
        <v>0</v>
      </c>
      <c r="BQP1599" s="55">
        <f t="shared" si="322"/>
        <v>0</v>
      </c>
      <c r="BQQ1599" s="55">
        <f t="shared" si="322"/>
        <v>0</v>
      </c>
      <c r="BQR1599" s="55">
        <f t="shared" si="322"/>
        <v>0</v>
      </c>
      <c r="BQS1599" s="55">
        <f t="shared" si="322"/>
        <v>0</v>
      </c>
      <c r="BQT1599" s="55">
        <f t="shared" si="322"/>
        <v>0</v>
      </c>
      <c r="BQU1599" s="55">
        <f t="shared" si="322"/>
        <v>0</v>
      </c>
      <c r="BQV1599" s="55">
        <f t="shared" si="322"/>
        <v>0</v>
      </c>
      <c r="BQW1599" s="55">
        <f t="shared" si="322"/>
        <v>0</v>
      </c>
      <c r="BQX1599" s="55">
        <f t="shared" si="322"/>
        <v>0</v>
      </c>
      <c r="BQY1599" s="55">
        <f t="shared" si="322"/>
        <v>0</v>
      </c>
      <c r="BQZ1599" s="55">
        <f t="shared" si="322"/>
        <v>0</v>
      </c>
      <c r="BRA1599" s="55">
        <f t="shared" si="322"/>
        <v>0</v>
      </c>
      <c r="BRB1599" s="55">
        <f t="shared" si="322"/>
        <v>0</v>
      </c>
      <c r="BRC1599" s="55">
        <f t="shared" si="322"/>
        <v>0</v>
      </c>
      <c r="BRD1599" s="55">
        <f t="shared" si="322"/>
        <v>0</v>
      </c>
      <c r="BRE1599" s="55">
        <f t="shared" si="322"/>
        <v>0</v>
      </c>
      <c r="BRF1599" s="55">
        <f t="shared" si="322"/>
        <v>0</v>
      </c>
      <c r="BRG1599" s="55">
        <f t="shared" si="322"/>
        <v>0</v>
      </c>
      <c r="BRH1599" s="55">
        <f t="shared" si="322"/>
        <v>0</v>
      </c>
      <c r="BRI1599" s="55">
        <f t="shared" si="322"/>
        <v>0</v>
      </c>
      <c r="BRJ1599" s="55">
        <f t="shared" si="322"/>
        <v>0</v>
      </c>
      <c r="BRK1599" s="55">
        <f t="shared" si="322"/>
        <v>0</v>
      </c>
      <c r="BRL1599" s="55">
        <f t="shared" si="322"/>
        <v>0</v>
      </c>
      <c r="BRM1599" s="55">
        <f t="shared" si="322"/>
        <v>0</v>
      </c>
      <c r="BRN1599" s="55">
        <f t="shared" si="322"/>
        <v>0</v>
      </c>
      <c r="BRO1599" s="55">
        <f t="shared" si="322"/>
        <v>0</v>
      </c>
      <c r="BRP1599" s="55">
        <f t="shared" si="322"/>
        <v>0</v>
      </c>
      <c r="BRQ1599" s="55">
        <f t="shared" si="322"/>
        <v>0</v>
      </c>
      <c r="BRR1599" s="55">
        <f t="shared" si="322"/>
        <v>0</v>
      </c>
      <c r="BRS1599" s="55">
        <f t="shared" si="322"/>
        <v>0</v>
      </c>
      <c r="BRT1599" s="55">
        <f t="shared" si="322"/>
        <v>0</v>
      </c>
      <c r="BRU1599" s="55">
        <f t="shared" si="322"/>
        <v>0</v>
      </c>
      <c r="BRV1599" s="55">
        <f t="shared" si="322"/>
        <v>0</v>
      </c>
      <c r="BRW1599" s="55">
        <f t="shared" si="322"/>
        <v>0</v>
      </c>
      <c r="BRX1599" s="55">
        <f t="shared" si="322"/>
        <v>0</v>
      </c>
      <c r="BRY1599" s="55">
        <f t="shared" si="322"/>
        <v>0</v>
      </c>
      <c r="BRZ1599" s="55">
        <f t="shared" si="322"/>
        <v>0</v>
      </c>
      <c r="BSA1599" s="55">
        <f t="shared" si="322"/>
        <v>0</v>
      </c>
      <c r="BSB1599" s="55">
        <f t="shared" si="322"/>
        <v>0</v>
      </c>
      <c r="BSC1599" s="55">
        <f t="shared" si="322"/>
        <v>0</v>
      </c>
      <c r="BSD1599" s="55">
        <f t="shared" si="322"/>
        <v>0</v>
      </c>
      <c r="BSE1599" s="55">
        <f t="shared" si="322"/>
        <v>0</v>
      </c>
      <c r="BSF1599" s="55">
        <f t="shared" si="322"/>
        <v>0</v>
      </c>
      <c r="BSG1599" s="55">
        <f t="shared" si="322"/>
        <v>0</v>
      </c>
      <c r="BSH1599" s="55">
        <f t="shared" si="322"/>
        <v>0</v>
      </c>
      <c r="BSI1599" s="55">
        <f t="shared" si="322"/>
        <v>0</v>
      </c>
      <c r="BSJ1599" s="55">
        <f t="shared" si="322"/>
        <v>0</v>
      </c>
      <c r="BSK1599" s="55">
        <f t="shared" si="322"/>
        <v>0</v>
      </c>
      <c r="BSL1599" s="55">
        <f t="shared" si="322"/>
        <v>0</v>
      </c>
      <c r="BSM1599" s="55">
        <f t="shared" si="322"/>
        <v>0</v>
      </c>
      <c r="BSN1599" s="55">
        <f t="shared" si="322"/>
        <v>0</v>
      </c>
      <c r="BSO1599" s="55">
        <f t="shared" si="322"/>
        <v>0</v>
      </c>
      <c r="BSP1599" s="55">
        <f t="shared" si="322"/>
        <v>0</v>
      </c>
      <c r="BSQ1599" s="55">
        <f t="shared" si="322"/>
        <v>0</v>
      </c>
      <c r="BSR1599" s="55">
        <f t="shared" si="322"/>
        <v>0</v>
      </c>
      <c r="BSS1599" s="55">
        <f t="shared" si="322"/>
        <v>0</v>
      </c>
      <c r="BST1599" s="55">
        <f t="shared" si="322"/>
        <v>0</v>
      </c>
      <c r="BSU1599" s="55">
        <f t="shared" si="322"/>
        <v>0</v>
      </c>
      <c r="BSV1599" s="55">
        <f t="shared" ref="BSV1599:BVG1599" si="323">+(BSV1619+BSV1623)*1.18*1.1</f>
        <v>0</v>
      </c>
      <c r="BSW1599" s="55">
        <f t="shared" si="323"/>
        <v>0</v>
      </c>
      <c r="BSX1599" s="55">
        <f t="shared" si="323"/>
        <v>0</v>
      </c>
      <c r="BSY1599" s="55">
        <f t="shared" si="323"/>
        <v>0</v>
      </c>
      <c r="BSZ1599" s="55">
        <f t="shared" si="323"/>
        <v>0</v>
      </c>
      <c r="BTA1599" s="55">
        <f t="shared" si="323"/>
        <v>0</v>
      </c>
      <c r="BTB1599" s="55">
        <f t="shared" si="323"/>
        <v>0</v>
      </c>
      <c r="BTC1599" s="55">
        <f t="shared" si="323"/>
        <v>0</v>
      </c>
      <c r="BTD1599" s="55">
        <f t="shared" si="323"/>
        <v>0</v>
      </c>
      <c r="BTE1599" s="55">
        <f t="shared" si="323"/>
        <v>0</v>
      </c>
      <c r="BTF1599" s="55">
        <f t="shared" si="323"/>
        <v>0</v>
      </c>
      <c r="BTG1599" s="55">
        <f t="shared" si="323"/>
        <v>0</v>
      </c>
      <c r="BTH1599" s="55">
        <f t="shared" si="323"/>
        <v>0</v>
      </c>
      <c r="BTI1599" s="55">
        <f t="shared" si="323"/>
        <v>0</v>
      </c>
      <c r="BTJ1599" s="55">
        <f t="shared" si="323"/>
        <v>0</v>
      </c>
      <c r="BTK1599" s="55">
        <f t="shared" si="323"/>
        <v>0</v>
      </c>
      <c r="BTL1599" s="55">
        <f t="shared" si="323"/>
        <v>0</v>
      </c>
      <c r="BTM1599" s="55">
        <f t="shared" si="323"/>
        <v>0</v>
      </c>
      <c r="BTN1599" s="55">
        <f t="shared" si="323"/>
        <v>0</v>
      </c>
      <c r="BTO1599" s="55">
        <f t="shared" si="323"/>
        <v>0</v>
      </c>
      <c r="BTP1599" s="55">
        <f t="shared" si="323"/>
        <v>0</v>
      </c>
      <c r="BTQ1599" s="55">
        <f t="shared" si="323"/>
        <v>0</v>
      </c>
      <c r="BTR1599" s="55">
        <f t="shared" si="323"/>
        <v>0</v>
      </c>
      <c r="BTS1599" s="55">
        <f t="shared" si="323"/>
        <v>0</v>
      </c>
      <c r="BTT1599" s="55">
        <f t="shared" si="323"/>
        <v>0</v>
      </c>
      <c r="BTU1599" s="55">
        <f t="shared" si="323"/>
        <v>0</v>
      </c>
      <c r="BTV1599" s="55">
        <f t="shared" si="323"/>
        <v>0</v>
      </c>
      <c r="BTW1599" s="55">
        <f t="shared" si="323"/>
        <v>0</v>
      </c>
      <c r="BTX1599" s="55">
        <f t="shared" si="323"/>
        <v>0</v>
      </c>
      <c r="BTY1599" s="55">
        <f t="shared" si="323"/>
        <v>0</v>
      </c>
      <c r="BTZ1599" s="55">
        <f t="shared" si="323"/>
        <v>0</v>
      </c>
      <c r="BUA1599" s="55">
        <f t="shared" si="323"/>
        <v>0</v>
      </c>
      <c r="BUB1599" s="55">
        <f t="shared" si="323"/>
        <v>0</v>
      </c>
      <c r="BUC1599" s="55">
        <f t="shared" si="323"/>
        <v>0</v>
      </c>
      <c r="BUD1599" s="55">
        <f t="shared" si="323"/>
        <v>0</v>
      </c>
      <c r="BUE1599" s="55">
        <f t="shared" si="323"/>
        <v>0</v>
      </c>
      <c r="BUF1599" s="55">
        <f t="shared" si="323"/>
        <v>0</v>
      </c>
      <c r="BUG1599" s="55">
        <f t="shared" si="323"/>
        <v>0</v>
      </c>
      <c r="BUH1599" s="55">
        <f t="shared" si="323"/>
        <v>0</v>
      </c>
      <c r="BUI1599" s="55">
        <f t="shared" si="323"/>
        <v>0</v>
      </c>
      <c r="BUJ1599" s="55">
        <f t="shared" si="323"/>
        <v>0</v>
      </c>
      <c r="BUK1599" s="55">
        <f t="shared" si="323"/>
        <v>0</v>
      </c>
      <c r="BUL1599" s="55">
        <f t="shared" si="323"/>
        <v>0</v>
      </c>
      <c r="BUM1599" s="55">
        <f t="shared" si="323"/>
        <v>0</v>
      </c>
      <c r="BUN1599" s="55">
        <f t="shared" si="323"/>
        <v>0</v>
      </c>
      <c r="BUO1599" s="55">
        <f t="shared" si="323"/>
        <v>0</v>
      </c>
      <c r="BUP1599" s="55">
        <f t="shared" si="323"/>
        <v>0</v>
      </c>
      <c r="BUQ1599" s="55">
        <f t="shared" si="323"/>
        <v>0</v>
      </c>
      <c r="BUR1599" s="55">
        <f t="shared" si="323"/>
        <v>0</v>
      </c>
      <c r="BUS1599" s="55">
        <f t="shared" si="323"/>
        <v>0</v>
      </c>
      <c r="BUT1599" s="55">
        <f t="shared" si="323"/>
        <v>0</v>
      </c>
      <c r="BUU1599" s="55">
        <f t="shared" si="323"/>
        <v>0</v>
      </c>
      <c r="BUV1599" s="55">
        <f t="shared" si="323"/>
        <v>0</v>
      </c>
      <c r="BUW1599" s="55">
        <f t="shared" si="323"/>
        <v>0</v>
      </c>
      <c r="BUX1599" s="55">
        <f t="shared" si="323"/>
        <v>0</v>
      </c>
      <c r="BUY1599" s="55">
        <f t="shared" si="323"/>
        <v>0</v>
      </c>
      <c r="BUZ1599" s="55">
        <f t="shared" si="323"/>
        <v>0</v>
      </c>
      <c r="BVA1599" s="55">
        <f t="shared" si="323"/>
        <v>0</v>
      </c>
      <c r="BVB1599" s="55">
        <f t="shared" si="323"/>
        <v>0</v>
      </c>
      <c r="BVC1599" s="55">
        <f t="shared" si="323"/>
        <v>0</v>
      </c>
      <c r="BVD1599" s="55">
        <f t="shared" si="323"/>
        <v>0</v>
      </c>
      <c r="BVE1599" s="55">
        <f t="shared" si="323"/>
        <v>0</v>
      </c>
      <c r="BVF1599" s="55">
        <f t="shared" si="323"/>
        <v>0</v>
      </c>
      <c r="BVG1599" s="55">
        <f t="shared" si="323"/>
        <v>0</v>
      </c>
      <c r="BVH1599" s="55">
        <f t="shared" ref="BVH1599:BXS1599" si="324">+(BVH1619+BVH1623)*1.18*1.1</f>
        <v>0</v>
      </c>
      <c r="BVI1599" s="55">
        <f t="shared" si="324"/>
        <v>0</v>
      </c>
      <c r="BVJ1599" s="55">
        <f t="shared" si="324"/>
        <v>0</v>
      </c>
      <c r="BVK1599" s="55">
        <f t="shared" si="324"/>
        <v>0</v>
      </c>
      <c r="BVL1599" s="55">
        <f t="shared" si="324"/>
        <v>0</v>
      </c>
      <c r="BVM1599" s="55">
        <f t="shared" si="324"/>
        <v>0</v>
      </c>
      <c r="BVN1599" s="55">
        <f t="shared" si="324"/>
        <v>0</v>
      </c>
      <c r="BVO1599" s="55">
        <f t="shared" si="324"/>
        <v>0</v>
      </c>
      <c r="BVP1599" s="55">
        <f t="shared" si="324"/>
        <v>0</v>
      </c>
      <c r="BVQ1599" s="55">
        <f t="shared" si="324"/>
        <v>0</v>
      </c>
      <c r="BVR1599" s="55">
        <f t="shared" si="324"/>
        <v>0</v>
      </c>
      <c r="BVS1599" s="55">
        <f t="shared" si="324"/>
        <v>0</v>
      </c>
      <c r="BVT1599" s="55">
        <f t="shared" si="324"/>
        <v>0</v>
      </c>
      <c r="BVU1599" s="55">
        <f t="shared" si="324"/>
        <v>0</v>
      </c>
      <c r="BVV1599" s="55">
        <f t="shared" si="324"/>
        <v>0</v>
      </c>
      <c r="BVW1599" s="55">
        <f t="shared" si="324"/>
        <v>0</v>
      </c>
      <c r="BVX1599" s="55">
        <f t="shared" si="324"/>
        <v>0</v>
      </c>
      <c r="BVY1599" s="55">
        <f t="shared" si="324"/>
        <v>0</v>
      </c>
      <c r="BVZ1599" s="55">
        <f t="shared" si="324"/>
        <v>0</v>
      </c>
      <c r="BWA1599" s="55">
        <f t="shared" si="324"/>
        <v>0</v>
      </c>
      <c r="BWB1599" s="55">
        <f t="shared" si="324"/>
        <v>0</v>
      </c>
      <c r="BWC1599" s="55">
        <f t="shared" si="324"/>
        <v>0</v>
      </c>
      <c r="BWD1599" s="55">
        <f t="shared" si="324"/>
        <v>0</v>
      </c>
      <c r="BWE1599" s="55">
        <f t="shared" si="324"/>
        <v>0</v>
      </c>
      <c r="BWF1599" s="55">
        <f t="shared" si="324"/>
        <v>0</v>
      </c>
      <c r="BWG1599" s="55">
        <f t="shared" si="324"/>
        <v>0</v>
      </c>
      <c r="BWH1599" s="55">
        <f t="shared" si="324"/>
        <v>0</v>
      </c>
      <c r="BWI1599" s="55">
        <f t="shared" si="324"/>
        <v>0</v>
      </c>
      <c r="BWJ1599" s="55">
        <f t="shared" si="324"/>
        <v>0</v>
      </c>
      <c r="BWK1599" s="55">
        <f t="shared" si="324"/>
        <v>0</v>
      </c>
      <c r="BWL1599" s="55">
        <f t="shared" si="324"/>
        <v>0</v>
      </c>
      <c r="BWM1599" s="55">
        <f t="shared" si="324"/>
        <v>0</v>
      </c>
      <c r="BWN1599" s="55">
        <f t="shared" si="324"/>
        <v>0</v>
      </c>
      <c r="BWO1599" s="55">
        <f t="shared" si="324"/>
        <v>0</v>
      </c>
      <c r="BWP1599" s="55">
        <f t="shared" si="324"/>
        <v>0</v>
      </c>
      <c r="BWQ1599" s="55">
        <f t="shared" si="324"/>
        <v>0</v>
      </c>
      <c r="BWR1599" s="55">
        <f t="shared" si="324"/>
        <v>0</v>
      </c>
      <c r="BWS1599" s="55">
        <f t="shared" si="324"/>
        <v>0</v>
      </c>
      <c r="BWT1599" s="55">
        <f t="shared" si="324"/>
        <v>0</v>
      </c>
      <c r="BWU1599" s="55">
        <f t="shared" si="324"/>
        <v>0</v>
      </c>
      <c r="BWV1599" s="55">
        <f t="shared" si="324"/>
        <v>0</v>
      </c>
      <c r="BWW1599" s="55">
        <f t="shared" si="324"/>
        <v>0</v>
      </c>
      <c r="BWX1599" s="55">
        <f t="shared" si="324"/>
        <v>0</v>
      </c>
      <c r="BWY1599" s="55">
        <f t="shared" si="324"/>
        <v>0</v>
      </c>
      <c r="BWZ1599" s="55">
        <f t="shared" si="324"/>
        <v>0</v>
      </c>
      <c r="BXA1599" s="55">
        <f t="shared" si="324"/>
        <v>0</v>
      </c>
      <c r="BXB1599" s="55">
        <f t="shared" si="324"/>
        <v>0</v>
      </c>
      <c r="BXC1599" s="55">
        <f t="shared" si="324"/>
        <v>0</v>
      </c>
      <c r="BXD1599" s="55">
        <f t="shared" si="324"/>
        <v>0</v>
      </c>
      <c r="BXE1599" s="55">
        <f t="shared" si="324"/>
        <v>0</v>
      </c>
      <c r="BXF1599" s="55">
        <f t="shared" si="324"/>
        <v>0</v>
      </c>
      <c r="BXG1599" s="55">
        <f t="shared" si="324"/>
        <v>0</v>
      </c>
      <c r="BXH1599" s="55">
        <f t="shared" si="324"/>
        <v>0</v>
      </c>
      <c r="BXI1599" s="55">
        <f t="shared" si="324"/>
        <v>0</v>
      </c>
      <c r="BXJ1599" s="55">
        <f t="shared" si="324"/>
        <v>0</v>
      </c>
      <c r="BXK1599" s="55">
        <f t="shared" si="324"/>
        <v>0</v>
      </c>
      <c r="BXL1599" s="55">
        <f t="shared" si="324"/>
        <v>0</v>
      </c>
      <c r="BXM1599" s="55">
        <f t="shared" si="324"/>
        <v>0</v>
      </c>
      <c r="BXN1599" s="55">
        <f t="shared" si="324"/>
        <v>0</v>
      </c>
      <c r="BXO1599" s="55">
        <f t="shared" si="324"/>
        <v>0</v>
      </c>
      <c r="BXP1599" s="55">
        <f t="shared" si="324"/>
        <v>0</v>
      </c>
      <c r="BXQ1599" s="55">
        <f t="shared" si="324"/>
        <v>0</v>
      </c>
      <c r="BXR1599" s="55">
        <f t="shared" si="324"/>
        <v>0</v>
      </c>
      <c r="BXS1599" s="55">
        <f t="shared" si="324"/>
        <v>0</v>
      </c>
      <c r="BXT1599" s="55">
        <f t="shared" ref="BXT1599:CAE1599" si="325">+(BXT1619+BXT1623)*1.18*1.1</f>
        <v>0</v>
      </c>
      <c r="BXU1599" s="55">
        <f t="shared" si="325"/>
        <v>0</v>
      </c>
      <c r="BXV1599" s="55">
        <f t="shared" si="325"/>
        <v>0</v>
      </c>
      <c r="BXW1599" s="55">
        <f t="shared" si="325"/>
        <v>0</v>
      </c>
      <c r="BXX1599" s="55">
        <f t="shared" si="325"/>
        <v>0</v>
      </c>
      <c r="BXY1599" s="55">
        <f t="shared" si="325"/>
        <v>0</v>
      </c>
      <c r="BXZ1599" s="55">
        <f t="shared" si="325"/>
        <v>0</v>
      </c>
      <c r="BYA1599" s="55">
        <f t="shared" si="325"/>
        <v>0</v>
      </c>
      <c r="BYB1599" s="55">
        <f t="shared" si="325"/>
        <v>0</v>
      </c>
      <c r="BYC1599" s="55">
        <f t="shared" si="325"/>
        <v>0</v>
      </c>
      <c r="BYD1599" s="55">
        <f t="shared" si="325"/>
        <v>0</v>
      </c>
      <c r="BYE1599" s="55">
        <f t="shared" si="325"/>
        <v>0</v>
      </c>
      <c r="BYF1599" s="55">
        <f t="shared" si="325"/>
        <v>0</v>
      </c>
      <c r="BYG1599" s="55">
        <f t="shared" si="325"/>
        <v>0</v>
      </c>
      <c r="BYH1599" s="55">
        <f t="shared" si="325"/>
        <v>0</v>
      </c>
      <c r="BYI1599" s="55">
        <f t="shared" si="325"/>
        <v>0</v>
      </c>
      <c r="BYJ1599" s="55">
        <f t="shared" si="325"/>
        <v>0</v>
      </c>
      <c r="BYK1599" s="55">
        <f t="shared" si="325"/>
        <v>0</v>
      </c>
      <c r="BYL1599" s="55">
        <f t="shared" si="325"/>
        <v>0</v>
      </c>
      <c r="BYM1599" s="55">
        <f t="shared" si="325"/>
        <v>0</v>
      </c>
      <c r="BYN1599" s="55">
        <f t="shared" si="325"/>
        <v>0</v>
      </c>
      <c r="BYO1599" s="55">
        <f t="shared" si="325"/>
        <v>0</v>
      </c>
      <c r="BYP1599" s="55">
        <f t="shared" si="325"/>
        <v>0</v>
      </c>
      <c r="BYQ1599" s="55">
        <f t="shared" si="325"/>
        <v>0</v>
      </c>
      <c r="BYR1599" s="55">
        <f t="shared" si="325"/>
        <v>0</v>
      </c>
      <c r="BYS1599" s="55">
        <f t="shared" si="325"/>
        <v>0</v>
      </c>
      <c r="BYT1599" s="55">
        <f t="shared" si="325"/>
        <v>0</v>
      </c>
      <c r="BYU1599" s="55">
        <f t="shared" si="325"/>
        <v>0</v>
      </c>
      <c r="BYV1599" s="55">
        <f t="shared" si="325"/>
        <v>0</v>
      </c>
      <c r="BYW1599" s="55">
        <f t="shared" si="325"/>
        <v>0</v>
      </c>
      <c r="BYX1599" s="55">
        <f t="shared" si="325"/>
        <v>0</v>
      </c>
      <c r="BYY1599" s="55">
        <f t="shared" si="325"/>
        <v>0</v>
      </c>
      <c r="BYZ1599" s="55">
        <f t="shared" si="325"/>
        <v>0</v>
      </c>
      <c r="BZA1599" s="55">
        <f t="shared" si="325"/>
        <v>0</v>
      </c>
      <c r="BZB1599" s="55">
        <f t="shared" si="325"/>
        <v>0</v>
      </c>
      <c r="BZC1599" s="55">
        <f t="shared" si="325"/>
        <v>0</v>
      </c>
      <c r="BZD1599" s="55">
        <f t="shared" si="325"/>
        <v>0</v>
      </c>
      <c r="BZE1599" s="55">
        <f t="shared" si="325"/>
        <v>0</v>
      </c>
      <c r="BZF1599" s="55">
        <f t="shared" si="325"/>
        <v>0</v>
      </c>
      <c r="BZG1599" s="55">
        <f t="shared" si="325"/>
        <v>0</v>
      </c>
      <c r="BZH1599" s="55">
        <f t="shared" si="325"/>
        <v>0</v>
      </c>
      <c r="BZI1599" s="55">
        <f t="shared" si="325"/>
        <v>0</v>
      </c>
      <c r="BZJ1599" s="55">
        <f t="shared" si="325"/>
        <v>0</v>
      </c>
      <c r="BZK1599" s="55">
        <f t="shared" si="325"/>
        <v>0</v>
      </c>
      <c r="BZL1599" s="55">
        <f t="shared" si="325"/>
        <v>0</v>
      </c>
      <c r="BZM1599" s="55">
        <f t="shared" si="325"/>
        <v>0</v>
      </c>
      <c r="BZN1599" s="55">
        <f t="shared" si="325"/>
        <v>0</v>
      </c>
      <c r="BZO1599" s="55">
        <f t="shared" si="325"/>
        <v>0</v>
      </c>
      <c r="BZP1599" s="55">
        <f t="shared" si="325"/>
        <v>0</v>
      </c>
      <c r="BZQ1599" s="55">
        <f t="shared" si="325"/>
        <v>0</v>
      </c>
      <c r="BZR1599" s="55">
        <f t="shared" si="325"/>
        <v>0</v>
      </c>
      <c r="BZS1599" s="55">
        <f t="shared" si="325"/>
        <v>0</v>
      </c>
      <c r="BZT1599" s="55">
        <f t="shared" si="325"/>
        <v>0</v>
      </c>
      <c r="BZU1599" s="55">
        <f t="shared" si="325"/>
        <v>0</v>
      </c>
      <c r="BZV1599" s="55">
        <f t="shared" si="325"/>
        <v>0</v>
      </c>
      <c r="BZW1599" s="55">
        <f t="shared" si="325"/>
        <v>0</v>
      </c>
      <c r="BZX1599" s="55">
        <f t="shared" si="325"/>
        <v>0</v>
      </c>
      <c r="BZY1599" s="55">
        <f t="shared" si="325"/>
        <v>0</v>
      </c>
      <c r="BZZ1599" s="55">
        <f t="shared" si="325"/>
        <v>0</v>
      </c>
      <c r="CAA1599" s="55">
        <f t="shared" si="325"/>
        <v>0</v>
      </c>
      <c r="CAB1599" s="55">
        <f t="shared" si="325"/>
        <v>0</v>
      </c>
      <c r="CAC1599" s="55">
        <f t="shared" si="325"/>
        <v>0</v>
      </c>
      <c r="CAD1599" s="55">
        <f t="shared" si="325"/>
        <v>0</v>
      </c>
      <c r="CAE1599" s="55">
        <f t="shared" si="325"/>
        <v>0</v>
      </c>
      <c r="CAF1599" s="55">
        <f t="shared" ref="CAF1599:CCQ1599" si="326">+(CAF1619+CAF1623)*1.18*1.1</f>
        <v>0</v>
      </c>
      <c r="CAG1599" s="55">
        <f t="shared" si="326"/>
        <v>0</v>
      </c>
      <c r="CAH1599" s="55">
        <f t="shared" si="326"/>
        <v>0</v>
      </c>
      <c r="CAI1599" s="55">
        <f t="shared" si="326"/>
        <v>0</v>
      </c>
      <c r="CAJ1599" s="55">
        <f t="shared" si="326"/>
        <v>0</v>
      </c>
      <c r="CAK1599" s="55">
        <f t="shared" si="326"/>
        <v>0</v>
      </c>
      <c r="CAL1599" s="55">
        <f t="shared" si="326"/>
        <v>0</v>
      </c>
      <c r="CAM1599" s="55">
        <f t="shared" si="326"/>
        <v>0</v>
      </c>
      <c r="CAN1599" s="55">
        <f t="shared" si="326"/>
        <v>0</v>
      </c>
      <c r="CAO1599" s="55">
        <f t="shared" si="326"/>
        <v>0</v>
      </c>
      <c r="CAP1599" s="55">
        <f t="shared" si="326"/>
        <v>0</v>
      </c>
      <c r="CAQ1599" s="55">
        <f t="shared" si="326"/>
        <v>0</v>
      </c>
      <c r="CAR1599" s="55">
        <f t="shared" si="326"/>
        <v>0</v>
      </c>
      <c r="CAS1599" s="55">
        <f t="shared" si="326"/>
        <v>0</v>
      </c>
      <c r="CAT1599" s="55">
        <f t="shared" si="326"/>
        <v>0</v>
      </c>
      <c r="CAU1599" s="55">
        <f t="shared" si="326"/>
        <v>0</v>
      </c>
      <c r="CAV1599" s="55">
        <f t="shared" si="326"/>
        <v>0</v>
      </c>
      <c r="CAW1599" s="55">
        <f t="shared" si="326"/>
        <v>0</v>
      </c>
      <c r="CAX1599" s="55">
        <f t="shared" si="326"/>
        <v>0</v>
      </c>
      <c r="CAY1599" s="55">
        <f t="shared" si="326"/>
        <v>0</v>
      </c>
      <c r="CAZ1599" s="55">
        <f t="shared" si="326"/>
        <v>0</v>
      </c>
      <c r="CBA1599" s="55">
        <f t="shared" si="326"/>
        <v>0</v>
      </c>
      <c r="CBB1599" s="55">
        <f t="shared" si="326"/>
        <v>0</v>
      </c>
      <c r="CBC1599" s="55">
        <f t="shared" si="326"/>
        <v>0</v>
      </c>
      <c r="CBD1599" s="55">
        <f t="shared" si="326"/>
        <v>0</v>
      </c>
      <c r="CBE1599" s="55">
        <f t="shared" si="326"/>
        <v>0</v>
      </c>
      <c r="CBF1599" s="55">
        <f t="shared" si="326"/>
        <v>0</v>
      </c>
      <c r="CBG1599" s="55">
        <f t="shared" si="326"/>
        <v>0</v>
      </c>
      <c r="CBH1599" s="55">
        <f t="shared" si="326"/>
        <v>0</v>
      </c>
      <c r="CBI1599" s="55">
        <f t="shared" si="326"/>
        <v>0</v>
      </c>
      <c r="CBJ1599" s="55">
        <f t="shared" si="326"/>
        <v>0</v>
      </c>
      <c r="CBK1599" s="55">
        <f t="shared" si="326"/>
        <v>0</v>
      </c>
      <c r="CBL1599" s="55">
        <f t="shared" si="326"/>
        <v>0</v>
      </c>
      <c r="CBM1599" s="55">
        <f t="shared" si="326"/>
        <v>0</v>
      </c>
      <c r="CBN1599" s="55">
        <f t="shared" si="326"/>
        <v>0</v>
      </c>
      <c r="CBO1599" s="55">
        <f t="shared" si="326"/>
        <v>0</v>
      </c>
      <c r="CBP1599" s="55">
        <f t="shared" si="326"/>
        <v>0</v>
      </c>
      <c r="CBQ1599" s="55">
        <f t="shared" si="326"/>
        <v>0</v>
      </c>
      <c r="CBR1599" s="55">
        <f t="shared" si="326"/>
        <v>0</v>
      </c>
      <c r="CBS1599" s="55">
        <f t="shared" si="326"/>
        <v>0</v>
      </c>
      <c r="CBT1599" s="55">
        <f t="shared" si="326"/>
        <v>0</v>
      </c>
      <c r="CBU1599" s="55">
        <f t="shared" si="326"/>
        <v>0</v>
      </c>
      <c r="CBV1599" s="55">
        <f t="shared" si="326"/>
        <v>0</v>
      </c>
      <c r="CBW1599" s="55">
        <f t="shared" si="326"/>
        <v>0</v>
      </c>
      <c r="CBX1599" s="55">
        <f t="shared" si="326"/>
        <v>0</v>
      </c>
      <c r="CBY1599" s="55">
        <f t="shared" si="326"/>
        <v>0</v>
      </c>
      <c r="CBZ1599" s="55">
        <f t="shared" si="326"/>
        <v>0</v>
      </c>
      <c r="CCA1599" s="55">
        <f t="shared" si="326"/>
        <v>0</v>
      </c>
      <c r="CCB1599" s="55">
        <f t="shared" si="326"/>
        <v>0</v>
      </c>
      <c r="CCC1599" s="55">
        <f t="shared" si="326"/>
        <v>0</v>
      </c>
      <c r="CCD1599" s="55">
        <f t="shared" si="326"/>
        <v>0</v>
      </c>
      <c r="CCE1599" s="55">
        <f t="shared" si="326"/>
        <v>0</v>
      </c>
      <c r="CCF1599" s="55">
        <f t="shared" si="326"/>
        <v>0</v>
      </c>
      <c r="CCG1599" s="55">
        <f t="shared" si="326"/>
        <v>0</v>
      </c>
      <c r="CCH1599" s="55">
        <f t="shared" si="326"/>
        <v>0</v>
      </c>
      <c r="CCI1599" s="55">
        <f t="shared" si="326"/>
        <v>0</v>
      </c>
      <c r="CCJ1599" s="55">
        <f t="shared" si="326"/>
        <v>0</v>
      </c>
      <c r="CCK1599" s="55">
        <f t="shared" si="326"/>
        <v>0</v>
      </c>
      <c r="CCL1599" s="55">
        <f t="shared" si="326"/>
        <v>0</v>
      </c>
      <c r="CCM1599" s="55">
        <f t="shared" si="326"/>
        <v>0</v>
      </c>
      <c r="CCN1599" s="55">
        <f t="shared" si="326"/>
        <v>0</v>
      </c>
      <c r="CCO1599" s="55">
        <f t="shared" si="326"/>
        <v>0</v>
      </c>
      <c r="CCP1599" s="55">
        <f t="shared" si="326"/>
        <v>0</v>
      </c>
      <c r="CCQ1599" s="55">
        <f t="shared" si="326"/>
        <v>0</v>
      </c>
      <c r="CCR1599" s="55">
        <f t="shared" ref="CCR1599:CFC1599" si="327">+(CCR1619+CCR1623)*1.18*1.1</f>
        <v>0</v>
      </c>
      <c r="CCS1599" s="55">
        <f t="shared" si="327"/>
        <v>0</v>
      </c>
      <c r="CCT1599" s="55">
        <f t="shared" si="327"/>
        <v>0</v>
      </c>
      <c r="CCU1599" s="55">
        <f t="shared" si="327"/>
        <v>0</v>
      </c>
      <c r="CCV1599" s="55">
        <f t="shared" si="327"/>
        <v>0</v>
      </c>
      <c r="CCW1599" s="55">
        <f t="shared" si="327"/>
        <v>0</v>
      </c>
      <c r="CCX1599" s="55">
        <f t="shared" si="327"/>
        <v>0</v>
      </c>
      <c r="CCY1599" s="55">
        <f t="shared" si="327"/>
        <v>0</v>
      </c>
      <c r="CCZ1599" s="55">
        <f t="shared" si="327"/>
        <v>0</v>
      </c>
      <c r="CDA1599" s="55">
        <f t="shared" si="327"/>
        <v>0</v>
      </c>
      <c r="CDB1599" s="55">
        <f t="shared" si="327"/>
        <v>0</v>
      </c>
      <c r="CDC1599" s="55">
        <f t="shared" si="327"/>
        <v>0</v>
      </c>
      <c r="CDD1599" s="55">
        <f t="shared" si="327"/>
        <v>0</v>
      </c>
      <c r="CDE1599" s="55">
        <f t="shared" si="327"/>
        <v>0</v>
      </c>
      <c r="CDF1599" s="55">
        <f t="shared" si="327"/>
        <v>0</v>
      </c>
      <c r="CDG1599" s="55">
        <f t="shared" si="327"/>
        <v>0</v>
      </c>
      <c r="CDH1599" s="55">
        <f t="shared" si="327"/>
        <v>0</v>
      </c>
      <c r="CDI1599" s="55">
        <f t="shared" si="327"/>
        <v>0</v>
      </c>
      <c r="CDJ1599" s="55">
        <f t="shared" si="327"/>
        <v>0</v>
      </c>
      <c r="CDK1599" s="55">
        <f t="shared" si="327"/>
        <v>0</v>
      </c>
      <c r="CDL1599" s="55">
        <f t="shared" si="327"/>
        <v>0</v>
      </c>
      <c r="CDM1599" s="55">
        <f t="shared" si="327"/>
        <v>0</v>
      </c>
      <c r="CDN1599" s="55">
        <f t="shared" si="327"/>
        <v>0</v>
      </c>
      <c r="CDO1599" s="55">
        <f t="shared" si="327"/>
        <v>0</v>
      </c>
      <c r="CDP1599" s="55">
        <f t="shared" si="327"/>
        <v>0</v>
      </c>
      <c r="CDQ1599" s="55">
        <f t="shared" si="327"/>
        <v>0</v>
      </c>
      <c r="CDR1599" s="55">
        <f t="shared" si="327"/>
        <v>0</v>
      </c>
      <c r="CDS1599" s="55">
        <f t="shared" si="327"/>
        <v>0</v>
      </c>
      <c r="CDT1599" s="55">
        <f t="shared" si="327"/>
        <v>0</v>
      </c>
      <c r="CDU1599" s="55">
        <f t="shared" si="327"/>
        <v>0</v>
      </c>
      <c r="CDV1599" s="55">
        <f t="shared" si="327"/>
        <v>0</v>
      </c>
      <c r="CDW1599" s="55">
        <f t="shared" si="327"/>
        <v>0</v>
      </c>
      <c r="CDX1599" s="55">
        <f t="shared" si="327"/>
        <v>0</v>
      </c>
      <c r="CDY1599" s="55">
        <f t="shared" si="327"/>
        <v>0</v>
      </c>
      <c r="CDZ1599" s="55">
        <f t="shared" si="327"/>
        <v>0</v>
      </c>
      <c r="CEA1599" s="55">
        <f t="shared" si="327"/>
        <v>0</v>
      </c>
      <c r="CEB1599" s="55">
        <f t="shared" si="327"/>
        <v>0</v>
      </c>
      <c r="CEC1599" s="55">
        <f t="shared" si="327"/>
        <v>0</v>
      </c>
      <c r="CED1599" s="55">
        <f t="shared" si="327"/>
        <v>0</v>
      </c>
      <c r="CEE1599" s="55">
        <f t="shared" si="327"/>
        <v>0</v>
      </c>
      <c r="CEF1599" s="55">
        <f t="shared" si="327"/>
        <v>0</v>
      </c>
      <c r="CEG1599" s="55">
        <f t="shared" si="327"/>
        <v>0</v>
      </c>
      <c r="CEH1599" s="55">
        <f t="shared" si="327"/>
        <v>0</v>
      </c>
      <c r="CEI1599" s="55">
        <f t="shared" si="327"/>
        <v>0</v>
      </c>
      <c r="CEJ1599" s="55">
        <f t="shared" si="327"/>
        <v>0</v>
      </c>
      <c r="CEK1599" s="55">
        <f t="shared" si="327"/>
        <v>0</v>
      </c>
      <c r="CEL1599" s="55">
        <f t="shared" si="327"/>
        <v>0</v>
      </c>
      <c r="CEM1599" s="55">
        <f t="shared" si="327"/>
        <v>0</v>
      </c>
      <c r="CEN1599" s="55">
        <f t="shared" si="327"/>
        <v>0</v>
      </c>
      <c r="CEO1599" s="55">
        <f t="shared" si="327"/>
        <v>0</v>
      </c>
      <c r="CEP1599" s="55">
        <f t="shared" si="327"/>
        <v>0</v>
      </c>
      <c r="CEQ1599" s="55">
        <f t="shared" si="327"/>
        <v>0</v>
      </c>
      <c r="CER1599" s="55">
        <f t="shared" si="327"/>
        <v>0</v>
      </c>
      <c r="CES1599" s="55">
        <f t="shared" si="327"/>
        <v>0</v>
      </c>
      <c r="CET1599" s="55">
        <f t="shared" si="327"/>
        <v>0</v>
      </c>
      <c r="CEU1599" s="55">
        <f t="shared" si="327"/>
        <v>0</v>
      </c>
      <c r="CEV1599" s="55">
        <f t="shared" si="327"/>
        <v>0</v>
      </c>
      <c r="CEW1599" s="55">
        <f t="shared" si="327"/>
        <v>0</v>
      </c>
      <c r="CEX1599" s="55">
        <f t="shared" si="327"/>
        <v>0</v>
      </c>
      <c r="CEY1599" s="55">
        <f t="shared" si="327"/>
        <v>0</v>
      </c>
      <c r="CEZ1599" s="55">
        <f t="shared" si="327"/>
        <v>0</v>
      </c>
      <c r="CFA1599" s="55">
        <f t="shared" si="327"/>
        <v>0</v>
      </c>
      <c r="CFB1599" s="55">
        <f t="shared" si="327"/>
        <v>0</v>
      </c>
      <c r="CFC1599" s="55">
        <f t="shared" si="327"/>
        <v>0</v>
      </c>
      <c r="CFD1599" s="55">
        <f t="shared" ref="CFD1599:CHO1599" si="328">+(CFD1619+CFD1623)*1.18*1.1</f>
        <v>0</v>
      </c>
      <c r="CFE1599" s="55">
        <f t="shared" si="328"/>
        <v>0</v>
      </c>
      <c r="CFF1599" s="55">
        <f t="shared" si="328"/>
        <v>0</v>
      </c>
      <c r="CFG1599" s="55">
        <f t="shared" si="328"/>
        <v>0</v>
      </c>
      <c r="CFH1599" s="55">
        <f t="shared" si="328"/>
        <v>0</v>
      </c>
      <c r="CFI1599" s="55">
        <f t="shared" si="328"/>
        <v>0</v>
      </c>
      <c r="CFJ1599" s="55">
        <f t="shared" si="328"/>
        <v>0</v>
      </c>
      <c r="CFK1599" s="55">
        <f t="shared" si="328"/>
        <v>0</v>
      </c>
      <c r="CFL1599" s="55">
        <f t="shared" si="328"/>
        <v>0</v>
      </c>
      <c r="CFM1599" s="55">
        <f t="shared" si="328"/>
        <v>0</v>
      </c>
      <c r="CFN1599" s="55">
        <f t="shared" si="328"/>
        <v>0</v>
      </c>
      <c r="CFO1599" s="55">
        <f t="shared" si="328"/>
        <v>0</v>
      </c>
      <c r="CFP1599" s="55">
        <f t="shared" si="328"/>
        <v>0</v>
      </c>
      <c r="CFQ1599" s="55">
        <f t="shared" si="328"/>
        <v>0</v>
      </c>
      <c r="CFR1599" s="55">
        <f t="shared" si="328"/>
        <v>0</v>
      </c>
      <c r="CFS1599" s="55">
        <f t="shared" si="328"/>
        <v>0</v>
      </c>
      <c r="CFT1599" s="55">
        <f t="shared" si="328"/>
        <v>0</v>
      </c>
      <c r="CFU1599" s="55">
        <f t="shared" si="328"/>
        <v>0</v>
      </c>
      <c r="CFV1599" s="55">
        <f t="shared" si="328"/>
        <v>0</v>
      </c>
      <c r="CFW1599" s="55">
        <f t="shared" si="328"/>
        <v>0</v>
      </c>
      <c r="CFX1599" s="55">
        <f t="shared" si="328"/>
        <v>0</v>
      </c>
      <c r="CFY1599" s="55">
        <f t="shared" si="328"/>
        <v>0</v>
      </c>
      <c r="CFZ1599" s="55">
        <f t="shared" si="328"/>
        <v>0</v>
      </c>
      <c r="CGA1599" s="55">
        <f t="shared" si="328"/>
        <v>0</v>
      </c>
      <c r="CGB1599" s="55">
        <f t="shared" si="328"/>
        <v>0</v>
      </c>
      <c r="CGC1599" s="55">
        <f t="shared" si="328"/>
        <v>0</v>
      </c>
      <c r="CGD1599" s="55">
        <f t="shared" si="328"/>
        <v>0</v>
      </c>
      <c r="CGE1599" s="55">
        <f t="shared" si="328"/>
        <v>0</v>
      </c>
      <c r="CGF1599" s="55">
        <f t="shared" si="328"/>
        <v>0</v>
      </c>
      <c r="CGG1599" s="55">
        <f t="shared" si="328"/>
        <v>0</v>
      </c>
      <c r="CGH1599" s="55">
        <f t="shared" si="328"/>
        <v>0</v>
      </c>
      <c r="CGI1599" s="55">
        <f t="shared" si="328"/>
        <v>0</v>
      </c>
      <c r="CGJ1599" s="55">
        <f t="shared" si="328"/>
        <v>0</v>
      </c>
      <c r="CGK1599" s="55">
        <f t="shared" si="328"/>
        <v>0</v>
      </c>
      <c r="CGL1599" s="55">
        <f t="shared" si="328"/>
        <v>0</v>
      </c>
      <c r="CGM1599" s="55">
        <f t="shared" si="328"/>
        <v>0</v>
      </c>
      <c r="CGN1599" s="55">
        <f t="shared" si="328"/>
        <v>0</v>
      </c>
      <c r="CGO1599" s="55">
        <f t="shared" si="328"/>
        <v>0</v>
      </c>
      <c r="CGP1599" s="55">
        <f t="shared" si="328"/>
        <v>0</v>
      </c>
      <c r="CGQ1599" s="55">
        <f t="shared" si="328"/>
        <v>0</v>
      </c>
      <c r="CGR1599" s="55">
        <f t="shared" si="328"/>
        <v>0</v>
      </c>
      <c r="CGS1599" s="55">
        <f t="shared" si="328"/>
        <v>0</v>
      </c>
      <c r="CGT1599" s="55">
        <f t="shared" si="328"/>
        <v>0</v>
      </c>
      <c r="CGU1599" s="55">
        <f t="shared" si="328"/>
        <v>0</v>
      </c>
      <c r="CGV1599" s="55">
        <f t="shared" si="328"/>
        <v>0</v>
      </c>
      <c r="CGW1599" s="55">
        <f t="shared" si="328"/>
        <v>0</v>
      </c>
      <c r="CGX1599" s="55">
        <f t="shared" si="328"/>
        <v>0</v>
      </c>
      <c r="CGY1599" s="55">
        <f t="shared" si="328"/>
        <v>0</v>
      </c>
      <c r="CGZ1599" s="55">
        <f t="shared" si="328"/>
        <v>0</v>
      </c>
      <c r="CHA1599" s="55">
        <f t="shared" si="328"/>
        <v>0</v>
      </c>
      <c r="CHB1599" s="55">
        <f t="shared" si="328"/>
        <v>0</v>
      </c>
      <c r="CHC1599" s="55">
        <f t="shared" si="328"/>
        <v>0</v>
      </c>
      <c r="CHD1599" s="55">
        <f t="shared" si="328"/>
        <v>0</v>
      </c>
      <c r="CHE1599" s="55">
        <f t="shared" si="328"/>
        <v>0</v>
      </c>
      <c r="CHF1599" s="55">
        <f t="shared" si="328"/>
        <v>0</v>
      </c>
      <c r="CHG1599" s="55">
        <f t="shared" si="328"/>
        <v>0</v>
      </c>
      <c r="CHH1599" s="55">
        <f t="shared" si="328"/>
        <v>0</v>
      </c>
      <c r="CHI1599" s="55">
        <f t="shared" si="328"/>
        <v>0</v>
      </c>
      <c r="CHJ1599" s="55">
        <f t="shared" si="328"/>
        <v>0</v>
      </c>
      <c r="CHK1599" s="55">
        <f t="shared" si="328"/>
        <v>0</v>
      </c>
      <c r="CHL1599" s="55">
        <f t="shared" si="328"/>
        <v>0</v>
      </c>
      <c r="CHM1599" s="55">
        <f t="shared" si="328"/>
        <v>0</v>
      </c>
      <c r="CHN1599" s="55">
        <f t="shared" si="328"/>
        <v>0</v>
      </c>
      <c r="CHO1599" s="55">
        <f t="shared" si="328"/>
        <v>0</v>
      </c>
      <c r="CHP1599" s="55">
        <f t="shared" ref="CHP1599:CKA1599" si="329">+(CHP1619+CHP1623)*1.18*1.1</f>
        <v>0</v>
      </c>
      <c r="CHQ1599" s="55">
        <f t="shared" si="329"/>
        <v>0</v>
      </c>
      <c r="CHR1599" s="55">
        <f t="shared" si="329"/>
        <v>0</v>
      </c>
      <c r="CHS1599" s="55">
        <f t="shared" si="329"/>
        <v>0</v>
      </c>
      <c r="CHT1599" s="55">
        <f t="shared" si="329"/>
        <v>0</v>
      </c>
      <c r="CHU1599" s="55">
        <f t="shared" si="329"/>
        <v>0</v>
      </c>
      <c r="CHV1599" s="55">
        <f t="shared" si="329"/>
        <v>0</v>
      </c>
      <c r="CHW1599" s="55">
        <f t="shared" si="329"/>
        <v>0</v>
      </c>
      <c r="CHX1599" s="55">
        <f t="shared" si="329"/>
        <v>0</v>
      </c>
      <c r="CHY1599" s="55">
        <f t="shared" si="329"/>
        <v>0</v>
      </c>
      <c r="CHZ1599" s="55">
        <f t="shared" si="329"/>
        <v>0</v>
      </c>
      <c r="CIA1599" s="55">
        <f t="shared" si="329"/>
        <v>0</v>
      </c>
      <c r="CIB1599" s="55">
        <f t="shared" si="329"/>
        <v>0</v>
      </c>
      <c r="CIC1599" s="55">
        <f t="shared" si="329"/>
        <v>0</v>
      </c>
      <c r="CID1599" s="55">
        <f t="shared" si="329"/>
        <v>0</v>
      </c>
      <c r="CIE1599" s="55">
        <f t="shared" si="329"/>
        <v>0</v>
      </c>
      <c r="CIF1599" s="55">
        <f t="shared" si="329"/>
        <v>0</v>
      </c>
      <c r="CIG1599" s="55">
        <f t="shared" si="329"/>
        <v>0</v>
      </c>
      <c r="CIH1599" s="55">
        <f t="shared" si="329"/>
        <v>0</v>
      </c>
      <c r="CII1599" s="55">
        <f t="shared" si="329"/>
        <v>0</v>
      </c>
      <c r="CIJ1599" s="55">
        <f t="shared" si="329"/>
        <v>0</v>
      </c>
      <c r="CIK1599" s="55">
        <f t="shared" si="329"/>
        <v>0</v>
      </c>
      <c r="CIL1599" s="55">
        <f t="shared" si="329"/>
        <v>0</v>
      </c>
      <c r="CIM1599" s="55">
        <f t="shared" si="329"/>
        <v>0</v>
      </c>
      <c r="CIN1599" s="55">
        <f t="shared" si="329"/>
        <v>0</v>
      </c>
      <c r="CIO1599" s="55">
        <f t="shared" si="329"/>
        <v>0</v>
      </c>
      <c r="CIP1599" s="55">
        <f t="shared" si="329"/>
        <v>0</v>
      </c>
      <c r="CIQ1599" s="55">
        <f t="shared" si="329"/>
        <v>0</v>
      </c>
      <c r="CIR1599" s="55">
        <f t="shared" si="329"/>
        <v>0</v>
      </c>
      <c r="CIS1599" s="55">
        <f t="shared" si="329"/>
        <v>0</v>
      </c>
      <c r="CIT1599" s="55">
        <f t="shared" si="329"/>
        <v>0</v>
      </c>
      <c r="CIU1599" s="55">
        <f t="shared" si="329"/>
        <v>0</v>
      </c>
      <c r="CIV1599" s="55">
        <f t="shared" si="329"/>
        <v>0</v>
      </c>
      <c r="CIW1599" s="55">
        <f t="shared" si="329"/>
        <v>0</v>
      </c>
      <c r="CIX1599" s="55">
        <f t="shared" si="329"/>
        <v>0</v>
      </c>
      <c r="CIY1599" s="55">
        <f t="shared" si="329"/>
        <v>0</v>
      </c>
      <c r="CIZ1599" s="55">
        <f t="shared" si="329"/>
        <v>0</v>
      </c>
      <c r="CJA1599" s="55">
        <f t="shared" si="329"/>
        <v>0</v>
      </c>
      <c r="CJB1599" s="55">
        <f t="shared" si="329"/>
        <v>0</v>
      </c>
      <c r="CJC1599" s="55">
        <f t="shared" si="329"/>
        <v>0</v>
      </c>
      <c r="CJD1599" s="55">
        <f t="shared" si="329"/>
        <v>0</v>
      </c>
      <c r="CJE1599" s="55">
        <f t="shared" si="329"/>
        <v>0</v>
      </c>
      <c r="CJF1599" s="55">
        <f t="shared" si="329"/>
        <v>0</v>
      </c>
      <c r="CJG1599" s="55">
        <f t="shared" si="329"/>
        <v>0</v>
      </c>
      <c r="CJH1599" s="55">
        <f t="shared" si="329"/>
        <v>0</v>
      </c>
      <c r="CJI1599" s="55">
        <f t="shared" si="329"/>
        <v>0</v>
      </c>
      <c r="CJJ1599" s="55">
        <f t="shared" si="329"/>
        <v>0</v>
      </c>
      <c r="CJK1599" s="55">
        <f t="shared" si="329"/>
        <v>0</v>
      </c>
      <c r="CJL1599" s="55">
        <f t="shared" si="329"/>
        <v>0</v>
      </c>
      <c r="CJM1599" s="55">
        <f t="shared" si="329"/>
        <v>0</v>
      </c>
      <c r="CJN1599" s="55">
        <f t="shared" si="329"/>
        <v>0</v>
      </c>
      <c r="CJO1599" s="55">
        <f t="shared" si="329"/>
        <v>0</v>
      </c>
      <c r="CJP1599" s="55">
        <f t="shared" si="329"/>
        <v>0</v>
      </c>
      <c r="CJQ1599" s="55">
        <f t="shared" si="329"/>
        <v>0</v>
      </c>
      <c r="CJR1599" s="55">
        <f t="shared" si="329"/>
        <v>0</v>
      </c>
      <c r="CJS1599" s="55">
        <f t="shared" si="329"/>
        <v>0</v>
      </c>
      <c r="CJT1599" s="55">
        <f t="shared" si="329"/>
        <v>0</v>
      </c>
      <c r="CJU1599" s="55">
        <f t="shared" si="329"/>
        <v>0</v>
      </c>
      <c r="CJV1599" s="55">
        <f t="shared" si="329"/>
        <v>0</v>
      </c>
      <c r="CJW1599" s="55">
        <f t="shared" si="329"/>
        <v>0</v>
      </c>
      <c r="CJX1599" s="55">
        <f t="shared" si="329"/>
        <v>0</v>
      </c>
      <c r="CJY1599" s="55">
        <f t="shared" si="329"/>
        <v>0</v>
      </c>
      <c r="CJZ1599" s="55">
        <f t="shared" si="329"/>
        <v>0</v>
      </c>
      <c r="CKA1599" s="55">
        <f t="shared" si="329"/>
        <v>0</v>
      </c>
      <c r="CKB1599" s="55">
        <f t="shared" ref="CKB1599:CMM1599" si="330">+(CKB1619+CKB1623)*1.18*1.1</f>
        <v>0</v>
      </c>
      <c r="CKC1599" s="55">
        <f t="shared" si="330"/>
        <v>0</v>
      </c>
      <c r="CKD1599" s="55">
        <f t="shared" si="330"/>
        <v>0</v>
      </c>
      <c r="CKE1599" s="55">
        <f t="shared" si="330"/>
        <v>0</v>
      </c>
      <c r="CKF1599" s="55">
        <f t="shared" si="330"/>
        <v>0</v>
      </c>
      <c r="CKG1599" s="55">
        <f t="shared" si="330"/>
        <v>0</v>
      </c>
      <c r="CKH1599" s="55">
        <f t="shared" si="330"/>
        <v>0</v>
      </c>
      <c r="CKI1599" s="55">
        <f t="shared" si="330"/>
        <v>0</v>
      </c>
      <c r="CKJ1599" s="55">
        <f t="shared" si="330"/>
        <v>0</v>
      </c>
      <c r="CKK1599" s="55">
        <f t="shared" si="330"/>
        <v>0</v>
      </c>
      <c r="CKL1599" s="55">
        <f t="shared" si="330"/>
        <v>0</v>
      </c>
      <c r="CKM1599" s="55">
        <f t="shared" si="330"/>
        <v>0</v>
      </c>
      <c r="CKN1599" s="55">
        <f t="shared" si="330"/>
        <v>0</v>
      </c>
      <c r="CKO1599" s="55">
        <f t="shared" si="330"/>
        <v>0</v>
      </c>
      <c r="CKP1599" s="55">
        <f t="shared" si="330"/>
        <v>0</v>
      </c>
      <c r="CKQ1599" s="55">
        <f t="shared" si="330"/>
        <v>0</v>
      </c>
      <c r="CKR1599" s="55">
        <f t="shared" si="330"/>
        <v>0</v>
      </c>
      <c r="CKS1599" s="55">
        <f t="shared" si="330"/>
        <v>0</v>
      </c>
      <c r="CKT1599" s="55">
        <f t="shared" si="330"/>
        <v>0</v>
      </c>
      <c r="CKU1599" s="55">
        <f t="shared" si="330"/>
        <v>0</v>
      </c>
      <c r="CKV1599" s="55">
        <f t="shared" si="330"/>
        <v>0</v>
      </c>
      <c r="CKW1599" s="55">
        <f t="shared" si="330"/>
        <v>0</v>
      </c>
      <c r="CKX1599" s="55">
        <f t="shared" si="330"/>
        <v>0</v>
      </c>
      <c r="CKY1599" s="55">
        <f t="shared" si="330"/>
        <v>0</v>
      </c>
      <c r="CKZ1599" s="55">
        <f t="shared" si="330"/>
        <v>0</v>
      </c>
      <c r="CLA1599" s="55">
        <f t="shared" si="330"/>
        <v>0</v>
      </c>
      <c r="CLB1599" s="55">
        <f t="shared" si="330"/>
        <v>0</v>
      </c>
      <c r="CLC1599" s="55">
        <f t="shared" si="330"/>
        <v>0</v>
      </c>
      <c r="CLD1599" s="55">
        <f t="shared" si="330"/>
        <v>0</v>
      </c>
      <c r="CLE1599" s="55">
        <f t="shared" si="330"/>
        <v>0</v>
      </c>
      <c r="CLF1599" s="55">
        <f t="shared" si="330"/>
        <v>0</v>
      </c>
      <c r="CLG1599" s="55">
        <f t="shared" si="330"/>
        <v>0</v>
      </c>
      <c r="CLH1599" s="55">
        <f t="shared" si="330"/>
        <v>0</v>
      </c>
      <c r="CLI1599" s="55">
        <f t="shared" si="330"/>
        <v>0</v>
      </c>
      <c r="CLJ1599" s="55">
        <f t="shared" si="330"/>
        <v>0</v>
      </c>
      <c r="CLK1599" s="55">
        <f t="shared" si="330"/>
        <v>0</v>
      </c>
      <c r="CLL1599" s="55">
        <f t="shared" si="330"/>
        <v>0</v>
      </c>
      <c r="CLM1599" s="55">
        <f t="shared" si="330"/>
        <v>0</v>
      </c>
      <c r="CLN1599" s="55">
        <f t="shared" si="330"/>
        <v>0</v>
      </c>
      <c r="CLO1599" s="55">
        <f t="shared" si="330"/>
        <v>0</v>
      </c>
      <c r="CLP1599" s="55">
        <f t="shared" si="330"/>
        <v>0</v>
      </c>
      <c r="CLQ1599" s="55">
        <f t="shared" si="330"/>
        <v>0</v>
      </c>
      <c r="CLR1599" s="55">
        <f t="shared" si="330"/>
        <v>0</v>
      </c>
      <c r="CLS1599" s="55">
        <f t="shared" si="330"/>
        <v>0</v>
      </c>
      <c r="CLT1599" s="55">
        <f t="shared" si="330"/>
        <v>0</v>
      </c>
      <c r="CLU1599" s="55">
        <f t="shared" si="330"/>
        <v>0</v>
      </c>
      <c r="CLV1599" s="55">
        <f t="shared" si="330"/>
        <v>0</v>
      </c>
      <c r="CLW1599" s="55">
        <f t="shared" si="330"/>
        <v>0</v>
      </c>
      <c r="CLX1599" s="55">
        <f t="shared" si="330"/>
        <v>0</v>
      </c>
      <c r="CLY1599" s="55">
        <f t="shared" si="330"/>
        <v>0</v>
      </c>
      <c r="CLZ1599" s="55">
        <f t="shared" si="330"/>
        <v>0</v>
      </c>
      <c r="CMA1599" s="55">
        <f t="shared" si="330"/>
        <v>0</v>
      </c>
      <c r="CMB1599" s="55">
        <f t="shared" si="330"/>
        <v>0</v>
      </c>
      <c r="CMC1599" s="55">
        <f t="shared" si="330"/>
        <v>0</v>
      </c>
      <c r="CMD1599" s="55">
        <f t="shared" si="330"/>
        <v>0</v>
      </c>
      <c r="CME1599" s="55">
        <f t="shared" si="330"/>
        <v>0</v>
      </c>
      <c r="CMF1599" s="55">
        <f t="shared" si="330"/>
        <v>0</v>
      </c>
      <c r="CMG1599" s="55">
        <f t="shared" si="330"/>
        <v>0</v>
      </c>
      <c r="CMH1599" s="55">
        <f t="shared" si="330"/>
        <v>0</v>
      </c>
      <c r="CMI1599" s="55">
        <f t="shared" si="330"/>
        <v>0</v>
      </c>
      <c r="CMJ1599" s="55">
        <f t="shared" si="330"/>
        <v>0</v>
      </c>
      <c r="CMK1599" s="55">
        <f t="shared" si="330"/>
        <v>0</v>
      </c>
      <c r="CML1599" s="55">
        <f t="shared" si="330"/>
        <v>0</v>
      </c>
      <c r="CMM1599" s="55">
        <f t="shared" si="330"/>
        <v>0</v>
      </c>
      <c r="CMN1599" s="55">
        <f t="shared" ref="CMN1599:COY1599" si="331">+(CMN1619+CMN1623)*1.18*1.1</f>
        <v>0</v>
      </c>
      <c r="CMO1599" s="55">
        <f t="shared" si="331"/>
        <v>0</v>
      </c>
      <c r="CMP1599" s="55">
        <f t="shared" si="331"/>
        <v>0</v>
      </c>
      <c r="CMQ1599" s="55">
        <f t="shared" si="331"/>
        <v>0</v>
      </c>
      <c r="CMR1599" s="55">
        <f t="shared" si="331"/>
        <v>0</v>
      </c>
      <c r="CMS1599" s="55">
        <f t="shared" si="331"/>
        <v>0</v>
      </c>
      <c r="CMT1599" s="55">
        <f t="shared" si="331"/>
        <v>0</v>
      </c>
      <c r="CMU1599" s="55">
        <f t="shared" si="331"/>
        <v>0</v>
      </c>
      <c r="CMV1599" s="55">
        <f t="shared" si="331"/>
        <v>0</v>
      </c>
      <c r="CMW1599" s="55">
        <f t="shared" si="331"/>
        <v>0</v>
      </c>
      <c r="CMX1599" s="55">
        <f t="shared" si="331"/>
        <v>0</v>
      </c>
      <c r="CMY1599" s="55">
        <f t="shared" si="331"/>
        <v>0</v>
      </c>
      <c r="CMZ1599" s="55">
        <f t="shared" si="331"/>
        <v>0</v>
      </c>
      <c r="CNA1599" s="55">
        <f t="shared" si="331"/>
        <v>0</v>
      </c>
      <c r="CNB1599" s="55">
        <f t="shared" si="331"/>
        <v>0</v>
      </c>
      <c r="CNC1599" s="55">
        <f t="shared" si="331"/>
        <v>0</v>
      </c>
      <c r="CND1599" s="55">
        <f t="shared" si="331"/>
        <v>0</v>
      </c>
      <c r="CNE1599" s="55">
        <f t="shared" si="331"/>
        <v>0</v>
      </c>
      <c r="CNF1599" s="55">
        <f t="shared" si="331"/>
        <v>0</v>
      </c>
      <c r="CNG1599" s="55">
        <f t="shared" si="331"/>
        <v>0</v>
      </c>
      <c r="CNH1599" s="55">
        <f t="shared" si="331"/>
        <v>0</v>
      </c>
      <c r="CNI1599" s="55">
        <f t="shared" si="331"/>
        <v>0</v>
      </c>
      <c r="CNJ1599" s="55">
        <f t="shared" si="331"/>
        <v>0</v>
      </c>
      <c r="CNK1599" s="55">
        <f t="shared" si="331"/>
        <v>0</v>
      </c>
      <c r="CNL1599" s="55">
        <f t="shared" si="331"/>
        <v>0</v>
      </c>
      <c r="CNM1599" s="55">
        <f t="shared" si="331"/>
        <v>0</v>
      </c>
      <c r="CNN1599" s="55">
        <f t="shared" si="331"/>
        <v>0</v>
      </c>
      <c r="CNO1599" s="55">
        <f t="shared" si="331"/>
        <v>0</v>
      </c>
      <c r="CNP1599" s="55">
        <f t="shared" si="331"/>
        <v>0</v>
      </c>
      <c r="CNQ1599" s="55">
        <f t="shared" si="331"/>
        <v>0</v>
      </c>
      <c r="CNR1599" s="55">
        <f t="shared" si="331"/>
        <v>0</v>
      </c>
      <c r="CNS1599" s="55">
        <f t="shared" si="331"/>
        <v>0</v>
      </c>
      <c r="CNT1599" s="55">
        <f t="shared" si="331"/>
        <v>0</v>
      </c>
      <c r="CNU1599" s="55">
        <f t="shared" si="331"/>
        <v>0</v>
      </c>
      <c r="CNV1599" s="55">
        <f t="shared" si="331"/>
        <v>0</v>
      </c>
      <c r="CNW1599" s="55">
        <f t="shared" si="331"/>
        <v>0</v>
      </c>
      <c r="CNX1599" s="55">
        <f t="shared" si="331"/>
        <v>0</v>
      </c>
      <c r="CNY1599" s="55">
        <f t="shared" si="331"/>
        <v>0</v>
      </c>
      <c r="CNZ1599" s="55">
        <f t="shared" si="331"/>
        <v>0</v>
      </c>
      <c r="COA1599" s="55">
        <f t="shared" si="331"/>
        <v>0</v>
      </c>
      <c r="COB1599" s="55">
        <f t="shared" si="331"/>
        <v>0</v>
      </c>
      <c r="COC1599" s="55">
        <f t="shared" si="331"/>
        <v>0</v>
      </c>
      <c r="COD1599" s="55">
        <f t="shared" si="331"/>
        <v>0</v>
      </c>
      <c r="COE1599" s="55">
        <f t="shared" si="331"/>
        <v>0</v>
      </c>
      <c r="COF1599" s="55">
        <f t="shared" si="331"/>
        <v>0</v>
      </c>
      <c r="COG1599" s="55">
        <f t="shared" si="331"/>
        <v>0</v>
      </c>
      <c r="COH1599" s="55">
        <f t="shared" si="331"/>
        <v>0</v>
      </c>
      <c r="COI1599" s="55">
        <f t="shared" si="331"/>
        <v>0</v>
      </c>
      <c r="COJ1599" s="55">
        <f t="shared" si="331"/>
        <v>0</v>
      </c>
      <c r="COK1599" s="55">
        <f t="shared" si="331"/>
        <v>0</v>
      </c>
      <c r="COL1599" s="55">
        <f t="shared" si="331"/>
        <v>0</v>
      </c>
      <c r="COM1599" s="55">
        <f t="shared" si="331"/>
        <v>0</v>
      </c>
      <c r="CON1599" s="55">
        <f t="shared" si="331"/>
        <v>0</v>
      </c>
      <c r="COO1599" s="55">
        <f t="shared" si="331"/>
        <v>0</v>
      </c>
      <c r="COP1599" s="55">
        <f t="shared" si="331"/>
        <v>0</v>
      </c>
      <c r="COQ1599" s="55">
        <f t="shared" si="331"/>
        <v>0</v>
      </c>
      <c r="COR1599" s="55">
        <f t="shared" si="331"/>
        <v>0</v>
      </c>
      <c r="COS1599" s="55">
        <f t="shared" si="331"/>
        <v>0</v>
      </c>
      <c r="COT1599" s="55">
        <f t="shared" si="331"/>
        <v>0</v>
      </c>
      <c r="COU1599" s="55">
        <f t="shared" si="331"/>
        <v>0</v>
      </c>
      <c r="COV1599" s="55">
        <f t="shared" si="331"/>
        <v>0</v>
      </c>
      <c r="COW1599" s="55">
        <f t="shared" si="331"/>
        <v>0</v>
      </c>
      <c r="COX1599" s="55">
        <f t="shared" si="331"/>
        <v>0</v>
      </c>
      <c r="COY1599" s="55">
        <f t="shared" si="331"/>
        <v>0</v>
      </c>
      <c r="COZ1599" s="55">
        <f t="shared" ref="COZ1599:CRK1599" si="332">+(COZ1619+COZ1623)*1.18*1.1</f>
        <v>0</v>
      </c>
      <c r="CPA1599" s="55">
        <f t="shared" si="332"/>
        <v>0</v>
      </c>
      <c r="CPB1599" s="55">
        <f t="shared" si="332"/>
        <v>0</v>
      </c>
      <c r="CPC1599" s="55">
        <f t="shared" si="332"/>
        <v>0</v>
      </c>
      <c r="CPD1599" s="55">
        <f t="shared" si="332"/>
        <v>0</v>
      </c>
      <c r="CPE1599" s="55">
        <f t="shared" si="332"/>
        <v>0</v>
      </c>
      <c r="CPF1599" s="55">
        <f t="shared" si="332"/>
        <v>0</v>
      </c>
      <c r="CPG1599" s="55">
        <f t="shared" si="332"/>
        <v>0</v>
      </c>
      <c r="CPH1599" s="55">
        <f t="shared" si="332"/>
        <v>0</v>
      </c>
      <c r="CPI1599" s="55">
        <f t="shared" si="332"/>
        <v>0</v>
      </c>
      <c r="CPJ1599" s="55">
        <f t="shared" si="332"/>
        <v>0</v>
      </c>
      <c r="CPK1599" s="55">
        <f t="shared" si="332"/>
        <v>0</v>
      </c>
      <c r="CPL1599" s="55">
        <f t="shared" si="332"/>
        <v>0</v>
      </c>
      <c r="CPM1599" s="55">
        <f t="shared" si="332"/>
        <v>0</v>
      </c>
      <c r="CPN1599" s="55">
        <f t="shared" si="332"/>
        <v>0</v>
      </c>
      <c r="CPO1599" s="55">
        <f t="shared" si="332"/>
        <v>0</v>
      </c>
      <c r="CPP1599" s="55">
        <f t="shared" si="332"/>
        <v>0</v>
      </c>
      <c r="CPQ1599" s="55">
        <f t="shared" si="332"/>
        <v>0</v>
      </c>
      <c r="CPR1599" s="55">
        <f t="shared" si="332"/>
        <v>0</v>
      </c>
      <c r="CPS1599" s="55">
        <f t="shared" si="332"/>
        <v>0</v>
      </c>
      <c r="CPT1599" s="55">
        <f t="shared" si="332"/>
        <v>0</v>
      </c>
      <c r="CPU1599" s="55">
        <f t="shared" si="332"/>
        <v>0</v>
      </c>
      <c r="CPV1599" s="55">
        <f t="shared" si="332"/>
        <v>0</v>
      </c>
      <c r="CPW1599" s="55">
        <f t="shared" si="332"/>
        <v>0</v>
      </c>
      <c r="CPX1599" s="55">
        <f t="shared" si="332"/>
        <v>0</v>
      </c>
      <c r="CPY1599" s="55">
        <f t="shared" si="332"/>
        <v>0</v>
      </c>
      <c r="CPZ1599" s="55">
        <f t="shared" si="332"/>
        <v>0</v>
      </c>
      <c r="CQA1599" s="55">
        <f t="shared" si="332"/>
        <v>0</v>
      </c>
      <c r="CQB1599" s="55">
        <f t="shared" si="332"/>
        <v>0</v>
      </c>
      <c r="CQC1599" s="55">
        <f t="shared" si="332"/>
        <v>0</v>
      </c>
      <c r="CQD1599" s="55">
        <f t="shared" si="332"/>
        <v>0</v>
      </c>
      <c r="CQE1599" s="55">
        <f t="shared" si="332"/>
        <v>0</v>
      </c>
      <c r="CQF1599" s="55">
        <f t="shared" si="332"/>
        <v>0</v>
      </c>
      <c r="CQG1599" s="55">
        <f t="shared" si="332"/>
        <v>0</v>
      </c>
      <c r="CQH1599" s="55">
        <f t="shared" si="332"/>
        <v>0</v>
      </c>
      <c r="CQI1599" s="55">
        <f t="shared" si="332"/>
        <v>0</v>
      </c>
      <c r="CQJ1599" s="55">
        <f t="shared" si="332"/>
        <v>0</v>
      </c>
      <c r="CQK1599" s="55">
        <f t="shared" si="332"/>
        <v>0</v>
      </c>
      <c r="CQL1599" s="55">
        <f t="shared" si="332"/>
        <v>0</v>
      </c>
      <c r="CQM1599" s="55">
        <f t="shared" si="332"/>
        <v>0</v>
      </c>
      <c r="CQN1599" s="55">
        <f t="shared" si="332"/>
        <v>0</v>
      </c>
      <c r="CQO1599" s="55">
        <f t="shared" si="332"/>
        <v>0</v>
      </c>
      <c r="CQP1599" s="55">
        <f t="shared" si="332"/>
        <v>0</v>
      </c>
      <c r="CQQ1599" s="55">
        <f t="shared" si="332"/>
        <v>0</v>
      </c>
      <c r="CQR1599" s="55">
        <f t="shared" si="332"/>
        <v>0</v>
      </c>
      <c r="CQS1599" s="55">
        <f t="shared" si="332"/>
        <v>0</v>
      </c>
      <c r="CQT1599" s="55">
        <f t="shared" si="332"/>
        <v>0</v>
      </c>
      <c r="CQU1599" s="55">
        <f t="shared" si="332"/>
        <v>0</v>
      </c>
      <c r="CQV1599" s="55">
        <f t="shared" si="332"/>
        <v>0</v>
      </c>
      <c r="CQW1599" s="55">
        <f t="shared" si="332"/>
        <v>0</v>
      </c>
      <c r="CQX1599" s="55">
        <f t="shared" si="332"/>
        <v>0</v>
      </c>
      <c r="CQY1599" s="55">
        <f t="shared" si="332"/>
        <v>0</v>
      </c>
      <c r="CQZ1599" s="55">
        <f t="shared" si="332"/>
        <v>0</v>
      </c>
      <c r="CRA1599" s="55">
        <f t="shared" si="332"/>
        <v>0</v>
      </c>
      <c r="CRB1599" s="55">
        <f t="shared" si="332"/>
        <v>0</v>
      </c>
      <c r="CRC1599" s="55">
        <f t="shared" si="332"/>
        <v>0</v>
      </c>
      <c r="CRD1599" s="55">
        <f t="shared" si="332"/>
        <v>0</v>
      </c>
      <c r="CRE1599" s="55">
        <f t="shared" si="332"/>
        <v>0</v>
      </c>
      <c r="CRF1599" s="55">
        <f t="shared" si="332"/>
        <v>0</v>
      </c>
      <c r="CRG1599" s="55">
        <f t="shared" si="332"/>
        <v>0</v>
      </c>
      <c r="CRH1599" s="55">
        <f t="shared" si="332"/>
        <v>0</v>
      </c>
      <c r="CRI1599" s="55">
        <f t="shared" si="332"/>
        <v>0</v>
      </c>
      <c r="CRJ1599" s="55">
        <f t="shared" si="332"/>
        <v>0</v>
      </c>
      <c r="CRK1599" s="55">
        <f t="shared" si="332"/>
        <v>0</v>
      </c>
      <c r="CRL1599" s="55">
        <f t="shared" ref="CRL1599:CTW1599" si="333">+(CRL1619+CRL1623)*1.18*1.1</f>
        <v>0</v>
      </c>
      <c r="CRM1599" s="55">
        <f t="shared" si="333"/>
        <v>0</v>
      </c>
      <c r="CRN1599" s="55">
        <f t="shared" si="333"/>
        <v>0</v>
      </c>
      <c r="CRO1599" s="55">
        <f t="shared" si="333"/>
        <v>0</v>
      </c>
      <c r="CRP1599" s="55">
        <f t="shared" si="333"/>
        <v>0</v>
      </c>
      <c r="CRQ1599" s="55">
        <f t="shared" si="333"/>
        <v>0</v>
      </c>
      <c r="CRR1599" s="55">
        <f t="shared" si="333"/>
        <v>0</v>
      </c>
      <c r="CRS1599" s="55">
        <f t="shared" si="333"/>
        <v>0</v>
      </c>
      <c r="CRT1599" s="55">
        <f t="shared" si="333"/>
        <v>0</v>
      </c>
      <c r="CRU1599" s="55">
        <f t="shared" si="333"/>
        <v>0</v>
      </c>
      <c r="CRV1599" s="55">
        <f t="shared" si="333"/>
        <v>0</v>
      </c>
      <c r="CRW1599" s="55">
        <f t="shared" si="333"/>
        <v>0</v>
      </c>
      <c r="CRX1599" s="55">
        <f t="shared" si="333"/>
        <v>0</v>
      </c>
      <c r="CRY1599" s="55">
        <f t="shared" si="333"/>
        <v>0</v>
      </c>
      <c r="CRZ1599" s="55">
        <f t="shared" si="333"/>
        <v>0</v>
      </c>
      <c r="CSA1599" s="55">
        <f t="shared" si="333"/>
        <v>0</v>
      </c>
      <c r="CSB1599" s="55">
        <f t="shared" si="333"/>
        <v>0</v>
      </c>
      <c r="CSC1599" s="55">
        <f t="shared" si="333"/>
        <v>0</v>
      </c>
      <c r="CSD1599" s="55">
        <f t="shared" si="333"/>
        <v>0</v>
      </c>
      <c r="CSE1599" s="55">
        <f t="shared" si="333"/>
        <v>0</v>
      </c>
      <c r="CSF1599" s="55">
        <f t="shared" si="333"/>
        <v>0</v>
      </c>
      <c r="CSG1599" s="55">
        <f t="shared" si="333"/>
        <v>0</v>
      </c>
      <c r="CSH1599" s="55">
        <f t="shared" si="333"/>
        <v>0</v>
      </c>
      <c r="CSI1599" s="55">
        <f t="shared" si="333"/>
        <v>0</v>
      </c>
      <c r="CSJ1599" s="55">
        <f t="shared" si="333"/>
        <v>0</v>
      </c>
      <c r="CSK1599" s="55">
        <f t="shared" si="333"/>
        <v>0</v>
      </c>
      <c r="CSL1599" s="55">
        <f t="shared" si="333"/>
        <v>0</v>
      </c>
      <c r="CSM1599" s="55">
        <f t="shared" si="333"/>
        <v>0</v>
      </c>
      <c r="CSN1599" s="55">
        <f t="shared" si="333"/>
        <v>0</v>
      </c>
      <c r="CSO1599" s="55">
        <f t="shared" si="333"/>
        <v>0</v>
      </c>
      <c r="CSP1599" s="55">
        <f t="shared" si="333"/>
        <v>0</v>
      </c>
      <c r="CSQ1599" s="55">
        <f t="shared" si="333"/>
        <v>0</v>
      </c>
      <c r="CSR1599" s="55">
        <f t="shared" si="333"/>
        <v>0</v>
      </c>
      <c r="CSS1599" s="55">
        <f t="shared" si="333"/>
        <v>0</v>
      </c>
      <c r="CST1599" s="55">
        <f t="shared" si="333"/>
        <v>0</v>
      </c>
      <c r="CSU1599" s="55">
        <f t="shared" si="333"/>
        <v>0</v>
      </c>
      <c r="CSV1599" s="55">
        <f t="shared" si="333"/>
        <v>0</v>
      </c>
      <c r="CSW1599" s="55">
        <f t="shared" si="333"/>
        <v>0</v>
      </c>
      <c r="CSX1599" s="55">
        <f t="shared" si="333"/>
        <v>0</v>
      </c>
      <c r="CSY1599" s="55">
        <f t="shared" si="333"/>
        <v>0</v>
      </c>
      <c r="CSZ1599" s="55">
        <f t="shared" si="333"/>
        <v>0</v>
      </c>
      <c r="CTA1599" s="55">
        <f t="shared" si="333"/>
        <v>0</v>
      </c>
      <c r="CTB1599" s="55">
        <f t="shared" si="333"/>
        <v>0</v>
      </c>
      <c r="CTC1599" s="55">
        <f t="shared" si="333"/>
        <v>0</v>
      </c>
      <c r="CTD1599" s="55">
        <f t="shared" si="333"/>
        <v>0</v>
      </c>
      <c r="CTE1599" s="55">
        <f t="shared" si="333"/>
        <v>0</v>
      </c>
      <c r="CTF1599" s="55">
        <f t="shared" si="333"/>
        <v>0</v>
      </c>
      <c r="CTG1599" s="55">
        <f t="shared" si="333"/>
        <v>0</v>
      </c>
      <c r="CTH1599" s="55">
        <f t="shared" si="333"/>
        <v>0</v>
      </c>
      <c r="CTI1599" s="55">
        <f t="shared" si="333"/>
        <v>0</v>
      </c>
      <c r="CTJ1599" s="55">
        <f t="shared" si="333"/>
        <v>0</v>
      </c>
      <c r="CTK1599" s="55">
        <f t="shared" si="333"/>
        <v>0</v>
      </c>
      <c r="CTL1599" s="55">
        <f t="shared" si="333"/>
        <v>0</v>
      </c>
      <c r="CTM1599" s="55">
        <f t="shared" si="333"/>
        <v>0</v>
      </c>
      <c r="CTN1599" s="55">
        <f t="shared" si="333"/>
        <v>0</v>
      </c>
      <c r="CTO1599" s="55">
        <f t="shared" si="333"/>
        <v>0</v>
      </c>
      <c r="CTP1599" s="55">
        <f t="shared" si="333"/>
        <v>0</v>
      </c>
      <c r="CTQ1599" s="55">
        <f t="shared" si="333"/>
        <v>0</v>
      </c>
      <c r="CTR1599" s="55">
        <f t="shared" si="333"/>
        <v>0</v>
      </c>
      <c r="CTS1599" s="55">
        <f t="shared" si="333"/>
        <v>0</v>
      </c>
      <c r="CTT1599" s="55">
        <f t="shared" si="333"/>
        <v>0</v>
      </c>
      <c r="CTU1599" s="55">
        <f t="shared" si="333"/>
        <v>0</v>
      </c>
      <c r="CTV1599" s="55">
        <f t="shared" si="333"/>
        <v>0</v>
      </c>
      <c r="CTW1599" s="55">
        <f t="shared" si="333"/>
        <v>0</v>
      </c>
      <c r="CTX1599" s="55">
        <f t="shared" ref="CTX1599:CWI1599" si="334">+(CTX1619+CTX1623)*1.18*1.1</f>
        <v>0</v>
      </c>
      <c r="CTY1599" s="55">
        <f t="shared" si="334"/>
        <v>0</v>
      </c>
      <c r="CTZ1599" s="55">
        <f t="shared" si="334"/>
        <v>0</v>
      </c>
      <c r="CUA1599" s="55">
        <f t="shared" si="334"/>
        <v>0</v>
      </c>
      <c r="CUB1599" s="55">
        <f t="shared" si="334"/>
        <v>0</v>
      </c>
      <c r="CUC1599" s="55">
        <f t="shared" si="334"/>
        <v>0</v>
      </c>
      <c r="CUD1599" s="55">
        <f t="shared" si="334"/>
        <v>0</v>
      </c>
      <c r="CUE1599" s="55">
        <f t="shared" si="334"/>
        <v>0</v>
      </c>
      <c r="CUF1599" s="55">
        <f t="shared" si="334"/>
        <v>0</v>
      </c>
      <c r="CUG1599" s="55">
        <f t="shared" si="334"/>
        <v>0</v>
      </c>
      <c r="CUH1599" s="55">
        <f t="shared" si="334"/>
        <v>0</v>
      </c>
      <c r="CUI1599" s="55">
        <f t="shared" si="334"/>
        <v>0</v>
      </c>
      <c r="CUJ1599" s="55">
        <f t="shared" si="334"/>
        <v>0</v>
      </c>
      <c r="CUK1599" s="55">
        <f t="shared" si="334"/>
        <v>0</v>
      </c>
      <c r="CUL1599" s="55">
        <f t="shared" si="334"/>
        <v>0</v>
      </c>
      <c r="CUM1599" s="55">
        <f t="shared" si="334"/>
        <v>0</v>
      </c>
      <c r="CUN1599" s="55">
        <f t="shared" si="334"/>
        <v>0</v>
      </c>
      <c r="CUO1599" s="55">
        <f t="shared" si="334"/>
        <v>0</v>
      </c>
      <c r="CUP1599" s="55">
        <f t="shared" si="334"/>
        <v>0</v>
      </c>
      <c r="CUQ1599" s="55">
        <f t="shared" si="334"/>
        <v>0</v>
      </c>
      <c r="CUR1599" s="55">
        <f t="shared" si="334"/>
        <v>0</v>
      </c>
      <c r="CUS1599" s="55">
        <f t="shared" si="334"/>
        <v>0</v>
      </c>
      <c r="CUT1599" s="55">
        <f t="shared" si="334"/>
        <v>0</v>
      </c>
      <c r="CUU1599" s="55">
        <f t="shared" si="334"/>
        <v>0</v>
      </c>
      <c r="CUV1599" s="55">
        <f t="shared" si="334"/>
        <v>0</v>
      </c>
      <c r="CUW1599" s="55">
        <f t="shared" si="334"/>
        <v>0</v>
      </c>
      <c r="CUX1599" s="55">
        <f t="shared" si="334"/>
        <v>0</v>
      </c>
      <c r="CUY1599" s="55">
        <f t="shared" si="334"/>
        <v>0</v>
      </c>
      <c r="CUZ1599" s="55">
        <f t="shared" si="334"/>
        <v>0</v>
      </c>
      <c r="CVA1599" s="55">
        <f t="shared" si="334"/>
        <v>0</v>
      </c>
      <c r="CVB1599" s="55">
        <f t="shared" si="334"/>
        <v>0</v>
      </c>
      <c r="CVC1599" s="55">
        <f t="shared" si="334"/>
        <v>0</v>
      </c>
      <c r="CVD1599" s="55">
        <f t="shared" si="334"/>
        <v>0</v>
      </c>
      <c r="CVE1599" s="55">
        <f t="shared" si="334"/>
        <v>0</v>
      </c>
      <c r="CVF1599" s="55">
        <f t="shared" si="334"/>
        <v>0</v>
      </c>
      <c r="CVG1599" s="55">
        <f t="shared" si="334"/>
        <v>0</v>
      </c>
      <c r="CVH1599" s="55">
        <f t="shared" si="334"/>
        <v>0</v>
      </c>
      <c r="CVI1599" s="55">
        <f t="shared" si="334"/>
        <v>0</v>
      </c>
      <c r="CVJ1599" s="55">
        <f t="shared" si="334"/>
        <v>0</v>
      </c>
      <c r="CVK1599" s="55">
        <f t="shared" si="334"/>
        <v>0</v>
      </c>
      <c r="CVL1599" s="55">
        <f t="shared" si="334"/>
        <v>0</v>
      </c>
      <c r="CVM1599" s="55">
        <f t="shared" si="334"/>
        <v>0</v>
      </c>
      <c r="CVN1599" s="55">
        <f t="shared" si="334"/>
        <v>0</v>
      </c>
      <c r="CVO1599" s="55">
        <f t="shared" si="334"/>
        <v>0</v>
      </c>
      <c r="CVP1599" s="55">
        <f t="shared" si="334"/>
        <v>0</v>
      </c>
      <c r="CVQ1599" s="55">
        <f t="shared" si="334"/>
        <v>0</v>
      </c>
      <c r="CVR1599" s="55">
        <f t="shared" si="334"/>
        <v>0</v>
      </c>
      <c r="CVS1599" s="55">
        <f t="shared" si="334"/>
        <v>0</v>
      </c>
      <c r="CVT1599" s="55">
        <f t="shared" si="334"/>
        <v>0</v>
      </c>
      <c r="CVU1599" s="55">
        <f t="shared" si="334"/>
        <v>0</v>
      </c>
      <c r="CVV1599" s="55">
        <f t="shared" si="334"/>
        <v>0</v>
      </c>
      <c r="CVW1599" s="55">
        <f t="shared" si="334"/>
        <v>0</v>
      </c>
      <c r="CVX1599" s="55">
        <f t="shared" si="334"/>
        <v>0</v>
      </c>
      <c r="CVY1599" s="55">
        <f t="shared" si="334"/>
        <v>0</v>
      </c>
      <c r="CVZ1599" s="55">
        <f t="shared" si="334"/>
        <v>0</v>
      </c>
      <c r="CWA1599" s="55">
        <f t="shared" si="334"/>
        <v>0</v>
      </c>
      <c r="CWB1599" s="55">
        <f t="shared" si="334"/>
        <v>0</v>
      </c>
      <c r="CWC1599" s="55">
        <f t="shared" si="334"/>
        <v>0</v>
      </c>
      <c r="CWD1599" s="55">
        <f t="shared" si="334"/>
        <v>0</v>
      </c>
      <c r="CWE1599" s="55">
        <f t="shared" si="334"/>
        <v>0</v>
      </c>
      <c r="CWF1599" s="55">
        <f t="shared" si="334"/>
        <v>0</v>
      </c>
      <c r="CWG1599" s="55">
        <f t="shared" si="334"/>
        <v>0</v>
      </c>
      <c r="CWH1599" s="55">
        <f t="shared" si="334"/>
        <v>0</v>
      </c>
      <c r="CWI1599" s="55">
        <f t="shared" si="334"/>
        <v>0</v>
      </c>
      <c r="CWJ1599" s="55">
        <f t="shared" ref="CWJ1599:CYU1599" si="335">+(CWJ1619+CWJ1623)*1.18*1.1</f>
        <v>0</v>
      </c>
      <c r="CWK1599" s="55">
        <f t="shared" si="335"/>
        <v>0</v>
      </c>
      <c r="CWL1599" s="55">
        <f t="shared" si="335"/>
        <v>0</v>
      </c>
      <c r="CWM1599" s="55">
        <f t="shared" si="335"/>
        <v>0</v>
      </c>
      <c r="CWN1599" s="55">
        <f t="shared" si="335"/>
        <v>0</v>
      </c>
      <c r="CWO1599" s="55">
        <f t="shared" si="335"/>
        <v>0</v>
      </c>
      <c r="CWP1599" s="55">
        <f t="shared" si="335"/>
        <v>0</v>
      </c>
      <c r="CWQ1599" s="55">
        <f t="shared" si="335"/>
        <v>0</v>
      </c>
      <c r="CWR1599" s="55">
        <f t="shared" si="335"/>
        <v>0</v>
      </c>
      <c r="CWS1599" s="55">
        <f t="shared" si="335"/>
        <v>0</v>
      </c>
      <c r="CWT1599" s="55">
        <f t="shared" si="335"/>
        <v>0</v>
      </c>
      <c r="CWU1599" s="55">
        <f t="shared" si="335"/>
        <v>0</v>
      </c>
      <c r="CWV1599" s="55">
        <f t="shared" si="335"/>
        <v>0</v>
      </c>
      <c r="CWW1599" s="55">
        <f t="shared" si="335"/>
        <v>0</v>
      </c>
      <c r="CWX1599" s="55">
        <f t="shared" si="335"/>
        <v>0</v>
      </c>
      <c r="CWY1599" s="55">
        <f t="shared" si="335"/>
        <v>0</v>
      </c>
      <c r="CWZ1599" s="55">
        <f t="shared" si="335"/>
        <v>0</v>
      </c>
      <c r="CXA1599" s="55">
        <f t="shared" si="335"/>
        <v>0</v>
      </c>
      <c r="CXB1599" s="55">
        <f t="shared" si="335"/>
        <v>0</v>
      </c>
      <c r="CXC1599" s="55">
        <f t="shared" si="335"/>
        <v>0</v>
      </c>
      <c r="CXD1599" s="55">
        <f t="shared" si="335"/>
        <v>0</v>
      </c>
      <c r="CXE1599" s="55">
        <f t="shared" si="335"/>
        <v>0</v>
      </c>
      <c r="CXF1599" s="55">
        <f t="shared" si="335"/>
        <v>0</v>
      </c>
      <c r="CXG1599" s="55">
        <f t="shared" si="335"/>
        <v>0</v>
      </c>
      <c r="CXH1599" s="55">
        <f t="shared" si="335"/>
        <v>0</v>
      </c>
      <c r="CXI1599" s="55">
        <f t="shared" si="335"/>
        <v>0</v>
      </c>
      <c r="CXJ1599" s="55">
        <f t="shared" si="335"/>
        <v>0</v>
      </c>
      <c r="CXK1599" s="55">
        <f t="shared" si="335"/>
        <v>0</v>
      </c>
      <c r="CXL1599" s="55">
        <f t="shared" si="335"/>
        <v>0</v>
      </c>
      <c r="CXM1599" s="55">
        <f t="shared" si="335"/>
        <v>0</v>
      </c>
      <c r="CXN1599" s="55">
        <f t="shared" si="335"/>
        <v>0</v>
      </c>
      <c r="CXO1599" s="55">
        <f t="shared" si="335"/>
        <v>0</v>
      </c>
      <c r="CXP1599" s="55">
        <f t="shared" si="335"/>
        <v>0</v>
      </c>
      <c r="CXQ1599" s="55">
        <f t="shared" si="335"/>
        <v>0</v>
      </c>
      <c r="CXR1599" s="55">
        <f t="shared" si="335"/>
        <v>0</v>
      </c>
      <c r="CXS1599" s="55">
        <f t="shared" si="335"/>
        <v>0</v>
      </c>
      <c r="CXT1599" s="55">
        <f t="shared" si="335"/>
        <v>0</v>
      </c>
      <c r="CXU1599" s="55">
        <f t="shared" si="335"/>
        <v>0</v>
      </c>
      <c r="CXV1599" s="55">
        <f t="shared" si="335"/>
        <v>0</v>
      </c>
      <c r="CXW1599" s="55">
        <f t="shared" si="335"/>
        <v>0</v>
      </c>
      <c r="CXX1599" s="55">
        <f t="shared" si="335"/>
        <v>0</v>
      </c>
      <c r="CXY1599" s="55">
        <f t="shared" si="335"/>
        <v>0</v>
      </c>
      <c r="CXZ1599" s="55">
        <f t="shared" si="335"/>
        <v>0</v>
      </c>
      <c r="CYA1599" s="55">
        <f t="shared" si="335"/>
        <v>0</v>
      </c>
      <c r="CYB1599" s="55">
        <f t="shared" si="335"/>
        <v>0</v>
      </c>
      <c r="CYC1599" s="55">
        <f t="shared" si="335"/>
        <v>0</v>
      </c>
      <c r="CYD1599" s="55">
        <f t="shared" si="335"/>
        <v>0</v>
      </c>
      <c r="CYE1599" s="55">
        <f t="shared" si="335"/>
        <v>0</v>
      </c>
      <c r="CYF1599" s="55">
        <f t="shared" si="335"/>
        <v>0</v>
      </c>
      <c r="CYG1599" s="55">
        <f t="shared" si="335"/>
        <v>0</v>
      </c>
      <c r="CYH1599" s="55">
        <f t="shared" si="335"/>
        <v>0</v>
      </c>
      <c r="CYI1599" s="55">
        <f t="shared" si="335"/>
        <v>0</v>
      </c>
      <c r="CYJ1599" s="55">
        <f t="shared" si="335"/>
        <v>0</v>
      </c>
      <c r="CYK1599" s="55">
        <f t="shared" si="335"/>
        <v>0</v>
      </c>
      <c r="CYL1599" s="55">
        <f t="shared" si="335"/>
        <v>0</v>
      </c>
      <c r="CYM1599" s="55">
        <f t="shared" si="335"/>
        <v>0</v>
      </c>
      <c r="CYN1599" s="55">
        <f t="shared" si="335"/>
        <v>0</v>
      </c>
      <c r="CYO1599" s="55">
        <f t="shared" si="335"/>
        <v>0</v>
      </c>
      <c r="CYP1599" s="55">
        <f t="shared" si="335"/>
        <v>0</v>
      </c>
      <c r="CYQ1599" s="55">
        <f t="shared" si="335"/>
        <v>0</v>
      </c>
      <c r="CYR1599" s="55">
        <f t="shared" si="335"/>
        <v>0</v>
      </c>
      <c r="CYS1599" s="55">
        <f t="shared" si="335"/>
        <v>0</v>
      </c>
      <c r="CYT1599" s="55">
        <f t="shared" si="335"/>
        <v>0</v>
      </c>
      <c r="CYU1599" s="55">
        <f t="shared" si="335"/>
        <v>0</v>
      </c>
      <c r="CYV1599" s="55">
        <f t="shared" ref="CYV1599:DBG1599" si="336">+(CYV1619+CYV1623)*1.18*1.1</f>
        <v>0</v>
      </c>
      <c r="CYW1599" s="55">
        <f t="shared" si="336"/>
        <v>0</v>
      </c>
      <c r="CYX1599" s="55">
        <f t="shared" si="336"/>
        <v>0</v>
      </c>
      <c r="CYY1599" s="55">
        <f t="shared" si="336"/>
        <v>0</v>
      </c>
      <c r="CYZ1599" s="55">
        <f t="shared" si="336"/>
        <v>0</v>
      </c>
      <c r="CZA1599" s="55">
        <f t="shared" si="336"/>
        <v>0</v>
      </c>
      <c r="CZB1599" s="55">
        <f t="shared" si="336"/>
        <v>0</v>
      </c>
      <c r="CZC1599" s="55">
        <f t="shared" si="336"/>
        <v>0</v>
      </c>
      <c r="CZD1599" s="55">
        <f t="shared" si="336"/>
        <v>0</v>
      </c>
      <c r="CZE1599" s="55">
        <f t="shared" si="336"/>
        <v>0</v>
      </c>
      <c r="CZF1599" s="55">
        <f t="shared" si="336"/>
        <v>0</v>
      </c>
      <c r="CZG1599" s="55">
        <f t="shared" si="336"/>
        <v>0</v>
      </c>
      <c r="CZH1599" s="55">
        <f t="shared" si="336"/>
        <v>0</v>
      </c>
      <c r="CZI1599" s="55">
        <f t="shared" si="336"/>
        <v>0</v>
      </c>
      <c r="CZJ1599" s="55">
        <f t="shared" si="336"/>
        <v>0</v>
      </c>
      <c r="CZK1599" s="55">
        <f t="shared" si="336"/>
        <v>0</v>
      </c>
      <c r="CZL1599" s="55">
        <f t="shared" si="336"/>
        <v>0</v>
      </c>
      <c r="CZM1599" s="55">
        <f t="shared" si="336"/>
        <v>0</v>
      </c>
      <c r="CZN1599" s="55">
        <f t="shared" si="336"/>
        <v>0</v>
      </c>
      <c r="CZO1599" s="55">
        <f t="shared" si="336"/>
        <v>0</v>
      </c>
      <c r="CZP1599" s="55">
        <f t="shared" si="336"/>
        <v>0</v>
      </c>
      <c r="CZQ1599" s="55">
        <f t="shared" si="336"/>
        <v>0</v>
      </c>
      <c r="CZR1599" s="55">
        <f t="shared" si="336"/>
        <v>0</v>
      </c>
      <c r="CZS1599" s="55">
        <f t="shared" si="336"/>
        <v>0</v>
      </c>
      <c r="CZT1599" s="55">
        <f t="shared" si="336"/>
        <v>0</v>
      </c>
      <c r="CZU1599" s="55">
        <f t="shared" si="336"/>
        <v>0</v>
      </c>
      <c r="CZV1599" s="55">
        <f t="shared" si="336"/>
        <v>0</v>
      </c>
      <c r="CZW1599" s="55">
        <f t="shared" si="336"/>
        <v>0</v>
      </c>
      <c r="CZX1599" s="55">
        <f t="shared" si="336"/>
        <v>0</v>
      </c>
      <c r="CZY1599" s="55">
        <f t="shared" si="336"/>
        <v>0</v>
      </c>
      <c r="CZZ1599" s="55">
        <f t="shared" si="336"/>
        <v>0</v>
      </c>
      <c r="DAA1599" s="55">
        <f t="shared" si="336"/>
        <v>0</v>
      </c>
      <c r="DAB1599" s="55">
        <f t="shared" si="336"/>
        <v>0</v>
      </c>
      <c r="DAC1599" s="55">
        <f t="shared" si="336"/>
        <v>0</v>
      </c>
      <c r="DAD1599" s="55">
        <f t="shared" si="336"/>
        <v>0</v>
      </c>
      <c r="DAE1599" s="55">
        <f t="shared" si="336"/>
        <v>0</v>
      </c>
      <c r="DAF1599" s="55">
        <f t="shared" si="336"/>
        <v>0</v>
      </c>
      <c r="DAG1599" s="55">
        <f t="shared" si="336"/>
        <v>0</v>
      </c>
      <c r="DAH1599" s="55">
        <f t="shared" si="336"/>
        <v>0</v>
      </c>
      <c r="DAI1599" s="55">
        <f t="shared" si="336"/>
        <v>0</v>
      </c>
      <c r="DAJ1599" s="55">
        <f t="shared" si="336"/>
        <v>0</v>
      </c>
      <c r="DAK1599" s="55">
        <f t="shared" si="336"/>
        <v>0</v>
      </c>
      <c r="DAL1599" s="55">
        <f t="shared" si="336"/>
        <v>0</v>
      </c>
      <c r="DAM1599" s="55">
        <f t="shared" si="336"/>
        <v>0</v>
      </c>
      <c r="DAN1599" s="55">
        <f t="shared" si="336"/>
        <v>0</v>
      </c>
      <c r="DAO1599" s="55">
        <f t="shared" si="336"/>
        <v>0</v>
      </c>
      <c r="DAP1599" s="55">
        <f t="shared" si="336"/>
        <v>0</v>
      </c>
      <c r="DAQ1599" s="55">
        <f t="shared" si="336"/>
        <v>0</v>
      </c>
      <c r="DAR1599" s="55">
        <f t="shared" si="336"/>
        <v>0</v>
      </c>
      <c r="DAS1599" s="55">
        <f t="shared" si="336"/>
        <v>0</v>
      </c>
      <c r="DAT1599" s="55">
        <f t="shared" si="336"/>
        <v>0</v>
      </c>
      <c r="DAU1599" s="55">
        <f t="shared" si="336"/>
        <v>0</v>
      </c>
      <c r="DAV1599" s="55">
        <f t="shared" si="336"/>
        <v>0</v>
      </c>
      <c r="DAW1599" s="55">
        <f t="shared" si="336"/>
        <v>0</v>
      </c>
      <c r="DAX1599" s="55">
        <f t="shared" si="336"/>
        <v>0</v>
      </c>
      <c r="DAY1599" s="55">
        <f t="shared" si="336"/>
        <v>0</v>
      </c>
      <c r="DAZ1599" s="55">
        <f t="shared" si="336"/>
        <v>0</v>
      </c>
      <c r="DBA1599" s="55">
        <f t="shared" si="336"/>
        <v>0</v>
      </c>
      <c r="DBB1599" s="55">
        <f t="shared" si="336"/>
        <v>0</v>
      </c>
      <c r="DBC1599" s="55">
        <f t="shared" si="336"/>
        <v>0</v>
      </c>
      <c r="DBD1599" s="55">
        <f t="shared" si="336"/>
        <v>0</v>
      </c>
      <c r="DBE1599" s="55">
        <f t="shared" si="336"/>
        <v>0</v>
      </c>
      <c r="DBF1599" s="55">
        <f t="shared" si="336"/>
        <v>0</v>
      </c>
      <c r="DBG1599" s="55">
        <f t="shared" si="336"/>
        <v>0</v>
      </c>
      <c r="DBH1599" s="55">
        <f t="shared" ref="DBH1599:DDS1599" si="337">+(DBH1619+DBH1623)*1.18*1.1</f>
        <v>0</v>
      </c>
      <c r="DBI1599" s="55">
        <f t="shared" si="337"/>
        <v>0</v>
      </c>
      <c r="DBJ1599" s="55">
        <f t="shared" si="337"/>
        <v>0</v>
      </c>
      <c r="DBK1599" s="55">
        <f t="shared" si="337"/>
        <v>0</v>
      </c>
      <c r="DBL1599" s="55">
        <f t="shared" si="337"/>
        <v>0</v>
      </c>
      <c r="DBM1599" s="55">
        <f t="shared" si="337"/>
        <v>0</v>
      </c>
      <c r="DBN1599" s="55">
        <f t="shared" si="337"/>
        <v>0</v>
      </c>
      <c r="DBO1599" s="55">
        <f t="shared" si="337"/>
        <v>0</v>
      </c>
      <c r="DBP1599" s="55">
        <f t="shared" si="337"/>
        <v>0</v>
      </c>
      <c r="DBQ1599" s="55">
        <f t="shared" si="337"/>
        <v>0</v>
      </c>
      <c r="DBR1599" s="55">
        <f t="shared" si="337"/>
        <v>0</v>
      </c>
      <c r="DBS1599" s="55">
        <f t="shared" si="337"/>
        <v>0</v>
      </c>
      <c r="DBT1599" s="55">
        <f t="shared" si="337"/>
        <v>0</v>
      </c>
      <c r="DBU1599" s="55">
        <f t="shared" si="337"/>
        <v>0</v>
      </c>
      <c r="DBV1599" s="55">
        <f t="shared" si="337"/>
        <v>0</v>
      </c>
      <c r="DBW1599" s="55">
        <f t="shared" si="337"/>
        <v>0</v>
      </c>
      <c r="DBX1599" s="55">
        <f t="shared" si="337"/>
        <v>0</v>
      </c>
      <c r="DBY1599" s="55">
        <f t="shared" si="337"/>
        <v>0</v>
      </c>
      <c r="DBZ1599" s="55">
        <f t="shared" si="337"/>
        <v>0</v>
      </c>
      <c r="DCA1599" s="55">
        <f t="shared" si="337"/>
        <v>0</v>
      </c>
      <c r="DCB1599" s="55">
        <f t="shared" si="337"/>
        <v>0</v>
      </c>
      <c r="DCC1599" s="55">
        <f t="shared" si="337"/>
        <v>0</v>
      </c>
      <c r="DCD1599" s="55">
        <f t="shared" si="337"/>
        <v>0</v>
      </c>
      <c r="DCE1599" s="55">
        <f t="shared" si="337"/>
        <v>0</v>
      </c>
      <c r="DCF1599" s="55">
        <f t="shared" si="337"/>
        <v>0</v>
      </c>
      <c r="DCG1599" s="55">
        <f t="shared" si="337"/>
        <v>0</v>
      </c>
      <c r="DCH1599" s="55">
        <f t="shared" si="337"/>
        <v>0</v>
      </c>
      <c r="DCI1599" s="55">
        <f t="shared" si="337"/>
        <v>0</v>
      </c>
      <c r="DCJ1599" s="55">
        <f t="shared" si="337"/>
        <v>0</v>
      </c>
      <c r="DCK1599" s="55">
        <f t="shared" si="337"/>
        <v>0</v>
      </c>
      <c r="DCL1599" s="55">
        <f t="shared" si="337"/>
        <v>0</v>
      </c>
      <c r="DCM1599" s="55">
        <f t="shared" si="337"/>
        <v>0</v>
      </c>
      <c r="DCN1599" s="55">
        <f t="shared" si="337"/>
        <v>0</v>
      </c>
      <c r="DCO1599" s="55">
        <f t="shared" si="337"/>
        <v>0</v>
      </c>
      <c r="DCP1599" s="55">
        <f t="shared" si="337"/>
        <v>0</v>
      </c>
      <c r="DCQ1599" s="55">
        <f t="shared" si="337"/>
        <v>0</v>
      </c>
      <c r="DCR1599" s="55">
        <f t="shared" si="337"/>
        <v>0</v>
      </c>
      <c r="DCS1599" s="55">
        <f t="shared" si="337"/>
        <v>0</v>
      </c>
      <c r="DCT1599" s="55">
        <f t="shared" si="337"/>
        <v>0</v>
      </c>
      <c r="DCU1599" s="55">
        <f t="shared" si="337"/>
        <v>0</v>
      </c>
      <c r="DCV1599" s="55">
        <f t="shared" si="337"/>
        <v>0</v>
      </c>
      <c r="DCW1599" s="55">
        <f t="shared" si="337"/>
        <v>0</v>
      </c>
      <c r="DCX1599" s="55">
        <f t="shared" si="337"/>
        <v>0</v>
      </c>
      <c r="DCY1599" s="55">
        <f t="shared" si="337"/>
        <v>0</v>
      </c>
      <c r="DCZ1599" s="55">
        <f t="shared" si="337"/>
        <v>0</v>
      </c>
      <c r="DDA1599" s="55">
        <f t="shared" si="337"/>
        <v>0</v>
      </c>
      <c r="DDB1599" s="55">
        <f t="shared" si="337"/>
        <v>0</v>
      </c>
      <c r="DDC1599" s="55">
        <f t="shared" si="337"/>
        <v>0</v>
      </c>
      <c r="DDD1599" s="55">
        <f t="shared" si="337"/>
        <v>0</v>
      </c>
      <c r="DDE1599" s="55">
        <f t="shared" si="337"/>
        <v>0</v>
      </c>
      <c r="DDF1599" s="55">
        <f t="shared" si="337"/>
        <v>0</v>
      </c>
      <c r="DDG1599" s="55">
        <f t="shared" si="337"/>
        <v>0</v>
      </c>
      <c r="DDH1599" s="55">
        <f t="shared" si="337"/>
        <v>0</v>
      </c>
      <c r="DDI1599" s="55">
        <f t="shared" si="337"/>
        <v>0</v>
      </c>
      <c r="DDJ1599" s="55">
        <f t="shared" si="337"/>
        <v>0</v>
      </c>
      <c r="DDK1599" s="55">
        <f t="shared" si="337"/>
        <v>0</v>
      </c>
      <c r="DDL1599" s="55">
        <f t="shared" si="337"/>
        <v>0</v>
      </c>
      <c r="DDM1599" s="55">
        <f t="shared" si="337"/>
        <v>0</v>
      </c>
      <c r="DDN1599" s="55">
        <f t="shared" si="337"/>
        <v>0</v>
      </c>
      <c r="DDO1599" s="55">
        <f t="shared" si="337"/>
        <v>0</v>
      </c>
      <c r="DDP1599" s="55">
        <f t="shared" si="337"/>
        <v>0</v>
      </c>
      <c r="DDQ1599" s="55">
        <f t="shared" si="337"/>
        <v>0</v>
      </c>
      <c r="DDR1599" s="55">
        <f t="shared" si="337"/>
        <v>0</v>
      </c>
      <c r="DDS1599" s="55">
        <f t="shared" si="337"/>
        <v>0</v>
      </c>
      <c r="DDT1599" s="55">
        <f t="shared" ref="DDT1599:DGE1599" si="338">+(DDT1619+DDT1623)*1.18*1.1</f>
        <v>0</v>
      </c>
      <c r="DDU1599" s="55">
        <f t="shared" si="338"/>
        <v>0</v>
      </c>
      <c r="DDV1599" s="55">
        <f t="shared" si="338"/>
        <v>0</v>
      </c>
      <c r="DDW1599" s="55">
        <f t="shared" si="338"/>
        <v>0</v>
      </c>
      <c r="DDX1599" s="55">
        <f t="shared" si="338"/>
        <v>0</v>
      </c>
      <c r="DDY1599" s="55">
        <f t="shared" si="338"/>
        <v>0</v>
      </c>
      <c r="DDZ1599" s="55">
        <f t="shared" si="338"/>
        <v>0</v>
      </c>
      <c r="DEA1599" s="55">
        <f t="shared" si="338"/>
        <v>0</v>
      </c>
      <c r="DEB1599" s="55">
        <f t="shared" si="338"/>
        <v>0</v>
      </c>
      <c r="DEC1599" s="55">
        <f t="shared" si="338"/>
        <v>0</v>
      </c>
      <c r="DED1599" s="55">
        <f t="shared" si="338"/>
        <v>0</v>
      </c>
      <c r="DEE1599" s="55">
        <f t="shared" si="338"/>
        <v>0</v>
      </c>
      <c r="DEF1599" s="55">
        <f t="shared" si="338"/>
        <v>0</v>
      </c>
      <c r="DEG1599" s="55">
        <f t="shared" si="338"/>
        <v>0</v>
      </c>
      <c r="DEH1599" s="55">
        <f t="shared" si="338"/>
        <v>0</v>
      </c>
      <c r="DEI1599" s="55">
        <f t="shared" si="338"/>
        <v>0</v>
      </c>
      <c r="DEJ1599" s="55">
        <f t="shared" si="338"/>
        <v>0</v>
      </c>
      <c r="DEK1599" s="55">
        <f t="shared" si="338"/>
        <v>0</v>
      </c>
      <c r="DEL1599" s="55">
        <f t="shared" si="338"/>
        <v>0</v>
      </c>
      <c r="DEM1599" s="55">
        <f t="shared" si="338"/>
        <v>0</v>
      </c>
      <c r="DEN1599" s="55">
        <f t="shared" si="338"/>
        <v>0</v>
      </c>
      <c r="DEO1599" s="55">
        <f t="shared" si="338"/>
        <v>0</v>
      </c>
      <c r="DEP1599" s="55">
        <f t="shared" si="338"/>
        <v>0</v>
      </c>
      <c r="DEQ1599" s="55">
        <f t="shared" si="338"/>
        <v>0</v>
      </c>
      <c r="DER1599" s="55">
        <f t="shared" si="338"/>
        <v>0</v>
      </c>
      <c r="DES1599" s="55">
        <f t="shared" si="338"/>
        <v>0</v>
      </c>
      <c r="DET1599" s="55">
        <f t="shared" si="338"/>
        <v>0</v>
      </c>
      <c r="DEU1599" s="55">
        <f t="shared" si="338"/>
        <v>0</v>
      </c>
      <c r="DEV1599" s="55">
        <f t="shared" si="338"/>
        <v>0</v>
      </c>
      <c r="DEW1599" s="55">
        <f t="shared" si="338"/>
        <v>0</v>
      </c>
      <c r="DEX1599" s="55">
        <f t="shared" si="338"/>
        <v>0</v>
      </c>
      <c r="DEY1599" s="55">
        <f t="shared" si="338"/>
        <v>0</v>
      </c>
      <c r="DEZ1599" s="55">
        <f t="shared" si="338"/>
        <v>0</v>
      </c>
      <c r="DFA1599" s="55">
        <f t="shared" si="338"/>
        <v>0</v>
      </c>
      <c r="DFB1599" s="55">
        <f t="shared" si="338"/>
        <v>0</v>
      </c>
      <c r="DFC1599" s="55">
        <f t="shared" si="338"/>
        <v>0</v>
      </c>
      <c r="DFD1599" s="55">
        <f t="shared" si="338"/>
        <v>0</v>
      </c>
      <c r="DFE1599" s="55">
        <f t="shared" si="338"/>
        <v>0</v>
      </c>
      <c r="DFF1599" s="55">
        <f t="shared" si="338"/>
        <v>0</v>
      </c>
      <c r="DFG1599" s="55">
        <f t="shared" si="338"/>
        <v>0</v>
      </c>
      <c r="DFH1599" s="55">
        <f t="shared" si="338"/>
        <v>0</v>
      </c>
      <c r="DFI1599" s="55">
        <f t="shared" si="338"/>
        <v>0</v>
      </c>
      <c r="DFJ1599" s="55">
        <f t="shared" si="338"/>
        <v>0</v>
      </c>
      <c r="DFK1599" s="55">
        <f t="shared" si="338"/>
        <v>0</v>
      </c>
      <c r="DFL1599" s="55">
        <f t="shared" si="338"/>
        <v>0</v>
      </c>
      <c r="DFM1599" s="55">
        <f t="shared" si="338"/>
        <v>0</v>
      </c>
      <c r="DFN1599" s="55">
        <f t="shared" si="338"/>
        <v>0</v>
      </c>
      <c r="DFO1599" s="55">
        <f t="shared" si="338"/>
        <v>0</v>
      </c>
      <c r="DFP1599" s="55">
        <f t="shared" si="338"/>
        <v>0</v>
      </c>
      <c r="DFQ1599" s="55">
        <f t="shared" si="338"/>
        <v>0</v>
      </c>
      <c r="DFR1599" s="55">
        <f t="shared" si="338"/>
        <v>0</v>
      </c>
      <c r="DFS1599" s="55">
        <f t="shared" si="338"/>
        <v>0</v>
      </c>
      <c r="DFT1599" s="55">
        <f t="shared" si="338"/>
        <v>0</v>
      </c>
      <c r="DFU1599" s="55">
        <f t="shared" si="338"/>
        <v>0</v>
      </c>
      <c r="DFV1599" s="55">
        <f t="shared" si="338"/>
        <v>0</v>
      </c>
      <c r="DFW1599" s="55">
        <f t="shared" si="338"/>
        <v>0</v>
      </c>
      <c r="DFX1599" s="55">
        <f t="shared" si="338"/>
        <v>0</v>
      </c>
      <c r="DFY1599" s="55">
        <f t="shared" si="338"/>
        <v>0</v>
      </c>
      <c r="DFZ1599" s="55">
        <f t="shared" si="338"/>
        <v>0</v>
      </c>
      <c r="DGA1599" s="55">
        <f t="shared" si="338"/>
        <v>0</v>
      </c>
      <c r="DGB1599" s="55">
        <f t="shared" si="338"/>
        <v>0</v>
      </c>
      <c r="DGC1599" s="55">
        <f t="shared" si="338"/>
        <v>0</v>
      </c>
      <c r="DGD1599" s="55">
        <f t="shared" si="338"/>
        <v>0</v>
      </c>
      <c r="DGE1599" s="55">
        <f t="shared" si="338"/>
        <v>0</v>
      </c>
      <c r="DGF1599" s="55">
        <f t="shared" ref="DGF1599:DIQ1599" si="339">+(DGF1619+DGF1623)*1.18*1.1</f>
        <v>0</v>
      </c>
      <c r="DGG1599" s="55">
        <f t="shared" si="339"/>
        <v>0</v>
      </c>
      <c r="DGH1599" s="55">
        <f t="shared" si="339"/>
        <v>0</v>
      </c>
      <c r="DGI1599" s="55">
        <f t="shared" si="339"/>
        <v>0</v>
      </c>
      <c r="DGJ1599" s="55">
        <f t="shared" si="339"/>
        <v>0</v>
      </c>
      <c r="DGK1599" s="55">
        <f t="shared" si="339"/>
        <v>0</v>
      </c>
      <c r="DGL1599" s="55">
        <f t="shared" si="339"/>
        <v>0</v>
      </c>
      <c r="DGM1599" s="55">
        <f t="shared" si="339"/>
        <v>0</v>
      </c>
      <c r="DGN1599" s="55">
        <f t="shared" si="339"/>
        <v>0</v>
      </c>
      <c r="DGO1599" s="55">
        <f t="shared" si="339"/>
        <v>0</v>
      </c>
      <c r="DGP1599" s="55">
        <f t="shared" si="339"/>
        <v>0</v>
      </c>
      <c r="DGQ1599" s="55">
        <f t="shared" si="339"/>
        <v>0</v>
      </c>
      <c r="DGR1599" s="55">
        <f t="shared" si="339"/>
        <v>0</v>
      </c>
      <c r="DGS1599" s="55">
        <f t="shared" si="339"/>
        <v>0</v>
      </c>
      <c r="DGT1599" s="55">
        <f t="shared" si="339"/>
        <v>0</v>
      </c>
      <c r="DGU1599" s="55">
        <f t="shared" si="339"/>
        <v>0</v>
      </c>
      <c r="DGV1599" s="55">
        <f t="shared" si="339"/>
        <v>0</v>
      </c>
      <c r="DGW1599" s="55">
        <f t="shared" si="339"/>
        <v>0</v>
      </c>
      <c r="DGX1599" s="55">
        <f t="shared" si="339"/>
        <v>0</v>
      </c>
      <c r="DGY1599" s="55">
        <f t="shared" si="339"/>
        <v>0</v>
      </c>
      <c r="DGZ1599" s="55">
        <f t="shared" si="339"/>
        <v>0</v>
      </c>
      <c r="DHA1599" s="55">
        <f t="shared" si="339"/>
        <v>0</v>
      </c>
      <c r="DHB1599" s="55">
        <f t="shared" si="339"/>
        <v>0</v>
      </c>
      <c r="DHC1599" s="55">
        <f t="shared" si="339"/>
        <v>0</v>
      </c>
      <c r="DHD1599" s="55">
        <f t="shared" si="339"/>
        <v>0</v>
      </c>
      <c r="DHE1599" s="55">
        <f t="shared" si="339"/>
        <v>0</v>
      </c>
      <c r="DHF1599" s="55">
        <f t="shared" si="339"/>
        <v>0</v>
      </c>
      <c r="DHG1599" s="55">
        <f t="shared" si="339"/>
        <v>0</v>
      </c>
      <c r="DHH1599" s="55">
        <f t="shared" si="339"/>
        <v>0</v>
      </c>
      <c r="DHI1599" s="55">
        <f t="shared" si="339"/>
        <v>0</v>
      </c>
      <c r="DHJ1599" s="55">
        <f t="shared" si="339"/>
        <v>0</v>
      </c>
      <c r="DHK1599" s="55">
        <f t="shared" si="339"/>
        <v>0</v>
      </c>
      <c r="DHL1599" s="55">
        <f t="shared" si="339"/>
        <v>0</v>
      </c>
      <c r="DHM1599" s="55">
        <f t="shared" si="339"/>
        <v>0</v>
      </c>
      <c r="DHN1599" s="55">
        <f t="shared" si="339"/>
        <v>0</v>
      </c>
      <c r="DHO1599" s="55">
        <f t="shared" si="339"/>
        <v>0</v>
      </c>
      <c r="DHP1599" s="55">
        <f t="shared" si="339"/>
        <v>0</v>
      </c>
      <c r="DHQ1599" s="55">
        <f t="shared" si="339"/>
        <v>0</v>
      </c>
      <c r="DHR1599" s="55">
        <f t="shared" si="339"/>
        <v>0</v>
      </c>
      <c r="DHS1599" s="55">
        <f t="shared" si="339"/>
        <v>0</v>
      </c>
      <c r="DHT1599" s="55">
        <f t="shared" si="339"/>
        <v>0</v>
      </c>
      <c r="DHU1599" s="55">
        <f t="shared" si="339"/>
        <v>0</v>
      </c>
      <c r="DHV1599" s="55">
        <f t="shared" si="339"/>
        <v>0</v>
      </c>
      <c r="DHW1599" s="55">
        <f t="shared" si="339"/>
        <v>0</v>
      </c>
      <c r="DHX1599" s="55">
        <f t="shared" si="339"/>
        <v>0</v>
      </c>
      <c r="DHY1599" s="55">
        <f t="shared" si="339"/>
        <v>0</v>
      </c>
      <c r="DHZ1599" s="55">
        <f t="shared" si="339"/>
        <v>0</v>
      </c>
      <c r="DIA1599" s="55">
        <f t="shared" si="339"/>
        <v>0</v>
      </c>
      <c r="DIB1599" s="55">
        <f t="shared" si="339"/>
        <v>0</v>
      </c>
      <c r="DIC1599" s="55">
        <f t="shared" si="339"/>
        <v>0</v>
      </c>
      <c r="DID1599" s="55">
        <f t="shared" si="339"/>
        <v>0</v>
      </c>
      <c r="DIE1599" s="55">
        <f t="shared" si="339"/>
        <v>0</v>
      </c>
      <c r="DIF1599" s="55">
        <f t="shared" si="339"/>
        <v>0</v>
      </c>
      <c r="DIG1599" s="55">
        <f t="shared" si="339"/>
        <v>0</v>
      </c>
      <c r="DIH1599" s="55">
        <f t="shared" si="339"/>
        <v>0</v>
      </c>
      <c r="DII1599" s="55">
        <f t="shared" si="339"/>
        <v>0</v>
      </c>
      <c r="DIJ1599" s="55">
        <f t="shared" si="339"/>
        <v>0</v>
      </c>
      <c r="DIK1599" s="55">
        <f t="shared" si="339"/>
        <v>0</v>
      </c>
      <c r="DIL1599" s="55">
        <f t="shared" si="339"/>
        <v>0</v>
      </c>
      <c r="DIM1599" s="55">
        <f t="shared" si="339"/>
        <v>0</v>
      </c>
      <c r="DIN1599" s="55">
        <f t="shared" si="339"/>
        <v>0</v>
      </c>
      <c r="DIO1599" s="55">
        <f t="shared" si="339"/>
        <v>0</v>
      </c>
      <c r="DIP1599" s="55">
        <f t="shared" si="339"/>
        <v>0</v>
      </c>
      <c r="DIQ1599" s="55">
        <f t="shared" si="339"/>
        <v>0</v>
      </c>
      <c r="DIR1599" s="55">
        <f t="shared" ref="DIR1599:DLC1599" si="340">+(DIR1619+DIR1623)*1.18*1.1</f>
        <v>0</v>
      </c>
      <c r="DIS1599" s="55">
        <f t="shared" si="340"/>
        <v>0</v>
      </c>
      <c r="DIT1599" s="55">
        <f t="shared" si="340"/>
        <v>0</v>
      </c>
      <c r="DIU1599" s="55">
        <f t="shared" si="340"/>
        <v>0</v>
      </c>
      <c r="DIV1599" s="55">
        <f t="shared" si="340"/>
        <v>0</v>
      </c>
      <c r="DIW1599" s="55">
        <f t="shared" si="340"/>
        <v>0</v>
      </c>
      <c r="DIX1599" s="55">
        <f t="shared" si="340"/>
        <v>0</v>
      </c>
      <c r="DIY1599" s="55">
        <f t="shared" si="340"/>
        <v>0</v>
      </c>
      <c r="DIZ1599" s="55">
        <f t="shared" si="340"/>
        <v>0</v>
      </c>
      <c r="DJA1599" s="55">
        <f t="shared" si="340"/>
        <v>0</v>
      </c>
      <c r="DJB1599" s="55">
        <f t="shared" si="340"/>
        <v>0</v>
      </c>
      <c r="DJC1599" s="55">
        <f t="shared" si="340"/>
        <v>0</v>
      </c>
      <c r="DJD1599" s="55">
        <f t="shared" si="340"/>
        <v>0</v>
      </c>
      <c r="DJE1599" s="55">
        <f t="shared" si="340"/>
        <v>0</v>
      </c>
      <c r="DJF1599" s="55">
        <f t="shared" si="340"/>
        <v>0</v>
      </c>
      <c r="DJG1599" s="55">
        <f t="shared" si="340"/>
        <v>0</v>
      </c>
      <c r="DJH1599" s="55">
        <f t="shared" si="340"/>
        <v>0</v>
      </c>
      <c r="DJI1599" s="55">
        <f t="shared" si="340"/>
        <v>0</v>
      </c>
      <c r="DJJ1599" s="55">
        <f t="shared" si="340"/>
        <v>0</v>
      </c>
      <c r="DJK1599" s="55">
        <f t="shared" si="340"/>
        <v>0</v>
      </c>
      <c r="DJL1599" s="55">
        <f t="shared" si="340"/>
        <v>0</v>
      </c>
      <c r="DJM1599" s="55">
        <f t="shared" si="340"/>
        <v>0</v>
      </c>
      <c r="DJN1599" s="55">
        <f t="shared" si="340"/>
        <v>0</v>
      </c>
      <c r="DJO1599" s="55">
        <f t="shared" si="340"/>
        <v>0</v>
      </c>
      <c r="DJP1599" s="55">
        <f t="shared" si="340"/>
        <v>0</v>
      </c>
      <c r="DJQ1599" s="55">
        <f t="shared" si="340"/>
        <v>0</v>
      </c>
      <c r="DJR1599" s="55">
        <f t="shared" si="340"/>
        <v>0</v>
      </c>
      <c r="DJS1599" s="55">
        <f t="shared" si="340"/>
        <v>0</v>
      </c>
      <c r="DJT1599" s="55">
        <f t="shared" si="340"/>
        <v>0</v>
      </c>
      <c r="DJU1599" s="55">
        <f t="shared" si="340"/>
        <v>0</v>
      </c>
      <c r="DJV1599" s="55">
        <f t="shared" si="340"/>
        <v>0</v>
      </c>
      <c r="DJW1599" s="55">
        <f t="shared" si="340"/>
        <v>0</v>
      </c>
      <c r="DJX1599" s="55">
        <f t="shared" si="340"/>
        <v>0</v>
      </c>
      <c r="DJY1599" s="55">
        <f t="shared" si="340"/>
        <v>0</v>
      </c>
      <c r="DJZ1599" s="55">
        <f t="shared" si="340"/>
        <v>0</v>
      </c>
      <c r="DKA1599" s="55">
        <f t="shared" si="340"/>
        <v>0</v>
      </c>
      <c r="DKB1599" s="55">
        <f t="shared" si="340"/>
        <v>0</v>
      </c>
      <c r="DKC1599" s="55">
        <f t="shared" si="340"/>
        <v>0</v>
      </c>
      <c r="DKD1599" s="55">
        <f t="shared" si="340"/>
        <v>0</v>
      </c>
      <c r="DKE1599" s="55">
        <f t="shared" si="340"/>
        <v>0</v>
      </c>
      <c r="DKF1599" s="55">
        <f t="shared" si="340"/>
        <v>0</v>
      </c>
      <c r="DKG1599" s="55">
        <f t="shared" si="340"/>
        <v>0</v>
      </c>
      <c r="DKH1599" s="55">
        <f t="shared" si="340"/>
        <v>0</v>
      </c>
      <c r="DKI1599" s="55">
        <f t="shared" si="340"/>
        <v>0</v>
      </c>
      <c r="DKJ1599" s="55">
        <f t="shared" si="340"/>
        <v>0</v>
      </c>
      <c r="DKK1599" s="55">
        <f t="shared" si="340"/>
        <v>0</v>
      </c>
      <c r="DKL1599" s="55">
        <f t="shared" si="340"/>
        <v>0</v>
      </c>
      <c r="DKM1599" s="55">
        <f t="shared" si="340"/>
        <v>0</v>
      </c>
      <c r="DKN1599" s="55">
        <f t="shared" si="340"/>
        <v>0</v>
      </c>
      <c r="DKO1599" s="55">
        <f t="shared" si="340"/>
        <v>0</v>
      </c>
      <c r="DKP1599" s="55">
        <f t="shared" si="340"/>
        <v>0</v>
      </c>
      <c r="DKQ1599" s="55">
        <f t="shared" si="340"/>
        <v>0</v>
      </c>
      <c r="DKR1599" s="55">
        <f t="shared" si="340"/>
        <v>0</v>
      </c>
      <c r="DKS1599" s="55">
        <f t="shared" si="340"/>
        <v>0</v>
      </c>
      <c r="DKT1599" s="55">
        <f t="shared" si="340"/>
        <v>0</v>
      </c>
      <c r="DKU1599" s="55">
        <f t="shared" si="340"/>
        <v>0</v>
      </c>
      <c r="DKV1599" s="55">
        <f t="shared" si="340"/>
        <v>0</v>
      </c>
      <c r="DKW1599" s="55">
        <f t="shared" si="340"/>
        <v>0</v>
      </c>
      <c r="DKX1599" s="55">
        <f t="shared" si="340"/>
        <v>0</v>
      </c>
      <c r="DKY1599" s="55">
        <f t="shared" si="340"/>
        <v>0</v>
      </c>
      <c r="DKZ1599" s="55">
        <f t="shared" si="340"/>
        <v>0</v>
      </c>
      <c r="DLA1599" s="55">
        <f t="shared" si="340"/>
        <v>0</v>
      </c>
      <c r="DLB1599" s="55">
        <f t="shared" si="340"/>
        <v>0</v>
      </c>
      <c r="DLC1599" s="55">
        <f t="shared" si="340"/>
        <v>0</v>
      </c>
      <c r="DLD1599" s="55">
        <f t="shared" ref="DLD1599:DNO1599" si="341">+(DLD1619+DLD1623)*1.18*1.1</f>
        <v>0</v>
      </c>
      <c r="DLE1599" s="55">
        <f t="shared" si="341"/>
        <v>0</v>
      </c>
      <c r="DLF1599" s="55">
        <f t="shared" si="341"/>
        <v>0</v>
      </c>
      <c r="DLG1599" s="55">
        <f t="shared" si="341"/>
        <v>0</v>
      </c>
      <c r="DLH1599" s="55">
        <f t="shared" si="341"/>
        <v>0</v>
      </c>
      <c r="DLI1599" s="55">
        <f t="shared" si="341"/>
        <v>0</v>
      </c>
      <c r="DLJ1599" s="55">
        <f t="shared" si="341"/>
        <v>0</v>
      </c>
      <c r="DLK1599" s="55">
        <f t="shared" si="341"/>
        <v>0</v>
      </c>
      <c r="DLL1599" s="55">
        <f t="shared" si="341"/>
        <v>0</v>
      </c>
      <c r="DLM1599" s="55">
        <f t="shared" si="341"/>
        <v>0</v>
      </c>
      <c r="DLN1599" s="55">
        <f t="shared" si="341"/>
        <v>0</v>
      </c>
      <c r="DLO1599" s="55">
        <f t="shared" si="341"/>
        <v>0</v>
      </c>
      <c r="DLP1599" s="55">
        <f t="shared" si="341"/>
        <v>0</v>
      </c>
      <c r="DLQ1599" s="55">
        <f t="shared" si="341"/>
        <v>0</v>
      </c>
      <c r="DLR1599" s="55">
        <f t="shared" si="341"/>
        <v>0</v>
      </c>
      <c r="DLS1599" s="55">
        <f t="shared" si="341"/>
        <v>0</v>
      </c>
      <c r="DLT1599" s="55">
        <f t="shared" si="341"/>
        <v>0</v>
      </c>
      <c r="DLU1599" s="55">
        <f t="shared" si="341"/>
        <v>0</v>
      </c>
      <c r="DLV1599" s="55">
        <f t="shared" si="341"/>
        <v>0</v>
      </c>
      <c r="DLW1599" s="55">
        <f t="shared" si="341"/>
        <v>0</v>
      </c>
      <c r="DLX1599" s="55">
        <f t="shared" si="341"/>
        <v>0</v>
      </c>
      <c r="DLY1599" s="55">
        <f t="shared" si="341"/>
        <v>0</v>
      </c>
      <c r="DLZ1599" s="55">
        <f t="shared" si="341"/>
        <v>0</v>
      </c>
      <c r="DMA1599" s="55">
        <f t="shared" si="341"/>
        <v>0</v>
      </c>
      <c r="DMB1599" s="55">
        <f t="shared" si="341"/>
        <v>0</v>
      </c>
      <c r="DMC1599" s="55">
        <f t="shared" si="341"/>
        <v>0</v>
      </c>
      <c r="DMD1599" s="55">
        <f t="shared" si="341"/>
        <v>0</v>
      </c>
      <c r="DME1599" s="55">
        <f t="shared" si="341"/>
        <v>0</v>
      </c>
      <c r="DMF1599" s="55">
        <f t="shared" si="341"/>
        <v>0</v>
      </c>
      <c r="DMG1599" s="55">
        <f t="shared" si="341"/>
        <v>0</v>
      </c>
      <c r="DMH1599" s="55">
        <f t="shared" si="341"/>
        <v>0</v>
      </c>
      <c r="DMI1599" s="55">
        <f t="shared" si="341"/>
        <v>0</v>
      </c>
      <c r="DMJ1599" s="55">
        <f t="shared" si="341"/>
        <v>0</v>
      </c>
      <c r="DMK1599" s="55">
        <f t="shared" si="341"/>
        <v>0</v>
      </c>
      <c r="DML1599" s="55">
        <f t="shared" si="341"/>
        <v>0</v>
      </c>
      <c r="DMM1599" s="55">
        <f t="shared" si="341"/>
        <v>0</v>
      </c>
      <c r="DMN1599" s="55">
        <f t="shared" si="341"/>
        <v>0</v>
      </c>
      <c r="DMO1599" s="55">
        <f t="shared" si="341"/>
        <v>0</v>
      </c>
      <c r="DMP1599" s="55">
        <f t="shared" si="341"/>
        <v>0</v>
      </c>
      <c r="DMQ1599" s="55">
        <f t="shared" si="341"/>
        <v>0</v>
      </c>
      <c r="DMR1599" s="55">
        <f t="shared" si="341"/>
        <v>0</v>
      </c>
      <c r="DMS1599" s="55">
        <f t="shared" si="341"/>
        <v>0</v>
      </c>
      <c r="DMT1599" s="55">
        <f t="shared" si="341"/>
        <v>0</v>
      </c>
      <c r="DMU1599" s="55">
        <f t="shared" si="341"/>
        <v>0</v>
      </c>
      <c r="DMV1599" s="55">
        <f t="shared" si="341"/>
        <v>0</v>
      </c>
      <c r="DMW1599" s="55">
        <f t="shared" si="341"/>
        <v>0</v>
      </c>
      <c r="DMX1599" s="55">
        <f t="shared" si="341"/>
        <v>0</v>
      </c>
      <c r="DMY1599" s="55">
        <f t="shared" si="341"/>
        <v>0</v>
      </c>
      <c r="DMZ1599" s="55">
        <f t="shared" si="341"/>
        <v>0</v>
      </c>
      <c r="DNA1599" s="55">
        <f t="shared" si="341"/>
        <v>0</v>
      </c>
      <c r="DNB1599" s="55">
        <f t="shared" si="341"/>
        <v>0</v>
      </c>
      <c r="DNC1599" s="55">
        <f t="shared" si="341"/>
        <v>0</v>
      </c>
      <c r="DND1599" s="55">
        <f t="shared" si="341"/>
        <v>0</v>
      </c>
      <c r="DNE1599" s="55">
        <f t="shared" si="341"/>
        <v>0</v>
      </c>
      <c r="DNF1599" s="55">
        <f t="shared" si="341"/>
        <v>0</v>
      </c>
      <c r="DNG1599" s="55">
        <f t="shared" si="341"/>
        <v>0</v>
      </c>
      <c r="DNH1599" s="55">
        <f t="shared" si="341"/>
        <v>0</v>
      </c>
      <c r="DNI1599" s="55">
        <f t="shared" si="341"/>
        <v>0</v>
      </c>
      <c r="DNJ1599" s="55">
        <f t="shared" si="341"/>
        <v>0</v>
      </c>
      <c r="DNK1599" s="55">
        <f t="shared" si="341"/>
        <v>0</v>
      </c>
      <c r="DNL1599" s="55">
        <f t="shared" si="341"/>
        <v>0</v>
      </c>
      <c r="DNM1599" s="55">
        <f t="shared" si="341"/>
        <v>0</v>
      </c>
      <c r="DNN1599" s="55">
        <f t="shared" si="341"/>
        <v>0</v>
      </c>
      <c r="DNO1599" s="55">
        <f t="shared" si="341"/>
        <v>0</v>
      </c>
      <c r="DNP1599" s="55">
        <f t="shared" ref="DNP1599:DQA1599" si="342">+(DNP1619+DNP1623)*1.18*1.1</f>
        <v>0</v>
      </c>
      <c r="DNQ1599" s="55">
        <f t="shared" si="342"/>
        <v>0</v>
      </c>
      <c r="DNR1599" s="55">
        <f t="shared" si="342"/>
        <v>0</v>
      </c>
      <c r="DNS1599" s="55">
        <f t="shared" si="342"/>
        <v>0</v>
      </c>
      <c r="DNT1599" s="55">
        <f t="shared" si="342"/>
        <v>0</v>
      </c>
      <c r="DNU1599" s="55">
        <f t="shared" si="342"/>
        <v>0</v>
      </c>
      <c r="DNV1599" s="55">
        <f t="shared" si="342"/>
        <v>0</v>
      </c>
      <c r="DNW1599" s="55">
        <f t="shared" si="342"/>
        <v>0</v>
      </c>
      <c r="DNX1599" s="55">
        <f t="shared" si="342"/>
        <v>0</v>
      </c>
      <c r="DNY1599" s="55">
        <f t="shared" si="342"/>
        <v>0</v>
      </c>
      <c r="DNZ1599" s="55">
        <f t="shared" si="342"/>
        <v>0</v>
      </c>
      <c r="DOA1599" s="55">
        <f t="shared" si="342"/>
        <v>0</v>
      </c>
      <c r="DOB1599" s="55">
        <f t="shared" si="342"/>
        <v>0</v>
      </c>
      <c r="DOC1599" s="55">
        <f t="shared" si="342"/>
        <v>0</v>
      </c>
      <c r="DOD1599" s="55">
        <f t="shared" si="342"/>
        <v>0</v>
      </c>
      <c r="DOE1599" s="55">
        <f t="shared" si="342"/>
        <v>0</v>
      </c>
      <c r="DOF1599" s="55">
        <f t="shared" si="342"/>
        <v>0</v>
      </c>
      <c r="DOG1599" s="55">
        <f t="shared" si="342"/>
        <v>0</v>
      </c>
      <c r="DOH1599" s="55">
        <f t="shared" si="342"/>
        <v>0</v>
      </c>
      <c r="DOI1599" s="55">
        <f t="shared" si="342"/>
        <v>0</v>
      </c>
      <c r="DOJ1599" s="55">
        <f t="shared" si="342"/>
        <v>0</v>
      </c>
      <c r="DOK1599" s="55">
        <f t="shared" si="342"/>
        <v>0</v>
      </c>
      <c r="DOL1599" s="55">
        <f t="shared" si="342"/>
        <v>0</v>
      </c>
      <c r="DOM1599" s="55">
        <f t="shared" si="342"/>
        <v>0</v>
      </c>
      <c r="DON1599" s="55">
        <f t="shared" si="342"/>
        <v>0</v>
      </c>
      <c r="DOO1599" s="55">
        <f t="shared" si="342"/>
        <v>0</v>
      </c>
      <c r="DOP1599" s="55">
        <f t="shared" si="342"/>
        <v>0</v>
      </c>
      <c r="DOQ1599" s="55">
        <f t="shared" si="342"/>
        <v>0</v>
      </c>
      <c r="DOR1599" s="55">
        <f t="shared" si="342"/>
        <v>0</v>
      </c>
      <c r="DOS1599" s="55">
        <f t="shared" si="342"/>
        <v>0</v>
      </c>
      <c r="DOT1599" s="55">
        <f t="shared" si="342"/>
        <v>0</v>
      </c>
      <c r="DOU1599" s="55">
        <f t="shared" si="342"/>
        <v>0</v>
      </c>
      <c r="DOV1599" s="55">
        <f t="shared" si="342"/>
        <v>0</v>
      </c>
      <c r="DOW1599" s="55">
        <f t="shared" si="342"/>
        <v>0</v>
      </c>
      <c r="DOX1599" s="55">
        <f t="shared" si="342"/>
        <v>0</v>
      </c>
      <c r="DOY1599" s="55">
        <f t="shared" si="342"/>
        <v>0</v>
      </c>
      <c r="DOZ1599" s="55">
        <f t="shared" si="342"/>
        <v>0</v>
      </c>
      <c r="DPA1599" s="55">
        <f t="shared" si="342"/>
        <v>0</v>
      </c>
      <c r="DPB1599" s="55">
        <f t="shared" si="342"/>
        <v>0</v>
      </c>
      <c r="DPC1599" s="55">
        <f t="shared" si="342"/>
        <v>0</v>
      </c>
      <c r="DPD1599" s="55">
        <f t="shared" si="342"/>
        <v>0</v>
      </c>
      <c r="DPE1599" s="55">
        <f t="shared" si="342"/>
        <v>0</v>
      </c>
      <c r="DPF1599" s="55">
        <f t="shared" si="342"/>
        <v>0</v>
      </c>
      <c r="DPG1599" s="55">
        <f t="shared" si="342"/>
        <v>0</v>
      </c>
      <c r="DPH1599" s="55">
        <f t="shared" si="342"/>
        <v>0</v>
      </c>
      <c r="DPI1599" s="55">
        <f t="shared" si="342"/>
        <v>0</v>
      </c>
      <c r="DPJ1599" s="55">
        <f t="shared" si="342"/>
        <v>0</v>
      </c>
      <c r="DPK1599" s="55">
        <f t="shared" si="342"/>
        <v>0</v>
      </c>
      <c r="DPL1599" s="55">
        <f t="shared" si="342"/>
        <v>0</v>
      </c>
      <c r="DPM1599" s="55">
        <f t="shared" si="342"/>
        <v>0</v>
      </c>
      <c r="DPN1599" s="55">
        <f t="shared" si="342"/>
        <v>0</v>
      </c>
      <c r="DPO1599" s="55">
        <f t="shared" si="342"/>
        <v>0</v>
      </c>
      <c r="DPP1599" s="55">
        <f t="shared" si="342"/>
        <v>0</v>
      </c>
      <c r="DPQ1599" s="55">
        <f t="shared" si="342"/>
        <v>0</v>
      </c>
      <c r="DPR1599" s="55">
        <f t="shared" si="342"/>
        <v>0</v>
      </c>
      <c r="DPS1599" s="55">
        <f t="shared" si="342"/>
        <v>0</v>
      </c>
      <c r="DPT1599" s="55">
        <f t="shared" si="342"/>
        <v>0</v>
      </c>
      <c r="DPU1599" s="55">
        <f t="shared" si="342"/>
        <v>0</v>
      </c>
      <c r="DPV1599" s="55">
        <f t="shared" si="342"/>
        <v>0</v>
      </c>
      <c r="DPW1599" s="55">
        <f t="shared" si="342"/>
        <v>0</v>
      </c>
      <c r="DPX1599" s="55">
        <f t="shared" si="342"/>
        <v>0</v>
      </c>
      <c r="DPY1599" s="55">
        <f t="shared" si="342"/>
        <v>0</v>
      </c>
      <c r="DPZ1599" s="55">
        <f t="shared" si="342"/>
        <v>0</v>
      </c>
      <c r="DQA1599" s="55">
        <f t="shared" si="342"/>
        <v>0</v>
      </c>
      <c r="DQB1599" s="55">
        <f t="shared" ref="DQB1599:DSM1599" si="343">+(DQB1619+DQB1623)*1.18*1.1</f>
        <v>0</v>
      </c>
      <c r="DQC1599" s="55">
        <f t="shared" si="343"/>
        <v>0</v>
      </c>
      <c r="DQD1599" s="55">
        <f t="shared" si="343"/>
        <v>0</v>
      </c>
      <c r="DQE1599" s="55">
        <f t="shared" si="343"/>
        <v>0</v>
      </c>
      <c r="DQF1599" s="55">
        <f t="shared" si="343"/>
        <v>0</v>
      </c>
      <c r="DQG1599" s="55">
        <f t="shared" si="343"/>
        <v>0</v>
      </c>
      <c r="DQH1599" s="55">
        <f t="shared" si="343"/>
        <v>0</v>
      </c>
      <c r="DQI1599" s="55">
        <f t="shared" si="343"/>
        <v>0</v>
      </c>
      <c r="DQJ1599" s="55">
        <f t="shared" si="343"/>
        <v>0</v>
      </c>
      <c r="DQK1599" s="55">
        <f t="shared" si="343"/>
        <v>0</v>
      </c>
      <c r="DQL1599" s="55">
        <f t="shared" si="343"/>
        <v>0</v>
      </c>
      <c r="DQM1599" s="55">
        <f t="shared" si="343"/>
        <v>0</v>
      </c>
      <c r="DQN1599" s="55">
        <f t="shared" si="343"/>
        <v>0</v>
      </c>
      <c r="DQO1599" s="55">
        <f t="shared" si="343"/>
        <v>0</v>
      </c>
      <c r="DQP1599" s="55">
        <f t="shared" si="343"/>
        <v>0</v>
      </c>
      <c r="DQQ1599" s="55">
        <f t="shared" si="343"/>
        <v>0</v>
      </c>
      <c r="DQR1599" s="55">
        <f t="shared" si="343"/>
        <v>0</v>
      </c>
      <c r="DQS1599" s="55">
        <f t="shared" si="343"/>
        <v>0</v>
      </c>
      <c r="DQT1599" s="55">
        <f t="shared" si="343"/>
        <v>0</v>
      </c>
      <c r="DQU1599" s="55">
        <f t="shared" si="343"/>
        <v>0</v>
      </c>
      <c r="DQV1599" s="55">
        <f t="shared" si="343"/>
        <v>0</v>
      </c>
      <c r="DQW1599" s="55">
        <f t="shared" si="343"/>
        <v>0</v>
      </c>
      <c r="DQX1599" s="55">
        <f t="shared" si="343"/>
        <v>0</v>
      </c>
      <c r="DQY1599" s="55">
        <f t="shared" si="343"/>
        <v>0</v>
      </c>
      <c r="DQZ1599" s="55">
        <f t="shared" si="343"/>
        <v>0</v>
      </c>
      <c r="DRA1599" s="55">
        <f t="shared" si="343"/>
        <v>0</v>
      </c>
      <c r="DRB1599" s="55">
        <f t="shared" si="343"/>
        <v>0</v>
      </c>
      <c r="DRC1599" s="55">
        <f t="shared" si="343"/>
        <v>0</v>
      </c>
      <c r="DRD1599" s="55">
        <f t="shared" si="343"/>
        <v>0</v>
      </c>
      <c r="DRE1599" s="55">
        <f t="shared" si="343"/>
        <v>0</v>
      </c>
      <c r="DRF1599" s="55">
        <f t="shared" si="343"/>
        <v>0</v>
      </c>
      <c r="DRG1599" s="55">
        <f t="shared" si="343"/>
        <v>0</v>
      </c>
      <c r="DRH1599" s="55">
        <f t="shared" si="343"/>
        <v>0</v>
      </c>
      <c r="DRI1599" s="55">
        <f t="shared" si="343"/>
        <v>0</v>
      </c>
      <c r="DRJ1599" s="55">
        <f t="shared" si="343"/>
        <v>0</v>
      </c>
      <c r="DRK1599" s="55">
        <f t="shared" si="343"/>
        <v>0</v>
      </c>
      <c r="DRL1599" s="55">
        <f t="shared" si="343"/>
        <v>0</v>
      </c>
      <c r="DRM1599" s="55">
        <f t="shared" si="343"/>
        <v>0</v>
      </c>
      <c r="DRN1599" s="55">
        <f t="shared" si="343"/>
        <v>0</v>
      </c>
      <c r="DRO1599" s="55">
        <f t="shared" si="343"/>
        <v>0</v>
      </c>
      <c r="DRP1599" s="55">
        <f t="shared" si="343"/>
        <v>0</v>
      </c>
      <c r="DRQ1599" s="55">
        <f t="shared" si="343"/>
        <v>0</v>
      </c>
      <c r="DRR1599" s="55">
        <f t="shared" si="343"/>
        <v>0</v>
      </c>
      <c r="DRS1599" s="55">
        <f t="shared" si="343"/>
        <v>0</v>
      </c>
      <c r="DRT1599" s="55">
        <f t="shared" si="343"/>
        <v>0</v>
      </c>
      <c r="DRU1599" s="55">
        <f t="shared" si="343"/>
        <v>0</v>
      </c>
      <c r="DRV1599" s="55">
        <f t="shared" si="343"/>
        <v>0</v>
      </c>
      <c r="DRW1599" s="55">
        <f t="shared" si="343"/>
        <v>0</v>
      </c>
      <c r="DRX1599" s="55">
        <f t="shared" si="343"/>
        <v>0</v>
      </c>
      <c r="DRY1599" s="55">
        <f t="shared" si="343"/>
        <v>0</v>
      </c>
      <c r="DRZ1599" s="55">
        <f t="shared" si="343"/>
        <v>0</v>
      </c>
      <c r="DSA1599" s="55">
        <f t="shared" si="343"/>
        <v>0</v>
      </c>
      <c r="DSB1599" s="55">
        <f t="shared" si="343"/>
        <v>0</v>
      </c>
      <c r="DSC1599" s="55">
        <f t="shared" si="343"/>
        <v>0</v>
      </c>
      <c r="DSD1599" s="55">
        <f t="shared" si="343"/>
        <v>0</v>
      </c>
      <c r="DSE1599" s="55">
        <f t="shared" si="343"/>
        <v>0</v>
      </c>
      <c r="DSF1599" s="55">
        <f t="shared" si="343"/>
        <v>0</v>
      </c>
      <c r="DSG1599" s="55">
        <f t="shared" si="343"/>
        <v>0</v>
      </c>
      <c r="DSH1599" s="55">
        <f t="shared" si="343"/>
        <v>0</v>
      </c>
      <c r="DSI1599" s="55">
        <f t="shared" si="343"/>
        <v>0</v>
      </c>
      <c r="DSJ1599" s="55">
        <f t="shared" si="343"/>
        <v>0</v>
      </c>
      <c r="DSK1599" s="55">
        <f t="shared" si="343"/>
        <v>0</v>
      </c>
      <c r="DSL1599" s="55">
        <f t="shared" si="343"/>
        <v>0</v>
      </c>
      <c r="DSM1599" s="55">
        <f t="shared" si="343"/>
        <v>0</v>
      </c>
      <c r="DSN1599" s="55">
        <f t="shared" ref="DSN1599:DUY1599" si="344">+(DSN1619+DSN1623)*1.18*1.1</f>
        <v>0</v>
      </c>
      <c r="DSO1599" s="55">
        <f t="shared" si="344"/>
        <v>0</v>
      </c>
      <c r="DSP1599" s="55">
        <f t="shared" si="344"/>
        <v>0</v>
      </c>
      <c r="DSQ1599" s="55">
        <f t="shared" si="344"/>
        <v>0</v>
      </c>
      <c r="DSR1599" s="55">
        <f t="shared" si="344"/>
        <v>0</v>
      </c>
      <c r="DSS1599" s="55">
        <f t="shared" si="344"/>
        <v>0</v>
      </c>
      <c r="DST1599" s="55">
        <f t="shared" si="344"/>
        <v>0</v>
      </c>
      <c r="DSU1599" s="55">
        <f t="shared" si="344"/>
        <v>0</v>
      </c>
      <c r="DSV1599" s="55">
        <f t="shared" si="344"/>
        <v>0</v>
      </c>
      <c r="DSW1599" s="55">
        <f t="shared" si="344"/>
        <v>0</v>
      </c>
      <c r="DSX1599" s="55">
        <f t="shared" si="344"/>
        <v>0</v>
      </c>
      <c r="DSY1599" s="55">
        <f t="shared" si="344"/>
        <v>0</v>
      </c>
      <c r="DSZ1599" s="55">
        <f t="shared" si="344"/>
        <v>0</v>
      </c>
      <c r="DTA1599" s="55">
        <f t="shared" si="344"/>
        <v>0</v>
      </c>
      <c r="DTB1599" s="55">
        <f t="shared" si="344"/>
        <v>0</v>
      </c>
      <c r="DTC1599" s="55">
        <f t="shared" si="344"/>
        <v>0</v>
      </c>
      <c r="DTD1599" s="55">
        <f t="shared" si="344"/>
        <v>0</v>
      </c>
      <c r="DTE1599" s="55">
        <f t="shared" si="344"/>
        <v>0</v>
      </c>
      <c r="DTF1599" s="55">
        <f t="shared" si="344"/>
        <v>0</v>
      </c>
      <c r="DTG1599" s="55">
        <f t="shared" si="344"/>
        <v>0</v>
      </c>
      <c r="DTH1599" s="55">
        <f t="shared" si="344"/>
        <v>0</v>
      </c>
      <c r="DTI1599" s="55">
        <f t="shared" si="344"/>
        <v>0</v>
      </c>
      <c r="DTJ1599" s="55">
        <f t="shared" si="344"/>
        <v>0</v>
      </c>
      <c r="DTK1599" s="55">
        <f t="shared" si="344"/>
        <v>0</v>
      </c>
      <c r="DTL1599" s="55">
        <f t="shared" si="344"/>
        <v>0</v>
      </c>
      <c r="DTM1599" s="55">
        <f t="shared" si="344"/>
        <v>0</v>
      </c>
      <c r="DTN1599" s="55">
        <f t="shared" si="344"/>
        <v>0</v>
      </c>
      <c r="DTO1599" s="55">
        <f t="shared" si="344"/>
        <v>0</v>
      </c>
      <c r="DTP1599" s="55">
        <f t="shared" si="344"/>
        <v>0</v>
      </c>
      <c r="DTQ1599" s="55">
        <f t="shared" si="344"/>
        <v>0</v>
      </c>
      <c r="DTR1599" s="55">
        <f t="shared" si="344"/>
        <v>0</v>
      </c>
      <c r="DTS1599" s="55">
        <f t="shared" si="344"/>
        <v>0</v>
      </c>
      <c r="DTT1599" s="55">
        <f t="shared" si="344"/>
        <v>0</v>
      </c>
      <c r="DTU1599" s="55">
        <f t="shared" si="344"/>
        <v>0</v>
      </c>
      <c r="DTV1599" s="55">
        <f t="shared" si="344"/>
        <v>0</v>
      </c>
      <c r="DTW1599" s="55">
        <f t="shared" si="344"/>
        <v>0</v>
      </c>
      <c r="DTX1599" s="55">
        <f t="shared" si="344"/>
        <v>0</v>
      </c>
      <c r="DTY1599" s="55">
        <f t="shared" si="344"/>
        <v>0</v>
      </c>
      <c r="DTZ1599" s="55">
        <f t="shared" si="344"/>
        <v>0</v>
      </c>
      <c r="DUA1599" s="55">
        <f t="shared" si="344"/>
        <v>0</v>
      </c>
      <c r="DUB1599" s="55">
        <f t="shared" si="344"/>
        <v>0</v>
      </c>
      <c r="DUC1599" s="55">
        <f t="shared" si="344"/>
        <v>0</v>
      </c>
      <c r="DUD1599" s="55">
        <f t="shared" si="344"/>
        <v>0</v>
      </c>
      <c r="DUE1599" s="55">
        <f t="shared" si="344"/>
        <v>0</v>
      </c>
      <c r="DUF1599" s="55">
        <f t="shared" si="344"/>
        <v>0</v>
      </c>
      <c r="DUG1599" s="55">
        <f t="shared" si="344"/>
        <v>0</v>
      </c>
      <c r="DUH1599" s="55">
        <f t="shared" si="344"/>
        <v>0</v>
      </c>
      <c r="DUI1599" s="55">
        <f t="shared" si="344"/>
        <v>0</v>
      </c>
      <c r="DUJ1599" s="55">
        <f t="shared" si="344"/>
        <v>0</v>
      </c>
      <c r="DUK1599" s="55">
        <f t="shared" si="344"/>
        <v>0</v>
      </c>
      <c r="DUL1599" s="55">
        <f t="shared" si="344"/>
        <v>0</v>
      </c>
      <c r="DUM1599" s="55">
        <f t="shared" si="344"/>
        <v>0</v>
      </c>
      <c r="DUN1599" s="55">
        <f t="shared" si="344"/>
        <v>0</v>
      </c>
      <c r="DUO1599" s="55">
        <f t="shared" si="344"/>
        <v>0</v>
      </c>
      <c r="DUP1599" s="55">
        <f t="shared" si="344"/>
        <v>0</v>
      </c>
      <c r="DUQ1599" s="55">
        <f t="shared" si="344"/>
        <v>0</v>
      </c>
      <c r="DUR1599" s="55">
        <f t="shared" si="344"/>
        <v>0</v>
      </c>
      <c r="DUS1599" s="55">
        <f t="shared" si="344"/>
        <v>0</v>
      </c>
      <c r="DUT1599" s="55">
        <f t="shared" si="344"/>
        <v>0</v>
      </c>
      <c r="DUU1599" s="55">
        <f t="shared" si="344"/>
        <v>0</v>
      </c>
      <c r="DUV1599" s="55">
        <f t="shared" si="344"/>
        <v>0</v>
      </c>
      <c r="DUW1599" s="55">
        <f t="shared" si="344"/>
        <v>0</v>
      </c>
      <c r="DUX1599" s="55">
        <f t="shared" si="344"/>
        <v>0</v>
      </c>
      <c r="DUY1599" s="55">
        <f t="shared" si="344"/>
        <v>0</v>
      </c>
      <c r="DUZ1599" s="55">
        <f t="shared" ref="DUZ1599:DXK1599" si="345">+(DUZ1619+DUZ1623)*1.18*1.1</f>
        <v>0</v>
      </c>
      <c r="DVA1599" s="55">
        <f t="shared" si="345"/>
        <v>0</v>
      </c>
      <c r="DVB1599" s="55">
        <f t="shared" si="345"/>
        <v>0</v>
      </c>
      <c r="DVC1599" s="55">
        <f t="shared" si="345"/>
        <v>0</v>
      </c>
      <c r="DVD1599" s="55">
        <f t="shared" si="345"/>
        <v>0</v>
      </c>
      <c r="DVE1599" s="55">
        <f t="shared" si="345"/>
        <v>0</v>
      </c>
      <c r="DVF1599" s="55">
        <f t="shared" si="345"/>
        <v>0</v>
      </c>
      <c r="DVG1599" s="55">
        <f t="shared" si="345"/>
        <v>0</v>
      </c>
      <c r="DVH1599" s="55">
        <f t="shared" si="345"/>
        <v>0</v>
      </c>
      <c r="DVI1599" s="55">
        <f t="shared" si="345"/>
        <v>0</v>
      </c>
      <c r="DVJ1599" s="55">
        <f t="shared" si="345"/>
        <v>0</v>
      </c>
      <c r="DVK1599" s="55">
        <f t="shared" si="345"/>
        <v>0</v>
      </c>
      <c r="DVL1599" s="55">
        <f t="shared" si="345"/>
        <v>0</v>
      </c>
      <c r="DVM1599" s="55">
        <f t="shared" si="345"/>
        <v>0</v>
      </c>
      <c r="DVN1599" s="55">
        <f t="shared" si="345"/>
        <v>0</v>
      </c>
      <c r="DVO1599" s="55">
        <f t="shared" si="345"/>
        <v>0</v>
      </c>
      <c r="DVP1599" s="55">
        <f t="shared" si="345"/>
        <v>0</v>
      </c>
      <c r="DVQ1599" s="55">
        <f t="shared" si="345"/>
        <v>0</v>
      </c>
      <c r="DVR1599" s="55">
        <f t="shared" si="345"/>
        <v>0</v>
      </c>
      <c r="DVS1599" s="55">
        <f t="shared" si="345"/>
        <v>0</v>
      </c>
      <c r="DVT1599" s="55">
        <f t="shared" si="345"/>
        <v>0</v>
      </c>
      <c r="DVU1599" s="55">
        <f t="shared" si="345"/>
        <v>0</v>
      </c>
      <c r="DVV1599" s="55">
        <f t="shared" si="345"/>
        <v>0</v>
      </c>
      <c r="DVW1599" s="55">
        <f t="shared" si="345"/>
        <v>0</v>
      </c>
      <c r="DVX1599" s="55">
        <f t="shared" si="345"/>
        <v>0</v>
      </c>
      <c r="DVY1599" s="55">
        <f t="shared" si="345"/>
        <v>0</v>
      </c>
      <c r="DVZ1599" s="55">
        <f t="shared" si="345"/>
        <v>0</v>
      </c>
      <c r="DWA1599" s="55">
        <f t="shared" si="345"/>
        <v>0</v>
      </c>
      <c r="DWB1599" s="55">
        <f t="shared" si="345"/>
        <v>0</v>
      </c>
      <c r="DWC1599" s="55">
        <f t="shared" si="345"/>
        <v>0</v>
      </c>
      <c r="DWD1599" s="55">
        <f t="shared" si="345"/>
        <v>0</v>
      </c>
      <c r="DWE1599" s="55">
        <f t="shared" si="345"/>
        <v>0</v>
      </c>
      <c r="DWF1599" s="55">
        <f t="shared" si="345"/>
        <v>0</v>
      </c>
      <c r="DWG1599" s="55">
        <f t="shared" si="345"/>
        <v>0</v>
      </c>
      <c r="DWH1599" s="55">
        <f t="shared" si="345"/>
        <v>0</v>
      </c>
      <c r="DWI1599" s="55">
        <f t="shared" si="345"/>
        <v>0</v>
      </c>
      <c r="DWJ1599" s="55">
        <f t="shared" si="345"/>
        <v>0</v>
      </c>
      <c r="DWK1599" s="55">
        <f t="shared" si="345"/>
        <v>0</v>
      </c>
      <c r="DWL1599" s="55">
        <f t="shared" si="345"/>
        <v>0</v>
      </c>
      <c r="DWM1599" s="55">
        <f t="shared" si="345"/>
        <v>0</v>
      </c>
      <c r="DWN1599" s="55">
        <f t="shared" si="345"/>
        <v>0</v>
      </c>
      <c r="DWO1599" s="55">
        <f t="shared" si="345"/>
        <v>0</v>
      </c>
      <c r="DWP1599" s="55">
        <f t="shared" si="345"/>
        <v>0</v>
      </c>
      <c r="DWQ1599" s="55">
        <f t="shared" si="345"/>
        <v>0</v>
      </c>
      <c r="DWR1599" s="55">
        <f t="shared" si="345"/>
        <v>0</v>
      </c>
      <c r="DWS1599" s="55">
        <f t="shared" si="345"/>
        <v>0</v>
      </c>
      <c r="DWT1599" s="55">
        <f t="shared" si="345"/>
        <v>0</v>
      </c>
      <c r="DWU1599" s="55">
        <f t="shared" si="345"/>
        <v>0</v>
      </c>
      <c r="DWV1599" s="55">
        <f t="shared" si="345"/>
        <v>0</v>
      </c>
      <c r="DWW1599" s="55">
        <f t="shared" si="345"/>
        <v>0</v>
      </c>
      <c r="DWX1599" s="55">
        <f t="shared" si="345"/>
        <v>0</v>
      </c>
      <c r="DWY1599" s="55">
        <f t="shared" si="345"/>
        <v>0</v>
      </c>
      <c r="DWZ1599" s="55">
        <f t="shared" si="345"/>
        <v>0</v>
      </c>
      <c r="DXA1599" s="55">
        <f t="shared" si="345"/>
        <v>0</v>
      </c>
      <c r="DXB1599" s="55">
        <f t="shared" si="345"/>
        <v>0</v>
      </c>
      <c r="DXC1599" s="55">
        <f t="shared" si="345"/>
        <v>0</v>
      </c>
      <c r="DXD1599" s="55">
        <f t="shared" si="345"/>
        <v>0</v>
      </c>
      <c r="DXE1599" s="55">
        <f t="shared" si="345"/>
        <v>0</v>
      </c>
      <c r="DXF1599" s="55">
        <f t="shared" si="345"/>
        <v>0</v>
      </c>
      <c r="DXG1599" s="55">
        <f t="shared" si="345"/>
        <v>0</v>
      </c>
      <c r="DXH1599" s="55">
        <f t="shared" si="345"/>
        <v>0</v>
      </c>
      <c r="DXI1599" s="55">
        <f t="shared" si="345"/>
        <v>0</v>
      </c>
      <c r="DXJ1599" s="55">
        <f t="shared" si="345"/>
        <v>0</v>
      </c>
      <c r="DXK1599" s="55">
        <f t="shared" si="345"/>
        <v>0</v>
      </c>
      <c r="DXL1599" s="55">
        <f t="shared" ref="DXL1599:DZW1599" si="346">+(DXL1619+DXL1623)*1.18*1.1</f>
        <v>0</v>
      </c>
      <c r="DXM1599" s="55">
        <f t="shared" si="346"/>
        <v>0</v>
      </c>
      <c r="DXN1599" s="55">
        <f t="shared" si="346"/>
        <v>0</v>
      </c>
      <c r="DXO1599" s="55">
        <f t="shared" si="346"/>
        <v>0</v>
      </c>
      <c r="DXP1599" s="55">
        <f t="shared" si="346"/>
        <v>0</v>
      </c>
      <c r="DXQ1599" s="55">
        <f t="shared" si="346"/>
        <v>0</v>
      </c>
      <c r="DXR1599" s="55">
        <f t="shared" si="346"/>
        <v>0</v>
      </c>
      <c r="DXS1599" s="55">
        <f t="shared" si="346"/>
        <v>0</v>
      </c>
      <c r="DXT1599" s="55">
        <f t="shared" si="346"/>
        <v>0</v>
      </c>
      <c r="DXU1599" s="55">
        <f t="shared" si="346"/>
        <v>0</v>
      </c>
      <c r="DXV1599" s="55">
        <f t="shared" si="346"/>
        <v>0</v>
      </c>
      <c r="DXW1599" s="55">
        <f t="shared" si="346"/>
        <v>0</v>
      </c>
      <c r="DXX1599" s="55">
        <f t="shared" si="346"/>
        <v>0</v>
      </c>
      <c r="DXY1599" s="55">
        <f t="shared" si="346"/>
        <v>0</v>
      </c>
      <c r="DXZ1599" s="55">
        <f t="shared" si="346"/>
        <v>0</v>
      </c>
      <c r="DYA1599" s="55">
        <f t="shared" si="346"/>
        <v>0</v>
      </c>
      <c r="DYB1599" s="55">
        <f t="shared" si="346"/>
        <v>0</v>
      </c>
      <c r="DYC1599" s="55">
        <f t="shared" si="346"/>
        <v>0</v>
      </c>
      <c r="DYD1599" s="55">
        <f t="shared" si="346"/>
        <v>0</v>
      </c>
      <c r="DYE1599" s="55">
        <f t="shared" si="346"/>
        <v>0</v>
      </c>
      <c r="DYF1599" s="55">
        <f t="shared" si="346"/>
        <v>0</v>
      </c>
      <c r="DYG1599" s="55">
        <f t="shared" si="346"/>
        <v>0</v>
      </c>
      <c r="DYH1599" s="55">
        <f t="shared" si="346"/>
        <v>0</v>
      </c>
      <c r="DYI1599" s="55">
        <f t="shared" si="346"/>
        <v>0</v>
      </c>
      <c r="DYJ1599" s="55">
        <f t="shared" si="346"/>
        <v>0</v>
      </c>
      <c r="DYK1599" s="55">
        <f t="shared" si="346"/>
        <v>0</v>
      </c>
      <c r="DYL1599" s="55">
        <f t="shared" si="346"/>
        <v>0</v>
      </c>
      <c r="DYM1599" s="55">
        <f t="shared" si="346"/>
        <v>0</v>
      </c>
      <c r="DYN1599" s="55">
        <f t="shared" si="346"/>
        <v>0</v>
      </c>
      <c r="DYO1599" s="55">
        <f t="shared" si="346"/>
        <v>0</v>
      </c>
      <c r="DYP1599" s="55">
        <f t="shared" si="346"/>
        <v>0</v>
      </c>
      <c r="DYQ1599" s="55">
        <f t="shared" si="346"/>
        <v>0</v>
      </c>
      <c r="DYR1599" s="55">
        <f t="shared" si="346"/>
        <v>0</v>
      </c>
      <c r="DYS1599" s="55">
        <f t="shared" si="346"/>
        <v>0</v>
      </c>
      <c r="DYT1599" s="55">
        <f t="shared" si="346"/>
        <v>0</v>
      </c>
      <c r="DYU1599" s="55">
        <f t="shared" si="346"/>
        <v>0</v>
      </c>
      <c r="DYV1599" s="55">
        <f t="shared" si="346"/>
        <v>0</v>
      </c>
      <c r="DYW1599" s="55">
        <f t="shared" si="346"/>
        <v>0</v>
      </c>
      <c r="DYX1599" s="55">
        <f t="shared" si="346"/>
        <v>0</v>
      </c>
      <c r="DYY1599" s="55">
        <f t="shared" si="346"/>
        <v>0</v>
      </c>
      <c r="DYZ1599" s="55">
        <f t="shared" si="346"/>
        <v>0</v>
      </c>
      <c r="DZA1599" s="55">
        <f t="shared" si="346"/>
        <v>0</v>
      </c>
      <c r="DZB1599" s="55">
        <f t="shared" si="346"/>
        <v>0</v>
      </c>
      <c r="DZC1599" s="55">
        <f t="shared" si="346"/>
        <v>0</v>
      </c>
      <c r="DZD1599" s="55">
        <f t="shared" si="346"/>
        <v>0</v>
      </c>
      <c r="DZE1599" s="55">
        <f t="shared" si="346"/>
        <v>0</v>
      </c>
      <c r="DZF1599" s="55">
        <f t="shared" si="346"/>
        <v>0</v>
      </c>
      <c r="DZG1599" s="55">
        <f t="shared" si="346"/>
        <v>0</v>
      </c>
      <c r="DZH1599" s="55">
        <f t="shared" si="346"/>
        <v>0</v>
      </c>
      <c r="DZI1599" s="55">
        <f t="shared" si="346"/>
        <v>0</v>
      </c>
      <c r="DZJ1599" s="55">
        <f t="shared" si="346"/>
        <v>0</v>
      </c>
      <c r="DZK1599" s="55">
        <f t="shared" si="346"/>
        <v>0</v>
      </c>
      <c r="DZL1599" s="55">
        <f t="shared" si="346"/>
        <v>0</v>
      </c>
      <c r="DZM1599" s="55">
        <f t="shared" si="346"/>
        <v>0</v>
      </c>
      <c r="DZN1599" s="55">
        <f t="shared" si="346"/>
        <v>0</v>
      </c>
      <c r="DZO1599" s="55">
        <f t="shared" si="346"/>
        <v>0</v>
      </c>
      <c r="DZP1599" s="55">
        <f t="shared" si="346"/>
        <v>0</v>
      </c>
      <c r="DZQ1599" s="55">
        <f t="shared" si="346"/>
        <v>0</v>
      </c>
      <c r="DZR1599" s="55">
        <f t="shared" si="346"/>
        <v>0</v>
      </c>
      <c r="DZS1599" s="55">
        <f t="shared" si="346"/>
        <v>0</v>
      </c>
      <c r="DZT1599" s="55">
        <f t="shared" si="346"/>
        <v>0</v>
      </c>
      <c r="DZU1599" s="55">
        <f t="shared" si="346"/>
        <v>0</v>
      </c>
      <c r="DZV1599" s="55">
        <f t="shared" si="346"/>
        <v>0</v>
      </c>
      <c r="DZW1599" s="55">
        <f t="shared" si="346"/>
        <v>0</v>
      </c>
      <c r="DZX1599" s="55">
        <f t="shared" ref="DZX1599:ECI1599" si="347">+(DZX1619+DZX1623)*1.18*1.1</f>
        <v>0</v>
      </c>
      <c r="DZY1599" s="55">
        <f t="shared" si="347"/>
        <v>0</v>
      </c>
      <c r="DZZ1599" s="55">
        <f t="shared" si="347"/>
        <v>0</v>
      </c>
      <c r="EAA1599" s="55">
        <f t="shared" si="347"/>
        <v>0</v>
      </c>
      <c r="EAB1599" s="55">
        <f t="shared" si="347"/>
        <v>0</v>
      </c>
      <c r="EAC1599" s="55">
        <f t="shared" si="347"/>
        <v>0</v>
      </c>
      <c r="EAD1599" s="55">
        <f t="shared" si="347"/>
        <v>0</v>
      </c>
      <c r="EAE1599" s="55">
        <f t="shared" si="347"/>
        <v>0</v>
      </c>
      <c r="EAF1599" s="55">
        <f t="shared" si="347"/>
        <v>0</v>
      </c>
      <c r="EAG1599" s="55">
        <f t="shared" si="347"/>
        <v>0</v>
      </c>
      <c r="EAH1599" s="55">
        <f t="shared" si="347"/>
        <v>0</v>
      </c>
      <c r="EAI1599" s="55">
        <f t="shared" si="347"/>
        <v>0</v>
      </c>
      <c r="EAJ1599" s="55">
        <f t="shared" si="347"/>
        <v>0</v>
      </c>
      <c r="EAK1599" s="55">
        <f t="shared" si="347"/>
        <v>0</v>
      </c>
      <c r="EAL1599" s="55">
        <f t="shared" si="347"/>
        <v>0</v>
      </c>
      <c r="EAM1599" s="55">
        <f t="shared" si="347"/>
        <v>0</v>
      </c>
      <c r="EAN1599" s="55">
        <f t="shared" si="347"/>
        <v>0</v>
      </c>
      <c r="EAO1599" s="55">
        <f t="shared" si="347"/>
        <v>0</v>
      </c>
      <c r="EAP1599" s="55">
        <f t="shared" si="347"/>
        <v>0</v>
      </c>
      <c r="EAQ1599" s="55">
        <f t="shared" si="347"/>
        <v>0</v>
      </c>
      <c r="EAR1599" s="55">
        <f t="shared" si="347"/>
        <v>0</v>
      </c>
      <c r="EAS1599" s="55">
        <f t="shared" si="347"/>
        <v>0</v>
      </c>
      <c r="EAT1599" s="55">
        <f t="shared" si="347"/>
        <v>0</v>
      </c>
      <c r="EAU1599" s="55">
        <f t="shared" si="347"/>
        <v>0</v>
      </c>
      <c r="EAV1599" s="55">
        <f t="shared" si="347"/>
        <v>0</v>
      </c>
      <c r="EAW1599" s="55">
        <f t="shared" si="347"/>
        <v>0</v>
      </c>
      <c r="EAX1599" s="55">
        <f t="shared" si="347"/>
        <v>0</v>
      </c>
      <c r="EAY1599" s="55">
        <f t="shared" si="347"/>
        <v>0</v>
      </c>
      <c r="EAZ1599" s="55">
        <f t="shared" si="347"/>
        <v>0</v>
      </c>
      <c r="EBA1599" s="55">
        <f t="shared" si="347"/>
        <v>0</v>
      </c>
      <c r="EBB1599" s="55">
        <f t="shared" si="347"/>
        <v>0</v>
      </c>
      <c r="EBC1599" s="55">
        <f t="shared" si="347"/>
        <v>0</v>
      </c>
      <c r="EBD1599" s="55">
        <f t="shared" si="347"/>
        <v>0</v>
      </c>
      <c r="EBE1599" s="55">
        <f t="shared" si="347"/>
        <v>0</v>
      </c>
      <c r="EBF1599" s="55">
        <f t="shared" si="347"/>
        <v>0</v>
      </c>
      <c r="EBG1599" s="55">
        <f t="shared" si="347"/>
        <v>0</v>
      </c>
      <c r="EBH1599" s="55">
        <f t="shared" si="347"/>
        <v>0</v>
      </c>
      <c r="EBI1599" s="55">
        <f t="shared" si="347"/>
        <v>0</v>
      </c>
      <c r="EBJ1599" s="55">
        <f t="shared" si="347"/>
        <v>0</v>
      </c>
      <c r="EBK1599" s="55">
        <f t="shared" si="347"/>
        <v>0</v>
      </c>
      <c r="EBL1599" s="55">
        <f t="shared" si="347"/>
        <v>0</v>
      </c>
      <c r="EBM1599" s="55">
        <f t="shared" si="347"/>
        <v>0</v>
      </c>
      <c r="EBN1599" s="55">
        <f t="shared" si="347"/>
        <v>0</v>
      </c>
      <c r="EBO1599" s="55">
        <f t="shared" si="347"/>
        <v>0</v>
      </c>
      <c r="EBP1599" s="55">
        <f t="shared" si="347"/>
        <v>0</v>
      </c>
      <c r="EBQ1599" s="55">
        <f t="shared" si="347"/>
        <v>0</v>
      </c>
      <c r="EBR1599" s="55">
        <f t="shared" si="347"/>
        <v>0</v>
      </c>
      <c r="EBS1599" s="55">
        <f t="shared" si="347"/>
        <v>0</v>
      </c>
      <c r="EBT1599" s="55">
        <f t="shared" si="347"/>
        <v>0</v>
      </c>
      <c r="EBU1599" s="55">
        <f t="shared" si="347"/>
        <v>0</v>
      </c>
      <c r="EBV1599" s="55">
        <f t="shared" si="347"/>
        <v>0</v>
      </c>
      <c r="EBW1599" s="55">
        <f t="shared" si="347"/>
        <v>0</v>
      </c>
      <c r="EBX1599" s="55">
        <f t="shared" si="347"/>
        <v>0</v>
      </c>
      <c r="EBY1599" s="55">
        <f t="shared" si="347"/>
        <v>0</v>
      </c>
      <c r="EBZ1599" s="55">
        <f t="shared" si="347"/>
        <v>0</v>
      </c>
      <c r="ECA1599" s="55">
        <f t="shared" si="347"/>
        <v>0</v>
      </c>
      <c r="ECB1599" s="55">
        <f t="shared" si="347"/>
        <v>0</v>
      </c>
      <c r="ECC1599" s="55">
        <f t="shared" si="347"/>
        <v>0</v>
      </c>
      <c r="ECD1599" s="55">
        <f t="shared" si="347"/>
        <v>0</v>
      </c>
      <c r="ECE1599" s="55">
        <f t="shared" si="347"/>
        <v>0</v>
      </c>
      <c r="ECF1599" s="55">
        <f t="shared" si="347"/>
        <v>0</v>
      </c>
      <c r="ECG1599" s="55">
        <f t="shared" si="347"/>
        <v>0</v>
      </c>
      <c r="ECH1599" s="55">
        <f t="shared" si="347"/>
        <v>0</v>
      </c>
      <c r="ECI1599" s="55">
        <f t="shared" si="347"/>
        <v>0</v>
      </c>
      <c r="ECJ1599" s="55">
        <f t="shared" ref="ECJ1599:EEU1599" si="348">+(ECJ1619+ECJ1623)*1.18*1.1</f>
        <v>0</v>
      </c>
      <c r="ECK1599" s="55">
        <f t="shared" si="348"/>
        <v>0</v>
      </c>
      <c r="ECL1599" s="55">
        <f t="shared" si="348"/>
        <v>0</v>
      </c>
      <c r="ECM1599" s="55">
        <f t="shared" si="348"/>
        <v>0</v>
      </c>
      <c r="ECN1599" s="55">
        <f t="shared" si="348"/>
        <v>0</v>
      </c>
      <c r="ECO1599" s="55">
        <f t="shared" si="348"/>
        <v>0</v>
      </c>
      <c r="ECP1599" s="55">
        <f t="shared" si="348"/>
        <v>0</v>
      </c>
      <c r="ECQ1599" s="55">
        <f t="shared" si="348"/>
        <v>0</v>
      </c>
      <c r="ECR1599" s="55">
        <f t="shared" si="348"/>
        <v>0</v>
      </c>
      <c r="ECS1599" s="55">
        <f t="shared" si="348"/>
        <v>0</v>
      </c>
      <c r="ECT1599" s="55">
        <f t="shared" si="348"/>
        <v>0</v>
      </c>
      <c r="ECU1599" s="55">
        <f t="shared" si="348"/>
        <v>0</v>
      </c>
      <c r="ECV1599" s="55">
        <f t="shared" si="348"/>
        <v>0</v>
      </c>
      <c r="ECW1599" s="55">
        <f t="shared" si="348"/>
        <v>0</v>
      </c>
      <c r="ECX1599" s="55">
        <f t="shared" si="348"/>
        <v>0</v>
      </c>
      <c r="ECY1599" s="55">
        <f t="shared" si="348"/>
        <v>0</v>
      </c>
      <c r="ECZ1599" s="55">
        <f t="shared" si="348"/>
        <v>0</v>
      </c>
      <c r="EDA1599" s="55">
        <f t="shared" si="348"/>
        <v>0</v>
      </c>
      <c r="EDB1599" s="55">
        <f t="shared" si="348"/>
        <v>0</v>
      </c>
      <c r="EDC1599" s="55">
        <f t="shared" si="348"/>
        <v>0</v>
      </c>
      <c r="EDD1599" s="55">
        <f t="shared" si="348"/>
        <v>0</v>
      </c>
      <c r="EDE1599" s="55">
        <f t="shared" si="348"/>
        <v>0</v>
      </c>
      <c r="EDF1599" s="55">
        <f t="shared" si="348"/>
        <v>0</v>
      </c>
      <c r="EDG1599" s="55">
        <f t="shared" si="348"/>
        <v>0</v>
      </c>
      <c r="EDH1599" s="55">
        <f t="shared" si="348"/>
        <v>0</v>
      </c>
      <c r="EDI1599" s="55">
        <f t="shared" si="348"/>
        <v>0</v>
      </c>
      <c r="EDJ1599" s="55">
        <f t="shared" si="348"/>
        <v>0</v>
      </c>
      <c r="EDK1599" s="55">
        <f t="shared" si="348"/>
        <v>0</v>
      </c>
      <c r="EDL1599" s="55">
        <f t="shared" si="348"/>
        <v>0</v>
      </c>
      <c r="EDM1599" s="55">
        <f t="shared" si="348"/>
        <v>0</v>
      </c>
      <c r="EDN1599" s="55">
        <f t="shared" si="348"/>
        <v>0</v>
      </c>
      <c r="EDO1599" s="55">
        <f t="shared" si="348"/>
        <v>0</v>
      </c>
      <c r="EDP1599" s="55">
        <f t="shared" si="348"/>
        <v>0</v>
      </c>
      <c r="EDQ1599" s="55">
        <f t="shared" si="348"/>
        <v>0</v>
      </c>
      <c r="EDR1599" s="55">
        <f t="shared" si="348"/>
        <v>0</v>
      </c>
      <c r="EDS1599" s="55">
        <f t="shared" si="348"/>
        <v>0</v>
      </c>
      <c r="EDT1599" s="55">
        <f t="shared" si="348"/>
        <v>0</v>
      </c>
      <c r="EDU1599" s="55">
        <f t="shared" si="348"/>
        <v>0</v>
      </c>
      <c r="EDV1599" s="55">
        <f t="shared" si="348"/>
        <v>0</v>
      </c>
      <c r="EDW1599" s="55">
        <f t="shared" si="348"/>
        <v>0</v>
      </c>
      <c r="EDX1599" s="55">
        <f t="shared" si="348"/>
        <v>0</v>
      </c>
      <c r="EDY1599" s="55">
        <f t="shared" si="348"/>
        <v>0</v>
      </c>
      <c r="EDZ1599" s="55">
        <f t="shared" si="348"/>
        <v>0</v>
      </c>
      <c r="EEA1599" s="55">
        <f t="shared" si="348"/>
        <v>0</v>
      </c>
      <c r="EEB1599" s="55">
        <f t="shared" si="348"/>
        <v>0</v>
      </c>
      <c r="EEC1599" s="55">
        <f t="shared" si="348"/>
        <v>0</v>
      </c>
      <c r="EED1599" s="55">
        <f t="shared" si="348"/>
        <v>0</v>
      </c>
      <c r="EEE1599" s="55">
        <f t="shared" si="348"/>
        <v>0</v>
      </c>
      <c r="EEF1599" s="55">
        <f t="shared" si="348"/>
        <v>0</v>
      </c>
      <c r="EEG1599" s="55">
        <f t="shared" si="348"/>
        <v>0</v>
      </c>
      <c r="EEH1599" s="55">
        <f t="shared" si="348"/>
        <v>0</v>
      </c>
      <c r="EEI1599" s="55">
        <f t="shared" si="348"/>
        <v>0</v>
      </c>
      <c r="EEJ1599" s="55">
        <f t="shared" si="348"/>
        <v>0</v>
      </c>
      <c r="EEK1599" s="55">
        <f t="shared" si="348"/>
        <v>0</v>
      </c>
      <c r="EEL1599" s="55">
        <f t="shared" si="348"/>
        <v>0</v>
      </c>
      <c r="EEM1599" s="55">
        <f t="shared" si="348"/>
        <v>0</v>
      </c>
      <c r="EEN1599" s="55">
        <f t="shared" si="348"/>
        <v>0</v>
      </c>
      <c r="EEO1599" s="55">
        <f t="shared" si="348"/>
        <v>0</v>
      </c>
      <c r="EEP1599" s="55">
        <f t="shared" si="348"/>
        <v>0</v>
      </c>
      <c r="EEQ1599" s="55">
        <f t="shared" si="348"/>
        <v>0</v>
      </c>
      <c r="EER1599" s="55">
        <f t="shared" si="348"/>
        <v>0</v>
      </c>
      <c r="EES1599" s="55">
        <f t="shared" si="348"/>
        <v>0</v>
      </c>
      <c r="EET1599" s="55">
        <f t="shared" si="348"/>
        <v>0</v>
      </c>
      <c r="EEU1599" s="55">
        <f t="shared" si="348"/>
        <v>0</v>
      </c>
      <c r="EEV1599" s="55">
        <f t="shared" ref="EEV1599:EHG1599" si="349">+(EEV1619+EEV1623)*1.18*1.1</f>
        <v>0</v>
      </c>
      <c r="EEW1599" s="55">
        <f t="shared" si="349"/>
        <v>0</v>
      </c>
      <c r="EEX1599" s="55">
        <f t="shared" si="349"/>
        <v>0</v>
      </c>
      <c r="EEY1599" s="55">
        <f t="shared" si="349"/>
        <v>0</v>
      </c>
      <c r="EEZ1599" s="55">
        <f t="shared" si="349"/>
        <v>0</v>
      </c>
      <c r="EFA1599" s="55">
        <f t="shared" si="349"/>
        <v>0</v>
      </c>
      <c r="EFB1599" s="55">
        <f t="shared" si="349"/>
        <v>0</v>
      </c>
      <c r="EFC1599" s="55">
        <f t="shared" si="349"/>
        <v>0</v>
      </c>
      <c r="EFD1599" s="55">
        <f t="shared" si="349"/>
        <v>0</v>
      </c>
      <c r="EFE1599" s="55">
        <f t="shared" si="349"/>
        <v>0</v>
      </c>
      <c r="EFF1599" s="55">
        <f t="shared" si="349"/>
        <v>0</v>
      </c>
      <c r="EFG1599" s="55">
        <f t="shared" si="349"/>
        <v>0</v>
      </c>
      <c r="EFH1599" s="55">
        <f t="shared" si="349"/>
        <v>0</v>
      </c>
      <c r="EFI1599" s="55">
        <f t="shared" si="349"/>
        <v>0</v>
      </c>
      <c r="EFJ1599" s="55">
        <f t="shared" si="349"/>
        <v>0</v>
      </c>
      <c r="EFK1599" s="55">
        <f t="shared" si="349"/>
        <v>0</v>
      </c>
      <c r="EFL1599" s="55">
        <f t="shared" si="349"/>
        <v>0</v>
      </c>
      <c r="EFM1599" s="55">
        <f t="shared" si="349"/>
        <v>0</v>
      </c>
      <c r="EFN1599" s="55">
        <f t="shared" si="349"/>
        <v>0</v>
      </c>
      <c r="EFO1599" s="55">
        <f t="shared" si="349"/>
        <v>0</v>
      </c>
      <c r="EFP1599" s="55">
        <f t="shared" si="349"/>
        <v>0</v>
      </c>
      <c r="EFQ1599" s="55">
        <f t="shared" si="349"/>
        <v>0</v>
      </c>
      <c r="EFR1599" s="55">
        <f t="shared" si="349"/>
        <v>0</v>
      </c>
      <c r="EFS1599" s="55">
        <f t="shared" si="349"/>
        <v>0</v>
      </c>
      <c r="EFT1599" s="55">
        <f t="shared" si="349"/>
        <v>0</v>
      </c>
      <c r="EFU1599" s="55">
        <f t="shared" si="349"/>
        <v>0</v>
      </c>
      <c r="EFV1599" s="55">
        <f t="shared" si="349"/>
        <v>0</v>
      </c>
      <c r="EFW1599" s="55">
        <f t="shared" si="349"/>
        <v>0</v>
      </c>
      <c r="EFX1599" s="55">
        <f t="shared" si="349"/>
        <v>0</v>
      </c>
      <c r="EFY1599" s="55">
        <f t="shared" si="349"/>
        <v>0</v>
      </c>
      <c r="EFZ1599" s="55">
        <f t="shared" si="349"/>
        <v>0</v>
      </c>
      <c r="EGA1599" s="55">
        <f t="shared" si="349"/>
        <v>0</v>
      </c>
      <c r="EGB1599" s="55">
        <f t="shared" si="349"/>
        <v>0</v>
      </c>
      <c r="EGC1599" s="55">
        <f t="shared" si="349"/>
        <v>0</v>
      </c>
      <c r="EGD1599" s="55">
        <f t="shared" si="349"/>
        <v>0</v>
      </c>
      <c r="EGE1599" s="55">
        <f t="shared" si="349"/>
        <v>0</v>
      </c>
      <c r="EGF1599" s="55">
        <f t="shared" si="349"/>
        <v>0</v>
      </c>
      <c r="EGG1599" s="55">
        <f t="shared" si="349"/>
        <v>0</v>
      </c>
      <c r="EGH1599" s="55">
        <f t="shared" si="349"/>
        <v>0</v>
      </c>
      <c r="EGI1599" s="55">
        <f t="shared" si="349"/>
        <v>0</v>
      </c>
      <c r="EGJ1599" s="55">
        <f t="shared" si="349"/>
        <v>0</v>
      </c>
      <c r="EGK1599" s="55">
        <f t="shared" si="349"/>
        <v>0</v>
      </c>
      <c r="EGL1599" s="55">
        <f t="shared" si="349"/>
        <v>0</v>
      </c>
      <c r="EGM1599" s="55">
        <f t="shared" si="349"/>
        <v>0</v>
      </c>
      <c r="EGN1599" s="55">
        <f t="shared" si="349"/>
        <v>0</v>
      </c>
      <c r="EGO1599" s="55">
        <f t="shared" si="349"/>
        <v>0</v>
      </c>
      <c r="EGP1599" s="55">
        <f t="shared" si="349"/>
        <v>0</v>
      </c>
      <c r="EGQ1599" s="55">
        <f t="shared" si="349"/>
        <v>0</v>
      </c>
      <c r="EGR1599" s="55">
        <f t="shared" si="349"/>
        <v>0</v>
      </c>
      <c r="EGS1599" s="55">
        <f t="shared" si="349"/>
        <v>0</v>
      </c>
      <c r="EGT1599" s="55">
        <f t="shared" si="349"/>
        <v>0</v>
      </c>
      <c r="EGU1599" s="55">
        <f t="shared" si="349"/>
        <v>0</v>
      </c>
      <c r="EGV1599" s="55">
        <f t="shared" si="349"/>
        <v>0</v>
      </c>
      <c r="EGW1599" s="55">
        <f t="shared" si="349"/>
        <v>0</v>
      </c>
      <c r="EGX1599" s="55">
        <f t="shared" si="349"/>
        <v>0</v>
      </c>
      <c r="EGY1599" s="55">
        <f t="shared" si="349"/>
        <v>0</v>
      </c>
      <c r="EGZ1599" s="55">
        <f t="shared" si="349"/>
        <v>0</v>
      </c>
      <c r="EHA1599" s="55">
        <f t="shared" si="349"/>
        <v>0</v>
      </c>
      <c r="EHB1599" s="55">
        <f t="shared" si="349"/>
        <v>0</v>
      </c>
      <c r="EHC1599" s="55">
        <f t="shared" si="349"/>
        <v>0</v>
      </c>
      <c r="EHD1599" s="55">
        <f t="shared" si="349"/>
        <v>0</v>
      </c>
      <c r="EHE1599" s="55">
        <f t="shared" si="349"/>
        <v>0</v>
      </c>
      <c r="EHF1599" s="55">
        <f t="shared" si="349"/>
        <v>0</v>
      </c>
      <c r="EHG1599" s="55">
        <f t="shared" si="349"/>
        <v>0</v>
      </c>
      <c r="EHH1599" s="55">
        <f t="shared" ref="EHH1599:EJS1599" si="350">+(EHH1619+EHH1623)*1.18*1.1</f>
        <v>0</v>
      </c>
      <c r="EHI1599" s="55">
        <f t="shared" si="350"/>
        <v>0</v>
      </c>
      <c r="EHJ1599" s="55">
        <f t="shared" si="350"/>
        <v>0</v>
      </c>
      <c r="EHK1599" s="55">
        <f t="shared" si="350"/>
        <v>0</v>
      </c>
      <c r="EHL1599" s="55">
        <f t="shared" si="350"/>
        <v>0</v>
      </c>
      <c r="EHM1599" s="55">
        <f t="shared" si="350"/>
        <v>0</v>
      </c>
      <c r="EHN1599" s="55">
        <f t="shared" si="350"/>
        <v>0</v>
      </c>
      <c r="EHO1599" s="55">
        <f t="shared" si="350"/>
        <v>0</v>
      </c>
      <c r="EHP1599" s="55">
        <f t="shared" si="350"/>
        <v>0</v>
      </c>
      <c r="EHQ1599" s="55">
        <f t="shared" si="350"/>
        <v>0</v>
      </c>
      <c r="EHR1599" s="55">
        <f t="shared" si="350"/>
        <v>0</v>
      </c>
      <c r="EHS1599" s="55">
        <f t="shared" si="350"/>
        <v>0</v>
      </c>
      <c r="EHT1599" s="55">
        <f t="shared" si="350"/>
        <v>0</v>
      </c>
      <c r="EHU1599" s="55">
        <f t="shared" si="350"/>
        <v>0</v>
      </c>
      <c r="EHV1599" s="55">
        <f t="shared" si="350"/>
        <v>0</v>
      </c>
      <c r="EHW1599" s="55">
        <f t="shared" si="350"/>
        <v>0</v>
      </c>
      <c r="EHX1599" s="55">
        <f t="shared" si="350"/>
        <v>0</v>
      </c>
      <c r="EHY1599" s="55">
        <f t="shared" si="350"/>
        <v>0</v>
      </c>
      <c r="EHZ1599" s="55">
        <f t="shared" si="350"/>
        <v>0</v>
      </c>
      <c r="EIA1599" s="55">
        <f t="shared" si="350"/>
        <v>0</v>
      </c>
      <c r="EIB1599" s="55">
        <f t="shared" si="350"/>
        <v>0</v>
      </c>
      <c r="EIC1599" s="55">
        <f t="shared" si="350"/>
        <v>0</v>
      </c>
      <c r="EID1599" s="55">
        <f t="shared" si="350"/>
        <v>0</v>
      </c>
      <c r="EIE1599" s="55">
        <f t="shared" si="350"/>
        <v>0</v>
      </c>
      <c r="EIF1599" s="55">
        <f t="shared" si="350"/>
        <v>0</v>
      </c>
      <c r="EIG1599" s="55">
        <f t="shared" si="350"/>
        <v>0</v>
      </c>
      <c r="EIH1599" s="55">
        <f t="shared" si="350"/>
        <v>0</v>
      </c>
      <c r="EII1599" s="55">
        <f t="shared" si="350"/>
        <v>0</v>
      </c>
      <c r="EIJ1599" s="55">
        <f t="shared" si="350"/>
        <v>0</v>
      </c>
      <c r="EIK1599" s="55">
        <f t="shared" si="350"/>
        <v>0</v>
      </c>
      <c r="EIL1599" s="55">
        <f t="shared" si="350"/>
        <v>0</v>
      </c>
      <c r="EIM1599" s="55">
        <f t="shared" si="350"/>
        <v>0</v>
      </c>
      <c r="EIN1599" s="55">
        <f t="shared" si="350"/>
        <v>0</v>
      </c>
      <c r="EIO1599" s="55">
        <f t="shared" si="350"/>
        <v>0</v>
      </c>
      <c r="EIP1599" s="55">
        <f t="shared" si="350"/>
        <v>0</v>
      </c>
      <c r="EIQ1599" s="55">
        <f t="shared" si="350"/>
        <v>0</v>
      </c>
      <c r="EIR1599" s="55">
        <f t="shared" si="350"/>
        <v>0</v>
      </c>
      <c r="EIS1599" s="55">
        <f t="shared" si="350"/>
        <v>0</v>
      </c>
      <c r="EIT1599" s="55">
        <f t="shared" si="350"/>
        <v>0</v>
      </c>
      <c r="EIU1599" s="55">
        <f t="shared" si="350"/>
        <v>0</v>
      </c>
      <c r="EIV1599" s="55">
        <f t="shared" si="350"/>
        <v>0</v>
      </c>
      <c r="EIW1599" s="55">
        <f t="shared" si="350"/>
        <v>0</v>
      </c>
      <c r="EIX1599" s="55">
        <f t="shared" si="350"/>
        <v>0</v>
      </c>
      <c r="EIY1599" s="55">
        <f t="shared" si="350"/>
        <v>0</v>
      </c>
      <c r="EIZ1599" s="55">
        <f t="shared" si="350"/>
        <v>0</v>
      </c>
      <c r="EJA1599" s="55">
        <f t="shared" si="350"/>
        <v>0</v>
      </c>
      <c r="EJB1599" s="55">
        <f t="shared" si="350"/>
        <v>0</v>
      </c>
      <c r="EJC1599" s="55">
        <f t="shared" si="350"/>
        <v>0</v>
      </c>
      <c r="EJD1599" s="55">
        <f t="shared" si="350"/>
        <v>0</v>
      </c>
      <c r="EJE1599" s="55">
        <f t="shared" si="350"/>
        <v>0</v>
      </c>
      <c r="EJF1599" s="55">
        <f t="shared" si="350"/>
        <v>0</v>
      </c>
      <c r="EJG1599" s="55">
        <f t="shared" si="350"/>
        <v>0</v>
      </c>
      <c r="EJH1599" s="55">
        <f t="shared" si="350"/>
        <v>0</v>
      </c>
      <c r="EJI1599" s="55">
        <f t="shared" si="350"/>
        <v>0</v>
      </c>
      <c r="EJJ1599" s="55">
        <f t="shared" si="350"/>
        <v>0</v>
      </c>
      <c r="EJK1599" s="55">
        <f t="shared" si="350"/>
        <v>0</v>
      </c>
      <c r="EJL1599" s="55">
        <f t="shared" si="350"/>
        <v>0</v>
      </c>
      <c r="EJM1599" s="55">
        <f t="shared" si="350"/>
        <v>0</v>
      </c>
      <c r="EJN1599" s="55">
        <f t="shared" si="350"/>
        <v>0</v>
      </c>
      <c r="EJO1599" s="55">
        <f t="shared" si="350"/>
        <v>0</v>
      </c>
      <c r="EJP1599" s="55">
        <f t="shared" si="350"/>
        <v>0</v>
      </c>
      <c r="EJQ1599" s="55">
        <f t="shared" si="350"/>
        <v>0</v>
      </c>
      <c r="EJR1599" s="55">
        <f t="shared" si="350"/>
        <v>0</v>
      </c>
      <c r="EJS1599" s="55">
        <f t="shared" si="350"/>
        <v>0</v>
      </c>
      <c r="EJT1599" s="55">
        <f t="shared" ref="EJT1599:EME1599" si="351">+(EJT1619+EJT1623)*1.18*1.1</f>
        <v>0</v>
      </c>
      <c r="EJU1599" s="55">
        <f t="shared" si="351"/>
        <v>0</v>
      </c>
      <c r="EJV1599" s="55">
        <f t="shared" si="351"/>
        <v>0</v>
      </c>
      <c r="EJW1599" s="55">
        <f t="shared" si="351"/>
        <v>0</v>
      </c>
      <c r="EJX1599" s="55">
        <f t="shared" si="351"/>
        <v>0</v>
      </c>
      <c r="EJY1599" s="55">
        <f t="shared" si="351"/>
        <v>0</v>
      </c>
      <c r="EJZ1599" s="55">
        <f t="shared" si="351"/>
        <v>0</v>
      </c>
      <c r="EKA1599" s="55">
        <f t="shared" si="351"/>
        <v>0</v>
      </c>
      <c r="EKB1599" s="55">
        <f t="shared" si="351"/>
        <v>0</v>
      </c>
      <c r="EKC1599" s="55">
        <f t="shared" si="351"/>
        <v>0</v>
      </c>
      <c r="EKD1599" s="55">
        <f t="shared" si="351"/>
        <v>0</v>
      </c>
      <c r="EKE1599" s="55">
        <f t="shared" si="351"/>
        <v>0</v>
      </c>
      <c r="EKF1599" s="55">
        <f t="shared" si="351"/>
        <v>0</v>
      </c>
      <c r="EKG1599" s="55">
        <f t="shared" si="351"/>
        <v>0</v>
      </c>
      <c r="EKH1599" s="55">
        <f t="shared" si="351"/>
        <v>0</v>
      </c>
      <c r="EKI1599" s="55">
        <f t="shared" si="351"/>
        <v>0</v>
      </c>
      <c r="EKJ1599" s="55">
        <f t="shared" si="351"/>
        <v>0</v>
      </c>
      <c r="EKK1599" s="55">
        <f t="shared" si="351"/>
        <v>0</v>
      </c>
      <c r="EKL1599" s="55">
        <f t="shared" si="351"/>
        <v>0</v>
      </c>
      <c r="EKM1599" s="55">
        <f t="shared" si="351"/>
        <v>0</v>
      </c>
      <c r="EKN1599" s="55">
        <f t="shared" si="351"/>
        <v>0</v>
      </c>
      <c r="EKO1599" s="55">
        <f t="shared" si="351"/>
        <v>0</v>
      </c>
      <c r="EKP1599" s="55">
        <f t="shared" si="351"/>
        <v>0</v>
      </c>
      <c r="EKQ1599" s="55">
        <f t="shared" si="351"/>
        <v>0</v>
      </c>
      <c r="EKR1599" s="55">
        <f t="shared" si="351"/>
        <v>0</v>
      </c>
      <c r="EKS1599" s="55">
        <f t="shared" si="351"/>
        <v>0</v>
      </c>
      <c r="EKT1599" s="55">
        <f t="shared" si="351"/>
        <v>0</v>
      </c>
      <c r="EKU1599" s="55">
        <f t="shared" si="351"/>
        <v>0</v>
      </c>
      <c r="EKV1599" s="55">
        <f t="shared" si="351"/>
        <v>0</v>
      </c>
      <c r="EKW1599" s="55">
        <f t="shared" si="351"/>
        <v>0</v>
      </c>
      <c r="EKX1599" s="55">
        <f t="shared" si="351"/>
        <v>0</v>
      </c>
      <c r="EKY1599" s="55">
        <f t="shared" si="351"/>
        <v>0</v>
      </c>
      <c r="EKZ1599" s="55">
        <f t="shared" si="351"/>
        <v>0</v>
      </c>
      <c r="ELA1599" s="55">
        <f t="shared" si="351"/>
        <v>0</v>
      </c>
      <c r="ELB1599" s="55">
        <f t="shared" si="351"/>
        <v>0</v>
      </c>
      <c r="ELC1599" s="55">
        <f t="shared" si="351"/>
        <v>0</v>
      </c>
      <c r="ELD1599" s="55">
        <f t="shared" si="351"/>
        <v>0</v>
      </c>
      <c r="ELE1599" s="55">
        <f t="shared" si="351"/>
        <v>0</v>
      </c>
      <c r="ELF1599" s="55">
        <f t="shared" si="351"/>
        <v>0</v>
      </c>
      <c r="ELG1599" s="55">
        <f t="shared" si="351"/>
        <v>0</v>
      </c>
      <c r="ELH1599" s="55">
        <f t="shared" si="351"/>
        <v>0</v>
      </c>
      <c r="ELI1599" s="55">
        <f t="shared" si="351"/>
        <v>0</v>
      </c>
      <c r="ELJ1599" s="55">
        <f t="shared" si="351"/>
        <v>0</v>
      </c>
      <c r="ELK1599" s="55">
        <f t="shared" si="351"/>
        <v>0</v>
      </c>
      <c r="ELL1599" s="55">
        <f t="shared" si="351"/>
        <v>0</v>
      </c>
      <c r="ELM1599" s="55">
        <f t="shared" si="351"/>
        <v>0</v>
      </c>
      <c r="ELN1599" s="55">
        <f t="shared" si="351"/>
        <v>0</v>
      </c>
      <c r="ELO1599" s="55">
        <f t="shared" si="351"/>
        <v>0</v>
      </c>
      <c r="ELP1599" s="55">
        <f t="shared" si="351"/>
        <v>0</v>
      </c>
      <c r="ELQ1599" s="55">
        <f t="shared" si="351"/>
        <v>0</v>
      </c>
      <c r="ELR1599" s="55">
        <f t="shared" si="351"/>
        <v>0</v>
      </c>
      <c r="ELS1599" s="55">
        <f t="shared" si="351"/>
        <v>0</v>
      </c>
      <c r="ELT1599" s="55">
        <f t="shared" si="351"/>
        <v>0</v>
      </c>
      <c r="ELU1599" s="55">
        <f t="shared" si="351"/>
        <v>0</v>
      </c>
      <c r="ELV1599" s="55">
        <f t="shared" si="351"/>
        <v>0</v>
      </c>
      <c r="ELW1599" s="55">
        <f t="shared" si="351"/>
        <v>0</v>
      </c>
      <c r="ELX1599" s="55">
        <f t="shared" si="351"/>
        <v>0</v>
      </c>
      <c r="ELY1599" s="55">
        <f t="shared" si="351"/>
        <v>0</v>
      </c>
      <c r="ELZ1599" s="55">
        <f t="shared" si="351"/>
        <v>0</v>
      </c>
      <c r="EMA1599" s="55">
        <f t="shared" si="351"/>
        <v>0</v>
      </c>
      <c r="EMB1599" s="55">
        <f t="shared" si="351"/>
        <v>0</v>
      </c>
      <c r="EMC1599" s="55">
        <f t="shared" si="351"/>
        <v>0</v>
      </c>
      <c r="EMD1599" s="55">
        <f t="shared" si="351"/>
        <v>0</v>
      </c>
      <c r="EME1599" s="55">
        <f t="shared" si="351"/>
        <v>0</v>
      </c>
      <c r="EMF1599" s="55">
        <f t="shared" ref="EMF1599:EOQ1599" si="352">+(EMF1619+EMF1623)*1.18*1.1</f>
        <v>0</v>
      </c>
      <c r="EMG1599" s="55">
        <f t="shared" si="352"/>
        <v>0</v>
      </c>
      <c r="EMH1599" s="55">
        <f t="shared" si="352"/>
        <v>0</v>
      </c>
      <c r="EMI1599" s="55">
        <f t="shared" si="352"/>
        <v>0</v>
      </c>
      <c r="EMJ1599" s="55">
        <f t="shared" si="352"/>
        <v>0</v>
      </c>
      <c r="EMK1599" s="55">
        <f t="shared" si="352"/>
        <v>0</v>
      </c>
      <c r="EML1599" s="55">
        <f t="shared" si="352"/>
        <v>0</v>
      </c>
      <c r="EMM1599" s="55">
        <f t="shared" si="352"/>
        <v>0</v>
      </c>
      <c r="EMN1599" s="55">
        <f t="shared" si="352"/>
        <v>0</v>
      </c>
      <c r="EMO1599" s="55">
        <f t="shared" si="352"/>
        <v>0</v>
      </c>
      <c r="EMP1599" s="55">
        <f t="shared" si="352"/>
        <v>0</v>
      </c>
      <c r="EMQ1599" s="55">
        <f t="shared" si="352"/>
        <v>0</v>
      </c>
      <c r="EMR1599" s="55">
        <f t="shared" si="352"/>
        <v>0</v>
      </c>
      <c r="EMS1599" s="55">
        <f t="shared" si="352"/>
        <v>0</v>
      </c>
      <c r="EMT1599" s="55">
        <f t="shared" si="352"/>
        <v>0</v>
      </c>
      <c r="EMU1599" s="55">
        <f t="shared" si="352"/>
        <v>0</v>
      </c>
      <c r="EMV1599" s="55">
        <f t="shared" si="352"/>
        <v>0</v>
      </c>
      <c r="EMW1599" s="55">
        <f t="shared" si="352"/>
        <v>0</v>
      </c>
      <c r="EMX1599" s="55">
        <f t="shared" si="352"/>
        <v>0</v>
      </c>
      <c r="EMY1599" s="55">
        <f t="shared" si="352"/>
        <v>0</v>
      </c>
      <c r="EMZ1599" s="55">
        <f t="shared" si="352"/>
        <v>0</v>
      </c>
      <c r="ENA1599" s="55">
        <f t="shared" si="352"/>
        <v>0</v>
      </c>
      <c r="ENB1599" s="55">
        <f t="shared" si="352"/>
        <v>0</v>
      </c>
      <c r="ENC1599" s="55">
        <f t="shared" si="352"/>
        <v>0</v>
      </c>
      <c r="END1599" s="55">
        <f t="shared" si="352"/>
        <v>0</v>
      </c>
      <c r="ENE1599" s="55">
        <f t="shared" si="352"/>
        <v>0</v>
      </c>
      <c r="ENF1599" s="55">
        <f t="shared" si="352"/>
        <v>0</v>
      </c>
      <c r="ENG1599" s="55">
        <f t="shared" si="352"/>
        <v>0</v>
      </c>
      <c r="ENH1599" s="55">
        <f t="shared" si="352"/>
        <v>0</v>
      </c>
      <c r="ENI1599" s="55">
        <f t="shared" si="352"/>
        <v>0</v>
      </c>
      <c r="ENJ1599" s="55">
        <f t="shared" si="352"/>
        <v>0</v>
      </c>
      <c r="ENK1599" s="55">
        <f t="shared" si="352"/>
        <v>0</v>
      </c>
      <c r="ENL1599" s="55">
        <f t="shared" si="352"/>
        <v>0</v>
      </c>
      <c r="ENM1599" s="55">
        <f t="shared" si="352"/>
        <v>0</v>
      </c>
      <c r="ENN1599" s="55">
        <f t="shared" si="352"/>
        <v>0</v>
      </c>
      <c r="ENO1599" s="55">
        <f t="shared" si="352"/>
        <v>0</v>
      </c>
      <c r="ENP1599" s="55">
        <f t="shared" si="352"/>
        <v>0</v>
      </c>
      <c r="ENQ1599" s="55">
        <f t="shared" si="352"/>
        <v>0</v>
      </c>
      <c r="ENR1599" s="55">
        <f t="shared" si="352"/>
        <v>0</v>
      </c>
      <c r="ENS1599" s="55">
        <f t="shared" si="352"/>
        <v>0</v>
      </c>
      <c r="ENT1599" s="55">
        <f t="shared" si="352"/>
        <v>0</v>
      </c>
      <c r="ENU1599" s="55">
        <f t="shared" si="352"/>
        <v>0</v>
      </c>
      <c r="ENV1599" s="55">
        <f t="shared" si="352"/>
        <v>0</v>
      </c>
      <c r="ENW1599" s="55">
        <f t="shared" si="352"/>
        <v>0</v>
      </c>
      <c r="ENX1599" s="55">
        <f t="shared" si="352"/>
        <v>0</v>
      </c>
      <c r="ENY1599" s="55">
        <f t="shared" si="352"/>
        <v>0</v>
      </c>
      <c r="ENZ1599" s="55">
        <f t="shared" si="352"/>
        <v>0</v>
      </c>
      <c r="EOA1599" s="55">
        <f t="shared" si="352"/>
        <v>0</v>
      </c>
      <c r="EOB1599" s="55">
        <f t="shared" si="352"/>
        <v>0</v>
      </c>
      <c r="EOC1599" s="55">
        <f t="shared" si="352"/>
        <v>0</v>
      </c>
      <c r="EOD1599" s="55">
        <f t="shared" si="352"/>
        <v>0</v>
      </c>
      <c r="EOE1599" s="55">
        <f t="shared" si="352"/>
        <v>0</v>
      </c>
      <c r="EOF1599" s="55">
        <f t="shared" si="352"/>
        <v>0</v>
      </c>
      <c r="EOG1599" s="55">
        <f t="shared" si="352"/>
        <v>0</v>
      </c>
      <c r="EOH1599" s="55">
        <f t="shared" si="352"/>
        <v>0</v>
      </c>
      <c r="EOI1599" s="55">
        <f t="shared" si="352"/>
        <v>0</v>
      </c>
      <c r="EOJ1599" s="55">
        <f t="shared" si="352"/>
        <v>0</v>
      </c>
      <c r="EOK1599" s="55">
        <f t="shared" si="352"/>
        <v>0</v>
      </c>
      <c r="EOL1599" s="55">
        <f t="shared" si="352"/>
        <v>0</v>
      </c>
      <c r="EOM1599" s="55">
        <f t="shared" si="352"/>
        <v>0</v>
      </c>
      <c r="EON1599" s="55">
        <f t="shared" si="352"/>
        <v>0</v>
      </c>
      <c r="EOO1599" s="55">
        <f t="shared" si="352"/>
        <v>0</v>
      </c>
      <c r="EOP1599" s="55">
        <f t="shared" si="352"/>
        <v>0</v>
      </c>
      <c r="EOQ1599" s="55">
        <f t="shared" si="352"/>
        <v>0</v>
      </c>
      <c r="EOR1599" s="55">
        <f t="shared" ref="EOR1599:ERC1599" si="353">+(EOR1619+EOR1623)*1.18*1.1</f>
        <v>0</v>
      </c>
      <c r="EOS1599" s="55">
        <f t="shared" si="353"/>
        <v>0</v>
      </c>
      <c r="EOT1599" s="55">
        <f t="shared" si="353"/>
        <v>0</v>
      </c>
      <c r="EOU1599" s="55">
        <f t="shared" si="353"/>
        <v>0</v>
      </c>
      <c r="EOV1599" s="55">
        <f t="shared" si="353"/>
        <v>0</v>
      </c>
      <c r="EOW1599" s="55">
        <f t="shared" si="353"/>
        <v>0</v>
      </c>
      <c r="EOX1599" s="55">
        <f t="shared" si="353"/>
        <v>0</v>
      </c>
      <c r="EOY1599" s="55">
        <f t="shared" si="353"/>
        <v>0</v>
      </c>
      <c r="EOZ1599" s="55">
        <f t="shared" si="353"/>
        <v>0</v>
      </c>
      <c r="EPA1599" s="55">
        <f t="shared" si="353"/>
        <v>0</v>
      </c>
      <c r="EPB1599" s="55">
        <f t="shared" si="353"/>
        <v>0</v>
      </c>
      <c r="EPC1599" s="55">
        <f t="shared" si="353"/>
        <v>0</v>
      </c>
      <c r="EPD1599" s="55">
        <f t="shared" si="353"/>
        <v>0</v>
      </c>
      <c r="EPE1599" s="55">
        <f t="shared" si="353"/>
        <v>0</v>
      </c>
      <c r="EPF1599" s="55">
        <f t="shared" si="353"/>
        <v>0</v>
      </c>
      <c r="EPG1599" s="55">
        <f t="shared" si="353"/>
        <v>0</v>
      </c>
      <c r="EPH1599" s="55">
        <f t="shared" si="353"/>
        <v>0</v>
      </c>
      <c r="EPI1599" s="55">
        <f t="shared" si="353"/>
        <v>0</v>
      </c>
      <c r="EPJ1599" s="55">
        <f t="shared" si="353"/>
        <v>0</v>
      </c>
      <c r="EPK1599" s="55">
        <f t="shared" si="353"/>
        <v>0</v>
      </c>
      <c r="EPL1599" s="55">
        <f t="shared" si="353"/>
        <v>0</v>
      </c>
      <c r="EPM1599" s="55">
        <f t="shared" si="353"/>
        <v>0</v>
      </c>
      <c r="EPN1599" s="55">
        <f t="shared" si="353"/>
        <v>0</v>
      </c>
      <c r="EPO1599" s="55">
        <f t="shared" si="353"/>
        <v>0</v>
      </c>
      <c r="EPP1599" s="55">
        <f t="shared" si="353"/>
        <v>0</v>
      </c>
      <c r="EPQ1599" s="55">
        <f t="shared" si="353"/>
        <v>0</v>
      </c>
      <c r="EPR1599" s="55">
        <f t="shared" si="353"/>
        <v>0</v>
      </c>
      <c r="EPS1599" s="55">
        <f t="shared" si="353"/>
        <v>0</v>
      </c>
      <c r="EPT1599" s="55">
        <f t="shared" si="353"/>
        <v>0</v>
      </c>
      <c r="EPU1599" s="55">
        <f t="shared" si="353"/>
        <v>0</v>
      </c>
      <c r="EPV1599" s="55">
        <f t="shared" si="353"/>
        <v>0</v>
      </c>
      <c r="EPW1599" s="55">
        <f t="shared" si="353"/>
        <v>0</v>
      </c>
      <c r="EPX1599" s="55">
        <f t="shared" si="353"/>
        <v>0</v>
      </c>
      <c r="EPY1599" s="55">
        <f t="shared" si="353"/>
        <v>0</v>
      </c>
      <c r="EPZ1599" s="55">
        <f t="shared" si="353"/>
        <v>0</v>
      </c>
      <c r="EQA1599" s="55">
        <f t="shared" si="353"/>
        <v>0</v>
      </c>
      <c r="EQB1599" s="55">
        <f t="shared" si="353"/>
        <v>0</v>
      </c>
      <c r="EQC1599" s="55">
        <f t="shared" si="353"/>
        <v>0</v>
      </c>
      <c r="EQD1599" s="55">
        <f t="shared" si="353"/>
        <v>0</v>
      </c>
      <c r="EQE1599" s="55">
        <f t="shared" si="353"/>
        <v>0</v>
      </c>
      <c r="EQF1599" s="55">
        <f t="shared" si="353"/>
        <v>0</v>
      </c>
      <c r="EQG1599" s="55">
        <f t="shared" si="353"/>
        <v>0</v>
      </c>
      <c r="EQH1599" s="55">
        <f t="shared" si="353"/>
        <v>0</v>
      </c>
      <c r="EQI1599" s="55">
        <f t="shared" si="353"/>
        <v>0</v>
      </c>
      <c r="EQJ1599" s="55">
        <f t="shared" si="353"/>
        <v>0</v>
      </c>
      <c r="EQK1599" s="55">
        <f t="shared" si="353"/>
        <v>0</v>
      </c>
      <c r="EQL1599" s="55">
        <f t="shared" si="353"/>
        <v>0</v>
      </c>
      <c r="EQM1599" s="55">
        <f t="shared" si="353"/>
        <v>0</v>
      </c>
      <c r="EQN1599" s="55">
        <f t="shared" si="353"/>
        <v>0</v>
      </c>
      <c r="EQO1599" s="55">
        <f t="shared" si="353"/>
        <v>0</v>
      </c>
      <c r="EQP1599" s="55">
        <f t="shared" si="353"/>
        <v>0</v>
      </c>
      <c r="EQQ1599" s="55">
        <f t="shared" si="353"/>
        <v>0</v>
      </c>
      <c r="EQR1599" s="55">
        <f t="shared" si="353"/>
        <v>0</v>
      </c>
      <c r="EQS1599" s="55">
        <f t="shared" si="353"/>
        <v>0</v>
      </c>
      <c r="EQT1599" s="55">
        <f t="shared" si="353"/>
        <v>0</v>
      </c>
      <c r="EQU1599" s="55">
        <f t="shared" si="353"/>
        <v>0</v>
      </c>
      <c r="EQV1599" s="55">
        <f t="shared" si="353"/>
        <v>0</v>
      </c>
      <c r="EQW1599" s="55">
        <f t="shared" si="353"/>
        <v>0</v>
      </c>
      <c r="EQX1599" s="55">
        <f t="shared" si="353"/>
        <v>0</v>
      </c>
      <c r="EQY1599" s="55">
        <f t="shared" si="353"/>
        <v>0</v>
      </c>
      <c r="EQZ1599" s="55">
        <f t="shared" si="353"/>
        <v>0</v>
      </c>
      <c r="ERA1599" s="55">
        <f t="shared" si="353"/>
        <v>0</v>
      </c>
      <c r="ERB1599" s="55">
        <f t="shared" si="353"/>
        <v>0</v>
      </c>
      <c r="ERC1599" s="55">
        <f t="shared" si="353"/>
        <v>0</v>
      </c>
      <c r="ERD1599" s="55">
        <f t="shared" ref="ERD1599:ETO1599" si="354">+(ERD1619+ERD1623)*1.18*1.1</f>
        <v>0</v>
      </c>
      <c r="ERE1599" s="55">
        <f t="shared" si="354"/>
        <v>0</v>
      </c>
      <c r="ERF1599" s="55">
        <f t="shared" si="354"/>
        <v>0</v>
      </c>
      <c r="ERG1599" s="55">
        <f t="shared" si="354"/>
        <v>0</v>
      </c>
      <c r="ERH1599" s="55">
        <f t="shared" si="354"/>
        <v>0</v>
      </c>
      <c r="ERI1599" s="55">
        <f t="shared" si="354"/>
        <v>0</v>
      </c>
      <c r="ERJ1599" s="55">
        <f t="shared" si="354"/>
        <v>0</v>
      </c>
      <c r="ERK1599" s="55">
        <f t="shared" si="354"/>
        <v>0</v>
      </c>
      <c r="ERL1599" s="55">
        <f t="shared" si="354"/>
        <v>0</v>
      </c>
      <c r="ERM1599" s="55">
        <f t="shared" si="354"/>
        <v>0</v>
      </c>
      <c r="ERN1599" s="55">
        <f t="shared" si="354"/>
        <v>0</v>
      </c>
      <c r="ERO1599" s="55">
        <f t="shared" si="354"/>
        <v>0</v>
      </c>
      <c r="ERP1599" s="55">
        <f t="shared" si="354"/>
        <v>0</v>
      </c>
      <c r="ERQ1599" s="55">
        <f t="shared" si="354"/>
        <v>0</v>
      </c>
      <c r="ERR1599" s="55">
        <f t="shared" si="354"/>
        <v>0</v>
      </c>
      <c r="ERS1599" s="55">
        <f t="shared" si="354"/>
        <v>0</v>
      </c>
      <c r="ERT1599" s="55">
        <f t="shared" si="354"/>
        <v>0</v>
      </c>
      <c r="ERU1599" s="55">
        <f t="shared" si="354"/>
        <v>0</v>
      </c>
      <c r="ERV1599" s="55">
        <f t="shared" si="354"/>
        <v>0</v>
      </c>
      <c r="ERW1599" s="55">
        <f t="shared" si="354"/>
        <v>0</v>
      </c>
      <c r="ERX1599" s="55">
        <f t="shared" si="354"/>
        <v>0</v>
      </c>
      <c r="ERY1599" s="55">
        <f t="shared" si="354"/>
        <v>0</v>
      </c>
      <c r="ERZ1599" s="55">
        <f t="shared" si="354"/>
        <v>0</v>
      </c>
      <c r="ESA1599" s="55">
        <f t="shared" si="354"/>
        <v>0</v>
      </c>
      <c r="ESB1599" s="55">
        <f t="shared" si="354"/>
        <v>0</v>
      </c>
      <c r="ESC1599" s="55">
        <f t="shared" si="354"/>
        <v>0</v>
      </c>
      <c r="ESD1599" s="55">
        <f t="shared" si="354"/>
        <v>0</v>
      </c>
      <c r="ESE1599" s="55">
        <f t="shared" si="354"/>
        <v>0</v>
      </c>
      <c r="ESF1599" s="55">
        <f t="shared" si="354"/>
        <v>0</v>
      </c>
      <c r="ESG1599" s="55">
        <f t="shared" si="354"/>
        <v>0</v>
      </c>
      <c r="ESH1599" s="55">
        <f t="shared" si="354"/>
        <v>0</v>
      </c>
      <c r="ESI1599" s="55">
        <f t="shared" si="354"/>
        <v>0</v>
      </c>
      <c r="ESJ1599" s="55">
        <f t="shared" si="354"/>
        <v>0</v>
      </c>
      <c r="ESK1599" s="55">
        <f t="shared" si="354"/>
        <v>0</v>
      </c>
      <c r="ESL1599" s="55">
        <f t="shared" si="354"/>
        <v>0</v>
      </c>
      <c r="ESM1599" s="55">
        <f t="shared" si="354"/>
        <v>0</v>
      </c>
      <c r="ESN1599" s="55">
        <f t="shared" si="354"/>
        <v>0</v>
      </c>
      <c r="ESO1599" s="55">
        <f t="shared" si="354"/>
        <v>0</v>
      </c>
      <c r="ESP1599" s="55">
        <f t="shared" si="354"/>
        <v>0</v>
      </c>
      <c r="ESQ1599" s="55">
        <f t="shared" si="354"/>
        <v>0</v>
      </c>
      <c r="ESR1599" s="55">
        <f t="shared" si="354"/>
        <v>0</v>
      </c>
      <c r="ESS1599" s="55">
        <f t="shared" si="354"/>
        <v>0</v>
      </c>
      <c r="EST1599" s="55">
        <f t="shared" si="354"/>
        <v>0</v>
      </c>
      <c r="ESU1599" s="55">
        <f t="shared" si="354"/>
        <v>0</v>
      </c>
      <c r="ESV1599" s="55">
        <f t="shared" si="354"/>
        <v>0</v>
      </c>
      <c r="ESW1599" s="55">
        <f t="shared" si="354"/>
        <v>0</v>
      </c>
      <c r="ESX1599" s="55">
        <f t="shared" si="354"/>
        <v>0</v>
      </c>
      <c r="ESY1599" s="55">
        <f t="shared" si="354"/>
        <v>0</v>
      </c>
      <c r="ESZ1599" s="55">
        <f t="shared" si="354"/>
        <v>0</v>
      </c>
      <c r="ETA1599" s="55">
        <f t="shared" si="354"/>
        <v>0</v>
      </c>
      <c r="ETB1599" s="55">
        <f t="shared" si="354"/>
        <v>0</v>
      </c>
      <c r="ETC1599" s="55">
        <f t="shared" si="354"/>
        <v>0</v>
      </c>
      <c r="ETD1599" s="55">
        <f t="shared" si="354"/>
        <v>0</v>
      </c>
      <c r="ETE1599" s="55">
        <f t="shared" si="354"/>
        <v>0</v>
      </c>
      <c r="ETF1599" s="55">
        <f t="shared" si="354"/>
        <v>0</v>
      </c>
      <c r="ETG1599" s="55">
        <f t="shared" si="354"/>
        <v>0</v>
      </c>
      <c r="ETH1599" s="55">
        <f t="shared" si="354"/>
        <v>0</v>
      </c>
      <c r="ETI1599" s="55">
        <f t="shared" si="354"/>
        <v>0</v>
      </c>
      <c r="ETJ1599" s="55">
        <f t="shared" si="354"/>
        <v>0</v>
      </c>
      <c r="ETK1599" s="55">
        <f t="shared" si="354"/>
        <v>0</v>
      </c>
      <c r="ETL1599" s="55">
        <f t="shared" si="354"/>
        <v>0</v>
      </c>
      <c r="ETM1599" s="55">
        <f t="shared" si="354"/>
        <v>0</v>
      </c>
      <c r="ETN1599" s="55">
        <f t="shared" si="354"/>
        <v>0</v>
      </c>
      <c r="ETO1599" s="55">
        <f t="shared" si="354"/>
        <v>0</v>
      </c>
      <c r="ETP1599" s="55">
        <f t="shared" ref="ETP1599:EWA1599" si="355">+(ETP1619+ETP1623)*1.18*1.1</f>
        <v>0</v>
      </c>
      <c r="ETQ1599" s="55">
        <f t="shared" si="355"/>
        <v>0</v>
      </c>
      <c r="ETR1599" s="55">
        <f t="shared" si="355"/>
        <v>0</v>
      </c>
      <c r="ETS1599" s="55">
        <f t="shared" si="355"/>
        <v>0</v>
      </c>
      <c r="ETT1599" s="55">
        <f t="shared" si="355"/>
        <v>0</v>
      </c>
      <c r="ETU1599" s="55">
        <f t="shared" si="355"/>
        <v>0</v>
      </c>
      <c r="ETV1599" s="55">
        <f t="shared" si="355"/>
        <v>0</v>
      </c>
      <c r="ETW1599" s="55">
        <f t="shared" si="355"/>
        <v>0</v>
      </c>
      <c r="ETX1599" s="55">
        <f t="shared" si="355"/>
        <v>0</v>
      </c>
      <c r="ETY1599" s="55">
        <f t="shared" si="355"/>
        <v>0</v>
      </c>
      <c r="ETZ1599" s="55">
        <f t="shared" si="355"/>
        <v>0</v>
      </c>
      <c r="EUA1599" s="55">
        <f t="shared" si="355"/>
        <v>0</v>
      </c>
      <c r="EUB1599" s="55">
        <f t="shared" si="355"/>
        <v>0</v>
      </c>
      <c r="EUC1599" s="55">
        <f t="shared" si="355"/>
        <v>0</v>
      </c>
      <c r="EUD1599" s="55">
        <f t="shared" si="355"/>
        <v>0</v>
      </c>
      <c r="EUE1599" s="55">
        <f t="shared" si="355"/>
        <v>0</v>
      </c>
      <c r="EUF1599" s="55">
        <f t="shared" si="355"/>
        <v>0</v>
      </c>
      <c r="EUG1599" s="55">
        <f t="shared" si="355"/>
        <v>0</v>
      </c>
      <c r="EUH1599" s="55">
        <f t="shared" si="355"/>
        <v>0</v>
      </c>
      <c r="EUI1599" s="55">
        <f t="shared" si="355"/>
        <v>0</v>
      </c>
      <c r="EUJ1599" s="55">
        <f t="shared" si="355"/>
        <v>0</v>
      </c>
      <c r="EUK1599" s="55">
        <f t="shared" si="355"/>
        <v>0</v>
      </c>
      <c r="EUL1599" s="55">
        <f t="shared" si="355"/>
        <v>0</v>
      </c>
      <c r="EUM1599" s="55">
        <f t="shared" si="355"/>
        <v>0</v>
      </c>
      <c r="EUN1599" s="55">
        <f t="shared" si="355"/>
        <v>0</v>
      </c>
      <c r="EUO1599" s="55">
        <f t="shared" si="355"/>
        <v>0</v>
      </c>
      <c r="EUP1599" s="55">
        <f t="shared" si="355"/>
        <v>0</v>
      </c>
      <c r="EUQ1599" s="55">
        <f t="shared" si="355"/>
        <v>0</v>
      </c>
      <c r="EUR1599" s="55">
        <f t="shared" si="355"/>
        <v>0</v>
      </c>
      <c r="EUS1599" s="55">
        <f t="shared" si="355"/>
        <v>0</v>
      </c>
      <c r="EUT1599" s="55">
        <f t="shared" si="355"/>
        <v>0</v>
      </c>
      <c r="EUU1599" s="55">
        <f t="shared" si="355"/>
        <v>0</v>
      </c>
      <c r="EUV1599" s="55">
        <f t="shared" si="355"/>
        <v>0</v>
      </c>
      <c r="EUW1599" s="55">
        <f t="shared" si="355"/>
        <v>0</v>
      </c>
      <c r="EUX1599" s="55">
        <f t="shared" si="355"/>
        <v>0</v>
      </c>
      <c r="EUY1599" s="55">
        <f t="shared" si="355"/>
        <v>0</v>
      </c>
      <c r="EUZ1599" s="55">
        <f t="shared" si="355"/>
        <v>0</v>
      </c>
      <c r="EVA1599" s="55">
        <f t="shared" si="355"/>
        <v>0</v>
      </c>
      <c r="EVB1599" s="55">
        <f t="shared" si="355"/>
        <v>0</v>
      </c>
      <c r="EVC1599" s="55">
        <f t="shared" si="355"/>
        <v>0</v>
      </c>
      <c r="EVD1599" s="55">
        <f t="shared" si="355"/>
        <v>0</v>
      </c>
      <c r="EVE1599" s="55">
        <f t="shared" si="355"/>
        <v>0</v>
      </c>
      <c r="EVF1599" s="55">
        <f t="shared" si="355"/>
        <v>0</v>
      </c>
      <c r="EVG1599" s="55">
        <f t="shared" si="355"/>
        <v>0</v>
      </c>
      <c r="EVH1599" s="55">
        <f t="shared" si="355"/>
        <v>0</v>
      </c>
      <c r="EVI1599" s="55">
        <f t="shared" si="355"/>
        <v>0</v>
      </c>
      <c r="EVJ1599" s="55">
        <f t="shared" si="355"/>
        <v>0</v>
      </c>
      <c r="EVK1599" s="55">
        <f t="shared" si="355"/>
        <v>0</v>
      </c>
      <c r="EVL1599" s="55">
        <f t="shared" si="355"/>
        <v>0</v>
      </c>
      <c r="EVM1599" s="55">
        <f t="shared" si="355"/>
        <v>0</v>
      </c>
      <c r="EVN1599" s="55">
        <f t="shared" si="355"/>
        <v>0</v>
      </c>
      <c r="EVO1599" s="55">
        <f t="shared" si="355"/>
        <v>0</v>
      </c>
      <c r="EVP1599" s="55">
        <f t="shared" si="355"/>
        <v>0</v>
      </c>
      <c r="EVQ1599" s="55">
        <f t="shared" si="355"/>
        <v>0</v>
      </c>
      <c r="EVR1599" s="55">
        <f t="shared" si="355"/>
        <v>0</v>
      </c>
      <c r="EVS1599" s="55">
        <f t="shared" si="355"/>
        <v>0</v>
      </c>
      <c r="EVT1599" s="55">
        <f t="shared" si="355"/>
        <v>0</v>
      </c>
      <c r="EVU1599" s="55">
        <f t="shared" si="355"/>
        <v>0</v>
      </c>
      <c r="EVV1599" s="55">
        <f t="shared" si="355"/>
        <v>0</v>
      </c>
      <c r="EVW1599" s="55">
        <f t="shared" si="355"/>
        <v>0</v>
      </c>
      <c r="EVX1599" s="55">
        <f t="shared" si="355"/>
        <v>0</v>
      </c>
      <c r="EVY1599" s="55">
        <f t="shared" si="355"/>
        <v>0</v>
      </c>
      <c r="EVZ1599" s="55">
        <f t="shared" si="355"/>
        <v>0</v>
      </c>
      <c r="EWA1599" s="55">
        <f t="shared" si="355"/>
        <v>0</v>
      </c>
      <c r="EWB1599" s="55">
        <f t="shared" ref="EWB1599:EYM1599" si="356">+(EWB1619+EWB1623)*1.18*1.1</f>
        <v>0</v>
      </c>
      <c r="EWC1599" s="55">
        <f t="shared" si="356"/>
        <v>0</v>
      </c>
      <c r="EWD1599" s="55">
        <f t="shared" si="356"/>
        <v>0</v>
      </c>
      <c r="EWE1599" s="55">
        <f t="shared" si="356"/>
        <v>0</v>
      </c>
      <c r="EWF1599" s="55">
        <f t="shared" si="356"/>
        <v>0</v>
      </c>
      <c r="EWG1599" s="55">
        <f t="shared" si="356"/>
        <v>0</v>
      </c>
      <c r="EWH1599" s="55">
        <f t="shared" si="356"/>
        <v>0</v>
      </c>
      <c r="EWI1599" s="55">
        <f t="shared" si="356"/>
        <v>0</v>
      </c>
      <c r="EWJ1599" s="55">
        <f t="shared" si="356"/>
        <v>0</v>
      </c>
      <c r="EWK1599" s="55">
        <f t="shared" si="356"/>
        <v>0</v>
      </c>
      <c r="EWL1599" s="55">
        <f t="shared" si="356"/>
        <v>0</v>
      </c>
      <c r="EWM1599" s="55">
        <f t="shared" si="356"/>
        <v>0</v>
      </c>
      <c r="EWN1599" s="55">
        <f t="shared" si="356"/>
        <v>0</v>
      </c>
      <c r="EWO1599" s="55">
        <f t="shared" si="356"/>
        <v>0</v>
      </c>
      <c r="EWP1599" s="55">
        <f t="shared" si="356"/>
        <v>0</v>
      </c>
      <c r="EWQ1599" s="55">
        <f t="shared" si="356"/>
        <v>0</v>
      </c>
      <c r="EWR1599" s="55">
        <f t="shared" si="356"/>
        <v>0</v>
      </c>
      <c r="EWS1599" s="55">
        <f t="shared" si="356"/>
        <v>0</v>
      </c>
      <c r="EWT1599" s="55">
        <f t="shared" si="356"/>
        <v>0</v>
      </c>
      <c r="EWU1599" s="55">
        <f t="shared" si="356"/>
        <v>0</v>
      </c>
      <c r="EWV1599" s="55">
        <f t="shared" si="356"/>
        <v>0</v>
      </c>
      <c r="EWW1599" s="55">
        <f t="shared" si="356"/>
        <v>0</v>
      </c>
      <c r="EWX1599" s="55">
        <f t="shared" si="356"/>
        <v>0</v>
      </c>
      <c r="EWY1599" s="55">
        <f t="shared" si="356"/>
        <v>0</v>
      </c>
      <c r="EWZ1599" s="55">
        <f t="shared" si="356"/>
        <v>0</v>
      </c>
      <c r="EXA1599" s="55">
        <f t="shared" si="356"/>
        <v>0</v>
      </c>
      <c r="EXB1599" s="55">
        <f t="shared" si="356"/>
        <v>0</v>
      </c>
      <c r="EXC1599" s="55">
        <f t="shared" si="356"/>
        <v>0</v>
      </c>
      <c r="EXD1599" s="55">
        <f t="shared" si="356"/>
        <v>0</v>
      </c>
      <c r="EXE1599" s="55">
        <f t="shared" si="356"/>
        <v>0</v>
      </c>
      <c r="EXF1599" s="55">
        <f t="shared" si="356"/>
        <v>0</v>
      </c>
      <c r="EXG1599" s="55">
        <f t="shared" si="356"/>
        <v>0</v>
      </c>
      <c r="EXH1599" s="55">
        <f t="shared" si="356"/>
        <v>0</v>
      </c>
      <c r="EXI1599" s="55">
        <f t="shared" si="356"/>
        <v>0</v>
      </c>
      <c r="EXJ1599" s="55">
        <f t="shared" si="356"/>
        <v>0</v>
      </c>
      <c r="EXK1599" s="55">
        <f t="shared" si="356"/>
        <v>0</v>
      </c>
      <c r="EXL1599" s="55">
        <f t="shared" si="356"/>
        <v>0</v>
      </c>
      <c r="EXM1599" s="55">
        <f t="shared" si="356"/>
        <v>0</v>
      </c>
      <c r="EXN1599" s="55">
        <f t="shared" si="356"/>
        <v>0</v>
      </c>
      <c r="EXO1599" s="55">
        <f t="shared" si="356"/>
        <v>0</v>
      </c>
      <c r="EXP1599" s="55">
        <f t="shared" si="356"/>
        <v>0</v>
      </c>
      <c r="EXQ1599" s="55">
        <f t="shared" si="356"/>
        <v>0</v>
      </c>
      <c r="EXR1599" s="55">
        <f t="shared" si="356"/>
        <v>0</v>
      </c>
      <c r="EXS1599" s="55">
        <f t="shared" si="356"/>
        <v>0</v>
      </c>
      <c r="EXT1599" s="55">
        <f t="shared" si="356"/>
        <v>0</v>
      </c>
      <c r="EXU1599" s="55">
        <f t="shared" si="356"/>
        <v>0</v>
      </c>
      <c r="EXV1599" s="55">
        <f t="shared" si="356"/>
        <v>0</v>
      </c>
      <c r="EXW1599" s="55">
        <f t="shared" si="356"/>
        <v>0</v>
      </c>
      <c r="EXX1599" s="55">
        <f t="shared" si="356"/>
        <v>0</v>
      </c>
      <c r="EXY1599" s="55">
        <f t="shared" si="356"/>
        <v>0</v>
      </c>
      <c r="EXZ1599" s="55">
        <f t="shared" si="356"/>
        <v>0</v>
      </c>
      <c r="EYA1599" s="55">
        <f t="shared" si="356"/>
        <v>0</v>
      </c>
      <c r="EYB1599" s="55">
        <f t="shared" si="356"/>
        <v>0</v>
      </c>
      <c r="EYC1599" s="55">
        <f t="shared" si="356"/>
        <v>0</v>
      </c>
      <c r="EYD1599" s="55">
        <f t="shared" si="356"/>
        <v>0</v>
      </c>
      <c r="EYE1599" s="55">
        <f t="shared" si="356"/>
        <v>0</v>
      </c>
      <c r="EYF1599" s="55">
        <f t="shared" si="356"/>
        <v>0</v>
      </c>
      <c r="EYG1599" s="55">
        <f t="shared" si="356"/>
        <v>0</v>
      </c>
      <c r="EYH1599" s="55">
        <f t="shared" si="356"/>
        <v>0</v>
      </c>
      <c r="EYI1599" s="55">
        <f t="shared" si="356"/>
        <v>0</v>
      </c>
      <c r="EYJ1599" s="55">
        <f t="shared" si="356"/>
        <v>0</v>
      </c>
      <c r="EYK1599" s="55">
        <f t="shared" si="356"/>
        <v>0</v>
      </c>
      <c r="EYL1599" s="55">
        <f t="shared" si="356"/>
        <v>0</v>
      </c>
      <c r="EYM1599" s="55">
        <f t="shared" si="356"/>
        <v>0</v>
      </c>
      <c r="EYN1599" s="55">
        <f t="shared" ref="EYN1599:FAY1599" si="357">+(EYN1619+EYN1623)*1.18*1.1</f>
        <v>0</v>
      </c>
      <c r="EYO1599" s="55">
        <f t="shared" si="357"/>
        <v>0</v>
      </c>
      <c r="EYP1599" s="55">
        <f t="shared" si="357"/>
        <v>0</v>
      </c>
      <c r="EYQ1599" s="55">
        <f t="shared" si="357"/>
        <v>0</v>
      </c>
      <c r="EYR1599" s="55">
        <f t="shared" si="357"/>
        <v>0</v>
      </c>
      <c r="EYS1599" s="55">
        <f t="shared" si="357"/>
        <v>0</v>
      </c>
      <c r="EYT1599" s="55">
        <f t="shared" si="357"/>
        <v>0</v>
      </c>
      <c r="EYU1599" s="55">
        <f t="shared" si="357"/>
        <v>0</v>
      </c>
      <c r="EYV1599" s="55">
        <f t="shared" si="357"/>
        <v>0</v>
      </c>
      <c r="EYW1599" s="55">
        <f t="shared" si="357"/>
        <v>0</v>
      </c>
      <c r="EYX1599" s="55">
        <f t="shared" si="357"/>
        <v>0</v>
      </c>
      <c r="EYY1599" s="55">
        <f t="shared" si="357"/>
        <v>0</v>
      </c>
      <c r="EYZ1599" s="55">
        <f t="shared" si="357"/>
        <v>0</v>
      </c>
      <c r="EZA1599" s="55">
        <f t="shared" si="357"/>
        <v>0</v>
      </c>
      <c r="EZB1599" s="55">
        <f t="shared" si="357"/>
        <v>0</v>
      </c>
      <c r="EZC1599" s="55">
        <f t="shared" si="357"/>
        <v>0</v>
      </c>
      <c r="EZD1599" s="55">
        <f t="shared" si="357"/>
        <v>0</v>
      </c>
      <c r="EZE1599" s="55">
        <f t="shared" si="357"/>
        <v>0</v>
      </c>
      <c r="EZF1599" s="55">
        <f t="shared" si="357"/>
        <v>0</v>
      </c>
      <c r="EZG1599" s="55">
        <f t="shared" si="357"/>
        <v>0</v>
      </c>
      <c r="EZH1599" s="55">
        <f t="shared" si="357"/>
        <v>0</v>
      </c>
      <c r="EZI1599" s="55">
        <f t="shared" si="357"/>
        <v>0</v>
      </c>
      <c r="EZJ1599" s="55">
        <f t="shared" si="357"/>
        <v>0</v>
      </c>
      <c r="EZK1599" s="55">
        <f t="shared" si="357"/>
        <v>0</v>
      </c>
      <c r="EZL1599" s="55">
        <f t="shared" si="357"/>
        <v>0</v>
      </c>
      <c r="EZM1599" s="55">
        <f t="shared" si="357"/>
        <v>0</v>
      </c>
      <c r="EZN1599" s="55">
        <f t="shared" si="357"/>
        <v>0</v>
      </c>
      <c r="EZO1599" s="55">
        <f t="shared" si="357"/>
        <v>0</v>
      </c>
      <c r="EZP1599" s="55">
        <f t="shared" si="357"/>
        <v>0</v>
      </c>
      <c r="EZQ1599" s="55">
        <f t="shared" si="357"/>
        <v>0</v>
      </c>
      <c r="EZR1599" s="55">
        <f t="shared" si="357"/>
        <v>0</v>
      </c>
      <c r="EZS1599" s="55">
        <f t="shared" si="357"/>
        <v>0</v>
      </c>
      <c r="EZT1599" s="55">
        <f t="shared" si="357"/>
        <v>0</v>
      </c>
      <c r="EZU1599" s="55">
        <f t="shared" si="357"/>
        <v>0</v>
      </c>
      <c r="EZV1599" s="55">
        <f t="shared" si="357"/>
        <v>0</v>
      </c>
      <c r="EZW1599" s="55">
        <f t="shared" si="357"/>
        <v>0</v>
      </c>
      <c r="EZX1599" s="55">
        <f t="shared" si="357"/>
        <v>0</v>
      </c>
      <c r="EZY1599" s="55">
        <f t="shared" si="357"/>
        <v>0</v>
      </c>
      <c r="EZZ1599" s="55">
        <f t="shared" si="357"/>
        <v>0</v>
      </c>
      <c r="FAA1599" s="55">
        <f t="shared" si="357"/>
        <v>0</v>
      </c>
      <c r="FAB1599" s="55">
        <f t="shared" si="357"/>
        <v>0</v>
      </c>
      <c r="FAC1599" s="55">
        <f t="shared" si="357"/>
        <v>0</v>
      </c>
      <c r="FAD1599" s="55">
        <f t="shared" si="357"/>
        <v>0</v>
      </c>
      <c r="FAE1599" s="55">
        <f t="shared" si="357"/>
        <v>0</v>
      </c>
      <c r="FAF1599" s="55">
        <f t="shared" si="357"/>
        <v>0</v>
      </c>
      <c r="FAG1599" s="55">
        <f t="shared" si="357"/>
        <v>0</v>
      </c>
      <c r="FAH1599" s="55">
        <f t="shared" si="357"/>
        <v>0</v>
      </c>
      <c r="FAI1599" s="55">
        <f t="shared" si="357"/>
        <v>0</v>
      </c>
      <c r="FAJ1599" s="55">
        <f t="shared" si="357"/>
        <v>0</v>
      </c>
      <c r="FAK1599" s="55">
        <f t="shared" si="357"/>
        <v>0</v>
      </c>
      <c r="FAL1599" s="55">
        <f t="shared" si="357"/>
        <v>0</v>
      </c>
      <c r="FAM1599" s="55">
        <f t="shared" si="357"/>
        <v>0</v>
      </c>
      <c r="FAN1599" s="55">
        <f t="shared" si="357"/>
        <v>0</v>
      </c>
      <c r="FAO1599" s="55">
        <f t="shared" si="357"/>
        <v>0</v>
      </c>
      <c r="FAP1599" s="55">
        <f t="shared" si="357"/>
        <v>0</v>
      </c>
      <c r="FAQ1599" s="55">
        <f t="shared" si="357"/>
        <v>0</v>
      </c>
      <c r="FAR1599" s="55">
        <f t="shared" si="357"/>
        <v>0</v>
      </c>
      <c r="FAS1599" s="55">
        <f t="shared" si="357"/>
        <v>0</v>
      </c>
      <c r="FAT1599" s="55">
        <f t="shared" si="357"/>
        <v>0</v>
      </c>
      <c r="FAU1599" s="55">
        <f t="shared" si="357"/>
        <v>0</v>
      </c>
      <c r="FAV1599" s="55">
        <f t="shared" si="357"/>
        <v>0</v>
      </c>
      <c r="FAW1599" s="55">
        <f t="shared" si="357"/>
        <v>0</v>
      </c>
      <c r="FAX1599" s="55">
        <f t="shared" si="357"/>
        <v>0</v>
      </c>
      <c r="FAY1599" s="55">
        <f t="shared" si="357"/>
        <v>0</v>
      </c>
      <c r="FAZ1599" s="55">
        <f t="shared" ref="FAZ1599:FDK1599" si="358">+(FAZ1619+FAZ1623)*1.18*1.1</f>
        <v>0</v>
      </c>
      <c r="FBA1599" s="55">
        <f t="shared" si="358"/>
        <v>0</v>
      </c>
      <c r="FBB1599" s="55">
        <f t="shared" si="358"/>
        <v>0</v>
      </c>
      <c r="FBC1599" s="55">
        <f t="shared" si="358"/>
        <v>0</v>
      </c>
      <c r="FBD1599" s="55">
        <f t="shared" si="358"/>
        <v>0</v>
      </c>
      <c r="FBE1599" s="55">
        <f t="shared" si="358"/>
        <v>0</v>
      </c>
      <c r="FBF1599" s="55">
        <f t="shared" si="358"/>
        <v>0</v>
      </c>
      <c r="FBG1599" s="55">
        <f t="shared" si="358"/>
        <v>0</v>
      </c>
      <c r="FBH1599" s="55">
        <f t="shared" si="358"/>
        <v>0</v>
      </c>
      <c r="FBI1599" s="55">
        <f t="shared" si="358"/>
        <v>0</v>
      </c>
      <c r="FBJ1599" s="55">
        <f t="shared" si="358"/>
        <v>0</v>
      </c>
      <c r="FBK1599" s="55">
        <f t="shared" si="358"/>
        <v>0</v>
      </c>
      <c r="FBL1599" s="55">
        <f t="shared" si="358"/>
        <v>0</v>
      </c>
      <c r="FBM1599" s="55">
        <f t="shared" si="358"/>
        <v>0</v>
      </c>
      <c r="FBN1599" s="55">
        <f t="shared" si="358"/>
        <v>0</v>
      </c>
      <c r="FBO1599" s="55">
        <f t="shared" si="358"/>
        <v>0</v>
      </c>
      <c r="FBP1599" s="55">
        <f t="shared" si="358"/>
        <v>0</v>
      </c>
      <c r="FBQ1599" s="55">
        <f t="shared" si="358"/>
        <v>0</v>
      </c>
      <c r="FBR1599" s="55">
        <f t="shared" si="358"/>
        <v>0</v>
      </c>
      <c r="FBS1599" s="55">
        <f t="shared" si="358"/>
        <v>0</v>
      </c>
      <c r="FBT1599" s="55">
        <f t="shared" si="358"/>
        <v>0</v>
      </c>
      <c r="FBU1599" s="55">
        <f t="shared" si="358"/>
        <v>0</v>
      </c>
      <c r="FBV1599" s="55">
        <f t="shared" si="358"/>
        <v>0</v>
      </c>
      <c r="FBW1599" s="55">
        <f t="shared" si="358"/>
        <v>0</v>
      </c>
      <c r="FBX1599" s="55">
        <f t="shared" si="358"/>
        <v>0</v>
      </c>
      <c r="FBY1599" s="55">
        <f t="shared" si="358"/>
        <v>0</v>
      </c>
      <c r="FBZ1599" s="55">
        <f t="shared" si="358"/>
        <v>0</v>
      </c>
      <c r="FCA1599" s="55">
        <f t="shared" si="358"/>
        <v>0</v>
      </c>
      <c r="FCB1599" s="55">
        <f t="shared" si="358"/>
        <v>0</v>
      </c>
      <c r="FCC1599" s="55">
        <f t="shared" si="358"/>
        <v>0</v>
      </c>
      <c r="FCD1599" s="55">
        <f t="shared" si="358"/>
        <v>0</v>
      </c>
      <c r="FCE1599" s="55">
        <f t="shared" si="358"/>
        <v>0</v>
      </c>
      <c r="FCF1599" s="55">
        <f t="shared" si="358"/>
        <v>0</v>
      </c>
      <c r="FCG1599" s="55">
        <f t="shared" si="358"/>
        <v>0</v>
      </c>
      <c r="FCH1599" s="55">
        <f t="shared" si="358"/>
        <v>0</v>
      </c>
      <c r="FCI1599" s="55">
        <f t="shared" si="358"/>
        <v>0</v>
      </c>
      <c r="FCJ1599" s="55">
        <f t="shared" si="358"/>
        <v>0</v>
      </c>
      <c r="FCK1599" s="55">
        <f t="shared" si="358"/>
        <v>0</v>
      </c>
      <c r="FCL1599" s="55">
        <f t="shared" si="358"/>
        <v>0</v>
      </c>
      <c r="FCM1599" s="55">
        <f t="shared" si="358"/>
        <v>0</v>
      </c>
      <c r="FCN1599" s="55">
        <f t="shared" si="358"/>
        <v>0</v>
      </c>
      <c r="FCO1599" s="55">
        <f t="shared" si="358"/>
        <v>0</v>
      </c>
      <c r="FCP1599" s="55">
        <f t="shared" si="358"/>
        <v>0</v>
      </c>
      <c r="FCQ1599" s="55">
        <f t="shared" si="358"/>
        <v>0</v>
      </c>
      <c r="FCR1599" s="55">
        <f t="shared" si="358"/>
        <v>0</v>
      </c>
      <c r="FCS1599" s="55">
        <f t="shared" si="358"/>
        <v>0</v>
      </c>
      <c r="FCT1599" s="55">
        <f t="shared" si="358"/>
        <v>0</v>
      </c>
      <c r="FCU1599" s="55">
        <f t="shared" si="358"/>
        <v>0</v>
      </c>
      <c r="FCV1599" s="55">
        <f t="shared" si="358"/>
        <v>0</v>
      </c>
      <c r="FCW1599" s="55">
        <f t="shared" si="358"/>
        <v>0</v>
      </c>
      <c r="FCX1599" s="55">
        <f t="shared" si="358"/>
        <v>0</v>
      </c>
      <c r="FCY1599" s="55">
        <f t="shared" si="358"/>
        <v>0</v>
      </c>
      <c r="FCZ1599" s="55">
        <f t="shared" si="358"/>
        <v>0</v>
      </c>
      <c r="FDA1599" s="55">
        <f t="shared" si="358"/>
        <v>0</v>
      </c>
      <c r="FDB1599" s="55">
        <f t="shared" si="358"/>
        <v>0</v>
      </c>
      <c r="FDC1599" s="55">
        <f t="shared" si="358"/>
        <v>0</v>
      </c>
      <c r="FDD1599" s="55">
        <f t="shared" si="358"/>
        <v>0</v>
      </c>
      <c r="FDE1599" s="55">
        <f t="shared" si="358"/>
        <v>0</v>
      </c>
      <c r="FDF1599" s="55">
        <f t="shared" si="358"/>
        <v>0</v>
      </c>
      <c r="FDG1599" s="55">
        <f t="shared" si="358"/>
        <v>0</v>
      </c>
      <c r="FDH1599" s="55">
        <f t="shared" si="358"/>
        <v>0</v>
      </c>
      <c r="FDI1599" s="55">
        <f t="shared" si="358"/>
        <v>0</v>
      </c>
      <c r="FDJ1599" s="55">
        <f t="shared" si="358"/>
        <v>0</v>
      </c>
      <c r="FDK1599" s="55">
        <f t="shared" si="358"/>
        <v>0</v>
      </c>
      <c r="FDL1599" s="55">
        <f t="shared" ref="FDL1599:FFW1599" si="359">+(FDL1619+FDL1623)*1.18*1.1</f>
        <v>0</v>
      </c>
      <c r="FDM1599" s="55">
        <f t="shared" si="359"/>
        <v>0</v>
      </c>
      <c r="FDN1599" s="55">
        <f t="shared" si="359"/>
        <v>0</v>
      </c>
      <c r="FDO1599" s="55">
        <f t="shared" si="359"/>
        <v>0</v>
      </c>
      <c r="FDP1599" s="55">
        <f t="shared" si="359"/>
        <v>0</v>
      </c>
      <c r="FDQ1599" s="55">
        <f t="shared" si="359"/>
        <v>0</v>
      </c>
      <c r="FDR1599" s="55">
        <f t="shared" si="359"/>
        <v>0</v>
      </c>
      <c r="FDS1599" s="55">
        <f t="shared" si="359"/>
        <v>0</v>
      </c>
      <c r="FDT1599" s="55">
        <f t="shared" si="359"/>
        <v>0</v>
      </c>
      <c r="FDU1599" s="55">
        <f t="shared" si="359"/>
        <v>0</v>
      </c>
      <c r="FDV1599" s="55">
        <f t="shared" si="359"/>
        <v>0</v>
      </c>
      <c r="FDW1599" s="55">
        <f t="shared" si="359"/>
        <v>0</v>
      </c>
      <c r="FDX1599" s="55">
        <f t="shared" si="359"/>
        <v>0</v>
      </c>
      <c r="FDY1599" s="55">
        <f t="shared" si="359"/>
        <v>0</v>
      </c>
      <c r="FDZ1599" s="55">
        <f t="shared" si="359"/>
        <v>0</v>
      </c>
      <c r="FEA1599" s="55">
        <f t="shared" si="359"/>
        <v>0</v>
      </c>
      <c r="FEB1599" s="55">
        <f t="shared" si="359"/>
        <v>0</v>
      </c>
      <c r="FEC1599" s="55">
        <f t="shared" si="359"/>
        <v>0</v>
      </c>
      <c r="FED1599" s="55">
        <f t="shared" si="359"/>
        <v>0</v>
      </c>
      <c r="FEE1599" s="55">
        <f t="shared" si="359"/>
        <v>0</v>
      </c>
      <c r="FEF1599" s="55">
        <f t="shared" si="359"/>
        <v>0</v>
      </c>
      <c r="FEG1599" s="55">
        <f t="shared" si="359"/>
        <v>0</v>
      </c>
      <c r="FEH1599" s="55">
        <f t="shared" si="359"/>
        <v>0</v>
      </c>
      <c r="FEI1599" s="55">
        <f t="shared" si="359"/>
        <v>0</v>
      </c>
      <c r="FEJ1599" s="55">
        <f t="shared" si="359"/>
        <v>0</v>
      </c>
      <c r="FEK1599" s="55">
        <f t="shared" si="359"/>
        <v>0</v>
      </c>
      <c r="FEL1599" s="55">
        <f t="shared" si="359"/>
        <v>0</v>
      </c>
      <c r="FEM1599" s="55">
        <f t="shared" si="359"/>
        <v>0</v>
      </c>
      <c r="FEN1599" s="55">
        <f t="shared" si="359"/>
        <v>0</v>
      </c>
      <c r="FEO1599" s="55">
        <f t="shared" si="359"/>
        <v>0</v>
      </c>
      <c r="FEP1599" s="55">
        <f t="shared" si="359"/>
        <v>0</v>
      </c>
      <c r="FEQ1599" s="55">
        <f t="shared" si="359"/>
        <v>0</v>
      </c>
      <c r="FER1599" s="55">
        <f t="shared" si="359"/>
        <v>0</v>
      </c>
      <c r="FES1599" s="55">
        <f t="shared" si="359"/>
        <v>0</v>
      </c>
      <c r="FET1599" s="55">
        <f t="shared" si="359"/>
        <v>0</v>
      </c>
      <c r="FEU1599" s="55">
        <f t="shared" si="359"/>
        <v>0</v>
      </c>
      <c r="FEV1599" s="55">
        <f t="shared" si="359"/>
        <v>0</v>
      </c>
      <c r="FEW1599" s="55">
        <f t="shared" si="359"/>
        <v>0</v>
      </c>
      <c r="FEX1599" s="55">
        <f t="shared" si="359"/>
        <v>0</v>
      </c>
      <c r="FEY1599" s="55">
        <f t="shared" si="359"/>
        <v>0</v>
      </c>
      <c r="FEZ1599" s="55">
        <f t="shared" si="359"/>
        <v>0</v>
      </c>
      <c r="FFA1599" s="55">
        <f t="shared" si="359"/>
        <v>0</v>
      </c>
      <c r="FFB1599" s="55">
        <f t="shared" si="359"/>
        <v>0</v>
      </c>
      <c r="FFC1599" s="55">
        <f t="shared" si="359"/>
        <v>0</v>
      </c>
      <c r="FFD1599" s="55">
        <f t="shared" si="359"/>
        <v>0</v>
      </c>
      <c r="FFE1599" s="55">
        <f t="shared" si="359"/>
        <v>0</v>
      </c>
      <c r="FFF1599" s="55">
        <f t="shared" si="359"/>
        <v>0</v>
      </c>
      <c r="FFG1599" s="55">
        <f t="shared" si="359"/>
        <v>0</v>
      </c>
      <c r="FFH1599" s="55">
        <f t="shared" si="359"/>
        <v>0</v>
      </c>
      <c r="FFI1599" s="55">
        <f t="shared" si="359"/>
        <v>0</v>
      </c>
      <c r="FFJ1599" s="55">
        <f t="shared" si="359"/>
        <v>0</v>
      </c>
      <c r="FFK1599" s="55">
        <f t="shared" si="359"/>
        <v>0</v>
      </c>
      <c r="FFL1599" s="55">
        <f t="shared" si="359"/>
        <v>0</v>
      </c>
      <c r="FFM1599" s="55">
        <f t="shared" si="359"/>
        <v>0</v>
      </c>
      <c r="FFN1599" s="55">
        <f t="shared" si="359"/>
        <v>0</v>
      </c>
      <c r="FFO1599" s="55">
        <f t="shared" si="359"/>
        <v>0</v>
      </c>
      <c r="FFP1599" s="55">
        <f t="shared" si="359"/>
        <v>0</v>
      </c>
      <c r="FFQ1599" s="55">
        <f t="shared" si="359"/>
        <v>0</v>
      </c>
      <c r="FFR1599" s="55">
        <f t="shared" si="359"/>
        <v>0</v>
      </c>
      <c r="FFS1599" s="55">
        <f t="shared" si="359"/>
        <v>0</v>
      </c>
      <c r="FFT1599" s="55">
        <f t="shared" si="359"/>
        <v>0</v>
      </c>
      <c r="FFU1599" s="55">
        <f t="shared" si="359"/>
        <v>0</v>
      </c>
      <c r="FFV1599" s="55">
        <f t="shared" si="359"/>
        <v>0</v>
      </c>
      <c r="FFW1599" s="55">
        <f t="shared" si="359"/>
        <v>0</v>
      </c>
      <c r="FFX1599" s="55">
        <f t="shared" ref="FFX1599:FII1599" si="360">+(FFX1619+FFX1623)*1.18*1.1</f>
        <v>0</v>
      </c>
      <c r="FFY1599" s="55">
        <f t="shared" si="360"/>
        <v>0</v>
      </c>
      <c r="FFZ1599" s="55">
        <f t="shared" si="360"/>
        <v>0</v>
      </c>
      <c r="FGA1599" s="55">
        <f t="shared" si="360"/>
        <v>0</v>
      </c>
      <c r="FGB1599" s="55">
        <f t="shared" si="360"/>
        <v>0</v>
      </c>
      <c r="FGC1599" s="55">
        <f t="shared" si="360"/>
        <v>0</v>
      </c>
      <c r="FGD1599" s="55">
        <f t="shared" si="360"/>
        <v>0</v>
      </c>
      <c r="FGE1599" s="55">
        <f t="shared" si="360"/>
        <v>0</v>
      </c>
      <c r="FGF1599" s="55">
        <f t="shared" si="360"/>
        <v>0</v>
      </c>
      <c r="FGG1599" s="55">
        <f t="shared" si="360"/>
        <v>0</v>
      </c>
      <c r="FGH1599" s="55">
        <f t="shared" si="360"/>
        <v>0</v>
      </c>
      <c r="FGI1599" s="55">
        <f t="shared" si="360"/>
        <v>0</v>
      </c>
      <c r="FGJ1599" s="55">
        <f t="shared" si="360"/>
        <v>0</v>
      </c>
      <c r="FGK1599" s="55">
        <f t="shared" si="360"/>
        <v>0</v>
      </c>
      <c r="FGL1599" s="55">
        <f t="shared" si="360"/>
        <v>0</v>
      </c>
      <c r="FGM1599" s="55">
        <f t="shared" si="360"/>
        <v>0</v>
      </c>
      <c r="FGN1599" s="55">
        <f t="shared" si="360"/>
        <v>0</v>
      </c>
      <c r="FGO1599" s="55">
        <f t="shared" si="360"/>
        <v>0</v>
      </c>
      <c r="FGP1599" s="55">
        <f t="shared" si="360"/>
        <v>0</v>
      </c>
      <c r="FGQ1599" s="55">
        <f t="shared" si="360"/>
        <v>0</v>
      </c>
      <c r="FGR1599" s="55">
        <f t="shared" si="360"/>
        <v>0</v>
      </c>
      <c r="FGS1599" s="55">
        <f t="shared" si="360"/>
        <v>0</v>
      </c>
      <c r="FGT1599" s="55">
        <f t="shared" si="360"/>
        <v>0</v>
      </c>
      <c r="FGU1599" s="55">
        <f t="shared" si="360"/>
        <v>0</v>
      </c>
      <c r="FGV1599" s="55">
        <f t="shared" si="360"/>
        <v>0</v>
      </c>
      <c r="FGW1599" s="55">
        <f t="shared" si="360"/>
        <v>0</v>
      </c>
      <c r="FGX1599" s="55">
        <f t="shared" si="360"/>
        <v>0</v>
      </c>
      <c r="FGY1599" s="55">
        <f t="shared" si="360"/>
        <v>0</v>
      </c>
      <c r="FGZ1599" s="55">
        <f t="shared" si="360"/>
        <v>0</v>
      </c>
      <c r="FHA1599" s="55">
        <f t="shared" si="360"/>
        <v>0</v>
      </c>
      <c r="FHB1599" s="55">
        <f t="shared" si="360"/>
        <v>0</v>
      </c>
      <c r="FHC1599" s="55">
        <f t="shared" si="360"/>
        <v>0</v>
      </c>
      <c r="FHD1599" s="55">
        <f t="shared" si="360"/>
        <v>0</v>
      </c>
      <c r="FHE1599" s="55">
        <f t="shared" si="360"/>
        <v>0</v>
      </c>
      <c r="FHF1599" s="55">
        <f t="shared" si="360"/>
        <v>0</v>
      </c>
      <c r="FHG1599" s="55">
        <f t="shared" si="360"/>
        <v>0</v>
      </c>
      <c r="FHH1599" s="55">
        <f t="shared" si="360"/>
        <v>0</v>
      </c>
      <c r="FHI1599" s="55">
        <f t="shared" si="360"/>
        <v>0</v>
      </c>
      <c r="FHJ1599" s="55">
        <f t="shared" si="360"/>
        <v>0</v>
      </c>
      <c r="FHK1599" s="55">
        <f t="shared" si="360"/>
        <v>0</v>
      </c>
      <c r="FHL1599" s="55">
        <f t="shared" si="360"/>
        <v>0</v>
      </c>
      <c r="FHM1599" s="55">
        <f t="shared" si="360"/>
        <v>0</v>
      </c>
      <c r="FHN1599" s="55">
        <f t="shared" si="360"/>
        <v>0</v>
      </c>
      <c r="FHO1599" s="55">
        <f t="shared" si="360"/>
        <v>0</v>
      </c>
      <c r="FHP1599" s="55">
        <f t="shared" si="360"/>
        <v>0</v>
      </c>
      <c r="FHQ1599" s="55">
        <f t="shared" si="360"/>
        <v>0</v>
      </c>
      <c r="FHR1599" s="55">
        <f t="shared" si="360"/>
        <v>0</v>
      </c>
      <c r="FHS1599" s="55">
        <f t="shared" si="360"/>
        <v>0</v>
      </c>
      <c r="FHT1599" s="55">
        <f t="shared" si="360"/>
        <v>0</v>
      </c>
      <c r="FHU1599" s="55">
        <f t="shared" si="360"/>
        <v>0</v>
      </c>
      <c r="FHV1599" s="55">
        <f t="shared" si="360"/>
        <v>0</v>
      </c>
      <c r="FHW1599" s="55">
        <f t="shared" si="360"/>
        <v>0</v>
      </c>
      <c r="FHX1599" s="55">
        <f t="shared" si="360"/>
        <v>0</v>
      </c>
      <c r="FHY1599" s="55">
        <f t="shared" si="360"/>
        <v>0</v>
      </c>
      <c r="FHZ1599" s="55">
        <f t="shared" si="360"/>
        <v>0</v>
      </c>
      <c r="FIA1599" s="55">
        <f t="shared" si="360"/>
        <v>0</v>
      </c>
      <c r="FIB1599" s="55">
        <f t="shared" si="360"/>
        <v>0</v>
      </c>
      <c r="FIC1599" s="55">
        <f t="shared" si="360"/>
        <v>0</v>
      </c>
      <c r="FID1599" s="55">
        <f t="shared" si="360"/>
        <v>0</v>
      </c>
      <c r="FIE1599" s="55">
        <f t="shared" si="360"/>
        <v>0</v>
      </c>
      <c r="FIF1599" s="55">
        <f t="shared" si="360"/>
        <v>0</v>
      </c>
      <c r="FIG1599" s="55">
        <f t="shared" si="360"/>
        <v>0</v>
      </c>
      <c r="FIH1599" s="55">
        <f t="shared" si="360"/>
        <v>0</v>
      </c>
      <c r="FII1599" s="55">
        <f t="shared" si="360"/>
        <v>0</v>
      </c>
      <c r="FIJ1599" s="55">
        <f t="shared" ref="FIJ1599:FKU1599" si="361">+(FIJ1619+FIJ1623)*1.18*1.1</f>
        <v>0</v>
      </c>
      <c r="FIK1599" s="55">
        <f t="shared" si="361"/>
        <v>0</v>
      </c>
      <c r="FIL1599" s="55">
        <f t="shared" si="361"/>
        <v>0</v>
      </c>
      <c r="FIM1599" s="55">
        <f t="shared" si="361"/>
        <v>0</v>
      </c>
      <c r="FIN1599" s="55">
        <f t="shared" si="361"/>
        <v>0</v>
      </c>
      <c r="FIO1599" s="55">
        <f t="shared" si="361"/>
        <v>0</v>
      </c>
      <c r="FIP1599" s="55">
        <f t="shared" si="361"/>
        <v>0</v>
      </c>
      <c r="FIQ1599" s="55">
        <f t="shared" si="361"/>
        <v>0</v>
      </c>
      <c r="FIR1599" s="55">
        <f t="shared" si="361"/>
        <v>0</v>
      </c>
      <c r="FIS1599" s="55">
        <f t="shared" si="361"/>
        <v>0</v>
      </c>
      <c r="FIT1599" s="55">
        <f t="shared" si="361"/>
        <v>0</v>
      </c>
      <c r="FIU1599" s="55">
        <f t="shared" si="361"/>
        <v>0</v>
      </c>
      <c r="FIV1599" s="55">
        <f t="shared" si="361"/>
        <v>0</v>
      </c>
      <c r="FIW1599" s="55">
        <f t="shared" si="361"/>
        <v>0</v>
      </c>
      <c r="FIX1599" s="55">
        <f t="shared" si="361"/>
        <v>0</v>
      </c>
      <c r="FIY1599" s="55">
        <f t="shared" si="361"/>
        <v>0</v>
      </c>
      <c r="FIZ1599" s="55">
        <f t="shared" si="361"/>
        <v>0</v>
      </c>
      <c r="FJA1599" s="55">
        <f t="shared" si="361"/>
        <v>0</v>
      </c>
      <c r="FJB1599" s="55">
        <f t="shared" si="361"/>
        <v>0</v>
      </c>
      <c r="FJC1599" s="55">
        <f t="shared" si="361"/>
        <v>0</v>
      </c>
      <c r="FJD1599" s="55">
        <f t="shared" si="361"/>
        <v>0</v>
      </c>
      <c r="FJE1599" s="55">
        <f t="shared" si="361"/>
        <v>0</v>
      </c>
      <c r="FJF1599" s="55">
        <f t="shared" si="361"/>
        <v>0</v>
      </c>
      <c r="FJG1599" s="55">
        <f t="shared" si="361"/>
        <v>0</v>
      </c>
      <c r="FJH1599" s="55">
        <f t="shared" si="361"/>
        <v>0</v>
      </c>
      <c r="FJI1599" s="55">
        <f t="shared" si="361"/>
        <v>0</v>
      </c>
      <c r="FJJ1599" s="55">
        <f t="shared" si="361"/>
        <v>0</v>
      </c>
      <c r="FJK1599" s="55">
        <f t="shared" si="361"/>
        <v>0</v>
      </c>
      <c r="FJL1599" s="55">
        <f t="shared" si="361"/>
        <v>0</v>
      </c>
      <c r="FJM1599" s="55">
        <f t="shared" si="361"/>
        <v>0</v>
      </c>
      <c r="FJN1599" s="55">
        <f t="shared" si="361"/>
        <v>0</v>
      </c>
      <c r="FJO1599" s="55">
        <f t="shared" si="361"/>
        <v>0</v>
      </c>
      <c r="FJP1599" s="55">
        <f t="shared" si="361"/>
        <v>0</v>
      </c>
      <c r="FJQ1599" s="55">
        <f t="shared" si="361"/>
        <v>0</v>
      </c>
      <c r="FJR1599" s="55">
        <f t="shared" si="361"/>
        <v>0</v>
      </c>
      <c r="FJS1599" s="55">
        <f t="shared" si="361"/>
        <v>0</v>
      </c>
      <c r="FJT1599" s="55">
        <f t="shared" si="361"/>
        <v>0</v>
      </c>
      <c r="FJU1599" s="55">
        <f t="shared" si="361"/>
        <v>0</v>
      </c>
      <c r="FJV1599" s="55">
        <f t="shared" si="361"/>
        <v>0</v>
      </c>
      <c r="FJW1599" s="55">
        <f t="shared" si="361"/>
        <v>0</v>
      </c>
      <c r="FJX1599" s="55">
        <f t="shared" si="361"/>
        <v>0</v>
      </c>
      <c r="FJY1599" s="55">
        <f t="shared" si="361"/>
        <v>0</v>
      </c>
      <c r="FJZ1599" s="55">
        <f t="shared" si="361"/>
        <v>0</v>
      </c>
      <c r="FKA1599" s="55">
        <f t="shared" si="361"/>
        <v>0</v>
      </c>
      <c r="FKB1599" s="55">
        <f t="shared" si="361"/>
        <v>0</v>
      </c>
      <c r="FKC1599" s="55">
        <f t="shared" si="361"/>
        <v>0</v>
      </c>
      <c r="FKD1599" s="55">
        <f t="shared" si="361"/>
        <v>0</v>
      </c>
      <c r="FKE1599" s="55">
        <f t="shared" si="361"/>
        <v>0</v>
      </c>
      <c r="FKF1599" s="55">
        <f t="shared" si="361"/>
        <v>0</v>
      </c>
      <c r="FKG1599" s="55">
        <f t="shared" si="361"/>
        <v>0</v>
      </c>
      <c r="FKH1599" s="55">
        <f t="shared" si="361"/>
        <v>0</v>
      </c>
      <c r="FKI1599" s="55">
        <f t="shared" si="361"/>
        <v>0</v>
      </c>
      <c r="FKJ1599" s="55">
        <f t="shared" si="361"/>
        <v>0</v>
      </c>
      <c r="FKK1599" s="55">
        <f t="shared" si="361"/>
        <v>0</v>
      </c>
      <c r="FKL1599" s="55">
        <f t="shared" si="361"/>
        <v>0</v>
      </c>
      <c r="FKM1599" s="55">
        <f t="shared" si="361"/>
        <v>0</v>
      </c>
      <c r="FKN1599" s="55">
        <f t="shared" si="361"/>
        <v>0</v>
      </c>
      <c r="FKO1599" s="55">
        <f t="shared" si="361"/>
        <v>0</v>
      </c>
      <c r="FKP1599" s="55">
        <f t="shared" si="361"/>
        <v>0</v>
      </c>
      <c r="FKQ1599" s="55">
        <f t="shared" si="361"/>
        <v>0</v>
      </c>
      <c r="FKR1599" s="55">
        <f t="shared" si="361"/>
        <v>0</v>
      </c>
      <c r="FKS1599" s="55">
        <f t="shared" si="361"/>
        <v>0</v>
      </c>
      <c r="FKT1599" s="55">
        <f t="shared" si="361"/>
        <v>0</v>
      </c>
      <c r="FKU1599" s="55">
        <f t="shared" si="361"/>
        <v>0</v>
      </c>
      <c r="FKV1599" s="55">
        <f t="shared" ref="FKV1599:FNG1599" si="362">+(FKV1619+FKV1623)*1.18*1.1</f>
        <v>0</v>
      </c>
      <c r="FKW1599" s="55">
        <f t="shared" si="362"/>
        <v>0</v>
      </c>
      <c r="FKX1599" s="55">
        <f t="shared" si="362"/>
        <v>0</v>
      </c>
      <c r="FKY1599" s="55">
        <f t="shared" si="362"/>
        <v>0</v>
      </c>
      <c r="FKZ1599" s="55">
        <f t="shared" si="362"/>
        <v>0</v>
      </c>
      <c r="FLA1599" s="55">
        <f t="shared" si="362"/>
        <v>0</v>
      </c>
      <c r="FLB1599" s="55">
        <f t="shared" si="362"/>
        <v>0</v>
      </c>
      <c r="FLC1599" s="55">
        <f t="shared" si="362"/>
        <v>0</v>
      </c>
      <c r="FLD1599" s="55">
        <f t="shared" si="362"/>
        <v>0</v>
      </c>
      <c r="FLE1599" s="55">
        <f t="shared" si="362"/>
        <v>0</v>
      </c>
      <c r="FLF1599" s="55">
        <f t="shared" si="362"/>
        <v>0</v>
      </c>
      <c r="FLG1599" s="55">
        <f t="shared" si="362"/>
        <v>0</v>
      </c>
      <c r="FLH1599" s="55">
        <f t="shared" si="362"/>
        <v>0</v>
      </c>
      <c r="FLI1599" s="55">
        <f t="shared" si="362"/>
        <v>0</v>
      </c>
      <c r="FLJ1599" s="55">
        <f t="shared" si="362"/>
        <v>0</v>
      </c>
      <c r="FLK1599" s="55">
        <f t="shared" si="362"/>
        <v>0</v>
      </c>
      <c r="FLL1599" s="55">
        <f t="shared" si="362"/>
        <v>0</v>
      </c>
      <c r="FLM1599" s="55">
        <f t="shared" si="362"/>
        <v>0</v>
      </c>
      <c r="FLN1599" s="55">
        <f t="shared" si="362"/>
        <v>0</v>
      </c>
      <c r="FLO1599" s="55">
        <f t="shared" si="362"/>
        <v>0</v>
      </c>
      <c r="FLP1599" s="55">
        <f t="shared" si="362"/>
        <v>0</v>
      </c>
      <c r="FLQ1599" s="55">
        <f t="shared" si="362"/>
        <v>0</v>
      </c>
      <c r="FLR1599" s="55">
        <f t="shared" si="362"/>
        <v>0</v>
      </c>
      <c r="FLS1599" s="55">
        <f t="shared" si="362"/>
        <v>0</v>
      </c>
      <c r="FLT1599" s="55">
        <f t="shared" si="362"/>
        <v>0</v>
      </c>
      <c r="FLU1599" s="55">
        <f t="shared" si="362"/>
        <v>0</v>
      </c>
      <c r="FLV1599" s="55">
        <f t="shared" si="362"/>
        <v>0</v>
      </c>
      <c r="FLW1599" s="55">
        <f t="shared" si="362"/>
        <v>0</v>
      </c>
      <c r="FLX1599" s="55">
        <f t="shared" si="362"/>
        <v>0</v>
      </c>
      <c r="FLY1599" s="55">
        <f t="shared" si="362"/>
        <v>0</v>
      </c>
      <c r="FLZ1599" s="55">
        <f t="shared" si="362"/>
        <v>0</v>
      </c>
      <c r="FMA1599" s="55">
        <f t="shared" si="362"/>
        <v>0</v>
      </c>
      <c r="FMB1599" s="55">
        <f t="shared" si="362"/>
        <v>0</v>
      </c>
      <c r="FMC1599" s="55">
        <f t="shared" si="362"/>
        <v>0</v>
      </c>
      <c r="FMD1599" s="55">
        <f t="shared" si="362"/>
        <v>0</v>
      </c>
      <c r="FME1599" s="55">
        <f t="shared" si="362"/>
        <v>0</v>
      </c>
      <c r="FMF1599" s="55">
        <f t="shared" si="362"/>
        <v>0</v>
      </c>
      <c r="FMG1599" s="55">
        <f t="shared" si="362"/>
        <v>0</v>
      </c>
      <c r="FMH1599" s="55">
        <f t="shared" si="362"/>
        <v>0</v>
      </c>
      <c r="FMI1599" s="55">
        <f t="shared" si="362"/>
        <v>0</v>
      </c>
      <c r="FMJ1599" s="55">
        <f t="shared" si="362"/>
        <v>0</v>
      </c>
      <c r="FMK1599" s="55">
        <f t="shared" si="362"/>
        <v>0</v>
      </c>
      <c r="FML1599" s="55">
        <f t="shared" si="362"/>
        <v>0</v>
      </c>
      <c r="FMM1599" s="55">
        <f t="shared" si="362"/>
        <v>0</v>
      </c>
      <c r="FMN1599" s="55">
        <f t="shared" si="362"/>
        <v>0</v>
      </c>
      <c r="FMO1599" s="55">
        <f t="shared" si="362"/>
        <v>0</v>
      </c>
      <c r="FMP1599" s="55">
        <f t="shared" si="362"/>
        <v>0</v>
      </c>
      <c r="FMQ1599" s="55">
        <f t="shared" si="362"/>
        <v>0</v>
      </c>
      <c r="FMR1599" s="55">
        <f t="shared" si="362"/>
        <v>0</v>
      </c>
      <c r="FMS1599" s="55">
        <f t="shared" si="362"/>
        <v>0</v>
      </c>
      <c r="FMT1599" s="55">
        <f t="shared" si="362"/>
        <v>0</v>
      </c>
      <c r="FMU1599" s="55">
        <f t="shared" si="362"/>
        <v>0</v>
      </c>
      <c r="FMV1599" s="55">
        <f t="shared" si="362"/>
        <v>0</v>
      </c>
      <c r="FMW1599" s="55">
        <f t="shared" si="362"/>
        <v>0</v>
      </c>
      <c r="FMX1599" s="55">
        <f t="shared" si="362"/>
        <v>0</v>
      </c>
      <c r="FMY1599" s="55">
        <f t="shared" si="362"/>
        <v>0</v>
      </c>
      <c r="FMZ1599" s="55">
        <f t="shared" si="362"/>
        <v>0</v>
      </c>
      <c r="FNA1599" s="55">
        <f t="shared" si="362"/>
        <v>0</v>
      </c>
      <c r="FNB1599" s="55">
        <f t="shared" si="362"/>
        <v>0</v>
      </c>
      <c r="FNC1599" s="55">
        <f t="shared" si="362"/>
        <v>0</v>
      </c>
      <c r="FND1599" s="55">
        <f t="shared" si="362"/>
        <v>0</v>
      </c>
      <c r="FNE1599" s="55">
        <f t="shared" si="362"/>
        <v>0</v>
      </c>
      <c r="FNF1599" s="55">
        <f t="shared" si="362"/>
        <v>0</v>
      </c>
      <c r="FNG1599" s="55">
        <f t="shared" si="362"/>
        <v>0</v>
      </c>
      <c r="FNH1599" s="55">
        <f t="shared" ref="FNH1599:FPS1599" si="363">+(FNH1619+FNH1623)*1.18*1.1</f>
        <v>0</v>
      </c>
      <c r="FNI1599" s="55">
        <f t="shared" si="363"/>
        <v>0</v>
      </c>
      <c r="FNJ1599" s="55">
        <f t="shared" si="363"/>
        <v>0</v>
      </c>
      <c r="FNK1599" s="55">
        <f t="shared" si="363"/>
        <v>0</v>
      </c>
      <c r="FNL1599" s="55">
        <f t="shared" si="363"/>
        <v>0</v>
      </c>
      <c r="FNM1599" s="55">
        <f t="shared" si="363"/>
        <v>0</v>
      </c>
      <c r="FNN1599" s="55">
        <f t="shared" si="363"/>
        <v>0</v>
      </c>
      <c r="FNO1599" s="55">
        <f t="shared" si="363"/>
        <v>0</v>
      </c>
      <c r="FNP1599" s="55">
        <f t="shared" si="363"/>
        <v>0</v>
      </c>
      <c r="FNQ1599" s="55">
        <f t="shared" si="363"/>
        <v>0</v>
      </c>
      <c r="FNR1599" s="55">
        <f t="shared" si="363"/>
        <v>0</v>
      </c>
      <c r="FNS1599" s="55">
        <f t="shared" si="363"/>
        <v>0</v>
      </c>
      <c r="FNT1599" s="55">
        <f t="shared" si="363"/>
        <v>0</v>
      </c>
      <c r="FNU1599" s="55">
        <f t="shared" si="363"/>
        <v>0</v>
      </c>
      <c r="FNV1599" s="55">
        <f t="shared" si="363"/>
        <v>0</v>
      </c>
      <c r="FNW1599" s="55">
        <f t="shared" si="363"/>
        <v>0</v>
      </c>
      <c r="FNX1599" s="55">
        <f t="shared" si="363"/>
        <v>0</v>
      </c>
      <c r="FNY1599" s="55">
        <f t="shared" si="363"/>
        <v>0</v>
      </c>
      <c r="FNZ1599" s="55">
        <f t="shared" si="363"/>
        <v>0</v>
      </c>
      <c r="FOA1599" s="55">
        <f t="shared" si="363"/>
        <v>0</v>
      </c>
      <c r="FOB1599" s="55">
        <f t="shared" si="363"/>
        <v>0</v>
      </c>
      <c r="FOC1599" s="55">
        <f t="shared" si="363"/>
        <v>0</v>
      </c>
      <c r="FOD1599" s="55">
        <f t="shared" si="363"/>
        <v>0</v>
      </c>
      <c r="FOE1599" s="55">
        <f t="shared" si="363"/>
        <v>0</v>
      </c>
      <c r="FOF1599" s="55">
        <f t="shared" si="363"/>
        <v>0</v>
      </c>
      <c r="FOG1599" s="55">
        <f t="shared" si="363"/>
        <v>0</v>
      </c>
      <c r="FOH1599" s="55">
        <f t="shared" si="363"/>
        <v>0</v>
      </c>
      <c r="FOI1599" s="55">
        <f t="shared" si="363"/>
        <v>0</v>
      </c>
      <c r="FOJ1599" s="55">
        <f t="shared" si="363"/>
        <v>0</v>
      </c>
      <c r="FOK1599" s="55">
        <f t="shared" si="363"/>
        <v>0</v>
      </c>
      <c r="FOL1599" s="55">
        <f t="shared" si="363"/>
        <v>0</v>
      </c>
      <c r="FOM1599" s="55">
        <f t="shared" si="363"/>
        <v>0</v>
      </c>
      <c r="FON1599" s="55">
        <f t="shared" si="363"/>
        <v>0</v>
      </c>
      <c r="FOO1599" s="55">
        <f t="shared" si="363"/>
        <v>0</v>
      </c>
      <c r="FOP1599" s="55">
        <f t="shared" si="363"/>
        <v>0</v>
      </c>
      <c r="FOQ1599" s="55">
        <f t="shared" si="363"/>
        <v>0</v>
      </c>
      <c r="FOR1599" s="55">
        <f t="shared" si="363"/>
        <v>0</v>
      </c>
      <c r="FOS1599" s="55">
        <f t="shared" si="363"/>
        <v>0</v>
      </c>
      <c r="FOT1599" s="55">
        <f t="shared" si="363"/>
        <v>0</v>
      </c>
      <c r="FOU1599" s="55">
        <f t="shared" si="363"/>
        <v>0</v>
      </c>
      <c r="FOV1599" s="55">
        <f t="shared" si="363"/>
        <v>0</v>
      </c>
      <c r="FOW1599" s="55">
        <f t="shared" si="363"/>
        <v>0</v>
      </c>
      <c r="FOX1599" s="55">
        <f t="shared" si="363"/>
        <v>0</v>
      </c>
      <c r="FOY1599" s="55">
        <f t="shared" si="363"/>
        <v>0</v>
      </c>
      <c r="FOZ1599" s="55">
        <f t="shared" si="363"/>
        <v>0</v>
      </c>
      <c r="FPA1599" s="55">
        <f t="shared" si="363"/>
        <v>0</v>
      </c>
      <c r="FPB1599" s="55">
        <f t="shared" si="363"/>
        <v>0</v>
      </c>
      <c r="FPC1599" s="55">
        <f t="shared" si="363"/>
        <v>0</v>
      </c>
      <c r="FPD1599" s="55">
        <f t="shared" si="363"/>
        <v>0</v>
      </c>
      <c r="FPE1599" s="55">
        <f t="shared" si="363"/>
        <v>0</v>
      </c>
      <c r="FPF1599" s="55">
        <f t="shared" si="363"/>
        <v>0</v>
      </c>
      <c r="FPG1599" s="55">
        <f t="shared" si="363"/>
        <v>0</v>
      </c>
      <c r="FPH1599" s="55">
        <f t="shared" si="363"/>
        <v>0</v>
      </c>
      <c r="FPI1599" s="55">
        <f t="shared" si="363"/>
        <v>0</v>
      </c>
      <c r="FPJ1599" s="55">
        <f t="shared" si="363"/>
        <v>0</v>
      </c>
      <c r="FPK1599" s="55">
        <f t="shared" si="363"/>
        <v>0</v>
      </c>
      <c r="FPL1599" s="55">
        <f t="shared" si="363"/>
        <v>0</v>
      </c>
      <c r="FPM1599" s="55">
        <f t="shared" si="363"/>
        <v>0</v>
      </c>
      <c r="FPN1599" s="55">
        <f t="shared" si="363"/>
        <v>0</v>
      </c>
      <c r="FPO1599" s="55">
        <f t="shared" si="363"/>
        <v>0</v>
      </c>
      <c r="FPP1599" s="55">
        <f t="shared" si="363"/>
        <v>0</v>
      </c>
      <c r="FPQ1599" s="55">
        <f t="shared" si="363"/>
        <v>0</v>
      </c>
      <c r="FPR1599" s="55">
        <f t="shared" si="363"/>
        <v>0</v>
      </c>
      <c r="FPS1599" s="55">
        <f t="shared" si="363"/>
        <v>0</v>
      </c>
      <c r="FPT1599" s="55">
        <f t="shared" ref="FPT1599:FSE1599" si="364">+(FPT1619+FPT1623)*1.18*1.1</f>
        <v>0</v>
      </c>
      <c r="FPU1599" s="55">
        <f t="shared" si="364"/>
        <v>0</v>
      </c>
      <c r="FPV1599" s="55">
        <f t="shared" si="364"/>
        <v>0</v>
      </c>
      <c r="FPW1599" s="55">
        <f t="shared" si="364"/>
        <v>0</v>
      </c>
      <c r="FPX1599" s="55">
        <f t="shared" si="364"/>
        <v>0</v>
      </c>
      <c r="FPY1599" s="55">
        <f t="shared" si="364"/>
        <v>0</v>
      </c>
      <c r="FPZ1599" s="55">
        <f t="shared" si="364"/>
        <v>0</v>
      </c>
      <c r="FQA1599" s="55">
        <f t="shared" si="364"/>
        <v>0</v>
      </c>
      <c r="FQB1599" s="55">
        <f t="shared" si="364"/>
        <v>0</v>
      </c>
      <c r="FQC1599" s="55">
        <f t="shared" si="364"/>
        <v>0</v>
      </c>
      <c r="FQD1599" s="55">
        <f t="shared" si="364"/>
        <v>0</v>
      </c>
      <c r="FQE1599" s="55">
        <f t="shared" si="364"/>
        <v>0</v>
      </c>
      <c r="FQF1599" s="55">
        <f t="shared" si="364"/>
        <v>0</v>
      </c>
      <c r="FQG1599" s="55">
        <f t="shared" si="364"/>
        <v>0</v>
      </c>
      <c r="FQH1599" s="55">
        <f t="shared" si="364"/>
        <v>0</v>
      </c>
      <c r="FQI1599" s="55">
        <f t="shared" si="364"/>
        <v>0</v>
      </c>
      <c r="FQJ1599" s="55">
        <f t="shared" si="364"/>
        <v>0</v>
      </c>
      <c r="FQK1599" s="55">
        <f t="shared" si="364"/>
        <v>0</v>
      </c>
      <c r="FQL1599" s="55">
        <f t="shared" si="364"/>
        <v>0</v>
      </c>
      <c r="FQM1599" s="55">
        <f t="shared" si="364"/>
        <v>0</v>
      </c>
      <c r="FQN1599" s="55">
        <f t="shared" si="364"/>
        <v>0</v>
      </c>
      <c r="FQO1599" s="55">
        <f t="shared" si="364"/>
        <v>0</v>
      </c>
      <c r="FQP1599" s="55">
        <f t="shared" si="364"/>
        <v>0</v>
      </c>
      <c r="FQQ1599" s="55">
        <f t="shared" si="364"/>
        <v>0</v>
      </c>
      <c r="FQR1599" s="55">
        <f t="shared" si="364"/>
        <v>0</v>
      </c>
      <c r="FQS1599" s="55">
        <f t="shared" si="364"/>
        <v>0</v>
      </c>
      <c r="FQT1599" s="55">
        <f t="shared" si="364"/>
        <v>0</v>
      </c>
      <c r="FQU1599" s="55">
        <f t="shared" si="364"/>
        <v>0</v>
      </c>
      <c r="FQV1599" s="55">
        <f t="shared" si="364"/>
        <v>0</v>
      </c>
      <c r="FQW1599" s="55">
        <f t="shared" si="364"/>
        <v>0</v>
      </c>
      <c r="FQX1599" s="55">
        <f t="shared" si="364"/>
        <v>0</v>
      </c>
      <c r="FQY1599" s="55">
        <f t="shared" si="364"/>
        <v>0</v>
      </c>
      <c r="FQZ1599" s="55">
        <f t="shared" si="364"/>
        <v>0</v>
      </c>
      <c r="FRA1599" s="55">
        <f t="shared" si="364"/>
        <v>0</v>
      </c>
      <c r="FRB1599" s="55">
        <f t="shared" si="364"/>
        <v>0</v>
      </c>
      <c r="FRC1599" s="55">
        <f t="shared" si="364"/>
        <v>0</v>
      </c>
      <c r="FRD1599" s="55">
        <f t="shared" si="364"/>
        <v>0</v>
      </c>
      <c r="FRE1599" s="55">
        <f t="shared" si="364"/>
        <v>0</v>
      </c>
      <c r="FRF1599" s="55">
        <f t="shared" si="364"/>
        <v>0</v>
      </c>
      <c r="FRG1599" s="55">
        <f t="shared" si="364"/>
        <v>0</v>
      </c>
      <c r="FRH1599" s="55">
        <f t="shared" si="364"/>
        <v>0</v>
      </c>
      <c r="FRI1599" s="55">
        <f t="shared" si="364"/>
        <v>0</v>
      </c>
      <c r="FRJ1599" s="55">
        <f t="shared" si="364"/>
        <v>0</v>
      </c>
      <c r="FRK1599" s="55">
        <f t="shared" si="364"/>
        <v>0</v>
      </c>
      <c r="FRL1599" s="55">
        <f t="shared" si="364"/>
        <v>0</v>
      </c>
      <c r="FRM1599" s="55">
        <f t="shared" si="364"/>
        <v>0</v>
      </c>
      <c r="FRN1599" s="55">
        <f t="shared" si="364"/>
        <v>0</v>
      </c>
      <c r="FRO1599" s="55">
        <f t="shared" si="364"/>
        <v>0</v>
      </c>
      <c r="FRP1599" s="55">
        <f t="shared" si="364"/>
        <v>0</v>
      </c>
      <c r="FRQ1599" s="55">
        <f t="shared" si="364"/>
        <v>0</v>
      </c>
      <c r="FRR1599" s="55">
        <f t="shared" si="364"/>
        <v>0</v>
      </c>
      <c r="FRS1599" s="55">
        <f t="shared" si="364"/>
        <v>0</v>
      </c>
      <c r="FRT1599" s="55">
        <f t="shared" si="364"/>
        <v>0</v>
      </c>
      <c r="FRU1599" s="55">
        <f t="shared" si="364"/>
        <v>0</v>
      </c>
      <c r="FRV1599" s="55">
        <f t="shared" si="364"/>
        <v>0</v>
      </c>
      <c r="FRW1599" s="55">
        <f t="shared" si="364"/>
        <v>0</v>
      </c>
      <c r="FRX1599" s="55">
        <f t="shared" si="364"/>
        <v>0</v>
      </c>
      <c r="FRY1599" s="55">
        <f t="shared" si="364"/>
        <v>0</v>
      </c>
      <c r="FRZ1599" s="55">
        <f t="shared" si="364"/>
        <v>0</v>
      </c>
      <c r="FSA1599" s="55">
        <f t="shared" si="364"/>
        <v>0</v>
      </c>
      <c r="FSB1599" s="55">
        <f t="shared" si="364"/>
        <v>0</v>
      </c>
      <c r="FSC1599" s="55">
        <f t="shared" si="364"/>
        <v>0</v>
      </c>
      <c r="FSD1599" s="55">
        <f t="shared" si="364"/>
        <v>0</v>
      </c>
      <c r="FSE1599" s="55">
        <f t="shared" si="364"/>
        <v>0</v>
      </c>
      <c r="FSF1599" s="55">
        <f t="shared" ref="FSF1599:FUQ1599" si="365">+(FSF1619+FSF1623)*1.18*1.1</f>
        <v>0</v>
      </c>
      <c r="FSG1599" s="55">
        <f t="shared" si="365"/>
        <v>0</v>
      </c>
      <c r="FSH1599" s="55">
        <f t="shared" si="365"/>
        <v>0</v>
      </c>
      <c r="FSI1599" s="55">
        <f t="shared" si="365"/>
        <v>0</v>
      </c>
      <c r="FSJ1599" s="55">
        <f t="shared" si="365"/>
        <v>0</v>
      </c>
      <c r="FSK1599" s="55">
        <f t="shared" si="365"/>
        <v>0</v>
      </c>
      <c r="FSL1599" s="55">
        <f t="shared" si="365"/>
        <v>0</v>
      </c>
      <c r="FSM1599" s="55">
        <f t="shared" si="365"/>
        <v>0</v>
      </c>
      <c r="FSN1599" s="55">
        <f t="shared" si="365"/>
        <v>0</v>
      </c>
      <c r="FSO1599" s="55">
        <f t="shared" si="365"/>
        <v>0</v>
      </c>
      <c r="FSP1599" s="55">
        <f t="shared" si="365"/>
        <v>0</v>
      </c>
      <c r="FSQ1599" s="55">
        <f t="shared" si="365"/>
        <v>0</v>
      </c>
      <c r="FSR1599" s="55">
        <f t="shared" si="365"/>
        <v>0</v>
      </c>
      <c r="FSS1599" s="55">
        <f t="shared" si="365"/>
        <v>0</v>
      </c>
      <c r="FST1599" s="55">
        <f t="shared" si="365"/>
        <v>0</v>
      </c>
      <c r="FSU1599" s="55">
        <f t="shared" si="365"/>
        <v>0</v>
      </c>
      <c r="FSV1599" s="55">
        <f t="shared" si="365"/>
        <v>0</v>
      </c>
      <c r="FSW1599" s="55">
        <f t="shared" si="365"/>
        <v>0</v>
      </c>
      <c r="FSX1599" s="55">
        <f t="shared" si="365"/>
        <v>0</v>
      </c>
      <c r="FSY1599" s="55">
        <f t="shared" si="365"/>
        <v>0</v>
      </c>
      <c r="FSZ1599" s="55">
        <f t="shared" si="365"/>
        <v>0</v>
      </c>
      <c r="FTA1599" s="55">
        <f t="shared" si="365"/>
        <v>0</v>
      </c>
      <c r="FTB1599" s="55">
        <f t="shared" si="365"/>
        <v>0</v>
      </c>
      <c r="FTC1599" s="55">
        <f t="shared" si="365"/>
        <v>0</v>
      </c>
      <c r="FTD1599" s="55">
        <f t="shared" si="365"/>
        <v>0</v>
      </c>
      <c r="FTE1599" s="55">
        <f t="shared" si="365"/>
        <v>0</v>
      </c>
      <c r="FTF1599" s="55">
        <f t="shared" si="365"/>
        <v>0</v>
      </c>
      <c r="FTG1599" s="55">
        <f t="shared" si="365"/>
        <v>0</v>
      </c>
      <c r="FTH1599" s="55">
        <f t="shared" si="365"/>
        <v>0</v>
      </c>
      <c r="FTI1599" s="55">
        <f t="shared" si="365"/>
        <v>0</v>
      </c>
      <c r="FTJ1599" s="55">
        <f t="shared" si="365"/>
        <v>0</v>
      </c>
      <c r="FTK1599" s="55">
        <f t="shared" si="365"/>
        <v>0</v>
      </c>
      <c r="FTL1599" s="55">
        <f t="shared" si="365"/>
        <v>0</v>
      </c>
      <c r="FTM1599" s="55">
        <f t="shared" si="365"/>
        <v>0</v>
      </c>
      <c r="FTN1599" s="55">
        <f t="shared" si="365"/>
        <v>0</v>
      </c>
      <c r="FTO1599" s="55">
        <f t="shared" si="365"/>
        <v>0</v>
      </c>
      <c r="FTP1599" s="55">
        <f t="shared" si="365"/>
        <v>0</v>
      </c>
      <c r="FTQ1599" s="55">
        <f t="shared" si="365"/>
        <v>0</v>
      </c>
      <c r="FTR1599" s="55">
        <f t="shared" si="365"/>
        <v>0</v>
      </c>
      <c r="FTS1599" s="55">
        <f t="shared" si="365"/>
        <v>0</v>
      </c>
      <c r="FTT1599" s="55">
        <f t="shared" si="365"/>
        <v>0</v>
      </c>
      <c r="FTU1599" s="55">
        <f t="shared" si="365"/>
        <v>0</v>
      </c>
      <c r="FTV1599" s="55">
        <f t="shared" si="365"/>
        <v>0</v>
      </c>
      <c r="FTW1599" s="55">
        <f t="shared" si="365"/>
        <v>0</v>
      </c>
      <c r="FTX1599" s="55">
        <f t="shared" si="365"/>
        <v>0</v>
      </c>
      <c r="FTY1599" s="55">
        <f t="shared" si="365"/>
        <v>0</v>
      </c>
      <c r="FTZ1599" s="55">
        <f t="shared" si="365"/>
        <v>0</v>
      </c>
      <c r="FUA1599" s="55">
        <f t="shared" si="365"/>
        <v>0</v>
      </c>
      <c r="FUB1599" s="55">
        <f t="shared" si="365"/>
        <v>0</v>
      </c>
      <c r="FUC1599" s="55">
        <f t="shared" si="365"/>
        <v>0</v>
      </c>
      <c r="FUD1599" s="55">
        <f t="shared" si="365"/>
        <v>0</v>
      </c>
      <c r="FUE1599" s="55">
        <f t="shared" si="365"/>
        <v>0</v>
      </c>
      <c r="FUF1599" s="55">
        <f t="shared" si="365"/>
        <v>0</v>
      </c>
      <c r="FUG1599" s="55">
        <f t="shared" si="365"/>
        <v>0</v>
      </c>
      <c r="FUH1599" s="55">
        <f t="shared" si="365"/>
        <v>0</v>
      </c>
      <c r="FUI1599" s="55">
        <f t="shared" si="365"/>
        <v>0</v>
      </c>
      <c r="FUJ1599" s="55">
        <f t="shared" si="365"/>
        <v>0</v>
      </c>
      <c r="FUK1599" s="55">
        <f t="shared" si="365"/>
        <v>0</v>
      </c>
      <c r="FUL1599" s="55">
        <f t="shared" si="365"/>
        <v>0</v>
      </c>
      <c r="FUM1599" s="55">
        <f t="shared" si="365"/>
        <v>0</v>
      </c>
      <c r="FUN1599" s="55">
        <f t="shared" si="365"/>
        <v>0</v>
      </c>
      <c r="FUO1599" s="55">
        <f t="shared" si="365"/>
        <v>0</v>
      </c>
      <c r="FUP1599" s="55">
        <f t="shared" si="365"/>
        <v>0</v>
      </c>
      <c r="FUQ1599" s="55">
        <f t="shared" si="365"/>
        <v>0</v>
      </c>
      <c r="FUR1599" s="55">
        <f t="shared" ref="FUR1599:FXC1599" si="366">+(FUR1619+FUR1623)*1.18*1.1</f>
        <v>0</v>
      </c>
      <c r="FUS1599" s="55">
        <f t="shared" si="366"/>
        <v>0</v>
      </c>
      <c r="FUT1599" s="55">
        <f t="shared" si="366"/>
        <v>0</v>
      </c>
      <c r="FUU1599" s="55">
        <f t="shared" si="366"/>
        <v>0</v>
      </c>
      <c r="FUV1599" s="55">
        <f t="shared" si="366"/>
        <v>0</v>
      </c>
      <c r="FUW1599" s="55">
        <f t="shared" si="366"/>
        <v>0</v>
      </c>
      <c r="FUX1599" s="55">
        <f t="shared" si="366"/>
        <v>0</v>
      </c>
      <c r="FUY1599" s="55">
        <f t="shared" si="366"/>
        <v>0</v>
      </c>
      <c r="FUZ1599" s="55">
        <f t="shared" si="366"/>
        <v>0</v>
      </c>
      <c r="FVA1599" s="55">
        <f t="shared" si="366"/>
        <v>0</v>
      </c>
      <c r="FVB1599" s="55">
        <f t="shared" si="366"/>
        <v>0</v>
      </c>
      <c r="FVC1599" s="55">
        <f t="shared" si="366"/>
        <v>0</v>
      </c>
      <c r="FVD1599" s="55">
        <f t="shared" si="366"/>
        <v>0</v>
      </c>
      <c r="FVE1599" s="55">
        <f t="shared" si="366"/>
        <v>0</v>
      </c>
      <c r="FVF1599" s="55">
        <f t="shared" si="366"/>
        <v>0</v>
      </c>
      <c r="FVG1599" s="55">
        <f t="shared" si="366"/>
        <v>0</v>
      </c>
      <c r="FVH1599" s="55">
        <f t="shared" si="366"/>
        <v>0</v>
      </c>
      <c r="FVI1599" s="55">
        <f t="shared" si="366"/>
        <v>0</v>
      </c>
      <c r="FVJ1599" s="55">
        <f t="shared" si="366"/>
        <v>0</v>
      </c>
      <c r="FVK1599" s="55">
        <f t="shared" si="366"/>
        <v>0</v>
      </c>
      <c r="FVL1599" s="55">
        <f t="shared" si="366"/>
        <v>0</v>
      </c>
      <c r="FVM1599" s="55">
        <f t="shared" si="366"/>
        <v>0</v>
      </c>
      <c r="FVN1599" s="55">
        <f t="shared" si="366"/>
        <v>0</v>
      </c>
      <c r="FVO1599" s="55">
        <f t="shared" si="366"/>
        <v>0</v>
      </c>
      <c r="FVP1599" s="55">
        <f t="shared" si="366"/>
        <v>0</v>
      </c>
      <c r="FVQ1599" s="55">
        <f t="shared" si="366"/>
        <v>0</v>
      </c>
      <c r="FVR1599" s="55">
        <f t="shared" si="366"/>
        <v>0</v>
      </c>
      <c r="FVS1599" s="55">
        <f t="shared" si="366"/>
        <v>0</v>
      </c>
      <c r="FVT1599" s="55">
        <f t="shared" si="366"/>
        <v>0</v>
      </c>
      <c r="FVU1599" s="55">
        <f t="shared" si="366"/>
        <v>0</v>
      </c>
      <c r="FVV1599" s="55">
        <f t="shared" si="366"/>
        <v>0</v>
      </c>
      <c r="FVW1599" s="55">
        <f t="shared" si="366"/>
        <v>0</v>
      </c>
      <c r="FVX1599" s="55">
        <f t="shared" si="366"/>
        <v>0</v>
      </c>
      <c r="FVY1599" s="55">
        <f t="shared" si="366"/>
        <v>0</v>
      </c>
      <c r="FVZ1599" s="55">
        <f t="shared" si="366"/>
        <v>0</v>
      </c>
      <c r="FWA1599" s="55">
        <f t="shared" si="366"/>
        <v>0</v>
      </c>
      <c r="FWB1599" s="55">
        <f t="shared" si="366"/>
        <v>0</v>
      </c>
      <c r="FWC1599" s="55">
        <f t="shared" si="366"/>
        <v>0</v>
      </c>
      <c r="FWD1599" s="55">
        <f t="shared" si="366"/>
        <v>0</v>
      </c>
      <c r="FWE1599" s="55">
        <f t="shared" si="366"/>
        <v>0</v>
      </c>
      <c r="FWF1599" s="55">
        <f t="shared" si="366"/>
        <v>0</v>
      </c>
      <c r="FWG1599" s="55">
        <f t="shared" si="366"/>
        <v>0</v>
      </c>
      <c r="FWH1599" s="55">
        <f t="shared" si="366"/>
        <v>0</v>
      </c>
      <c r="FWI1599" s="55">
        <f t="shared" si="366"/>
        <v>0</v>
      </c>
      <c r="FWJ1599" s="55">
        <f t="shared" si="366"/>
        <v>0</v>
      </c>
      <c r="FWK1599" s="55">
        <f t="shared" si="366"/>
        <v>0</v>
      </c>
      <c r="FWL1599" s="55">
        <f t="shared" si="366"/>
        <v>0</v>
      </c>
      <c r="FWM1599" s="55">
        <f t="shared" si="366"/>
        <v>0</v>
      </c>
      <c r="FWN1599" s="55">
        <f t="shared" si="366"/>
        <v>0</v>
      </c>
      <c r="FWO1599" s="55">
        <f t="shared" si="366"/>
        <v>0</v>
      </c>
      <c r="FWP1599" s="55">
        <f t="shared" si="366"/>
        <v>0</v>
      </c>
      <c r="FWQ1599" s="55">
        <f t="shared" si="366"/>
        <v>0</v>
      </c>
      <c r="FWR1599" s="55">
        <f t="shared" si="366"/>
        <v>0</v>
      </c>
      <c r="FWS1599" s="55">
        <f t="shared" si="366"/>
        <v>0</v>
      </c>
      <c r="FWT1599" s="55">
        <f t="shared" si="366"/>
        <v>0</v>
      </c>
      <c r="FWU1599" s="55">
        <f t="shared" si="366"/>
        <v>0</v>
      </c>
      <c r="FWV1599" s="55">
        <f t="shared" si="366"/>
        <v>0</v>
      </c>
      <c r="FWW1599" s="55">
        <f t="shared" si="366"/>
        <v>0</v>
      </c>
      <c r="FWX1599" s="55">
        <f t="shared" si="366"/>
        <v>0</v>
      </c>
      <c r="FWY1599" s="55">
        <f t="shared" si="366"/>
        <v>0</v>
      </c>
      <c r="FWZ1599" s="55">
        <f t="shared" si="366"/>
        <v>0</v>
      </c>
      <c r="FXA1599" s="55">
        <f t="shared" si="366"/>
        <v>0</v>
      </c>
      <c r="FXB1599" s="55">
        <f t="shared" si="366"/>
        <v>0</v>
      </c>
      <c r="FXC1599" s="55">
        <f t="shared" si="366"/>
        <v>0</v>
      </c>
      <c r="FXD1599" s="55">
        <f t="shared" ref="FXD1599:FZO1599" si="367">+(FXD1619+FXD1623)*1.18*1.1</f>
        <v>0</v>
      </c>
      <c r="FXE1599" s="55">
        <f t="shared" si="367"/>
        <v>0</v>
      </c>
      <c r="FXF1599" s="55">
        <f t="shared" si="367"/>
        <v>0</v>
      </c>
      <c r="FXG1599" s="55">
        <f t="shared" si="367"/>
        <v>0</v>
      </c>
      <c r="FXH1599" s="55">
        <f t="shared" si="367"/>
        <v>0</v>
      </c>
      <c r="FXI1599" s="55">
        <f t="shared" si="367"/>
        <v>0</v>
      </c>
      <c r="FXJ1599" s="55">
        <f t="shared" si="367"/>
        <v>0</v>
      </c>
      <c r="FXK1599" s="55">
        <f t="shared" si="367"/>
        <v>0</v>
      </c>
      <c r="FXL1599" s="55">
        <f t="shared" si="367"/>
        <v>0</v>
      </c>
      <c r="FXM1599" s="55">
        <f t="shared" si="367"/>
        <v>0</v>
      </c>
      <c r="FXN1599" s="55">
        <f t="shared" si="367"/>
        <v>0</v>
      </c>
      <c r="FXO1599" s="55">
        <f t="shared" si="367"/>
        <v>0</v>
      </c>
      <c r="FXP1599" s="55">
        <f t="shared" si="367"/>
        <v>0</v>
      </c>
      <c r="FXQ1599" s="55">
        <f t="shared" si="367"/>
        <v>0</v>
      </c>
      <c r="FXR1599" s="55">
        <f t="shared" si="367"/>
        <v>0</v>
      </c>
      <c r="FXS1599" s="55">
        <f t="shared" si="367"/>
        <v>0</v>
      </c>
      <c r="FXT1599" s="55">
        <f t="shared" si="367"/>
        <v>0</v>
      </c>
      <c r="FXU1599" s="55">
        <f t="shared" si="367"/>
        <v>0</v>
      </c>
      <c r="FXV1599" s="55">
        <f t="shared" si="367"/>
        <v>0</v>
      </c>
      <c r="FXW1599" s="55">
        <f t="shared" si="367"/>
        <v>0</v>
      </c>
      <c r="FXX1599" s="55">
        <f t="shared" si="367"/>
        <v>0</v>
      </c>
      <c r="FXY1599" s="55">
        <f t="shared" si="367"/>
        <v>0</v>
      </c>
      <c r="FXZ1599" s="55">
        <f t="shared" si="367"/>
        <v>0</v>
      </c>
      <c r="FYA1599" s="55">
        <f t="shared" si="367"/>
        <v>0</v>
      </c>
      <c r="FYB1599" s="55">
        <f t="shared" si="367"/>
        <v>0</v>
      </c>
      <c r="FYC1599" s="55">
        <f t="shared" si="367"/>
        <v>0</v>
      </c>
      <c r="FYD1599" s="55">
        <f t="shared" si="367"/>
        <v>0</v>
      </c>
      <c r="FYE1599" s="55">
        <f t="shared" si="367"/>
        <v>0</v>
      </c>
      <c r="FYF1599" s="55">
        <f t="shared" si="367"/>
        <v>0</v>
      </c>
      <c r="FYG1599" s="55">
        <f t="shared" si="367"/>
        <v>0</v>
      </c>
      <c r="FYH1599" s="55">
        <f t="shared" si="367"/>
        <v>0</v>
      </c>
      <c r="FYI1599" s="55">
        <f t="shared" si="367"/>
        <v>0</v>
      </c>
      <c r="FYJ1599" s="55">
        <f t="shared" si="367"/>
        <v>0</v>
      </c>
      <c r="FYK1599" s="55">
        <f t="shared" si="367"/>
        <v>0</v>
      </c>
      <c r="FYL1599" s="55">
        <f t="shared" si="367"/>
        <v>0</v>
      </c>
      <c r="FYM1599" s="55">
        <f t="shared" si="367"/>
        <v>0</v>
      </c>
      <c r="FYN1599" s="55">
        <f t="shared" si="367"/>
        <v>0</v>
      </c>
      <c r="FYO1599" s="55">
        <f t="shared" si="367"/>
        <v>0</v>
      </c>
      <c r="FYP1599" s="55">
        <f t="shared" si="367"/>
        <v>0</v>
      </c>
      <c r="FYQ1599" s="55">
        <f t="shared" si="367"/>
        <v>0</v>
      </c>
      <c r="FYR1599" s="55">
        <f t="shared" si="367"/>
        <v>0</v>
      </c>
      <c r="FYS1599" s="55">
        <f t="shared" si="367"/>
        <v>0</v>
      </c>
      <c r="FYT1599" s="55">
        <f t="shared" si="367"/>
        <v>0</v>
      </c>
      <c r="FYU1599" s="55">
        <f t="shared" si="367"/>
        <v>0</v>
      </c>
      <c r="FYV1599" s="55">
        <f t="shared" si="367"/>
        <v>0</v>
      </c>
      <c r="FYW1599" s="55">
        <f t="shared" si="367"/>
        <v>0</v>
      </c>
      <c r="FYX1599" s="55">
        <f t="shared" si="367"/>
        <v>0</v>
      </c>
      <c r="FYY1599" s="55">
        <f t="shared" si="367"/>
        <v>0</v>
      </c>
      <c r="FYZ1599" s="55">
        <f t="shared" si="367"/>
        <v>0</v>
      </c>
      <c r="FZA1599" s="55">
        <f t="shared" si="367"/>
        <v>0</v>
      </c>
      <c r="FZB1599" s="55">
        <f t="shared" si="367"/>
        <v>0</v>
      </c>
      <c r="FZC1599" s="55">
        <f t="shared" si="367"/>
        <v>0</v>
      </c>
      <c r="FZD1599" s="55">
        <f t="shared" si="367"/>
        <v>0</v>
      </c>
      <c r="FZE1599" s="55">
        <f t="shared" si="367"/>
        <v>0</v>
      </c>
      <c r="FZF1599" s="55">
        <f t="shared" si="367"/>
        <v>0</v>
      </c>
      <c r="FZG1599" s="55">
        <f t="shared" si="367"/>
        <v>0</v>
      </c>
      <c r="FZH1599" s="55">
        <f t="shared" si="367"/>
        <v>0</v>
      </c>
      <c r="FZI1599" s="55">
        <f t="shared" si="367"/>
        <v>0</v>
      </c>
      <c r="FZJ1599" s="55">
        <f t="shared" si="367"/>
        <v>0</v>
      </c>
      <c r="FZK1599" s="55">
        <f t="shared" si="367"/>
        <v>0</v>
      </c>
      <c r="FZL1599" s="55">
        <f t="shared" si="367"/>
        <v>0</v>
      </c>
      <c r="FZM1599" s="55">
        <f t="shared" si="367"/>
        <v>0</v>
      </c>
      <c r="FZN1599" s="55">
        <f t="shared" si="367"/>
        <v>0</v>
      </c>
      <c r="FZO1599" s="55">
        <f t="shared" si="367"/>
        <v>0</v>
      </c>
      <c r="FZP1599" s="55">
        <f t="shared" ref="FZP1599:GCA1599" si="368">+(FZP1619+FZP1623)*1.18*1.1</f>
        <v>0</v>
      </c>
      <c r="FZQ1599" s="55">
        <f t="shared" si="368"/>
        <v>0</v>
      </c>
      <c r="FZR1599" s="55">
        <f t="shared" si="368"/>
        <v>0</v>
      </c>
      <c r="FZS1599" s="55">
        <f t="shared" si="368"/>
        <v>0</v>
      </c>
      <c r="FZT1599" s="55">
        <f t="shared" si="368"/>
        <v>0</v>
      </c>
      <c r="FZU1599" s="55">
        <f t="shared" si="368"/>
        <v>0</v>
      </c>
      <c r="FZV1599" s="55">
        <f t="shared" si="368"/>
        <v>0</v>
      </c>
      <c r="FZW1599" s="55">
        <f t="shared" si="368"/>
        <v>0</v>
      </c>
      <c r="FZX1599" s="55">
        <f t="shared" si="368"/>
        <v>0</v>
      </c>
      <c r="FZY1599" s="55">
        <f t="shared" si="368"/>
        <v>0</v>
      </c>
      <c r="FZZ1599" s="55">
        <f t="shared" si="368"/>
        <v>0</v>
      </c>
      <c r="GAA1599" s="55">
        <f t="shared" si="368"/>
        <v>0</v>
      </c>
      <c r="GAB1599" s="55">
        <f t="shared" si="368"/>
        <v>0</v>
      </c>
      <c r="GAC1599" s="55">
        <f t="shared" si="368"/>
        <v>0</v>
      </c>
      <c r="GAD1599" s="55">
        <f t="shared" si="368"/>
        <v>0</v>
      </c>
      <c r="GAE1599" s="55">
        <f t="shared" si="368"/>
        <v>0</v>
      </c>
      <c r="GAF1599" s="55">
        <f t="shared" si="368"/>
        <v>0</v>
      </c>
      <c r="GAG1599" s="55">
        <f t="shared" si="368"/>
        <v>0</v>
      </c>
      <c r="GAH1599" s="55">
        <f t="shared" si="368"/>
        <v>0</v>
      </c>
      <c r="GAI1599" s="55">
        <f t="shared" si="368"/>
        <v>0</v>
      </c>
      <c r="GAJ1599" s="55">
        <f t="shared" si="368"/>
        <v>0</v>
      </c>
      <c r="GAK1599" s="55">
        <f t="shared" si="368"/>
        <v>0</v>
      </c>
      <c r="GAL1599" s="55">
        <f t="shared" si="368"/>
        <v>0</v>
      </c>
      <c r="GAM1599" s="55">
        <f t="shared" si="368"/>
        <v>0</v>
      </c>
      <c r="GAN1599" s="55">
        <f t="shared" si="368"/>
        <v>0</v>
      </c>
      <c r="GAO1599" s="55">
        <f t="shared" si="368"/>
        <v>0</v>
      </c>
      <c r="GAP1599" s="55">
        <f t="shared" si="368"/>
        <v>0</v>
      </c>
      <c r="GAQ1599" s="55">
        <f t="shared" si="368"/>
        <v>0</v>
      </c>
      <c r="GAR1599" s="55">
        <f t="shared" si="368"/>
        <v>0</v>
      </c>
      <c r="GAS1599" s="55">
        <f t="shared" si="368"/>
        <v>0</v>
      </c>
      <c r="GAT1599" s="55">
        <f t="shared" si="368"/>
        <v>0</v>
      </c>
      <c r="GAU1599" s="55">
        <f t="shared" si="368"/>
        <v>0</v>
      </c>
      <c r="GAV1599" s="55">
        <f t="shared" si="368"/>
        <v>0</v>
      </c>
      <c r="GAW1599" s="55">
        <f t="shared" si="368"/>
        <v>0</v>
      </c>
      <c r="GAX1599" s="55">
        <f t="shared" si="368"/>
        <v>0</v>
      </c>
      <c r="GAY1599" s="55">
        <f t="shared" si="368"/>
        <v>0</v>
      </c>
      <c r="GAZ1599" s="55">
        <f t="shared" si="368"/>
        <v>0</v>
      </c>
      <c r="GBA1599" s="55">
        <f t="shared" si="368"/>
        <v>0</v>
      </c>
      <c r="GBB1599" s="55">
        <f t="shared" si="368"/>
        <v>0</v>
      </c>
      <c r="GBC1599" s="55">
        <f t="shared" si="368"/>
        <v>0</v>
      </c>
      <c r="GBD1599" s="55">
        <f t="shared" si="368"/>
        <v>0</v>
      </c>
      <c r="GBE1599" s="55">
        <f t="shared" si="368"/>
        <v>0</v>
      </c>
      <c r="GBF1599" s="55">
        <f t="shared" si="368"/>
        <v>0</v>
      </c>
      <c r="GBG1599" s="55">
        <f t="shared" si="368"/>
        <v>0</v>
      </c>
      <c r="GBH1599" s="55">
        <f t="shared" si="368"/>
        <v>0</v>
      </c>
      <c r="GBI1599" s="55">
        <f t="shared" si="368"/>
        <v>0</v>
      </c>
      <c r="GBJ1599" s="55">
        <f t="shared" si="368"/>
        <v>0</v>
      </c>
      <c r="GBK1599" s="55">
        <f t="shared" si="368"/>
        <v>0</v>
      </c>
      <c r="GBL1599" s="55">
        <f t="shared" si="368"/>
        <v>0</v>
      </c>
      <c r="GBM1599" s="55">
        <f t="shared" si="368"/>
        <v>0</v>
      </c>
      <c r="GBN1599" s="55">
        <f t="shared" si="368"/>
        <v>0</v>
      </c>
      <c r="GBO1599" s="55">
        <f t="shared" si="368"/>
        <v>0</v>
      </c>
      <c r="GBP1599" s="55">
        <f t="shared" si="368"/>
        <v>0</v>
      </c>
      <c r="GBQ1599" s="55">
        <f t="shared" si="368"/>
        <v>0</v>
      </c>
      <c r="GBR1599" s="55">
        <f t="shared" si="368"/>
        <v>0</v>
      </c>
      <c r="GBS1599" s="55">
        <f t="shared" si="368"/>
        <v>0</v>
      </c>
      <c r="GBT1599" s="55">
        <f t="shared" si="368"/>
        <v>0</v>
      </c>
      <c r="GBU1599" s="55">
        <f t="shared" si="368"/>
        <v>0</v>
      </c>
      <c r="GBV1599" s="55">
        <f t="shared" si="368"/>
        <v>0</v>
      </c>
      <c r="GBW1599" s="55">
        <f t="shared" si="368"/>
        <v>0</v>
      </c>
      <c r="GBX1599" s="55">
        <f t="shared" si="368"/>
        <v>0</v>
      </c>
      <c r="GBY1599" s="55">
        <f t="shared" si="368"/>
        <v>0</v>
      </c>
      <c r="GBZ1599" s="55">
        <f t="shared" si="368"/>
        <v>0</v>
      </c>
      <c r="GCA1599" s="55">
        <f t="shared" si="368"/>
        <v>0</v>
      </c>
      <c r="GCB1599" s="55">
        <f t="shared" ref="GCB1599:GEM1599" si="369">+(GCB1619+GCB1623)*1.18*1.1</f>
        <v>0</v>
      </c>
      <c r="GCC1599" s="55">
        <f t="shared" si="369"/>
        <v>0</v>
      </c>
      <c r="GCD1599" s="55">
        <f t="shared" si="369"/>
        <v>0</v>
      </c>
      <c r="GCE1599" s="55">
        <f t="shared" si="369"/>
        <v>0</v>
      </c>
      <c r="GCF1599" s="55">
        <f t="shared" si="369"/>
        <v>0</v>
      </c>
      <c r="GCG1599" s="55">
        <f t="shared" si="369"/>
        <v>0</v>
      </c>
      <c r="GCH1599" s="55">
        <f t="shared" si="369"/>
        <v>0</v>
      </c>
      <c r="GCI1599" s="55">
        <f t="shared" si="369"/>
        <v>0</v>
      </c>
      <c r="GCJ1599" s="55">
        <f t="shared" si="369"/>
        <v>0</v>
      </c>
      <c r="GCK1599" s="55">
        <f t="shared" si="369"/>
        <v>0</v>
      </c>
      <c r="GCL1599" s="55">
        <f t="shared" si="369"/>
        <v>0</v>
      </c>
      <c r="GCM1599" s="55">
        <f t="shared" si="369"/>
        <v>0</v>
      </c>
      <c r="GCN1599" s="55">
        <f t="shared" si="369"/>
        <v>0</v>
      </c>
      <c r="GCO1599" s="55">
        <f t="shared" si="369"/>
        <v>0</v>
      </c>
      <c r="GCP1599" s="55">
        <f t="shared" si="369"/>
        <v>0</v>
      </c>
      <c r="GCQ1599" s="55">
        <f t="shared" si="369"/>
        <v>0</v>
      </c>
      <c r="GCR1599" s="55">
        <f t="shared" si="369"/>
        <v>0</v>
      </c>
      <c r="GCS1599" s="55">
        <f t="shared" si="369"/>
        <v>0</v>
      </c>
      <c r="GCT1599" s="55">
        <f t="shared" si="369"/>
        <v>0</v>
      </c>
      <c r="GCU1599" s="55">
        <f t="shared" si="369"/>
        <v>0</v>
      </c>
      <c r="GCV1599" s="55">
        <f t="shared" si="369"/>
        <v>0</v>
      </c>
      <c r="GCW1599" s="55">
        <f t="shared" si="369"/>
        <v>0</v>
      </c>
      <c r="GCX1599" s="55">
        <f t="shared" si="369"/>
        <v>0</v>
      </c>
      <c r="GCY1599" s="55">
        <f t="shared" si="369"/>
        <v>0</v>
      </c>
      <c r="GCZ1599" s="55">
        <f t="shared" si="369"/>
        <v>0</v>
      </c>
      <c r="GDA1599" s="55">
        <f t="shared" si="369"/>
        <v>0</v>
      </c>
      <c r="GDB1599" s="55">
        <f t="shared" si="369"/>
        <v>0</v>
      </c>
      <c r="GDC1599" s="55">
        <f t="shared" si="369"/>
        <v>0</v>
      </c>
      <c r="GDD1599" s="55">
        <f t="shared" si="369"/>
        <v>0</v>
      </c>
      <c r="GDE1599" s="55">
        <f t="shared" si="369"/>
        <v>0</v>
      </c>
      <c r="GDF1599" s="55">
        <f t="shared" si="369"/>
        <v>0</v>
      </c>
      <c r="GDG1599" s="55">
        <f t="shared" si="369"/>
        <v>0</v>
      </c>
      <c r="GDH1599" s="55">
        <f t="shared" si="369"/>
        <v>0</v>
      </c>
      <c r="GDI1599" s="55">
        <f t="shared" si="369"/>
        <v>0</v>
      </c>
      <c r="GDJ1599" s="55">
        <f t="shared" si="369"/>
        <v>0</v>
      </c>
      <c r="GDK1599" s="55">
        <f t="shared" si="369"/>
        <v>0</v>
      </c>
      <c r="GDL1599" s="55">
        <f t="shared" si="369"/>
        <v>0</v>
      </c>
      <c r="GDM1599" s="55">
        <f t="shared" si="369"/>
        <v>0</v>
      </c>
      <c r="GDN1599" s="55">
        <f t="shared" si="369"/>
        <v>0</v>
      </c>
      <c r="GDO1599" s="55">
        <f t="shared" si="369"/>
        <v>0</v>
      </c>
      <c r="GDP1599" s="55">
        <f t="shared" si="369"/>
        <v>0</v>
      </c>
      <c r="GDQ1599" s="55">
        <f t="shared" si="369"/>
        <v>0</v>
      </c>
      <c r="GDR1599" s="55">
        <f t="shared" si="369"/>
        <v>0</v>
      </c>
      <c r="GDS1599" s="55">
        <f t="shared" si="369"/>
        <v>0</v>
      </c>
      <c r="GDT1599" s="55">
        <f t="shared" si="369"/>
        <v>0</v>
      </c>
      <c r="GDU1599" s="55">
        <f t="shared" si="369"/>
        <v>0</v>
      </c>
      <c r="GDV1599" s="55">
        <f t="shared" si="369"/>
        <v>0</v>
      </c>
      <c r="GDW1599" s="55">
        <f t="shared" si="369"/>
        <v>0</v>
      </c>
      <c r="GDX1599" s="55">
        <f t="shared" si="369"/>
        <v>0</v>
      </c>
      <c r="GDY1599" s="55">
        <f t="shared" si="369"/>
        <v>0</v>
      </c>
      <c r="GDZ1599" s="55">
        <f t="shared" si="369"/>
        <v>0</v>
      </c>
      <c r="GEA1599" s="55">
        <f t="shared" si="369"/>
        <v>0</v>
      </c>
      <c r="GEB1599" s="55">
        <f t="shared" si="369"/>
        <v>0</v>
      </c>
      <c r="GEC1599" s="55">
        <f t="shared" si="369"/>
        <v>0</v>
      </c>
      <c r="GED1599" s="55">
        <f t="shared" si="369"/>
        <v>0</v>
      </c>
      <c r="GEE1599" s="55">
        <f t="shared" si="369"/>
        <v>0</v>
      </c>
      <c r="GEF1599" s="55">
        <f t="shared" si="369"/>
        <v>0</v>
      </c>
      <c r="GEG1599" s="55">
        <f t="shared" si="369"/>
        <v>0</v>
      </c>
      <c r="GEH1599" s="55">
        <f t="shared" si="369"/>
        <v>0</v>
      </c>
      <c r="GEI1599" s="55">
        <f t="shared" si="369"/>
        <v>0</v>
      </c>
      <c r="GEJ1599" s="55">
        <f t="shared" si="369"/>
        <v>0</v>
      </c>
      <c r="GEK1599" s="55">
        <f t="shared" si="369"/>
        <v>0</v>
      </c>
      <c r="GEL1599" s="55">
        <f t="shared" si="369"/>
        <v>0</v>
      </c>
      <c r="GEM1599" s="55">
        <f t="shared" si="369"/>
        <v>0</v>
      </c>
      <c r="GEN1599" s="55">
        <f t="shared" ref="GEN1599:GGY1599" si="370">+(GEN1619+GEN1623)*1.18*1.1</f>
        <v>0</v>
      </c>
      <c r="GEO1599" s="55">
        <f t="shared" si="370"/>
        <v>0</v>
      </c>
      <c r="GEP1599" s="55">
        <f t="shared" si="370"/>
        <v>0</v>
      </c>
      <c r="GEQ1599" s="55">
        <f t="shared" si="370"/>
        <v>0</v>
      </c>
      <c r="GER1599" s="55">
        <f t="shared" si="370"/>
        <v>0</v>
      </c>
      <c r="GES1599" s="55">
        <f t="shared" si="370"/>
        <v>0</v>
      </c>
      <c r="GET1599" s="55">
        <f t="shared" si="370"/>
        <v>0</v>
      </c>
      <c r="GEU1599" s="55">
        <f t="shared" si="370"/>
        <v>0</v>
      </c>
      <c r="GEV1599" s="55">
        <f t="shared" si="370"/>
        <v>0</v>
      </c>
      <c r="GEW1599" s="55">
        <f t="shared" si="370"/>
        <v>0</v>
      </c>
      <c r="GEX1599" s="55">
        <f t="shared" si="370"/>
        <v>0</v>
      </c>
      <c r="GEY1599" s="55">
        <f t="shared" si="370"/>
        <v>0</v>
      </c>
      <c r="GEZ1599" s="55">
        <f t="shared" si="370"/>
        <v>0</v>
      </c>
      <c r="GFA1599" s="55">
        <f t="shared" si="370"/>
        <v>0</v>
      </c>
      <c r="GFB1599" s="55">
        <f t="shared" si="370"/>
        <v>0</v>
      </c>
      <c r="GFC1599" s="55">
        <f t="shared" si="370"/>
        <v>0</v>
      </c>
      <c r="GFD1599" s="55">
        <f t="shared" si="370"/>
        <v>0</v>
      </c>
      <c r="GFE1599" s="55">
        <f t="shared" si="370"/>
        <v>0</v>
      </c>
      <c r="GFF1599" s="55">
        <f t="shared" si="370"/>
        <v>0</v>
      </c>
      <c r="GFG1599" s="55">
        <f t="shared" si="370"/>
        <v>0</v>
      </c>
      <c r="GFH1599" s="55">
        <f t="shared" si="370"/>
        <v>0</v>
      </c>
      <c r="GFI1599" s="55">
        <f t="shared" si="370"/>
        <v>0</v>
      </c>
      <c r="GFJ1599" s="55">
        <f t="shared" si="370"/>
        <v>0</v>
      </c>
      <c r="GFK1599" s="55">
        <f t="shared" si="370"/>
        <v>0</v>
      </c>
      <c r="GFL1599" s="55">
        <f t="shared" si="370"/>
        <v>0</v>
      </c>
      <c r="GFM1599" s="55">
        <f t="shared" si="370"/>
        <v>0</v>
      </c>
      <c r="GFN1599" s="55">
        <f t="shared" si="370"/>
        <v>0</v>
      </c>
      <c r="GFO1599" s="55">
        <f t="shared" si="370"/>
        <v>0</v>
      </c>
      <c r="GFP1599" s="55">
        <f t="shared" si="370"/>
        <v>0</v>
      </c>
      <c r="GFQ1599" s="55">
        <f t="shared" si="370"/>
        <v>0</v>
      </c>
      <c r="GFR1599" s="55">
        <f t="shared" si="370"/>
        <v>0</v>
      </c>
      <c r="GFS1599" s="55">
        <f t="shared" si="370"/>
        <v>0</v>
      </c>
      <c r="GFT1599" s="55">
        <f t="shared" si="370"/>
        <v>0</v>
      </c>
      <c r="GFU1599" s="55">
        <f t="shared" si="370"/>
        <v>0</v>
      </c>
      <c r="GFV1599" s="55">
        <f t="shared" si="370"/>
        <v>0</v>
      </c>
      <c r="GFW1599" s="55">
        <f t="shared" si="370"/>
        <v>0</v>
      </c>
      <c r="GFX1599" s="55">
        <f t="shared" si="370"/>
        <v>0</v>
      </c>
      <c r="GFY1599" s="55">
        <f t="shared" si="370"/>
        <v>0</v>
      </c>
      <c r="GFZ1599" s="55">
        <f t="shared" si="370"/>
        <v>0</v>
      </c>
      <c r="GGA1599" s="55">
        <f t="shared" si="370"/>
        <v>0</v>
      </c>
      <c r="GGB1599" s="55">
        <f t="shared" si="370"/>
        <v>0</v>
      </c>
      <c r="GGC1599" s="55">
        <f t="shared" si="370"/>
        <v>0</v>
      </c>
      <c r="GGD1599" s="55">
        <f t="shared" si="370"/>
        <v>0</v>
      </c>
      <c r="GGE1599" s="55">
        <f t="shared" si="370"/>
        <v>0</v>
      </c>
      <c r="GGF1599" s="55">
        <f t="shared" si="370"/>
        <v>0</v>
      </c>
      <c r="GGG1599" s="55">
        <f t="shared" si="370"/>
        <v>0</v>
      </c>
      <c r="GGH1599" s="55">
        <f t="shared" si="370"/>
        <v>0</v>
      </c>
      <c r="GGI1599" s="55">
        <f t="shared" si="370"/>
        <v>0</v>
      </c>
      <c r="GGJ1599" s="55">
        <f t="shared" si="370"/>
        <v>0</v>
      </c>
      <c r="GGK1599" s="55">
        <f t="shared" si="370"/>
        <v>0</v>
      </c>
      <c r="GGL1599" s="55">
        <f t="shared" si="370"/>
        <v>0</v>
      </c>
      <c r="GGM1599" s="55">
        <f t="shared" si="370"/>
        <v>0</v>
      </c>
      <c r="GGN1599" s="55">
        <f t="shared" si="370"/>
        <v>0</v>
      </c>
      <c r="GGO1599" s="55">
        <f t="shared" si="370"/>
        <v>0</v>
      </c>
      <c r="GGP1599" s="55">
        <f t="shared" si="370"/>
        <v>0</v>
      </c>
      <c r="GGQ1599" s="55">
        <f t="shared" si="370"/>
        <v>0</v>
      </c>
      <c r="GGR1599" s="55">
        <f t="shared" si="370"/>
        <v>0</v>
      </c>
      <c r="GGS1599" s="55">
        <f t="shared" si="370"/>
        <v>0</v>
      </c>
      <c r="GGT1599" s="55">
        <f t="shared" si="370"/>
        <v>0</v>
      </c>
      <c r="GGU1599" s="55">
        <f t="shared" si="370"/>
        <v>0</v>
      </c>
      <c r="GGV1599" s="55">
        <f t="shared" si="370"/>
        <v>0</v>
      </c>
      <c r="GGW1599" s="55">
        <f t="shared" si="370"/>
        <v>0</v>
      </c>
      <c r="GGX1599" s="55">
        <f t="shared" si="370"/>
        <v>0</v>
      </c>
      <c r="GGY1599" s="55">
        <f t="shared" si="370"/>
        <v>0</v>
      </c>
      <c r="GGZ1599" s="55">
        <f t="shared" ref="GGZ1599:GJK1599" si="371">+(GGZ1619+GGZ1623)*1.18*1.1</f>
        <v>0</v>
      </c>
      <c r="GHA1599" s="55">
        <f t="shared" si="371"/>
        <v>0</v>
      </c>
      <c r="GHB1599" s="55">
        <f t="shared" si="371"/>
        <v>0</v>
      </c>
      <c r="GHC1599" s="55">
        <f t="shared" si="371"/>
        <v>0</v>
      </c>
      <c r="GHD1599" s="55">
        <f t="shared" si="371"/>
        <v>0</v>
      </c>
      <c r="GHE1599" s="55">
        <f t="shared" si="371"/>
        <v>0</v>
      </c>
      <c r="GHF1599" s="55">
        <f t="shared" si="371"/>
        <v>0</v>
      </c>
      <c r="GHG1599" s="55">
        <f t="shared" si="371"/>
        <v>0</v>
      </c>
      <c r="GHH1599" s="55">
        <f t="shared" si="371"/>
        <v>0</v>
      </c>
      <c r="GHI1599" s="55">
        <f t="shared" si="371"/>
        <v>0</v>
      </c>
      <c r="GHJ1599" s="55">
        <f t="shared" si="371"/>
        <v>0</v>
      </c>
      <c r="GHK1599" s="55">
        <f t="shared" si="371"/>
        <v>0</v>
      </c>
      <c r="GHL1599" s="55">
        <f t="shared" si="371"/>
        <v>0</v>
      </c>
      <c r="GHM1599" s="55">
        <f t="shared" si="371"/>
        <v>0</v>
      </c>
      <c r="GHN1599" s="55">
        <f t="shared" si="371"/>
        <v>0</v>
      </c>
      <c r="GHO1599" s="55">
        <f t="shared" si="371"/>
        <v>0</v>
      </c>
      <c r="GHP1599" s="55">
        <f t="shared" si="371"/>
        <v>0</v>
      </c>
      <c r="GHQ1599" s="55">
        <f t="shared" si="371"/>
        <v>0</v>
      </c>
      <c r="GHR1599" s="55">
        <f t="shared" si="371"/>
        <v>0</v>
      </c>
      <c r="GHS1599" s="55">
        <f t="shared" si="371"/>
        <v>0</v>
      </c>
      <c r="GHT1599" s="55">
        <f t="shared" si="371"/>
        <v>0</v>
      </c>
      <c r="GHU1599" s="55">
        <f t="shared" si="371"/>
        <v>0</v>
      </c>
      <c r="GHV1599" s="55">
        <f t="shared" si="371"/>
        <v>0</v>
      </c>
      <c r="GHW1599" s="55">
        <f t="shared" si="371"/>
        <v>0</v>
      </c>
      <c r="GHX1599" s="55">
        <f t="shared" si="371"/>
        <v>0</v>
      </c>
      <c r="GHY1599" s="55">
        <f t="shared" si="371"/>
        <v>0</v>
      </c>
      <c r="GHZ1599" s="55">
        <f t="shared" si="371"/>
        <v>0</v>
      </c>
      <c r="GIA1599" s="55">
        <f t="shared" si="371"/>
        <v>0</v>
      </c>
      <c r="GIB1599" s="55">
        <f t="shared" si="371"/>
        <v>0</v>
      </c>
      <c r="GIC1599" s="55">
        <f t="shared" si="371"/>
        <v>0</v>
      </c>
      <c r="GID1599" s="55">
        <f t="shared" si="371"/>
        <v>0</v>
      </c>
      <c r="GIE1599" s="55">
        <f t="shared" si="371"/>
        <v>0</v>
      </c>
      <c r="GIF1599" s="55">
        <f t="shared" si="371"/>
        <v>0</v>
      </c>
      <c r="GIG1599" s="55">
        <f t="shared" si="371"/>
        <v>0</v>
      </c>
      <c r="GIH1599" s="55">
        <f t="shared" si="371"/>
        <v>0</v>
      </c>
      <c r="GII1599" s="55">
        <f t="shared" si="371"/>
        <v>0</v>
      </c>
      <c r="GIJ1599" s="55">
        <f t="shared" si="371"/>
        <v>0</v>
      </c>
      <c r="GIK1599" s="55">
        <f t="shared" si="371"/>
        <v>0</v>
      </c>
      <c r="GIL1599" s="55">
        <f t="shared" si="371"/>
        <v>0</v>
      </c>
      <c r="GIM1599" s="55">
        <f t="shared" si="371"/>
        <v>0</v>
      </c>
      <c r="GIN1599" s="55">
        <f t="shared" si="371"/>
        <v>0</v>
      </c>
      <c r="GIO1599" s="55">
        <f t="shared" si="371"/>
        <v>0</v>
      </c>
      <c r="GIP1599" s="55">
        <f t="shared" si="371"/>
        <v>0</v>
      </c>
      <c r="GIQ1599" s="55">
        <f t="shared" si="371"/>
        <v>0</v>
      </c>
      <c r="GIR1599" s="55">
        <f t="shared" si="371"/>
        <v>0</v>
      </c>
      <c r="GIS1599" s="55">
        <f t="shared" si="371"/>
        <v>0</v>
      </c>
      <c r="GIT1599" s="55">
        <f t="shared" si="371"/>
        <v>0</v>
      </c>
      <c r="GIU1599" s="55">
        <f t="shared" si="371"/>
        <v>0</v>
      </c>
      <c r="GIV1599" s="55">
        <f t="shared" si="371"/>
        <v>0</v>
      </c>
      <c r="GIW1599" s="55">
        <f t="shared" si="371"/>
        <v>0</v>
      </c>
      <c r="GIX1599" s="55">
        <f t="shared" si="371"/>
        <v>0</v>
      </c>
      <c r="GIY1599" s="55">
        <f t="shared" si="371"/>
        <v>0</v>
      </c>
      <c r="GIZ1599" s="55">
        <f t="shared" si="371"/>
        <v>0</v>
      </c>
      <c r="GJA1599" s="55">
        <f t="shared" si="371"/>
        <v>0</v>
      </c>
      <c r="GJB1599" s="55">
        <f t="shared" si="371"/>
        <v>0</v>
      </c>
      <c r="GJC1599" s="55">
        <f t="shared" si="371"/>
        <v>0</v>
      </c>
      <c r="GJD1599" s="55">
        <f t="shared" si="371"/>
        <v>0</v>
      </c>
      <c r="GJE1599" s="55">
        <f t="shared" si="371"/>
        <v>0</v>
      </c>
      <c r="GJF1599" s="55">
        <f t="shared" si="371"/>
        <v>0</v>
      </c>
      <c r="GJG1599" s="55">
        <f t="shared" si="371"/>
        <v>0</v>
      </c>
      <c r="GJH1599" s="55">
        <f t="shared" si="371"/>
        <v>0</v>
      </c>
      <c r="GJI1599" s="55">
        <f t="shared" si="371"/>
        <v>0</v>
      </c>
      <c r="GJJ1599" s="55">
        <f t="shared" si="371"/>
        <v>0</v>
      </c>
      <c r="GJK1599" s="55">
        <f t="shared" si="371"/>
        <v>0</v>
      </c>
      <c r="GJL1599" s="55">
        <f t="shared" ref="GJL1599:GLW1599" si="372">+(GJL1619+GJL1623)*1.18*1.1</f>
        <v>0</v>
      </c>
      <c r="GJM1599" s="55">
        <f t="shared" si="372"/>
        <v>0</v>
      </c>
      <c r="GJN1599" s="55">
        <f t="shared" si="372"/>
        <v>0</v>
      </c>
      <c r="GJO1599" s="55">
        <f t="shared" si="372"/>
        <v>0</v>
      </c>
      <c r="GJP1599" s="55">
        <f t="shared" si="372"/>
        <v>0</v>
      </c>
      <c r="GJQ1599" s="55">
        <f t="shared" si="372"/>
        <v>0</v>
      </c>
      <c r="GJR1599" s="55">
        <f t="shared" si="372"/>
        <v>0</v>
      </c>
      <c r="GJS1599" s="55">
        <f t="shared" si="372"/>
        <v>0</v>
      </c>
      <c r="GJT1599" s="55">
        <f t="shared" si="372"/>
        <v>0</v>
      </c>
      <c r="GJU1599" s="55">
        <f t="shared" si="372"/>
        <v>0</v>
      </c>
      <c r="GJV1599" s="55">
        <f t="shared" si="372"/>
        <v>0</v>
      </c>
      <c r="GJW1599" s="55">
        <f t="shared" si="372"/>
        <v>0</v>
      </c>
      <c r="GJX1599" s="55">
        <f t="shared" si="372"/>
        <v>0</v>
      </c>
      <c r="GJY1599" s="55">
        <f t="shared" si="372"/>
        <v>0</v>
      </c>
      <c r="GJZ1599" s="55">
        <f t="shared" si="372"/>
        <v>0</v>
      </c>
      <c r="GKA1599" s="55">
        <f t="shared" si="372"/>
        <v>0</v>
      </c>
      <c r="GKB1599" s="55">
        <f t="shared" si="372"/>
        <v>0</v>
      </c>
      <c r="GKC1599" s="55">
        <f t="shared" si="372"/>
        <v>0</v>
      </c>
      <c r="GKD1599" s="55">
        <f t="shared" si="372"/>
        <v>0</v>
      </c>
      <c r="GKE1599" s="55">
        <f t="shared" si="372"/>
        <v>0</v>
      </c>
      <c r="GKF1599" s="55">
        <f t="shared" si="372"/>
        <v>0</v>
      </c>
      <c r="GKG1599" s="55">
        <f t="shared" si="372"/>
        <v>0</v>
      </c>
      <c r="GKH1599" s="55">
        <f t="shared" si="372"/>
        <v>0</v>
      </c>
      <c r="GKI1599" s="55">
        <f t="shared" si="372"/>
        <v>0</v>
      </c>
      <c r="GKJ1599" s="55">
        <f t="shared" si="372"/>
        <v>0</v>
      </c>
      <c r="GKK1599" s="55">
        <f t="shared" si="372"/>
        <v>0</v>
      </c>
      <c r="GKL1599" s="55">
        <f t="shared" si="372"/>
        <v>0</v>
      </c>
      <c r="GKM1599" s="55">
        <f t="shared" si="372"/>
        <v>0</v>
      </c>
      <c r="GKN1599" s="55">
        <f t="shared" si="372"/>
        <v>0</v>
      </c>
      <c r="GKO1599" s="55">
        <f t="shared" si="372"/>
        <v>0</v>
      </c>
      <c r="GKP1599" s="55">
        <f t="shared" si="372"/>
        <v>0</v>
      </c>
      <c r="GKQ1599" s="55">
        <f t="shared" si="372"/>
        <v>0</v>
      </c>
      <c r="GKR1599" s="55">
        <f t="shared" si="372"/>
        <v>0</v>
      </c>
      <c r="GKS1599" s="55">
        <f t="shared" si="372"/>
        <v>0</v>
      </c>
      <c r="GKT1599" s="55">
        <f t="shared" si="372"/>
        <v>0</v>
      </c>
      <c r="GKU1599" s="55">
        <f t="shared" si="372"/>
        <v>0</v>
      </c>
      <c r="GKV1599" s="55">
        <f t="shared" si="372"/>
        <v>0</v>
      </c>
      <c r="GKW1599" s="55">
        <f t="shared" si="372"/>
        <v>0</v>
      </c>
      <c r="GKX1599" s="55">
        <f t="shared" si="372"/>
        <v>0</v>
      </c>
      <c r="GKY1599" s="55">
        <f t="shared" si="372"/>
        <v>0</v>
      </c>
      <c r="GKZ1599" s="55">
        <f t="shared" si="372"/>
        <v>0</v>
      </c>
      <c r="GLA1599" s="55">
        <f t="shared" si="372"/>
        <v>0</v>
      </c>
      <c r="GLB1599" s="55">
        <f t="shared" si="372"/>
        <v>0</v>
      </c>
      <c r="GLC1599" s="55">
        <f t="shared" si="372"/>
        <v>0</v>
      </c>
      <c r="GLD1599" s="55">
        <f t="shared" si="372"/>
        <v>0</v>
      </c>
      <c r="GLE1599" s="55">
        <f t="shared" si="372"/>
        <v>0</v>
      </c>
      <c r="GLF1599" s="55">
        <f t="shared" si="372"/>
        <v>0</v>
      </c>
      <c r="GLG1599" s="55">
        <f t="shared" si="372"/>
        <v>0</v>
      </c>
      <c r="GLH1599" s="55">
        <f t="shared" si="372"/>
        <v>0</v>
      </c>
      <c r="GLI1599" s="55">
        <f t="shared" si="372"/>
        <v>0</v>
      </c>
      <c r="GLJ1599" s="55">
        <f t="shared" si="372"/>
        <v>0</v>
      </c>
      <c r="GLK1599" s="55">
        <f t="shared" si="372"/>
        <v>0</v>
      </c>
      <c r="GLL1599" s="55">
        <f t="shared" si="372"/>
        <v>0</v>
      </c>
      <c r="GLM1599" s="55">
        <f t="shared" si="372"/>
        <v>0</v>
      </c>
      <c r="GLN1599" s="55">
        <f t="shared" si="372"/>
        <v>0</v>
      </c>
      <c r="GLO1599" s="55">
        <f t="shared" si="372"/>
        <v>0</v>
      </c>
      <c r="GLP1599" s="55">
        <f t="shared" si="372"/>
        <v>0</v>
      </c>
      <c r="GLQ1599" s="55">
        <f t="shared" si="372"/>
        <v>0</v>
      </c>
      <c r="GLR1599" s="55">
        <f t="shared" si="372"/>
        <v>0</v>
      </c>
      <c r="GLS1599" s="55">
        <f t="shared" si="372"/>
        <v>0</v>
      </c>
      <c r="GLT1599" s="55">
        <f t="shared" si="372"/>
        <v>0</v>
      </c>
      <c r="GLU1599" s="55">
        <f t="shared" si="372"/>
        <v>0</v>
      </c>
      <c r="GLV1599" s="55">
        <f t="shared" si="372"/>
        <v>0</v>
      </c>
      <c r="GLW1599" s="55">
        <f t="shared" si="372"/>
        <v>0</v>
      </c>
      <c r="GLX1599" s="55">
        <f t="shared" ref="GLX1599:GOI1599" si="373">+(GLX1619+GLX1623)*1.18*1.1</f>
        <v>0</v>
      </c>
      <c r="GLY1599" s="55">
        <f t="shared" si="373"/>
        <v>0</v>
      </c>
      <c r="GLZ1599" s="55">
        <f t="shared" si="373"/>
        <v>0</v>
      </c>
      <c r="GMA1599" s="55">
        <f t="shared" si="373"/>
        <v>0</v>
      </c>
      <c r="GMB1599" s="55">
        <f t="shared" si="373"/>
        <v>0</v>
      </c>
      <c r="GMC1599" s="55">
        <f t="shared" si="373"/>
        <v>0</v>
      </c>
      <c r="GMD1599" s="55">
        <f t="shared" si="373"/>
        <v>0</v>
      </c>
      <c r="GME1599" s="55">
        <f t="shared" si="373"/>
        <v>0</v>
      </c>
      <c r="GMF1599" s="55">
        <f t="shared" si="373"/>
        <v>0</v>
      </c>
      <c r="GMG1599" s="55">
        <f t="shared" si="373"/>
        <v>0</v>
      </c>
      <c r="GMH1599" s="55">
        <f t="shared" si="373"/>
        <v>0</v>
      </c>
      <c r="GMI1599" s="55">
        <f t="shared" si="373"/>
        <v>0</v>
      </c>
      <c r="GMJ1599" s="55">
        <f t="shared" si="373"/>
        <v>0</v>
      </c>
      <c r="GMK1599" s="55">
        <f t="shared" si="373"/>
        <v>0</v>
      </c>
      <c r="GML1599" s="55">
        <f t="shared" si="373"/>
        <v>0</v>
      </c>
      <c r="GMM1599" s="55">
        <f t="shared" si="373"/>
        <v>0</v>
      </c>
      <c r="GMN1599" s="55">
        <f t="shared" si="373"/>
        <v>0</v>
      </c>
      <c r="GMO1599" s="55">
        <f t="shared" si="373"/>
        <v>0</v>
      </c>
      <c r="GMP1599" s="55">
        <f t="shared" si="373"/>
        <v>0</v>
      </c>
      <c r="GMQ1599" s="55">
        <f t="shared" si="373"/>
        <v>0</v>
      </c>
      <c r="GMR1599" s="55">
        <f t="shared" si="373"/>
        <v>0</v>
      </c>
      <c r="GMS1599" s="55">
        <f t="shared" si="373"/>
        <v>0</v>
      </c>
      <c r="GMT1599" s="55">
        <f t="shared" si="373"/>
        <v>0</v>
      </c>
      <c r="GMU1599" s="55">
        <f t="shared" si="373"/>
        <v>0</v>
      </c>
      <c r="GMV1599" s="55">
        <f t="shared" si="373"/>
        <v>0</v>
      </c>
      <c r="GMW1599" s="55">
        <f t="shared" si="373"/>
        <v>0</v>
      </c>
      <c r="GMX1599" s="55">
        <f t="shared" si="373"/>
        <v>0</v>
      </c>
      <c r="GMY1599" s="55">
        <f t="shared" si="373"/>
        <v>0</v>
      </c>
      <c r="GMZ1599" s="55">
        <f t="shared" si="373"/>
        <v>0</v>
      </c>
      <c r="GNA1599" s="55">
        <f t="shared" si="373"/>
        <v>0</v>
      </c>
      <c r="GNB1599" s="55">
        <f t="shared" si="373"/>
        <v>0</v>
      </c>
      <c r="GNC1599" s="55">
        <f t="shared" si="373"/>
        <v>0</v>
      </c>
      <c r="GND1599" s="55">
        <f t="shared" si="373"/>
        <v>0</v>
      </c>
      <c r="GNE1599" s="55">
        <f t="shared" si="373"/>
        <v>0</v>
      </c>
      <c r="GNF1599" s="55">
        <f t="shared" si="373"/>
        <v>0</v>
      </c>
      <c r="GNG1599" s="55">
        <f t="shared" si="373"/>
        <v>0</v>
      </c>
      <c r="GNH1599" s="55">
        <f t="shared" si="373"/>
        <v>0</v>
      </c>
      <c r="GNI1599" s="55">
        <f t="shared" si="373"/>
        <v>0</v>
      </c>
      <c r="GNJ1599" s="55">
        <f t="shared" si="373"/>
        <v>0</v>
      </c>
      <c r="GNK1599" s="55">
        <f t="shared" si="373"/>
        <v>0</v>
      </c>
      <c r="GNL1599" s="55">
        <f t="shared" si="373"/>
        <v>0</v>
      </c>
      <c r="GNM1599" s="55">
        <f t="shared" si="373"/>
        <v>0</v>
      </c>
      <c r="GNN1599" s="55">
        <f t="shared" si="373"/>
        <v>0</v>
      </c>
      <c r="GNO1599" s="55">
        <f t="shared" si="373"/>
        <v>0</v>
      </c>
      <c r="GNP1599" s="55">
        <f t="shared" si="373"/>
        <v>0</v>
      </c>
      <c r="GNQ1599" s="55">
        <f t="shared" si="373"/>
        <v>0</v>
      </c>
      <c r="GNR1599" s="55">
        <f t="shared" si="373"/>
        <v>0</v>
      </c>
      <c r="GNS1599" s="55">
        <f t="shared" si="373"/>
        <v>0</v>
      </c>
      <c r="GNT1599" s="55">
        <f t="shared" si="373"/>
        <v>0</v>
      </c>
      <c r="GNU1599" s="55">
        <f t="shared" si="373"/>
        <v>0</v>
      </c>
      <c r="GNV1599" s="55">
        <f t="shared" si="373"/>
        <v>0</v>
      </c>
      <c r="GNW1599" s="55">
        <f t="shared" si="373"/>
        <v>0</v>
      </c>
      <c r="GNX1599" s="55">
        <f t="shared" si="373"/>
        <v>0</v>
      </c>
      <c r="GNY1599" s="55">
        <f t="shared" si="373"/>
        <v>0</v>
      </c>
      <c r="GNZ1599" s="55">
        <f t="shared" si="373"/>
        <v>0</v>
      </c>
      <c r="GOA1599" s="55">
        <f t="shared" si="373"/>
        <v>0</v>
      </c>
      <c r="GOB1599" s="55">
        <f t="shared" si="373"/>
        <v>0</v>
      </c>
      <c r="GOC1599" s="55">
        <f t="shared" si="373"/>
        <v>0</v>
      </c>
      <c r="GOD1599" s="55">
        <f t="shared" si="373"/>
        <v>0</v>
      </c>
      <c r="GOE1599" s="55">
        <f t="shared" si="373"/>
        <v>0</v>
      </c>
      <c r="GOF1599" s="55">
        <f t="shared" si="373"/>
        <v>0</v>
      </c>
      <c r="GOG1599" s="55">
        <f t="shared" si="373"/>
        <v>0</v>
      </c>
      <c r="GOH1599" s="55">
        <f t="shared" si="373"/>
        <v>0</v>
      </c>
      <c r="GOI1599" s="55">
        <f t="shared" si="373"/>
        <v>0</v>
      </c>
      <c r="GOJ1599" s="55">
        <f t="shared" ref="GOJ1599:GQU1599" si="374">+(GOJ1619+GOJ1623)*1.18*1.1</f>
        <v>0</v>
      </c>
      <c r="GOK1599" s="55">
        <f t="shared" si="374"/>
        <v>0</v>
      </c>
      <c r="GOL1599" s="55">
        <f t="shared" si="374"/>
        <v>0</v>
      </c>
      <c r="GOM1599" s="55">
        <f t="shared" si="374"/>
        <v>0</v>
      </c>
      <c r="GON1599" s="55">
        <f t="shared" si="374"/>
        <v>0</v>
      </c>
      <c r="GOO1599" s="55">
        <f t="shared" si="374"/>
        <v>0</v>
      </c>
      <c r="GOP1599" s="55">
        <f t="shared" si="374"/>
        <v>0</v>
      </c>
      <c r="GOQ1599" s="55">
        <f t="shared" si="374"/>
        <v>0</v>
      </c>
      <c r="GOR1599" s="55">
        <f t="shared" si="374"/>
        <v>0</v>
      </c>
      <c r="GOS1599" s="55">
        <f t="shared" si="374"/>
        <v>0</v>
      </c>
      <c r="GOT1599" s="55">
        <f t="shared" si="374"/>
        <v>0</v>
      </c>
      <c r="GOU1599" s="55">
        <f t="shared" si="374"/>
        <v>0</v>
      </c>
      <c r="GOV1599" s="55">
        <f t="shared" si="374"/>
        <v>0</v>
      </c>
      <c r="GOW1599" s="55">
        <f t="shared" si="374"/>
        <v>0</v>
      </c>
      <c r="GOX1599" s="55">
        <f t="shared" si="374"/>
        <v>0</v>
      </c>
      <c r="GOY1599" s="55">
        <f t="shared" si="374"/>
        <v>0</v>
      </c>
      <c r="GOZ1599" s="55">
        <f t="shared" si="374"/>
        <v>0</v>
      </c>
      <c r="GPA1599" s="55">
        <f t="shared" si="374"/>
        <v>0</v>
      </c>
      <c r="GPB1599" s="55">
        <f t="shared" si="374"/>
        <v>0</v>
      </c>
      <c r="GPC1599" s="55">
        <f t="shared" si="374"/>
        <v>0</v>
      </c>
      <c r="GPD1599" s="55">
        <f t="shared" si="374"/>
        <v>0</v>
      </c>
      <c r="GPE1599" s="55">
        <f t="shared" si="374"/>
        <v>0</v>
      </c>
      <c r="GPF1599" s="55">
        <f t="shared" si="374"/>
        <v>0</v>
      </c>
      <c r="GPG1599" s="55">
        <f t="shared" si="374"/>
        <v>0</v>
      </c>
      <c r="GPH1599" s="55">
        <f t="shared" si="374"/>
        <v>0</v>
      </c>
      <c r="GPI1599" s="55">
        <f t="shared" si="374"/>
        <v>0</v>
      </c>
      <c r="GPJ1599" s="55">
        <f t="shared" si="374"/>
        <v>0</v>
      </c>
      <c r="GPK1599" s="55">
        <f t="shared" si="374"/>
        <v>0</v>
      </c>
      <c r="GPL1599" s="55">
        <f t="shared" si="374"/>
        <v>0</v>
      </c>
      <c r="GPM1599" s="55">
        <f t="shared" si="374"/>
        <v>0</v>
      </c>
      <c r="GPN1599" s="55">
        <f t="shared" si="374"/>
        <v>0</v>
      </c>
      <c r="GPO1599" s="55">
        <f t="shared" si="374"/>
        <v>0</v>
      </c>
      <c r="GPP1599" s="55">
        <f t="shared" si="374"/>
        <v>0</v>
      </c>
      <c r="GPQ1599" s="55">
        <f t="shared" si="374"/>
        <v>0</v>
      </c>
      <c r="GPR1599" s="55">
        <f t="shared" si="374"/>
        <v>0</v>
      </c>
      <c r="GPS1599" s="55">
        <f t="shared" si="374"/>
        <v>0</v>
      </c>
      <c r="GPT1599" s="55">
        <f t="shared" si="374"/>
        <v>0</v>
      </c>
      <c r="GPU1599" s="55">
        <f t="shared" si="374"/>
        <v>0</v>
      </c>
      <c r="GPV1599" s="55">
        <f t="shared" si="374"/>
        <v>0</v>
      </c>
      <c r="GPW1599" s="55">
        <f t="shared" si="374"/>
        <v>0</v>
      </c>
      <c r="GPX1599" s="55">
        <f t="shared" si="374"/>
        <v>0</v>
      </c>
      <c r="GPY1599" s="55">
        <f t="shared" si="374"/>
        <v>0</v>
      </c>
      <c r="GPZ1599" s="55">
        <f t="shared" si="374"/>
        <v>0</v>
      </c>
      <c r="GQA1599" s="55">
        <f t="shared" si="374"/>
        <v>0</v>
      </c>
      <c r="GQB1599" s="55">
        <f t="shared" si="374"/>
        <v>0</v>
      </c>
      <c r="GQC1599" s="55">
        <f t="shared" si="374"/>
        <v>0</v>
      </c>
      <c r="GQD1599" s="55">
        <f t="shared" si="374"/>
        <v>0</v>
      </c>
      <c r="GQE1599" s="55">
        <f t="shared" si="374"/>
        <v>0</v>
      </c>
      <c r="GQF1599" s="55">
        <f t="shared" si="374"/>
        <v>0</v>
      </c>
      <c r="GQG1599" s="55">
        <f t="shared" si="374"/>
        <v>0</v>
      </c>
      <c r="GQH1599" s="55">
        <f t="shared" si="374"/>
        <v>0</v>
      </c>
      <c r="GQI1599" s="55">
        <f t="shared" si="374"/>
        <v>0</v>
      </c>
      <c r="GQJ1599" s="55">
        <f t="shared" si="374"/>
        <v>0</v>
      </c>
      <c r="GQK1599" s="55">
        <f t="shared" si="374"/>
        <v>0</v>
      </c>
      <c r="GQL1599" s="55">
        <f t="shared" si="374"/>
        <v>0</v>
      </c>
      <c r="GQM1599" s="55">
        <f t="shared" si="374"/>
        <v>0</v>
      </c>
      <c r="GQN1599" s="55">
        <f t="shared" si="374"/>
        <v>0</v>
      </c>
      <c r="GQO1599" s="55">
        <f t="shared" si="374"/>
        <v>0</v>
      </c>
      <c r="GQP1599" s="55">
        <f t="shared" si="374"/>
        <v>0</v>
      </c>
      <c r="GQQ1599" s="55">
        <f t="shared" si="374"/>
        <v>0</v>
      </c>
      <c r="GQR1599" s="55">
        <f t="shared" si="374"/>
        <v>0</v>
      </c>
      <c r="GQS1599" s="55">
        <f t="shared" si="374"/>
        <v>0</v>
      </c>
      <c r="GQT1599" s="55">
        <f t="shared" si="374"/>
        <v>0</v>
      </c>
      <c r="GQU1599" s="55">
        <f t="shared" si="374"/>
        <v>0</v>
      </c>
      <c r="GQV1599" s="55">
        <f t="shared" ref="GQV1599:GTG1599" si="375">+(GQV1619+GQV1623)*1.18*1.1</f>
        <v>0</v>
      </c>
      <c r="GQW1599" s="55">
        <f t="shared" si="375"/>
        <v>0</v>
      </c>
      <c r="GQX1599" s="55">
        <f t="shared" si="375"/>
        <v>0</v>
      </c>
      <c r="GQY1599" s="55">
        <f t="shared" si="375"/>
        <v>0</v>
      </c>
      <c r="GQZ1599" s="55">
        <f t="shared" si="375"/>
        <v>0</v>
      </c>
      <c r="GRA1599" s="55">
        <f t="shared" si="375"/>
        <v>0</v>
      </c>
      <c r="GRB1599" s="55">
        <f t="shared" si="375"/>
        <v>0</v>
      </c>
      <c r="GRC1599" s="55">
        <f t="shared" si="375"/>
        <v>0</v>
      </c>
      <c r="GRD1599" s="55">
        <f t="shared" si="375"/>
        <v>0</v>
      </c>
      <c r="GRE1599" s="55">
        <f t="shared" si="375"/>
        <v>0</v>
      </c>
      <c r="GRF1599" s="55">
        <f t="shared" si="375"/>
        <v>0</v>
      </c>
      <c r="GRG1599" s="55">
        <f t="shared" si="375"/>
        <v>0</v>
      </c>
      <c r="GRH1599" s="55">
        <f t="shared" si="375"/>
        <v>0</v>
      </c>
      <c r="GRI1599" s="55">
        <f t="shared" si="375"/>
        <v>0</v>
      </c>
      <c r="GRJ1599" s="55">
        <f t="shared" si="375"/>
        <v>0</v>
      </c>
      <c r="GRK1599" s="55">
        <f t="shared" si="375"/>
        <v>0</v>
      </c>
      <c r="GRL1599" s="55">
        <f t="shared" si="375"/>
        <v>0</v>
      </c>
      <c r="GRM1599" s="55">
        <f t="shared" si="375"/>
        <v>0</v>
      </c>
      <c r="GRN1599" s="55">
        <f t="shared" si="375"/>
        <v>0</v>
      </c>
      <c r="GRO1599" s="55">
        <f t="shared" si="375"/>
        <v>0</v>
      </c>
      <c r="GRP1599" s="55">
        <f t="shared" si="375"/>
        <v>0</v>
      </c>
      <c r="GRQ1599" s="55">
        <f t="shared" si="375"/>
        <v>0</v>
      </c>
      <c r="GRR1599" s="55">
        <f t="shared" si="375"/>
        <v>0</v>
      </c>
      <c r="GRS1599" s="55">
        <f t="shared" si="375"/>
        <v>0</v>
      </c>
      <c r="GRT1599" s="55">
        <f t="shared" si="375"/>
        <v>0</v>
      </c>
      <c r="GRU1599" s="55">
        <f t="shared" si="375"/>
        <v>0</v>
      </c>
      <c r="GRV1599" s="55">
        <f t="shared" si="375"/>
        <v>0</v>
      </c>
      <c r="GRW1599" s="55">
        <f t="shared" si="375"/>
        <v>0</v>
      </c>
      <c r="GRX1599" s="55">
        <f t="shared" si="375"/>
        <v>0</v>
      </c>
      <c r="GRY1599" s="55">
        <f t="shared" si="375"/>
        <v>0</v>
      </c>
      <c r="GRZ1599" s="55">
        <f t="shared" si="375"/>
        <v>0</v>
      </c>
      <c r="GSA1599" s="55">
        <f t="shared" si="375"/>
        <v>0</v>
      </c>
      <c r="GSB1599" s="55">
        <f t="shared" si="375"/>
        <v>0</v>
      </c>
      <c r="GSC1599" s="55">
        <f t="shared" si="375"/>
        <v>0</v>
      </c>
      <c r="GSD1599" s="55">
        <f t="shared" si="375"/>
        <v>0</v>
      </c>
      <c r="GSE1599" s="55">
        <f t="shared" si="375"/>
        <v>0</v>
      </c>
      <c r="GSF1599" s="55">
        <f t="shared" si="375"/>
        <v>0</v>
      </c>
      <c r="GSG1599" s="55">
        <f t="shared" si="375"/>
        <v>0</v>
      </c>
      <c r="GSH1599" s="55">
        <f t="shared" si="375"/>
        <v>0</v>
      </c>
      <c r="GSI1599" s="55">
        <f t="shared" si="375"/>
        <v>0</v>
      </c>
      <c r="GSJ1599" s="55">
        <f t="shared" si="375"/>
        <v>0</v>
      </c>
      <c r="GSK1599" s="55">
        <f t="shared" si="375"/>
        <v>0</v>
      </c>
      <c r="GSL1599" s="55">
        <f t="shared" si="375"/>
        <v>0</v>
      </c>
      <c r="GSM1599" s="55">
        <f t="shared" si="375"/>
        <v>0</v>
      </c>
      <c r="GSN1599" s="55">
        <f t="shared" si="375"/>
        <v>0</v>
      </c>
      <c r="GSO1599" s="55">
        <f t="shared" si="375"/>
        <v>0</v>
      </c>
      <c r="GSP1599" s="55">
        <f t="shared" si="375"/>
        <v>0</v>
      </c>
      <c r="GSQ1599" s="55">
        <f t="shared" si="375"/>
        <v>0</v>
      </c>
      <c r="GSR1599" s="55">
        <f t="shared" si="375"/>
        <v>0</v>
      </c>
      <c r="GSS1599" s="55">
        <f t="shared" si="375"/>
        <v>0</v>
      </c>
      <c r="GST1599" s="55">
        <f t="shared" si="375"/>
        <v>0</v>
      </c>
      <c r="GSU1599" s="55">
        <f t="shared" si="375"/>
        <v>0</v>
      </c>
      <c r="GSV1599" s="55">
        <f t="shared" si="375"/>
        <v>0</v>
      </c>
      <c r="GSW1599" s="55">
        <f t="shared" si="375"/>
        <v>0</v>
      </c>
      <c r="GSX1599" s="55">
        <f t="shared" si="375"/>
        <v>0</v>
      </c>
      <c r="GSY1599" s="55">
        <f t="shared" si="375"/>
        <v>0</v>
      </c>
      <c r="GSZ1599" s="55">
        <f t="shared" si="375"/>
        <v>0</v>
      </c>
      <c r="GTA1599" s="55">
        <f t="shared" si="375"/>
        <v>0</v>
      </c>
      <c r="GTB1599" s="55">
        <f t="shared" si="375"/>
        <v>0</v>
      </c>
      <c r="GTC1599" s="55">
        <f t="shared" si="375"/>
        <v>0</v>
      </c>
      <c r="GTD1599" s="55">
        <f t="shared" si="375"/>
        <v>0</v>
      </c>
      <c r="GTE1599" s="55">
        <f t="shared" si="375"/>
        <v>0</v>
      </c>
      <c r="GTF1599" s="55">
        <f t="shared" si="375"/>
        <v>0</v>
      </c>
      <c r="GTG1599" s="55">
        <f t="shared" si="375"/>
        <v>0</v>
      </c>
      <c r="GTH1599" s="55">
        <f t="shared" ref="GTH1599:GVS1599" si="376">+(GTH1619+GTH1623)*1.18*1.1</f>
        <v>0</v>
      </c>
      <c r="GTI1599" s="55">
        <f t="shared" si="376"/>
        <v>0</v>
      </c>
      <c r="GTJ1599" s="55">
        <f t="shared" si="376"/>
        <v>0</v>
      </c>
      <c r="GTK1599" s="55">
        <f t="shared" si="376"/>
        <v>0</v>
      </c>
      <c r="GTL1599" s="55">
        <f t="shared" si="376"/>
        <v>0</v>
      </c>
      <c r="GTM1599" s="55">
        <f t="shared" si="376"/>
        <v>0</v>
      </c>
      <c r="GTN1599" s="55">
        <f t="shared" si="376"/>
        <v>0</v>
      </c>
      <c r="GTO1599" s="55">
        <f t="shared" si="376"/>
        <v>0</v>
      </c>
      <c r="GTP1599" s="55">
        <f t="shared" si="376"/>
        <v>0</v>
      </c>
      <c r="GTQ1599" s="55">
        <f t="shared" si="376"/>
        <v>0</v>
      </c>
      <c r="GTR1599" s="55">
        <f t="shared" si="376"/>
        <v>0</v>
      </c>
      <c r="GTS1599" s="55">
        <f t="shared" si="376"/>
        <v>0</v>
      </c>
      <c r="GTT1599" s="55">
        <f t="shared" si="376"/>
        <v>0</v>
      </c>
      <c r="GTU1599" s="55">
        <f t="shared" si="376"/>
        <v>0</v>
      </c>
      <c r="GTV1599" s="55">
        <f t="shared" si="376"/>
        <v>0</v>
      </c>
      <c r="GTW1599" s="55">
        <f t="shared" si="376"/>
        <v>0</v>
      </c>
      <c r="GTX1599" s="55">
        <f t="shared" si="376"/>
        <v>0</v>
      </c>
      <c r="GTY1599" s="55">
        <f t="shared" si="376"/>
        <v>0</v>
      </c>
      <c r="GTZ1599" s="55">
        <f t="shared" si="376"/>
        <v>0</v>
      </c>
      <c r="GUA1599" s="55">
        <f t="shared" si="376"/>
        <v>0</v>
      </c>
      <c r="GUB1599" s="55">
        <f t="shared" si="376"/>
        <v>0</v>
      </c>
      <c r="GUC1599" s="55">
        <f t="shared" si="376"/>
        <v>0</v>
      </c>
      <c r="GUD1599" s="55">
        <f t="shared" si="376"/>
        <v>0</v>
      </c>
      <c r="GUE1599" s="55">
        <f t="shared" si="376"/>
        <v>0</v>
      </c>
      <c r="GUF1599" s="55">
        <f t="shared" si="376"/>
        <v>0</v>
      </c>
      <c r="GUG1599" s="55">
        <f t="shared" si="376"/>
        <v>0</v>
      </c>
      <c r="GUH1599" s="55">
        <f t="shared" si="376"/>
        <v>0</v>
      </c>
      <c r="GUI1599" s="55">
        <f t="shared" si="376"/>
        <v>0</v>
      </c>
      <c r="GUJ1599" s="55">
        <f t="shared" si="376"/>
        <v>0</v>
      </c>
      <c r="GUK1599" s="55">
        <f t="shared" si="376"/>
        <v>0</v>
      </c>
      <c r="GUL1599" s="55">
        <f t="shared" si="376"/>
        <v>0</v>
      </c>
      <c r="GUM1599" s="55">
        <f t="shared" si="376"/>
        <v>0</v>
      </c>
      <c r="GUN1599" s="55">
        <f t="shared" si="376"/>
        <v>0</v>
      </c>
      <c r="GUO1599" s="55">
        <f t="shared" si="376"/>
        <v>0</v>
      </c>
      <c r="GUP1599" s="55">
        <f t="shared" si="376"/>
        <v>0</v>
      </c>
      <c r="GUQ1599" s="55">
        <f t="shared" si="376"/>
        <v>0</v>
      </c>
      <c r="GUR1599" s="55">
        <f t="shared" si="376"/>
        <v>0</v>
      </c>
      <c r="GUS1599" s="55">
        <f t="shared" si="376"/>
        <v>0</v>
      </c>
      <c r="GUT1599" s="55">
        <f t="shared" si="376"/>
        <v>0</v>
      </c>
      <c r="GUU1599" s="55">
        <f t="shared" si="376"/>
        <v>0</v>
      </c>
      <c r="GUV1599" s="55">
        <f t="shared" si="376"/>
        <v>0</v>
      </c>
      <c r="GUW1599" s="55">
        <f t="shared" si="376"/>
        <v>0</v>
      </c>
      <c r="GUX1599" s="55">
        <f t="shared" si="376"/>
        <v>0</v>
      </c>
      <c r="GUY1599" s="55">
        <f t="shared" si="376"/>
        <v>0</v>
      </c>
      <c r="GUZ1599" s="55">
        <f t="shared" si="376"/>
        <v>0</v>
      </c>
      <c r="GVA1599" s="55">
        <f t="shared" si="376"/>
        <v>0</v>
      </c>
      <c r="GVB1599" s="55">
        <f t="shared" si="376"/>
        <v>0</v>
      </c>
      <c r="GVC1599" s="55">
        <f t="shared" si="376"/>
        <v>0</v>
      </c>
      <c r="GVD1599" s="55">
        <f t="shared" si="376"/>
        <v>0</v>
      </c>
      <c r="GVE1599" s="55">
        <f t="shared" si="376"/>
        <v>0</v>
      </c>
      <c r="GVF1599" s="55">
        <f t="shared" si="376"/>
        <v>0</v>
      </c>
      <c r="GVG1599" s="55">
        <f t="shared" si="376"/>
        <v>0</v>
      </c>
      <c r="GVH1599" s="55">
        <f t="shared" si="376"/>
        <v>0</v>
      </c>
      <c r="GVI1599" s="55">
        <f t="shared" si="376"/>
        <v>0</v>
      </c>
      <c r="GVJ1599" s="55">
        <f t="shared" si="376"/>
        <v>0</v>
      </c>
      <c r="GVK1599" s="55">
        <f t="shared" si="376"/>
        <v>0</v>
      </c>
      <c r="GVL1599" s="55">
        <f t="shared" si="376"/>
        <v>0</v>
      </c>
      <c r="GVM1599" s="55">
        <f t="shared" si="376"/>
        <v>0</v>
      </c>
      <c r="GVN1599" s="55">
        <f t="shared" si="376"/>
        <v>0</v>
      </c>
      <c r="GVO1599" s="55">
        <f t="shared" si="376"/>
        <v>0</v>
      </c>
      <c r="GVP1599" s="55">
        <f t="shared" si="376"/>
        <v>0</v>
      </c>
      <c r="GVQ1599" s="55">
        <f t="shared" si="376"/>
        <v>0</v>
      </c>
      <c r="GVR1599" s="55">
        <f t="shared" si="376"/>
        <v>0</v>
      </c>
      <c r="GVS1599" s="55">
        <f t="shared" si="376"/>
        <v>0</v>
      </c>
      <c r="GVT1599" s="55">
        <f t="shared" ref="GVT1599:GYE1599" si="377">+(GVT1619+GVT1623)*1.18*1.1</f>
        <v>0</v>
      </c>
      <c r="GVU1599" s="55">
        <f t="shared" si="377"/>
        <v>0</v>
      </c>
      <c r="GVV1599" s="55">
        <f t="shared" si="377"/>
        <v>0</v>
      </c>
      <c r="GVW1599" s="55">
        <f t="shared" si="377"/>
        <v>0</v>
      </c>
      <c r="GVX1599" s="55">
        <f t="shared" si="377"/>
        <v>0</v>
      </c>
      <c r="GVY1599" s="55">
        <f t="shared" si="377"/>
        <v>0</v>
      </c>
      <c r="GVZ1599" s="55">
        <f t="shared" si="377"/>
        <v>0</v>
      </c>
      <c r="GWA1599" s="55">
        <f t="shared" si="377"/>
        <v>0</v>
      </c>
      <c r="GWB1599" s="55">
        <f t="shared" si="377"/>
        <v>0</v>
      </c>
      <c r="GWC1599" s="55">
        <f t="shared" si="377"/>
        <v>0</v>
      </c>
      <c r="GWD1599" s="55">
        <f t="shared" si="377"/>
        <v>0</v>
      </c>
      <c r="GWE1599" s="55">
        <f t="shared" si="377"/>
        <v>0</v>
      </c>
      <c r="GWF1599" s="55">
        <f t="shared" si="377"/>
        <v>0</v>
      </c>
      <c r="GWG1599" s="55">
        <f t="shared" si="377"/>
        <v>0</v>
      </c>
      <c r="GWH1599" s="55">
        <f t="shared" si="377"/>
        <v>0</v>
      </c>
      <c r="GWI1599" s="55">
        <f t="shared" si="377"/>
        <v>0</v>
      </c>
      <c r="GWJ1599" s="55">
        <f t="shared" si="377"/>
        <v>0</v>
      </c>
      <c r="GWK1599" s="55">
        <f t="shared" si="377"/>
        <v>0</v>
      </c>
      <c r="GWL1599" s="55">
        <f t="shared" si="377"/>
        <v>0</v>
      </c>
      <c r="GWM1599" s="55">
        <f t="shared" si="377"/>
        <v>0</v>
      </c>
      <c r="GWN1599" s="55">
        <f t="shared" si="377"/>
        <v>0</v>
      </c>
      <c r="GWO1599" s="55">
        <f t="shared" si="377"/>
        <v>0</v>
      </c>
      <c r="GWP1599" s="55">
        <f t="shared" si="377"/>
        <v>0</v>
      </c>
      <c r="GWQ1599" s="55">
        <f t="shared" si="377"/>
        <v>0</v>
      </c>
      <c r="GWR1599" s="55">
        <f t="shared" si="377"/>
        <v>0</v>
      </c>
      <c r="GWS1599" s="55">
        <f t="shared" si="377"/>
        <v>0</v>
      </c>
      <c r="GWT1599" s="55">
        <f t="shared" si="377"/>
        <v>0</v>
      </c>
      <c r="GWU1599" s="55">
        <f t="shared" si="377"/>
        <v>0</v>
      </c>
      <c r="GWV1599" s="55">
        <f t="shared" si="377"/>
        <v>0</v>
      </c>
      <c r="GWW1599" s="55">
        <f t="shared" si="377"/>
        <v>0</v>
      </c>
      <c r="GWX1599" s="55">
        <f t="shared" si="377"/>
        <v>0</v>
      </c>
      <c r="GWY1599" s="55">
        <f t="shared" si="377"/>
        <v>0</v>
      </c>
      <c r="GWZ1599" s="55">
        <f t="shared" si="377"/>
        <v>0</v>
      </c>
      <c r="GXA1599" s="55">
        <f t="shared" si="377"/>
        <v>0</v>
      </c>
      <c r="GXB1599" s="55">
        <f t="shared" si="377"/>
        <v>0</v>
      </c>
      <c r="GXC1599" s="55">
        <f t="shared" si="377"/>
        <v>0</v>
      </c>
      <c r="GXD1599" s="55">
        <f t="shared" si="377"/>
        <v>0</v>
      </c>
      <c r="GXE1599" s="55">
        <f t="shared" si="377"/>
        <v>0</v>
      </c>
      <c r="GXF1599" s="55">
        <f t="shared" si="377"/>
        <v>0</v>
      </c>
      <c r="GXG1599" s="55">
        <f t="shared" si="377"/>
        <v>0</v>
      </c>
      <c r="GXH1599" s="55">
        <f t="shared" si="377"/>
        <v>0</v>
      </c>
      <c r="GXI1599" s="55">
        <f t="shared" si="377"/>
        <v>0</v>
      </c>
      <c r="GXJ1599" s="55">
        <f t="shared" si="377"/>
        <v>0</v>
      </c>
      <c r="GXK1599" s="55">
        <f t="shared" si="377"/>
        <v>0</v>
      </c>
      <c r="GXL1599" s="55">
        <f t="shared" si="377"/>
        <v>0</v>
      </c>
      <c r="GXM1599" s="55">
        <f t="shared" si="377"/>
        <v>0</v>
      </c>
      <c r="GXN1599" s="55">
        <f t="shared" si="377"/>
        <v>0</v>
      </c>
      <c r="GXO1599" s="55">
        <f t="shared" si="377"/>
        <v>0</v>
      </c>
      <c r="GXP1599" s="55">
        <f t="shared" si="377"/>
        <v>0</v>
      </c>
      <c r="GXQ1599" s="55">
        <f t="shared" si="377"/>
        <v>0</v>
      </c>
      <c r="GXR1599" s="55">
        <f t="shared" si="377"/>
        <v>0</v>
      </c>
      <c r="GXS1599" s="55">
        <f t="shared" si="377"/>
        <v>0</v>
      </c>
      <c r="GXT1599" s="55">
        <f t="shared" si="377"/>
        <v>0</v>
      </c>
      <c r="GXU1599" s="55">
        <f t="shared" si="377"/>
        <v>0</v>
      </c>
      <c r="GXV1599" s="55">
        <f t="shared" si="377"/>
        <v>0</v>
      </c>
      <c r="GXW1599" s="55">
        <f t="shared" si="377"/>
        <v>0</v>
      </c>
      <c r="GXX1599" s="55">
        <f t="shared" si="377"/>
        <v>0</v>
      </c>
      <c r="GXY1599" s="55">
        <f t="shared" si="377"/>
        <v>0</v>
      </c>
      <c r="GXZ1599" s="55">
        <f t="shared" si="377"/>
        <v>0</v>
      </c>
      <c r="GYA1599" s="55">
        <f t="shared" si="377"/>
        <v>0</v>
      </c>
      <c r="GYB1599" s="55">
        <f t="shared" si="377"/>
        <v>0</v>
      </c>
      <c r="GYC1599" s="55">
        <f t="shared" si="377"/>
        <v>0</v>
      </c>
      <c r="GYD1599" s="55">
        <f t="shared" si="377"/>
        <v>0</v>
      </c>
      <c r="GYE1599" s="55">
        <f t="shared" si="377"/>
        <v>0</v>
      </c>
      <c r="GYF1599" s="55">
        <f t="shared" ref="GYF1599:HAQ1599" si="378">+(GYF1619+GYF1623)*1.18*1.1</f>
        <v>0</v>
      </c>
      <c r="GYG1599" s="55">
        <f t="shared" si="378"/>
        <v>0</v>
      </c>
      <c r="GYH1599" s="55">
        <f t="shared" si="378"/>
        <v>0</v>
      </c>
      <c r="GYI1599" s="55">
        <f t="shared" si="378"/>
        <v>0</v>
      </c>
      <c r="GYJ1599" s="55">
        <f t="shared" si="378"/>
        <v>0</v>
      </c>
      <c r="GYK1599" s="55">
        <f t="shared" si="378"/>
        <v>0</v>
      </c>
      <c r="GYL1599" s="55">
        <f t="shared" si="378"/>
        <v>0</v>
      </c>
      <c r="GYM1599" s="55">
        <f t="shared" si="378"/>
        <v>0</v>
      </c>
      <c r="GYN1599" s="55">
        <f t="shared" si="378"/>
        <v>0</v>
      </c>
      <c r="GYO1599" s="55">
        <f t="shared" si="378"/>
        <v>0</v>
      </c>
      <c r="GYP1599" s="55">
        <f t="shared" si="378"/>
        <v>0</v>
      </c>
      <c r="GYQ1599" s="55">
        <f t="shared" si="378"/>
        <v>0</v>
      </c>
      <c r="GYR1599" s="55">
        <f t="shared" si="378"/>
        <v>0</v>
      </c>
      <c r="GYS1599" s="55">
        <f t="shared" si="378"/>
        <v>0</v>
      </c>
      <c r="GYT1599" s="55">
        <f t="shared" si="378"/>
        <v>0</v>
      </c>
      <c r="GYU1599" s="55">
        <f t="shared" si="378"/>
        <v>0</v>
      </c>
      <c r="GYV1599" s="55">
        <f t="shared" si="378"/>
        <v>0</v>
      </c>
      <c r="GYW1599" s="55">
        <f t="shared" si="378"/>
        <v>0</v>
      </c>
      <c r="GYX1599" s="55">
        <f t="shared" si="378"/>
        <v>0</v>
      </c>
      <c r="GYY1599" s="55">
        <f t="shared" si="378"/>
        <v>0</v>
      </c>
      <c r="GYZ1599" s="55">
        <f t="shared" si="378"/>
        <v>0</v>
      </c>
      <c r="GZA1599" s="55">
        <f t="shared" si="378"/>
        <v>0</v>
      </c>
      <c r="GZB1599" s="55">
        <f t="shared" si="378"/>
        <v>0</v>
      </c>
      <c r="GZC1599" s="55">
        <f t="shared" si="378"/>
        <v>0</v>
      </c>
      <c r="GZD1599" s="55">
        <f t="shared" si="378"/>
        <v>0</v>
      </c>
      <c r="GZE1599" s="55">
        <f t="shared" si="378"/>
        <v>0</v>
      </c>
      <c r="GZF1599" s="55">
        <f t="shared" si="378"/>
        <v>0</v>
      </c>
      <c r="GZG1599" s="55">
        <f t="shared" si="378"/>
        <v>0</v>
      </c>
      <c r="GZH1599" s="55">
        <f t="shared" si="378"/>
        <v>0</v>
      </c>
      <c r="GZI1599" s="55">
        <f t="shared" si="378"/>
        <v>0</v>
      </c>
      <c r="GZJ1599" s="55">
        <f t="shared" si="378"/>
        <v>0</v>
      </c>
      <c r="GZK1599" s="55">
        <f t="shared" si="378"/>
        <v>0</v>
      </c>
      <c r="GZL1599" s="55">
        <f t="shared" si="378"/>
        <v>0</v>
      </c>
      <c r="GZM1599" s="55">
        <f t="shared" si="378"/>
        <v>0</v>
      </c>
      <c r="GZN1599" s="55">
        <f t="shared" si="378"/>
        <v>0</v>
      </c>
      <c r="GZO1599" s="55">
        <f t="shared" si="378"/>
        <v>0</v>
      </c>
      <c r="GZP1599" s="55">
        <f t="shared" si="378"/>
        <v>0</v>
      </c>
      <c r="GZQ1599" s="55">
        <f t="shared" si="378"/>
        <v>0</v>
      </c>
      <c r="GZR1599" s="55">
        <f t="shared" si="378"/>
        <v>0</v>
      </c>
      <c r="GZS1599" s="55">
        <f t="shared" si="378"/>
        <v>0</v>
      </c>
      <c r="GZT1599" s="55">
        <f t="shared" si="378"/>
        <v>0</v>
      </c>
      <c r="GZU1599" s="55">
        <f t="shared" si="378"/>
        <v>0</v>
      </c>
      <c r="GZV1599" s="55">
        <f t="shared" si="378"/>
        <v>0</v>
      </c>
      <c r="GZW1599" s="55">
        <f t="shared" si="378"/>
        <v>0</v>
      </c>
      <c r="GZX1599" s="55">
        <f t="shared" si="378"/>
        <v>0</v>
      </c>
      <c r="GZY1599" s="55">
        <f t="shared" si="378"/>
        <v>0</v>
      </c>
      <c r="GZZ1599" s="55">
        <f t="shared" si="378"/>
        <v>0</v>
      </c>
      <c r="HAA1599" s="55">
        <f t="shared" si="378"/>
        <v>0</v>
      </c>
      <c r="HAB1599" s="55">
        <f t="shared" si="378"/>
        <v>0</v>
      </c>
      <c r="HAC1599" s="55">
        <f t="shared" si="378"/>
        <v>0</v>
      </c>
      <c r="HAD1599" s="55">
        <f t="shared" si="378"/>
        <v>0</v>
      </c>
      <c r="HAE1599" s="55">
        <f t="shared" si="378"/>
        <v>0</v>
      </c>
      <c r="HAF1599" s="55">
        <f t="shared" si="378"/>
        <v>0</v>
      </c>
      <c r="HAG1599" s="55">
        <f t="shared" si="378"/>
        <v>0</v>
      </c>
      <c r="HAH1599" s="55">
        <f t="shared" si="378"/>
        <v>0</v>
      </c>
      <c r="HAI1599" s="55">
        <f t="shared" si="378"/>
        <v>0</v>
      </c>
      <c r="HAJ1599" s="55">
        <f t="shared" si="378"/>
        <v>0</v>
      </c>
      <c r="HAK1599" s="55">
        <f t="shared" si="378"/>
        <v>0</v>
      </c>
      <c r="HAL1599" s="55">
        <f t="shared" si="378"/>
        <v>0</v>
      </c>
      <c r="HAM1599" s="55">
        <f t="shared" si="378"/>
        <v>0</v>
      </c>
      <c r="HAN1599" s="55">
        <f t="shared" si="378"/>
        <v>0</v>
      </c>
      <c r="HAO1599" s="55">
        <f t="shared" si="378"/>
        <v>0</v>
      </c>
      <c r="HAP1599" s="55">
        <f t="shared" si="378"/>
        <v>0</v>
      </c>
      <c r="HAQ1599" s="55">
        <f t="shared" si="378"/>
        <v>0</v>
      </c>
      <c r="HAR1599" s="55">
        <f t="shared" ref="HAR1599:HDC1599" si="379">+(HAR1619+HAR1623)*1.18*1.1</f>
        <v>0</v>
      </c>
      <c r="HAS1599" s="55">
        <f t="shared" si="379"/>
        <v>0</v>
      </c>
      <c r="HAT1599" s="55">
        <f t="shared" si="379"/>
        <v>0</v>
      </c>
      <c r="HAU1599" s="55">
        <f t="shared" si="379"/>
        <v>0</v>
      </c>
      <c r="HAV1599" s="55">
        <f t="shared" si="379"/>
        <v>0</v>
      </c>
      <c r="HAW1599" s="55">
        <f t="shared" si="379"/>
        <v>0</v>
      </c>
      <c r="HAX1599" s="55">
        <f t="shared" si="379"/>
        <v>0</v>
      </c>
      <c r="HAY1599" s="55">
        <f t="shared" si="379"/>
        <v>0</v>
      </c>
      <c r="HAZ1599" s="55">
        <f t="shared" si="379"/>
        <v>0</v>
      </c>
      <c r="HBA1599" s="55">
        <f t="shared" si="379"/>
        <v>0</v>
      </c>
      <c r="HBB1599" s="55">
        <f t="shared" si="379"/>
        <v>0</v>
      </c>
      <c r="HBC1599" s="55">
        <f t="shared" si="379"/>
        <v>0</v>
      </c>
      <c r="HBD1599" s="55">
        <f t="shared" si="379"/>
        <v>0</v>
      </c>
      <c r="HBE1599" s="55">
        <f t="shared" si="379"/>
        <v>0</v>
      </c>
      <c r="HBF1599" s="55">
        <f t="shared" si="379"/>
        <v>0</v>
      </c>
      <c r="HBG1599" s="55">
        <f t="shared" si="379"/>
        <v>0</v>
      </c>
      <c r="HBH1599" s="55">
        <f t="shared" si="379"/>
        <v>0</v>
      </c>
      <c r="HBI1599" s="55">
        <f t="shared" si="379"/>
        <v>0</v>
      </c>
      <c r="HBJ1599" s="55">
        <f t="shared" si="379"/>
        <v>0</v>
      </c>
      <c r="HBK1599" s="55">
        <f t="shared" si="379"/>
        <v>0</v>
      </c>
      <c r="HBL1599" s="55">
        <f t="shared" si="379"/>
        <v>0</v>
      </c>
      <c r="HBM1599" s="55">
        <f t="shared" si="379"/>
        <v>0</v>
      </c>
      <c r="HBN1599" s="55">
        <f t="shared" si="379"/>
        <v>0</v>
      </c>
      <c r="HBO1599" s="55">
        <f t="shared" si="379"/>
        <v>0</v>
      </c>
      <c r="HBP1599" s="55">
        <f t="shared" si="379"/>
        <v>0</v>
      </c>
      <c r="HBQ1599" s="55">
        <f t="shared" si="379"/>
        <v>0</v>
      </c>
      <c r="HBR1599" s="55">
        <f t="shared" si="379"/>
        <v>0</v>
      </c>
      <c r="HBS1599" s="55">
        <f t="shared" si="379"/>
        <v>0</v>
      </c>
      <c r="HBT1599" s="55">
        <f t="shared" si="379"/>
        <v>0</v>
      </c>
      <c r="HBU1599" s="55">
        <f t="shared" si="379"/>
        <v>0</v>
      </c>
      <c r="HBV1599" s="55">
        <f t="shared" si="379"/>
        <v>0</v>
      </c>
      <c r="HBW1599" s="55">
        <f t="shared" si="379"/>
        <v>0</v>
      </c>
      <c r="HBX1599" s="55">
        <f t="shared" si="379"/>
        <v>0</v>
      </c>
      <c r="HBY1599" s="55">
        <f t="shared" si="379"/>
        <v>0</v>
      </c>
      <c r="HBZ1599" s="55">
        <f t="shared" si="379"/>
        <v>0</v>
      </c>
      <c r="HCA1599" s="55">
        <f t="shared" si="379"/>
        <v>0</v>
      </c>
      <c r="HCB1599" s="55">
        <f t="shared" si="379"/>
        <v>0</v>
      </c>
      <c r="HCC1599" s="55">
        <f t="shared" si="379"/>
        <v>0</v>
      </c>
      <c r="HCD1599" s="55">
        <f t="shared" si="379"/>
        <v>0</v>
      </c>
      <c r="HCE1599" s="55">
        <f t="shared" si="379"/>
        <v>0</v>
      </c>
      <c r="HCF1599" s="55">
        <f t="shared" si="379"/>
        <v>0</v>
      </c>
      <c r="HCG1599" s="55">
        <f t="shared" si="379"/>
        <v>0</v>
      </c>
      <c r="HCH1599" s="55">
        <f t="shared" si="379"/>
        <v>0</v>
      </c>
      <c r="HCI1599" s="55">
        <f t="shared" si="379"/>
        <v>0</v>
      </c>
      <c r="HCJ1599" s="55">
        <f t="shared" si="379"/>
        <v>0</v>
      </c>
      <c r="HCK1599" s="55">
        <f t="shared" si="379"/>
        <v>0</v>
      </c>
      <c r="HCL1599" s="55">
        <f t="shared" si="379"/>
        <v>0</v>
      </c>
      <c r="HCM1599" s="55">
        <f t="shared" si="379"/>
        <v>0</v>
      </c>
      <c r="HCN1599" s="55">
        <f t="shared" si="379"/>
        <v>0</v>
      </c>
      <c r="HCO1599" s="55">
        <f t="shared" si="379"/>
        <v>0</v>
      </c>
      <c r="HCP1599" s="55">
        <f t="shared" si="379"/>
        <v>0</v>
      </c>
      <c r="HCQ1599" s="55">
        <f t="shared" si="379"/>
        <v>0</v>
      </c>
      <c r="HCR1599" s="55">
        <f t="shared" si="379"/>
        <v>0</v>
      </c>
      <c r="HCS1599" s="55">
        <f t="shared" si="379"/>
        <v>0</v>
      </c>
      <c r="HCT1599" s="55">
        <f t="shared" si="379"/>
        <v>0</v>
      </c>
      <c r="HCU1599" s="55">
        <f t="shared" si="379"/>
        <v>0</v>
      </c>
      <c r="HCV1599" s="55">
        <f t="shared" si="379"/>
        <v>0</v>
      </c>
      <c r="HCW1599" s="55">
        <f t="shared" si="379"/>
        <v>0</v>
      </c>
      <c r="HCX1599" s="55">
        <f t="shared" si="379"/>
        <v>0</v>
      </c>
      <c r="HCY1599" s="55">
        <f t="shared" si="379"/>
        <v>0</v>
      </c>
      <c r="HCZ1599" s="55">
        <f t="shared" si="379"/>
        <v>0</v>
      </c>
      <c r="HDA1599" s="55">
        <f t="shared" si="379"/>
        <v>0</v>
      </c>
      <c r="HDB1599" s="55">
        <f t="shared" si="379"/>
        <v>0</v>
      </c>
      <c r="HDC1599" s="55">
        <f t="shared" si="379"/>
        <v>0</v>
      </c>
      <c r="HDD1599" s="55">
        <f t="shared" ref="HDD1599:HFO1599" si="380">+(HDD1619+HDD1623)*1.18*1.1</f>
        <v>0</v>
      </c>
      <c r="HDE1599" s="55">
        <f t="shared" si="380"/>
        <v>0</v>
      </c>
      <c r="HDF1599" s="55">
        <f t="shared" si="380"/>
        <v>0</v>
      </c>
      <c r="HDG1599" s="55">
        <f t="shared" si="380"/>
        <v>0</v>
      </c>
      <c r="HDH1599" s="55">
        <f t="shared" si="380"/>
        <v>0</v>
      </c>
      <c r="HDI1599" s="55">
        <f t="shared" si="380"/>
        <v>0</v>
      </c>
      <c r="HDJ1599" s="55">
        <f t="shared" si="380"/>
        <v>0</v>
      </c>
      <c r="HDK1599" s="55">
        <f t="shared" si="380"/>
        <v>0</v>
      </c>
      <c r="HDL1599" s="55">
        <f t="shared" si="380"/>
        <v>0</v>
      </c>
      <c r="HDM1599" s="55">
        <f t="shared" si="380"/>
        <v>0</v>
      </c>
      <c r="HDN1599" s="55">
        <f t="shared" si="380"/>
        <v>0</v>
      </c>
      <c r="HDO1599" s="55">
        <f t="shared" si="380"/>
        <v>0</v>
      </c>
      <c r="HDP1599" s="55">
        <f t="shared" si="380"/>
        <v>0</v>
      </c>
      <c r="HDQ1599" s="55">
        <f t="shared" si="380"/>
        <v>0</v>
      </c>
      <c r="HDR1599" s="55">
        <f t="shared" si="380"/>
        <v>0</v>
      </c>
      <c r="HDS1599" s="55">
        <f t="shared" si="380"/>
        <v>0</v>
      </c>
      <c r="HDT1599" s="55">
        <f t="shared" si="380"/>
        <v>0</v>
      </c>
      <c r="HDU1599" s="55">
        <f t="shared" si="380"/>
        <v>0</v>
      </c>
      <c r="HDV1599" s="55">
        <f t="shared" si="380"/>
        <v>0</v>
      </c>
      <c r="HDW1599" s="55">
        <f t="shared" si="380"/>
        <v>0</v>
      </c>
      <c r="HDX1599" s="55">
        <f t="shared" si="380"/>
        <v>0</v>
      </c>
      <c r="HDY1599" s="55">
        <f t="shared" si="380"/>
        <v>0</v>
      </c>
      <c r="HDZ1599" s="55">
        <f t="shared" si="380"/>
        <v>0</v>
      </c>
      <c r="HEA1599" s="55">
        <f t="shared" si="380"/>
        <v>0</v>
      </c>
      <c r="HEB1599" s="55">
        <f t="shared" si="380"/>
        <v>0</v>
      </c>
      <c r="HEC1599" s="55">
        <f t="shared" si="380"/>
        <v>0</v>
      </c>
      <c r="HED1599" s="55">
        <f t="shared" si="380"/>
        <v>0</v>
      </c>
      <c r="HEE1599" s="55">
        <f t="shared" si="380"/>
        <v>0</v>
      </c>
      <c r="HEF1599" s="55">
        <f t="shared" si="380"/>
        <v>0</v>
      </c>
      <c r="HEG1599" s="55">
        <f t="shared" si="380"/>
        <v>0</v>
      </c>
      <c r="HEH1599" s="55">
        <f t="shared" si="380"/>
        <v>0</v>
      </c>
      <c r="HEI1599" s="55">
        <f t="shared" si="380"/>
        <v>0</v>
      </c>
      <c r="HEJ1599" s="55">
        <f t="shared" si="380"/>
        <v>0</v>
      </c>
      <c r="HEK1599" s="55">
        <f t="shared" si="380"/>
        <v>0</v>
      </c>
      <c r="HEL1599" s="55">
        <f t="shared" si="380"/>
        <v>0</v>
      </c>
      <c r="HEM1599" s="55">
        <f t="shared" si="380"/>
        <v>0</v>
      </c>
      <c r="HEN1599" s="55">
        <f t="shared" si="380"/>
        <v>0</v>
      </c>
      <c r="HEO1599" s="55">
        <f t="shared" si="380"/>
        <v>0</v>
      </c>
      <c r="HEP1599" s="55">
        <f t="shared" si="380"/>
        <v>0</v>
      </c>
      <c r="HEQ1599" s="55">
        <f t="shared" si="380"/>
        <v>0</v>
      </c>
      <c r="HER1599" s="55">
        <f t="shared" si="380"/>
        <v>0</v>
      </c>
      <c r="HES1599" s="55">
        <f t="shared" si="380"/>
        <v>0</v>
      </c>
      <c r="HET1599" s="55">
        <f t="shared" si="380"/>
        <v>0</v>
      </c>
      <c r="HEU1599" s="55">
        <f t="shared" si="380"/>
        <v>0</v>
      </c>
      <c r="HEV1599" s="55">
        <f t="shared" si="380"/>
        <v>0</v>
      </c>
      <c r="HEW1599" s="55">
        <f t="shared" si="380"/>
        <v>0</v>
      </c>
      <c r="HEX1599" s="55">
        <f t="shared" si="380"/>
        <v>0</v>
      </c>
      <c r="HEY1599" s="55">
        <f t="shared" si="380"/>
        <v>0</v>
      </c>
      <c r="HEZ1599" s="55">
        <f t="shared" si="380"/>
        <v>0</v>
      </c>
      <c r="HFA1599" s="55">
        <f t="shared" si="380"/>
        <v>0</v>
      </c>
      <c r="HFB1599" s="55">
        <f t="shared" si="380"/>
        <v>0</v>
      </c>
      <c r="HFC1599" s="55">
        <f t="shared" si="380"/>
        <v>0</v>
      </c>
      <c r="HFD1599" s="55">
        <f t="shared" si="380"/>
        <v>0</v>
      </c>
      <c r="HFE1599" s="55">
        <f t="shared" si="380"/>
        <v>0</v>
      </c>
      <c r="HFF1599" s="55">
        <f t="shared" si="380"/>
        <v>0</v>
      </c>
      <c r="HFG1599" s="55">
        <f t="shared" si="380"/>
        <v>0</v>
      </c>
      <c r="HFH1599" s="55">
        <f t="shared" si="380"/>
        <v>0</v>
      </c>
      <c r="HFI1599" s="55">
        <f t="shared" si="380"/>
        <v>0</v>
      </c>
      <c r="HFJ1599" s="55">
        <f t="shared" si="380"/>
        <v>0</v>
      </c>
      <c r="HFK1599" s="55">
        <f t="shared" si="380"/>
        <v>0</v>
      </c>
      <c r="HFL1599" s="55">
        <f t="shared" si="380"/>
        <v>0</v>
      </c>
      <c r="HFM1599" s="55">
        <f t="shared" si="380"/>
        <v>0</v>
      </c>
      <c r="HFN1599" s="55">
        <f t="shared" si="380"/>
        <v>0</v>
      </c>
      <c r="HFO1599" s="55">
        <f t="shared" si="380"/>
        <v>0</v>
      </c>
      <c r="HFP1599" s="55">
        <f t="shared" ref="HFP1599:HIA1599" si="381">+(HFP1619+HFP1623)*1.18*1.1</f>
        <v>0</v>
      </c>
      <c r="HFQ1599" s="55">
        <f t="shared" si="381"/>
        <v>0</v>
      </c>
      <c r="HFR1599" s="55">
        <f t="shared" si="381"/>
        <v>0</v>
      </c>
      <c r="HFS1599" s="55">
        <f t="shared" si="381"/>
        <v>0</v>
      </c>
      <c r="HFT1599" s="55">
        <f t="shared" si="381"/>
        <v>0</v>
      </c>
      <c r="HFU1599" s="55">
        <f t="shared" si="381"/>
        <v>0</v>
      </c>
      <c r="HFV1599" s="55">
        <f t="shared" si="381"/>
        <v>0</v>
      </c>
      <c r="HFW1599" s="55">
        <f t="shared" si="381"/>
        <v>0</v>
      </c>
      <c r="HFX1599" s="55">
        <f t="shared" si="381"/>
        <v>0</v>
      </c>
      <c r="HFY1599" s="55">
        <f t="shared" si="381"/>
        <v>0</v>
      </c>
      <c r="HFZ1599" s="55">
        <f t="shared" si="381"/>
        <v>0</v>
      </c>
      <c r="HGA1599" s="55">
        <f t="shared" si="381"/>
        <v>0</v>
      </c>
      <c r="HGB1599" s="55">
        <f t="shared" si="381"/>
        <v>0</v>
      </c>
      <c r="HGC1599" s="55">
        <f t="shared" si="381"/>
        <v>0</v>
      </c>
      <c r="HGD1599" s="55">
        <f t="shared" si="381"/>
        <v>0</v>
      </c>
      <c r="HGE1599" s="55">
        <f t="shared" si="381"/>
        <v>0</v>
      </c>
      <c r="HGF1599" s="55">
        <f t="shared" si="381"/>
        <v>0</v>
      </c>
      <c r="HGG1599" s="55">
        <f t="shared" si="381"/>
        <v>0</v>
      </c>
      <c r="HGH1599" s="55">
        <f t="shared" si="381"/>
        <v>0</v>
      </c>
      <c r="HGI1599" s="55">
        <f t="shared" si="381"/>
        <v>0</v>
      </c>
      <c r="HGJ1599" s="55">
        <f t="shared" si="381"/>
        <v>0</v>
      </c>
      <c r="HGK1599" s="55">
        <f t="shared" si="381"/>
        <v>0</v>
      </c>
      <c r="HGL1599" s="55">
        <f t="shared" si="381"/>
        <v>0</v>
      </c>
      <c r="HGM1599" s="55">
        <f t="shared" si="381"/>
        <v>0</v>
      </c>
      <c r="HGN1599" s="55">
        <f t="shared" si="381"/>
        <v>0</v>
      </c>
      <c r="HGO1599" s="55">
        <f t="shared" si="381"/>
        <v>0</v>
      </c>
      <c r="HGP1599" s="55">
        <f t="shared" si="381"/>
        <v>0</v>
      </c>
      <c r="HGQ1599" s="55">
        <f t="shared" si="381"/>
        <v>0</v>
      </c>
      <c r="HGR1599" s="55">
        <f t="shared" si="381"/>
        <v>0</v>
      </c>
      <c r="HGS1599" s="55">
        <f t="shared" si="381"/>
        <v>0</v>
      </c>
      <c r="HGT1599" s="55">
        <f t="shared" si="381"/>
        <v>0</v>
      </c>
      <c r="HGU1599" s="55">
        <f t="shared" si="381"/>
        <v>0</v>
      </c>
      <c r="HGV1599" s="55">
        <f t="shared" si="381"/>
        <v>0</v>
      </c>
      <c r="HGW1599" s="55">
        <f t="shared" si="381"/>
        <v>0</v>
      </c>
      <c r="HGX1599" s="55">
        <f t="shared" si="381"/>
        <v>0</v>
      </c>
      <c r="HGY1599" s="55">
        <f t="shared" si="381"/>
        <v>0</v>
      </c>
      <c r="HGZ1599" s="55">
        <f t="shared" si="381"/>
        <v>0</v>
      </c>
      <c r="HHA1599" s="55">
        <f t="shared" si="381"/>
        <v>0</v>
      </c>
      <c r="HHB1599" s="55">
        <f t="shared" si="381"/>
        <v>0</v>
      </c>
      <c r="HHC1599" s="55">
        <f t="shared" si="381"/>
        <v>0</v>
      </c>
      <c r="HHD1599" s="55">
        <f t="shared" si="381"/>
        <v>0</v>
      </c>
      <c r="HHE1599" s="55">
        <f t="shared" si="381"/>
        <v>0</v>
      </c>
      <c r="HHF1599" s="55">
        <f t="shared" si="381"/>
        <v>0</v>
      </c>
      <c r="HHG1599" s="55">
        <f t="shared" si="381"/>
        <v>0</v>
      </c>
      <c r="HHH1599" s="55">
        <f t="shared" si="381"/>
        <v>0</v>
      </c>
      <c r="HHI1599" s="55">
        <f t="shared" si="381"/>
        <v>0</v>
      </c>
      <c r="HHJ1599" s="55">
        <f t="shared" si="381"/>
        <v>0</v>
      </c>
      <c r="HHK1599" s="55">
        <f t="shared" si="381"/>
        <v>0</v>
      </c>
      <c r="HHL1599" s="55">
        <f t="shared" si="381"/>
        <v>0</v>
      </c>
      <c r="HHM1599" s="55">
        <f t="shared" si="381"/>
        <v>0</v>
      </c>
      <c r="HHN1599" s="55">
        <f t="shared" si="381"/>
        <v>0</v>
      </c>
      <c r="HHO1599" s="55">
        <f t="shared" si="381"/>
        <v>0</v>
      </c>
      <c r="HHP1599" s="55">
        <f t="shared" si="381"/>
        <v>0</v>
      </c>
      <c r="HHQ1599" s="55">
        <f t="shared" si="381"/>
        <v>0</v>
      </c>
      <c r="HHR1599" s="55">
        <f t="shared" si="381"/>
        <v>0</v>
      </c>
      <c r="HHS1599" s="55">
        <f t="shared" si="381"/>
        <v>0</v>
      </c>
      <c r="HHT1599" s="55">
        <f t="shared" si="381"/>
        <v>0</v>
      </c>
      <c r="HHU1599" s="55">
        <f t="shared" si="381"/>
        <v>0</v>
      </c>
      <c r="HHV1599" s="55">
        <f t="shared" si="381"/>
        <v>0</v>
      </c>
      <c r="HHW1599" s="55">
        <f t="shared" si="381"/>
        <v>0</v>
      </c>
      <c r="HHX1599" s="55">
        <f t="shared" si="381"/>
        <v>0</v>
      </c>
      <c r="HHY1599" s="55">
        <f t="shared" si="381"/>
        <v>0</v>
      </c>
      <c r="HHZ1599" s="55">
        <f t="shared" si="381"/>
        <v>0</v>
      </c>
      <c r="HIA1599" s="55">
        <f t="shared" si="381"/>
        <v>0</v>
      </c>
      <c r="HIB1599" s="55">
        <f t="shared" ref="HIB1599:HKM1599" si="382">+(HIB1619+HIB1623)*1.18*1.1</f>
        <v>0</v>
      </c>
      <c r="HIC1599" s="55">
        <f t="shared" si="382"/>
        <v>0</v>
      </c>
      <c r="HID1599" s="55">
        <f t="shared" si="382"/>
        <v>0</v>
      </c>
      <c r="HIE1599" s="55">
        <f t="shared" si="382"/>
        <v>0</v>
      </c>
      <c r="HIF1599" s="55">
        <f t="shared" si="382"/>
        <v>0</v>
      </c>
      <c r="HIG1599" s="55">
        <f t="shared" si="382"/>
        <v>0</v>
      </c>
      <c r="HIH1599" s="55">
        <f t="shared" si="382"/>
        <v>0</v>
      </c>
      <c r="HII1599" s="55">
        <f t="shared" si="382"/>
        <v>0</v>
      </c>
      <c r="HIJ1599" s="55">
        <f t="shared" si="382"/>
        <v>0</v>
      </c>
      <c r="HIK1599" s="55">
        <f t="shared" si="382"/>
        <v>0</v>
      </c>
      <c r="HIL1599" s="55">
        <f t="shared" si="382"/>
        <v>0</v>
      </c>
      <c r="HIM1599" s="55">
        <f t="shared" si="382"/>
        <v>0</v>
      </c>
      <c r="HIN1599" s="55">
        <f t="shared" si="382"/>
        <v>0</v>
      </c>
      <c r="HIO1599" s="55">
        <f t="shared" si="382"/>
        <v>0</v>
      </c>
      <c r="HIP1599" s="55">
        <f t="shared" si="382"/>
        <v>0</v>
      </c>
      <c r="HIQ1599" s="55">
        <f t="shared" si="382"/>
        <v>0</v>
      </c>
      <c r="HIR1599" s="55">
        <f t="shared" si="382"/>
        <v>0</v>
      </c>
      <c r="HIS1599" s="55">
        <f t="shared" si="382"/>
        <v>0</v>
      </c>
      <c r="HIT1599" s="55">
        <f t="shared" si="382"/>
        <v>0</v>
      </c>
      <c r="HIU1599" s="55">
        <f t="shared" si="382"/>
        <v>0</v>
      </c>
      <c r="HIV1599" s="55">
        <f t="shared" si="382"/>
        <v>0</v>
      </c>
      <c r="HIW1599" s="55">
        <f t="shared" si="382"/>
        <v>0</v>
      </c>
      <c r="HIX1599" s="55">
        <f t="shared" si="382"/>
        <v>0</v>
      </c>
      <c r="HIY1599" s="55">
        <f t="shared" si="382"/>
        <v>0</v>
      </c>
      <c r="HIZ1599" s="55">
        <f t="shared" si="382"/>
        <v>0</v>
      </c>
      <c r="HJA1599" s="55">
        <f t="shared" si="382"/>
        <v>0</v>
      </c>
      <c r="HJB1599" s="55">
        <f t="shared" si="382"/>
        <v>0</v>
      </c>
      <c r="HJC1599" s="55">
        <f t="shared" si="382"/>
        <v>0</v>
      </c>
      <c r="HJD1599" s="55">
        <f t="shared" si="382"/>
        <v>0</v>
      </c>
      <c r="HJE1599" s="55">
        <f t="shared" si="382"/>
        <v>0</v>
      </c>
      <c r="HJF1599" s="55">
        <f t="shared" si="382"/>
        <v>0</v>
      </c>
      <c r="HJG1599" s="55">
        <f t="shared" si="382"/>
        <v>0</v>
      </c>
      <c r="HJH1599" s="55">
        <f t="shared" si="382"/>
        <v>0</v>
      </c>
      <c r="HJI1599" s="55">
        <f t="shared" si="382"/>
        <v>0</v>
      </c>
      <c r="HJJ1599" s="55">
        <f t="shared" si="382"/>
        <v>0</v>
      </c>
      <c r="HJK1599" s="55">
        <f t="shared" si="382"/>
        <v>0</v>
      </c>
      <c r="HJL1599" s="55">
        <f t="shared" si="382"/>
        <v>0</v>
      </c>
      <c r="HJM1599" s="55">
        <f t="shared" si="382"/>
        <v>0</v>
      </c>
      <c r="HJN1599" s="55">
        <f t="shared" si="382"/>
        <v>0</v>
      </c>
      <c r="HJO1599" s="55">
        <f t="shared" si="382"/>
        <v>0</v>
      </c>
      <c r="HJP1599" s="55">
        <f t="shared" si="382"/>
        <v>0</v>
      </c>
      <c r="HJQ1599" s="55">
        <f t="shared" si="382"/>
        <v>0</v>
      </c>
      <c r="HJR1599" s="55">
        <f t="shared" si="382"/>
        <v>0</v>
      </c>
      <c r="HJS1599" s="55">
        <f t="shared" si="382"/>
        <v>0</v>
      </c>
      <c r="HJT1599" s="55">
        <f t="shared" si="382"/>
        <v>0</v>
      </c>
      <c r="HJU1599" s="55">
        <f t="shared" si="382"/>
        <v>0</v>
      </c>
      <c r="HJV1599" s="55">
        <f t="shared" si="382"/>
        <v>0</v>
      </c>
      <c r="HJW1599" s="55">
        <f t="shared" si="382"/>
        <v>0</v>
      </c>
      <c r="HJX1599" s="55">
        <f t="shared" si="382"/>
        <v>0</v>
      </c>
      <c r="HJY1599" s="55">
        <f t="shared" si="382"/>
        <v>0</v>
      </c>
      <c r="HJZ1599" s="55">
        <f t="shared" si="382"/>
        <v>0</v>
      </c>
      <c r="HKA1599" s="55">
        <f t="shared" si="382"/>
        <v>0</v>
      </c>
      <c r="HKB1599" s="55">
        <f t="shared" si="382"/>
        <v>0</v>
      </c>
      <c r="HKC1599" s="55">
        <f t="shared" si="382"/>
        <v>0</v>
      </c>
      <c r="HKD1599" s="55">
        <f t="shared" si="382"/>
        <v>0</v>
      </c>
      <c r="HKE1599" s="55">
        <f t="shared" si="382"/>
        <v>0</v>
      </c>
      <c r="HKF1599" s="55">
        <f t="shared" si="382"/>
        <v>0</v>
      </c>
      <c r="HKG1599" s="55">
        <f t="shared" si="382"/>
        <v>0</v>
      </c>
      <c r="HKH1599" s="55">
        <f t="shared" si="382"/>
        <v>0</v>
      </c>
      <c r="HKI1599" s="55">
        <f t="shared" si="382"/>
        <v>0</v>
      </c>
      <c r="HKJ1599" s="55">
        <f t="shared" si="382"/>
        <v>0</v>
      </c>
      <c r="HKK1599" s="55">
        <f t="shared" si="382"/>
        <v>0</v>
      </c>
      <c r="HKL1599" s="55">
        <f t="shared" si="382"/>
        <v>0</v>
      </c>
      <c r="HKM1599" s="55">
        <f t="shared" si="382"/>
        <v>0</v>
      </c>
      <c r="HKN1599" s="55">
        <f t="shared" ref="HKN1599:HMY1599" si="383">+(HKN1619+HKN1623)*1.18*1.1</f>
        <v>0</v>
      </c>
      <c r="HKO1599" s="55">
        <f t="shared" si="383"/>
        <v>0</v>
      </c>
      <c r="HKP1599" s="55">
        <f t="shared" si="383"/>
        <v>0</v>
      </c>
      <c r="HKQ1599" s="55">
        <f t="shared" si="383"/>
        <v>0</v>
      </c>
      <c r="HKR1599" s="55">
        <f t="shared" si="383"/>
        <v>0</v>
      </c>
      <c r="HKS1599" s="55">
        <f t="shared" si="383"/>
        <v>0</v>
      </c>
      <c r="HKT1599" s="55">
        <f t="shared" si="383"/>
        <v>0</v>
      </c>
      <c r="HKU1599" s="55">
        <f t="shared" si="383"/>
        <v>0</v>
      </c>
      <c r="HKV1599" s="55">
        <f t="shared" si="383"/>
        <v>0</v>
      </c>
      <c r="HKW1599" s="55">
        <f t="shared" si="383"/>
        <v>0</v>
      </c>
      <c r="HKX1599" s="55">
        <f t="shared" si="383"/>
        <v>0</v>
      </c>
      <c r="HKY1599" s="55">
        <f t="shared" si="383"/>
        <v>0</v>
      </c>
      <c r="HKZ1599" s="55">
        <f t="shared" si="383"/>
        <v>0</v>
      </c>
      <c r="HLA1599" s="55">
        <f t="shared" si="383"/>
        <v>0</v>
      </c>
      <c r="HLB1599" s="55">
        <f t="shared" si="383"/>
        <v>0</v>
      </c>
      <c r="HLC1599" s="55">
        <f t="shared" si="383"/>
        <v>0</v>
      </c>
      <c r="HLD1599" s="55">
        <f t="shared" si="383"/>
        <v>0</v>
      </c>
      <c r="HLE1599" s="55">
        <f t="shared" si="383"/>
        <v>0</v>
      </c>
      <c r="HLF1599" s="55">
        <f t="shared" si="383"/>
        <v>0</v>
      </c>
      <c r="HLG1599" s="55">
        <f t="shared" si="383"/>
        <v>0</v>
      </c>
      <c r="HLH1599" s="55">
        <f t="shared" si="383"/>
        <v>0</v>
      </c>
      <c r="HLI1599" s="55">
        <f t="shared" si="383"/>
        <v>0</v>
      </c>
      <c r="HLJ1599" s="55">
        <f t="shared" si="383"/>
        <v>0</v>
      </c>
      <c r="HLK1599" s="55">
        <f t="shared" si="383"/>
        <v>0</v>
      </c>
      <c r="HLL1599" s="55">
        <f t="shared" si="383"/>
        <v>0</v>
      </c>
      <c r="HLM1599" s="55">
        <f t="shared" si="383"/>
        <v>0</v>
      </c>
      <c r="HLN1599" s="55">
        <f t="shared" si="383"/>
        <v>0</v>
      </c>
      <c r="HLO1599" s="55">
        <f t="shared" si="383"/>
        <v>0</v>
      </c>
      <c r="HLP1599" s="55">
        <f t="shared" si="383"/>
        <v>0</v>
      </c>
      <c r="HLQ1599" s="55">
        <f t="shared" si="383"/>
        <v>0</v>
      </c>
      <c r="HLR1599" s="55">
        <f t="shared" si="383"/>
        <v>0</v>
      </c>
      <c r="HLS1599" s="55">
        <f t="shared" si="383"/>
        <v>0</v>
      </c>
      <c r="HLT1599" s="55">
        <f t="shared" si="383"/>
        <v>0</v>
      </c>
      <c r="HLU1599" s="55">
        <f t="shared" si="383"/>
        <v>0</v>
      </c>
      <c r="HLV1599" s="55">
        <f t="shared" si="383"/>
        <v>0</v>
      </c>
      <c r="HLW1599" s="55">
        <f t="shared" si="383"/>
        <v>0</v>
      </c>
      <c r="HLX1599" s="55">
        <f t="shared" si="383"/>
        <v>0</v>
      </c>
      <c r="HLY1599" s="55">
        <f t="shared" si="383"/>
        <v>0</v>
      </c>
      <c r="HLZ1599" s="55">
        <f t="shared" si="383"/>
        <v>0</v>
      </c>
      <c r="HMA1599" s="55">
        <f t="shared" si="383"/>
        <v>0</v>
      </c>
      <c r="HMB1599" s="55">
        <f t="shared" si="383"/>
        <v>0</v>
      </c>
      <c r="HMC1599" s="55">
        <f t="shared" si="383"/>
        <v>0</v>
      </c>
      <c r="HMD1599" s="55">
        <f t="shared" si="383"/>
        <v>0</v>
      </c>
      <c r="HME1599" s="55">
        <f t="shared" si="383"/>
        <v>0</v>
      </c>
      <c r="HMF1599" s="55">
        <f t="shared" si="383"/>
        <v>0</v>
      </c>
      <c r="HMG1599" s="55">
        <f t="shared" si="383"/>
        <v>0</v>
      </c>
      <c r="HMH1599" s="55">
        <f t="shared" si="383"/>
        <v>0</v>
      </c>
      <c r="HMI1599" s="55">
        <f t="shared" si="383"/>
        <v>0</v>
      </c>
      <c r="HMJ1599" s="55">
        <f t="shared" si="383"/>
        <v>0</v>
      </c>
      <c r="HMK1599" s="55">
        <f t="shared" si="383"/>
        <v>0</v>
      </c>
      <c r="HML1599" s="55">
        <f t="shared" si="383"/>
        <v>0</v>
      </c>
      <c r="HMM1599" s="55">
        <f t="shared" si="383"/>
        <v>0</v>
      </c>
      <c r="HMN1599" s="55">
        <f t="shared" si="383"/>
        <v>0</v>
      </c>
      <c r="HMO1599" s="55">
        <f t="shared" si="383"/>
        <v>0</v>
      </c>
      <c r="HMP1599" s="55">
        <f t="shared" si="383"/>
        <v>0</v>
      </c>
      <c r="HMQ1599" s="55">
        <f t="shared" si="383"/>
        <v>0</v>
      </c>
      <c r="HMR1599" s="55">
        <f t="shared" si="383"/>
        <v>0</v>
      </c>
      <c r="HMS1599" s="55">
        <f t="shared" si="383"/>
        <v>0</v>
      </c>
      <c r="HMT1599" s="55">
        <f t="shared" si="383"/>
        <v>0</v>
      </c>
      <c r="HMU1599" s="55">
        <f t="shared" si="383"/>
        <v>0</v>
      </c>
      <c r="HMV1599" s="55">
        <f t="shared" si="383"/>
        <v>0</v>
      </c>
      <c r="HMW1599" s="55">
        <f t="shared" si="383"/>
        <v>0</v>
      </c>
      <c r="HMX1599" s="55">
        <f t="shared" si="383"/>
        <v>0</v>
      </c>
      <c r="HMY1599" s="55">
        <f t="shared" si="383"/>
        <v>0</v>
      </c>
      <c r="HMZ1599" s="55">
        <f t="shared" ref="HMZ1599:HPK1599" si="384">+(HMZ1619+HMZ1623)*1.18*1.1</f>
        <v>0</v>
      </c>
      <c r="HNA1599" s="55">
        <f t="shared" si="384"/>
        <v>0</v>
      </c>
      <c r="HNB1599" s="55">
        <f t="shared" si="384"/>
        <v>0</v>
      </c>
      <c r="HNC1599" s="55">
        <f t="shared" si="384"/>
        <v>0</v>
      </c>
      <c r="HND1599" s="55">
        <f t="shared" si="384"/>
        <v>0</v>
      </c>
      <c r="HNE1599" s="55">
        <f t="shared" si="384"/>
        <v>0</v>
      </c>
      <c r="HNF1599" s="55">
        <f t="shared" si="384"/>
        <v>0</v>
      </c>
      <c r="HNG1599" s="55">
        <f t="shared" si="384"/>
        <v>0</v>
      </c>
      <c r="HNH1599" s="55">
        <f t="shared" si="384"/>
        <v>0</v>
      </c>
      <c r="HNI1599" s="55">
        <f t="shared" si="384"/>
        <v>0</v>
      </c>
      <c r="HNJ1599" s="55">
        <f t="shared" si="384"/>
        <v>0</v>
      </c>
      <c r="HNK1599" s="55">
        <f t="shared" si="384"/>
        <v>0</v>
      </c>
      <c r="HNL1599" s="55">
        <f t="shared" si="384"/>
        <v>0</v>
      </c>
      <c r="HNM1599" s="55">
        <f t="shared" si="384"/>
        <v>0</v>
      </c>
      <c r="HNN1599" s="55">
        <f t="shared" si="384"/>
        <v>0</v>
      </c>
      <c r="HNO1599" s="55">
        <f t="shared" si="384"/>
        <v>0</v>
      </c>
      <c r="HNP1599" s="55">
        <f t="shared" si="384"/>
        <v>0</v>
      </c>
      <c r="HNQ1599" s="55">
        <f t="shared" si="384"/>
        <v>0</v>
      </c>
      <c r="HNR1599" s="55">
        <f t="shared" si="384"/>
        <v>0</v>
      </c>
      <c r="HNS1599" s="55">
        <f t="shared" si="384"/>
        <v>0</v>
      </c>
      <c r="HNT1599" s="55">
        <f t="shared" si="384"/>
        <v>0</v>
      </c>
      <c r="HNU1599" s="55">
        <f t="shared" si="384"/>
        <v>0</v>
      </c>
      <c r="HNV1599" s="55">
        <f t="shared" si="384"/>
        <v>0</v>
      </c>
      <c r="HNW1599" s="55">
        <f t="shared" si="384"/>
        <v>0</v>
      </c>
      <c r="HNX1599" s="55">
        <f t="shared" si="384"/>
        <v>0</v>
      </c>
      <c r="HNY1599" s="55">
        <f t="shared" si="384"/>
        <v>0</v>
      </c>
      <c r="HNZ1599" s="55">
        <f t="shared" si="384"/>
        <v>0</v>
      </c>
      <c r="HOA1599" s="55">
        <f t="shared" si="384"/>
        <v>0</v>
      </c>
      <c r="HOB1599" s="55">
        <f t="shared" si="384"/>
        <v>0</v>
      </c>
      <c r="HOC1599" s="55">
        <f t="shared" si="384"/>
        <v>0</v>
      </c>
      <c r="HOD1599" s="55">
        <f t="shared" si="384"/>
        <v>0</v>
      </c>
      <c r="HOE1599" s="55">
        <f t="shared" si="384"/>
        <v>0</v>
      </c>
      <c r="HOF1599" s="55">
        <f t="shared" si="384"/>
        <v>0</v>
      </c>
      <c r="HOG1599" s="55">
        <f t="shared" si="384"/>
        <v>0</v>
      </c>
      <c r="HOH1599" s="55">
        <f t="shared" si="384"/>
        <v>0</v>
      </c>
      <c r="HOI1599" s="55">
        <f t="shared" si="384"/>
        <v>0</v>
      </c>
      <c r="HOJ1599" s="55">
        <f t="shared" si="384"/>
        <v>0</v>
      </c>
      <c r="HOK1599" s="55">
        <f t="shared" si="384"/>
        <v>0</v>
      </c>
      <c r="HOL1599" s="55">
        <f t="shared" si="384"/>
        <v>0</v>
      </c>
      <c r="HOM1599" s="55">
        <f t="shared" si="384"/>
        <v>0</v>
      </c>
      <c r="HON1599" s="55">
        <f t="shared" si="384"/>
        <v>0</v>
      </c>
      <c r="HOO1599" s="55">
        <f t="shared" si="384"/>
        <v>0</v>
      </c>
      <c r="HOP1599" s="55">
        <f t="shared" si="384"/>
        <v>0</v>
      </c>
      <c r="HOQ1599" s="55">
        <f t="shared" si="384"/>
        <v>0</v>
      </c>
      <c r="HOR1599" s="55">
        <f t="shared" si="384"/>
        <v>0</v>
      </c>
      <c r="HOS1599" s="55">
        <f t="shared" si="384"/>
        <v>0</v>
      </c>
      <c r="HOT1599" s="55">
        <f t="shared" si="384"/>
        <v>0</v>
      </c>
      <c r="HOU1599" s="55">
        <f t="shared" si="384"/>
        <v>0</v>
      </c>
      <c r="HOV1599" s="55">
        <f t="shared" si="384"/>
        <v>0</v>
      </c>
      <c r="HOW1599" s="55">
        <f t="shared" si="384"/>
        <v>0</v>
      </c>
      <c r="HOX1599" s="55">
        <f t="shared" si="384"/>
        <v>0</v>
      </c>
      <c r="HOY1599" s="55">
        <f t="shared" si="384"/>
        <v>0</v>
      </c>
      <c r="HOZ1599" s="55">
        <f t="shared" si="384"/>
        <v>0</v>
      </c>
      <c r="HPA1599" s="55">
        <f t="shared" si="384"/>
        <v>0</v>
      </c>
      <c r="HPB1599" s="55">
        <f t="shared" si="384"/>
        <v>0</v>
      </c>
      <c r="HPC1599" s="55">
        <f t="shared" si="384"/>
        <v>0</v>
      </c>
      <c r="HPD1599" s="55">
        <f t="shared" si="384"/>
        <v>0</v>
      </c>
      <c r="HPE1599" s="55">
        <f t="shared" si="384"/>
        <v>0</v>
      </c>
      <c r="HPF1599" s="55">
        <f t="shared" si="384"/>
        <v>0</v>
      </c>
      <c r="HPG1599" s="55">
        <f t="shared" si="384"/>
        <v>0</v>
      </c>
      <c r="HPH1599" s="55">
        <f t="shared" si="384"/>
        <v>0</v>
      </c>
      <c r="HPI1599" s="55">
        <f t="shared" si="384"/>
        <v>0</v>
      </c>
      <c r="HPJ1599" s="55">
        <f t="shared" si="384"/>
        <v>0</v>
      </c>
      <c r="HPK1599" s="55">
        <f t="shared" si="384"/>
        <v>0</v>
      </c>
      <c r="HPL1599" s="55">
        <f t="shared" ref="HPL1599:HRW1599" si="385">+(HPL1619+HPL1623)*1.18*1.1</f>
        <v>0</v>
      </c>
      <c r="HPM1599" s="55">
        <f t="shared" si="385"/>
        <v>0</v>
      </c>
      <c r="HPN1599" s="55">
        <f t="shared" si="385"/>
        <v>0</v>
      </c>
      <c r="HPO1599" s="55">
        <f t="shared" si="385"/>
        <v>0</v>
      </c>
      <c r="HPP1599" s="55">
        <f t="shared" si="385"/>
        <v>0</v>
      </c>
      <c r="HPQ1599" s="55">
        <f t="shared" si="385"/>
        <v>0</v>
      </c>
      <c r="HPR1599" s="55">
        <f t="shared" si="385"/>
        <v>0</v>
      </c>
      <c r="HPS1599" s="55">
        <f t="shared" si="385"/>
        <v>0</v>
      </c>
      <c r="HPT1599" s="55">
        <f t="shared" si="385"/>
        <v>0</v>
      </c>
      <c r="HPU1599" s="55">
        <f t="shared" si="385"/>
        <v>0</v>
      </c>
      <c r="HPV1599" s="55">
        <f t="shared" si="385"/>
        <v>0</v>
      </c>
      <c r="HPW1599" s="55">
        <f t="shared" si="385"/>
        <v>0</v>
      </c>
      <c r="HPX1599" s="55">
        <f t="shared" si="385"/>
        <v>0</v>
      </c>
      <c r="HPY1599" s="55">
        <f t="shared" si="385"/>
        <v>0</v>
      </c>
      <c r="HPZ1599" s="55">
        <f t="shared" si="385"/>
        <v>0</v>
      </c>
      <c r="HQA1599" s="55">
        <f t="shared" si="385"/>
        <v>0</v>
      </c>
      <c r="HQB1599" s="55">
        <f t="shared" si="385"/>
        <v>0</v>
      </c>
      <c r="HQC1599" s="55">
        <f t="shared" si="385"/>
        <v>0</v>
      </c>
      <c r="HQD1599" s="55">
        <f t="shared" si="385"/>
        <v>0</v>
      </c>
      <c r="HQE1599" s="55">
        <f t="shared" si="385"/>
        <v>0</v>
      </c>
      <c r="HQF1599" s="55">
        <f t="shared" si="385"/>
        <v>0</v>
      </c>
      <c r="HQG1599" s="55">
        <f t="shared" si="385"/>
        <v>0</v>
      </c>
      <c r="HQH1599" s="55">
        <f t="shared" si="385"/>
        <v>0</v>
      </c>
      <c r="HQI1599" s="55">
        <f t="shared" si="385"/>
        <v>0</v>
      </c>
      <c r="HQJ1599" s="55">
        <f t="shared" si="385"/>
        <v>0</v>
      </c>
      <c r="HQK1599" s="55">
        <f t="shared" si="385"/>
        <v>0</v>
      </c>
      <c r="HQL1599" s="55">
        <f t="shared" si="385"/>
        <v>0</v>
      </c>
      <c r="HQM1599" s="55">
        <f t="shared" si="385"/>
        <v>0</v>
      </c>
      <c r="HQN1599" s="55">
        <f t="shared" si="385"/>
        <v>0</v>
      </c>
      <c r="HQO1599" s="55">
        <f t="shared" si="385"/>
        <v>0</v>
      </c>
      <c r="HQP1599" s="55">
        <f t="shared" si="385"/>
        <v>0</v>
      </c>
      <c r="HQQ1599" s="55">
        <f t="shared" si="385"/>
        <v>0</v>
      </c>
      <c r="HQR1599" s="55">
        <f t="shared" si="385"/>
        <v>0</v>
      </c>
      <c r="HQS1599" s="55">
        <f t="shared" si="385"/>
        <v>0</v>
      </c>
      <c r="HQT1599" s="55">
        <f t="shared" si="385"/>
        <v>0</v>
      </c>
      <c r="HQU1599" s="55">
        <f t="shared" si="385"/>
        <v>0</v>
      </c>
      <c r="HQV1599" s="55">
        <f t="shared" si="385"/>
        <v>0</v>
      </c>
      <c r="HQW1599" s="55">
        <f t="shared" si="385"/>
        <v>0</v>
      </c>
      <c r="HQX1599" s="55">
        <f t="shared" si="385"/>
        <v>0</v>
      </c>
      <c r="HQY1599" s="55">
        <f t="shared" si="385"/>
        <v>0</v>
      </c>
      <c r="HQZ1599" s="55">
        <f t="shared" si="385"/>
        <v>0</v>
      </c>
      <c r="HRA1599" s="55">
        <f t="shared" si="385"/>
        <v>0</v>
      </c>
      <c r="HRB1599" s="55">
        <f t="shared" si="385"/>
        <v>0</v>
      </c>
      <c r="HRC1599" s="55">
        <f t="shared" si="385"/>
        <v>0</v>
      </c>
      <c r="HRD1599" s="55">
        <f t="shared" si="385"/>
        <v>0</v>
      </c>
      <c r="HRE1599" s="55">
        <f t="shared" si="385"/>
        <v>0</v>
      </c>
      <c r="HRF1599" s="55">
        <f t="shared" si="385"/>
        <v>0</v>
      </c>
      <c r="HRG1599" s="55">
        <f t="shared" si="385"/>
        <v>0</v>
      </c>
      <c r="HRH1599" s="55">
        <f t="shared" si="385"/>
        <v>0</v>
      </c>
      <c r="HRI1599" s="55">
        <f t="shared" si="385"/>
        <v>0</v>
      </c>
      <c r="HRJ1599" s="55">
        <f t="shared" si="385"/>
        <v>0</v>
      </c>
      <c r="HRK1599" s="55">
        <f t="shared" si="385"/>
        <v>0</v>
      </c>
      <c r="HRL1599" s="55">
        <f t="shared" si="385"/>
        <v>0</v>
      </c>
      <c r="HRM1599" s="55">
        <f t="shared" si="385"/>
        <v>0</v>
      </c>
      <c r="HRN1599" s="55">
        <f t="shared" si="385"/>
        <v>0</v>
      </c>
      <c r="HRO1599" s="55">
        <f t="shared" si="385"/>
        <v>0</v>
      </c>
      <c r="HRP1599" s="55">
        <f t="shared" si="385"/>
        <v>0</v>
      </c>
      <c r="HRQ1599" s="55">
        <f t="shared" si="385"/>
        <v>0</v>
      </c>
      <c r="HRR1599" s="55">
        <f t="shared" si="385"/>
        <v>0</v>
      </c>
      <c r="HRS1599" s="55">
        <f t="shared" si="385"/>
        <v>0</v>
      </c>
      <c r="HRT1599" s="55">
        <f t="shared" si="385"/>
        <v>0</v>
      </c>
      <c r="HRU1599" s="55">
        <f t="shared" si="385"/>
        <v>0</v>
      </c>
      <c r="HRV1599" s="55">
        <f t="shared" si="385"/>
        <v>0</v>
      </c>
      <c r="HRW1599" s="55">
        <f t="shared" si="385"/>
        <v>0</v>
      </c>
      <c r="HRX1599" s="55">
        <f t="shared" ref="HRX1599:HUI1599" si="386">+(HRX1619+HRX1623)*1.18*1.1</f>
        <v>0</v>
      </c>
      <c r="HRY1599" s="55">
        <f t="shared" si="386"/>
        <v>0</v>
      </c>
      <c r="HRZ1599" s="55">
        <f t="shared" si="386"/>
        <v>0</v>
      </c>
      <c r="HSA1599" s="55">
        <f t="shared" si="386"/>
        <v>0</v>
      </c>
      <c r="HSB1599" s="55">
        <f t="shared" si="386"/>
        <v>0</v>
      </c>
      <c r="HSC1599" s="55">
        <f t="shared" si="386"/>
        <v>0</v>
      </c>
      <c r="HSD1599" s="55">
        <f t="shared" si="386"/>
        <v>0</v>
      </c>
      <c r="HSE1599" s="55">
        <f t="shared" si="386"/>
        <v>0</v>
      </c>
      <c r="HSF1599" s="55">
        <f t="shared" si="386"/>
        <v>0</v>
      </c>
      <c r="HSG1599" s="55">
        <f t="shared" si="386"/>
        <v>0</v>
      </c>
      <c r="HSH1599" s="55">
        <f t="shared" si="386"/>
        <v>0</v>
      </c>
      <c r="HSI1599" s="55">
        <f t="shared" si="386"/>
        <v>0</v>
      </c>
      <c r="HSJ1599" s="55">
        <f t="shared" si="386"/>
        <v>0</v>
      </c>
      <c r="HSK1599" s="55">
        <f t="shared" si="386"/>
        <v>0</v>
      </c>
      <c r="HSL1599" s="55">
        <f t="shared" si="386"/>
        <v>0</v>
      </c>
      <c r="HSM1599" s="55">
        <f t="shared" si="386"/>
        <v>0</v>
      </c>
      <c r="HSN1599" s="55">
        <f t="shared" si="386"/>
        <v>0</v>
      </c>
      <c r="HSO1599" s="55">
        <f t="shared" si="386"/>
        <v>0</v>
      </c>
      <c r="HSP1599" s="55">
        <f t="shared" si="386"/>
        <v>0</v>
      </c>
      <c r="HSQ1599" s="55">
        <f t="shared" si="386"/>
        <v>0</v>
      </c>
      <c r="HSR1599" s="55">
        <f t="shared" si="386"/>
        <v>0</v>
      </c>
      <c r="HSS1599" s="55">
        <f t="shared" si="386"/>
        <v>0</v>
      </c>
      <c r="HST1599" s="55">
        <f t="shared" si="386"/>
        <v>0</v>
      </c>
      <c r="HSU1599" s="55">
        <f t="shared" si="386"/>
        <v>0</v>
      </c>
      <c r="HSV1599" s="55">
        <f t="shared" si="386"/>
        <v>0</v>
      </c>
      <c r="HSW1599" s="55">
        <f t="shared" si="386"/>
        <v>0</v>
      </c>
      <c r="HSX1599" s="55">
        <f t="shared" si="386"/>
        <v>0</v>
      </c>
      <c r="HSY1599" s="55">
        <f t="shared" si="386"/>
        <v>0</v>
      </c>
      <c r="HSZ1599" s="55">
        <f t="shared" si="386"/>
        <v>0</v>
      </c>
      <c r="HTA1599" s="55">
        <f t="shared" si="386"/>
        <v>0</v>
      </c>
      <c r="HTB1599" s="55">
        <f t="shared" si="386"/>
        <v>0</v>
      </c>
      <c r="HTC1599" s="55">
        <f t="shared" si="386"/>
        <v>0</v>
      </c>
      <c r="HTD1599" s="55">
        <f t="shared" si="386"/>
        <v>0</v>
      </c>
      <c r="HTE1599" s="55">
        <f t="shared" si="386"/>
        <v>0</v>
      </c>
      <c r="HTF1599" s="55">
        <f t="shared" si="386"/>
        <v>0</v>
      </c>
      <c r="HTG1599" s="55">
        <f t="shared" si="386"/>
        <v>0</v>
      </c>
      <c r="HTH1599" s="55">
        <f t="shared" si="386"/>
        <v>0</v>
      </c>
      <c r="HTI1599" s="55">
        <f t="shared" si="386"/>
        <v>0</v>
      </c>
      <c r="HTJ1599" s="55">
        <f t="shared" si="386"/>
        <v>0</v>
      </c>
      <c r="HTK1599" s="55">
        <f t="shared" si="386"/>
        <v>0</v>
      </c>
      <c r="HTL1599" s="55">
        <f t="shared" si="386"/>
        <v>0</v>
      </c>
      <c r="HTM1599" s="55">
        <f t="shared" si="386"/>
        <v>0</v>
      </c>
      <c r="HTN1599" s="55">
        <f t="shared" si="386"/>
        <v>0</v>
      </c>
      <c r="HTO1599" s="55">
        <f t="shared" si="386"/>
        <v>0</v>
      </c>
      <c r="HTP1599" s="55">
        <f t="shared" si="386"/>
        <v>0</v>
      </c>
      <c r="HTQ1599" s="55">
        <f t="shared" si="386"/>
        <v>0</v>
      </c>
      <c r="HTR1599" s="55">
        <f t="shared" si="386"/>
        <v>0</v>
      </c>
      <c r="HTS1599" s="55">
        <f t="shared" si="386"/>
        <v>0</v>
      </c>
      <c r="HTT1599" s="55">
        <f t="shared" si="386"/>
        <v>0</v>
      </c>
      <c r="HTU1599" s="55">
        <f t="shared" si="386"/>
        <v>0</v>
      </c>
      <c r="HTV1599" s="55">
        <f t="shared" si="386"/>
        <v>0</v>
      </c>
      <c r="HTW1599" s="55">
        <f t="shared" si="386"/>
        <v>0</v>
      </c>
      <c r="HTX1599" s="55">
        <f t="shared" si="386"/>
        <v>0</v>
      </c>
      <c r="HTY1599" s="55">
        <f t="shared" si="386"/>
        <v>0</v>
      </c>
      <c r="HTZ1599" s="55">
        <f t="shared" si="386"/>
        <v>0</v>
      </c>
      <c r="HUA1599" s="55">
        <f t="shared" si="386"/>
        <v>0</v>
      </c>
      <c r="HUB1599" s="55">
        <f t="shared" si="386"/>
        <v>0</v>
      </c>
      <c r="HUC1599" s="55">
        <f t="shared" si="386"/>
        <v>0</v>
      </c>
      <c r="HUD1599" s="55">
        <f t="shared" si="386"/>
        <v>0</v>
      </c>
      <c r="HUE1599" s="55">
        <f t="shared" si="386"/>
        <v>0</v>
      </c>
      <c r="HUF1599" s="55">
        <f t="shared" si="386"/>
        <v>0</v>
      </c>
      <c r="HUG1599" s="55">
        <f t="shared" si="386"/>
        <v>0</v>
      </c>
      <c r="HUH1599" s="55">
        <f t="shared" si="386"/>
        <v>0</v>
      </c>
      <c r="HUI1599" s="55">
        <f t="shared" si="386"/>
        <v>0</v>
      </c>
      <c r="HUJ1599" s="55">
        <f t="shared" ref="HUJ1599:HWU1599" si="387">+(HUJ1619+HUJ1623)*1.18*1.1</f>
        <v>0</v>
      </c>
      <c r="HUK1599" s="55">
        <f t="shared" si="387"/>
        <v>0</v>
      </c>
      <c r="HUL1599" s="55">
        <f t="shared" si="387"/>
        <v>0</v>
      </c>
      <c r="HUM1599" s="55">
        <f t="shared" si="387"/>
        <v>0</v>
      </c>
      <c r="HUN1599" s="55">
        <f t="shared" si="387"/>
        <v>0</v>
      </c>
      <c r="HUO1599" s="55">
        <f t="shared" si="387"/>
        <v>0</v>
      </c>
      <c r="HUP1599" s="55">
        <f t="shared" si="387"/>
        <v>0</v>
      </c>
      <c r="HUQ1599" s="55">
        <f t="shared" si="387"/>
        <v>0</v>
      </c>
      <c r="HUR1599" s="55">
        <f t="shared" si="387"/>
        <v>0</v>
      </c>
      <c r="HUS1599" s="55">
        <f t="shared" si="387"/>
        <v>0</v>
      </c>
      <c r="HUT1599" s="55">
        <f t="shared" si="387"/>
        <v>0</v>
      </c>
      <c r="HUU1599" s="55">
        <f t="shared" si="387"/>
        <v>0</v>
      </c>
      <c r="HUV1599" s="55">
        <f t="shared" si="387"/>
        <v>0</v>
      </c>
      <c r="HUW1599" s="55">
        <f t="shared" si="387"/>
        <v>0</v>
      </c>
      <c r="HUX1599" s="55">
        <f t="shared" si="387"/>
        <v>0</v>
      </c>
      <c r="HUY1599" s="55">
        <f t="shared" si="387"/>
        <v>0</v>
      </c>
      <c r="HUZ1599" s="55">
        <f t="shared" si="387"/>
        <v>0</v>
      </c>
      <c r="HVA1599" s="55">
        <f t="shared" si="387"/>
        <v>0</v>
      </c>
      <c r="HVB1599" s="55">
        <f t="shared" si="387"/>
        <v>0</v>
      </c>
      <c r="HVC1599" s="55">
        <f t="shared" si="387"/>
        <v>0</v>
      </c>
      <c r="HVD1599" s="55">
        <f t="shared" si="387"/>
        <v>0</v>
      </c>
      <c r="HVE1599" s="55">
        <f t="shared" si="387"/>
        <v>0</v>
      </c>
      <c r="HVF1599" s="55">
        <f t="shared" si="387"/>
        <v>0</v>
      </c>
      <c r="HVG1599" s="55">
        <f t="shared" si="387"/>
        <v>0</v>
      </c>
      <c r="HVH1599" s="55">
        <f t="shared" si="387"/>
        <v>0</v>
      </c>
      <c r="HVI1599" s="55">
        <f t="shared" si="387"/>
        <v>0</v>
      </c>
      <c r="HVJ1599" s="55">
        <f t="shared" si="387"/>
        <v>0</v>
      </c>
      <c r="HVK1599" s="55">
        <f t="shared" si="387"/>
        <v>0</v>
      </c>
      <c r="HVL1599" s="55">
        <f t="shared" si="387"/>
        <v>0</v>
      </c>
      <c r="HVM1599" s="55">
        <f t="shared" si="387"/>
        <v>0</v>
      </c>
      <c r="HVN1599" s="55">
        <f t="shared" si="387"/>
        <v>0</v>
      </c>
      <c r="HVO1599" s="55">
        <f t="shared" si="387"/>
        <v>0</v>
      </c>
      <c r="HVP1599" s="55">
        <f t="shared" si="387"/>
        <v>0</v>
      </c>
      <c r="HVQ1599" s="55">
        <f t="shared" si="387"/>
        <v>0</v>
      </c>
      <c r="HVR1599" s="55">
        <f t="shared" si="387"/>
        <v>0</v>
      </c>
      <c r="HVS1599" s="55">
        <f t="shared" si="387"/>
        <v>0</v>
      </c>
      <c r="HVT1599" s="55">
        <f t="shared" si="387"/>
        <v>0</v>
      </c>
      <c r="HVU1599" s="55">
        <f t="shared" si="387"/>
        <v>0</v>
      </c>
      <c r="HVV1599" s="55">
        <f t="shared" si="387"/>
        <v>0</v>
      </c>
      <c r="HVW1599" s="55">
        <f t="shared" si="387"/>
        <v>0</v>
      </c>
      <c r="HVX1599" s="55">
        <f t="shared" si="387"/>
        <v>0</v>
      </c>
      <c r="HVY1599" s="55">
        <f t="shared" si="387"/>
        <v>0</v>
      </c>
      <c r="HVZ1599" s="55">
        <f t="shared" si="387"/>
        <v>0</v>
      </c>
      <c r="HWA1599" s="55">
        <f t="shared" si="387"/>
        <v>0</v>
      </c>
      <c r="HWB1599" s="55">
        <f t="shared" si="387"/>
        <v>0</v>
      </c>
      <c r="HWC1599" s="55">
        <f t="shared" si="387"/>
        <v>0</v>
      </c>
      <c r="HWD1599" s="55">
        <f t="shared" si="387"/>
        <v>0</v>
      </c>
      <c r="HWE1599" s="55">
        <f t="shared" si="387"/>
        <v>0</v>
      </c>
      <c r="HWF1599" s="55">
        <f t="shared" si="387"/>
        <v>0</v>
      </c>
      <c r="HWG1599" s="55">
        <f t="shared" si="387"/>
        <v>0</v>
      </c>
      <c r="HWH1599" s="55">
        <f t="shared" si="387"/>
        <v>0</v>
      </c>
      <c r="HWI1599" s="55">
        <f t="shared" si="387"/>
        <v>0</v>
      </c>
      <c r="HWJ1599" s="55">
        <f t="shared" si="387"/>
        <v>0</v>
      </c>
      <c r="HWK1599" s="55">
        <f t="shared" si="387"/>
        <v>0</v>
      </c>
      <c r="HWL1599" s="55">
        <f t="shared" si="387"/>
        <v>0</v>
      </c>
      <c r="HWM1599" s="55">
        <f t="shared" si="387"/>
        <v>0</v>
      </c>
      <c r="HWN1599" s="55">
        <f t="shared" si="387"/>
        <v>0</v>
      </c>
      <c r="HWO1599" s="55">
        <f t="shared" si="387"/>
        <v>0</v>
      </c>
      <c r="HWP1599" s="55">
        <f t="shared" si="387"/>
        <v>0</v>
      </c>
      <c r="HWQ1599" s="55">
        <f t="shared" si="387"/>
        <v>0</v>
      </c>
      <c r="HWR1599" s="55">
        <f t="shared" si="387"/>
        <v>0</v>
      </c>
      <c r="HWS1599" s="55">
        <f t="shared" si="387"/>
        <v>0</v>
      </c>
      <c r="HWT1599" s="55">
        <f t="shared" si="387"/>
        <v>0</v>
      </c>
      <c r="HWU1599" s="55">
        <f t="shared" si="387"/>
        <v>0</v>
      </c>
      <c r="HWV1599" s="55">
        <f t="shared" ref="HWV1599:HZG1599" si="388">+(HWV1619+HWV1623)*1.18*1.1</f>
        <v>0</v>
      </c>
      <c r="HWW1599" s="55">
        <f t="shared" si="388"/>
        <v>0</v>
      </c>
      <c r="HWX1599" s="55">
        <f t="shared" si="388"/>
        <v>0</v>
      </c>
      <c r="HWY1599" s="55">
        <f t="shared" si="388"/>
        <v>0</v>
      </c>
      <c r="HWZ1599" s="55">
        <f t="shared" si="388"/>
        <v>0</v>
      </c>
      <c r="HXA1599" s="55">
        <f t="shared" si="388"/>
        <v>0</v>
      </c>
      <c r="HXB1599" s="55">
        <f t="shared" si="388"/>
        <v>0</v>
      </c>
      <c r="HXC1599" s="55">
        <f t="shared" si="388"/>
        <v>0</v>
      </c>
      <c r="HXD1599" s="55">
        <f t="shared" si="388"/>
        <v>0</v>
      </c>
      <c r="HXE1599" s="55">
        <f t="shared" si="388"/>
        <v>0</v>
      </c>
      <c r="HXF1599" s="55">
        <f t="shared" si="388"/>
        <v>0</v>
      </c>
      <c r="HXG1599" s="55">
        <f t="shared" si="388"/>
        <v>0</v>
      </c>
      <c r="HXH1599" s="55">
        <f t="shared" si="388"/>
        <v>0</v>
      </c>
      <c r="HXI1599" s="55">
        <f t="shared" si="388"/>
        <v>0</v>
      </c>
      <c r="HXJ1599" s="55">
        <f t="shared" si="388"/>
        <v>0</v>
      </c>
      <c r="HXK1599" s="55">
        <f t="shared" si="388"/>
        <v>0</v>
      </c>
      <c r="HXL1599" s="55">
        <f t="shared" si="388"/>
        <v>0</v>
      </c>
      <c r="HXM1599" s="55">
        <f t="shared" si="388"/>
        <v>0</v>
      </c>
      <c r="HXN1599" s="55">
        <f t="shared" si="388"/>
        <v>0</v>
      </c>
      <c r="HXO1599" s="55">
        <f t="shared" si="388"/>
        <v>0</v>
      </c>
      <c r="HXP1599" s="55">
        <f t="shared" si="388"/>
        <v>0</v>
      </c>
      <c r="HXQ1599" s="55">
        <f t="shared" si="388"/>
        <v>0</v>
      </c>
      <c r="HXR1599" s="55">
        <f t="shared" si="388"/>
        <v>0</v>
      </c>
      <c r="HXS1599" s="55">
        <f t="shared" si="388"/>
        <v>0</v>
      </c>
      <c r="HXT1599" s="55">
        <f t="shared" si="388"/>
        <v>0</v>
      </c>
      <c r="HXU1599" s="55">
        <f t="shared" si="388"/>
        <v>0</v>
      </c>
      <c r="HXV1599" s="55">
        <f t="shared" si="388"/>
        <v>0</v>
      </c>
      <c r="HXW1599" s="55">
        <f t="shared" si="388"/>
        <v>0</v>
      </c>
      <c r="HXX1599" s="55">
        <f t="shared" si="388"/>
        <v>0</v>
      </c>
      <c r="HXY1599" s="55">
        <f t="shared" si="388"/>
        <v>0</v>
      </c>
      <c r="HXZ1599" s="55">
        <f t="shared" si="388"/>
        <v>0</v>
      </c>
      <c r="HYA1599" s="55">
        <f t="shared" si="388"/>
        <v>0</v>
      </c>
      <c r="HYB1599" s="55">
        <f t="shared" si="388"/>
        <v>0</v>
      </c>
      <c r="HYC1599" s="55">
        <f t="shared" si="388"/>
        <v>0</v>
      </c>
      <c r="HYD1599" s="55">
        <f t="shared" si="388"/>
        <v>0</v>
      </c>
      <c r="HYE1599" s="55">
        <f t="shared" si="388"/>
        <v>0</v>
      </c>
      <c r="HYF1599" s="55">
        <f t="shared" si="388"/>
        <v>0</v>
      </c>
      <c r="HYG1599" s="55">
        <f t="shared" si="388"/>
        <v>0</v>
      </c>
      <c r="HYH1599" s="55">
        <f t="shared" si="388"/>
        <v>0</v>
      </c>
      <c r="HYI1599" s="55">
        <f t="shared" si="388"/>
        <v>0</v>
      </c>
      <c r="HYJ1599" s="55">
        <f t="shared" si="388"/>
        <v>0</v>
      </c>
      <c r="HYK1599" s="55">
        <f t="shared" si="388"/>
        <v>0</v>
      </c>
      <c r="HYL1599" s="55">
        <f t="shared" si="388"/>
        <v>0</v>
      </c>
      <c r="HYM1599" s="55">
        <f t="shared" si="388"/>
        <v>0</v>
      </c>
      <c r="HYN1599" s="55">
        <f t="shared" si="388"/>
        <v>0</v>
      </c>
      <c r="HYO1599" s="55">
        <f t="shared" si="388"/>
        <v>0</v>
      </c>
      <c r="HYP1599" s="55">
        <f t="shared" si="388"/>
        <v>0</v>
      </c>
      <c r="HYQ1599" s="55">
        <f t="shared" si="388"/>
        <v>0</v>
      </c>
      <c r="HYR1599" s="55">
        <f t="shared" si="388"/>
        <v>0</v>
      </c>
      <c r="HYS1599" s="55">
        <f t="shared" si="388"/>
        <v>0</v>
      </c>
      <c r="HYT1599" s="55">
        <f t="shared" si="388"/>
        <v>0</v>
      </c>
      <c r="HYU1599" s="55">
        <f t="shared" si="388"/>
        <v>0</v>
      </c>
      <c r="HYV1599" s="55">
        <f t="shared" si="388"/>
        <v>0</v>
      </c>
      <c r="HYW1599" s="55">
        <f t="shared" si="388"/>
        <v>0</v>
      </c>
      <c r="HYX1599" s="55">
        <f t="shared" si="388"/>
        <v>0</v>
      </c>
      <c r="HYY1599" s="55">
        <f t="shared" si="388"/>
        <v>0</v>
      </c>
      <c r="HYZ1599" s="55">
        <f t="shared" si="388"/>
        <v>0</v>
      </c>
      <c r="HZA1599" s="55">
        <f t="shared" si="388"/>
        <v>0</v>
      </c>
      <c r="HZB1599" s="55">
        <f t="shared" si="388"/>
        <v>0</v>
      </c>
      <c r="HZC1599" s="55">
        <f t="shared" si="388"/>
        <v>0</v>
      </c>
      <c r="HZD1599" s="55">
        <f t="shared" si="388"/>
        <v>0</v>
      </c>
      <c r="HZE1599" s="55">
        <f t="shared" si="388"/>
        <v>0</v>
      </c>
      <c r="HZF1599" s="55">
        <f t="shared" si="388"/>
        <v>0</v>
      </c>
      <c r="HZG1599" s="55">
        <f t="shared" si="388"/>
        <v>0</v>
      </c>
      <c r="HZH1599" s="55">
        <f t="shared" ref="HZH1599:IBS1599" si="389">+(HZH1619+HZH1623)*1.18*1.1</f>
        <v>0</v>
      </c>
      <c r="HZI1599" s="55">
        <f t="shared" si="389"/>
        <v>0</v>
      </c>
      <c r="HZJ1599" s="55">
        <f t="shared" si="389"/>
        <v>0</v>
      </c>
      <c r="HZK1599" s="55">
        <f t="shared" si="389"/>
        <v>0</v>
      </c>
      <c r="HZL1599" s="55">
        <f t="shared" si="389"/>
        <v>0</v>
      </c>
      <c r="HZM1599" s="55">
        <f t="shared" si="389"/>
        <v>0</v>
      </c>
      <c r="HZN1599" s="55">
        <f t="shared" si="389"/>
        <v>0</v>
      </c>
      <c r="HZO1599" s="55">
        <f t="shared" si="389"/>
        <v>0</v>
      </c>
      <c r="HZP1599" s="55">
        <f t="shared" si="389"/>
        <v>0</v>
      </c>
      <c r="HZQ1599" s="55">
        <f t="shared" si="389"/>
        <v>0</v>
      </c>
      <c r="HZR1599" s="55">
        <f t="shared" si="389"/>
        <v>0</v>
      </c>
      <c r="HZS1599" s="55">
        <f t="shared" si="389"/>
        <v>0</v>
      </c>
      <c r="HZT1599" s="55">
        <f t="shared" si="389"/>
        <v>0</v>
      </c>
      <c r="HZU1599" s="55">
        <f t="shared" si="389"/>
        <v>0</v>
      </c>
      <c r="HZV1599" s="55">
        <f t="shared" si="389"/>
        <v>0</v>
      </c>
      <c r="HZW1599" s="55">
        <f t="shared" si="389"/>
        <v>0</v>
      </c>
      <c r="HZX1599" s="55">
        <f t="shared" si="389"/>
        <v>0</v>
      </c>
      <c r="HZY1599" s="55">
        <f t="shared" si="389"/>
        <v>0</v>
      </c>
      <c r="HZZ1599" s="55">
        <f t="shared" si="389"/>
        <v>0</v>
      </c>
      <c r="IAA1599" s="55">
        <f t="shared" si="389"/>
        <v>0</v>
      </c>
      <c r="IAB1599" s="55">
        <f t="shared" si="389"/>
        <v>0</v>
      </c>
      <c r="IAC1599" s="55">
        <f t="shared" si="389"/>
        <v>0</v>
      </c>
      <c r="IAD1599" s="55">
        <f t="shared" si="389"/>
        <v>0</v>
      </c>
      <c r="IAE1599" s="55">
        <f t="shared" si="389"/>
        <v>0</v>
      </c>
      <c r="IAF1599" s="55">
        <f t="shared" si="389"/>
        <v>0</v>
      </c>
      <c r="IAG1599" s="55">
        <f t="shared" si="389"/>
        <v>0</v>
      </c>
      <c r="IAH1599" s="55">
        <f t="shared" si="389"/>
        <v>0</v>
      </c>
      <c r="IAI1599" s="55">
        <f t="shared" si="389"/>
        <v>0</v>
      </c>
      <c r="IAJ1599" s="55">
        <f t="shared" si="389"/>
        <v>0</v>
      </c>
      <c r="IAK1599" s="55">
        <f t="shared" si="389"/>
        <v>0</v>
      </c>
      <c r="IAL1599" s="55">
        <f t="shared" si="389"/>
        <v>0</v>
      </c>
      <c r="IAM1599" s="55">
        <f t="shared" si="389"/>
        <v>0</v>
      </c>
      <c r="IAN1599" s="55">
        <f t="shared" si="389"/>
        <v>0</v>
      </c>
      <c r="IAO1599" s="55">
        <f t="shared" si="389"/>
        <v>0</v>
      </c>
      <c r="IAP1599" s="55">
        <f t="shared" si="389"/>
        <v>0</v>
      </c>
      <c r="IAQ1599" s="55">
        <f t="shared" si="389"/>
        <v>0</v>
      </c>
      <c r="IAR1599" s="55">
        <f t="shared" si="389"/>
        <v>0</v>
      </c>
      <c r="IAS1599" s="55">
        <f t="shared" si="389"/>
        <v>0</v>
      </c>
      <c r="IAT1599" s="55">
        <f t="shared" si="389"/>
        <v>0</v>
      </c>
      <c r="IAU1599" s="55">
        <f t="shared" si="389"/>
        <v>0</v>
      </c>
      <c r="IAV1599" s="55">
        <f t="shared" si="389"/>
        <v>0</v>
      </c>
      <c r="IAW1599" s="55">
        <f t="shared" si="389"/>
        <v>0</v>
      </c>
      <c r="IAX1599" s="55">
        <f t="shared" si="389"/>
        <v>0</v>
      </c>
      <c r="IAY1599" s="55">
        <f t="shared" si="389"/>
        <v>0</v>
      </c>
      <c r="IAZ1599" s="55">
        <f t="shared" si="389"/>
        <v>0</v>
      </c>
      <c r="IBA1599" s="55">
        <f t="shared" si="389"/>
        <v>0</v>
      </c>
      <c r="IBB1599" s="55">
        <f t="shared" si="389"/>
        <v>0</v>
      </c>
      <c r="IBC1599" s="55">
        <f t="shared" si="389"/>
        <v>0</v>
      </c>
      <c r="IBD1599" s="55">
        <f t="shared" si="389"/>
        <v>0</v>
      </c>
      <c r="IBE1599" s="55">
        <f t="shared" si="389"/>
        <v>0</v>
      </c>
      <c r="IBF1599" s="55">
        <f t="shared" si="389"/>
        <v>0</v>
      </c>
      <c r="IBG1599" s="55">
        <f t="shared" si="389"/>
        <v>0</v>
      </c>
      <c r="IBH1599" s="55">
        <f t="shared" si="389"/>
        <v>0</v>
      </c>
      <c r="IBI1599" s="55">
        <f t="shared" si="389"/>
        <v>0</v>
      </c>
      <c r="IBJ1599" s="55">
        <f t="shared" si="389"/>
        <v>0</v>
      </c>
      <c r="IBK1599" s="55">
        <f t="shared" si="389"/>
        <v>0</v>
      </c>
      <c r="IBL1599" s="55">
        <f t="shared" si="389"/>
        <v>0</v>
      </c>
      <c r="IBM1599" s="55">
        <f t="shared" si="389"/>
        <v>0</v>
      </c>
      <c r="IBN1599" s="55">
        <f t="shared" si="389"/>
        <v>0</v>
      </c>
      <c r="IBO1599" s="55">
        <f t="shared" si="389"/>
        <v>0</v>
      </c>
      <c r="IBP1599" s="55">
        <f t="shared" si="389"/>
        <v>0</v>
      </c>
      <c r="IBQ1599" s="55">
        <f t="shared" si="389"/>
        <v>0</v>
      </c>
      <c r="IBR1599" s="55">
        <f t="shared" si="389"/>
        <v>0</v>
      </c>
      <c r="IBS1599" s="55">
        <f t="shared" si="389"/>
        <v>0</v>
      </c>
      <c r="IBT1599" s="55">
        <f t="shared" ref="IBT1599:IEE1599" si="390">+(IBT1619+IBT1623)*1.18*1.1</f>
        <v>0</v>
      </c>
      <c r="IBU1599" s="55">
        <f t="shared" si="390"/>
        <v>0</v>
      </c>
      <c r="IBV1599" s="55">
        <f t="shared" si="390"/>
        <v>0</v>
      </c>
      <c r="IBW1599" s="55">
        <f t="shared" si="390"/>
        <v>0</v>
      </c>
      <c r="IBX1599" s="55">
        <f t="shared" si="390"/>
        <v>0</v>
      </c>
      <c r="IBY1599" s="55">
        <f t="shared" si="390"/>
        <v>0</v>
      </c>
      <c r="IBZ1599" s="55">
        <f t="shared" si="390"/>
        <v>0</v>
      </c>
      <c r="ICA1599" s="55">
        <f t="shared" si="390"/>
        <v>0</v>
      </c>
      <c r="ICB1599" s="55">
        <f t="shared" si="390"/>
        <v>0</v>
      </c>
      <c r="ICC1599" s="55">
        <f t="shared" si="390"/>
        <v>0</v>
      </c>
      <c r="ICD1599" s="55">
        <f t="shared" si="390"/>
        <v>0</v>
      </c>
      <c r="ICE1599" s="55">
        <f t="shared" si="390"/>
        <v>0</v>
      </c>
      <c r="ICF1599" s="55">
        <f t="shared" si="390"/>
        <v>0</v>
      </c>
      <c r="ICG1599" s="55">
        <f t="shared" si="390"/>
        <v>0</v>
      </c>
      <c r="ICH1599" s="55">
        <f t="shared" si="390"/>
        <v>0</v>
      </c>
      <c r="ICI1599" s="55">
        <f t="shared" si="390"/>
        <v>0</v>
      </c>
      <c r="ICJ1599" s="55">
        <f t="shared" si="390"/>
        <v>0</v>
      </c>
      <c r="ICK1599" s="55">
        <f t="shared" si="390"/>
        <v>0</v>
      </c>
      <c r="ICL1599" s="55">
        <f t="shared" si="390"/>
        <v>0</v>
      </c>
      <c r="ICM1599" s="55">
        <f t="shared" si="390"/>
        <v>0</v>
      </c>
      <c r="ICN1599" s="55">
        <f t="shared" si="390"/>
        <v>0</v>
      </c>
      <c r="ICO1599" s="55">
        <f t="shared" si="390"/>
        <v>0</v>
      </c>
      <c r="ICP1599" s="55">
        <f t="shared" si="390"/>
        <v>0</v>
      </c>
      <c r="ICQ1599" s="55">
        <f t="shared" si="390"/>
        <v>0</v>
      </c>
      <c r="ICR1599" s="55">
        <f t="shared" si="390"/>
        <v>0</v>
      </c>
      <c r="ICS1599" s="55">
        <f t="shared" si="390"/>
        <v>0</v>
      </c>
      <c r="ICT1599" s="55">
        <f t="shared" si="390"/>
        <v>0</v>
      </c>
      <c r="ICU1599" s="55">
        <f t="shared" si="390"/>
        <v>0</v>
      </c>
      <c r="ICV1599" s="55">
        <f t="shared" si="390"/>
        <v>0</v>
      </c>
      <c r="ICW1599" s="55">
        <f t="shared" si="390"/>
        <v>0</v>
      </c>
      <c r="ICX1599" s="55">
        <f t="shared" si="390"/>
        <v>0</v>
      </c>
      <c r="ICY1599" s="55">
        <f t="shared" si="390"/>
        <v>0</v>
      </c>
      <c r="ICZ1599" s="55">
        <f t="shared" si="390"/>
        <v>0</v>
      </c>
      <c r="IDA1599" s="55">
        <f t="shared" si="390"/>
        <v>0</v>
      </c>
      <c r="IDB1599" s="55">
        <f t="shared" si="390"/>
        <v>0</v>
      </c>
      <c r="IDC1599" s="55">
        <f t="shared" si="390"/>
        <v>0</v>
      </c>
      <c r="IDD1599" s="55">
        <f t="shared" si="390"/>
        <v>0</v>
      </c>
      <c r="IDE1599" s="55">
        <f t="shared" si="390"/>
        <v>0</v>
      </c>
      <c r="IDF1599" s="55">
        <f t="shared" si="390"/>
        <v>0</v>
      </c>
      <c r="IDG1599" s="55">
        <f t="shared" si="390"/>
        <v>0</v>
      </c>
      <c r="IDH1599" s="55">
        <f t="shared" si="390"/>
        <v>0</v>
      </c>
      <c r="IDI1599" s="55">
        <f t="shared" si="390"/>
        <v>0</v>
      </c>
      <c r="IDJ1599" s="55">
        <f t="shared" si="390"/>
        <v>0</v>
      </c>
      <c r="IDK1599" s="55">
        <f t="shared" si="390"/>
        <v>0</v>
      </c>
      <c r="IDL1599" s="55">
        <f t="shared" si="390"/>
        <v>0</v>
      </c>
      <c r="IDM1599" s="55">
        <f t="shared" si="390"/>
        <v>0</v>
      </c>
      <c r="IDN1599" s="55">
        <f t="shared" si="390"/>
        <v>0</v>
      </c>
      <c r="IDO1599" s="55">
        <f t="shared" si="390"/>
        <v>0</v>
      </c>
      <c r="IDP1599" s="55">
        <f t="shared" si="390"/>
        <v>0</v>
      </c>
      <c r="IDQ1599" s="55">
        <f t="shared" si="390"/>
        <v>0</v>
      </c>
      <c r="IDR1599" s="55">
        <f t="shared" si="390"/>
        <v>0</v>
      </c>
      <c r="IDS1599" s="55">
        <f t="shared" si="390"/>
        <v>0</v>
      </c>
      <c r="IDT1599" s="55">
        <f t="shared" si="390"/>
        <v>0</v>
      </c>
      <c r="IDU1599" s="55">
        <f t="shared" si="390"/>
        <v>0</v>
      </c>
      <c r="IDV1599" s="55">
        <f t="shared" si="390"/>
        <v>0</v>
      </c>
      <c r="IDW1599" s="55">
        <f t="shared" si="390"/>
        <v>0</v>
      </c>
      <c r="IDX1599" s="55">
        <f t="shared" si="390"/>
        <v>0</v>
      </c>
      <c r="IDY1599" s="55">
        <f t="shared" si="390"/>
        <v>0</v>
      </c>
      <c r="IDZ1599" s="55">
        <f t="shared" si="390"/>
        <v>0</v>
      </c>
      <c r="IEA1599" s="55">
        <f t="shared" si="390"/>
        <v>0</v>
      </c>
      <c r="IEB1599" s="55">
        <f t="shared" si="390"/>
        <v>0</v>
      </c>
      <c r="IEC1599" s="55">
        <f t="shared" si="390"/>
        <v>0</v>
      </c>
      <c r="IED1599" s="55">
        <f t="shared" si="390"/>
        <v>0</v>
      </c>
      <c r="IEE1599" s="55">
        <f t="shared" si="390"/>
        <v>0</v>
      </c>
      <c r="IEF1599" s="55">
        <f t="shared" ref="IEF1599:IGQ1599" si="391">+(IEF1619+IEF1623)*1.18*1.1</f>
        <v>0</v>
      </c>
      <c r="IEG1599" s="55">
        <f t="shared" si="391"/>
        <v>0</v>
      </c>
      <c r="IEH1599" s="55">
        <f t="shared" si="391"/>
        <v>0</v>
      </c>
      <c r="IEI1599" s="55">
        <f t="shared" si="391"/>
        <v>0</v>
      </c>
      <c r="IEJ1599" s="55">
        <f t="shared" si="391"/>
        <v>0</v>
      </c>
      <c r="IEK1599" s="55">
        <f t="shared" si="391"/>
        <v>0</v>
      </c>
      <c r="IEL1599" s="55">
        <f t="shared" si="391"/>
        <v>0</v>
      </c>
      <c r="IEM1599" s="55">
        <f t="shared" si="391"/>
        <v>0</v>
      </c>
      <c r="IEN1599" s="55">
        <f t="shared" si="391"/>
        <v>0</v>
      </c>
      <c r="IEO1599" s="55">
        <f t="shared" si="391"/>
        <v>0</v>
      </c>
      <c r="IEP1599" s="55">
        <f t="shared" si="391"/>
        <v>0</v>
      </c>
      <c r="IEQ1599" s="55">
        <f t="shared" si="391"/>
        <v>0</v>
      </c>
      <c r="IER1599" s="55">
        <f t="shared" si="391"/>
        <v>0</v>
      </c>
      <c r="IES1599" s="55">
        <f t="shared" si="391"/>
        <v>0</v>
      </c>
      <c r="IET1599" s="55">
        <f t="shared" si="391"/>
        <v>0</v>
      </c>
      <c r="IEU1599" s="55">
        <f t="shared" si="391"/>
        <v>0</v>
      </c>
      <c r="IEV1599" s="55">
        <f t="shared" si="391"/>
        <v>0</v>
      </c>
      <c r="IEW1599" s="55">
        <f t="shared" si="391"/>
        <v>0</v>
      </c>
      <c r="IEX1599" s="55">
        <f t="shared" si="391"/>
        <v>0</v>
      </c>
      <c r="IEY1599" s="55">
        <f t="shared" si="391"/>
        <v>0</v>
      </c>
      <c r="IEZ1599" s="55">
        <f t="shared" si="391"/>
        <v>0</v>
      </c>
      <c r="IFA1599" s="55">
        <f t="shared" si="391"/>
        <v>0</v>
      </c>
      <c r="IFB1599" s="55">
        <f t="shared" si="391"/>
        <v>0</v>
      </c>
      <c r="IFC1599" s="55">
        <f t="shared" si="391"/>
        <v>0</v>
      </c>
      <c r="IFD1599" s="55">
        <f t="shared" si="391"/>
        <v>0</v>
      </c>
      <c r="IFE1599" s="55">
        <f t="shared" si="391"/>
        <v>0</v>
      </c>
      <c r="IFF1599" s="55">
        <f t="shared" si="391"/>
        <v>0</v>
      </c>
      <c r="IFG1599" s="55">
        <f t="shared" si="391"/>
        <v>0</v>
      </c>
      <c r="IFH1599" s="55">
        <f t="shared" si="391"/>
        <v>0</v>
      </c>
      <c r="IFI1599" s="55">
        <f t="shared" si="391"/>
        <v>0</v>
      </c>
      <c r="IFJ1599" s="55">
        <f t="shared" si="391"/>
        <v>0</v>
      </c>
      <c r="IFK1599" s="55">
        <f t="shared" si="391"/>
        <v>0</v>
      </c>
      <c r="IFL1599" s="55">
        <f t="shared" si="391"/>
        <v>0</v>
      </c>
      <c r="IFM1599" s="55">
        <f t="shared" si="391"/>
        <v>0</v>
      </c>
      <c r="IFN1599" s="55">
        <f t="shared" si="391"/>
        <v>0</v>
      </c>
      <c r="IFO1599" s="55">
        <f t="shared" si="391"/>
        <v>0</v>
      </c>
      <c r="IFP1599" s="55">
        <f t="shared" si="391"/>
        <v>0</v>
      </c>
      <c r="IFQ1599" s="55">
        <f t="shared" si="391"/>
        <v>0</v>
      </c>
      <c r="IFR1599" s="55">
        <f t="shared" si="391"/>
        <v>0</v>
      </c>
      <c r="IFS1599" s="55">
        <f t="shared" si="391"/>
        <v>0</v>
      </c>
      <c r="IFT1599" s="55">
        <f t="shared" si="391"/>
        <v>0</v>
      </c>
      <c r="IFU1599" s="55">
        <f t="shared" si="391"/>
        <v>0</v>
      </c>
      <c r="IFV1599" s="55">
        <f t="shared" si="391"/>
        <v>0</v>
      </c>
      <c r="IFW1599" s="55">
        <f t="shared" si="391"/>
        <v>0</v>
      </c>
      <c r="IFX1599" s="55">
        <f t="shared" si="391"/>
        <v>0</v>
      </c>
      <c r="IFY1599" s="55">
        <f t="shared" si="391"/>
        <v>0</v>
      </c>
      <c r="IFZ1599" s="55">
        <f t="shared" si="391"/>
        <v>0</v>
      </c>
      <c r="IGA1599" s="55">
        <f t="shared" si="391"/>
        <v>0</v>
      </c>
      <c r="IGB1599" s="55">
        <f t="shared" si="391"/>
        <v>0</v>
      </c>
      <c r="IGC1599" s="55">
        <f t="shared" si="391"/>
        <v>0</v>
      </c>
      <c r="IGD1599" s="55">
        <f t="shared" si="391"/>
        <v>0</v>
      </c>
      <c r="IGE1599" s="55">
        <f t="shared" si="391"/>
        <v>0</v>
      </c>
      <c r="IGF1599" s="55">
        <f t="shared" si="391"/>
        <v>0</v>
      </c>
      <c r="IGG1599" s="55">
        <f t="shared" si="391"/>
        <v>0</v>
      </c>
      <c r="IGH1599" s="55">
        <f t="shared" si="391"/>
        <v>0</v>
      </c>
      <c r="IGI1599" s="55">
        <f t="shared" si="391"/>
        <v>0</v>
      </c>
      <c r="IGJ1599" s="55">
        <f t="shared" si="391"/>
        <v>0</v>
      </c>
      <c r="IGK1599" s="55">
        <f t="shared" si="391"/>
        <v>0</v>
      </c>
      <c r="IGL1599" s="55">
        <f t="shared" si="391"/>
        <v>0</v>
      </c>
      <c r="IGM1599" s="55">
        <f t="shared" si="391"/>
        <v>0</v>
      </c>
      <c r="IGN1599" s="55">
        <f t="shared" si="391"/>
        <v>0</v>
      </c>
      <c r="IGO1599" s="55">
        <f t="shared" si="391"/>
        <v>0</v>
      </c>
      <c r="IGP1599" s="55">
        <f t="shared" si="391"/>
        <v>0</v>
      </c>
      <c r="IGQ1599" s="55">
        <f t="shared" si="391"/>
        <v>0</v>
      </c>
      <c r="IGR1599" s="55">
        <f t="shared" ref="IGR1599:IJC1599" si="392">+(IGR1619+IGR1623)*1.18*1.1</f>
        <v>0</v>
      </c>
      <c r="IGS1599" s="55">
        <f t="shared" si="392"/>
        <v>0</v>
      </c>
      <c r="IGT1599" s="55">
        <f t="shared" si="392"/>
        <v>0</v>
      </c>
      <c r="IGU1599" s="55">
        <f t="shared" si="392"/>
        <v>0</v>
      </c>
      <c r="IGV1599" s="55">
        <f t="shared" si="392"/>
        <v>0</v>
      </c>
      <c r="IGW1599" s="55">
        <f t="shared" si="392"/>
        <v>0</v>
      </c>
      <c r="IGX1599" s="55">
        <f t="shared" si="392"/>
        <v>0</v>
      </c>
      <c r="IGY1599" s="55">
        <f t="shared" si="392"/>
        <v>0</v>
      </c>
      <c r="IGZ1599" s="55">
        <f t="shared" si="392"/>
        <v>0</v>
      </c>
      <c r="IHA1599" s="55">
        <f t="shared" si="392"/>
        <v>0</v>
      </c>
      <c r="IHB1599" s="55">
        <f t="shared" si="392"/>
        <v>0</v>
      </c>
      <c r="IHC1599" s="55">
        <f t="shared" si="392"/>
        <v>0</v>
      </c>
      <c r="IHD1599" s="55">
        <f t="shared" si="392"/>
        <v>0</v>
      </c>
      <c r="IHE1599" s="55">
        <f t="shared" si="392"/>
        <v>0</v>
      </c>
      <c r="IHF1599" s="55">
        <f t="shared" si="392"/>
        <v>0</v>
      </c>
      <c r="IHG1599" s="55">
        <f t="shared" si="392"/>
        <v>0</v>
      </c>
      <c r="IHH1599" s="55">
        <f t="shared" si="392"/>
        <v>0</v>
      </c>
      <c r="IHI1599" s="55">
        <f t="shared" si="392"/>
        <v>0</v>
      </c>
      <c r="IHJ1599" s="55">
        <f t="shared" si="392"/>
        <v>0</v>
      </c>
      <c r="IHK1599" s="55">
        <f t="shared" si="392"/>
        <v>0</v>
      </c>
      <c r="IHL1599" s="55">
        <f t="shared" si="392"/>
        <v>0</v>
      </c>
      <c r="IHM1599" s="55">
        <f t="shared" si="392"/>
        <v>0</v>
      </c>
      <c r="IHN1599" s="55">
        <f t="shared" si="392"/>
        <v>0</v>
      </c>
      <c r="IHO1599" s="55">
        <f t="shared" si="392"/>
        <v>0</v>
      </c>
      <c r="IHP1599" s="55">
        <f t="shared" si="392"/>
        <v>0</v>
      </c>
      <c r="IHQ1599" s="55">
        <f t="shared" si="392"/>
        <v>0</v>
      </c>
      <c r="IHR1599" s="55">
        <f t="shared" si="392"/>
        <v>0</v>
      </c>
      <c r="IHS1599" s="55">
        <f t="shared" si="392"/>
        <v>0</v>
      </c>
      <c r="IHT1599" s="55">
        <f t="shared" si="392"/>
        <v>0</v>
      </c>
      <c r="IHU1599" s="55">
        <f t="shared" si="392"/>
        <v>0</v>
      </c>
      <c r="IHV1599" s="55">
        <f t="shared" si="392"/>
        <v>0</v>
      </c>
      <c r="IHW1599" s="55">
        <f t="shared" si="392"/>
        <v>0</v>
      </c>
      <c r="IHX1599" s="55">
        <f t="shared" si="392"/>
        <v>0</v>
      </c>
      <c r="IHY1599" s="55">
        <f t="shared" si="392"/>
        <v>0</v>
      </c>
      <c r="IHZ1599" s="55">
        <f t="shared" si="392"/>
        <v>0</v>
      </c>
      <c r="IIA1599" s="55">
        <f t="shared" si="392"/>
        <v>0</v>
      </c>
      <c r="IIB1599" s="55">
        <f t="shared" si="392"/>
        <v>0</v>
      </c>
      <c r="IIC1599" s="55">
        <f t="shared" si="392"/>
        <v>0</v>
      </c>
      <c r="IID1599" s="55">
        <f t="shared" si="392"/>
        <v>0</v>
      </c>
      <c r="IIE1599" s="55">
        <f t="shared" si="392"/>
        <v>0</v>
      </c>
      <c r="IIF1599" s="55">
        <f t="shared" si="392"/>
        <v>0</v>
      </c>
      <c r="IIG1599" s="55">
        <f t="shared" si="392"/>
        <v>0</v>
      </c>
      <c r="IIH1599" s="55">
        <f t="shared" si="392"/>
        <v>0</v>
      </c>
      <c r="III1599" s="55">
        <f t="shared" si="392"/>
        <v>0</v>
      </c>
      <c r="IIJ1599" s="55">
        <f t="shared" si="392"/>
        <v>0</v>
      </c>
      <c r="IIK1599" s="55">
        <f t="shared" si="392"/>
        <v>0</v>
      </c>
      <c r="IIL1599" s="55">
        <f t="shared" si="392"/>
        <v>0</v>
      </c>
      <c r="IIM1599" s="55">
        <f t="shared" si="392"/>
        <v>0</v>
      </c>
      <c r="IIN1599" s="55">
        <f t="shared" si="392"/>
        <v>0</v>
      </c>
      <c r="IIO1599" s="55">
        <f t="shared" si="392"/>
        <v>0</v>
      </c>
      <c r="IIP1599" s="55">
        <f t="shared" si="392"/>
        <v>0</v>
      </c>
      <c r="IIQ1599" s="55">
        <f t="shared" si="392"/>
        <v>0</v>
      </c>
      <c r="IIR1599" s="55">
        <f t="shared" si="392"/>
        <v>0</v>
      </c>
      <c r="IIS1599" s="55">
        <f t="shared" si="392"/>
        <v>0</v>
      </c>
      <c r="IIT1599" s="55">
        <f t="shared" si="392"/>
        <v>0</v>
      </c>
      <c r="IIU1599" s="55">
        <f t="shared" si="392"/>
        <v>0</v>
      </c>
      <c r="IIV1599" s="55">
        <f t="shared" si="392"/>
        <v>0</v>
      </c>
      <c r="IIW1599" s="55">
        <f t="shared" si="392"/>
        <v>0</v>
      </c>
      <c r="IIX1599" s="55">
        <f t="shared" si="392"/>
        <v>0</v>
      </c>
      <c r="IIY1599" s="55">
        <f t="shared" si="392"/>
        <v>0</v>
      </c>
      <c r="IIZ1599" s="55">
        <f t="shared" si="392"/>
        <v>0</v>
      </c>
      <c r="IJA1599" s="55">
        <f t="shared" si="392"/>
        <v>0</v>
      </c>
      <c r="IJB1599" s="55">
        <f t="shared" si="392"/>
        <v>0</v>
      </c>
      <c r="IJC1599" s="55">
        <f t="shared" si="392"/>
        <v>0</v>
      </c>
      <c r="IJD1599" s="55">
        <f t="shared" ref="IJD1599:ILO1599" si="393">+(IJD1619+IJD1623)*1.18*1.1</f>
        <v>0</v>
      </c>
      <c r="IJE1599" s="55">
        <f t="shared" si="393"/>
        <v>0</v>
      </c>
      <c r="IJF1599" s="55">
        <f t="shared" si="393"/>
        <v>0</v>
      </c>
      <c r="IJG1599" s="55">
        <f t="shared" si="393"/>
        <v>0</v>
      </c>
      <c r="IJH1599" s="55">
        <f t="shared" si="393"/>
        <v>0</v>
      </c>
      <c r="IJI1599" s="55">
        <f t="shared" si="393"/>
        <v>0</v>
      </c>
      <c r="IJJ1599" s="55">
        <f t="shared" si="393"/>
        <v>0</v>
      </c>
      <c r="IJK1599" s="55">
        <f t="shared" si="393"/>
        <v>0</v>
      </c>
      <c r="IJL1599" s="55">
        <f t="shared" si="393"/>
        <v>0</v>
      </c>
      <c r="IJM1599" s="55">
        <f t="shared" si="393"/>
        <v>0</v>
      </c>
      <c r="IJN1599" s="55">
        <f t="shared" si="393"/>
        <v>0</v>
      </c>
      <c r="IJO1599" s="55">
        <f t="shared" si="393"/>
        <v>0</v>
      </c>
      <c r="IJP1599" s="55">
        <f t="shared" si="393"/>
        <v>0</v>
      </c>
      <c r="IJQ1599" s="55">
        <f t="shared" si="393"/>
        <v>0</v>
      </c>
      <c r="IJR1599" s="55">
        <f t="shared" si="393"/>
        <v>0</v>
      </c>
      <c r="IJS1599" s="55">
        <f t="shared" si="393"/>
        <v>0</v>
      </c>
      <c r="IJT1599" s="55">
        <f t="shared" si="393"/>
        <v>0</v>
      </c>
      <c r="IJU1599" s="55">
        <f t="shared" si="393"/>
        <v>0</v>
      </c>
      <c r="IJV1599" s="55">
        <f t="shared" si="393"/>
        <v>0</v>
      </c>
      <c r="IJW1599" s="55">
        <f t="shared" si="393"/>
        <v>0</v>
      </c>
      <c r="IJX1599" s="55">
        <f t="shared" si="393"/>
        <v>0</v>
      </c>
      <c r="IJY1599" s="55">
        <f t="shared" si="393"/>
        <v>0</v>
      </c>
      <c r="IJZ1599" s="55">
        <f t="shared" si="393"/>
        <v>0</v>
      </c>
      <c r="IKA1599" s="55">
        <f t="shared" si="393"/>
        <v>0</v>
      </c>
      <c r="IKB1599" s="55">
        <f t="shared" si="393"/>
        <v>0</v>
      </c>
      <c r="IKC1599" s="55">
        <f t="shared" si="393"/>
        <v>0</v>
      </c>
      <c r="IKD1599" s="55">
        <f t="shared" si="393"/>
        <v>0</v>
      </c>
      <c r="IKE1599" s="55">
        <f t="shared" si="393"/>
        <v>0</v>
      </c>
      <c r="IKF1599" s="55">
        <f t="shared" si="393"/>
        <v>0</v>
      </c>
      <c r="IKG1599" s="55">
        <f t="shared" si="393"/>
        <v>0</v>
      </c>
      <c r="IKH1599" s="55">
        <f t="shared" si="393"/>
        <v>0</v>
      </c>
      <c r="IKI1599" s="55">
        <f t="shared" si="393"/>
        <v>0</v>
      </c>
      <c r="IKJ1599" s="55">
        <f t="shared" si="393"/>
        <v>0</v>
      </c>
      <c r="IKK1599" s="55">
        <f t="shared" si="393"/>
        <v>0</v>
      </c>
      <c r="IKL1599" s="55">
        <f t="shared" si="393"/>
        <v>0</v>
      </c>
      <c r="IKM1599" s="55">
        <f t="shared" si="393"/>
        <v>0</v>
      </c>
      <c r="IKN1599" s="55">
        <f t="shared" si="393"/>
        <v>0</v>
      </c>
      <c r="IKO1599" s="55">
        <f t="shared" si="393"/>
        <v>0</v>
      </c>
      <c r="IKP1599" s="55">
        <f t="shared" si="393"/>
        <v>0</v>
      </c>
      <c r="IKQ1599" s="55">
        <f t="shared" si="393"/>
        <v>0</v>
      </c>
      <c r="IKR1599" s="55">
        <f t="shared" si="393"/>
        <v>0</v>
      </c>
      <c r="IKS1599" s="55">
        <f t="shared" si="393"/>
        <v>0</v>
      </c>
      <c r="IKT1599" s="55">
        <f t="shared" si="393"/>
        <v>0</v>
      </c>
      <c r="IKU1599" s="55">
        <f t="shared" si="393"/>
        <v>0</v>
      </c>
      <c r="IKV1599" s="55">
        <f t="shared" si="393"/>
        <v>0</v>
      </c>
      <c r="IKW1599" s="55">
        <f t="shared" si="393"/>
        <v>0</v>
      </c>
      <c r="IKX1599" s="55">
        <f t="shared" si="393"/>
        <v>0</v>
      </c>
      <c r="IKY1599" s="55">
        <f t="shared" si="393"/>
        <v>0</v>
      </c>
      <c r="IKZ1599" s="55">
        <f t="shared" si="393"/>
        <v>0</v>
      </c>
      <c r="ILA1599" s="55">
        <f t="shared" si="393"/>
        <v>0</v>
      </c>
      <c r="ILB1599" s="55">
        <f t="shared" si="393"/>
        <v>0</v>
      </c>
      <c r="ILC1599" s="55">
        <f t="shared" si="393"/>
        <v>0</v>
      </c>
      <c r="ILD1599" s="55">
        <f t="shared" si="393"/>
        <v>0</v>
      </c>
      <c r="ILE1599" s="55">
        <f t="shared" si="393"/>
        <v>0</v>
      </c>
      <c r="ILF1599" s="55">
        <f t="shared" si="393"/>
        <v>0</v>
      </c>
      <c r="ILG1599" s="55">
        <f t="shared" si="393"/>
        <v>0</v>
      </c>
      <c r="ILH1599" s="55">
        <f t="shared" si="393"/>
        <v>0</v>
      </c>
      <c r="ILI1599" s="55">
        <f t="shared" si="393"/>
        <v>0</v>
      </c>
      <c r="ILJ1599" s="55">
        <f t="shared" si="393"/>
        <v>0</v>
      </c>
      <c r="ILK1599" s="55">
        <f t="shared" si="393"/>
        <v>0</v>
      </c>
      <c r="ILL1599" s="55">
        <f t="shared" si="393"/>
        <v>0</v>
      </c>
      <c r="ILM1599" s="55">
        <f t="shared" si="393"/>
        <v>0</v>
      </c>
      <c r="ILN1599" s="55">
        <f t="shared" si="393"/>
        <v>0</v>
      </c>
      <c r="ILO1599" s="55">
        <f t="shared" si="393"/>
        <v>0</v>
      </c>
      <c r="ILP1599" s="55">
        <f t="shared" ref="ILP1599:IOA1599" si="394">+(ILP1619+ILP1623)*1.18*1.1</f>
        <v>0</v>
      </c>
      <c r="ILQ1599" s="55">
        <f t="shared" si="394"/>
        <v>0</v>
      </c>
      <c r="ILR1599" s="55">
        <f t="shared" si="394"/>
        <v>0</v>
      </c>
      <c r="ILS1599" s="55">
        <f t="shared" si="394"/>
        <v>0</v>
      </c>
      <c r="ILT1599" s="55">
        <f t="shared" si="394"/>
        <v>0</v>
      </c>
      <c r="ILU1599" s="55">
        <f t="shared" si="394"/>
        <v>0</v>
      </c>
      <c r="ILV1599" s="55">
        <f t="shared" si="394"/>
        <v>0</v>
      </c>
      <c r="ILW1599" s="55">
        <f t="shared" si="394"/>
        <v>0</v>
      </c>
      <c r="ILX1599" s="55">
        <f t="shared" si="394"/>
        <v>0</v>
      </c>
      <c r="ILY1599" s="55">
        <f t="shared" si="394"/>
        <v>0</v>
      </c>
      <c r="ILZ1599" s="55">
        <f t="shared" si="394"/>
        <v>0</v>
      </c>
      <c r="IMA1599" s="55">
        <f t="shared" si="394"/>
        <v>0</v>
      </c>
      <c r="IMB1599" s="55">
        <f t="shared" si="394"/>
        <v>0</v>
      </c>
      <c r="IMC1599" s="55">
        <f t="shared" si="394"/>
        <v>0</v>
      </c>
      <c r="IMD1599" s="55">
        <f t="shared" si="394"/>
        <v>0</v>
      </c>
      <c r="IME1599" s="55">
        <f t="shared" si="394"/>
        <v>0</v>
      </c>
      <c r="IMF1599" s="55">
        <f t="shared" si="394"/>
        <v>0</v>
      </c>
      <c r="IMG1599" s="55">
        <f t="shared" si="394"/>
        <v>0</v>
      </c>
      <c r="IMH1599" s="55">
        <f t="shared" si="394"/>
        <v>0</v>
      </c>
      <c r="IMI1599" s="55">
        <f t="shared" si="394"/>
        <v>0</v>
      </c>
      <c r="IMJ1599" s="55">
        <f t="shared" si="394"/>
        <v>0</v>
      </c>
      <c r="IMK1599" s="55">
        <f t="shared" si="394"/>
        <v>0</v>
      </c>
      <c r="IML1599" s="55">
        <f t="shared" si="394"/>
        <v>0</v>
      </c>
      <c r="IMM1599" s="55">
        <f t="shared" si="394"/>
        <v>0</v>
      </c>
      <c r="IMN1599" s="55">
        <f t="shared" si="394"/>
        <v>0</v>
      </c>
      <c r="IMO1599" s="55">
        <f t="shared" si="394"/>
        <v>0</v>
      </c>
      <c r="IMP1599" s="55">
        <f t="shared" si="394"/>
        <v>0</v>
      </c>
      <c r="IMQ1599" s="55">
        <f t="shared" si="394"/>
        <v>0</v>
      </c>
      <c r="IMR1599" s="55">
        <f t="shared" si="394"/>
        <v>0</v>
      </c>
      <c r="IMS1599" s="55">
        <f t="shared" si="394"/>
        <v>0</v>
      </c>
      <c r="IMT1599" s="55">
        <f t="shared" si="394"/>
        <v>0</v>
      </c>
      <c r="IMU1599" s="55">
        <f t="shared" si="394"/>
        <v>0</v>
      </c>
      <c r="IMV1599" s="55">
        <f t="shared" si="394"/>
        <v>0</v>
      </c>
      <c r="IMW1599" s="55">
        <f t="shared" si="394"/>
        <v>0</v>
      </c>
      <c r="IMX1599" s="55">
        <f t="shared" si="394"/>
        <v>0</v>
      </c>
      <c r="IMY1599" s="55">
        <f t="shared" si="394"/>
        <v>0</v>
      </c>
      <c r="IMZ1599" s="55">
        <f t="shared" si="394"/>
        <v>0</v>
      </c>
      <c r="INA1599" s="55">
        <f t="shared" si="394"/>
        <v>0</v>
      </c>
      <c r="INB1599" s="55">
        <f t="shared" si="394"/>
        <v>0</v>
      </c>
      <c r="INC1599" s="55">
        <f t="shared" si="394"/>
        <v>0</v>
      </c>
      <c r="IND1599" s="55">
        <f t="shared" si="394"/>
        <v>0</v>
      </c>
      <c r="INE1599" s="55">
        <f t="shared" si="394"/>
        <v>0</v>
      </c>
      <c r="INF1599" s="55">
        <f t="shared" si="394"/>
        <v>0</v>
      </c>
      <c r="ING1599" s="55">
        <f t="shared" si="394"/>
        <v>0</v>
      </c>
      <c r="INH1599" s="55">
        <f t="shared" si="394"/>
        <v>0</v>
      </c>
      <c r="INI1599" s="55">
        <f t="shared" si="394"/>
        <v>0</v>
      </c>
      <c r="INJ1599" s="55">
        <f t="shared" si="394"/>
        <v>0</v>
      </c>
      <c r="INK1599" s="55">
        <f t="shared" si="394"/>
        <v>0</v>
      </c>
      <c r="INL1599" s="55">
        <f t="shared" si="394"/>
        <v>0</v>
      </c>
      <c r="INM1599" s="55">
        <f t="shared" si="394"/>
        <v>0</v>
      </c>
      <c r="INN1599" s="55">
        <f t="shared" si="394"/>
        <v>0</v>
      </c>
      <c r="INO1599" s="55">
        <f t="shared" si="394"/>
        <v>0</v>
      </c>
      <c r="INP1599" s="55">
        <f t="shared" si="394"/>
        <v>0</v>
      </c>
      <c r="INQ1599" s="55">
        <f t="shared" si="394"/>
        <v>0</v>
      </c>
      <c r="INR1599" s="55">
        <f t="shared" si="394"/>
        <v>0</v>
      </c>
      <c r="INS1599" s="55">
        <f t="shared" si="394"/>
        <v>0</v>
      </c>
      <c r="INT1599" s="55">
        <f t="shared" si="394"/>
        <v>0</v>
      </c>
      <c r="INU1599" s="55">
        <f t="shared" si="394"/>
        <v>0</v>
      </c>
      <c r="INV1599" s="55">
        <f t="shared" si="394"/>
        <v>0</v>
      </c>
      <c r="INW1599" s="55">
        <f t="shared" si="394"/>
        <v>0</v>
      </c>
      <c r="INX1599" s="55">
        <f t="shared" si="394"/>
        <v>0</v>
      </c>
      <c r="INY1599" s="55">
        <f t="shared" si="394"/>
        <v>0</v>
      </c>
      <c r="INZ1599" s="55">
        <f t="shared" si="394"/>
        <v>0</v>
      </c>
      <c r="IOA1599" s="55">
        <f t="shared" si="394"/>
        <v>0</v>
      </c>
      <c r="IOB1599" s="55">
        <f t="shared" ref="IOB1599:IQM1599" si="395">+(IOB1619+IOB1623)*1.18*1.1</f>
        <v>0</v>
      </c>
      <c r="IOC1599" s="55">
        <f t="shared" si="395"/>
        <v>0</v>
      </c>
      <c r="IOD1599" s="55">
        <f t="shared" si="395"/>
        <v>0</v>
      </c>
      <c r="IOE1599" s="55">
        <f t="shared" si="395"/>
        <v>0</v>
      </c>
      <c r="IOF1599" s="55">
        <f t="shared" si="395"/>
        <v>0</v>
      </c>
      <c r="IOG1599" s="55">
        <f t="shared" si="395"/>
        <v>0</v>
      </c>
      <c r="IOH1599" s="55">
        <f t="shared" si="395"/>
        <v>0</v>
      </c>
      <c r="IOI1599" s="55">
        <f t="shared" si="395"/>
        <v>0</v>
      </c>
      <c r="IOJ1599" s="55">
        <f t="shared" si="395"/>
        <v>0</v>
      </c>
      <c r="IOK1599" s="55">
        <f t="shared" si="395"/>
        <v>0</v>
      </c>
      <c r="IOL1599" s="55">
        <f t="shared" si="395"/>
        <v>0</v>
      </c>
      <c r="IOM1599" s="55">
        <f t="shared" si="395"/>
        <v>0</v>
      </c>
      <c r="ION1599" s="55">
        <f t="shared" si="395"/>
        <v>0</v>
      </c>
      <c r="IOO1599" s="55">
        <f t="shared" si="395"/>
        <v>0</v>
      </c>
      <c r="IOP1599" s="55">
        <f t="shared" si="395"/>
        <v>0</v>
      </c>
      <c r="IOQ1599" s="55">
        <f t="shared" si="395"/>
        <v>0</v>
      </c>
      <c r="IOR1599" s="55">
        <f t="shared" si="395"/>
        <v>0</v>
      </c>
      <c r="IOS1599" s="55">
        <f t="shared" si="395"/>
        <v>0</v>
      </c>
      <c r="IOT1599" s="55">
        <f t="shared" si="395"/>
        <v>0</v>
      </c>
      <c r="IOU1599" s="55">
        <f t="shared" si="395"/>
        <v>0</v>
      </c>
      <c r="IOV1599" s="55">
        <f t="shared" si="395"/>
        <v>0</v>
      </c>
      <c r="IOW1599" s="55">
        <f t="shared" si="395"/>
        <v>0</v>
      </c>
      <c r="IOX1599" s="55">
        <f t="shared" si="395"/>
        <v>0</v>
      </c>
      <c r="IOY1599" s="55">
        <f t="shared" si="395"/>
        <v>0</v>
      </c>
      <c r="IOZ1599" s="55">
        <f t="shared" si="395"/>
        <v>0</v>
      </c>
      <c r="IPA1599" s="55">
        <f t="shared" si="395"/>
        <v>0</v>
      </c>
      <c r="IPB1599" s="55">
        <f t="shared" si="395"/>
        <v>0</v>
      </c>
      <c r="IPC1599" s="55">
        <f t="shared" si="395"/>
        <v>0</v>
      </c>
      <c r="IPD1599" s="55">
        <f t="shared" si="395"/>
        <v>0</v>
      </c>
      <c r="IPE1599" s="55">
        <f t="shared" si="395"/>
        <v>0</v>
      </c>
      <c r="IPF1599" s="55">
        <f t="shared" si="395"/>
        <v>0</v>
      </c>
      <c r="IPG1599" s="55">
        <f t="shared" si="395"/>
        <v>0</v>
      </c>
      <c r="IPH1599" s="55">
        <f t="shared" si="395"/>
        <v>0</v>
      </c>
      <c r="IPI1599" s="55">
        <f t="shared" si="395"/>
        <v>0</v>
      </c>
      <c r="IPJ1599" s="55">
        <f t="shared" si="395"/>
        <v>0</v>
      </c>
      <c r="IPK1599" s="55">
        <f t="shared" si="395"/>
        <v>0</v>
      </c>
      <c r="IPL1599" s="55">
        <f t="shared" si="395"/>
        <v>0</v>
      </c>
      <c r="IPM1599" s="55">
        <f t="shared" si="395"/>
        <v>0</v>
      </c>
      <c r="IPN1599" s="55">
        <f t="shared" si="395"/>
        <v>0</v>
      </c>
      <c r="IPO1599" s="55">
        <f t="shared" si="395"/>
        <v>0</v>
      </c>
      <c r="IPP1599" s="55">
        <f t="shared" si="395"/>
        <v>0</v>
      </c>
      <c r="IPQ1599" s="55">
        <f t="shared" si="395"/>
        <v>0</v>
      </c>
      <c r="IPR1599" s="55">
        <f t="shared" si="395"/>
        <v>0</v>
      </c>
      <c r="IPS1599" s="55">
        <f t="shared" si="395"/>
        <v>0</v>
      </c>
      <c r="IPT1599" s="55">
        <f t="shared" si="395"/>
        <v>0</v>
      </c>
      <c r="IPU1599" s="55">
        <f t="shared" si="395"/>
        <v>0</v>
      </c>
      <c r="IPV1599" s="55">
        <f t="shared" si="395"/>
        <v>0</v>
      </c>
      <c r="IPW1599" s="55">
        <f t="shared" si="395"/>
        <v>0</v>
      </c>
      <c r="IPX1599" s="55">
        <f t="shared" si="395"/>
        <v>0</v>
      </c>
      <c r="IPY1599" s="55">
        <f t="shared" si="395"/>
        <v>0</v>
      </c>
      <c r="IPZ1599" s="55">
        <f t="shared" si="395"/>
        <v>0</v>
      </c>
      <c r="IQA1599" s="55">
        <f t="shared" si="395"/>
        <v>0</v>
      </c>
      <c r="IQB1599" s="55">
        <f t="shared" si="395"/>
        <v>0</v>
      </c>
      <c r="IQC1599" s="55">
        <f t="shared" si="395"/>
        <v>0</v>
      </c>
      <c r="IQD1599" s="55">
        <f t="shared" si="395"/>
        <v>0</v>
      </c>
      <c r="IQE1599" s="55">
        <f t="shared" si="395"/>
        <v>0</v>
      </c>
      <c r="IQF1599" s="55">
        <f t="shared" si="395"/>
        <v>0</v>
      </c>
      <c r="IQG1599" s="55">
        <f t="shared" si="395"/>
        <v>0</v>
      </c>
      <c r="IQH1599" s="55">
        <f t="shared" si="395"/>
        <v>0</v>
      </c>
      <c r="IQI1599" s="55">
        <f t="shared" si="395"/>
        <v>0</v>
      </c>
      <c r="IQJ1599" s="55">
        <f t="shared" si="395"/>
        <v>0</v>
      </c>
      <c r="IQK1599" s="55">
        <f t="shared" si="395"/>
        <v>0</v>
      </c>
      <c r="IQL1599" s="55">
        <f t="shared" si="395"/>
        <v>0</v>
      </c>
      <c r="IQM1599" s="55">
        <f t="shared" si="395"/>
        <v>0</v>
      </c>
      <c r="IQN1599" s="55">
        <f t="shared" ref="IQN1599:ISY1599" si="396">+(IQN1619+IQN1623)*1.18*1.1</f>
        <v>0</v>
      </c>
      <c r="IQO1599" s="55">
        <f t="shared" si="396"/>
        <v>0</v>
      </c>
      <c r="IQP1599" s="55">
        <f t="shared" si="396"/>
        <v>0</v>
      </c>
      <c r="IQQ1599" s="55">
        <f t="shared" si="396"/>
        <v>0</v>
      </c>
      <c r="IQR1599" s="55">
        <f t="shared" si="396"/>
        <v>0</v>
      </c>
      <c r="IQS1599" s="55">
        <f t="shared" si="396"/>
        <v>0</v>
      </c>
      <c r="IQT1599" s="55">
        <f t="shared" si="396"/>
        <v>0</v>
      </c>
      <c r="IQU1599" s="55">
        <f t="shared" si="396"/>
        <v>0</v>
      </c>
      <c r="IQV1599" s="55">
        <f t="shared" si="396"/>
        <v>0</v>
      </c>
      <c r="IQW1599" s="55">
        <f t="shared" si="396"/>
        <v>0</v>
      </c>
      <c r="IQX1599" s="55">
        <f t="shared" si="396"/>
        <v>0</v>
      </c>
      <c r="IQY1599" s="55">
        <f t="shared" si="396"/>
        <v>0</v>
      </c>
      <c r="IQZ1599" s="55">
        <f t="shared" si="396"/>
        <v>0</v>
      </c>
      <c r="IRA1599" s="55">
        <f t="shared" si="396"/>
        <v>0</v>
      </c>
      <c r="IRB1599" s="55">
        <f t="shared" si="396"/>
        <v>0</v>
      </c>
      <c r="IRC1599" s="55">
        <f t="shared" si="396"/>
        <v>0</v>
      </c>
      <c r="IRD1599" s="55">
        <f t="shared" si="396"/>
        <v>0</v>
      </c>
      <c r="IRE1599" s="55">
        <f t="shared" si="396"/>
        <v>0</v>
      </c>
      <c r="IRF1599" s="55">
        <f t="shared" si="396"/>
        <v>0</v>
      </c>
      <c r="IRG1599" s="55">
        <f t="shared" si="396"/>
        <v>0</v>
      </c>
      <c r="IRH1599" s="55">
        <f t="shared" si="396"/>
        <v>0</v>
      </c>
      <c r="IRI1599" s="55">
        <f t="shared" si="396"/>
        <v>0</v>
      </c>
      <c r="IRJ1599" s="55">
        <f t="shared" si="396"/>
        <v>0</v>
      </c>
      <c r="IRK1599" s="55">
        <f t="shared" si="396"/>
        <v>0</v>
      </c>
      <c r="IRL1599" s="55">
        <f t="shared" si="396"/>
        <v>0</v>
      </c>
      <c r="IRM1599" s="55">
        <f t="shared" si="396"/>
        <v>0</v>
      </c>
      <c r="IRN1599" s="55">
        <f t="shared" si="396"/>
        <v>0</v>
      </c>
      <c r="IRO1599" s="55">
        <f t="shared" si="396"/>
        <v>0</v>
      </c>
      <c r="IRP1599" s="55">
        <f t="shared" si="396"/>
        <v>0</v>
      </c>
      <c r="IRQ1599" s="55">
        <f t="shared" si="396"/>
        <v>0</v>
      </c>
      <c r="IRR1599" s="55">
        <f t="shared" si="396"/>
        <v>0</v>
      </c>
      <c r="IRS1599" s="55">
        <f t="shared" si="396"/>
        <v>0</v>
      </c>
      <c r="IRT1599" s="55">
        <f t="shared" si="396"/>
        <v>0</v>
      </c>
      <c r="IRU1599" s="55">
        <f t="shared" si="396"/>
        <v>0</v>
      </c>
      <c r="IRV1599" s="55">
        <f t="shared" si="396"/>
        <v>0</v>
      </c>
      <c r="IRW1599" s="55">
        <f t="shared" si="396"/>
        <v>0</v>
      </c>
      <c r="IRX1599" s="55">
        <f t="shared" si="396"/>
        <v>0</v>
      </c>
      <c r="IRY1599" s="55">
        <f t="shared" si="396"/>
        <v>0</v>
      </c>
      <c r="IRZ1599" s="55">
        <f t="shared" si="396"/>
        <v>0</v>
      </c>
      <c r="ISA1599" s="55">
        <f t="shared" si="396"/>
        <v>0</v>
      </c>
      <c r="ISB1599" s="55">
        <f t="shared" si="396"/>
        <v>0</v>
      </c>
      <c r="ISC1599" s="55">
        <f t="shared" si="396"/>
        <v>0</v>
      </c>
      <c r="ISD1599" s="55">
        <f t="shared" si="396"/>
        <v>0</v>
      </c>
      <c r="ISE1599" s="55">
        <f t="shared" si="396"/>
        <v>0</v>
      </c>
      <c r="ISF1599" s="55">
        <f t="shared" si="396"/>
        <v>0</v>
      </c>
      <c r="ISG1599" s="55">
        <f t="shared" si="396"/>
        <v>0</v>
      </c>
      <c r="ISH1599" s="55">
        <f t="shared" si="396"/>
        <v>0</v>
      </c>
      <c r="ISI1599" s="55">
        <f t="shared" si="396"/>
        <v>0</v>
      </c>
      <c r="ISJ1599" s="55">
        <f t="shared" si="396"/>
        <v>0</v>
      </c>
      <c r="ISK1599" s="55">
        <f t="shared" si="396"/>
        <v>0</v>
      </c>
      <c r="ISL1599" s="55">
        <f t="shared" si="396"/>
        <v>0</v>
      </c>
      <c r="ISM1599" s="55">
        <f t="shared" si="396"/>
        <v>0</v>
      </c>
      <c r="ISN1599" s="55">
        <f t="shared" si="396"/>
        <v>0</v>
      </c>
      <c r="ISO1599" s="55">
        <f t="shared" si="396"/>
        <v>0</v>
      </c>
      <c r="ISP1599" s="55">
        <f t="shared" si="396"/>
        <v>0</v>
      </c>
      <c r="ISQ1599" s="55">
        <f t="shared" si="396"/>
        <v>0</v>
      </c>
      <c r="ISR1599" s="55">
        <f t="shared" si="396"/>
        <v>0</v>
      </c>
      <c r="ISS1599" s="55">
        <f t="shared" si="396"/>
        <v>0</v>
      </c>
      <c r="IST1599" s="55">
        <f t="shared" si="396"/>
        <v>0</v>
      </c>
      <c r="ISU1599" s="55">
        <f t="shared" si="396"/>
        <v>0</v>
      </c>
      <c r="ISV1599" s="55">
        <f t="shared" si="396"/>
        <v>0</v>
      </c>
      <c r="ISW1599" s="55">
        <f t="shared" si="396"/>
        <v>0</v>
      </c>
      <c r="ISX1599" s="55">
        <f t="shared" si="396"/>
        <v>0</v>
      </c>
      <c r="ISY1599" s="55">
        <f t="shared" si="396"/>
        <v>0</v>
      </c>
      <c r="ISZ1599" s="55">
        <f t="shared" ref="ISZ1599:IVK1599" si="397">+(ISZ1619+ISZ1623)*1.18*1.1</f>
        <v>0</v>
      </c>
      <c r="ITA1599" s="55">
        <f t="shared" si="397"/>
        <v>0</v>
      </c>
      <c r="ITB1599" s="55">
        <f t="shared" si="397"/>
        <v>0</v>
      </c>
      <c r="ITC1599" s="55">
        <f t="shared" si="397"/>
        <v>0</v>
      </c>
      <c r="ITD1599" s="55">
        <f t="shared" si="397"/>
        <v>0</v>
      </c>
      <c r="ITE1599" s="55">
        <f t="shared" si="397"/>
        <v>0</v>
      </c>
      <c r="ITF1599" s="55">
        <f t="shared" si="397"/>
        <v>0</v>
      </c>
      <c r="ITG1599" s="55">
        <f t="shared" si="397"/>
        <v>0</v>
      </c>
      <c r="ITH1599" s="55">
        <f t="shared" si="397"/>
        <v>0</v>
      </c>
      <c r="ITI1599" s="55">
        <f t="shared" si="397"/>
        <v>0</v>
      </c>
      <c r="ITJ1599" s="55">
        <f t="shared" si="397"/>
        <v>0</v>
      </c>
      <c r="ITK1599" s="55">
        <f t="shared" si="397"/>
        <v>0</v>
      </c>
      <c r="ITL1599" s="55">
        <f t="shared" si="397"/>
        <v>0</v>
      </c>
      <c r="ITM1599" s="55">
        <f t="shared" si="397"/>
        <v>0</v>
      </c>
      <c r="ITN1599" s="55">
        <f t="shared" si="397"/>
        <v>0</v>
      </c>
      <c r="ITO1599" s="55">
        <f t="shared" si="397"/>
        <v>0</v>
      </c>
      <c r="ITP1599" s="55">
        <f t="shared" si="397"/>
        <v>0</v>
      </c>
      <c r="ITQ1599" s="55">
        <f t="shared" si="397"/>
        <v>0</v>
      </c>
      <c r="ITR1599" s="55">
        <f t="shared" si="397"/>
        <v>0</v>
      </c>
      <c r="ITS1599" s="55">
        <f t="shared" si="397"/>
        <v>0</v>
      </c>
      <c r="ITT1599" s="55">
        <f t="shared" si="397"/>
        <v>0</v>
      </c>
      <c r="ITU1599" s="55">
        <f t="shared" si="397"/>
        <v>0</v>
      </c>
      <c r="ITV1599" s="55">
        <f t="shared" si="397"/>
        <v>0</v>
      </c>
      <c r="ITW1599" s="55">
        <f t="shared" si="397"/>
        <v>0</v>
      </c>
      <c r="ITX1599" s="55">
        <f t="shared" si="397"/>
        <v>0</v>
      </c>
      <c r="ITY1599" s="55">
        <f t="shared" si="397"/>
        <v>0</v>
      </c>
      <c r="ITZ1599" s="55">
        <f t="shared" si="397"/>
        <v>0</v>
      </c>
      <c r="IUA1599" s="55">
        <f t="shared" si="397"/>
        <v>0</v>
      </c>
      <c r="IUB1599" s="55">
        <f t="shared" si="397"/>
        <v>0</v>
      </c>
      <c r="IUC1599" s="55">
        <f t="shared" si="397"/>
        <v>0</v>
      </c>
      <c r="IUD1599" s="55">
        <f t="shared" si="397"/>
        <v>0</v>
      </c>
      <c r="IUE1599" s="55">
        <f t="shared" si="397"/>
        <v>0</v>
      </c>
      <c r="IUF1599" s="55">
        <f t="shared" si="397"/>
        <v>0</v>
      </c>
      <c r="IUG1599" s="55">
        <f t="shared" si="397"/>
        <v>0</v>
      </c>
      <c r="IUH1599" s="55">
        <f t="shared" si="397"/>
        <v>0</v>
      </c>
      <c r="IUI1599" s="55">
        <f t="shared" si="397"/>
        <v>0</v>
      </c>
      <c r="IUJ1599" s="55">
        <f t="shared" si="397"/>
        <v>0</v>
      </c>
      <c r="IUK1599" s="55">
        <f t="shared" si="397"/>
        <v>0</v>
      </c>
      <c r="IUL1599" s="55">
        <f t="shared" si="397"/>
        <v>0</v>
      </c>
      <c r="IUM1599" s="55">
        <f t="shared" si="397"/>
        <v>0</v>
      </c>
      <c r="IUN1599" s="55">
        <f t="shared" si="397"/>
        <v>0</v>
      </c>
      <c r="IUO1599" s="55">
        <f t="shared" si="397"/>
        <v>0</v>
      </c>
      <c r="IUP1599" s="55">
        <f t="shared" si="397"/>
        <v>0</v>
      </c>
      <c r="IUQ1599" s="55">
        <f t="shared" si="397"/>
        <v>0</v>
      </c>
      <c r="IUR1599" s="55">
        <f t="shared" si="397"/>
        <v>0</v>
      </c>
      <c r="IUS1599" s="55">
        <f t="shared" si="397"/>
        <v>0</v>
      </c>
      <c r="IUT1599" s="55">
        <f t="shared" si="397"/>
        <v>0</v>
      </c>
      <c r="IUU1599" s="55">
        <f t="shared" si="397"/>
        <v>0</v>
      </c>
      <c r="IUV1599" s="55">
        <f t="shared" si="397"/>
        <v>0</v>
      </c>
      <c r="IUW1599" s="55">
        <f t="shared" si="397"/>
        <v>0</v>
      </c>
      <c r="IUX1599" s="55">
        <f t="shared" si="397"/>
        <v>0</v>
      </c>
      <c r="IUY1599" s="55">
        <f t="shared" si="397"/>
        <v>0</v>
      </c>
      <c r="IUZ1599" s="55">
        <f t="shared" si="397"/>
        <v>0</v>
      </c>
      <c r="IVA1599" s="55">
        <f t="shared" si="397"/>
        <v>0</v>
      </c>
      <c r="IVB1599" s="55">
        <f t="shared" si="397"/>
        <v>0</v>
      </c>
      <c r="IVC1599" s="55">
        <f t="shared" si="397"/>
        <v>0</v>
      </c>
      <c r="IVD1599" s="55">
        <f t="shared" si="397"/>
        <v>0</v>
      </c>
      <c r="IVE1599" s="55">
        <f t="shared" si="397"/>
        <v>0</v>
      </c>
      <c r="IVF1599" s="55">
        <f t="shared" si="397"/>
        <v>0</v>
      </c>
      <c r="IVG1599" s="55">
        <f t="shared" si="397"/>
        <v>0</v>
      </c>
      <c r="IVH1599" s="55">
        <f t="shared" si="397"/>
        <v>0</v>
      </c>
      <c r="IVI1599" s="55">
        <f t="shared" si="397"/>
        <v>0</v>
      </c>
      <c r="IVJ1599" s="55">
        <f t="shared" si="397"/>
        <v>0</v>
      </c>
      <c r="IVK1599" s="55">
        <f t="shared" si="397"/>
        <v>0</v>
      </c>
      <c r="IVL1599" s="55">
        <f t="shared" ref="IVL1599:IXW1599" si="398">+(IVL1619+IVL1623)*1.18*1.1</f>
        <v>0</v>
      </c>
      <c r="IVM1599" s="55">
        <f t="shared" si="398"/>
        <v>0</v>
      </c>
      <c r="IVN1599" s="55">
        <f t="shared" si="398"/>
        <v>0</v>
      </c>
      <c r="IVO1599" s="55">
        <f t="shared" si="398"/>
        <v>0</v>
      </c>
      <c r="IVP1599" s="55">
        <f t="shared" si="398"/>
        <v>0</v>
      </c>
      <c r="IVQ1599" s="55">
        <f t="shared" si="398"/>
        <v>0</v>
      </c>
      <c r="IVR1599" s="55">
        <f t="shared" si="398"/>
        <v>0</v>
      </c>
      <c r="IVS1599" s="55">
        <f t="shared" si="398"/>
        <v>0</v>
      </c>
      <c r="IVT1599" s="55">
        <f t="shared" si="398"/>
        <v>0</v>
      </c>
      <c r="IVU1599" s="55">
        <f t="shared" si="398"/>
        <v>0</v>
      </c>
      <c r="IVV1599" s="55">
        <f t="shared" si="398"/>
        <v>0</v>
      </c>
      <c r="IVW1599" s="55">
        <f t="shared" si="398"/>
        <v>0</v>
      </c>
      <c r="IVX1599" s="55">
        <f t="shared" si="398"/>
        <v>0</v>
      </c>
      <c r="IVY1599" s="55">
        <f t="shared" si="398"/>
        <v>0</v>
      </c>
      <c r="IVZ1599" s="55">
        <f t="shared" si="398"/>
        <v>0</v>
      </c>
      <c r="IWA1599" s="55">
        <f t="shared" si="398"/>
        <v>0</v>
      </c>
      <c r="IWB1599" s="55">
        <f t="shared" si="398"/>
        <v>0</v>
      </c>
      <c r="IWC1599" s="55">
        <f t="shared" si="398"/>
        <v>0</v>
      </c>
      <c r="IWD1599" s="55">
        <f t="shared" si="398"/>
        <v>0</v>
      </c>
      <c r="IWE1599" s="55">
        <f t="shared" si="398"/>
        <v>0</v>
      </c>
      <c r="IWF1599" s="55">
        <f t="shared" si="398"/>
        <v>0</v>
      </c>
      <c r="IWG1599" s="55">
        <f t="shared" si="398"/>
        <v>0</v>
      </c>
      <c r="IWH1599" s="55">
        <f t="shared" si="398"/>
        <v>0</v>
      </c>
      <c r="IWI1599" s="55">
        <f t="shared" si="398"/>
        <v>0</v>
      </c>
      <c r="IWJ1599" s="55">
        <f t="shared" si="398"/>
        <v>0</v>
      </c>
      <c r="IWK1599" s="55">
        <f t="shared" si="398"/>
        <v>0</v>
      </c>
      <c r="IWL1599" s="55">
        <f t="shared" si="398"/>
        <v>0</v>
      </c>
      <c r="IWM1599" s="55">
        <f t="shared" si="398"/>
        <v>0</v>
      </c>
      <c r="IWN1599" s="55">
        <f t="shared" si="398"/>
        <v>0</v>
      </c>
      <c r="IWO1599" s="55">
        <f t="shared" si="398"/>
        <v>0</v>
      </c>
      <c r="IWP1599" s="55">
        <f t="shared" si="398"/>
        <v>0</v>
      </c>
      <c r="IWQ1599" s="55">
        <f t="shared" si="398"/>
        <v>0</v>
      </c>
      <c r="IWR1599" s="55">
        <f t="shared" si="398"/>
        <v>0</v>
      </c>
      <c r="IWS1599" s="55">
        <f t="shared" si="398"/>
        <v>0</v>
      </c>
      <c r="IWT1599" s="55">
        <f t="shared" si="398"/>
        <v>0</v>
      </c>
      <c r="IWU1599" s="55">
        <f t="shared" si="398"/>
        <v>0</v>
      </c>
      <c r="IWV1599" s="55">
        <f t="shared" si="398"/>
        <v>0</v>
      </c>
      <c r="IWW1599" s="55">
        <f t="shared" si="398"/>
        <v>0</v>
      </c>
      <c r="IWX1599" s="55">
        <f t="shared" si="398"/>
        <v>0</v>
      </c>
      <c r="IWY1599" s="55">
        <f t="shared" si="398"/>
        <v>0</v>
      </c>
      <c r="IWZ1599" s="55">
        <f t="shared" si="398"/>
        <v>0</v>
      </c>
      <c r="IXA1599" s="55">
        <f t="shared" si="398"/>
        <v>0</v>
      </c>
      <c r="IXB1599" s="55">
        <f t="shared" si="398"/>
        <v>0</v>
      </c>
      <c r="IXC1599" s="55">
        <f t="shared" si="398"/>
        <v>0</v>
      </c>
      <c r="IXD1599" s="55">
        <f t="shared" si="398"/>
        <v>0</v>
      </c>
      <c r="IXE1599" s="55">
        <f t="shared" si="398"/>
        <v>0</v>
      </c>
      <c r="IXF1599" s="55">
        <f t="shared" si="398"/>
        <v>0</v>
      </c>
      <c r="IXG1599" s="55">
        <f t="shared" si="398"/>
        <v>0</v>
      </c>
      <c r="IXH1599" s="55">
        <f t="shared" si="398"/>
        <v>0</v>
      </c>
      <c r="IXI1599" s="55">
        <f t="shared" si="398"/>
        <v>0</v>
      </c>
      <c r="IXJ1599" s="55">
        <f t="shared" si="398"/>
        <v>0</v>
      </c>
      <c r="IXK1599" s="55">
        <f t="shared" si="398"/>
        <v>0</v>
      </c>
      <c r="IXL1599" s="55">
        <f t="shared" si="398"/>
        <v>0</v>
      </c>
      <c r="IXM1599" s="55">
        <f t="shared" si="398"/>
        <v>0</v>
      </c>
      <c r="IXN1599" s="55">
        <f t="shared" si="398"/>
        <v>0</v>
      </c>
      <c r="IXO1599" s="55">
        <f t="shared" si="398"/>
        <v>0</v>
      </c>
      <c r="IXP1599" s="55">
        <f t="shared" si="398"/>
        <v>0</v>
      </c>
      <c r="IXQ1599" s="55">
        <f t="shared" si="398"/>
        <v>0</v>
      </c>
      <c r="IXR1599" s="55">
        <f t="shared" si="398"/>
        <v>0</v>
      </c>
      <c r="IXS1599" s="55">
        <f t="shared" si="398"/>
        <v>0</v>
      </c>
      <c r="IXT1599" s="55">
        <f t="shared" si="398"/>
        <v>0</v>
      </c>
      <c r="IXU1599" s="55">
        <f t="shared" si="398"/>
        <v>0</v>
      </c>
      <c r="IXV1599" s="55">
        <f t="shared" si="398"/>
        <v>0</v>
      </c>
      <c r="IXW1599" s="55">
        <f t="shared" si="398"/>
        <v>0</v>
      </c>
      <c r="IXX1599" s="55">
        <f t="shared" ref="IXX1599:JAI1599" si="399">+(IXX1619+IXX1623)*1.18*1.1</f>
        <v>0</v>
      </c>
      <c r="IXY1599" s="55">
        <f t="shared" si="399"/>
        <v>0</v>
      </c>
      <c r="IXZ1599" s="55">
        <f t="shared" si="399"/>
        <v>0</v>
      </c>
      <c r="IYA1599" s="55">
        <f t="shared" si="399"/>
        <v>0</v>
      </c>
      <c r="IYB1599" s="55">
        <f t="shared" si="399"/>
        <v>0</v>
      </c>
      <c r="IYC1599" s="55">
        <f t="shared" si="399"/>
        <v>0</v>
      </c>
      <c r="IYD1599" s="55">
        <f t="shared" si="399"/>
        <v>0</v>
      </c>
      <c r="IYE1599" s="55">
        <f t="shared" si="399"/>
        <v>0</v>
      </c>
      <c r="IYF1599" s="55">
        <f t="shared" si="399"/>
        <v>0</v>
      </c>
      <c r="IYG1599" s="55">
        <f t="shared" si="399"/>
        <v>0</v>
      </c>
      <c r="IYH1599" s="55">
        <f t="shared" si="399"/>
        <v>0</v>
      </c>
      <c r="IYI1599" s="55">
        <f t="shared" si="399"/>
        <v>0</v>
      </c>
      <c r="IYJ1599" s="55">
        <f t="shared" si="399"/>
        <v>0</v>
      </c>
      <c r="IYK1599" s="55">
        <f t="shared" si="399"/>
        <v>0</v>
      </c>
      <c r="IYL1599" s="55">
        <f t="shared" si="399"/>
        <v>0</v>
      </c>
      <c r="IYM1599" s="55">
        <f t="shared" si="399"/>
        <v>0</v>
      </c>
      <c r="IYN1599" s="55">
        <f t="shared" si="399"/>
        <v>0</v>
      </c>
      <c r="IYO1599" s="55">
        <f t="shared" si="399"/>
        <v>0</v>
      </c>
      <c r="IYP1599" s="55">
        <f t="shared" si="399"/>
        <v>0</v>
      </c>
      <c r="IYQ1599" s="55">
        <f t="shared" si="399"/>
        <v>0</v>
      </c>
      <c r="IYR1599" s="55">
        <f t="shared" si="399"/>
        <v>0</v>
      </c>
      <c r="IYS1599" s="55">
        <f t="shared" si="399"/>
        <v>0</v>
      </c>
      <c r="IYT1599" s="55">
        <f t="shared" si="399"/>
        <v>0</v>
      </c>
      <c r="IYU1599" s="55">
        <f t="shared" si="399"/>
        <v>0</v>
      </c>
      <c r="IYV1599" s="55">
        <f t="shared" si="399"/>
        <v>0</v>
      </c>
      <c r="IYW1599" s="55">
        <f t="shared" si="399"/>
        <v>0</v>
      </c>
      <c r="IYX1599" s="55">
        <f t="shared" si="399"/>
        <v>0</v>
      </c>
      <c r="IYY1599" s="55">
        <f t="shared" si="399"/>
        <v>0</v>
      </c>
      <c r="IYZ1599" s="55">
        <f t="shared" si="399"/>
        <v>0</v>
      </c>
      <c r="IZA1599" s="55">
        <f t="shared" si="399"/>
        <v>0</v>
      </c>
      <c r="IZB1599" s="55">
        <f t="shared" si="399"/>
        <v>0</v>
      </c>
      <c r="IZC1599" s="55">
        <f t="shared" si="399"/>
        <v>0</v>
      </c>
      <c r="IZD1599" s="55">
        <f t="shared" si="399"/>
        <v>0</v>
      </c>
      <c r="IZE1599" s="55">
        <f t="shared" si="399"/>
        <v>0</v>
      </c>
      <c r="IZF1599" s="55">
        <f t="shared" si="399"/>
        <v>0</v>
      </c>
      <c r="IZG1599" s="55">
        <f t="shared" si="399"/>
        <v>0</v>
      </c>
      <c r="IZH1599" s="55">
        <f t="shared" si="399"/>
        <v>0</v>
      </c>
      <c r="IZI1599" s="55">
        <f t="shared" si="399"/>
        <v>0</v>
      </c>
      <c r="IZJ1599" s="55">
        <f t="shared" si="399"/>
        <v>0</v>
      </c>
      <c r="IZK1599" s="55">
        <f t="shared" si="399"/>
        <v>0</v>
      </c>
      <c r="IZL1599" s="55">
        <f t="shared" si="399"/>
        <v>0</v>
      </c>
      <c r="IZM1599" s="55">
        <f t="shared" si="399"/>
        <v>0</v>
      </c>
      <c r="IZN1599" s="55">
        <f t="shared" si="399"/>
        <v>0</v>
      </c>
      <c r="IZO1599" s="55">
        <f t="shared" si="399"/>
        <v>0</v>
      </c>
      <c r="IZP1599" s="55">
        <f t="shared" si="399"/>
        <v>0</v>
      </c>
      <c r="IZQ1599" s="55">
        <f t="shared" si="399"/>
        <v>0</v>
      </c>
      <c r="IZR1599" s="55">
        <f t="shared" si="399"/>
        <v>0</v>
      </c>
      <c r="IZS1599" s="55">
        <f t="shared" si="399"/>
        <v>0</v>
      </c>
      <c r="IZT1599" s="55">
        <f t="shared" si="399"/>
        <v>0</v>
      </c>
      <c r="IZU1599" s="55">
        <f t="shared" si="399"/>
        <v>0</v>
      </c>
      <c r="IZV1599" s="55">
        <f t="shared" si="399"/>
        <v>0</v>
      </c>
      <c r="IZW1599" s="55">
        <f t="shared" si="399"/>
        <v>0</v>
      </c>
      <c r="IZX1599" s="55">
        <f t="shared" si="399"/>
        <v>0</v>
      </c>
      <c r="IZY1599" s="55">
        <f t="shared" si="399"/>
        <v>0</v>
      </c>
      <c r="IZZ1599" s="55">
        <f t="shared" si="399"/>
        <v>0</v>
      </c>
      <c r="JAA1599" s="55">
        <f t="shared" si="399"/>
        <v>0</v>
      </c>
      <c r="JAB1599" s="55">
        <f t="shared" si="399"/>
        <v>0</v>
      </c>
      <c r="JAC1599" s="55">
        <f t="shared" si="399"/>
        <v>0</v>
      </c>
      <c r="JAD1599" s="55">
        <f t="shared" si="399"/>
        <v>0</v>
      </c>
      <c r="JAE1599" s="55">
        <f t="shared" si="399"/>
        <v>0</v>
      </c>
      <c r="JAF1599" s="55">
        <f t="shared" si="399"/>
        <v>0</v>
      </c>
      <c r="JAG1599" s="55">
        <f t="shared" si="399"/>
        <v>0</v>
      </c>
      <c r="JAH1599" s="55">
        <f t="shared" si="399"/>
        <v>0</v>
      </c>
      <c r="JAI1599" s="55">
        <f t="shared" si="399"/>
        <v>0</v>
      </c>
      <c r="JAJ1599" s="55">
        <f t="shared" ref="JAJ1599:JCU1599" si="400">+(JAJ1619+JAJ1623)*1.18*1.1</f>
        <v>0</v>
      </c>
      <c r="JAK1599" s="55">
        <f t="shared" si="400"/>
        <v>0</v>
      </c>
      <c r="JAL1599" s="55">
        <f t="shared" si="400"/>
        <v>0</v>
      </c>
      <c r="JAM1599" s="55">
        <f t="shared" si="400"/>
        <v>0</v>
      </c>
      <c r="JAN1599" s="55">
        <f t="shared" si="400"/>
        <v>0</v>
      </c>
      <c r="JAO1599" s="55">
        <f t="shared" si="400"/>
        <v>0</v>
      </c>
      <c r="JAP1599" s="55">
        <f t="shared" si="400"/>
        <v>0</v>
      </c>
      <c r="JAQ1599" s="55">
        <f t="shared" si="400"/>
        <v>0</v>
      </c>
      <c r="JAR1599" s="55">
        <f t="shared" si="400"/>
        <v>0</v>
      </c>
      <c r="JAS1599" s="55">
        <f t="shared" si="400"/>
        <v>0</v>
      </c>
      <c r="JAT1599" s="55">
        <f t="shared" si="400"/>
        <v>0</v>
      </c>
      <c r="JAU1599" s="55">
        <f t="shared" si="400"/>
        <v>0</v>
      </c>
      <c r="JAV1599" s="55">
        <f t="shared" si="400"/>
        <v>0</v>
      </c>
      <c r="JAW1599" s="55">
        <f t="shared" si="400"/>
        <v>0</v>
      </c>
      <c r="JAX1599" s="55">
        <f t="shared" si="400"/>
        <v>0</v>
      </c>
      <c r="JAY1599" s="55">
        <f t="shared" si="400"/>
        <v>0</v>
      </c>
      <c r="JAZ1599" s="55">
        <f t="shared" si="400"/>
        <v>0</v>
      </c>
      <c r="JBA1599" s="55">
        <f t="shared" si="400"/>
        <v>0</v>
      </c>
      <c r="JBB1599" s="55">
        <f t="shared" si="400"/>
        <v>0</v>
      </c>
      <c r="JBC1599" s="55">
        <f t="shared" si="400"/>
        <v>0</v>
      </c>
      <c r="JBD1599" s="55">
        <f t="shared" si="400"/>
        <v>0</v>
      </c>
      <c r="JBE1599" s="55">
        <f t="shared" si="400"/>
        <v>0</v>
      </c>
      <c r="JBF1599" s="55">
        <f t="shared" si="400"/>
        <v>0</v>
      </c>
      <c r="JBG1599" s="55">
        <f t="shared" si="400"/>
        <v>0</v>
      </c>
      <c r="JBH1599" s="55">
        <f t="shared" si="400"/>
        <v>0</v>
      </c>
      <c r="JBI1599" s="55">
        <f t="shared" si="400"/>
        <v>0</v>
      </c>
      <c r="JBJ1599" s="55">
        <f t="shared" si="400"/>
        <v>0</v>
      </c>
      <c r="JBK1599" s="55">
        <f t="shared" si="400"/>
        <v>0</v>
      </c>
      <c r="JBL1599" s="55">
        <f t="shared" si="400"/>
        <v>0</v>
      </c>
      <c r="JBM1599" s="55">
        <f t="shared" si="400"/>
        <v>0</v>
      </c>
      <c r="JBN1599" s="55">
        <f t="shared" si="400"/>
        <v>0</v>
      </c>
      <c r="JBO1599" s="55">
        <f t="shared" si="400"/>
        <v>0</v>
      </c>
      <c r="JBP1599" s="55">
        <f t="shared" si="400"/>
        <v>0</v>
      </c>
      <c r="JBQ1599" s="55">
        <f t="shared" si="400"/>
        <v>0</v>
      </c>
      <c r="JBR1599" s="55">
        <f t="shared" si="400"/>
        <v>0</v>
      </c>
      <c r="JBS1599" s="55">
        <f t="shared" si="400"/>
        <v>0</v>
      </c>
      <c r="JBT1599" s="55">
        <f t="shared" si="400"/>
        <v>0</v>
      </c>
      <c r="JBU1599" s="55">
        <f t="shared" si="400"/>
        <v>0</v>
      </c>
      <c r="JBV1599" s="55">
        <f t="shared" si="400"/>
        <v>0</v>
      </c>
      <c r="JBW1599" s="55">
        <f t="shared" si="400"/>
        <v>0</v>
      </c>
      <c r="JBX1599" s="55">
        <f t="shared" si="400"/>
        <v>0</v>
      </c>
      <c r="JBY1599" s="55">
        <f t="shared" si="400"/>
        <v>0</v>
      </c>
      <c r="JBZ1599" s="55">
        <f t="shared" si="400"/>
        <v>0</v>
      </c>
      <c r="JCA1599" s="55">
        <f t="shared" si="400"/>
        <v>0</v>
      </c>
      <c r="JCB1599" s="55">
        <f t="shared" si="400"/>
        <v>0</v>
      </c>
      <c r="JCC1599" s="55">
        <f t="shared" si="400"/>
        <v>0</v>
      </c>
      <c r="JCD1599" s="55">
        <f t="shared" si="400"/>
        <v>0</v>
      </c>
      <c r="JCE1599" s="55">
        <f t="shared" si="400"/>
        <v>0</v>
      </c>
      <c r="JCF1599" s="55">
        <f t="shared" si="400"/>
        <v>0</v>
      </c>
      <c r="JCG1599" s="55">
        <f t="shared" si="400"/>
        <v>0</v>
      </c>
      <c r="JCH1599" s="55">
        <f t="shared" si="400"/>
        <v>0</v>
      </c>
      <c r="JCI1599" s="55">
        <f t="shared" si="400"/>
        <v>0</v>
      </c>
      <c r="JCJ1599" s="55">
        <f t="shared" si="400"/>
        <v>0</v>
      </c>
      <c r="JCK1599" s="55">
        <f t="shared" si="400"/>
        <v>0</v>
      </c>
      <c r="JCL1599" s="55">
        <f t="shared" si="400"/>
        <v>0</v>
      </c>
      <c r="JCM1599" s="55">
        <f t="shared" si="400"/>
        <v>0</v>
      </c>
      <c r="JCN1599" s="55">
        <f t="shared" si="400"/>
        <v>0</v>
      </c>
      <c r="JCO1599" s="55">
        <f t="shared" si="400"/>
        <v>0</v>
      </c>
      <c r="JCP1599" s="55">
        <f t="shared" si="400"/>
        <v>0</v>
      </c>
      <c r="JCQ1599" s="55">
        <f t="shared" si="400"/>
        <v>0</v>
      </c>
      <c r="JCR1599" s="55">
        <f t="shared" si="400"/>
        <v>0</v>
      </c>
      <c r="JCS1599" s="55">
        <f t="shared" si="400"/>
        <v>0</v>
      </c>
      <c r="JCT1599" s="55">
        <f t="shared" si="400"/>
        <v>0</v>
      </c>
      <c r="JCU1599" s="55">
        <f t="shared" si="400"/>
        <v>0</v>
      </c>
      <c r="JCV1599" s="55">
        <f t="shared" ref="JCV1599:JFG1599" si="401">+(JCV1619+JCV1623)*1.18*1.1</f>
        <v>0</v>
      </c>
      <c r="JCW1599" s="55">
        <f t="shared" si="401"/>
        <v>0</v>
      </c>
      <c r="JCX1599" s="55">
        <f t="shared" si="401"/>
        <v>0</v>
      </c>
      <c r="JCY1599" s="55">
        <f t="shared" si="401"/>
        <v>0</v>
      </c>
      <c r="JCZ1599" s="55">
        <f t="shared" si="401"/>
        <v>0</v>
      </c>
      <c r="JDA1599" s="55">
        <f t="shared" si="401"/>
        <v>0</v>
      </c>
      <c r="JDB1599" s="55">
        <f t="shared" si="401"/>
        <v>0</v>
      </c>
      <c r="JDC1599" s="55">
        <f t="shared" si="401"/>
        <v>0</v>
      </c>
      <c r="JDD1599" s="55">
        <f t="shared" si="401"/>
        <v>0</v>
      </c>
      <c r="JDE1599" s="55">
        <f t="shared" si="401"/>
        <v>0</v>
      </c>
      <c r="JDF1599" s="55">
        <f t="shared" si="401"/>
        <v>0</v>
      </c>
      <c r="JDG1599" s="55">
        <f t="shared" si="401"/>
        <v>0</v>
      </c>
      <c r="JDH1599" s="55">
        <f t="shared" si="401"/>
        <v>0</v>
      </c>
      <c r="JDI1599" s="55">
        <f t="shared" si="401"/>
        <v>0</v>
      </c>
      <c r="JDJ1599" s="55">
        <f t="shared" si="401"/>
        <v>0</v>
      </c>
      <c r="JDK1599" s="55">
        <f t="shared" si="401"/>
        <v>0</v>
      </c>
      <c r="JDL1599" s="55">
        <f t="shared" si="401"/>
        <v>0</v>
      </c>
      <c r="JDM1599" s="55">
        <f t="shared" si="401"/>
        <v>0</v>
      </c>
      <c r="JDN1599" s="55">
        <f t="shared" si="401"/>
        <v>0</v>
      </c>
      <c r="JDO1599" s="55">
        <f t="shared" si="401"/>
        <v>0</v>
      </c>
      <c r="JDP1599" s="55">
        <f t="shared" si="401"/>
        <v>0</v>
      </c>
      <c r="JDQ1599" s="55">
        <f t="shared" si="401"/>
        <v>0</v>
      </c>
      <c r="JDR1599" s="55">
        <f t="shared" si="401"/>
        <v>0</v>
      </c>
      <c r="JDS1599" s="55">
        <f t="shared" si="401"/>
        <v>0</v>
      </c>
      <c r="JDT1599" s="55">
        <f t="shared" si="401"/>
        <v>0</v>
      </c>
      <c r="JDU1599" s="55">
        <f t="shared" si="401"/>
        <v>0</v>
      </c>
      <c r="JDV1599" s="55">
        <f t="shared" si="401"/>
        <v>0</v>
      </c>
      <c r="JDW1599" s="55">
        <f t="shared" si="401"/>
        <v>0</v>
      </c>
      <c r="JDX1599" s="55">
        <f t="shared" si="401"/>
        <v>0</v>
      </c>
      <c r="JDY1599" s="55">
        <f t="shared" si="401"/>
        <v>0</v>
      </c>
      <c r="JDZ1599" s="55">
        <f t="shared" si="401"/>
        <v>0</v>
      </c>
      <c r="JEA1599" s="55">
        <f t="shared" si="401"/>
        <v>0</v>
      </c>
      <c r="JEB1599" s="55">
        <f t="shared" si="401"/>
        <v>0</v>
      </c>
      <c r="JEC1599" s="55">
        <f t="shared" si="401"/>
        <v>0</v>
      </c>
      <c r="JED1599" s="55">
        <f t="shared" si="401"/>
        <v>0</v>
      </c>
      <c r="JEE1599" s="55">
        <f t="shared" si="401"/>
        <v>0</v>
      </c>
      <c r="JEF1599" s="55">
        <f t="shared" si="401"/>
        <v>0</v>
      </c>
      <c r="JEG1599" s="55">
        <f t="shared" si="401"/>
        <v>0</v>
      </c>
      <c r="JEH1599" s="55">
        <f t="shared" si="401"/>
        <v>0</v>
      </c>
      <c r="JEI1599" s="55">
        <f t="shared" si="401"/>
        <v>0</v>
      </c>
      <c r="JEJ1599" s="55">
        <f t="shared" si="401"/>
        <v>0</v>
      </c>
      <c r="JEK1599" s="55">
        <f t="shared" si="401"/>
        <v>0</v>
      </c>
      <c r="JEL1599" s="55">
        <f t="shared" si="401"/>
        <v>0</v>
      </c>
      <c r="JEM1599" s="55">
        <f t="shared" si="401"/>
        <v>0</v>
      </c>
      <c r="JEN1599" s="55">
        <f t="shared" si="401"/>
        <v>0</v>
      </c>
      <c r="JEO1599" s="55">
        <f t="shared" si="401"/>
        <v>0</v>
      </c>
      <c r="JEP1599" s="55">
        <f t="shared" si="401"/>
        <v>0</v>
      </c>
      <c r="JEQ1599" s="55">
        <f t="shared" si="401"/>
        <v>0</v>
      </c>
      <c r="JER1599" s="55">
        <f t="shared" si="401"/>
        <v>0</v>
      </c>
      <c r="JES1599" s="55">
        <f t="shared" si="401"/>
        <v>0</v>
      </c>
      <c r="JET1599" s="55">
        <f t="shared" si="401"/>
        <v>0</v>
      </c>
      <c r="JEU1599" s="55">
        <f t="shared" si="401"/>
        <v>0</v>
      </c>
      <c r="JEV1599" s="55">
        <f t="shared" si="401"/>
        <v>0</v>
      </c>
      <c r="JEW1599" s="55">
        <f t="shared" si="401"/>
        <v>0</v>
      </c>
      <c r="JEX1599" s="55">
        <f t="shared" si="401"/>
        <v>0</v>
      </c>
      <c r="JEY1599" s="55">
        <f t="shared" si="401"/>
        <v>0</v>
      </c>
      <c r="JEZ1599" s="55">
        <f t="shared" si="401"/>
        <v>0</v>
      </c>
      <c r="JFA1599" s="55">
        <f t="shared" si="401"/>
        <v>0</v>
      </c>
      <c r="JFB1599" s="55">
        <f t="shared" si="401"/>
        <v>0</v>
      </c>
      <c r="JFC1599" s="55">
        <f t="shared" si="401"/>
        <v>0</v>
      </c>
      <c r="JFD1599" s="55">
        <f t="shared" si="401"/>
        <v>0</v>
      </c>
      <c r="JFE1599" s="55">
        <f t="shared" si="401"/>
        <v>0</v>
      </c>
      <c r="JFF1599" s="55">
        <f t="shared" si="401"/>
        <v>0</v>
      </c>
      <c r="JFG1599" s="55">
        <f t="shared" si="401"/>
        <v>0</v>
      </c>
      <c r="JFH1599" s="55">
        <f t="shared" ref="JFH1599:JHS1599" si="402">+(JFH1619+JFH1623)*1.18*1.1</f>
        <v>0</v>
      </c>
      <c r="JFI1599" s="55">
        <f t="shared" si="402"/>
        <v>0</v>
      </c>
      <c r="JFJ1599" s="55">
        <f t="shared" si="402"/>
        <v>0</v>
      </c>
      <c r="JFK1599" s="55">
        <f t="shared" si="402"/>
        <v>0</v>
      </c>
      <c r="JFL1599" s="55">
        <f t="shared" si="402"/>
        <v>0</v>
      </c>
      <c r="JFM1599" s="55">
        <f t="shared" si="402"/>
        <v>0</v>
      </c>
      <c r="JFN1599" s="55">
        <f t="shared" si="402"/>
        <v>0</v>
      </c>
      <c r="JFO1599" s="55">
        <f t="shared" si="402"/>
        <v>0</v>
      </c>
      <c r="JFP1599" s="55">
        <f t="shared" si="402"/>
        <v>0</v>
      </c>
      <c r="JFQ1599" s="55">
        <f t="shared" si="402"/>
        <v>0</v>
      </c>
      <c r="JFR1599" s="55">
        <f t="shared" si="402"/>
        <v>0</v>
      </c>
      <c r="JFS1599" s="55">
        <f t="shared" si="402"/>
        <v>0</v>
      </c>
      <c r="JFT1599" s="55">
        <f t="shared" si="402"/>
        <v>0</v>
      </c>
      <c r="JFU1599" s="55">
        <f t="shared" si="402"/>
        <v>0</v>
      </c>
      <c r="JFV1599" s="55">
        <f t="shared" si="402"/>
        <v>0</v>
      </c>
      <c r="JFW1599" s="55">
        <f t="shared" si="402"/>
        <v>0</v>
      </c>
      <c r="JFX1599" s="55">
        <f t="shared" si="402"/>
        <v>0</v>
      </c>
      <c r="JFY1599" s="55">
        <f t="shared" si="402"/>
        <v>0</v>
      </c>
      <c r="JFZ1599" s="55">
        <f t="shared" si="402"/>
        <v>0</v>
      </c>
      <c r="JGA1599" s="55">
        <f t="shared" si="402"/>
        <v>0</v>
      </c>
      <c r="JGB1599" s="55">
        <f t="shared" si="402"/>
        <v>0</v>
      </c>
      <c r="JGC1599" s="55">
        <f t="shared" si="402"/>
        <v>0</v>
      </c>
      <c r="JGD1599" s="55">
        <f t="shared" si="402"/>
        <v>0</v>
      </c>
      <c r="JGE1599" s="55">
        <f t="shared" si="402"/>
        <v>0</v>
      </c>
      <c r="JGF1599" s="55">
        <f t="shared" si="402"/>
        <v>0</v>
      </c>
      <c r="JGG1599" s="55">
        <f t="shared" si="402"/>
        <v>0</v>
      </c>
      <c r="JGH1599" s="55">
        <f t="shared" si="402"/>
        <v>0</v>
      </c>
      <c r="JGI1599" s="55">
        <f t="shared" si="402"/>
        <v>0</v>
      </c>
      <c r="JGJ1599" s="55">
        <f t="shared" si="402"/>
        <v>0</v>
      </c>
      <c r="JGK1599" s="55">
        <f t="shared" si="402"/>
        <v>0</v>
      </c>
      <c r="JGL1599" s="55">
        <f t="shared" si="402"/>
        <v>0</v>
      </c>
      <c r="JGM1599" s="55">
        <f t="shared" si="402"/>
        <v>0</v>
      </c>
      <c r="JGN1599" s="55">
        <f t="shared" si="402"/>
        <v>0</v>
      </c>
      <c r="JGO1599" s="55">
        <f t="shared" si="402"/>
        <v>0</v>
      </c>
      <c r="JGP1599" s="55">
        <f t="shared" si="402"/>
        <v>0</v>
      </c>
      <c r="JGQ1599" s="55">
        <f t="shared" si="402"/>
        <v>0</v>
      </c>
      <c r="JGR1599" s="55">
        <f t="shared" si="402"/>
        <v>0</v>
      </c>
      <c r="JGS1599" s="55">
        <f t="shared" si="402"/>
        <v>0</v>
      </c>
      <c r="JGT1599" s="55">
        <f t="shared" si="402"/>
        <v>0</v>
      </c>
      <c r="JGU1599" s="55">
        <f t="shared" si="402"/>
        <v>0</v>
      </c>
      <c r="JGV1599" s="55">
        <f t="shared" si="402"/>
        <v>0</v>
      </c>
      <c r="JGW1599" s="55">
        <f t="shared" si="402"/>
        <v>0</v>
      </c>
      <c r="JGX1599" s="55">
        <f t="shared" si="402"/>
        <v>0</v>
      </c>
      <c r="JGY1599" s="55">
        <f t="shared" si="402"/>
        <v>0</v>
      </c>
      <c r="JGZ1599" s="55">
        <f t="shared" si="402"/>
        <v>0</v>
      </c>
      <c r="JHA1599" s="55">
        <f t="shared" si="402"/>
        <v>0</v>
      </c>
      <c r="JHB1599" s="55">
        <f t="shared" si="402"/>
        <v>0</v>
      </c>
      <c r="JHC1599" s="55">
        <f t="shared" si="402"/>
        <v>0</v>
      </c>
      <c r="JHD1599" s="55">
        <f t="shared" si="402"/>
        <v>0</v>
      </c>
      <c r="JHE1599" s="55">
        <f t="shared" si="402"/>
        <v>0</v>
      </c>
      <c r="JHF1599" s="55">
        <f t="shared" si="402"/>
        <v>0</v>
      </c>
      <c r="JHG1599" s="55">
        <f t="shared" si="402"/>
        <v>0</v>
      </c>
      <c r="JHH1599" s="55">
        <f t="shared" si="402"/>
        <v>0</v>
      </c>
      <c r="JHI1599" s="55">
        <f t="shared" si="402"/>
        <v>0</v>
      </c>
      <c r="JHJ1599" s="55">
        <f t="shared" si="402"/>
        <v>0</v>
      </c>
      <c r="JHK1599" s="55">
        <f t="shared" si="402"/>
        <v>0</v>
      </c>
      <c r="JHL1599" s="55">
        <f t="shared" si="402"/>
        <v>0</v>
      </c>
      <c r="JHM1599" s="55">
        <f t="shared" si="402"/>
        <v>0</v>
      </c>
      <c r="JHN1599" s="55">
        <f t="shared" si="402"/>
        <v>0</v>
      </c>
      <c r="JHO1599" s="55">
        <f t="shared" si="402"/>
        <v>0</v>
      </c>
      <c r="JHP1599" s="55">
        <f t="shared" si="402"/>
        <v>0</v>
      </c>
      <c r="JHQ1599" s="55">
        <f t="shared" si="402"/>
        <v>0</v>
      </c>
      <c r="JHR1599" s="55">
        <f t="shared" si="402"/>
        <v>0</v>
      </c>
      <c r="JHS1599" s="55">
        <f t="shared" si="402"/>
        <v>0</v>
      </c>
      <c r="JHT1599" s="55">
        <f t="shared" ref="JHT1599:JKE1599" si="403">+(JHT1619+JHT1623)*1.18*1.1</f>
        <v>0</v>
      </c>
      <c r="JHU1599" s="55">
        <f t="shared" si="403"/>
        <v>0</v>
      </c>
      <c r="JHV1599" s="55">
        <f t="shared" si="403"/>
        <v>0</v>
      </c>
      <c r="JHW1599" s="55">
        <f t="shared" si="403"/>
        <v>0</v>
      </c>
      <c r="JHX1599" s="55">
        <f t="shared" si="403"/>
        <v>0</v>
      </c>
      <c r="JHY1599" s="55">
        <f t="shared" si="403"/>
        <v>0</v>
      </c>
      <c r="JHZ1599" s="55">
        <f t="shared" si="403"/>
        <v>0</v>
      </c>
      <c r="JIA1599" s="55">
        <f t="shared" si="403"/>
        <v>0</v>
      </c>
      <c r="JIB1599" s="55">
        <f t="shared" si="403"/>
        <v>0</v>
      </c>
      <c r="JIC1599" s="55">
        <f t="shared" si="403"/>
        <v>0</v>
      </c>
      <c r="JID1599" s="55">
        <f t="shared" si="403"/>
        <v>0</v>
      </c>
      <c r="JIE1599" s="55">
        <f t="shared" si="403"/>
        <v>0</v>
      </c>
      <c r="JIF1599" s="55">
        <f t="shared" si="403"/>
        <v>0</v>
      </c>
      <c r="JIG1599" s="55">
        <f t="shared" si="403"/>
        <v>0</v>
      </c>
      <c r="JIH1599" s="55">
        <f t="shared" si="403"/>
        <v>0</v>
      </c>
      <c r="JII1599" s="55">
        <f t="shared" si="403"/>
        <v>0</v>
      </c>
      <c r="JIJ1599" s="55">
        <f t="shared" si="403"/>
        <v>0</v>
      </c>
      <c r="JIK1599" s="55">
        <f t="shared" si="403"/>
        <v>0</v>
      </c>
      <c r="JIL1599" s="55">
        <f t="shared" si="403"/>
        <v>0</v>
      </c>
      <c r="JIM1599" s="55">
        <f t="shared" si="403"/>
        <v>0</v>
      </c>
      <c r="JIN1599" s="55">
        <f t="shared" si="403"/>
        <v>0</v>
      </c>
      <c r="JIO1599" s="55">
        <f t="shared" si="403"/>
        <v>0</v>
      </c>
      <c r="JIP1599" s="55">
        <f t="shared" si="403"/>
        <v>0</v>
      </c>
      <c r="JIQ1599" s="55">
        <f t="shared" si="403"/>
        <v>0</v>
      </c>
      <c r="JIR1599" s="55">
        <f t="shared" si="403"/>
        <v>0</v>
      </c>
      <c r="JIS1599" s="55">
        <f t="shared" si="403"/>
        <v>0</v>
      </c>
      <c r="JIT1599" s="55">
        <f t="shared" si="403"/>
        <v>0</v>
      </c>
      <c r="JIU1599" s="55">
        <f t="shared" si="403"/>
        <v>0</v>
      </c>
      <c r="JIV1599" s="55">
        <f t="shared" si="403"/>
        <v>0</v>
      </c>
      <c r="JIW1599" s="55">
        <f t="shared" si="403"/>
        <v>0</v>
      </c>
      <c r="JIX1599" s="55">
        <f t="shared" si="403"/>
        <v>0</v>
      </c>
      <c r="JIY1599" s="55">
        <f t="shared" si="403"/>
        <v>0</v>
      </c>
      <c r="JIZ1599" s="55">
        <f t="shared" si="403"/>
        <v>0</v>
      </c>
      <c r="JJA1599" s="55">
        <f t="shared" si="403"/>
        <v>0</v>
      </c>
      <c r="JJB1599" s="55">
        <f t="shared" si="403"/>
        <v>0</v>
      </c>
      <c r="JJC1599" s="55">
        <f t="shared" si="403"/>
        <v>0</v>
      </c>
      <c r="JJD1599" s="55">
        <f t="shared" si="403"/>
        <v>0</v>
      </c>
      <c r="JJE1599" s="55">
        <f t="shared" si="403"/>
        <v>0</v>
      </c>
      <c r="JJF1599" s="55">
        <f t="shared" si="403"/>
        <v>0</v>
      </c>
      <c r="JJG1599" s="55">
        <f t="shared" si="403"/>
        <v>0</v>
      </c>
      <c r="JJH1599" s="55">
        <f t="shared" si="403"/>
        <v>0</v>
      </c>
      <c r="JJI1599" s="55">
        <f t="shared" si="403"/>
        <v>0</v>
      </c>
      <c r="JJJ1599" s="55">
        <f t="shared" si="403"/>
        <v>0</v>
      </c>
      <c r="JJK1599" s="55">
        <f t="shared" si="403"/>
        <v>0</v>
      </c>
      <c r="JJL1599" s="55">
        <f t="shared" si="403"/>
        <v>0</v>
      </c>
      <c r="JJM1599" s="55">
        <f t="shared" si="403"/>
        <v>0</v>
      </c>
      <c r="JJN1599" s="55">
        <f t="shared" si="403"/>
        <v>0</v>
      </c>
      <c r="JJO1599" s="55">
        <f t="shared" si="403"/>
        <v>0</v>
      </c>
      <c r="JJP1599" s="55">
        <f t="shared" si="403"/>
        <v>0</v>
      </c>
      <c r="JJQ1599" s="55">
        <f t="shared" si="403"/>
        <v>0</v>
      </c>
      <c r="JJR1599" s="55">
        <f t="shared" si="403"/>
        <v>0</v>
      </c>
      <c r="JJS1599" s="55">
        <f t="shared" si="403"/>
        <v>0</v>
      </c>
      <c r="JJT1599" s="55">
        <f t="shared" si="403"/>
        <v>0</v>
      </c>
      <c r="JJU1599" s="55">
        <f t="shared" si="403"/>
        <v>0</v>
      </c>
      <c r="JJV1599" s="55">
        <f t="shared" si="403"/>
        <v>0</v>
      </c>
      <c r="JJW1599" s="55">
        <f t="shared" si="403"/>
        <v>0</v>
      </c>
      <c r="JJX1599" s="55">
        <f t="shared" si="403"/>
        <v>0</v>
      </c>
      <c r="JJY1599" s="55">
        <f t="shared" si="403"/>
        <v>0</v>
      </c>
      <c r="JJZ1599" s="55">
        <f t="shared" si="403"/>
        <v>0</v>
      </c>
      <c r="JKA1599" s="55">
        <f t="shared" si="403"/>
        <v>0</v>
      </c>
      <c r="JKB1599" s="55">
        <f t="shared" si="403"/>
        <v>0</v>
      </c>
      <c r="JKC1599" s="55">
        <f t="shared" si="403"/>
        <v>0</v>
      </c>
      <c r="JKD1599" s="55">
        <f t="shared" si="403"/>
        <v>0</v>
      </c>
      <c r="JKE1599" s="55">
        <f t="shared" si="403"/>
        <v>0</v>
      </c>
      <c r="JKF1599" s="55">
        <f t="shared" ref="JKF1599:JMQ1599" si="404">+(JKF1619+JKF1623)*1.18*1.1</f>
        <v>0</v>
      </c>
      <c r="JKG1599" s="55">
        <f t="shared" si="404"/>
        <v>0</v>
      </c>
      <c r="JKH1599" s="55">
        <f t="shared" si="404"/>
        <v>0</v>
      </c>
      <c r="JKI1599" s="55">
        <f t="shared" si="404"/>
        <v>0</v>
      </c>
      <c r="JKJ1599" s="55">
        <f t="shared" si="404"/>
        <v>0</v>
      </c>
      <c r="JKK1599" s="55">
        <f t="shared" si="404"/>
        <v>0</v>
      </c>
      <c r="JKL1599" s="55">
        <f t="shared" si="404"/>
        <v>0</v>
      </c>
      <c r="JKM1599" s="55">
        <f t="shared" si="404"/>
        <v>0</v>
      </c>
      <c r="JKN1599" s="55">
        <f t="shared" si="404"/>
        <v>0</v>
      </c>
      <c r="JKO1599" s="55">
        <f t="shared" si="404"/>
        <v>0</v>
      </c>
      <c r="JKP1599" s="55">
        <f t="shared" si="404"/>
        <v>0</v>
      </c>
      <c r="JKQ1599" s="55">
        <f t="shared" si="404"/>
        <v>0</v>
      </c>
      <c r="JKR1599" s="55">
        <f t="shared" si="404"/>
        <v>0</v>
      </c>
      <c r="JKS1599" s="55">
        <f t="shared" si="404"/>
        <v>0</v>
      </c>
      <c r="JKT1599" s="55">
        <f t="shared" si="404"/>
        <v>0</v>
      </c>
      <c r="JKU1599" s="55">
        <f t="shared" si="404"/>
        <v>0</v>
      </c>
      <c r="JKV1599" s="55">
        <f t="shared" si="404"/>
        <v>0</v>
      </c>
      <c r="JKW1599" s="55">
        <f t="shared" si="404"/>
        <v>0</v>
      </c>
      <c r="JKX1599" s="55">
        <f t="shared" si="404"/>
        <v>0</v>
      </c>
      <c r="JKY1599" s="55">
        <f t="shared" si="404"/>
        <v>0</v>
      </c>
      <c r="JKZ1599" s="55">
        <f t="shared" si="404"/>
        <v>0</v>
      </c>
      <c r="JLA1599" s="55">
        <f t="shared" si="404"/>
        <v>0</v>
      </c>
      <c r="JLB1599" s="55">
        <f t="shared" si="404"/>
        <v>0</v>
      </c>
      <c r="JLC1599" s="55">
        <f t="shared" si="404"/>
        <v>0</v>
      </c>
      <c r="JLD1599" s="55">
        <f t="shared" si="404"/>
        <v>0</v>
      </c>
      <c r="JLE1599" s="55">
        <f t="shared" si="404"/>
        <v>0</v>
      </c>
      <c r="JLF1599" s="55">
        <f t="shared" si="404"/>
        <v>0</v>
      </c>
      <c r="JLG1599" s="55">
        <f t="shared" si="404"/>
        <v>0</v>
      </c>
      <c r="JLH1599" s="55">
        <f t="shared" si="404"/>
        <v>0</v>
      </c>
      <c r="JLI1599" s="55">
        <f t="shared" si="404"/>
        <v>0</v>
      </c>
      <c r="JLJ1599" s="55">
        <f t="shared" si="404"/>
        <v>0</v>
      </c>
      <c r="JLK1599" s="55">
        <f t="shared" si="404"/>
        <v>0</v>
      </c>
      <c r="JLL1599" s="55">
        <f t="shared" si="404"/>
        <v>0</v>
      </c>
      <c r="JLM1599" s="55">
        <f t="shared" si="404"/>
        <v>0</v>
      </c>
      <c r="JLN1599" s="55">
        <f t="shared" si="404"/>
        <v>0</v>
      </c>
      <c r="JLO1599" s="55">
        <f t="shared" si="404"/>
        <v>0</v>
      </c>
      <c r="JLP1599" s="55">
        <f t="shared" si="404"/>
        <v>0</v>
      </c>
      <c r="JLQ1599" s="55">
        <f t="shared" si="404"/>
        <v>0</v>
      </c>
      <c r="JLR1599" s="55">
        <f t="shared" si="404"/>
        <v>0</v>
      </c>
      <c r="JLS1599" s="55">
        <f t="shared" si="404"/>
        <v>0</v>
      </c>
      <c r="JLT1599" s="55">
        <f t="shared" si="404"/>
        <v>0</v>
      </c>
      <c r="JLU1599" s="55">
        <f t="shared" si="404"/>
        <v>0</v>
      </c>
      <c r="JLV1599" s="55">
        <f t="shared" si="404"/>
        <v>0</v>
      </c>
      <c r="JLW1599" s="55">
        <f t="shared" si="404"/>
        <v>0</v>
      </c>
      <c r="JLX1599" s="55">
        <f t="shared" si="404"/>
        <v>0</v>
      </c>
      <c r="JLY1599" s="55">
        <f t="shared" si="404"/>
        <v>0</v>
      </c>
      <c r="JLZ1599" s="55">
        <f t="shared" si="404"/>
        <v>0</v>
      </c>
      <c r="JMA1599" s="55">
        <f t="shared" si="404"/>
        <v>0</v>
      </c>
      <c r="JMB1599" s="55">
        <f t="shared" si="404"/>
        <v>0</v>
      </c>
      <c r="JMC1599" s="55">
        <f t="shared" si="404"/>
        <v>0</v>
      </c>
      <c r="JMD1599" s="55">
        <f t="shared" si="404"/>
        <v>0</v>
      </c>
      <c r="JME1599" s="55">
        <f t="shared" si="404"/>
        <v>0</v>
      </c>
      <c r="JMF1599" s="55">
        <f t="shared" si="404"/>
        <v>0</v>
      </c>
      <c r="JMG1599" s="55">
        <f t="shared" si="404"/>
        <v>0</v>
      </c>
      <c r="JMH1599" s="55">
        <f t="shared" si="404"/>
        <v>0</v>
      </c>
      <c r="JMI1599" s="55">
        <f t="shared" si="404"/>
        <v>0</v>
      </c>
      <c r="JMJ1599" s="55">
        <f t="shared" si="404"/>
        <v>0</v>
      </c>
      <c r="JMK1599" s="55">
        <f t="shared" si="404"/>
        <v>0</v>
      </c>
      <c r="JML1599" s="55">
        <f t="shared" si="404"/>
        <v>0</v>
      </c>
      <c r="JMM1599" s="55">
        <f t="shared" si="404"/>
        <v>0</v>
      </c>
      <c r="JMN1599" s="55">
        <f t="shared" si="404"/>
        <v>0</v>
      </c>
      <c r="JMO1599" s="55">
        <f t="shared" si="404"/>
        <v>0</v>
      </c>
      <c r="JMP1599" s="55">
        <f t="shared" si="404"/>
        <v>0</v>
      </c>
      <c r="JMQ1599" s="55">
        <f t="shared" si="404"/>
        <v>0</v>
      </c>
      <c r="JMR1599" s="55">
        <f t="shared" ref="JMR1599:JPC1599" si="405">+(JMR1619+JMR1623)*1.18*1.1</f>
        <v>0</v>
      </c>
      <c r="JMS1599" s="55">
        <f t="shared" si="405"/>
        <v>0</v>
      </c>
      <c r="JMT1599" s="55">
        <f t="shared" si="405"/>
        <v>0</v>
      </c>
      <c r="JMU1599" s="55">
        <f t="shared" si="405"/>
        <v>0</v>
      </c>
      <c r="JMV1599" s="55">
        <f t="shared" si="405"/>
        <v>0</v>
      </c>
      <c r="JMW1599" s="55">
        <f t="shared" si="405"/>
        <v>0</v>
      </c>
      <c r="JMX1599" s="55">
        <f t="shared" si="405"/>
        <v>0</v>
      </c>
      <c r="JMY1599" s="55">
        <f t="shared" si="405"/>
        <v>0</v>
      </c>
      <c r="JMZ1599" s="55">
        <f t="shared" si="405"/>
        <v>0</v>
      </c>
      <c r="JNA1599" s="55">
        <f t="shared" si="405"/>
        <v>0</v>
      </c>
      <c r="JNB1599" s="55">
        <f t="shared" si="405"/>
        <v>0</v>
      </c>
      <c r="JNC1599" s="55">
        <f t="shared" si="405"/>
        <v>0</v>
      </c>
      <c r="JND1599" s="55">
        <f t="shared" si="405"/>
        <v>0</v>
      </c>
      <c r="JNE1599" s="55">
        <f t="shared" si="405"/>
        <v>0</v>
      </c>
      <c r="JNF1599" s="55">
        <f t="shared" si="405"/>
        <v>0</v>
      </c>
      <c r="JNG1599" s="55">
        <f t="shared" si="405"/>
        <v>0</v>
      </c>
      <c r="JNH1599" s="55">
        <f t="shared" si="405"/>
        <v>0</v>
      </c>
      <c r="JNI1599" s="55">
        <f t="shared" si="405"/>
        <v>0</v>
      </c>
      <c r="JNJ1599" s="55">
        <f t="shared" si="405"/>
        <v>0</v>
      </c>
      <c r="JNK1599" s="55">
        <f t="shared" si="405"/>
        <v>0</v>
      </c>
      <c r="JNL1599" s="55">
        <f t="shared" si="405"/>
        <v>0</v>
      </c>
      <c r="JNM1599" s="55">
        <f t="shared" si="405"/>
        <v>0</v>
      </c>
      <c r="JNN1599" s="55">
        <f t="shared" si="405"/>
        <v>0</v>
      </c>
      <c r="JNO1599" s="55">
        <f t="shared" si="405"/>
        <v>0</v>
      </c>
      <c r="JNP1599" s="55">
        <f t="shared" si="405"/>
        <v>0</v>
      </c>
      <c r="JNQ1599" s="55">
        <f t="shared" si="405"/>
        <v>0</v>
      </c>
      <c r="JNR1599" s="55">
        <f t="shared" si="405"/>
        <v>0</v>
      </c>
      <c r="JNS1599" s="55">
        <f t="shared" si="405"/>
        <v>0</v>
      </c>
      <c r="JNT1599" s="55">
        <f t="shared" si="405"/>
        <v>0</v>
      </c>
      <c r="JNU1599" s="55">
        <f t="shared" si="405"/>
        <v>0</v>
      </c>
      <c r="JNV1599" s="55">
        <f t="shared" si="405"/>
        <v>0</v>
      </c>
      <c r="JNW1599" s="55">
        <f t="shared" si="405"/>
        <v>0</v>
      </c>
      <c r="JNX1599" s="55">
        <f t="shared" si="405"/>
        <v>0</v>
      </c>
      <c r="JNY1599" s="55">
        <f t="shared" si="405"/>
        <v>0</v>
      </c>
      <c r="JNZ1599" s="55">
        <f t="shared" si="405"/>
        <v>0</v>
      </c>
      <c r="JOA1599" s="55">
        <f t="shared" si="405"/>
        <v>0</v>
      </c>
      <c r="JOB1599" s="55">
        <f t="shared" si="405"/>
        <v>0</v>
      </c>
      <c r="JOC1599" s="55">
        <f t="shared" si="405"/>
        <v>0</v>
      </c>
      <c r="JOD1599" s="55">
        <f t="shared" si="405"/>
        <v>0</v>
      </c>
      <c r="JOE1599" s="55">
        <f t="shared" si="405"/>
        <v>0</v>
      </c>
      <c r="JOF1599" s="55">
        <f t="shared" si="405"/>
        <v>0</v>
      </c>
      <c r="JOG1599" s="55">
        <f t="shared" si="405"/>
        <v>0</v>
      </c>
      <c r="JOH1599" s="55">
        <f t="shared" si="405"/>
        <v>0</v>
      </c>
      <c r="JOI1599" s="55">
        <f t="shared" si="405"/>
        <v>0</v>
      </c>
      <c r="JOJ1599" s="55">
        <f t="shared" si="405"/>
        <v>0</v>
      </c>
      <c r="JOK1599" s="55">
        <f t="shared" si="405"/>
        <v>0</v>
      </c>
      <c r="JOL1599" s="55">
        <f t="shared" si="405"/>
        <v>0</v>
      </c>
      <c r="JOM1599" s="55">
        <f t="shared" si="405"/>
        <v>0</v>
      </c>
      <c r="JON1599" s="55">
        <f t="shared" si="405"/>
        <v>0</v>
      </c>
      <c r="JOO1599" s="55">
        <f t="shared" si="405"/>
        <v>0</v>
      </c>
      <c r="JOP1599" s="55">
        <f t="shared" si="405"/>
        <v>0</v>
      </c>
      <c r="JOQ1599" s="55">
        <f t="shared" si="405"/>
        <v>0</v>
      </c>
      <c r="JOR1599" s="55">
        <f t="shared" si="405"/>
        <v>0</v>
      </c>
      <c r="JOS1599" s="55">
        <f t="shared" si="405"/>
        <v>0</v>
      </c>
      <c r="JOT1599" s="55">
        <f t="shared" si="405"/>
        <v>0</v>
      </c>
      <c r="JOU1599" s="55">
        <f t="shared" si="405"/>
        <v>0</v>
      </c>
      <c r="JOV1599" s="55">
        <f t="shared" si="405"/>
        <v>0</v>
      </c>
      <c r="JOW1599" s="55">
        <f t="shared" si="405"/>
        <v>0</v>
      </c>
      <c r="JOX1599" s="55">
        <f t="shared" si="405"/>
        <v>0</v>
      </c>
      <c r="JOY1599" s="55">
        <f t="shared" si="405"/>
        <v>0</v>
      </c>
      <c r="JOZ1599" s="55">
        <f t="shared" si="405"/>
        <v>0</v>
      </c>
      <c r="JPA1599" s="55">
        <f t="shared" si="405"/>
        <v>0</v>
      </c>
      <c r="JPB1599" s="55">
        <f t="shared" si="405"/>
        <v>0</v>
      </c>
      <c r="JPC1599" s="55">
        <f t="shared" si="405"/>
        <v>0</v>
      </c>
      <c r="JPD1599" s="55">
        <f t="shared" ref="JPD1599:JRO1599" si="406">+(JPD1619+JPD1623)*1.18*1.1</f>
        <v>0</v>
      </c>
      <c r="JPE1599" s="55">
        <f t="shared" si="406"/>
        <v>0</v>
      </c>
      <c r="JPF1599" s="55">
        <f t="shared" si="406"/>
        <v>0</v>
      </c>
      <c r="JPG1599" s="55">
        <f t="shared" si="406"/>
        <v>0</v>
      </c>
      <c r="JPH1599" s="55">
        <f t="shared" si="406"/>
        <v>0</v>
      </c>
      <c r="JPI1599" s="55">
        <f t="shared" si="406"/>
        <v>0</v>
      </c>
      <c r="JPJ1599" s="55">
        <f t="shared" si="406"/>
        <v>0</v>
      </c>
      <c r="JPK1599" s="55">
        <f t="shared" si="406"/>
        <v>0</v>
      </c>
      <c r="JPL1599" s="55">
        <f t="shared" si="406"/>
        <v>0</v>
      </c>
      <c r="JPM1599" s="55">
        <f t="shared" si="406"/>
        <v>0</v>
      </c>
      <c r="JPN1599" s="55">
        <f t="shared" si="406"/>
        <v>0</v>
      </c>
      <c r="JPO1599" s="55">
        <f t="shared" si="406"/>
        <v>0</v>
      </c>
      <c r="JPP1599" s="55">
        <f t="shared" si="406"/>
        <v>0</v>
      </c>
      <c r="JPQ1599" s="55">
        <f t="shared" si="406"/>
        <v>0</v>
      </c>
      <c r="JPR1599" s="55">
        <f t="shared" si="406"/>
        <v>0</v>
      </c>
      <c r="JPS1599" s="55">
        <f t="shared" si="406"/>
        <v>0</v>
      </c>
      <c r="JPT1599" s="55">
        <f t="shared" si="406"/>
        <v>0</v>
      </c>
      <c r="JPU1599" s="55">
        <f t="shared" si="406"/>
        <v>0</v>
      </c>
      <c r="JPV1599" s="55">
        <f t="shared" si="406"/>
        <v>0</v>
      </c>
      <c r="JPW1599" s="55">
        <f t="shared" si="406"/>
        <v>0</v>
      </c>
      <c r="JPX1599" s="55">
        <f t="shared" si="406"/>
        <v>0</v>
      </c>
      <c r="JPY1599" s="55">
        <f t="shared" si="406"/>
        <v>0</v>
      </c>
      <c r="JPZ1599" s="55">
        <f t="shared" si="406"/>
        <v>0</v>
      </c>
      <c r="JQA1599" s="55">
        <f t="shared" si="406"/>
        <v>0</v>
      </c>
      <c r="JQB1599" s="55">
        <f t="shared" si="406"/>
        <v>0</v>
      </c>
      <c r="JQC1599" s="55">
        <f t="shared" si="406"/>
        <v>0</v>
      </c>
      <c r="JQD1599" s="55">
        <f t="shared" si="406"/>
        <v>0</v>
      </c>
      <c r="JQE1599" s="55">
        <f t="shared" si="406"/>
        <v>0</v>
      </c>
      <c r="JQF1599" s="55">
        <f t="shared" si="406"/>
        <v>0</v>
      </c>
      <c r="JQG1599" s="55">
        <f t="shared" si="406"/>
        <v>0</v>
      </c>
      <c r="JQH1599" s="55">
        <f t="shared" si="406"/>
        <v>0</v>
      </c>
      <c r="JQI1599" s="55">
        <f t="shared" si="406"/>
        <v>0</v>
      </c>
      <c r="JQJ1599" s="55">
        <f t="shared" si="406"/>
        <v>0</v>
      </c>
      <c r="JQK1599" s="55">
        <f t="shared" si="406"/>
        <v>0</v>
      </c>
      <c r="JQL1599" s="55">
        <f t="shared" si="406"/>
        <v>0</v>
      </c>
      <c r="JQM1599" s="55">
        <f t="shared" si="406"/>
        <v>0</v>
      </c>
      <c r="JQN1599" s="55">
        <f t="shared" si="406"/>
        <v>0</v>
      </c>
      <c r="JQO1599" s="55">
        <f t="shared" si="406"/>
        <v>0</v>
      </c>
      <c r="JQP1599" s="55">
        <f t="shared" si="406"/>
        <v>0</v>
      </c>
      <c r="JQQ1599" s="55">
        <f t="shared" si="406"/>
        <v>0</v>
      </c>
      <c r="JQR1599" s="55">
        <f t="shared" si="406"/>
        <v>0</v>
      </c>
      <c r="JQS1599" s="55">
        <f t="shared" si="406"/>
        <v>0</v>
      </c>
      <c r="JQT1599" s="55">
        <f t="shared" si="406"/>
        <v>0</v>
      </c>
      <c r="JQU1599" s="55">
        <f t="shared" si="406"/>
        <v>0</v>
      </c>
      <c r="JQV1599" s="55">
        <f t="shared" si="406"/>
        <v>0</v>
      </c>
      <c r="JQW1599" s="55">
        <f t="shared" si="406"/>
        <v>0</v>
      </c>
      <c r="JQX1599" s="55">
        <f t="shared" si="406"/>
        <v>0</v>
      </c>
      <c r="JQY1599" s="55">
        <f t="shared" si="406"/>
        <v>0</v>
      </c>
      <c r="JQZ1599" s="55">
        <f t="shared" si="406"/>
        <v>0</v>
      </c>
      <c r="JRA1599" s="55">
        <f t="shared" si="406"/>
        <v>0</v>
      </c>
      <c r="JRB1599" s="55">
        <f t="shared" si="406"/>
        <v>0</v>
      </c>
      <c r="JRC1599" s="55">
        <f t="shared" si="406"/>
        <v>0</v>
      </c>
      <c r="JRD1599" s="55">
        <f t="shared" si="406"/>
        <v>0</v>
      </c>
      <c r="JRE1599" s="55">
        <f t="shared" si="406"/>
        <v>0</v>
      </c>
      <c r="JRF1599" s="55">
        <f t="shared" si="406"/>
        <v>0</v>
      </c>
      <c r="JRG1599" s="55">
        <f t="shared" si="406"/>
        <v>0</v>
      </c>
      <c r="JRH1599" s="55">
        <f t="shared" si="406"/>
        <v>0</v>
      </c>
      <c r="JRI1599" s="55">
        <f t="shared" si="406"/>
        <v>0</v>
      </c>
      <c r="JRJ1599" s="55">
        <f t="shared" si="406"/>
        <v>0</v>
      </c>
      <c r="JRK1599" s="55">
        <f t="shared" si="406"/>
        <v>0</v>
      </c>
      <c r="JRL1599" s="55">
        <f t="shared" si="406"/>
        <v>0</v>
      </c>
      <c r="JRM1599" s="55">
        <f t="shared" si="406"/>
        <v>0</v>
      </c>
      <c r="JRN1599" s="55">
        <f t="shared" si="406"/>
        <v>0</v>
      </c>
      <c r="JRO1599" s="55">
        <f t="shared" si="406"/>
        <v>0</v>
      </c>
      <c r="JRP1599" s="55">
        <f t="shared" ref="JRP1599:JUA1599" si="407">+(JRP1619+JRP1623)*1.18*1.1</f>
        <v>0</v>
      </c>
      <c r="JRQ1599" s="55">
        <f t="shared" si="407"/>
        <v>0</v>
      </c>
      <c r="JRR1599" s="55">
        <f t="shared" si="407"/>
        <v>0</v>
      </c>
      <c r="JRS1599" s="55">
        <f t="shared" si="407"/>
        <v>0</v>
      </c>
      <c r="JRT1599" s="55">
        <f t="shared" si="407"/>
        <v>0</v>
      </c>
      <c r="JRU1599" s="55">
        <f t="shared" si="407"/>
        <v>0</v>
      </c>
      <c r="JRV1599" s="55">
        <f t="shared" si="407"/>
        <v>0</v>
      </c>
      <c r="JRW1599" s="55">
        <f t="shared" si="407"/>
        <v>0</v>
      </c>
      <c r="JRX1599" s="55">
        <f t="shared" si="407"/>
        <v>0</v>
      </c>
      <c r="JRY1599" s="55">
        <f t="shared" si="407"/>
        <v>0</v>
      </c>
      <c r="JRZ1599" s="55">
        <f t="shared" si="407"/>
        <v>0</v>
      </c>
      <c r="JSA1599" s="55">
        <f t="shared" si="407"/>
        <v>0</v>
      </c>
      <c r="JSB1599" s="55">
        <f t="shared" si="407"/>
        <v>0</v>
      </c>
      <c r="JSC1599" s="55">
        <f t="shared" si="407"/>
        <v>0</v>
      </c>
      <c r="JSD1599" s="55">
        <f t="shared" si="407"/>
        <v>0</v>
      </c>
      <c r="JSE1599" s="55">
        <f t="shared" si="407"/>
        <v>0</v>
      </c>
      <c r="JSF1599" s="55">
        <f t="shared" si="407"/>
        <v>0</v>
      </c>
      <c r="JSG1599" s="55">
        <f t="shared" si="407"/>
        <v>0</v>
      </c>
      <c r="JSH1599" s="55">
        <f t="shared" si="407"/>
        <v>0</v>
      </c>
      <c r="JSI1599" s="55">
        <f t="shared" si="407"/>
        <v>0</v>
      </c>
      <c r="JSJ1599" s="55">
        <f t="shared" si="407"/>
        <v>0</v>
      </c>
      <c r="JSK1599" s="55">
        <f t="shared" si="407"/>
        <v>0</v>
      </c>
      <c r="JSL1599" s="55">
        <f t="shared" si="407"/>
        <v>0</v>
      </c>
      <c r="JSM1599" s="55">
        <f t="shared" si="407"/>
        <v>0</v>
      </c>
      <c r="JSN1599" s="55">
        <f t="shared" si="407"/>
        <v>0</v>
      </c>
      <c r="JSO1599" s="55">
        <f t="shared" si="407"/>
        <v>0</v>
      </c>
      <c r="JSP1599" s="55">
        <f t="shared" si="407"/>
        <v>0</v>
      </c>
      <c r="JSQ1599" s="55">
        <f t="shared" si="407"/>
        <v>0</v>
      </c>
      <c r="JSR1599" s="55">
        <f t="shared" si="407"/>
        <v>0</v>
      </c>
      <c r="JSS1599" s="55">
        <f t="shared" si="407"/>
        <v>0</v>
      </c>
      <c r="JST1599" s="55">
        <f t="shared" si="407"/>
        <v>0</v>
      </c>
      <c r="JSU1599" s="55">
        <f t="shared" si="407"/>
        <v>0</v>
      </c>
      <c r="JSV1599" s="55">
        <f t="shared" si="407"/>
        <v>0</v>
      </c>
      <c r="JSW1599" s="55">
        <f t="shared" si="407"/>
        <v>0</v>
      </c>
      <c r="JSX1599" s="55">
        <f t="shared" si="407"/>
        <v>0</v>
      </c>
      <c r="JSY1599" s="55">
        <f t="shared" si="407"/>
        <v>0</v>
      </c>
      <c r="JSZ1599" s="55">
        <f t="shared" si="407"/>
        <v>0</v>
      </c>
      <c r="JTA1599" s="55">
        <f t="shared" si="407"/>
        <v>0</v>
      </c>
      <c r="JTB1599" s="55">
        <f t="shared" si="407"/>
        <v>0</v>
      </c>
      <c r="JTC1599" s="55">
        <f t="shared" si="407"/>
        <v>0</v>
      </c>
      <c r="JTD1599" s="55">
        <f t="shared" si="407"/>
        <v>0</v>
      </c>
      <c r="JTE1599" s="55">
        <f t="shared" si="407"/>
        <v>0</v>
      </c>
      <c r="JTF1599" s="55">
        <f t="shared" si="407"/>
        <v>0</v>
      </c>
      <c r="JTG1599" s="55">
        <f t="shared" si="407"/>
        <v>0</v>
      </c>
      <c r="JTH1599" s="55">
        <f t="shared" si="407"/>
        <v>0</v>
      </c>
      <c r="JTI1599" s="55">
        <f t="shared" si="407"/>
        <v>0</v>
      </c>
      <c r="JTJ1599" s="55">
        <f t="shared" si="407"/>
        <v>0</v>
      </c>
      <c r="JTK1599" s="55">
        <f t="shared" si="407"/>
        <v>0</v>
      </c>
      <c r="JTL1599" s="55">
        <f t="shared" si="407"/>
        <v>0</v>
      </c>
      <c r="JTM1599" s="55">
        <f t="shared" si="407"/>
        <v>0</v>
      </c>
      <c r="JTN1599" s="55">
        <f t="shared" si="407"/>
        <v>0</v>
      </c>
      <c r="JTO1599" s="55">
        <f t="shared" si="407"/>
        <v>0</v>
      </c>
      <c r="JTP1599" s="55">
        <f t="shared" si="407"/>
        <v>0</v>
      </c>
      <c r="JTQ1599" s="55">
        <f t="shared" si="407"/>
        <v>0</v>
      </c>
      <c r="JTR1599" s="55">
        <f t="shared" si="407"/>
        <v>0</v>
      </c>
      <c r="JTS1599" s="55">
        <f t="shared" si="407"/>
        <v>0</v>
      </c>
      <c r="JTT1599" s="55">
        <f t="shared" si="407"/>
        <v>0</v>
      </c>
      <c r="JTU1599" s="55">
        <f t="shared" si="407"/>
        <v>0</v>
      </c>
      <c r="JTV1599" s="55">
        <f t="shared" si="407"/>
        <v>0</v>
      </c>
      <c r="JTW1599" s="55">
        <f t="shared" si="407"/>
        <v>0</v>
      </c>
      <c r="JTX1599" s="55">
        <f t="shared" si="407"/>
        <v>0</v>
      </c>
      <c r="JTY1599" s="55">
        <f t="shared" si="407"/>
        <v>0</v>
      </c>
      <c r="JTZ1599" s="55">
        <f t="shared" si="407"/>
        <v>0</v>
      </c>
      <c r="JUA1599" s="55">
        <f t="shared" si="407"/>
        <v>0</v>
      </c>
      <c r="JUB1599" s="55">
        <f t="shared" ref="JUB1599:JWM1599" si="408">+(JUB1619+JUB1623)*1.18*1.1</f>
        <v>0</v>
      </c>
      <c r="JUC1599" s="55">
        <f t="shared" si="408"/>
        <v>0</v>
      </c>
      <c r="JUD1599" s="55">
        <f t="shared" si="408"/>
        <v>0</v>
      </c>
      <c r="JUE1599" s="55">
        <f t="shared" si="408"/>
        <v>0</v>
      </c>
      <c r="JUF1599" s="55">
        <f t="shared" si="408"/>
        <v>0</v>
      </c>
      <c r="JUG1599" s="55">
        <f t="shared" si="408"/>
        <v>0</v>
      </c>
      <c r="JUH1599" s="55">
        <f t="shared" si="408"/>
        <v>0</v>
      </c>
      <c r="JUI1599" s="55">
        <f t="shared" si="408"/>
        <v>0</v>
      </c>
      <c r="JUJ1599" s="55">
        <f t="shared" si="408"/>
        <v>0</v>
      </c>
      <c r="JUK1599" s="55">
        <f t="shared" si="408"/>
        <v>0</v>
      </c>
      <c r="JUL1599" s="55">
        <f t="shared" si="408"/>
        <v>0</v>
      </c>
      <c r="JUM1599" s="55">
        <f t="shared" si="408"/>
        <v>0</v>
      </c>
      <c r="JUN1599" s="55">
        <f t="shared" si="408"/>
        <v>0</v>
      </c>
      <c r="JUO1599" s="55">
        <f t="shared" si="408"/>
        <v>0</v>
      </c>
      <c r="JUP1599" s="55">
        <f t="shared" si="408"/>
        <v>0</v>
      </c>
      <c r="JUQ1599" s="55">
        <f t="shared" si="408"/>
        <v>0</v>
      </c>
      <c r="JUR1599" s="55">
        <f t="shared" si="408"/>
        <v>0</v>
      </c>
      <c r="JUS1599" s="55">
        <f t="shared" si="408"/>
        <v>0</v>
      </c>
      <c r="JUT1599" s="55">
        <f t="shared" si="408"/>
        <v>0</v>
      </c>
      <c r="JUU1599" s="55">
        <f t="shared" si="408"/>
        <v>0</v>
      </c>
      <c r="JUV1599" s="55">
        <f t="shared" si="408"/>
        <v>0</v>
      </c>
      <c r="JUW1599" s="55">
        <f t="shared" si="408"/>
        <v>0</v>
      </c>
      <c r="JUX1599" s="55">
        <f t="shared" si="408"/>
        <v>0</v>
      </c>
      <c r="JUY1599" s="55">
        <f t="shared" si="408"/>
        <v>0</v>
      </c>
      <c r="JUZ1599" s="55">
        <f t="shared" si="408"/>
        <v>0</v>
      </c>
      <c r="JVA1599" s="55">
        <f t="shared" si="408"/>
        <v>0</v>
      </c>
      <c r="JVB1599" s="55">
        <f t="shared" si="408"/>
        <v>0</v>
      </c>
      <c r="JVC1599" s="55">
        <f t="shared" si="408"/>
        <v>0</v>
      </c>
      <c r="JVD1599" s="55">
        <f t="shared" si="408"/>
        <v>0</v>
      </c>
      <c r="JVE1599" s="55">
        <f t="shared" si="408"/>
        <v>0</v>
      </c>
      <c r="JVF1599" s="55">
        <f t="shared" si="408"/>
        <v>0</v>
      </c>
      <c r="JVG1599" s="55">
        <f t="shared" si="408"/>
        <v>0</v>
      </c>
      <c r="JVH1599" s="55">
        <f t="shared" si="408"/>
        <v>0</v>
      </c>
      <c r="JVI1599" s="55">
        <f t="shared" si="408"/>
        <v>0</v>
      </c>
      <c r="JVJ1599" s="55">
        <f t="shared" si="408"/>
        <v>0</v>
      </c>
      <c r="JVK1599" s="55">
        <f t="shared" si="408"/>
        <v>0</v>
      </c>
      <c r="JVL1599" s="55">
        <f t="shared" si="408"/>
        <v>0</v>
      </c>
      <c r="JVM1599" s="55">
        <f t="shared" si="408"/>
        <v>0</v>
      </c>
      <c r="JVN1599" s="55">
        <f t="shared" si="408"/>
        <v>0</v>
      </c>
      <c r="JVO1599" s="55">
        <f t="shared" si="408"/>
        <v>0</v>
      </c>
      <c r="JVP1599" s="55">
        <f t="shared" si="408"/>
        <v>0</v>
      </c>
      <c r="JVQ1599" s="55">
        <f t="shared" si="408"/>
        <v>0</v>
      </c>
      <c r="JVR1599" s="55">
        <f t="shared" si="408"/>
        <v>0</v>
      </c>
      <c r="JVS1599" s="55">
        <f t="shared" si="408"/>
        <v>0</v>
      </c>
      <c r="JVT1599" s="55">
        <f t="shared" si="408"/>
        <v>0</v>
      </c>
      <c r="JVU1599" s="55">
        <f t="shared" si="408"/>
        <v>0</v>
      </c>
      <c r="JVV1599" s="55">
        <f t="shared" si="408"/>
        <v>0</v>
      </c>
      <c r="JVW1599" s="55">
        <f t="shared" si="408"/>
        <v>0</v>
      </c>
      <c r="JVX1599" s="55">
        <f t="shared" si="408"/>
        <v>0</v>
      </c>
      <c r="JVY1599" s="55">
        <f t="shared" si="408"/>
        <v>0</v>
      </c>
      <c r="JVZ1599" s="55">
        <f t="shared" si="408"/>
        <v>0</v>
      </c>
      <c r="JWA1599" s="55">
        <f t="shared" si="408"/>
        <v>0</v>
      </c>
      <c r="JWB1599" s="55">
        <f t="shared" si="408"/>
        <v>0</v>
      </c>
      <c r="JWC1599" s="55">
        <f t="shared" si="408"/>
        <v>0</v>
      </c>
      <c r="JWD1599" s="55">
        <f t="shared" si="408"/>
        <v>0</v>
      </c>
      <c r="JWE1599" s="55">
        <f t="shared" si="408"/>
        <v>0</v>
      </c>
      <c r="JWF1599" s="55">
        <f t="shared" si="408"/>
        <v>0</v>
      </c>
      <c r="JWG1599" s="55">
        <f t="shared" si="408"/>
        <v>0</v>
      </c>
      <c r="JWH1599" s="55">
        <f t="shared" si="408"/>
        <v>0</v>
      </c>
      <c r="JWI1599" s="55">
        <f t="shared" si="408"/>
        <v>0</v>
      </c>
      <c r="JWJ1599" s="55">
        <f t="shared" si="408"/>
        <v>0</v>
      </c>
      <c r="JWK1599" s="55">
        <f t="shared" si="408"/>
        <v>0</v>
      </c>
      <c r="JWL1599" s="55">
        <f t="shared" si="408"/>
        <v>0</v>
      </c>
      <c r="JWM1599" s="55">
        <f t="shared" si="408"/>
        <v>0</v>
      </c>
      <c r="JWN1599" s="55">
        <f t="shared" ref="JWN1599:JYY1599" si="409">+(JWN1619+JWN1623)*1.18*1.1</f>
        <v>0</v>
      </c>
      <c r="JWO1599" s="55">
        <f t="shared" si="409"/>
        <v>0</v>
      </c>
      <c r="JWP1599" s="55">
        <f t="shared" si="409"/>
        <v>0</v>
      </c>
      <c r="JWQ1599" s="55">
        <f t="shared" si="409"/>
        <v>0</v>
      </c>
      <c r="JWR1599" s="55">
        <f t="shared" si="409"/>
        <v>0</v>
      </c>
      <c r="JWS1599" s="55">
        <f t="shared" si="409"/>
        <v>0</v>
      </c>
      <c r="JWT1599" s="55">
        <f t="shared" si="409"/>
        <v>0</v>
      </c>
      <c r="JWU1599" s="55">
        <f t="shared" si="409"/>
        <v>0</v>
      </c>
      <c r="JWV1599" s="55">
        <f t="shared" si="409"/>
        <v>0</v>
      </c>
      <c r="JWW1599" s="55">
        <f t="shared" si="409"/>
        <v>0</v>
      </c>
      <c r="JWX1599" s="55">
        <f t="shared" si="409"/>
        <v>0</v>
      </c>
      <c r="JWY1599" s="55">
        <f t="shared" si="409"/>
        <v>0</v>
      </c>
      <c r="JWZ1599" s="55">
        <f t="shared" si="409"/>
        <v>0</v>
      </c>
      <c r="JXA1599" s="55">
        <f t="shared" si="409"/>
        <v>0</v>
      </c>
      <c r="JXB1599" s="55">
        <f t="shared" si="409"/>
        <v>0</v>
      </c>
      <c r="JXC1599" s="55">
        <f t="shared" si="409"/>
        <v>0</v>
      </c>
      <c r="JXD1599" s="55">
        <f t="shared" si="409"/>
        <v>0</v>
      </c>
      <c r="JXE1599" s="55">
        <f t="shared" si="409"/>
        <v>0</v>
      </c>
      <c r="JXF1599" s="55">
        <f t="shared" si="409"/>
        <v>0</v>
      </c>
      <c r="JXG1599" s="55">
        <f t="shared" si="409"/>
        <v>0</v>
      </c>
      <c r="JXH1599" s="55">
        <f t="shared" si="409"/>
        <v>0</v>
      </c>
      <c r="JXI1599" s="55">
        <f t="shared" si="409"/>
        <v>0</v>
      </c>
      <c r="JXJ1599" s="55">
        <f t="shared" si="409"/>
        <v>0</v>
      </c>
      <c r="JXK1599" s="55">
        <f t="shared" si="409"/>
        <v>0</v>
      </c>
      <c r="JXL1599" s="55">
        <f t="shared" si="409"/>
        <v>0</v>
      </c>
      <c r="JXM1599" s="55">
        <f t="shared" si="409"/>
        <v>0</v>
      </c>
      <c r="JXN1599" s="55">
        <f t="shared" si="409"/>
        <v>0</v>
      </c>
      <c r="JXO1599" s="55">
        <f t="shared" si="409"/>
        <v>0</v>
      </c>
      <c r="JXP1599" s="55">
        <f t="shared" si="409"/>
        <v>0</v>
      </c>
      <c r="JXQ1599" s="55">
        <f t="shared" si="409"/>
        <v>0</v>
      </c>
      <c r="JXR1599" s="55">
        <f t="shared" si="409"/>
        <v>0</v>
      </c>
      <c r="JXS1599" s="55">
        <f t="shared" si="409"/>
        <v>0</v>
      </c>
      <c r="JXT1599" s="55">
        <f t="shared" si="409"/>
        <v>0</v>
      </c>
      <c r="JXU1599" s="55">
        <f t="shared" si="409"/>
        <v>0</v>
      </c>
      <c r="JXV1599" s="55">
        <f t="shared" si="409"/>
        <v>0</v>
      </c>
      <c r="JXW1599" s="55">
        <f t="shared" si="409"/>
        <v>0</v>
      </c>
      <c r="JXX1599" s="55">
        <f t="shared" si="409"/>
        <v>0</v>
      </c>
      <c r="JXY1599" s="55">
        <f t="shared" si="409"/>
        <v>0</v>
      </c>
      <c r="JXZ1599" s="55">
        <f t="shared" si="409"/>
        <v>0</v>
      </c>
      <c r="JYA1599" s="55">
        <f t="shared" si="409"/>
        <v>0</v>
      </c>
      <c r="JYB1599" s="55">
        <f t="shared" si="409"/>
        <v>0</v>
      </c>
      <c r="JYC1599" s="55">
        <f t="shared" si="409"/>
        <v>0</v>
      </c>
      <c r="JYD1599" s="55">
        <f t="shared" si="409"/>
        <v>0</v>
      </c>
      <c r="JYE1599" s="55">
        <f t="shared" si="409"/>
        <v>0</v>
      </c>
      <c r="JYF1599" s="55">
        <f t="shared" si="409"/>
        <v>0</v>
      </c>
      <c r="JYG1599" s="55">
        <f t="shared" si="409"/>
        <v>0</v>
      </c>
      <c r="JYH1599" s="55">
        <f t="shared" si="409"/>
        <v>0</v>
      </c>
      <c r="JYI1599" s="55">
        <f t="shared" si="409"/>
        <v>0</v>
      </c>
      <c r="JYJ1599" s="55">
        <f t="shared" si="409"/>
        <v>0</v>
      </c>
      <c r="JYK1599" s="55">
        <f t="shared" si="409"/>
        <v>0</v>
      </c>
      <c r="JYL1599" s="55">
        <f t="shared" si="409"/>
        <v>0</v>
      </c>
      <c r="JYM1599" s="55">
        <f t="shared" si="409"/>
        <v>0</v>
      </c>
      <c r="JYN1599" s="55">
        <f t="shared" si="409"/>
        <v>0</v>
      </c>
      <c r="JYO1599" s="55">
        <f t="shared" si="409"/>
        <v>0</v>
      </c>
      <c r="JYP1599" s="55">
        <f t="shared" si="409"/>
        <v>0</v>
      </c>
      <c r="JYQ1599" s="55">
        <f t="shared" si="409"/>
        <v>0</v>
      </c>
      <c r="JYR1599" s="55">
        <f t="shared" si="409"/>
        <v>0</v>
      </c>
      <c r="JYS1599" s="55">
        <f t="shared" si="409"/>
        <v>0</v>
      </c>
      <c r="JYT1599" s="55">
        <f t="shared" si="409"/>
        <v>0</v>
      </c>
      <c r="JYU1599" s="55">
        <f t="shared" si="409"/>
        <v>0</v>
      </c>
      <c r="JYV1599" s="55">
        <f t="shared" si="409"/>
        <v>0</v>
      </c>
      <c r="JYW1599" s="55">
        <f t="shared" si="409"/>
        <v>0</v>
      </c>
      <c r="JYX1599" s="55">
        <f t="shared" si="409"/>
        <v>0</v>
      </c>
      <c r="JYY1599" s="55">
        <f t="shared" si="409"/>
        <v>0</v>
      </c>
      <c r="JYZ1599" s="55">
        <f t="shared" ref="JYZ1599:KBK1599" si="410">+(JYZ1619+JYZ1623)*1.18*1.1</f>
        <v>0</v>
      </c>
      <c r="JZA1599" s="55">
        <f t="shared" si="410"/>
        <v>0</v>
      </c>
      <c r="JZB1599" s="55">
        <f t="shared" si="410"/>
        <v>0</v>
      </c>
      <c r="JZC1599" s="55">
        <f t="shared" si="410"/>
        <v>0</v>
      </c>
      <c r="JZD1599" s="55">
        <f t="shared" si="410"/>
        <v>0</v>
      </c>
      <c r="JZE1599" s="55">
        <f t="shared" si="410"/>
        <v>0</v>
      </c>
      <c r="JZF1599" s="55">
        <f t="shared" si="410"/>
        <v>0</v>
      </c>
      <c r="JZG1599" s="55">
        <f t="shared" si="410"/>
        <v>0</v>
      </c>
      <c r="JZH1599" s="55">
        <f t="shared" si="410"/>
        <v>0</v>
      </c>
      <c r="JZI1599" s="55">
        <f t="shared" si="410"/>
        <v>0</v>
      </c>
      <c r="JZJ1599" s="55">
        <f t="shared" si="410"/>
        <v>0</v>
      </c>
      <c r="JZK1599" s="55">
        <f t="shared" si="410"/>
        <v>0</v>
      </c>
      <c r="JZL1599" s="55">
        <f t="shared" si="410"/>
        <v>0</v>
      </c>
      <c r="JZM1599" s="55">
        <f t="shared" si="410"/>
        <v>0</v>
      </c>
      <c r="JZN1599" s="55">
        <f t="shared" si="410"/>
        <v>0</v>
      </c>
      <c r="JZO1599" s="55">
        <f t="shared" si="410"/>
        <v>0</v>
      </c>
      <c r="JZP1599" s="55">
        <f t="shared" si="410"/>
        <v>0</v>
      </c>
      <c r="JZQ1599" s="55">
        <f t="shared" si="410"/>
        <v>0</v>
      </c>
      <c r="JZR1599" s="55">
        <f t="shared" si="410"/>
        <v>0</v>
      </c>
      <c r="JZS1599" s="55">
        <f t="shared" si="410"/>
        <v>0</v>
      </c>
      <c r="JZT1599" s="55">
        <f t="shared" si="410"/>
        <v>0</v>
      </c>
      <c r="JZU1599" s="55">
        <f t="shared" si="410"/>
        <v>0</v>
      </c>
      <c r="JZV1599" s="55">
        <f t="shared" si="410"/>
        <v>0</v>
      </c>
      <c r="JZW1599" s="55">
        <f t="shared" si="410"/>
        <v>0</v>
      </c>
      <c r="JZX1599" s="55">
        <f t="shared" si="410"/>
        <v>0</v>
      </c>
      <c r="JZY1599" s="55">
        <f t="shared" si="410"/>
        <v>0</v>
      </c>
      <c r="JZZ1599" s="55">
        <f t="shared" si="410"/>
        <v>0</v>
      </c>
      <c r="KAA1599" s="55">
        <f t="shared" si="410"/>
        <v>0</v>
      </c>
      <c r="KAB1599" s="55">
        <f t="shared" si="410"/>
        <v>0</v>
      </c>
      <c r="KAC1599" s="55">
        <f t="shared" si="410"/>
        <v>0</v>
      </c>
      <c r="KAD1599" s="55">
        <f t="shared" si="410"/>
        <v>0</v>
      </c>
      <c r="KAE1599" s="55">
        <f t="shared" si="410"/>
        <v>0</v>
      </c>
      <c r="KAF1599" s="55">
        <f t="shared" si="410"/>
        <v>0</v>
      </c>
      <c r="KAG1599" s="55">
        <f t="shared" si="410"/>
        <v>0</v>
      </c>
      <c r="KAH1599" s="55">
        <f t="shared" si="410"/>
        <v>0</v>
      </c>
      <c r="KAI1599" s="55">
        <f t="shared" si="410"/>
        <v>0</v>
      </c>
      <c r="KAJ1599" s="55">
        <f t="shared" si="410"/>
        <v>0</v>
      </c>
      <c r="KAK1599" s="55">
        <f t="shared" si="410"/>
        <v>0</v>
      </c>
      <c r="KAL1599" s="55">
        <f t="shared" si="410"/>
        <v>0</v>
      </c>
      <c r="KAM1599" s="55">
        <f t="shared" si="410"/>
        <v>0</v>
      </c>
      <c r="KAN1599" s="55">
        <f t="shared" si="410"/>
        <v>0</v>
      </c>
      <c r="KAO1599" s="55">
        <f t="shared" si="410"/>
        <v>0</v>
      </c>
      <c r="KAP1599" s="55">
        <f t="shared" si="410"/>
        <v>0</v>
      </c>
      <c r="KAQ1599" s="55">
        <f t="shared" si="410"/>
        <v>0</v>
      </c>
      <c r="KAR1599" s="55">
        <f t="shared" si="410"/>
        <v>0</v>
      </c>
      <c r="KAS1599" s="55">
        <f t="shared" si="410"/>
        <v>0</v>
      </c>
      <c r="KAT1599" s="55">
        <f t="shared" si="410"/>
        <v>0</v>
      </c>
      <c r="KAU1599" s="55">
        <f t="shared" si="410"/>
        <v>0</v>
      </c>
      <c r="KAV1599" s="55">
        <f t="shared" si="410"/>
        <v>0</v>
      </c>
      <c r="KAW1599" s="55">
        <f t="shared" si="410"/>
        <v>0</v>
      </c>
      <c r="KAX1599" s="55">
        <f t="shared" si="410"/>
        <v>0</v>
      </c>
      <c r="KAY1599" s="55">
        <f t="shared" si="410"/>
        <v>0</v>
      </c>
      <c r="KAZ1599" s="55">
        <f t="shared" si="410"/>
        <v>0</v>
      </c>
      <c r="KBA1599" s="55">
        <f t="shared" si="410"/>
        <v>0</v>
      </c>
      <c r="KBB1599" s="55">
        <f t="shared" si="410"/>
        <v>0</v>
      </c>
      <c r="KBC1599" s="55">
        <f t="shared" si="410"/>
        <v>0</v>
      </c>
      <c r="KBD1599" s="55">
        <f t="shared" si="410"/>
        <v>0</v>
      </c>
      <c r="KBE1599" s="55">
        <f t="shared" si="410"/>
        <v>0</v>
      </c>
      <c r="KBF1599" s="55">
        <f t="shared" si="410"/>
        <v>0</v>
      </c>
      <c r="KBG1599" s="55">
        <f t="shared" si="410"/>
        <v>0</v>
      </c>
      <c r="KBH1599" s="55">
        <f t="shared" si="410"/>
        <v>0</v>
      </c>
      <c r="KBI1599" s="55">
        <f t="shared" si="410"/>
        <v>0</v>
      </c>
      <c r="KBJ1599" s="55">
        <f t="shared" si="410"/>
        <v>0</v>
      </c>
      <c r="KBK1599" s="55">
        <f t="shared" si="410"/>
        <v>0</v>
      </c>
      <c r="KBL1599" s="55">
        <f t="shared" ref="KBL1599:KDW1599" si="411">+(KBL1619+KBL1623)*1.18*1.1</f>
        <v>0</v>
      </c>
      <c r="KBM1599" s="55">
        <f t="shared" si="411"/>
        <v>0</v>
      </c>
      <c r="KBN1599" s="55">
        <f t="shared" si="411"/>
        <v>0</v>
      </c>
      <c r="KBO1599" s="55">
        <f t="shared" si="411"/>
        <v>0</v>
      </c>
      <c r="KBP1599" s="55">
        <f t="shared" si="411"/>
        <v>0</v>
      </c>
      <c r="KBQ1599" s="55">
        <f t="shared" si="411"/>
        <v>0</v>
      </c>
      <c r="KBR1599" s="55">
        <f t="shared" si="411"/>
        <v>0</v>
      </c>
      <c r="KBS1599" s="55">
        <f t="shared" si="411"/>
        <v>0</v>
      </c>
      <c r="KBT1599" s="55">
        <f t="shared" si="411"/>
        <v>0</v>
      </c>
      <c r="KBU1599" s="55">
        <f t="shared" si="411"/>
        <v>0</v>
      </c>
      <c r="KBV1599" s="55">
        <f t="shared" si="411"/>
        <v>0</v>
      </c>
      <c r="KBW1599" s="55">
        <f t="shared" si="411"/>
        <v>0</v>
      </c>
      <c r="KBX1599" s="55">
        <f t="shared" si="411"/>
        <v>0</v>
      </c>
      <c r="KBY1599" s="55">
        <f t="shared" si="411"/>
        <v>0</v>
      </c>
      <c r="KBZ1599" s="55">
        <f t="shared" si="411"/>
        <v>0</v>
      </c>
      <c r="KCA1599" s="55">
        <f t="shared" si="411"/>
        <v>0</v>
      </c>
      <c r="KCB1599" s="55">
        <f t="shared" si="411"/>
        <v>0</v>
      </c>
      <c r="KCC1599" s="55">
        <f t="shared" si="411"/>
        <v>0</v>
      </c>
      <c r="KCD1599" s="55">
        <f t="shared" si="411"/>
        <v>0</v>
      </c>
      <c r="KCE1599" s="55">
        <f t="shared" si="411"/>
        <v>0</v>
      </c>
      <c r="KCF1599" s="55">
        <f t="shared" si="411"/>
        <v>0</v>
      </c>
      <c r="KCG1599" s="55">
        <f t="shared" si="411"/>
        <v>0</v>
      </c>
      <c r="KCH1599" s="55">
        <f t="shared" si="411"/>
        <v>0</v>
      </c>
      <c r="KCI1599" s="55">
        <f t="shared" si="411"/>
        <v>0</v>
      </c>
      <c r="KCJ1599" s="55">
        <f t="shared" si="411"/>
        <v>0</v>
      </c>
      <c r="KCK1599" s="55">
        <f t="shared" si="411"/>
        <v>0</v>
      </c>
      <c r="KCL1599" s="55">
        <f t="shared" si="411"/>
        <v>0</v>
      </c>
      <c r="KCM1599" s="55">
        <f t="shared" si="411"/>
        <v>0</v>
      </c>
      <c r="KCN1599" s="55">
        <f t="shared" si="411"/>
        <v>0</v>
      </c>
      <c r="KCO1599" s="55">
        <f t="shared" si="411"/>
        <v>0</v>
      </c>
      <c r="KCP1599" s="55">
        <f t="shared" si="411"/>
        <v>0</v>
      </c>
      <c r="KCQ1599" s="55">
        <f t="shared" si="411"/>
        <v>0</v>
      </c>
      <c r="KCR1599" s="55">
        <f t="shared" si="411"/>
        <v>0</v>
      </c>
      <c r="KCS1599" s="55">
        <f t="shared" si="411"/>
        <v>0</v>
      </c>
      <c r="KCT1599" s="55">
        <f t="shared" si="411"/>
        <v>0</v>
      </c>
      <c r="KCU1599" s="55">
        <f t="shared" si="411"/>
        <v>0</v>
      </c>
      <c r="KCV1599" s="55">
        <f t="shared" si="411"/>
        <v>0</v>
      </c>
      <c r="KCW1599" s="55">
        <f t="shared" si="411"/>
        <v>0</v>
      </c>
      <c r="KCX1599" s="55">
        <f t="shared" si="411"/>
        <v>0</v>
      </c>
      <c r="KCY1599" s="55">
        <f t="shared" si="411"/>
        <v>0</v>
      </c>
      <c r="KCZ1599" s="55">
        <f t="shared" si="411"/>
        <v>0</v>
      </c>
      <c r="KDA1599" s="55">
        <f t="shared" si="411"/>
        <v>0</v>
      </c>
      <c r="KDB1599" s="55">
        <f t="shared" si="411"/>
        <v>0</v>
      </c>
      <c r="KDC1599" s="55">
        <f t="shared" si="411"/>
        <v>0</v>
      </c>
      <c r="KDD1599" s="55">
        <f t="shared" si="411"/>
        <v>0</v>
      </c>
      <c r="KDE1599" s="55">
        <f t="shared" si="411"/>
        <v>0</v>
      </c>
      <c r="KDF1599" s="55">
        <f t="shared" si="411"/>
        <v>0</v>
      </c>
      <c r="KDG1599" s="55">
        <f t="shared" si="411"/>
        <v>0</v>
      </c>
      <c r="KDH1599" s="55">
        <f t="shared" si="411"/>
        <v>0</v>
      </c>
      <c r="KDI1599" s="55">
        <f t="shared" si="411"/>
        <v>0</v>
      </c>
      <c r="KDJ1599" s="55">
        <f t="shared" si="411"/>
        <v>0</v>
      </c>
      <c r="KDK1599" s="55">
        <f t="shared" si="411"/>
        <v>0</v>
      </c>
      <c r="KDL1599" s="55">
        <f t="shared" si="411"/>
        <v>0</v>
      </c>
      <c r="KDM1599" s="55">
        <f t="shared" si="411"/>
        <v>0</v>
      </c>
      <c r="KDN1599" s="55">
        <f t="shared" si="411"/>
        <v>0</v>
      </c>
      <c r="KDO1599" s="55">
        <f t="shared" si="411"/>
        <v>0</v>
      </c>
      <c r="KDP1599" s="55">
        <f t="shared" si="411"/>
        <v>0</v>
      </c>
      <c r="KDQ1599" s="55">
        <f t="shared" si="411"/>
        <v>0</v>
      </c>
      <c r="KDR1599" s="55">
        <f t="shared" si="411"/>
        <v>0</v>
      </c>
      <c r="KDS1599" s="55">
        <f t="shared" si="411"/>
        <v>0</v>
      </c>
      <c r="KDT1599" s="55">
        <f t="shared" si="411"/>
        <v>0</v>
      </c>
      <c r="KDU1599" s="55">
        <f t="shared" si="411"/>
        <v>0</v>
      </c>
      <c r="KDV1599" s="55">
        <f t="shared" si="411"/>
        <v>0</v>
      </c>
      <c r="KDW1599" s="55">
        <f t="shared" si="411"/>
        <v>0</v>
      </c>
      <c r="KDX1599" s="55">
        <f t="shared" ref="KDX1599:KGI1599" si="412">+(KDX1619+KDX1623)*1.18*1.1</f>
        <v>0</v>
      </c>
      <c r="KDY1599" s="55">
        <f t="shared" si="412"/>
        <v>0</v>
      </c>
      <c r="KDZ1599" s="55">
        <f t="shared" si="412"/>
        <v>0</v>
      </c>
      <c r="KEA1599" s="55">
        <f t="shared" si="412"/>
        <v>0</v>
      </c>
      <c r="KEB1599" s="55">
        <f t="shared" si="412"/>
        <v>0</v>
      </c>
      <c r="KEC1599" s="55">
        <f t="shared" si="412"/>
        <v>0</v>
      </c>
      <c r="KED1599" s="55">
        <f t="shared" si="412"/>
        <v>0</v>
      </c>
      <c r="KEE1599" s="55">
        <f t="shared" si="412"/>
        <v>0</v>
      </c>
      <c r="KEF1599" s="55">
        <f t="shared" si="412"/>
        <v>0</v>
      </c>
      <c r="KEG1599" s="55">
        <f t="shared" si="412"/>
        <v>0</v>
      </c>
      <c r="KEH1599" s="55">
        <f t="shared" si="412"/>
        <v>0</v>
      </c>
      <c r="KEI1599" s="55">
        <f t="shared" si="412"/>
        <v>0</v>
      </c>
      <c r="KEJ1599" s="55">
        <f t="shared" si="412"/>
        <v>0</v>
      </c>
      <c r="KEK1599" s="55">
        <f t="shared" si="412"/>
        <v>0</v>
      </c>
      <c r="KEL1599" s="55">
        <f t="shared" si="412"/>
        <v>0</v>
      </c>
      <c r="KEM1599" s="55">
        <f t="shared" si="412"/>
        <v>0</v>
      </c>
      <c r="KEN1599" s="55">
        <f t="shared" si="412"/>
        <v>0</v>
      </c>
      <c r="KEO1599" s="55">
        <f t="shared" si="412"/>
        <v>0</v>
      </c>
      <c r="KEP1599" s="55">
        <f t="shared" si="412"/>
        <v>0</v>
      </c>
      <c r="KEQ1599" s="55">
        <f t="shared" si="412"/>
        <v>0</v>
      </c>
      <c r="KER1599" s="55">
        <f t="shared" si="412"/>
        <v>0</v>
      </c>
      <c r="KES1599" s="55">
        <f t="shared" si="412"/>
        <v>0</v>
      </c>
      <c r="KET1599" s="55">
        <f t="shared" si="412"/>
        <v>0</v>
      </c>
      <c r="KEU1599" s="55">
        <f t="shared" si="412"/>
        <v>0</v>
      </c>
      <c r="KEV1599" s="55">
        <f t="shared" si="412"/>
        <v>0</v>
      </c>
      <c r="KEW1599" s="55">
        <f t="shared" si="412"/>
        <v>0</v>
      </c>
      <c r="KEX1599" s="55">
        <f t="shared" si="412"/>
        <v>0</v>
      </c>
      <c r="KEY1599" s="55">
        <f t="shared" si="412"/>
        <v>0</v>
      </c>
      <c r="KEZ1599" s="55">
        <f t="shared" si="412"/>
        <v>0</v>
      </c>
      <c r="KFA1599" s="55">
        <f t="shared" si="412"/>
        <v>0</v>
      </c>
      <c r="KFB1599" s="55">
        <f t="shared" si="412"/>
        <v>0</v>
      </c>
      <c r="KFC1599" s="55">
        <f t="shared" si="412"/>
        <v>0</v>
      </c>
      <c r="KFD1599" s="55">
        <f t="shared" si="412"/>
        <v>0</v>
      </c>
      <c r="KFE1599" s="55">
        <f t="shared" si="412"/>
        <v>0</v>
      </c>
      <c r="KFF1599" s="55">
        <f t="shared" si="412"/>
        <v>0</v>
      </c>
      <c r="KFG1599" s="55">
        <f t="shared" si="412"/>
        <v>0</v>
      </c>
      <c r="KFH1599" s="55">
        <f t="shared" si="412"/>
        <v>0</v>
      </c>
      <c r="KFI1599" s="55">
        <f t="shared" si="412"/>
        <v>0</v>
      </c>
      <c r="KFJ1599" s="55">
        <f t="shared" si="412"/>
        <v>0</v>
      </c>
      <c r="KFK1599" s="55">
        <f t="shared" si="412"/>
        <v>0</v>
      </c>
      <c r="KFL1599" s="55">
        <f t="shared" si="412"/>
        <v>0</v>
      </c>
      <c r="KFM1599" s="55">
        <f t="shared" si="412"/>
        <v>0</v>
      </c>
      <c r="KFN1599" s="55">
        <f t="shared" si="412"/>
        <v>0</v>
      </c>
      <c r="KFO1599" s="55">
        <f t="shared" si="412"/>
        <v>0</v>
      </c>
      <c r="KFP1599" s="55">
        <f t="shared" si="412"/>
        <v>0</v>
      </c>
      <c r="KFQ1599" s="55">
        <f t="shared" si="412"/>
        <v>0</v>
      </c>
      <c r="KFR1599" s="55">
        <f t="shared" si="412"/>
        <v>0</v>
      </c>
      <c r="KFS1599" s="55">
        <f t="shared" si="412"/>
        <v>0</v>
      </c>
      <c r="KFT1599" s="55">
        <f t="shared" si="412"/>
        <v>0</v>
      </c>
      <c r="KFU1599" s="55">
        <f t="shared" si="412"/>
        <v>0</v>
      </c>
      <c r="KFV1599" s="55">
        <f t="shared" si="412"/>
        <v>0</v>
      </c>
      <c r="KFW1599" s="55">
        <f t="shared" si="412"/>
        <v>0</v>
      </c>
      <c r="KFX1599" s="55">
        <f t="shared" si="412"/>
        <v>0</v>
      </c>
      <c r="KFY1599" s="55">
        <f t="shared" si="412"/>
        <v>0</v>
      </c>
      <c r="KFZ1599" s="55">
        <f t="shared" si="412"/>
        <v>0</v>
      </c>
      <c r="KGA1599" s="55">
        <f t="shared" si="412"/>
        <v>0</v>
      </c>
      <c r="KGB1599" s="55">
        <f t="shared" si="412"/>
        <v>0</v>
      </c>
      <c r="KGC1599" s="55">
        <f t="shared" si="412"/>
        <v>0</v>
      </c>
      <c r="KGD1599" s="55">
        <f t="shared" si="412"/>
        <v>0</v>
      </c>
      <c r="KGE1599" s="55">
        <f t="shared" si="412"/>
        <v>0</v>
      </c>
      <c r="KGF1599" s="55">
        <f t="shared" si="412"/>
        <v>0</v>
      </c>
      <c r="KGG1599" s="55">
        <f t="shared" si="412"/>
        <v>0</v>
      </c>
      <c r="KGH1599" s="55">
        <f t="shared" si="412"/>
        <v>0</v>
      </c>
      <c r="KGI1599" s="55">
        <f t="shared" si="412"/>
        <v>0</v>
      </c>
      <c r="KGJ1599" s="55">
        <f t="shared" ref="KGJ1599:KIU1599" si="413">+(KGJ1619+KGJ1623)*1.18*1.1</f>
        <v>0</v>
      </c>
      <c r="KGK1599" s="55">
        <f t="shared" si="413"/>
        <v>0</v>
      </c>
      <c r="KGL1599" s="55">
        <f t="shared" si="413"/>
        <v>0</v>
      </c>
      <c r="KGM1599" s="55">
        <f t="shared" si="413"/>
        <v>0</v>
      </c>
      <c r="KGN1599" s="55">
        <f t="shared" si="413"/>
        <v>0</v>
      </c>
      <c r="KGO1599" s="55">
        <f t="shared" si="413"/>
        <v>0</v>
      </c>
      <c r="KGP1599" s="55">
        <f t="shared" si="413"/>
        <v>0</v>
      </c>
      <c r="KGQ1599" s="55">
        <f t="shared" si="413"/>
        <v>0</v>
      </c>
      <c r="KGR1599" s="55">
        <f t="shared" si="413"/>
        <v>0</v>
      </c>
      <c r="KGS1599" s="55">
        <f t="shared" si="413"/>
        <v>0</v>
      </c>
      <c r="KGT1599" s="55">
        <f t="shared" si="413"/>
        <v>0</v>
      </c>
      <c r="KGU1599" s="55">
        <f t="shared" si="413"/>
        <v>0</v>
      </c>
      <c r="KGV1599" s="55">
        <f t="shared" si="413"/>
        <v>0</v>
      </c>
      <c r="KGW1599" s="55">
        <f t="shared" si="413"/>
        <v>0</v>
      </c>
      <c r="KGX1599" s="55">
        <f t="shared" si="413"/>
        <v>0</v>
      </c>
      <c r="KGY1599" s="55">
        <f t="shared" si="413"/>
        <v>0</v>
      </c>
      <c r="KGZ1599" s="55">
        <f t="shared" si="413"/>
        <v>0</v>
      </c>
      <c r="KHA1599" s="55">
        <f t="shared" si="413"/>
        <v>0</v>
      </c>
      <c r="KHB1599" s="55">
        <f t="shared" si="413"/>
        <v>0</v>
      </c>
      <c r="KHC1599" s="55">
        <f t="shared" si="413"/>
        <v>0</v>
      </c>
      <c r="KHD1599" s="55">
        <f t="shared" si="413"/>
        <v>0</v>
      </c>
      <c r="KHE1599" s="55">
        <f t="shared" si="413"/>
        <v>0</v>
      </c>
      <c r="KHF1599" s="55">
        <f t="shared" si="413"/>
        <v>0</v>
      </c>
      <c r="KHG1599" s="55">
        <f t="shared" si="413"/>
        <v>0</v>
      </c>
      <c r="KHH1599" s="55">
        <f t="shared" si="413"/>
        <v>0</v>
      </c>
      <c r="KHI1599" s="55">
        <f t="shared" si="413"/>
        <v>0</v>
      </c>
      <c r="KHJ1599" s="55">
        <f t="shared" si="413"/>
        <v>0</v>
      </c>
      <c r="KHK1599" s="55">
        <f t="shared" si="413"/>
        <v>0</v>
      </c>
      <c r="KHL1599" s="55">
        <f t="shared" si="413"/>
        <v>0</v>
      </c>
      <c r="KHM1599" s="55">
        <f t="shared" si="413"/>
        <v>0</v>
      </c>
      <c r="KHN1599" s="55">
        <f t="shared" si="413"/>
        <v>0</v>
      </c>
      <c r="KHO1599" s="55">
        <f t="shared" si="413"/>
        <v>0</v>
      </c>
      <c r="KHP1599" s="55">
        <f t="shared" si="413"/>
        <v>0</v>
      </c>
      <c r="KHQ1599" s="55">
        <f t="shared" si="413"/>
        <v>0</v>
      </c>
      <c r="KHR1599" s="55">
        <f t="shared" si="413"/>
        <v>0</v>
      </c>
      <c r="KHS1599" s="55">
        <f t="shared" si="413"/>
        <v>0</v>
      </c>
      <c r="KHT1599" s="55">
        <f t="shared" si="413"/>
        <v>0</v>
      </c>
      <c r="KHU1599" s="55">
        <f t="shared" si="413"/>
        <v>0</v>
      </c>
      <c r="KHV1599" s="55">
        <f t="shared" si="413"/>
        <v>0</v>
      </c>
      <c r="KHW1599" s="55">
        <f t="shared" si="413"/>
        <v>0</v>
      </c>
      <c r="KHX1599" s="55">
        <f t="shared" si="413"/>
        <v>0</v>
      </c>
      <c r="KHY1599" s="55">
        <f t="shared" si="413"/>
        <v>0</v>
      </c>
      <c r="KHZ1599" s="55">
        <f t="shared" si="413"/>
        <v>0</v>
      </c>
      <c r="KIA1599" s="55">
        <f t="shared" si="413"/>
        <v>0</v>
      </c>
      <c r="KIB1599" s="55">
        <f t="shared" si="413"/>
        <v>0</v>
      </c>
      <c r="KIC1599" s="55">
        <f t="shared" si="413"/>
        <v>0</v>
      </c>
      <c r="KID1599" s="55">
        <f t="shared" si="413"/>
        <v>0</v>
      </c>
      <c r="KIE1599" s="55">
        <f t="shared" si="413"/>
        <v>0</v>
      </c>
      <c r="KIF1599" s="55">
        <f t="shared" si="413"/>
        <v>0</v>
      </c>
      <c r="KIG1599" s="55">
        <f t="shared" si="413"/>
        <v>0</v>
      </c>
      <c r="KIH1599" s="55">
        <f t="shared" si="413"/>
        <v>0</v>
      </c>
      <c r="KII1599" s="55">
        <f t="shared" si="413"/>
        <v>0</v>
      </c>
      <c r="KIJ1599" s="55">
        <f t="shared" si="413"/>
        <v>0</v>
      </c>
      <c r="KIK1599" s="55">
        <f t="shared" si="413"/>
        <v>0</v>
      </c>
      <c r="KIL1599" s="55">
        <f t="shared" si="413"/>
        <v>0</v>
      </c>
      <c r="KIM1599" s="55">
        <f t="shared" si="413"/>
        <v>0</v>
      </c>
      <c r="KIN1599" s="55">
        <f t="shared" si="413"/>
        <v>0</v>
      </c>
      <c r="KIO1599" s="55">
        <f t="shared" si="413"/>
        <v>0</v>
      </c>
      <c r="KIP1599" s="55">
        <f t="shared" si="413"/>
        <v>0</v>
      </c>
      <c r="KIQ1599" s="55">
        <f t="shared" si="413"/>
        <v>0</v>
      </c>
      <c r="KIR1599" s="55">
        <f t="shared" si="413"/>
        <v>0</v>
      </c>
      <c r="KIS1599" s="55">
        <f t="shared" si="413"/>
        <v>0</v>
      </c>
      <c r="KIT1599" s="55">
        <f t="shared" si="413"/>
        <v>0</v>
      </c>
      <c r="KIU1599" s="55">
        <f t="shared" si="413"/>
        <v>0</v>
      </c>
      <c r="KIV1599" s="55">
        <f t="shared" ref="KIV1599:KLG1599" si="414">+(KIV1619+KIV1623)*1.18*1.1</f>
        <v>0</v>
      </c>
      <c r="KIW1599" s="55">
        <f t="shared" si="414"/>
        <v>0</v>
      </c>
      <c r="KIX1599" s="55">
        <f t="shared" si="414"/>
        <v>0</v>
      </c>
      <c r="KIY1599" s="55">
        <f t="shared" si="414"/>
        <v>0</v>
      </c>
      <c r="KIZ1599" s="55">
        <f t="shared" si="414"/>
        <v>0</v>
      </c>
      <c r="KJA1599" s="55">
        <f t="shared" si="414"/>
        <v>0</v>
      </c>
      <c r="KJB1599" s="55">
        <f t="shared" si="414"/>
        <v>0</v>
      </c>
      <c r="KJC1599" s="55">
        <f t="shared" si="414"/>
        <v>0</v>
      </c>
      <c r="KJD1599" s="55">
        <f t="shared" si="414"/>
        <v>0</v>
      </c>
      <c r="KJE1599" s="55">
        <f t="shared" si="414"/>
        <v>0</v>
      </c>
      <c r="KJF1599" s="55">
        <f t="shared" si="414"/>
        <v>0</v>
      </c>
      <c r="KJG1599" s="55">
        <f t="shared" si="414"/>
        <v>0</v>
      </c>
      <c r="KJH1599" s="55">
        <f t="shared" si="414"/>
        <v>0</v>
      </c>
      <c r="KJI1599" s="55">
        <f t="shared" si="414"/>
        <v>0</v>
      </c>
      <c r="KJJ1599" s="55">
        <f t="shared" si="414"/>
        <v>0</v>
      </c>
      <c r="KJK1599" s="55">
        <f t="shared" si="414"/>
        <v>0</v>
      </c>
      <c r="KJL1599" s="55">
        <f t="shared" si="414"/>
        <v>0</v>
      </c>
      <c r="KJM1599" s="55">
        <f t="shared" si="414"/>
        <v>0</v>
      </c>
      <c r="KJN1599" s="55">
        <f t="shared" si="414"/>
        <v>0</v>
      </c>
      <c r="KJO1599" s="55">
        <f t="shared" si="414"/>
        <v>0</v>
      </c>
      <c r="KJP1599" s="55">
        <f t="shared" si="414"/>
        <v>0</v>
      </c>
      <c r="KJQ1599" s="55">
        <f t="shared" si="414"/>
        <v>0</v>
      </c>
      <c r="KJR1599" s="55">
        <f t="shared" si="414"/>
        <v>0</v>
      </c>
      <c r="KJS1599" s="55">
        <f t="shared" si="414"/>
        <v>0</v>
      </c>
      <c r="KJT1599" s="55">
        <f t="shared" si="414"/>
        <v>0</v>
      </c>
      <c r="KJU1599" s="55">
        <f t="shared" si="414"/>
        <v>0</v>
      </c>
      <c r="KJV1599" s="55">
        <f t="shared" si="414"/>
        <v>0</v>
      </c>
      <c r="KJW1599" s="55">
        <f t="shared" si="414"/>
        <v>0</v>
      </c>
      <c r="KJX1599" s="55">
        <f t="shared" si="414"/>
        <v>0</v>
      </c>
      <c r="KJY1599" s="55">
        <f t="shared" si="414"/>
        <v>0</v>
      </c>
      <c r="KJZ1599" s="55">
        <f t="shared" si="414"/>
        <v>0</v>
      </c>
      <c r="KKA1599" s="55">
        <f t="shared" si="414"/>
        <v>0</v>
      </c>
      <c r="KKB1599" s="55">
        <f t="shared" si="414"/>
        <v>0</v>
      </c>
      <c r="KKC1599" s="55">
        <f t="shared" si="414"/>
        <v>0</v>
      </c>
      <c r="KKD1599" s="55">
        <f t="shared" si="414"/>
        <v>0</v>
      </c>
      <c r="KKE1599" s="55">
        <f t="shared" si="414"/>
        <v>0</v>
      </c>
      <c r="KKF1599" s="55">
        <f t="shared" si="414"/>
        <v>0</v>
      </c>
      <c r="KKG1599" s="55">
        <f t="shared" si="414"/>
        <v>0</v>
      </c>
      <c r="KKH1599" s="55">
        <f t="shared" si="414"/>
        <v>0</v>
      </c>
      <c r="KKI1599" s="55">
        <f t="shared" si="414"/>
        <v>0</v>
      </c>
      <c r="KKJ1599" s="55">
        <f t="shared" si="414"/>
        <v>0</v>
      </c>
      <c r="KKK1599" s="55">
        <f t="shared" si="414"/>
        <v>0</v>
      </c>
      <c r="KKL1599" s="55">
        <f t="shared" si="414"/>
        <v>0</v>
      </c>
      <c r="KKM1599" s="55">
        <f t="shared" si="414"/>
        <v>0</v>
      </c>
      <c r="KKN1599" s="55">
        <f t="shared" si="414"/>
        <v>0</v>
      </c>
      <c r="KKO1599" s="55">
        <f t="shared" si="414"/>
        <v>0</v>
      </c>
      <c r="KKP1599" s="55">
        <f t="shared" si="414"/>
        <v>0</v>
      </c>
      <c r="KKQ1599" s="55">
        <f t="shared" si="414"/>
        <v>0</v>
      </c>
      <c r="KKR1599" s="55">
        <f t="shared" si="414"/>
        <v>0</v>
      </c>
      <c r="KKS1599" s="55">
        <f t="shared" si="414"/>
        <v>0</v>
      </c>
      <c r="KKT1599" s="55">
        <f t="shared" si="414"/>
        <v>0</v>
      </c>
      <c r="KKU1599" s="55">
        <f t="shared" si="414"/>
        <v>0</v>
      </c>
      <c r="KKV1599" s="55">
        <f t="shared" si="414"/>
        <v>0</v>
      </c>
      <c r="KKW1599" s="55">
        <f t="shared" si="414"/>
        <v>0</v>
      </c>
      <c r="KKX1599" s="55">
        <f t="shared" si="414"/>
        <v>0</v>
      </c>
      <c r="KKY1599" s="55">
        <f t="shared" si="414"/>
        <v>0</v>
      </c>
      <c r="KKZ1599" s="55">
        <f t="shared" si="414"/>
        <v>0</v>
      </c>
      <c r="KLA1599" s="55">
        <f t="shared" si="414"/>
        <v>0</v>
      </c>
      <c r="KLB1599" s="55">
        <f t="shared" si="414"/>
        <v>0</v>
      </c>
      <c r="KLC1599" s="55">
        <f t="shared" si="414"/>
        <v>0</v>
      </c>
      <c r="KLD1599" s="55">
        <f t="shared" si="414"/>
        <v>0</v>
      </c>
      <c r="KLE1599" s="55">
        <f t="shared" si="414"/>
        <v>0</v>
      </c>
      <c r="KLF1599" s="55">
        <f t="shared" si="414"/>
        <v>0</v>
      </c>
      <c r="KLG1599" s="55">
        <f t="shared" si="414"/>
        <v>0</v>
      </c>
      <c r="KLH1599" s="55">
        <f t="shared" ref="KLH1599:KNS1599" si="415">+(KLH1619+KLH1623)*1.18*1.1</f>
        <v>0</v>
      </c>
      <c r="KLI1599" s="55">
        <f t="shared" si="415"/>
        <v>0</v>
      </c>
      <c r="KLJ1599" s="55">
        <f t="shared" si="415"/>
        <v>0</v>
      </c>
      <c r="KLK1599" s="55">
        <f t="shared" si="415"/>
        <v>0</v>
      </c>
      <c r="KLL1599" s="55">
        <f t="shared" si="415"/>
        <v>0</v>
      </c>
      <c r="KLM1599" s="55">
        <f t="shared" si="415"/>
        <v>0</v>
      </c>
      <c r="KLN1599" s="55">
        <f t="shared" si="415"/>
        <v>0</v>
      </c>
      <c r="KLO1599" s="55">
        <f t="shared" si="415"/>
        <v>0</v>
      </c>
      <c r="KLP1599" s="55">
        <f t="shared" si="415"/>
        <v>0</v>
      </c>
      <c r="KLQ1599" s="55">
        <f t="shared" si="415"/>
        <v>0</v>
      </c>
      <c r="KLR1599" s="55">
        <f t="shared" si="415"/>
        <v>0</v>
      </c>
      <c r="KLS1599" s="55">
        <f t="shared" si="415"/>
        <v>0</v>
      </c>
      <c r="KLT1599" s="55">
        <f t="shared" si="415"/>
        <v>0</v>
      </c>
      <c r="KLU1599" s="55">
        <f t="shared" si="415"/>
        <v>0</v>
      </c>
      <c r="KLV1599" s="55">
        <f t="shared" si="415"/>
        <v>0</v>
      </c>
      <c r="KLW1599" s="55">
        <f t="shared" si="415"/>
        <v>0</v>
      </c>
      <c r="KLX1599" s="55">
        <f t="shared" si="415"/>
        <v>0</v>
      </c>
      <c r="KLY1599" s="55">
        <f t="shared" si="415"/>
        <v>0</v>
      </c>
      <c r="KLZ1599" s="55">
        <f t="shared" si="415"/>
        <v>0</v>
      </c>
      <c r="KMA1599" s="55">
        <f t="shared" si="415"/>
        <v>0</v>
      </c>
      <c r="KMB1599" s="55">
        <f t="shared" si="415"/>
        <v>0</v>
      </c>
      <c r="KMC1599" s="55">
        <f t="shared" si="415"/>
        <v>0</v>
      </c>
      <c r="KMD1599" s="55">
        <f t="shared" si="415"/>
        <v>0</v>
      </c>
      <c r="KME1599" s="55">
        <f t="shared" si="415"/>
        <v>0</v>
      </c>
      <c r="KMF1599" s="55">
        <f t="shared" si="415"/>
        <v>0</v>
      </c>
      <c r="KMG1599" s="55">
        <f t="shared" si="415"/>
        <v>0</v>
      </c>
      <c r="KMH1599" s="55">
        <f t="shared" si="415"/>
        <v>0</v>
      </c>
      <c r="KMI1599" s="55">
        <f t="shared" si="415"/>
        <v>0</v>
      </c>
      <c r="KMJ1599" s="55">
        <f t="shared" si="415"/>
        <v>0</v>
      </c>
      <c r="KMK1599" s="55">
        <f t="shared" si="415"/>
        <v>0</v>
      </c>
      <c r="KML1599" s="55">
        <f t="shared" si="415"/>
        <v>0</v>
      </c>
      <c r="KMM1599" s="55">
        <f t="shared" si="415"/>
        <v>0</v>
      </c>
      <c r="KMN1599" s="55">
        <f t="shared" si="415"/>
        <v>0</v>
      </c>
      <c r="KMO1599" s="55">
        <f t="shared" si="415"/>
        <v>0</v>
      </c>
      <c r="KMP1599" s="55">
        <f t="shared" si="415"/>
        <v>0</v>
      </c>
      <c r="KMQ1599" s="55">
        <f t="shared" si="415"/>
        <v>0</v>
      </c>
      <c r="KMR1599" s="55">
        <f t="shared" si="415"/>
        <v>0</v>
      </c>
      <c r="KMS1599" s="55">
        <f t="shared" si="415"/>
        <v>0</v>
      </c>
      <c r="KMT1599" s="55">
        <f t="shared" si="415"/>
        <v>0</v>
      </c>
      <c r="KMU1599" s="55">
        <f t="shared" si="415"/>
        <v>0</v>
      </c>
      <c r="KMV1599" s="55">
        <f t="shared" si="415"/>
        <v>0</v>
      </c>
      <c r="KMW1599" s="55">
        <f t="shared" si="415"/>
        <v>0</v>
      </c>
      <c r="KMX1599" s="55">
        <f t="shared" si="415"/>
        <v>0</v>
      </c>
      <c r="KMY1599" s="55">
        <f t="shared" si="415"/>
        <v>0</v>
      </c>
      <c r="KMZ1599" s="55">
        <f t="shared" si="415"/>
        <v>0</v>
      </c>
      <c r="KNA1599" s="55">
        <f t="shared" si="415"/>
        <v>0</v>
      </c>
      <c r="KNB1599" s="55">
        <f t="shared" si="415"/>
        <v>0</v>
      </c>
      <c r="KNC1599" s="55">
        <f t="shared" si="415"/>
        <v>0</v>
      </c>
      <c r="KND1599" s="55">
        <f t="shared" si="415"/>
        <v>0</v>
      </c>
      <c r="KNE1599" s="55">
        <f t="shared" si="415"/>
        <v>0</v>
      </c>
      <c r="KNF1599" s="55">
        <f t="shared" si="415"/>
        <v>0</v>
      </c>
      <c r="KNG1599" s="55">
        <f t="shared" si="415"/>
        <v>0</v>
      </c>
      <c r="KNH1599" s="55">
        <f t="shared" si="415"/>
        <v>0</v>
      </c>
      <c r="KNI1599" s="55">
        <f t="shared" si="415"/>
        <v>0</v>
      </c>
      <c r="KNJ1599" s="55">
        <f t="shared" si="415"/>
        <v>0</v>
      </c>
      <c r="KNK1599" s="55">
        <f t="shared" si="415"/>
        <v>0</v>
      </c>
      <c r="KNL1599" s="55">
        <f t="shared" si="415"/>
        <v>0</v>
      </c>
      <c r="KNM1599" s="55">
        <f t="shared" si="415"/>
        <v>0</v>
      </c>
      <c r="KNN1599" s="55">
        <f t="shared" si="415"/>
        <v>0</v>
      </c>
      <c r="KNO1599" s="55">
        <f t="shared" si="415"/>
        <v>0</v>
      </c>
      <c r="KNP1599" s="55">
        <f t="shared" si="415"/>
        <v>0</v>
      </c>
      <c r="KNQ1599" s="55">
        <f t="shared" si="415"/>
        <v>0</v>
      </c>
      <c r="KNR1599" s="55">
        <f t="shared" si="415"/>
        <v>0</v>
      </c>
      <c r="KNS1599" s="55">
        <f t="shared" si="415"/>
        <v>0</v>
      </c>
      <c r="KNT1599" s="55">
        <f t="shared" ref="KNT1599:KQE1599" si="416">+(KNT1619+KNT1623)*1.18*1.1</f>
        <v>0</v>
      </c>
      <c r="KNU1599" s="55">
        <f t="shared" si="416"/>
        <v>0</v>
      </c>
      <c r="KNV1599" s="55">
        <f t="shared" si="416"/>
        <v>0</v>
      </c>
      <c r="KNW1599" s="55">
        <f t="shared" si="416"/>
        <v>0</v>
      </c>
      <c r="KNX1599" s="55">
        <f t="shared" si="416"/>
        <v>0</v>
      </c>
      <c r="KNY1599" s="55">
        <f t="shared" si="416"/>
        <v>0</v>
      </c>
      <c r="KNZ1599" s="55">
        <f t="shared" si="416"/>
        <v>0</v>
      </c>
      <c r="KOA1599" s="55">
        <f t="shared" si="416"/>
        <v>0</v>
      </c>
      <c r="KOB1599" s="55">
        <f t="shared" si="416"/>
        <v>0</v>
      </c>
      <c r="KOC1599" s="55">
        <f t="shared" si="416"/>
        <v>0</v>
      </c>
      <c r="KOD1599" s="55">
        <f t="shared" si="416"/>
        <v>0</v>
      </c>
      <c r="KOE1599" s="55">
        <f t="shared" si="416"/>
        <v>0</v>
      </c>
      <c r="KOF1599" s="55">
        <f t="shared" si="416"/>
        <v>0</v>
      </c>
      <c r="KOG1599" s="55">
        <f t="shared" si="416"/>
        <v>0</v>
      </c>
      <c r="KOH1599" s="55">
        <f t="shared" si="416"/>
        <v>0</v>
      </c>
      <c r="KOI1599" s="55">
        <f t="shared" si="416"/>
        <v>0</v>
      </c>
      <c r="KOJ1599" s="55">
        <f t="shared" si="416"/>
        <v>0</v>
      </c>
      <c r="KOK1599" s="55">
        <f t="shared" si="416"/>
        <v>0</v>
      </c>
      <c r="KOL1599" s="55">
        <f t="shared" si="416"/>
        <v>0</v>
      </c>
      <c r="KOM1599" s="55">
        <f t="shared" si="416"/>
        <v>0</v>
      </c>
      <c r="KON1599" s="55">
        <f t="shared" si="416"/>
        <v>0</v>
      </c>
      <c r="KOO1599" s="55">
        <f t="shared" si="416"/>
        <v>0</v>
      </c>
      <c r="KOP1599" s="55">
        <f t="shared" si="416"/>
        <v>0</v>
      </c>
      <c r="KOQ1599" s="55">
        <f t="shared" si="416"/>
        <v>0</v>
      </c>
      <c r="KOR1599" s="55">
        <f t="shared" si="416"/>
        <v>0</v>
      </c>
      <c r="KOS1599" s="55">
        <f t="shared" si="416"/>
        <v>0</v>
      </c>
      <c r="KOT1599" s="55">
        <f t="shared" si="416"/>
        <v>0</v>
      </c>
      <c r="KOU1599" s="55">
        <f t="shared" si="416"/>
        <v>0</v>
      </c>
      <c r="KOV1599" s="55">
        <f t="shared" si="416"/>
        <v>0</v>
      </c>
      <c r="KOW1599" s="55">
        <f t="shared" si="416"/>
        <v>0</v>
      </c>
      <c r="KOX1599" s="55">
        <f t="shared" si="416"/>
        <v>0</v>
      </c>
      <c r="KOY1599" s="55">
        <f t="shared" si="416"/>
        <v>0</v>
      </c>
      <c r="KOZ1599" s="55">
        <f t="shared" si="416"/>
        <v>0</v>
      </c>
      <c r="KPA1599" s="55">
        <f t="shared" si="416"/>
        <v>0</v>
      </c>
      <c r="KPB1599" s="55">
        <f t="shared" si="416"/>
        <v>0</v>
      </c>
      <c r="KPC1599" s="55">
        <f t="shared" si="416"/>
        <v>0</v>
      </c>
      <c r="KPD1599" s="55">
        <f t="shared" si="416"/>
        <v>0</v>
      </c>
      <c r="KPE1599" s="55">
        <f t="shared" si="416"/>
        <v>0</v>
      </c>
      <c r="KPF1599" s="55">
        <f t="shared" si="416"/>
        <v>0</v>
      </c>
      <c r="KPG1599" s="55">
        <f t="shared" si="416"/>
        <v>0</v>
      </c>
      <c r="KPH1599" s="55">
        <f t="shared" si="416"/>
        <v>0</v>
      </c>
      <c r="KPI1599" s="55">
        <f t="shared" si="416"/>
        <v>0</v>
      </c>
      <c r="KPJ1599" s="55">
        <f t="shared" si="416"/>
        <v>0</v>
      </c>
      <c r="KPK1599" s="55">
        <f t="shared" si="416"/>
        <v>0</v>
      </c>
      <c r="KPL1599" s="55">
        <f t="shared" si="416"/>
        <v>0</v>
      </c>
      <c r="KPM1599" s="55">
        <f t="shared" si="416"/>
        <v>0</v>
      </c>
      <c r="KPN1599" s="55">
        <f t="shared" si="416"/>
        <v>0</v>
      </c>
      <c r="KPO1599" s="55">
        <f t="shared" si="416"/>
        <v>0</v>
      </c>
      <c r="KPP1599" s="55">
        <f t="shared" si="416"/>
        <v>0</v>
      </c>
      <c r="KPQ1599" s="55">
        <f t="shared" si="416"/>
        <v>0</v>
      </c>
      <c r="KPR1599" s="55">
        <f t="shared" si="416"/>
        <v>0</v>
      </c>
      <c r="KPS1599" s="55">
        <f t="shared" si="416"/>
        <v>0</v>
      </c>
      <c r="KPT1599" s="55">
        <f t="shared" si="416"/>
        <v>0</v>
      </c>
      <c r="KPU1599" s="55">
        <f t="shared" si="416"/>
        <v>0</v>
      </c>
      <c r="KPV1599" s="55">
        <f t="shared" si="416"/>
        <v>0</v>
      </c>
      <c r="KPW1599" s="55">
        <f t="shared" si="416"/>
        <v>0</v>
      </c>
      <c r="KPX1599" s="55">
        <f t="shared" si="416"/>
        <v>0</v>
      </c>
      <c r="KPY1599" s="55">
        <f t="shared" si="416"/>
        <v>0</v>
      </c>
      <c r="KPZ1599" s="55">
        <f t="shared" si="416"/>
        <v>0</v>
      </c>
      <c r="KQA1599" s="55">
        <f t="shared" si="416"/>
        <v>0</v>
      </c>
      <c r="KQB1599" s="55">
        <f t="shared" si="416"/>
        <v>0</v>
      </c>
      <c r="KQC1599" s="55">
        <f t="shared" si="416"/>
        <v>0</v>
      </c>
      <c r="KQD1599" s="55">
        <f t="shared" si="416"/>
        <v>0</v>
      </c>
      <c r="KQE1599" s="55">
        <f t="shared" si="416"/>
        <v>0</v>
      </c>
      <c r="KQF1599" s="55">
        <f t="shared" ref="KQF1599:KSQ1599" si="417">+(KQF1619+KQF1623)*1.18*1.1</f>
        <v>0</v>
      </c>
      <c r="KQG1599" s="55">
        <f t="shared" si="417"/>
        <v>0</v>
      </c>
      <c r="KQH1599" s="55">
        <f t="shared" si="417"/>
        <v>0</v>
      </c>
      <c r="KQI1599" s="55">
        <f t="shared" si="417"/>
        <v>0</v>
      </c>
      <c r="KQJ1599" s="55">
        <f t="shared" si="417"/>
        <v>0</v>
      </c>
      <c r="KQK1599" s="55">
        <f t="shared" si="417"/>
        <v>0</v>
      </c>
      <c r="KQL1599" s="55">
        <f t="shared" si="417"/>
        <v>0</v>
      </c>
      <c r="KQM1599" s="55">
        <f t="shared" si="417"/>
        <v>0</v>
      </c>
      <c r="KQN1599" s="55">
        <f t="shared" si="417"/>
        <v>0</v>
      </c>
      <c r="KQO1599" s="55">
        <f t="shared" si="417"/>
        <v>0</v>
      </c>
      <c r="KQP1599" s="55">
        <f t="shared" si="417"/>
        <v>0</v>
      </c>
      <c r="KQQ1599" s="55">
        <f t="shared" si="417"/>
        <v>0</v>
      </c>
      <c r="KQR1599" s="55">
        <f t="shared" si="417"/>
        <v>0</v>
      </c>
      <c r="KQS1599" s="55">
        <f t="shared" si="417"/>
        <v>0</v>
      </c>
      <c r="KQT1599" s="55">
        <f t="shared" si="417"/>
        <v>0</v>
      </c>
      <c r="KQU1599" s="55">
        <f t="shared" si="417"/>
        <v>0</v>
      </c>
      <c r="KQV1599" s="55">
        <f t="shared" si="417"/>
        <v>0</v>
      </c>
      <c r="KQW1599" s="55">
        <f t="shared" si="417"/>
        <v>0</v>
      </c>
      <c r="KQX1599" s="55">
        <f t="shared" si="417"/>
        <v>0</v>
      </c>
      <c r="KQY1599" s="55">
        <f t="shared" si="417"/>
        <v>0</v>
      </c>
      <c r="KQZ1599" s="55">
        <f t="shared" si="417"/>
        <v>0</v>
      </c>
      <c r="KRA1599" s="55">
        <f t="shared" si="417"/>
        <v>0</v>
      </c>
      <c r="KRB1599" s="55">
        <f t="shared" si="417"/>
        <v>0</v>
      </c>
      <c r="KRC1599" s="55">
        <f t="shared" si="417"/>
        <v>0</v>
      </c>
      <c r="KRD1599" s="55">
        <f t="shared" si="417"/>
        <v>0</v>
      </c>
      <c r="KRE1599" s="55">
        <f t="shared" si="417"/>
        <v>0</v>
      </c>
      <c r="KRF1599" s="55">
        <f t="shared" si="417"/>
        <v>0</v>
      </c>
      <c r="KRG1599" s="55">
        <f t="shared" si="417"/>
        <v>0</v>
      </c>
      <c r="KRH1599" s="55">
        <f t="shared" si="417"/>
        <v>0</v>
      </c>
      <c r="KRI1599" s="55">
        <f t="shared" si="417"/>
        <v>0</v>
      </c>
      <c r="KRJ1599" s="55">
        <f t="shared" si="417"/>
        <v>0</v>
      </c>
      <c r="KRK1599" s="55">
        <f t="shared" si="417"/>
        <v>0</v>
      </c>
      <c r="KRL1599" s="55">
        <f t="shared" si="417"/>
        <v>0</v>
      </c>
      <c r="KRM1599" s="55">
        <f t="shared" si="417"/>
        <v>0</v>
      </c>
      <c r="KRN1599" s="55">
        <f t="shared" si="417"/>
        <v>0</v>
      </c>
      <c r="KRO1599" s="55">
        <f t="shared" si="417"/>
        <v>0</v>
      </c>
      <c r="KRP1599" s="55">
        <f t="shared" si="417"/>
        <v>0</v>
      </c>
      <c r="KRQ1599" s="55">
        <f t="shared" si="417"/>
        <v>0</v>
      </c>
      <c r="KRR1599" s="55">
        <f t="shared" si="417"/>
        <v>0</v>
      </c>
      <c r="KRS1599" s="55">
        <f t="shared" si="417"/>
        <v>0</v>
      </c>
      <c r="KRT1599" s="55">
        <f t="shared" si="417"/>
        <v>0</v>
      </c>
      <c r="KRU1599" s="55">
        <f t="shared" si="417"/>
        <v>0</v>
      </c>
      <c r="KRV1599" s="55">
        <f t="shared" si="417"/>
        <v>0</v>
      </c>
      <c r="KRW1599" s="55">
        <f t="shared" si="417"/>
        <v>0</v>
      </c>
      <c r="KRX1599" s="55">
        <f t="shared" si="417"/>
        <v>0</v>
      </c>
      <c r="KRY1599" s="55">
        <f t="shared" si="417"/>
        <v>0</v>
      </c>
      <c r="KRZ1599" s="55">
        <f t="shared" si="417"/>
        <v>0</v>
      </c>
      <c r="KSA1599" s="55">
        <f t="shared" si="417"/>
        <v>0</v>
      </c>
      <c r="KSB1599" s="55">
        <f t="shared" si="417"/>
        <v>0</v>
      </c>
      <c r="KSC1599" s="55">
        <f t="shared" si="417"/>
        <v>0</v>
      </c>
      <c r="KSD1599" s="55">
        <f t="shared" si="417"/>
        <v>0</v>
      </c>
      <c r="KSE1599" s="55">
        <f t="shared" si="417"/>
        <v>0</v>
      </c>
      <c r="KSF1599" s="55">
        <f t="shared" si="417"/>
        <v>0</v>
      </c>
      <c r="KSG1599" s="55">
        <f t="shared" si="417"/>
        <v>0</v>
      </c>
      <c r="KSH1599" s="55">
        <f t="shared" si="417"/>
        <v>0</v>
      </c>
      <c r="KSI1599" s="55">
        <f t="shared" si="417"/>
        <v>0</v>
      </c>
      <c r="KSJ1599" s="55">
        <f t="shared" si="417"/>
        <v>0</v>
      </c>
      <c r="KSK1599" s="55">
        <f t="shared" si="417"/>
        <v>0</v>
      </c>
      <c r="KSL1599" s="55">
        <f t="shared" si="417"/>
        <v>0</v>
      </c>
      <c r="KSM1599" s="55">
        <f t="shared" si="417"/>
        <v>0</v>
      </c>
      <c r="KSN1599" s="55">
        <f t="shared" si="417"/>
        <v>0</v>
      </c>
      <c r="KSO1599" s="55">
        <f t="shared" si="417"/>
        <v>0</v>
      </c>
      <c r="KSP1599" s="55">
        <f t="shared" si="417"/>
        <v>0</v>
      </c>
      <c r="KSQ1599" s="55">
        <f t="shared" si="417"/>
        <v>0</v>
      </c>
      <c r="KSR1599" s="55">
        <f t="shared" ref="KSR1599:KVC1599" si="418">+(KSR1619+KSR1623)*1.18*1.1</f>
        <v>0</v>
      </c>
      <c r="KSS1599" s="55">
        <f t="shared" si="418"/>
        <v>0</v>
      </c>
      <c r="KST1599" s="55">
        <f t="shared" si="418"/>
        <v>0</v>
      </c>
      <c r="KSU1599" s="55">
        <f t="shared" si="418"/>
        <v>0</v>
      </c>
      <c r="KSV1599" s="55">
        <f t="shared" si="418"/>
        <v>0</v>
      </c>
      <c r="KSW1599" s="55">
        <f t="shared" si="418"/>
        <v>0</v>
      </c>
      <c r="KSX1599" s="55">
        <f t="shared" si="418"/>
        <v>0</v>
      </c>
      <c r="KSY1599" s="55">
        <f t="shared" si="418"/>
        <v>0</v>
      </c>
      <c r="KSZ1599" s="55">
        <f t="shared" si="418"/>
        <v>0</v>
      </c>
      <c r="KTA1599" s="55">
        <f t="shared" si="418"/>
        <v>0</v>
      </c>
      <c r="KTB1599" s="55">
        <f t="shared" si="418"/>
        <v>0</v>
      </c>
      <c r="KTC1599" s="55">
        <f t="shared" si="418"/>
        <v>0</v>
      </c>
      <c r="KTD1599" s="55">
        <f t="shared" si="418"/>
        <v>0</v>
      </c>
      <c r="KTE1599" s="55">
        <f t="shared" si="418"/>
        <v>0</v>
      </c>
      <c r="KTF1599" s="55">
        <f t="shared" si="418"/>
        <v>0</v>
      </c>
      <c r="KTG1599" s="55">
        <f t="shared" si="418"/>
        <v>0</v>
      </c>
      <c r="KTH1599" s="55">
        <f t="shared" si="418"/>
        <v>0</v>
      </c>
      <c r="KTI1599" s="55">
        <f t="shared" si="418"/>
        <v>0</v>
      </c>
      <c r="KTJ1599" s="55">
        <f t="shared" si="418"/>
        <v>0</v>
      </c>
      <c r="KTK1599" s="55">
        <f t="shared" si="418"/>
        <v>0</v>
      </c>
      <c r="KTL1599" s="55">
        <f t="shared" si="418"/>
        <v>0</v>
      </c>
      <c r="KTM1599" s="55">
        <f t="shared" si="418"/>
        <v>0</v>
      </c>
      <c r="KTN1599" s="55">
        <f t="shared" si="418"/>
        <v>0</v>
      </c>
      <c r="KTO1599" s="55">
        <f t="shared" si="418"/>
        <v>0</v>
      </c>
      <c r="KTP1599" s="55">
        <f t="shared" si="418"/>
        <v>0</v>
      </c>
      <c r="KTQ1599" s="55">
        <f t="shared" si="418"/>
        <v>0</v>
      </c>
      <c r="KTR1599" s="55">
        <f t="shared" si="418"/>
        <v>0</v>
      </c>
      <c r="KTS1599" s="55">
        <f t="shared" si="418"/>
        <v>0</v>
      </c>
      <c r="KTT1599" s="55">
        <f t="shared" si="418"/>
        <v>0</v>
      </c>
      <c r="KTU1599" s="55">
        <f t="shared" si="418"/>
        <v>0</v>
      </c>
      <c r="KTV1599" s="55">
        <f t="shared" si="418"/>
        <v>0</v>
      </c>
      <c r="KTW1599" s="55">
        <f t="shared" si="418"/>
        <v>0</v>
      </c>
      <c r="KTX1599" s="55">
        <f t="shared" si="418"/>
        <v>0</v>
      </c>
      <c r="KTY1599" s="55">
        <f t="shared" si="418"/>
        <v>0</v>
      </c>
      <c r="KTZ1599" s="55">
        <f t="shared" si="418"/>
        <v>0</v>
      </c>
      <c r="KUA1599" s="55">
        <f t="shared" si="418"/>
        <v>0</v>
      </c>
      <c r="KUB1599" s="55">
        <f t="shared" si="418"/>
        <v>0</v>
      </c>
      <c r="KUC1599" s="55">
        <f t="shared" si="418"/>
        <v>0</v>
      </c>
      <c r="KUD1599" s="55">
        <f t="shared" si="418"/>
        <v>0</v>
      </c>
      <c r="KUE1599" s="55">
        <f t="shared" si="418"/>
        <v>0</v>
      </c>
      <c r="KUF1599" s="55">
        <f t="shared" si="418"/>
        <v>0</v>
      </c>
      <c r="KUG1599" s="55">
        <f t="shared" si="418"/>
        <v>0</v>
      </c>
      <c r="KUH1599" s="55">
        <f t="shared" si="418"/>
        <v>0</v>
      </c>
      <c r="KUI1599" s="55">
        <f t="shared" si="418"/>
        <v>0</v>
      </c>
      <c r="KUJ1599" s="55">
        <f t="shared" si="418"/>
        <v>0</v>
      </c>
      <c r="KUK1599" s="55">
        <f t="shared" si="418"/>
        <v>0</v>
      </c>
      <c r="KUL1599" s="55">
        <f t="shared" si="418"/>
        <v>0</v>
      </c>
      <c r="KUM1599" s="55">
        <f t="shared" si="418"/>
        <v>0</v>
      </c>
      <c r="KUN1599" s="55">
        <f t="shared" si="418"/>
        <v>0</v>
      </c>
      <c r="KUO1599" s="55">
        <f t="shared" si="418"/>
        <v>0</v>
      </c>
      <c r="KUP1599" s="55">
        <f t="shared" si="418"/>
        <v>0</v>
      </c>
      <c r="KUQ1599" s="55">
        <f t="shared" si="418"/>
        <v>0</v>
      </c>
      <c r="KUR1599" s="55">
        <f t="shared" si="418"/>
        <v>0</v>
      </c>
      <c r="KUS1599" s="55">
        <f t="shared" si="418"/>
        <v>0</v>
      </c>
      <c r="KUT1599" s="55">
        <f t="shared" si="418"/>
        <v>0</v>
      </c>
      <c r="KUU1599" s="55">
        <f t="shared" si="418"/>
        <v>0</v>
      </c>
      <c r="KUV1599" s="55">
        <f t="shared" si="418"/>
        <v>0</v>
      </c>
      <c r="KUW1599" s="55">
        <f t="shared" si="418"/>
        <v>0</v>
      </c>
      <c r="KUX1599" s="55">
        <f t="shared" si="418"/>
        <v>0</v>
      </c>
      <c r="KUY1599" s="55">
        <f t="shared" si="418"/>
        <v>0</v>
      </c>
      <c r="KUZ1599" s="55">
        <f t="shared" si="418"/>
        <v>0</v>
      </c>
      <c r="KVA1599" s="55">
        <f t="shared" si="418"/>
        <v>0</v>
      </c>
      <c r="KVB1599" s="55">
        <f t="shared" si="418"/>
        <v>0</v>
      </c>
      <c r="KVC1599" s="55">
        <f t="shared" si="418"/>
        <v>0</v>
      </c>
      <c r="KVD1599" s="55">
        <f t="shared" ref="KVD1599:KXO1599" si="419">+(KVD1619+KVD1623)*1.18*1.1</f>
        <v>0</v>
      </c>
      <c r="KVE1599" s="55">
        <f t="shared" si="419"/>
        <v>0</v>
      </c>
      <c r="KVF1599" s="55">
        <f t="shared" si="419"/>
        <v>0</v>
      </c>
      <c r="KVG1599" s="55">
        <f t="shared" si="419"/>
        <v>0</v>
      </c>
      <c r="KVH1599" s="55">
        <f t="shared" si="419"/>
        <v>0</v>
      </c>
      <c r="KVI1599" s="55">
        <f t="shared" si="419"/>
        <v>0</v>
      </c>
      <c r="KVJ1599" s="55">
        <f t="shared" si="419"/>
        <v>0</v>
      </c>
      <c r="KVK1599" s="55">
        <f t="shared" si="419"/>
        <v>0</v>
      </c>
      <c r="KVL1599" s="55">
        <f t="shared" si="419"/>
        <v>0</v>
      </c>
      <c r="KVM1599" s="55">
        <f t="shared" si="419"/>
        <v>0</v>
      </c>
      <c r="KVN1599" s="55">
        <f t="shared" si="419"/>
        <v>0</v>
      </c>
      <c r="KVO1599" s="55">
        <f t="shared" si="419"/>
        <v>0</v>
      </c>
      <c r="KVP1599" s="55">
        <f t="shared" si="419"/>
        <v>0</v>
      </c>
      <c r="KVQ1599" s="55">
        <f t="shared" si="419"/>
        <v>0</v>
      </c>
      <c r="KVR1599" s="55">
        <f t="shared" si="419"/>
        <v>0</v>
      </c>
      <c r="KVS1599" s="55">
        <f t="shared" si="419"/>
        <v>0</v>
      </c>
      <c r="KVT1599" s="55">
        <f t="shared" si="419"/>
        <v>0</v>
      </c>
      <c r="KVU1599" s="55">
        <f t="shared" si="419"/>
        <v>0</v>
      </c>
      <c r="KVV1599" s="55">
        <f t="shared" si="419"/>
        <v>0</v>
      </c>
      <c r="KVW1599" s="55">
        <f t="shared" si="419"/>
        <v>0</v>
      </c>
      <c r="KVX1599" s="55">
        <f t="shared" si="419"/>
        <v>0</v>
      </c>
      <c r="KVY1599" s="55">
        <f t="shared" si="419"/>
        <v>0</v>
      </c>
      <c r="KVZ1599" s="55">
        <f t="shared" si="419"/>
        <v>0</v>
      </c>
      <c r="KWA1599" s="55">
        <f t="shared" si="419"/>
        <v>0</v>
      </c>
      <c r="KWB1599" s="55">
        <f t="shared" si="419"/>
        <v>0</v>
      </c>
      <c r="KWC1599" s="55">
        <f t="shared" si="419"/>
        <v>0</v>
      </c>
      <c r="KWD1599" s="55">
        <f t="shared" si="419"/>
        <v>0</v>
      </c>
      <c r="KWE1599" s="55">
        <f t="shared" si="419"/>
        <v>0</v>
      </c>
      <c r="KWF1599" s="55">
        <f t="shared" si="419"/>
        <v>0</v>
      </c>
      <c r="KWG1599" s="55">
        <f t="shared" si="419"/>
        <v>0</v>
      </c>
      <c r="KWH1599" s="55">
        <f t="shared" si="419"/>
        <v>0</v>
      </c>
      <c r="KWI1599" s="55">
        <f t="shared" si="419"/>
        <v>0</v>
      </c>
      <c r="KWJ1599" s="55">
        <f t="shared" si="419"/>
        <v>0</v>
      </c>
      <c r="KWK1599" s="55">
        <f t="shared" si="419"/>
        <v>0</v>
      </c>
      <c r="KWL1599" s="55">
        <f t="shared" si="419"/>
        <v>0</v>
      </c>
      <c r="KWM1599" s="55">
        <f t="shared" si="419"/>
        <v>0</v>
      </c>
      <c r="KWN1599" s="55">
        <f t="shared" si="419"/>
        <v>0</v>
      </c>
      <c r="KWO1599" s="55">
        <f t="shared" si="419"/>
        <v>0</v>
      </c>
      <c r="KWP1599" s="55">
        <f t="shared" si="419"/>
        <v>0</v>
      </c>
      <c r="KWQ1599" s="55">
        <f t="shared" si="419"/>
        <v>0</v>
      </c>
      <c r="KWR1599" s="55">
        <f t="shared" si="419"/>
        <v>0</v>
      </c>
      <c r="KWS1599" s="55">
        <f t="shared" si="419"/>
        <v>0</v>
      </c>
      <c r="KWT1599" s="55">
        <f t="shared" si="419"/>
        <v>0</v>
      </c>
      <c r="KWU1599" s="55">
        <f t="shared" si="419"/>
        <v>0</v>
      </c>
      <c r="KWV1599" s="55">
        <f t="shared" si="419"/>
        <v>0</v>
      </c>
      <c r="KWW1599" s="55">
        <f t="shared" si="419"/>
        <v>0</v>
      </c>
      <c r="KWX1599" s="55">
        <f t="shared" si="419"/>
        <v>0</v>
      </c>
      <c r="KWY1599" s="55">
        <f t="shared" si="419"/>
        <v>0</v>
      </c>
      <c r="KWZ1599" s="55">
        <f t="shared" si="419"/>
        <v>0</v>
      </c>
      <c r="KXA1599" s="55">
        <f t="shared" si="419"/>
        <v>0</v>
      </c>
      <c r="KXB1599" s="55">
        <f t="shared" si="419"/>
        <v>0</v>
      </c>
      <c r="KXC1599" s="55">
        <f t="shared" si="419"/>
        <v>0</v>
      </c>
      <c r="KXD1599" s="55">
        <f t="shared" si="419"/>
        <v>0</v>
      </c>
      <c r="KXE1599" s="55">
        <f t="shared" si="419"/>
        <v>0</v>
      </c>
      <c r="KXF1599" s="55">
        <f t="shared" si="419"/>
        <v>0</v>
      </c>
      <c r="KXG1599" s="55">
        <f t="shared" si="419"/>
        <v>0</v>
      </c>
      <c r="KXH1599" s="55">
        <f t="shared" si="419"/>
        <v>0</v>
      </c>
      <c r="KXI1599" s="55">
        <f t="shared" si="419"/>
        <v>0</v>
      </c>
      <c r="KXJ1599" s="55">
        <f t="shared" si="419"/>
        <v>0</v>
      </c>
      <c r="KXK1599" s="55">
        <f t="shared" si="419"/>
        <v>0</v>
      </c>
      <c r="KXL1599" s="55">
        <f t="shared" si="419"/>
        <v>0</v>
      </c>
      <c r="KXM1599" s="55">
        <f t="shared" si="419"/>
        <v>0</v>
      </c>
      <c r="KXN1599" s="55">
        <f t="shared" si="419"/>
        <v>0</v>
      </c>
      <c r="KXO1599" s="55">
        <f t="shared" si="419"/>
        <v>0</v>
      </c>
      <c r="KXP1599" s="55">
        <f t="shared" ref="KXP1599:LAA1599" si="420">+(KXP1619+KXP1623)*1.18*1.1</f>
        <v>0</v>
      </c>
      <c r="KXQ1599" s="55">
        <f t="shared" si="420"/>
        <v>0</v>
      </c>
      <c r="KXR1599" s="55">
        <f t="shared" si="420"/>
        <v>0</v>
      </c>
      <c r="KXS1599" s="55">
        <f t="shared" si="420"/>
        <v>0</v>
      </c>
      <c r="KXT1599" s="55">
        <f t="shared" si="420"/>
        <v>0</v>
      </c>
      <c r="KXU1599" s="55">
        <f t="shared" si="420"/>
        <v>0</v>
      </c>
      <c r="KXV1599" s="55">
        <f t="shared" si="420"/>
        <v>0</v>
      </c>
      <c r="KXW1599" s="55">
        <f t="shared" si="420"/>
        <v>0</v>
      </c>
      <c r="KXX1599" s="55">
        <f t="shared" si="420"/>
        <v>0</v>
      </c>
      <c r="KXY1599" s="55">
        <f t="shared" si="420"/>
        <v>0</v>
      </c>
      <c r="KXZ1599" s="55">
        <f t="shared" si="420"/>
        <v>0</v>
      </c>
      <c r="KYA1599" s="55">
        <f t="shared" si="420"/>
        <v>0</v>
      </c>
      <c r="KYB1599" s="55">
        <f t="shared" si="420"/>
        <v>0</v>
      </c>
      <c r="KYC1599" s="55">
        <f t="shared" si="420"/>
        <v>0</v>
      </c>
      <c r="KYD1599" s="55">
        <f t="shared" si="420"/>
        <v>0</v>
      </c>
      <c r="KYE1599" s="55">
        <f t="shared" si="420"/>
        <v>0</v>
      </c>
      <c r="KYF1599" s="55">
        <f t="shared" si="420"/>
        <v>0</v>
      </c>
      <c r="KYG1599" s="55">
        <f t="shared" si="420"/>
        <v>0</v>
      </c>
      <c r="KYH1599" s="55">
        <f t="shared" si="420"/>
        <v>0</v>
      </c>
      <c r="KYI1599" s="55">
        <f t="shared" si="420"/>
        <v>0</v>
      </c>
      <c r="KYJ1599" s="55">
        <f t="shared" si="420"/>
        <v>0</v>
      </c>
      <c r="KYK1599" s="55">
        <f t="shared" si="420"/>
        <v>0</v>
      </c>
      <c r="KYL1599" s="55">
        <f t="shared" si="420"/>
        <v>0</v>
      </c>
      <c r="KYM1599" s="55">
        <f t="shared" si="420"/>
        <v>0</v>
      </c>
      <c r="KYN1599" s="55">
        <f t="shared" si="420"/>
        <v>0</v>
      </c>
      <c r="KYO1599" s="55">
        <f t="shared" si="420"/>
        <v>0</v>
      </c>
      <c r="KYP1599" s="55">
        <f t="shared" si="420"/>
        <v>0</v>
      </c>
      <c r="KYQ1599" s="55">
        <f t="shared" si="420"/>
        <v>0</v>
      </c>
      <c r="KYR1599" s="55">
        <f t="shared" si="420"/>
        <v>0</v>
      </c>
      <c r="KYS1599" s="55">
        <f t="shared" si="420"/>
        <v>0</v>
      </c>
      <c r="KYT1599" s="55">
        <f t="shared" si="420"/>
        <v>0</v>
      </c>
      <c r="KYU1599" s="55">
        <f t="shared" si="420"/>
        <v>0</v>
      </c>
      <c r="KYV1599" s="55">
        <f t="shared" si="420"/>
        <v>0</v>
      </c>
      <c r="KYW1599" s="55">
        <f t="shared" si="420"/>
        <v>0</v>
      </c>
      <c r="KYX1599" s="55">
        <f t="shared" si="420"/>
        <v>0</v>
      </c>
      <c r="KYY1599" s="55">
        <f t="shared" si="420"/>
        <v>0</v>
      </c>
      <c r="KYZ1599" s="55">
        <f t="shared" si="420"/>
        <v>0</v>
      </c>
      <c r="KZA1599" s="55">
        <f t="shared" si="420"/>
        <v>0</v>
      </c>
      <c r="KZB1599" s="55">
        <f t="shared" si="420"/>
        <v>0</v>
      </c>
      <c r="KZC1599" s="55">
        <f t="shared" si="420"/>
        <v>0</v>
      </c>
      <c r="KZD1599" s="55">
        <f t="shared" si="420"/>
        <v>0</v>
      </c>
      <c r="KZE1599" s="55">
        <f t="shared" si="420"/>
        <v>0</v>
      </c>
      <c r="KZF1599" s="55">
        <f t="shared" si="420"/>
        <v>0</v>
      </c>
      <c r="KZG1599" s="55">
        <f t="shared" si="420"/>
        <v>0</v>
      </c>
      <c r="KZH1599" s="55">
        <f t="shared" si="420"/>
        <v>0</v>
      </c>
      <c r="KZI1599" s="55">
        <f t="shared" si="420"/>
        <v>0</v>
      </c>
      <c r="KZJ1599" s="55">
        <f t="shared" si="420"/>
        <v>0</v>
      </c>
      <c r="KZK1599" s="55">
        <f t="shared" si="420"/>
        <v>0</v>
      </c>
      <c r="KZL1599" s="55">
        <f t="shared" si="420"/>
        <v>0</v>
      </c>
      <c r="KZM1599" s="55">
        <f t="shared" si="420"/>
        <v>0</v>
      </c>
      <c r="KZN1599" s="55">
        <f t="shared" si="420"/>
        <v>0</v>
      </c>
      <c r="KZO1599" s="55">
        <f t="shared" si="420"/>
        <v>0</v>
      </c>
      <c r="KZP1599" s="55">
        <f t="shared" si="420"/>
        <v>0</v>
      </c>
      <c r="KZQ1599" s="55">
        <f t="shared" si="420"/>
        <v>0</v>
      </c>
      <c r="KZR1599" s="55">
        <f t="shared" si="420"/>
        <v>0</v>
      </c>
      <c r="KZS1599" s="55">
        <f t="shared" si="420"/>
        <v>0</v>
      </c>
      <c r="KZT1599" s="55">
        <f t="shared" si="420"/>
        <v>0</v>
      </c>
      <c r="KZU1599" s="55">
        <f t="shared" si="420"/>
        <v>0</v>
      </c>
      <c r="KZV1599" s="55">
        <f t="shared" si="420"/>
        <v>0</v>
      </c>
      <c r="KZW1599" s="55">
        <f t="shared" si="420"/>
        <v>0</v>
      </c>
      <c r="KZX1599" s="55">
        <f t="shared" si="420"/>
        <v>0</v>
      </c>
      <c r="KZY1599" s="55">
        <f t="shared" si="420"/>
        <v>0</v>
      </c>
      <c r="KZZ1599" s="55">
        <f t="shared" si="420"/>
        <v>0</v>
      </c>
      <c r="LAA1599" s="55">
        <f t="shared" si="420"/>
        <v>0</v>
      </c>
      <c r="LAB1599" s="55">
        <f t="shared" ref="LAB1599:LCM1599" si="421">+(LAB1619+LAB1623)*1.18*1.1</f>
        <v>0</v>
      </c>
      <c r="LAC1599" s="55">
        <f t="shared" si="421"/>
        <v>0</v>
      </c>
      <c r="LAD1599" s="55">
        <f t="shared" si="421"/>
        <v>0</v>
      </c>
      <c r="LAE1599" s="55">
        <f t="shared" si="421"/>
        <v>0</v>
      </c>
      <c r="LAF1599" s="55">
        <f t="shared" si="421"/>
        <v>0</v>
      </c>
      <c r="LAG1599" s="55">
        <f t="shared" si="421"/>
        <v>0</v>
      </c>
      <c r="LAH1599" s="55">
        <f t="shared" si="421"/>
        <v>0</v>
      </c>
      <c r="LAI1599" s="55">
        <f t="shared" si="421"/>
        <v>0</v>
      </c>
      <c r="LAJ1599" s="55">
        <f t="shared" si="421"/>
        <v>0</v>
      </c>
      <c r="LAK1599" s="55">
        <f t="shared" si="421"/>
        <v>0</v>
      </c>
      <c r="LAL1599" s="55">
        <f t="shared" si="421"/>
        <v>0</v>
      </c>
      <c r="LAM1599" s="55">
        <f t="shared" si="421"/>
        <v>0</v>
      </c>
      <c r="LAN1599" s="55">
        <f t="shared" si="421"/>
        <v>0</v>
      </c>
      <c r="LAO1599" s="55">
        <f t="shared" si="421"/>
        <v>0</v>
      </c>
      <c r="LAP1599" s="55">
        <f t="shared" si="421"/>
        <v>0</v>
      </c>
      <c r="LAQ1599" s="55">
        <f t="shared" si="421"/>
        <v>0</v>
      </c>
      <c r="LAR1599" s="55">
        <f t="shared" si="421"/>
        <v>0</v>
      </c>
      <c r="LAS1599" s="55">
        <f t="shared" si="421"/>
        <v>0</v>
      </c>
      <c r="LAT1599" s="55">
        <f t="shared" si="421"/>
        <v>0</v>
      </c>
      <c r="LAU1599" s="55">
        <f t="shared" si="421"/>
        <v>0</v>
      </c>
      <c r="LAV1599" s="55">
        <f t="shared" si="421"/>
        <v>0</v>
      </c>
      <c r="LAW1599" s="55">
        <f t="shared" si="421"/>
        <v>0</v>
      </c>
      <c r="LAX1599" s="55">
        <f t="shared" si="421"/>
        <v>0</v>
      </c>
      <c r="LAY1599" s="55">
        <f t="shared" si="421"/>
        <v>0</v>
      </c>
      <c r="LAZ1599" s="55">
        <f t="shared" si="421"/>
        <v>0</v>
      </c>
      <c r="LBA1599" s="55">
        <f t="shared" si="421"/>
        <v>0</v>
      </c>
      <c r="LBB1599" s="55">
        <f t="shared" si="421"/>
        <v>0</v>
      </c>
      <c r="LBC1599" s="55">
        <f t="shared" si="421"/>
        <v>0</v>
      </c>
      <c r="LBD1599" s="55">
        <f t="shared" si="421"/>
        <v>0</v>
      </c>
      <c r="LBE1599" s="55">
        <f t="shared" si="421"/>
        <v>0</v>
      </c>
      <c r="LBF1599" s="55">
        <f t="shared" si="421"/>
        <v>0</v>
      </c>
      <c r="LBG1599" s="55">
        <f t="shared" si="421"/>
        <v>0</v>
      </c>
      <c r="LBH1599" s="55">
        <f t="shared" si="421"/>
        <v>0</v>
      </c>
      <c r="LBI1599" s="55">
        <f t="shared" si="421"/>
        <v>0</v>
      </c>
      <c r="LBJ1599" s="55">
        <f t="shared" si="421"/>
        <v>0</v>
      </c>
      <c r="LBK1599" s="55">
        <f t="shared" si="421"/>
        <v>0</v>
      </c>
      <c r="LBL1599" s="55">
        <f t="shared" si="421"/>
        <v>0</v>
      </c>
      <c r="LBM1599" s="55">
        <f t="shared" si="421"/>
        <v>0</v>
      </c>
      <c r="LBN1599" s="55">
        <f t="shared" si="421"/>
        <v>0</v>
      </c>
      <c r="LBO1599" s="55">
        <f t="shared" si="421"/>
        <v>0</v>
      </c>
      <c r="LBP1599" s="55">
        <f t="shared" si="421"/>
        <v>0</v>
      </c>
      <c r="LBQ1599" s="55">
        <f t="shared" si="421"/>
        <v>0</v>
      </c>
      <c r="LBR1599" s="55">
        <f t="shared" si="421"/>
        <v>0</v>
      </c>
      <c r="LBS1599" s="55">
        <f t="shared" si="421"/>
        <v>0</v>
      </c>
      <c r="LBT1599" s="55">
        <f t="shared" si="421"/>
        <v>0</v>
      </c>
      <c r="LBU1599" s="55">
        <f t="shared" si="421"/>
        <v>0</v>
      </c>
      <c r="LBV1599" s="55">
        <f t="shared" si="421"/>
        <v>0</v>
      </c>
      <c r="LBW1599" s="55">
        <f t="shared" si="421"/>
        <v>0</v>
      </c>
      <c r="LBX1599" s="55">
        <f t="shared" si="421"/>
        <v>0</v>
      </c>
      <c r="LBY1599" s="55">
        <f t="shared" si="421"/>
        <v>0</v>
      </c>
      <c r="LBZ1599" s="55">
        <f t="shared" si="421"/>
        <v>0</v>
      </c>
      <c r="LCA1599" s="55">
        <f t="shared" si="421"/>
        <v>0</v>
      </c>
      <c r="LCB1599" s="55">
        <f t="shared" si="421"/>
        <v>0</v>
      </c>
      <c r="LCC1599" s="55">
        <f t="shared" si="421"/>
        <v>0</v>
      </c>
      <c r="LCD1599" s="55">
        <f t="shared" si="421"/>
        <v>0</v>
      </c>
      <c r="LCE1599" s="55">
        <f t="shared" si="421"/>
        <v>0</v>
      </c>
      <c r="LCF1599" s="55">
        <f t="shared" si="421"/>
        <v>0</v>
      </c>
      <c r="LCG1599" s="55">
        <f t="shared" si="421"/>
        <v>0</v>
      </c>
      <c r="LCH1599" s="55">
        <f t="shared" si="421"/>
        <v>0</v>
      </c>
      <c r="LCI1599" s="55">
        <f t="shared" si="421"/>
        <v>0</v>
      </c>
      <c r="LCJ1599" s="55">
        <f t="shared" si="421"/>
        <v>0</v>
      </c>
      <c r="LCK1599" s="55">
        <f t="shared" si="421"/>
        <v>0</v>
      </c>
      <c r="LCL1599" s="55">
        <f t="shared" si="421"/>
        <v>0</v>
      </c>
      <c r="LCM1599" s="55">
        <f t="shared" si="421"/>
        <v>0</v>
      </c>
      <c r="LCN1599" s="55">
        <f t="shared" ref="LCN1599:LEY1599" si="422">+(LCN1619+LCN1623)*1.18*1.1</f>
        <v>0</v>
      </c>
      <c r="LCO1599" s="55">
        <f t="shared" si="422"/>
        <v>0</v>
      </c>
      <c r="LCP1599" s="55">
        <f t="shared" si="422"/>
        <v>0</v>
      </c>
      <c r="LCQ1599" s="55">
        <f t="shared" si="422"/>
        <v>0</v>
      </c>
      <c r="LCR1599" s="55">
        <f t="shared" si="422"/>
        <v>0</v>
      </c>
      <c r="LCS1599" s="55">
        <f t="shared" si="422"/>
        <v>0</v>
      </c>
      <c r="LCT1599" s="55">
        <f t="shared" si="422"/>
        <v>0</v>
      </c>
      <c r="LCU1599" s="55">
        <f t="shared" si="422"/>
        <v>0</v>
      </c>
      <c r="LCV1599" s="55">
        <f t="shared" si="422"/>
        <v>0</v>
      </c>
      <c r="LCW1599" s="55">
        <f t="shared" si="422"/>
        <v>0</v>
      </c>
      <c r="LCX1599" s="55">
        <f t="shared" si="422"/>
        <v>0</v>
      </c>
      <c r="LCY1599" s="55">
        <f t="shared" si="422"/>
        <v>0</v>
      </c>
      <c r="LCZ1599" s="55">
        <f t="shared" si="422"/>
        <v>0</v>
      </c>
      <c r="LDA1599" s="55">
        <f t="shared" si="422"/>
        <v>0</v>
      </c>
      <c r="LDB1599" s="55">
        <f t="shared" si="422"/>
        <v>0</v>
      </c>
      <c r="LDC1599" s="55">
        <f t="shared" si="422"/>
        <v>0</v>
      </c>
      <c r="LDD1599" s="55">
        <f t="shared" si="422"/>
        <v>0</v>
      </c>
      <c r="LDE1599" s="55">
        <f t="shared" si="422"/>
        <v>0</v>
      </c>
      <c r="LDF1599" s="55">
        <f t="shared" si="422"/>
        <v>0</v>
      </c>
      <c r="LDG1599" s="55">
        <f t="shared" si="422"/>
        <v>0</v>
      </c>
      <c r="LDH1599" s="55">
        <f t="shared" si="422"/>
        <v>0</v>
      </c>
      <c r="LDI1599" s="55">
        <f t="shared" si="422"/>
        <v>0</v>
      </c>
      <c r="LDJ1599" s="55">
        <f t="shared" si="422"/>
        <v>0</v>
      </c>
      <c r="LDK1599" s="55">
        <f t="shared" si="422"/>
        <v>0</v>
      </c>
      <c r="LDL1599" s="55">
        <f t="shared" si="422"/>
        <v>0</v>
      </c>
      <c r="LDM1599" s="55">
        <f t="shared" si="422"/>
        <v>0</v>
      </c>
      <c r="LDN1599" s="55">
        <f t="shared" si="422"/>
        <v>0</v>
      </c>
      <c r="LDO1599" s="55">
        <f t="shared" si="422"/>
        <v>0</v>
      </c>
      <c r="LDP1599" s="55">
        <f t="shared" si="422"/>
        <v>0</v>
      </c>
      <c r="LDQ1599" s="55">
        <f t="shared" si="422"/>
        <v>0</v>
      </c>
      <c r="LDR1599" s="55">
        <f t="shared" si="422"/>
        <v>0</v>
      </c>
      <c r="LDS1599" s="55">
        <f t="shared" si="422"/>
        <v>0</v>
      </c>
      <c r="LDT1599" s="55">
        <f t="shared" si="422"/>
        <v>0</v>
      </c>
      <c r="LDU1599" s="55">
        <f t="shared" si="422"/>
        <v>0</v>
      </c>
      <c r="LDV1599" s="55">
        <f t="shared" si="422"/>
        <v>0</v>
      </c>
      <c r="LDW1599" s="55">
        <f t="shared" si="422"/>
        <v>0</v>
      </c>
      <c r="LDX1599" s="55">
        <f t="shared" si="422"/>
        <v>0</v>
      </c>
      <c r="LDY1599" s="55">
        <f t="shared" si="422"/>
        <v>0</v>
      </c>
      <c r="LDZ1599" s="55">
        <f t="shared" si="422"/>
        <v>0</v>
      </c>
      <c r="LEA1599" s="55">
        <f t="shared" si="422"/>
        <v>0</v>
      </c>
      <c r="LEB1599" s="55">
        <f t="shared" si="422"/>
        <v>0</v>
      </c>
      <c r="LEC1599" s="55">
        <f t="shared" si="422"/>
        <v>0</v>
      </c>
      <c r="LED1599" s="55">
        <f t="shared" si="422"/>
        <v>0</v>
      </c>
      <c r="LEE1599" s="55">
        <f t="shared" si="422"/>
        <v>0</v>
      </c>
      <c r="LEF1599" s="55">
        <f t="shared" si="422"/>
        <v>0</v>
      </c>
      <c r="LEG1599" s="55">
        <f t="shared" si="422"/>
        <v>0</v>
      </c>
      <c r="LEH1599" s="55">
        <f t="shared" si="422"/>
        <v>0</v>
      </c>
      <c r="LEI1599" s="55">
        <f t="shared" si="422"/>
        <v>0</v>
      </c>
      <c r="LEJ1599" s="55">
        <f t="shared" si="422"/>
        <v>0</v>
      </c>
      <c r="LEK1599" s="55">
        <f t="shared" si="422"/>
        <v>0</v>
      </c>
      <c r="LEL1599" s="55">
        <f t="shared" si="422"/>
        <v>0</v>
      </c>
      <c r="LEM1599" s="55">
        <f t="shared" si="422"/>
        <v>0</v>
      </c>
      <c r="LEN1599" s="55">
        <f t="shared" si="422"/>
        <v>0</v>
      </c>
      <c r="LEO1599" s="55">
        <f t="shared" si="422"/>
        <v>0</v>
      </c>
      <c r="LEP1599" s="55">
        <f t="shared" si="422"/>
        <v>0</v>
      </c>
      <c r="LEQ1599" s="55">
        <f t="shared" si="422"/>
        <v>0</v>
      </c>
      <c r="LER1599" s="55">
        <f t="shared" si="422"/>
        <v>0</v>
      </c>
      <c r="LES1599" s="55">
        <f t="shared" si="422"/>
        <v>0</v>
      </c>
      <c r="LET1599" s="55">
        <f t="shared" si="422"/>
        <v>0</v>
      </c>
      <c r="LEU1599" s="55">
        <f t="shared" si="422"/>
        <v>0</v>
      </c>
      <c r="LEV1599" s="55">
        <f t="shared" si="422"/>
        <v>0</v>
      </c>
      <c r="LEW1599" s="55">
        <f t="shared" si="422"/>
        <v>0</v>
      </c>
      <c r="LEX1599" s="55">
        <f t="shared" si="422"/>
        <v>0</v>
      </c>
      <c r="LEY1599" s="55">
        <f t="shared" si="422"/>
        <v>0</v>
      </c>
      <c r="LEZ1599" s="55">
        <f t="shared" ref="LEZ1599:LHK1599" si="423">+(LEZ1619+LEZ1623)*1.18*1.1</f>
        <v>0</v>
      </c>
      <c r="LFA1599" s="55">
        <f t="shared" si="423"/>
        <v>0</v>
      </c>
      <c r="LFB1599" s="55">
        <f t="shared" si="423"/>
        <v>0</v>
      </c>
      <c r="LFC1599" s="55">
        <f t="shared" si="423"/>
        <v>0</v>
      </c>
      <c r="LFD1599" s="55">
        <f t="shared" si="423"/>
        <v>0</v>
      </c>
      <c r="LFE1599" s="55">
        <f t="shared" si="423"/>
        <v>0</v>
      </c>
      <c r="LFF1599" s="55">
        <f t="shared" si="423"/>
        <v>0</v>
      </c>
      <c r="LFG1599" s="55">
        <f t="shared" si="423"/>
        <v>0</v>
      </c>
      <c r="LFH1599" s="55">
        <f t="shared" si="423"/>
        <v>0</v>
      </c>
      <c r="LFI1599" s="55">
        <f t="shared" si="423"/>
        <v>0</v>
      </c>
      <c r="LFJ1599" s="55">
        <f t="shared" si="423"/>
        <v>0</v>
      </c>
      <c r="LFK1599" s="55">
        <f t="shared" si="423"/>
        <v>0</v>
      </c>
      <c r="LFL1599" s="55">
        <f t="shared" si="423"/>
        <v>0</v>
      </c>
      <c r="LFM1599" s="55">
        <f t="shared" si="423"/>
        <v>0</v>
      </c>
      <c r="LFN1599" s="55">
        <f t="shared" si="423"/>
        <v>0</v>
      </c>
      <c r="LFO1599" s="55">
        <f t="shared" si="423"/>
        <v>0</v>
      </c>
      <c r="LFP1599" s="55">
        <f t="shared" si="423"/>
        <v>0</v>
      </c>
      <c r="LFQ1599" s="55">
        <f t="shared" si="423"/>
        <v>0</v>
      </c>
      <c r="LFR1599" s="55">
        <f t="shared" si="423"/>
        <v>0</v>
      </c>
      <c r="LFS1599" s="55">
        <f t="shared" si="423"/>
        <v>0</v>
      </c>
      <c r="LFT1599" s="55">
        <f t="shared" si="423"/>
        <v>0</v>
      </c>
      <c r="LFU1599" s="55">
        <f t="shared" si="423"/>
        <v>0</v>
      </c>
      <c r="LFV1599" s="55">
        <f t="shared" si="423"/>
        <v>0</v>
      </c>
      <c r="LFW1599" s="55">
        <f t="shared" si="423"/>
        <v>0</v>
      </c>
      <c r="LFX1599" s="55">
        <f t="shared" si="423"/>
        <v>0</v>
      </c>
      <c r="LFY1599" s="55">
        <f t="shared" si="423"/>
        <v>0</v>
      </c>
      <c r="LFZ1599" s="55">
        <f t="shared" si="423"/>
        <v>0</v>
      </c>
      <c r="LGA1599" s="55">
        <f t="shared" si="423"/>
        <v>0</v>
      </c>
      <c r="LGB1599" s="55">
        <f t="shared" si="423"/>
        <v>0</v>
      </c>
      <c r="LGC1599" s="55">
        <f t="shared" si="423"/>
        <v>0</v>
      </c>
      <c r="LGD1599" s="55">
        <f t="shared" si="423"/>
        <v>0</v>
      </c>
      <c r="LGE1599" s="55">
        <f t="shared" si="423"/>
        <v>0</v>
      </c>
      <c r="LGF1599" s="55">
        <f t="shared" si="423"/>
        <v>0</v>
      </c>
      <c r="LGG1599" s="55">
        <f t="shared" si="423"/>
        <v>0</v>
      </c>
      <c r="LGH1599" s="55">
        <f t="shared" si="423"/>
        <v>0</v>
      </c>
      <c r="LGI1599" s="55">
        <f t="shared" si="423"/>
        <v>0</v>
      </c>
      <c r="LGJ1599" s="55">
        <f t="shared" si="423"/>
        <v>0</v>
      </c>
      <c r="LGK1599" s="55">
        <f t="shared" si="423"/>
        <v>0</v>
      </c>
      <c r="LGL1599" s="55">
        <f t="shared" si="423"/>
        <v>0</v>
      </c>
      <c r="LGM1599" s="55">
        <f t="shared" si="423"/>
        <v>0</v>
      </c>
      <c r="LGN1599" s="55">
        <f t="shared" si="423"/>
        <v>0</v>
      </c>
      <c r="LGO1599" s="55">
        <f t="shared" si="423"/>
        <v>0</v>
      </c>
      <c r="LGP1599" s="55">
        <f t="shared" si="423"/>
        <v>0</v>
      </c>
      <c r="LGQ1599" s="55">
        <f t="shared" si="423"/>
        <v>0</v>
      </c>
      <c r="LGR1599" s="55">
        <f t="shared" si="423"/>
        <v>0</v>
      </c>
      <c r="LGS1599" s="55">
        <f t="shared" si="423"/>
        <v>0</v>
      </c>
      <c r="LGT1599" s="55">
        <f t="shared" si="423"/>
        <v>0</v>
      </c>
      <c r="LGU1599" s="55">
        <f t="shared" si="423"/>
        <v>0</v>
      </c>
      <c r="LGV1599" s="55">
        <f t="shared" si="423"/>
        <v>0</v>
      </c>
      <c r="LGW1599" s="55">
        <f t="shared" si="423"/>
        <v>0</v>
      </c>
      <c r="LGX1599" s="55">
        <f t="shared" si="423"/>
        <v>0</v>
      </c>
      <c r="LGY1599" s="55">
        <f t="shared" si="423"/>
        <v>0</v>
      </c>
      <c r="LGZ1599" s="55">
        <f t="shared" si="423"/>
        <v>0</v>
      </c>
      <c r="LHA1599" s="55">
        <f t="shared" si="423"/>
        <v>0</v>
      </c>
      <c r="LHB1599" s="55">
        <f t="shared" si="423"/>
        <v>0</v>
      </c>
      <c r="LHC1599" s="55">
        <f t="shared" si="423"/>
        <v>0</v>
      </c>
      <c r="LHD1599" s="55">
        <f t="shared" si="423"/>
        <v>0</v>
      </c>
      <c r="LHE1599" s="55">
        <f t="shared" si="423"/>
        <v>0</v>
      </c>
      <c r="LHF1599" s="55">
        <f t="shared" si="423"/>
        <v>0</v>
      </c>
      <c r="LHG1599" s="55">
        <f t="shared" si="423"/>
        <v>0</v>
      </c>
      <c r="LHH1599" s="55">
        <f t="shared" si="423"/>
        <v>0</v>
      </c>
      <c r="LHI1599" s="55">
        <f t="shared" si="423"/>
        <v>0</v>
      </c>
      <c r="LHJ1599" s="55">
        <f t="shared" si="423"/>
        <v>0</v>
      </c>
      <c r="LHK1599" s="55">
        <f t="shared" si="423"/>
        <v>0</v>
      </c>
      <c r="LHL1599" s="55">
        <f t="shared" ref="LHL1599:LJW1599" si="424">+(LHL1619+LHL1623)*1.18*1.1</f>
        <v>0</v>
      </c>
      <c r="LHM1599" s="55">
        <f t="shared" si="424"/>
        <v>0</v>
      </c>
      <c r="LHN1599" s="55">
        <f t="shared" si="424"/>
        <v>0</v>
      </c>
      <c r="LHO1599" s="55">
        <f t="shared" si="424"/>
        <v>0</v>
      </c>
      <c r="LHP1599" s="55">
        <f t="shared" si="424"/>
        <v>0</v>
      </c>
      <c r="LHQ1599" s="55">
        <f t="shared" si="424"/>
        <v>0</v>
      </c>
      <c r="LHR1599" s="55">
        <f t="shared" si="424"/>
        <v>0</v>
      </c>
      <c r="LHS1599" s="55">
        <f t="shared" si="424"/>
        <v>0</v>
      </c>
      <c r="LHT1599" s="55">
        <f t="shared" si="424"/>
        <v>0</v>
      </c>
      <c r="LHU1599" s="55">
        <f t="shared" si="424"/>
        <v>0</v>
      </c>
      <c r="LHV1599" s="55">
        <f t="shared" si="424"/>
        <v>0</v>
      </c>
      <c r="LHW1599" s="55">
        <f t="shared" si="424"/>
        <v>0</v>
      </c>
      <c r="LHX1599" s="55">
        <f t="shared" si="424"/>
        <v>0</v>
      </c>
      <c r="LHY1599" s="55">
        <f t="shared" si="424"/>
        <v>0</v>
      </c>
      <c r="LHZ1599" s="55">
        <f t="shared" si="424"/>
        <v>0</v>
      </c>
      <c r="LIA1599" s="55">
        <f t="shared" si="424"/>
        <v>0</v>
      </c>
      <c r="LIB1599" s="55">
        <f t="shared" si="424"/>
        <v>0</v>
      </c>
      <c r="LIC1599" s="55">
        <f t="shared" si="424"/>
        <v>0</v>
      </c>
      <c r="LID1599" s="55">
        <f t="shared" si="424"/>
        <v>0</v>
      </c>
      <c r="LIE1599" s="55">
        <f t="shared" si="424"/>
        <v>0</v>
      </c>
      <c r="LIF1599" s="55">
        <f t="shared" si="424"/>
        <v>0</v>
      </c>
      <c r="LIG1599" s="55">
        <f t="shared" si="424"/>
        <v>0</v>
      </c>
      <c r="LIH1599" s="55">
        <f t="shared" si="424"/>
        <v>0</v>
      </c>
      <c r="LII1599" s="55">
        <f t="shared" si="424"/>
        <v>0</v>
      </c>
      <c r="LIJ1599" s="55">
        <f t="shared" si="424"/>
        <v>0</v>
      </c>
      <c r="LIK1599" s="55">
        <f t="shared" si="424"/>
        <v>0</v>
      </c>
      <c r="LIL1599" s="55">
        <f t="shared" si="424"/>
        <v>0</v>
      </c>
      <c r="LIM1599" s="55">
        <f t="shared" si="424"/>
        <v>0</v>
      </c>
      <c r="LIN1599" s="55">
        <f t="shared" si="424"/>
        <v>0</v>
      </c>
      <c r="LIO1599" s="55">
        <f t="shared" si="424"/>
        <v>0</v>
      </c>
      <c r="LIP1599" s="55">
        <f t="shared" si="424"/>
        <v>0</v>
      </c>
      <c r="LIQ1599" s="55">
        <f t="shared" si="424"/>
        <v>0</v>
      </c>
      <c r="LIR1599" s="55">
        <f t="shared" si="424"/>
        <v>0</v>
      </c>
      <c r="LIS1599" s="55">
        <f t="shared" si="424"/>
        <v>0</v>
      </c>
      <c r="LIT1599" s="55">
        <f t="shared" si="424"/>
        <v>0</v>
      </c>
      <c r="LIU1599" s="55">
        <f t="shared" si="424"/>
        <v>0</v>
      </c>
      <c r="LIV1599" s="55">
        <f t="shared" si="424"/>
        <v>0</v>
      </c>
      <c r="LIW1599" s="55">
        <f t="shared" si="424"/>
        <v>0</v>
      </c>
      <c r="LIX1599" s="55">
        <f t="shared" si="424"/>
        <v>0</v>
      </c>
      <c r="LIY1599" s="55">
        <f t="shared" si="424"/>
        <v>0</v>
      </c>
      <c r="LIZ1599" s="55">
        <f t="shared" si="424"/>
        <v>0</v>
      </c>
      <c r="LJA1599" s="55">
        <f t="shared" si="424"/>
        <v>0</v>
      </c>
      <c r="LJB1599" s="55">
        <f t="shared" si="424"/>
        <v>0</v>
      </c>
      <c r="LJC1599" s="55">
        <f t="shared" si="424"/>
        <v>0</v>
      </c>
      <c r="LJD1599" s="55">
        <f t="shared" si="424"/>
        <v>0</v>
      </c>
      <c r="LJE1599" s="55">
        <f t="shared" si="424"/>
        <v>0</v>
      </c>
      <c r="LJF1599" s="55">
        <f t="shared" si="424"/>
        <v>0</v>
      </c>
      <c r="LJG1599" s="55">
        <f t="shared" si="424"/>
        <v>0</v>
      </c>
      <c r="LJH1599" s="55">
        <f t="shared" si="424"/>
        <v>0</v>
      </c>
      <c r="LJI1599" s="55">
        <f t="shared" si="424"/>
        <v>0</v>
      </c>
      <c r="LJJ1599" s="55">
        <f t="shared" si="424"/>
        <v>0</v>
      </c>
      <c r="LJK1599" s="55">
        <f t="shared" si="424"/>
        <v>0</v>
      </c>
      <c r="LJL1599" s="55">
        <f t="shared" si="424"/>
        <v>0</v>
      </c>
      <c r="LJM1599" s="55">
        <f t="shared" si="424"/>
        <v>0</v>
      </c>
      <c r="LJN1599" s="55">
        <f t="shared" si="424"/>
        <v>0</v>
      </c>
      <c r="LJO1599" s="55">
        <f t="shared" si="424"/>
        <v>0</v>
      </c>
      <c r="LJP1599" s="55">
        <f t="shared" si="424"/>
        <v>0</v>
      </c>
      <c r="LJQ1599" s="55">
        <f t="shared" si="424"/>
        <v>0</v>
      </c>
      <c r="LJR1599" s="55">
        <f t="shared" si="424"/>
        <v>0</v>
      </c>
      <c r="LJS1599" s="55">
        <f t="shared" si="424"/>
        <v>0</v>
      </c>
      <c r="LJT1599" s="55">
        <f t="shared" si="424"/>
        <v>0</v>
      </c>
      <c r="LJU1599" s="55">
        <f t="shared" si="424"/>
        <v>0</v>
      </c>
      <c r="LJV1599" s="55">
        <f t="shared" si="424"/>
        <v>0</v>
      </c>
      <c r="LJW1599" s="55">
        <f t="shared" si="424"/>
        <v>0</v>
      </c>
      <c r="LJX1599" s="55">
        <f t="shared" ref="LJX1599:LMI1599" si="425">+(LJX1619+LJX1623)*1.18*1.1</f>
        <v>0</v>
      </c>
      <c r="LJY1599" s="55">
        <f t="shared" si="425"/>
        <v>0</v>
      </c>
      <c r="LJZ1599" s="55">
        <f t="shared" si="425"/>
        <v>0</v>
      </c>
      <c r="LKA1599" s="55">
        <f t="shared" si="425"/>
        <v>0</v>
      </c>
      <c r="LKB1599" s="55">
        <f t="shared" si="425"/>
        <v>0</v>
      </c>
      <c r="LKC1599" s="55">
        <f t="shared" si="425"/>
        <v>0</v>
      </c>
      <c r="LKD1599" s="55">
        <f t="shared" si="425"/>
        <v>0</v>
      </c>
      <c r="LKE1599" s="55">
        <f t="shared" si="425"/>
        <v>0</v>
      </c>
      <c r="LKF1599" s="55">
        <f t="shared" si="425"/>
        <v>0</v>
      </c>
      <c r="LKG1599" s="55">
        <f t="shared" si="425"/>
        <v>0</v>
      </c>
      <c r="LKH1599" s="55">
        <f t="shared" si="425"/>
        <v>0</v>
      </c>
      <c r="LKI1599" s="55">
        <f t="shared" si="425"/>
        <v>0</v>
      </c>
      <c r="LKJ1599" s="55">
        <f t="shared" si="425"/>
        <v>0</v>
      </c>
      <c r="LKK1599" s="55">
        <f t="shared" si="425"/>
        <v>0</v>
      </c>
      <c r="LKL1599" s="55">
        <f t="shared" si="425"/>
        <v>0</v>
      </c>
      <c r="LKM1599" s="55">
        <f t="shared" si="425"/>
        <v>0</v>
      </c>
      <c r="LKN1599" s="55">
        <f t="shared" si="425"/>
        <v>0</v>
      </c>
      <c r="LKO1599" s="55">
        <f t="shared" si="425"/>
        <v>0</v>
      </c>
      <c r="LKP1599" s="55">
        <f t="shared" si="425"/>
        <v>0</v>
      </c>
      <c r="LKQ1599" s="55">
        <f t="shared" si="425"/>
        <v>0</v>
      </c>
      <c r="LKR1599" s="55">
        <f t="shared" si="425"/>
        <v>0</v>
      </c>
      <c r="LKS1599" s="55">
        <f t="shared" si="425"/>
        <v>0</v>
      </c>
      <c r="LKT1599" s="55">
        <f t="shared" si="425"/>
        <v>0</v>
      </c>
      <c r="LKU1599" s="55">
        <f t="shared" si="425"/>
        <v>0</v>
      </c>
      <c r="LKV1599" s="55">
        <f t="shared" si="425"/>
        <v>0</v>
      </c>
      <c r="LKW1599" s="55">
        <f t="shared" si="425"/>
        <v>0</v>
      </c>
      <c r="LKX1599" s="55">
        <f t="shared" si="425"/>
        <v>0</v>
      </c>
      <c r="LKY1599" s="55">
        <f t="shared" si="425"/>
        <v>0</v>
      </c>
      <c r="LKZ1599" s="55">
        <f t="shared" si="425"/>
        <v>0</v>
      </c>
      <c r="LLA1599" s="55">
        <f t="shared" si="425"/>
        <v>0</v>
      </c>
      <c r="LLB1599" s="55">
        <f t="shared" si="425"/>
        <v>0</v>
      </c>
      <c r="LLC1599" s="55">
        <f t="shared" si="425"/>
        <v>0</v>
      </c>
      <c r="LLD1599" s="55">
        <f t="shared" si="425"/>
        <v>0</v>
      </c>
      <c r="LLE1599" s="55">
        <f t="shared" si="425"/>
        <v>0</v>
      </c>
      <c r="LLF1599" s="55">
        <f t="shared" si="425"/>
        <v>0</v>
      </c>
      <c r="LLG1599" s="55">
        <f t="shared" si="425"/>
        <v>0</v>
      </c>
      <c r="LLH1599" s="55">
        <f t="shared" si="425"/>
        <v>0</v>
      </c>
      <c r="LLI1599" s="55">
        <f t="shared" si="425"/>
        <v>0</v>
      </c>
      <c r="LLJ1599" s="55">
        <f t="shared" si="425"/>
        <v>0</v>
      </c>
      <c r="LLK1599" s="55">
        <f t="shared" si="425"/>
        <v>0</v>
      </c>
      <c r="LLL1599" s="55">
        <f t="shared" si="425"/>
        <v>0</v>
      </c>
      <c r="LLM1599" s="55">
        <f t="shared" si="425"/>
        <v>0</v>
      </c>
      <c r="LLN1599" s="55">
        <f t="shared" si="425"/>
        <v>0</v>
      </c>
      <c r="LLO1599" s="55">
        <f t="shared" si="425"/>
        <v>0</v>
      </c>
      <c r="LLP1599" s="55">
        <f t="shared" si="425"/>
        <v>0</v>
      </c>
      <c r="LLQ1599" s="55">
        <f t="shared" si="425"/>
        <v>0</v>
      </c>
      <c r="LLR1599" s="55">
        <f t="shared" si="425"/>
        <v>0</v>
      </c>
      <c r="LLS1599" s="55">
        <f t="shared" si="425"/>
        <v>0</v>
      </c>
      <c r="LLT1599" s="55">
        <f t="shared" si="425"/>
        <v>0</v>
      </c>
      <c r="LLU1599" s="55">
        <f t="shared" si="425"/>
        <v>0</v>
      </c>
      <c r="LLV1599" s="55">
        <f t="shared" si="425"/>
        <v>0</v>
      </c>
      <c r="LLW1599" s="55">
        <f t="shared" si="425"/>
        <v>0</v>
      </c>
      <c r="LLX1599" s="55">
        <f t="shared" si="425"/>
        <v>0</v>
      </c>
      <c r="LLY1599" s="55">
        <f t="shared" si="425"/>
        <v>0</v>
      </c>
      <c r="LLZ1599" s="55">
        <f t="shared" si="425"/>
        <v>0</v>
      </c>
      <c r="LMA1599" s="55">
        <f t="shared" si="425"/>
        <v>0</v>
      </c>
      <c r="LMB1599" s="55">
        <f t="shared" si="425"/>
        <v>0</v>
      </c>
      <c r="LMC1599" s="55">
        <f t="shared" si="425"/>
        <v>0</v>
      </c>
      <c r="LMD1599" s="55">
        <f t="shared" si="425"/>
        <v>0</v>
      </c>
      <c r="LME1599" s="55">
        <f t="shared" si="425"/>
        <v>0</v>
      </c>
      <c r="LMF1599" s="55">
        <f t="shared" si="425"/>
        <v>0</v>
      </c>
      <c r="LMG1599" s="55">
        <f t="shared" si="425"/>
        <v>0</v>
      </c>
      <c r="LMH1599" s="55">
        <f t="shared" si="425"/>
        <v>0</v>
      </c>
      <c r="LMI1599" s="55">
        <f t="shared" si="425"/>
        <v>0</v>
      </c>
      <c r="LMJ1599" s="55">
        <f t="shared" ref="LMJ1599:LOU1599" si="426">+(LMJ1619+LMJ1623)*1.18*1.1</f>
        <v>0</v>
      </c>
      <c r="LMK1599" s="55">
        <f t="shared" si="426"/>
        <v>0</v>
      </c>
      <c r="LML1599" s="55">
        <f t="shared" si="426"/>
        <v>0</v>
      </c>
      <c r="LMM1599" s="55">
        <f t="shared" si="426"/>
        <v>0</v>
      </c>
      <c r="LMN1599" s="55">
        <f t="shared" si="426"/>
        <v>0</v>
      </c>
      <c r="LMO1599" s="55">
        <f t="shared" si="426"/>
        <v>0</v>
      </c>
      <c r="LMP1599" s="55">
        <f t="shared" si="426"/>
        <v>0</v>
      </c>
      <c r="LMQ1599" s="55">
        <f t="shared" si="426"/>
        <v>0</v>
      </c>
      <c r="LMR1599" s="55">
        <f t="shared" si="426"/>
        <v>0</v>
      </c>
      <c r="LMS1599" s="55">
        <f t="shared" si="426"/>
        <v>0</v>
      </c>
      <c r="LMT1599" s="55">
        <f t="shared" si="426"/>
        <v>0</v>
      </c>
      <c r="LMU1599" s="55">
        <f t="shared" si="426"/>
        <v>0</v>
      </c>
      <c r="LMV1599" s="55">
        <f t="shared" si="426"/>
        <v>0</v>
      </c>
      <c r="LMW1599" s="55">
        <f t="shared" si="426"/>
        <v>0</v>
      </c>
      <c r="LMX1599" s="55">
        <f t="shared" si="426"/>
        <v>0</v>
      </c>
      <c r="LMY1599" s="55">
        <f t="shared" si="426"/>
        <v>0</v>
      </c>
      <c r="LMZ1599" s="55">
        <f t="shared" si="426"/>
        <v>0</v>
      </c>
      <c r="LNA1599" s="55">
        <f t="shared" si="426"/>
        <v>0</v>
      </c>
      <c r="LNB1599" s="55">
        <f t="shared" si="426"/>
        <v>0</v>
      </c>
      <c r="LNC1599" s="55">
        <f t="shared" si="426"/>
        <v>0</v>
      </c>
      <c r="LND1599" s="55">
        <f t="shared" si="426"/>
        <v>0</v>
      </c>
      <c r="LNE1599" s="55">
        <f t="shared" si="426"/>
        <v>0</v>
      </c>
      <c r="LNF1599" s="55">
        <f t="shared" si="426"/>
        <v>0</v>
      </c>
      <c r="LNG1599" s="55">
        <f t="shared" si="426"/>
        <v>0</v>
      </c>
      <c r="LNH1599" s="55">
        <f t="shared" si="426"/>
        <v>0</v>
      </c>
      <c r="LNI1599" s="55">
        <f t="shared" si="426"/>
        <v>0</v>
      </c>
      <c r="LNJ1599" s="55">
        <f t="shared" si="426"/>
        <v>0</v>
      </c>
      <c r="LNK1599" s="55">
        <f t="shared" si="426"/>
        <v>0</v>
      </c>
      <c r="LNL1599" s="55">
        <f t="shared" si="426"/>
        <v>0</v>
      </c>
      <c r="LNM1599" s="55">
        <f t="shared" si="426"/>
        <v>0</v>
      </c>
      <c r="LNN1599" s="55">
        <f t="shared" si="426"/>
        <v>0</v>
      </c>
      <c r="LNO1599" s="55">
        <f t="shared" si="426"/>
        <v>0</v>
      </c>
      <c r="LNP1599" s="55">
        <f t="shared" si="426"/>
        <v>0</v>
      </c>
      <c r="LNQ1599" s="55">
        <f t="shared" si="426"/>
        <v>0</v>
      </c>
      <c r="LNR1599" s="55">
        <f t="shared" si="426"/>
        <v>0</v>
      </c>
      <c r="LNS1599" s="55">
        <f t="shared" si="426"/>
        <v>0</v>
      </c>
      <c r="LNT1599" s="55">
        <f t="shared" si="426"/>
        <v>0</v>
      </c>
      <c r="LNU1599" s="55">
        <f t="shared" si="426"/>
        <v>0</v>
      </c>
      <c r="LNV1599" s="55">
        <f t="shared" si="426"/>
        <v>0</v>
      </c>
      <c r="LNW1599" s="55">
        <f t="shared" si="426"/>
        <v>0</v>
      </c>
      <c r="LNX1599" s="55">
        <f t="shared" si="426"/>
        <v>0</v>
      </c>
      <c r="LNY1599" s="55">
        <f t="shared" si="426"/>
        <v>0</v>
      </c>
      <c r="LNZ1599" s="55">
        <f t="shared" si="426"/>
        <v>0</v>
      </c>
      <c r="LOA1599" s="55">
        <f t="shared" si="426"/>
        <v>0</v>
      </c>
      <c r="LOB1599" s="55">
        <f t="shared" si="426"/>
        <v>0</v>
      </c>
      <c r="LOC1599" s="55">
        <f t="shared" si="426"/>
        <v>0</v>
      </c>
      <c r="LOD1599" s="55">
        <f t="shared" si="426"/>
        <v>0</v>
      </c>
      <c r="LOE1599" s="55">
        <f t="shared" si="426"/>
        <v>0</v>
      </c>
      <c r="LOF1599" s="55">
        <f t="shared" si="426"/>
        <v>0</v>
      </c>
      <c r="LOG1599" s="55">
        <f t="shared" si="426"/>
        <v>0</v>
      </c>
      <c r="LOH1599" s="55">
        <f t="shared" si="426"/>
        <v>0</v>
      </c>
      <c r="LOI1599" s="55">
        <f t="shared" si="426"/>
        <v>0</v>
      </c>
      <c r="LOJ1599" s="55">
        <f t="shared" si="426"/>
        <v>0</v>
      </c>
      <c r="LOK1599" s="55">
        <f t="shared" si="426"/>
        <v>0</v>
      </c>
      <c r="LOL1599" s="55">
        <f t="shared" si="426"/>
        <v>0</v>
      </c>
      <c r="LOM1599" s="55">
        <f t="shared" si="426"/>
        <v>0</v>
      </c>
      <c r="LON1599" s="55">
        <f t="shared" si="426"/>
        <v>0</v>
      </c>
      <c r="LOO1599" s="55">
        <f t="shared" si="426"/>
        <v>0</v>
      </c>
      <c r="LOP1599" s="55">
        <f t="shared" si="426"/>
        <v>0</v>
      </c>
      <c r="LOQ1599" s="55">
        <f t="shared" si="426"/>
        <v>0</v>
      </c>
      <c r="LOR1599" s="55">
        <f t="shared" si="426"/>
        <v>0</v>
      </c>
      <c r="LOS1599" s="55">
        <f t="shared" si="426"/>
        <v>0</v>
      </c>
      <c r="LOT1599" s="55">
        <f t="shared" si="426"/>
        <v>0</v>
      </c>
      <c r="LOU1599" s="55">
        <f t="shared" si="426"/>
        <v>0</v>
      </c>
      <c r="LOV1599" s="55">
        <f t="shared" ref="LOV1599:LRG1599" si="427">+(LOV1619+LOV1623)*1.18*1.1</f>
        <v>0</v>
      </c>
      <c r="LOW1599" s="55">
        <f t="shared" si="427"/>
        <v>0</v>
      </c>
      <c r="LOX1599" s="55">
        <f t="shared" si="427"/>
        <v>0</v>
      </c>
      <c r="LOY1599" s="55">
        <f t="shared" si="427"/>
        <v>0</v>
      </c>
      <c r="LOZ1599" s="55">
        <f t="shared" si="427"/>
        <v>0</v>
      </c>
      <c r="LPA1599" s="55">
        <f t="shared" si="427"/>
        <v>0</v>
      </c>
      <c r="LPB1599" s="55">
        <f t="shared" si="427"/>
        <v>0</v>
      </c>
      <c r="LPC1599" s="55">
        <f t="shared" si="427"/>
        <v>0</v>
      </c>
      <c r="LPD1599" s="55">
        <f t="shared" si="427"/>
        <v>0</v>
      </c>
      <c r="LPE1599" s="55">
        <f t="shared" si="427"/>
        <v>0</v>
      </c>
      <c r="LPF1599" s="55">
        <f t="shared" si="427"/>
        <v>0</v>
      </c>
      <c r="LPG1599" s="55">
        <f t="shared" si="427"/>
        <v>0</v>
      </c>
      <c r="LPH1599" s="55">
        <f t="shared" si="427"/>
        <v>0</v>
      </c>
      <c r="LPI1599" s="55">
        <f t="shared" si="427"/>
        <v>0</v>
      </c>
      <c r="LPJ1599" s="55">
        <f t="shared" si="427"/>
        <v>0</v>
      </c>
      <c r="LPK1599" s="55">
        <f t="shared" si="427"/>
        <v>0</v>
      </c>
      <c r="LPL1599" s="55">
        <f t="shared" si="427"/>
        <v>0</v>
      </c>
      <c r="LPM1599" s="55">
        <f t="shared" si="427"/>
        <v>0</v>
      </c>
      <c r="LPN1599" s="55">
        <f t="shared" si="427"/>
        <v>0</v>
      </c>
      <c r="LPO1599" s="55">
        <f t="shared" si="427"/>
        <v>0</v>
      </c>
      <c r="LPP1599" s="55">
        <f t="shared" si="427"/>
        <v>0</v>
      </c>
      <c r="LPQ1599" s="55">
        <f t="shared" si="427"/>
        <v>0</v>
      </c>
      <c r="LPR1599" s="55">
        <f t="shared" si="427"/>
        <v>0</v>
      </c>
      <c r="LPS1599" s="55">
        <f t="shared" si="427"/>
        <v>0</v>
      </c>
      <c r="LPT1599" s="55">
        <f t="shared" si="427"/>
        <v>0</v>
      </c>
      <c r="LPU1599" s="55">
        <f t="shared" si="427"/>
        <v>0</v>
      </c>
      <c r="LPV1599" s="55">
        <f t="shared" si="427"/>
        <v>0</v>
      </c>
      <c r="LPW1599" s="55">
        <f t="shared" si="427"/>
        <v>0</v>
      </c>
      <c r="LPX1599" s="55">
        <f t="shared" si="427"/>
        <v>0</v>
      </c>
      <c r="LPY1599" s="55">
        <f t="shared" si="427"/>
        <v>0</v>
      </c>
      <c r="LPZ1599" s="55">
        <f t="shared" si="427"/>
        <v>0</v>
      </c>
      <c r="LQA1599" s="55">
        <f t="shared" si="427"/>
        <v>0</v>
      </c>
      <c r="LQB1599" s="55">
        <f t="shared" si="427"/>
        <v>0</v>
      </c>
      <c r="LQC1599" s="55">
        <f t="shared" si="427"/>
        <v>0</v>
      </c>
      <c r="LQD1599" s="55">
        <f t="shared" si="427"/>
        <v>0</v>
      </c>
      <c r="LQE1599" s="55">
        <f t="shared" si="427"/>
        <v>0</v>
      </c>
      <c r="LQF1599" s="55">
        <f t="shared" si="427"/>
        <v>0</v>
      </c>
      <c r="LQG1599" s="55">
        <f t="shared" si="427"/>
        <v>0</v>
      </c>
      <c r="LQH1599" s="55">
        <f t="shared" si="427"/>
        <v>0</v>
      </c>
      <c r="LQI1599" s="55">
        <f t="shared" si="427"/>
        <v>0</v>
      </c>
      <c r="LQJ1599" s="55">
        <f t="shared" si="427"/>
        <v>0</v>
      </c>
      <c r="LQK1599" s="55">
        <f t="shared" si="427"/>
        <v>0</v>
      </c>
      <c r="LQL1599" s="55">
        <f t="shared" si="427"/>
        <v>0</v>
      </c>
      <c r="LQM1599" s="55">
        <f t="shared" si="427"/>
        <v>0</v>
      </c>
      <c r="LQN1599" s="55">
        <f t="shared" si="427"/>
        <v>0</v>
      </c>
      <c r="LQO1599" s="55">
        <f t="shared" si="427"/>
        <v>0</v>
      </c>
      <c r="LQP1599" s="55">
        <f t="shared" si="427"/>
        <v>0</v>
      </c>
      <c r="LQQ1599" s="55">
        <f t="shared" si="427"/>
        <v>0</v>
      </c>
      <c r="LQR1599" s="55">
        <f t="shared" si="427"/>
        <v>0</v>
      </c>
      <c r="LQS1599" s="55">
        <f t="shared" si="427"/>
        <v>0</v>
      </c>
      <c r="LQT1599" s="55">
        <f t="shared" si="427"/>
        <v>0</v>
      </c>
      <c r="LQU1599" s="55">
        <f t="shared" si="427"/>
        <v>0</v>
      </c>
      <c r="LQV1599" s="55">
        <f t="shared" si="427"/>
        <v>0</v>
      </c>
      <c r="LQW1599" s="55">
        <f t="shared" si="427"/>
        <v>0</v>
      </c>
      <c r="LQX1599" s="55">
        <f t="shared" si="427"/>
        <v>0</v>
      </c>
      <c r="LQY1599" s="55">
        <f t="shared" si="427"/>
        <v>0</v>
      </c>
      <c r="LQZ1599" s="55">
        <f t="shared" si="427"/>
        <v>0</v>
      </c>
      <c r="LRA1599" s="55">
        <f t="shared" si="427"/>
        <v>0</v>
      </c>
      <c r="LRB1599" s="55">
        <f t="shared" si="427"/>
        <v>0</v>
      </c>
      <c r="LRC1599" s="55">
        <f t="shared" si="427"/>
        <v>0</v>
      </c>
      <c r="LRD1599" s="55">
        <f t="shared" si="427"/>
        <v>0</v>
      </c>
      <c r="LRE1599" s="55">
        <f t="shared" si="427"/>
        <v>0</v>
      </c>
      <c r="LRF1599" s="55">
        <f t="shared" si="427"/>
        <v>0</v>
      </c>
      <c r="LRG1599" s="55">
        <f t="shared" si="427"/>
        <v>0</v>
      </c>
      <c r="LRH1599" s="55">
        <f t="shared" ref="LRH1599:LTS1599" si="428">+(LRH1619+LRH1623)*1.18*1.1</f>
        <v>0</v>
      </c>
      <c r="LRI1599" s="55">
        <f t="shared" si="428"/>
        <v>0</v>
      </c>
      <c r="LRJ1599" s="55">
        <f t="shared" si="428"/>
        <v>0</v>
      </c>
      <c r="LRK1599" s="55">
        <f t="shared" si="428"/>
        <v>0</v>
      </c>
      <c r="LRL1599" s="55">
        <f t="shared" si="428"/>
        <v>0</v>
      </c>
      <c r="LRM1599" s="55">
        <f t="shared" si="428"/>
        <v>0</v>
      </c>
      <c r="LRN1599" s="55">
        <f t="shared" si="428"/>
        <v>0</v>
      </c>
      <c r="LRO1599" s="55">
        <f t="shared" si="428"/>
        <v>0</v>
      </c>
      <c r="LRP1599" s="55">
        <f t="shared" si="428"/>
        <v>0</v>
      </c>
      <c r="LRQ1599" s="55">
        <f t="shared" si="428"/>
        <v>0</v>
      </c>
      <c r="LRR1599" s="55">
        <f t="shared" si="428"/>
        <v>0</v>
      </c>
      <c r="LRS1599" s="55">
        <f t="shared" si="428"/>
        <v>0</v>
      </c>
      <c r="LRT1599" s="55">
        <f t="shared" si="428"/>
        <v>0</v>
      </c>
      <c r="LRU1599" s="55">
        <f t="shared" si="428"/>
        <v>0</v>
      </c>
      <c r="LRV1599" s="55">
        <f t="shared" si="428"/>
        <v>0</v>
      </c>
      <c r="LRW1599" s="55">
        <f t="shared" si="428"/>
        <v>0</v>
      </c>
      <c r="LRX1599" s="55">
        <f t="shared" si="428"/>
        <v>0</v>
      </c>
      <c r="LRY1599" s="55">
        <f t="shared" si="428"/>
        <v>0</v>
      </c>
      <c r="LRZ1599" s="55">
        <f t="shared" si="428"/>
        <v>0</v>
      </c>
      <c r="LSA1599" s="55">
        <f t="shared" si="428"/>
        <v>0</v>
      </c>
      <c r="LSB1599" s="55">
        <f t="shared" si="428"/>
        <v>0</v>
      </c>
      <c r="LSC1599" s="55">
        <f t="shared" si="428"/>
        <v>0</v>
      </c>
      <c r="LSD1599" s="55">
        <f t="shared" si="428"/>
        <v>0</v>
      </c>
      <c r="LSE1599" s="55">
        <f t="shared" si="428"/>
        <v>0</v>
      </c>
      <c r="LSF1599" s="55">
        <f t="shared" si="428"/>
        <v>0</v>
      </c>
      <c r="LSG1599" s="55">
        <f t="shared" si="428"/>
        <v>0</v>
      </c>
      <c r="LSH1599" s="55">
        <f t="shared" si="428"/>
        <v>0</v>
      </c>
      <c r="LSI1599" s="55">
        <f t="shared" si="428"/>
        <v>0</v>
      </c>
      <c r="LSJ1599" s="55">
        <f t="shared" si="428"/>
        <v>0</v>
      </c>
      <c r="LSK1599" s="55">
        <f t="shared" si="428"/>
        <v>0</v>
      </c>
      <c r="LSL1599" s="55">
        <f t="shared" si="428"/>
        <v>0</v>
      </c>
      <c r="LSM1599" s="55">
        <f t="shared" si="428"/>
        <v>0</v>
      </c>
      <c r="LSN1599" s="55">
        <f t="shared" si="428"/>
        <v>0</v>
      </c>
      <c r="LSO1599" s="55">
        <f t="shared" si="428"/>
        <v>0</v>
      </c>
      <c r="LSP1599" s="55">
        <f t="shared" si="428"/>
        <v>0</v>
      </c>
      <c r="LSQ1599" s="55">
        <f t="shared" si="428"/>
        <v>0</v>
      </c>
      <c r="LSR1599" s="55">
        <f t="shared" si="428"/>
        <v>0</v>
      </c>
      <c r="LSS1599" s="55">
        <f t="shared" si="428"/>
        <v>0</v>
      </c>
      <c r="LST1599" s="55">
        <f t="shared" si="428"/>
        <v>0</v>
      </c>
      <c r="LSU1599" s="55">
        <f t="shared" si="428"/>
        <v>0</v>
      </c>
      <c r="LSV1599" s="55">
        <f t="shared" si="428"/>
        <v>0</v>
      </c>
      <c r="LSW1599" s="55">
        <f t="shared" si="428"/>
        <v>0</v>
      </c>
      <c r="LSX1599" s="55">
        <f t="shared" si="428"/>
        <v>0</v>
      </c>
      <c r="LSY1599" s="55">
        <f t="shared" si="428"/>
        <v>0</v>
      </c>
      <c r="LSZ1599" s="55">
        <f t="shared" si="428"/>
        <v>0</v>
      </c>
      <c r="LTA1599" s="55">
        <f t="shared" si="428"/>
        <v>0</v>
      </c>
      <c r="LTB1599" s="55">
        <f t="shared" si="428"/>
        <v>0</v>
      </c>
      <c r="LTC1599" s="55">
        <f t="shared" si="428"/>
        <v>0</v>
      </c>
      <c r="LTD1599" s="55">
        <f t="shared" si="428"/>
        <v>0</v>
      </c>
      <c r="LTE1599" s="55">
        <f t="shared" si="428"/>
        <v>0</v>
      </c>
      <c r="LTF1599" s="55">
        <f t="shared" si="428"/>
        <v>0</v>
      </c>
      <c r="LTG1599" s="55">
        <f t="shared" si="428"/>
        <v>0</v>
      </c>
      <c r="LTH1599" s="55">
        <f t="shared" si="428"/>
        <v>0</v>
      </c>
      <c r="LTI1599" s="55">
        <f t="shared" si="428"/>
        <v>0</v>
      </c>
      <c r="LTJ1599" s="55">
        <f t="shared" si="428"/>
        <v>0</v>
      </c>
      <c r="LTK1599" s="55">
        <f t="shared" si="428"/>
        <v>0</v>
      </c>
      <c r="LTL1599" s="55">
        <f t="shared" si="428"/>
        <v>0</v>
      </c>
      <c r="LTM1599" s="55">
        <f t="shared" si="428"/>
        <v>0</v>
      </c>
      <c r="LTN1599" s="55">
        <f t="shared" si="428"/>
        <v>0</v>
      </c>
      <c r="LTO1599" s="55">
        <f t="shared" si="428"/>
        <v>0</v>
      </c>
      <c r="LTP1599" s="55">
        <f t="shared" si="428"/>
        <v>0</v>
      </c>
      <c r="LTQ1599" s="55">
        <f t="shared" si="428"/>
        <v>0</v>
      </c>
      <c r="LTR1599" s="55">
        <f t="shared" si="428"/>
        <v>0</v>
      </c>
      <c r="LTS1599" s="55">
        <f t="shared" si="428"/>
        <v>0</v>
      </c>
      <c r="LTT1599" s="55">
        <f t="shared" ref="LTT1599:LWE1599" si="429">+(LTT1619+LTT1623)*1.18*1.1</f>
        <v>0</v>
      </c>
      <c r="LTU1599" s="55">
        <f t="shared" si="429"/>
        <v>0</v>
      </c>
      <c r="LTV1599" s="55">
        <f t="shared" si="429"/>
        <v>0</v>
      </c>
      <c r="LTW1599" s="55">
        <f t="shared" si="429"/>
        <v>0</v>
      </c>
      <c r="LTX1599" s="55">
        <f t="shared" si="429"/>
        <v>0</v>
      </c>
      <c r="LTY1599" s="55">
        <f t="shared" si="429"/>
        <v>0</v>
      </c>
      <c r="LTZ1599" s="55">
        <f t="shared" si="429"/>
        <v>0</v>
      </c>
      <c r="LUA1599" s="55">
        <f t="shared" si="429"/>
        <v>0</v>
      </c>
      <c r="LUB1599" s="55">
        <f t="shared" si="429"/>
        <v>0</v>
      </c>
      <c r="LUC1599" s="55">
        <f t="shared" si="429"/>
        <v>0</v>
      </c>
      <c r="LUD1599" s="55">
        <f t="shared" si="429"/>
        <v>0</v>
      </c>
      <c r="LUE1599" s="55">
        <f t="shared" si="429"/>
        <v>0</v>
      </c>
      <c r="LUF1599" s="55">
        <f t="shared" si="429"/>
        <v>0</v>
      </c>
      <c r="LUG1599" s="55">
        <f t="shared" si="429"/>
        <v>0</v>
      </c>
      <c r="LUH1599" s="55">
        <f t="shared" si="429"/>
        <v>0</v>
      </c>
      <c r="LUI1599" s="55">
        <f t="shared" si="429"/>
        <v>0</v>
      </c>
      <c r="LUJ1599" s="55">
        <f t="shared" si="429"/>
        <v>0</v>
      </c>
      <c r="LUK1599" s="55">
        <f t="shared" si="429"/>
        <v>0</v>
      </c>
      <c r="LUL1599" s="55">
        <f t="shared" si="429"/>
        <v>0</v>
      </c>
      <c r="LUM1599" s="55">
        <f t="shared" si="429"/>
        <v>0</v>
      </c>
      <c r="LUN1599" s="55">
        <f t="shared" si="429"/>
        <v>0</v>
      </c>
      <c r="LUO1599" s="55">
        <f t="shared" si="429"/>
        <v>0</v>
      </c>
      <c r="LUP1599" s="55">
        <f t="shared" si="429"/>
        <v>0</v>
      </c>
      <c r="LUQ1599" s="55">
        <f t="shared" si="429"/>
        <v>0</v>
      </c>
      <c r="LUR1599" s="55">
        <f t="shared" si="429"/>
        <v>0</v>
      </c>
      <c r="LUS1599" s="55">
        <f t="shared" si="429"/>
        <v>0</v>
      </c>
      <c r="LUT1599" s="55">
        <f t="shared" si="429"/>
        <v>0</v>
      </c>
      <c r="LUU1599" s="55">
        <f t="shared" si="429"/>
        <v>0</v>
      </c>
      <c r="LUV1599" s="55">
        <f t="shared" si="429"/>
        <v>0</v>
      </c>
      <c r="LUW1599" s="55">
        <f t="shared" si="429"/>
        <v>0</v>
      </c>
      <c r="LUX1599" s="55">
        <f t="shared" si="429"/>
        <v>0</v>
      </c>
      <c r="LUY1599" s="55">
        <f t="shared" si="429"/>
        <v>0</v>
      </c>
      <c r="LUZ1599" s="55">
        <f t="shared" si="429"/>
        <v>0</v>
      </c>
      <c r="LVA1599" s="55">
        <f t="shared" si="429"/>
        <v>0</v>
      </c>
      <c r="LVB1599" s="55">
        <f t="shared" si="429"/>
        <v>0</v>
      </c>
      <c r="LVC1599" s="55">
        <f t="shared" si="429"/>
        <v>0</v>
      </c>
      <c r="LVD1599" s="55">
        <f t="shared" si="429"/>
        <v>0</v>
      </c>
      <c r="LVE1599" s="55">
        <f t="shared" si="429"/>
        <v>0</v>
      </c>
      <c r="LVF1599" s="55">
        <f t="shared" si="429"/>
        <v>0</v>
      </c>
      <c r="LVG1599" s="55">
        <f t="shared" si="429"/>
        <v>0</v>
      </c>
      <c r="LVH1599" s="55">
        <f t="shared" si="429"/>
        <v>0</v>
      </c>
      <c r="LVI1599" s="55">
        <f t="shared" si="429"/>
        <v>0</v>
      </c>
      <c r="LVJ1599" s="55">
        <f t="shared" si="429"/>
        <v>0</v>
      </c>
      <c r="LVK1599" s="55">
        <f t="shared" si="429"/>
        <v>0</v>
      </c>
      <c r="LVL1599" s="55">
        <f t="shared" si="429"/>
        <v>0</v>
      </c>
      <c r="LVM1599" s="55">
        <f t="shared" si="429"/>
        <v>0</v>
      </c>
      <c r="LVN1599" s="55">
        <f t="shared" si="429"/>
        <v>0</v>
      </c>
      <c r="LVO1599" s="55">
        <f t="shared" si="429"/>
        <v>0</v>
      </c>
      <c r="LVP1599" s="55">
        <f t="shared" si="429"/>
        <v>0</v>
      </c>
      <c r="LVQ1599" s="55">
        <f t="shared" si="429"/>
        <v>0</v>
      </c>
      <c r="LVR1599" s="55">
        <f t="shared" si="429"/>
        <v>0</v>
      </c>
      <c r="LVS1599" s="55">
        <f t="shared" si="429"/>
        <v>0</v>
      </c>
      <c r="LVT1599" s="55">
        <f t="shared" si="429"/>
        <v>0</v>
      </c>
      <c r="LVU1599" s="55">
        <f t="shared" si="429"/>
        <v>0</v>
      </c>
      <c r="LVV1599" s="55">
        <f t="shared" si="429"/>
        <v>0</v>
      </c>
      <c r="LVW1599" s="55">
        <f t="shared" si="429"/>
        <v>0</v>
      </c>
      <c r="LVX1599" s="55">
        <f t="shared" si="429"/>
        <v>0</v>
      </c>
      <c r="LVY1599" s="55">
        <f t="shared" si="429"/>
        <v>0</v>
      </c>
      <c r="LVZ1599" s="55">
        <f t="shared" si="429"/>
        <v>0</v>
      </c>
      <c r="LWA1599" s="55">
        <f t="shared" si="429"/>
        <v>0</v>
      </c>
      <c r="LWB1599" s="55">
        <f t="shared" si="429"/>
        <v>0</v>
      </c>
      <c r="LWC1599" s="55">
        <f t="shared" si="429"/>
        <v>0</v>
      </c>
      <c r="LWD1599" s="55">
        <f t="shared" si="429"/>
        <v>0</v>
      </c>
      <c r="LWE1599" s="55">
        <f t="shared" si="429"/>
        <v>0</v>
      </c>
      <c r="LWF1599" s="55">
        <f t="shared" ref="LWF1599:LYQ1599" si="430">+(LWF1619+LWF1623)*1.18*1.1</f>
        <v>0</v>
      </c>
      <c r="LWG1599" s="55">
        <f t="shared" si="430"/>
        <v>0</v>
      </c>
      <c r="LWH1599" s="55">
        <f t="shared" si="430"/>
        <v>0</v>
      </c>
      <c r="LWI1599" s="55">
        <f t="shared" si="430"/>
        <v>0</v>
      </c>
      <c r="LWJ1599" s="55">
        <f t="shared" si="430"/>
        <v>0</v>
      </c>
      <c r="LWK1599" s="55">
        <f t="shared" si="430"/>
        <v>0</v>
      </c>
      <c r="LWL1599" s="55">
        <f t="shared" si="430"/>
        <v>0</v>
      </c>
      <c r="LWM1599" s="55">
        <f t="shared" si="430"/>
        <v>0</v>
      </c>
      <c r="LWN1599" s="55">
        <f t="shared" si="430"/>
        <v>0</v>
      </c>
      <c r="LWO1599" s="55">
        <f t="shared" si="430"/>
        <v>0</v>
      </c>
      <c r="LWP1599" s="55">
        <f t="shared" si="430"/>
        <v>0</v>
      </c>
      <c r="LWQ1599" s="55">
        <f t="shared" si="430"/>
        <v>0</v>
      </c>
      <c r="LWR1599" s="55">
        <f t="shared" si="430"/>
        <v>0</v>
      </c>
      <c r="LWS1599" s="55">
        <f t="shared" si="430"/>
        <v>0</v>
      </c>
      <c r="LWT1599" s="55">
        <f t="shared" si="430"/>
        <v>0</v>
      </c>
      <c r="LWU1599" s="55">
        <f t="shared" si="430"/>
        <v>0</v>
      </c>
      <c r="LWV1599" s="55">
        <f t="shared" si="430"/>
        <v>0</v>
      </c>
      <c r="LWW1599" s="55">
        <f t="shared" si="430"/>
        <v>0</v>
      </c>
      <c r="LWX1599" s="55">
        <f t="shared" si="430"/>
        <v>0</v>
      </c>
      <c r="LWY1599" s="55">
        <f t="shared" si="430"/>
        <v>0</v>
      </c>
      <c r="LWZ1599" s="55">
        <f t="shared" si="430"/>
        <v>0</v>
      </c>
      <c r="LXA1599" s="55">
        <f t="shared" si="430"/>
        <v>0</v>
      </c>
      <c r="LXB1599" s="55">
        <f t="shared" si="430"/>
        <v>0</v>
      </c>
      <c r="LXC1599" s="55">
        <f t="shared" si="430"/>
        <v>0</v>
      </c>
      <c r="LXD1599" s="55">
        <f t="shared" si="430"/>
        <v>0</v>
      </c>
      <c r="LXE1599" s="55">
        <f t="shared" si="430"/>
        <v>0</v>
      </c>
      <c r="LXF1599" s="55">
        <f t="shared" si="430"/>
        <v>0</v>
      </c>
      <c r="LXG1599" s="55">
        <f t="shared" si="430"/>
        <v>0</v>
      </c>
      <c r="LXH1599" s="55">
        <f t="shared" si="430"/>
        <v>0</v>
      </c>
      <c r="LXI1599" s="55">
        <f t="shared" si="430"/>
        <v>0</v>
      </c>
      <c r="LXJ1599" s="55">
        <f t="shared" si="430"/>
        <v>0</v>
      </c>
      <c r="LXK1599" s="55">
        <f t="shared" si="430"/>
        <v>0</v>
      </c>
      <c r="LXL1599" s="55">
        <f t="shared" si="430"/>
        <v>0</v>
      </c>
      <c r="LXM1599" s="55">
        <f t="shared" si="430"/>
        <v>0</v>
      </c>
      <c r="LXN1599" s="55">
        <f t="shared" si="430"/>
        <v>0</v>
      </c>
      <c r="LXO1599" s="55">
        <f t="shared" si="430"/>
        <v>0</v>
      </c>
      <c r="LXP1599" s="55">
        <f t="shared" si="430"/>
        <v>0</v>
      </c>
      <c r="LXQ1599" s="55">
        <f t="shared" si="430"/>
        <v>0</v>
      </c>
      <c r="LXR1599" s="55">
        <f t="shared" si="430"/>
        <v>0</v>
      </c>
      <c r="LXS1599" s="55">
        <f t="shared" si="430"/>
        <v>0</v>
      </c>
      <c r="LXT1599" s="55">
        <f t="shared" si="430"/>
        <v>0</v>
      </c>
      <c r="LXU1599" s="55">
        <f t="shared" si="430"/>
        <v>0</v>
      </c>
      <c r="LXV1599" s="55">
        <f t="shared" si="430"/>
        <v>0</v>
      </c>
      <c r="LXW1599" s="55">
        <f t="shared" si="430"/>
        <v>0</v>
      </c>
      <c r="LXX1599" s="55">
        <f t="shared" si="430"/>
        <v>0</v>
      </c>
      <c r="LXY1599" s="55">
        <f t="shared" si="430"/>
        <v>0</v>
      </c>
      <c r="LXZ1599" s="55">
        <f t="shared" si="430"/>
        <v>0</v>
      </c>
      <c r="LYA1599" s="55">
        <f t="shared" si="430"/>
        <v>0</v>
      </c>
      <c r="LYB1599" s="55">
        <f t="shared" si="430"/>
        <v>0</v>
      </c>
      <c r="LYC1599" s="55">
        <f t="shared" si="430"/>
        <v>0</v>
      </c>
      <c r="LYD1599" s="55">
        <f t="shared" si="430"/>
        <v>0</v>
      </c>
      <c r="LYE1599" s="55">
        <f t="shared" si="430"/>
        <v>0</v>
      </c>
      <c r="LYF1599" s="55">
        <f t="shared" si="430"/>
        <v>0</v>
      </c>
      <c r="LYG1599" s="55">
        <f t="shared" si="430"/>
        <v>0</v>
      </c>
      <c r="LYH1599" s="55">
        <f t="shared" si="430"/>
        <v>0</v>
      </c>
      <c r="LYI1599" s="55">
        <f t="shared" si="430"/>
        <v>0</v>
      </c>
      <c r="LYJ1599" s="55">
        <f t="shared" si="430"/>
        <v>0</v>
      </c>
      <c r="LYK1599" s="55">
        <f t="shared" si="430"/>
        <v>0</v>
      </c>
      <c r="LYL1599" s="55">
        <f t="shared" si="430"/>
        <v>0</v>
      </c>
      <c r="LYM1599" s="55">
        <f t="shared" si="430"/>
        <v>0</v>
      </c>
      <c r="LYN1599" s="55">
        <f t="shared" si="430"/>
        <v>0</v>
      </c>
      <c r="LYO1599" s="55">
        <f t="shared" si="430"/>
        <v>0</v>
      </c>
      <c r="LYP1599" s="55">
        <f t="shared" si="430"/>
        <v>0</v>
      </c>
      <c r="LYQ1599" s="55">
        <f t="shared" si="430"/>
        <v>0</v>
      </c>
      <c r="LYR1599" s="55">
        <f t="shared" ref="LYR1599:MBC1599" si="431">+(LYR1619+LYR1623)*1.18*1.1</f>
        <v>0</v>
      </c>
      <c r="LYS1599" s="55">
        <f t="shared" si="431"/>
        <v>0</v>
      </c>
      <c r="LYT1599" s="55">
        <f t="shared" si="431"/>
        <v>0</v>
      </c>
      <c r="LYU1599" s="55">
        <f t="shared" si="431"/>
        <v>0</v>
      </c>
      <c r="LYV1599" s="55">
        <f t="shared" si="431"/>
        <v>0</v>
      </c>
      <c r="LYW1599" s="55">
        <f t="shared" si="431"/>
        <v>0</v>
      </c>
      <c r="LYX1599" s="55">
        <f t="shared" si="431"/>
        <v>0</v>
      </c>
      <c r="LYY1599" s="55">
        <f t="shared" si="431"/>
        <v>0</v>
      </c>
      <c r="LYZ1599" s="55">
        <f t="shared" si="431"/>
        <v>0</v>
      </c>
      <c r="LZA1599" s="55">
        <f t="shared" si="431"/>
        <v>0</v>
      </c>
      <c r="LZB1599" s="55">
        <f t="shared" si="431"/>
        <v>0</v>
      </c>
      <c r="LZC1599" s="55">
        <f t="shared" si="431"/>
        <v>0</v>
      </c>
      <c r="LZD1599" s="55">
        <f t="shared" si="431"/>
        <v>0</v>
      </c>
      <c r="LZE1599" s="55">
        <f t="shared" si="431"/>
        <v>0</v>
      </c>
      <c r="LZF1599" s="55">
        <f t="shared" si="431"/>
        <v>0</v>
      </c>
      <c r="LZG1599" s="55">
        <f t="shared" si="431"/>
        <v>0</v>
      </c>
      <c r="LZH1599" s="55">
        <f t="shared" si="431"/>
        <v>0</v>
      </c>
      <c r="LZI1599" s="55">
        <f t="shared" si="431"/>
        <v>0</v>
      </c>
      <c r="LZJ1599" s="55">
        <f t="shared" si="431"/>
        <v>0</v>
      </c>
      <c r="LZK1599" s="55">
        <f t="shared" si="431"/>
        <v>0</v>
      </c>
      <c r="LZL1599" s="55">
        <f t="shared" si="431"/>
        <v>0</v>
      </c>
      <c r="LZM1599" s="55">
        <f t="shared" si="431"/>
        <v>0</v>
      </c>
      <c r="LZN1599" s="55">
        <f t="shared" si="431"/>
        <v>0</v>
      </c>
      <c r="LZO1599" s="55">
        <f t="shared" si="431"/>
        <v>0</v>
      </c>
      <c r="LZP1599" s="55">
        <f t="shared" si="431"/>
        <v>0</v>
      </c>
      <c r="LZQ1599" s="55">
        <f t="shared" si="431"/>
        <v>0</v>
      </c>
      <c r="LZR1599" s="55">
        <f t="shared" si="431"/>
        <v>0</v>
      </c>
      <c r="LZS1599" s="55">
        <f t="shared" si="431"/>
        <v>0</v>
      </c>
      <c r="LZT1599" s="55">
        <f t="shared" si="431"/>
        <v>0</v>
      </c>
      <c r="LZU1599" s="55">
        <f t="shared" si="431"/>
        <v>0</v>
      </c>
      <c r="LZV1599" s="55">
        <f t="shared" si="431"/>
        <v>0</v>
      </c>
      <c r="LZW1599" s="55">
        <f t="shared" si="431"/>
        <v>0</v>
      </c>
      <c r="LZX1599" s="55">
        <f t="shared" si="431"/>
        <v>0</v>
      </c>
      <c r="LZY1599" s="55">
        <f t="shared" si="431"/>
        <v>0</v>
      </c>
      <c r="LZZ1599" s="55">
        <f t="shared" si="431"/>
        <v>0</v>
      </c>
      <c r="MAA1599" s="55">
        <f t="shared" si="431"/>
        <v>0</v>
      </c>
      <c r="MAB1599" s="55">
        <f t="shared" si="431"/>
        <v>0</v>
      </c>
      <c r="MAC1599" s="55">
        <f t="shared" si="431"/>
        <v>0</v>
      </c>
      <c r="MAD1599" s="55">
        <f t="shared" si="431"/>
        <v>0</v>
      </c>
      <c r="MAE1599" s="55">
        <f t="shared" si="431"/>
        <v>0</v>
      </c>
      <c r="MAF1599" s="55">
        <f t="shared" si="431"/>
        <v>0</v>
      </c>
      <c r="MAG1599" s="55">
        <f t="shared" si="431"/>
        <v>0</v>
      </c>
      <c r="MAH1599" s="55">
        <f t="shared" si="431"/>
        <v>0</v>
      </c>
      <c r="MAI1599" s="55">
        <f t="shared" si="431"/>
        <v>0</v>
      </c>
      <c r="MAJ1599" s="55">
        <f t="shared" si="431"/>
        <v>0</v>
      </c>
      <c r="MAK1599" s="55">
        <f t="shared" si="431"/>
        <v>0</v>
      </c>
      <c r="MAL1599" s="55">
        <f t="shared" si="431"/>
        <v>0</v>
      </c>
      <c r="MAM1599" s="55">
        <f t="shared" si="431"/>
        <v>0</v>
      </c>
      <c r="MAN1599" s="55">
        <f t="shared" si="431"/>
        <v>0</v>
      </c>
      <c r="MAO1599" s="55">
        <f t="shared" si="431"/>
        <v>0</v>
      </c>
      <c r="MAP1599" s="55">
        <f t="shared" si="431"/>
        <v>0</v>
      </c>
      <c r="MAQ1599" s="55">
        <f t="shared" si="431"/>
        <v>0</v>
      </c>
      <c r="MAR1599" s="55">
        <f t="shared" si="431"/>
        <v>0</v>
      </c>
      <c r="MAS1599" s="55">
        <f t="shared" si="431"/>
        <v>0</v>
      </c>
      <c r="MAT1599" s="55">
        <f t="shared" si="431"/>
        <v>0</v>
      </c>
      <c r="MAU1599" s="55">
        <f t="shared" si="431"/>
        <v>0</v>
      </c>
      <c r="MAV1599" s="55">
        <f t="shared" si="431"/>
        <v>0</v>
      </c>
      <c r="MAW1599" s="55">
        <f t="shared" si="431"/>
        <v>0</v>
      </c>
      <c r="MAX1599" s="55">
        <f t="shared" si="431"/>
        <v>0</v>
      </c>
      <c r="MAY1599" s="55">
        <f t="shared" si="431"/>
        <v>0</v>
      </c>
      <c r="MAZ1599" s="55">
        <f t="shared" si="431"/>
        <v>0</v>
      </c>
      <c r="MBA1599" s="55">
        <f t="shared" si="431"/>
        <v>0</v>
      </c>
      <c r="MBB1599" s="55">
        <f t="shared" si="431"/>
        <v>0</v>
      </c>
      <c r="MBC1599" s="55">
        <f t="shared" si="431"/>
        <v>0</v>
      </c>
      <c r="MBD1599" s="55">
        <f t="shared" ref="MBD1599:MDO1599" si="432">+(MBD1619+MBD1623)*1.18*1.1</f>
        <v>0</v>
      </c>
      <c r="MBE1599" s="55">
        <f t="shared" si="432"/>
        <v>0</v>
      </c>
      <c r="MBF1599" s="55">
        <f t="shared" si="432"/>
        <v>0</v>
      </c>
      <c r="MBG1599" s="55">
        <f t="shared" si="432"/>
        <v>0</v>
      </c>
      <c r="MBH1599" s="55">
        <f t="shared" si="432"/>
        <v>0</v>
      </c>
      <c r="MBI1599" s="55">
        <f t="shared" si="432"/>
        <v>0</v>
      </c>
      <c r="MBJ1599" s="55">
        <f t="shared" si="432"/>
        <v>0</v>
      </c>
      <c r="MBK1599" s="55">
        <f t="shared" si="432"/>
        <v>0</v>
      </c>
      <c r="MBL1599" s="55">
        <f t="shared" si="432"/>
        <v>0</v>
      </c>
      <c r="MBM1599" s="55">
        <f t="shared" si="432"/>
        <v>0</v>
      </c>
      <c r="MBN1599" s="55">
        <f t="shared" si="432"/>
        <v>0</v>
      </c>
      <c r="MBO1599" s="55">
        <f t="shared" si="432"/>
        <v>0</v>
      </c>
      <c r="MBP1599" s="55">
        <f t="shared" si="432"/>
        <v>0</v>
      </c>
      <c r="MBQ1599" s="55">
        <f t="shared" si="432"/>
        <v>0</v>
      </c>
      <c r="MBR1599" s="55">
        <f t="shared" si="432"/>
        <v>0</v>
      </c>
      <c r="MBS1599" s="55">
        <f t="shared" si="432"/>
        <v>0</v>
      </c>
      <c r="MBT1599" s="55">
        <f t="shared" si="432"/>
        <v>0</v>
      </c>
      <c r="MBU1599" s="55">
        <f t="shared" si="432"/>
        <v>0</v>
      </c>
      <c r="MBV1599" s="55">
        <f t="shared" si="432"/>
        <v>0</v>
      </c>
      <c r="MBW1599" s="55">
        <f t="shared" si="432"/>
        <v>0</v>
      </c>
      <c r="MBX1599" s="55">
        <f t="shared" si="432"/>
        <v>0</v>
      </c>
      <c r="MBY1599" s="55">
        <f t="shared" si="432"/>
        <v>0</v>
      </c>
      <c r="MBZ1599" s="55">
        <f t="shared" si="432"/>
        <v>0</v>
      </c>
      <c r="MCA1599" s="55">
        <f t="shared" si="432"/>
        <v>0</v>
      </c>
      <c r="MCB1599" s="55">
        <f t="shared" si="432"/>
        <v>0</v>
      </c>
      <c r="MCC1599" s="55">
        <f t="shared" si="432"/>
        <v>0</v>
      </c>
      <c r="MCD1599" s="55">
        <f t="shared" si="432"/>
        <v>0</v>
      </c>
      <c r="MCE1599" s="55">
        <f t="shared" si="432"/>
        <v>0</v>
      </c>
      <c r="MCF1599" s="55">
        <f t="shared" si="432"/>
        <v>0</v>
      </c>
      <c r="MCG1599" s="55">
        <f t="shared" si="432"/>
        <v>0</v>
      </c>
      <c r="MCH1599" s="55">
        <f t="shared" si="432"/>
        <v>0</v>
      </c>
      <c r="MCI1599" s="55">
        <f t="shared" si="432"/>
        <v>0</v>
      </c>
      <c r="MCJ1599" s="55">
        <f t="shared" si="432"/>
        <v>0</v>
      </c>
      <c r="MCK1599" s="55">
        <f t="shared" si="432"/>
        <v>0</v>
      </c>
      <c r="MCL1599" s="55">
        <f t="shared" si="432"/>
        <v>0</v>
      </c>
      <c r="MCM1599" s="55">
        <f t="shared" si="432"/>
        <v>0</v>
      </c>
      <c r="MCN1599" s="55">
        <f t="shared" si="432"/>
        <v>0</v>
      </c>
      <c r="MCO1599" s="55">
        <f t="shared" si="432"/>
        <v>0</v>
      </c>
      <c r="MCP1599" s="55">
        <f t="shared" si="432"/>
        <v>0</v>
      </c>
      <c r="MCQ1599" s="55">
        <f t="shared" si="432"/>
        <v>0</v>
      </c>
      <c r="MCR1599" s="55">
        <f t="shared" si="432"/>
        <v>0</v>
      </c>
      <c r="MCS1599" s="55">
        <f t="shared" si="432"/>
        <v>0</v>
      </c>
      <c r="MCT1599" s="55">
        <f t="shared" si="432"/>
        <v>0</v>
      </c>
      <c r="MCU1599" s="55">
        <f t="shared" si="432"/>
        <v>0</v>
      </c>
      <c r="MCV1599" s="55">
        <f t="shared" si="432"/>
        <v>0</v>
      </c>
      <c r="MCW1599" s="55">
        <f t="shared" si="432"/>
        <v>0</v>
      </c>
      <c r="MCX1599" s="55">
        <f t="shared" si="432"/>
        <v>0</v>
      </c>
      <c r="MCY1599" s="55">
        <f t="shared" si="432"/>
        <v>0</v>
      </c>
      <c r="MCZ1599" s="55">
        <f t="shared" si="432"/>
        <v>0</v>
      </c>
      <c r="MDA1599" s="55">
        <f t="shared" si="432"/>
        <v>0</v>
      </c>
      <c r="MDB1599" s="55">
        <f t="shared" si="432"/>
        <v>0</v>
      </c>
      <c r="MDC1599" s="55">
        <f t="shared" si="432"/>
        <v>0</v>
      </c>
      <c r="MDD1599" s="55">
        <f t="shared" si="432"/>
        <v>0</v>
      </c>
      <c r="MDE1599" s="55">
        <f t="shared" si="432"/>
        <v>0</v>
      </c>
      <c r="MDF1599" s="55">
        <f t="shared" si="432"/>
        <v>0</v>
      </c>
      <c r="MDG1599" s="55">
        <f t="shared" si="432"/>
        <v>0</v>
      </c>
      <c r="MDH1599" s="55">
        <f t="shared" si="432"/>
        <v>0</v>
      </c>
      <c r="MDI1599" s="55">
        <f t="shared" si="432"/>
        <v>0</v>
      </c>
      <c r="MDJ1599" s="55">
        <f t="shared" si="432"/>
        <v>0</v>
      </c>
      <c r="MDK1599" s="55">
        <f t="shared" si="432"/>
        <v>0</v>
      </c>
      <c r="MDL1599" s="55">
        <f t="shared" si="432"/>
        <v>0</v>
      </c>
      <c r="MDM1599" s="55">
        <f t="shared" si="432"/>
        <v>0</v>
      </c>
      <c r="MDN1599" s="55">
        <f t="shared" si="432"/>
        <v>0</v>
      </c>
      <c r="MDO1599" s="55">
        <f t="shared" si="432"/>
        <v>0</v>
      </c>
      <c r="MDP1599" s="55">
        <f t="shared" ref="MDP1599:MGA1599" si="433">+(MDP1619+MDP1623)*1.18*1.1</f>
        <v>0</v>
      </c>
      <c r="MDQ1599" s="55">
        <f t="shared" si="433"/>
        <v>0</v>
      </c>
      <c r="MDR1599" s="55">
        <f t="shared" si="433"/>
        <v>0</v>
      </c>
      <c r="MDS1599" s="55">
        <f t="shared" si="433"/>
        <v>0</v>
      </c>
      <c r="MDT1599" s="55">
        <f t="shared" si="433"/>
        <v>0</v>
      </c>
      <c r="MDU1599" s="55">
        <f t="shared" si="433"/>
        <v>0</v>
      </c>
      <c r="MDV1599" s="55">
        <f t="shared" si="433"/>
        <v>0</v>
      </c>
      <c r="MDW1599" s="55">
        <f t="shared" si="433"/>
        <v>0</v>
      </c>
      <c r="MDX1599" s="55">
        <f t="shared" si="433"/>
        <v>0</v>
      </c>
      <c r="MDY1599" s="55">
        <f t="shared" si="433"/>
        <v>0</v>
      </c>
      <c r="MDZ1599" s="55">
        <f t="shared" si="433"/>
        <v>0</v>
      </c>
      <c r="MEA1599" s="55">
        <f t="shared" si="433"/>
        <v>0</v>
      </c>
      <c r="MEB1599" s="55">
        <f t="shared" si="433"/>
        <v>0</v>
      </c>
      <c r="MEC1599" s="55">
        <f t="shared" si="433"/>
        <v>0</v>
      </c>
      <c r="MED1599" s="55">
        <f t="shared" si="433"/>
        <v>0</v>
      </c>
      <c r="MEE1599" s="55">
        <f t="shared" si="433"/>
        <v>0</v>
      </c>
      <c r="MEF1599" s="55">
        <f t="shared" si="433"/>
        <v>0</v>
      </c>
      <c r="MEG1599" s="55">
        <f t="shared" si="433"/>
        <v>0</v>
      </c>
      <c r="MEH1599" s="55">
        <f t="shared" si="433"/>
        <v>0</v>
      </c>
      <c r="MEI1599" s="55">
        <f t="shared" si="433"/>
        <v>0</v>
      </c>
      <c r="MEJ1599" s="55">
        <f t="shared" si="433"/>
        <v>0</v>
      </c>
      <c r="MEK1599" s="55">
        <f t="shared" si="433"/>
        <v>0</v>
      </c>
      <c r="MEL1599" s="55">
        <f t="shared" si="433"/>
        <v>0</v>
      </c>
      <c r="MEM1599" s="55">
        <f t="shared" si="433"/>
        <v>0</v>
      </c>
      <c r="MEN1599" s="55">
        <f t="shared" si="433"/>
        <v>0</v>
      </c>
      <c r="MEO1599" s="55">
        <f t="shared" si="433"/>
        <v>0</v>
      </c>
      <c r="MEP1599" s="55">
        <f t="shared" si="433"/>
        <v>0</v>
      </c>
      <c r="MEQ1599" s="55">
        <f t="shared" si="433"/>
        <v>0</v>
      </c>
      <c r="MER1599" s="55">
        <f t="shared" si="433"/>
        <v>0</v>
      </c>
      <c r="MES1599" s="55">
        <f t="shared" si="433"/>
        <v>0</v>
      </c>
      <c r="MET1599" s="55">
        <f t="shared" si="433"/>
        <v>0</v>
      </c>
      <c r="MEU1599" s="55">
        <f t="shared" si="433"/>
        <v>0</v>
      </c>
      <c r="MEV1599" s="55">
        <f t="shared" si="433"/>
        <v>0</v>
      </c>
      <c r="MEW1599" s="55">
        <f t="shared" si="433"/>
        <v>0</v>
      </c>
      <c r="MEX1599" s="55">
        <f t="shared" si="433"/>
        <v>0</v>
      </c>
      <c r="MEY1599" s="55">
        <f t="shared" si="433"/>
        <v>0</v>
      </c>
      <c r="MEZ1599" s="55">
        <f t="shared" si="433"/>
        <v>0</v>
      </c>
      <c r="MFA1599" s="55">
        <f t="shared" si="433"/>
        <v>0</v>
      </c>
      <c r="MFB1599" s="55">
        <f t="shared" si="433"/>
        <v>0</v>
      </c>
      <c r="MFC1599" s="55">
        <f t="shared" si="433"/>
        <v>0</v>
      </c>
      <c r="MFD1599" s="55">
        <f t="shared" si="433"/>
        <v>0</v>
      </c>
      <c r="MFE1599" s="55">
        <f t="shared" si="433"/>
        <v>0</v>
      </c>
      <c r="MFF1599" s="55">
        <f t="shared" si="433"/>
        <v>0</v>
      </c>
      <c r="MFG1599" s="55">
        <f t="shared" si="433"/>
        <v>0</v>
      </c>
      <c r="MFH1599" s="55">
        <f t="shared" si="433"/>
        <v>0</v>
      </c>
      <c r="MFI1599" s="55">
        <f t="shared" si="433"/>
        <v>0</v>
      </c>
      <c r="MFJ1599" s="55">
        <f t="shared" si="433"/>
        <v>0</v>
      </c>
      <c r="MFK1599" s="55">
        <f t="shared" si="433"/>
        <v>0</v>
      </c>
      <c r="MFL1599" s="55">
        <f t="shared" si="433"/>
        <v>0</v>
      </c>
      <c r="MFM1599" s="55">
        <f t="shared" si="433"/>
        <v>0</v>
      </c>
      <c r="MFN1599" s="55">
        <f t="shared" si="433"/>
        <v>0</v>
      </c>
      <c r="MFO1599" s="55">
        <f t="shared" si="433"/>
        <v>0</v>
      </c>
      <c r="MFP1599" s="55">
        <f t="shared" si="433"/>
        <v>0</v>
      </c>
      <c r="MFQ1599" s="55">
        <f t="shared" si="433"/>
        <v>0</v>
      </c>
      <c r="MFR1599" s="55">
        <f t="shared" si="433"/>
        <v>0</v>
      </c>
      <c r="MFS1599" s="55">
        <f t="shared" si="433"/>
        <v>0</v>
      </c>
      <c r="MFT1599" s="55">
        <f t="shared" si="433"/>
        <v>0</v>
      </c>
      <c r="MFU1599" s="55">
        <f t="shared" si="433"/>
        <v>0</v>
      </c>
      <c r="MFV1599" s="55">
        <f t="shared" si="433"/>
        <v>0</v>
      </c>
      <c r="MFW1599" s="55">
        <f t="shared" si="433"/>
        <v>0</v>
      </c>
      <c r="MFX1599" s="55">
        <f t="shared" si="433"/>
        <v>0</v>
      </c>
      <c r="MFY1599" s="55">
        <f t="shared" si="433"/>
        <v>0</v>
      </c>
      <c r="MFZ1599" s="55">
        <f t="shared" si="433"/>
        <v>0</v>
      </c>
      <c r="MGA1599" s="55">
        <f t="shared" si="433"/>
        <v>0</v>
      </c>
      <c r="MGB1599" s="55">
        <f t="shared" ref="MGB1599:MIM1599" si="434">+(MGB1619+MGB1623)*1.18*1.1</f>
        <v>0</v>
      </c>
      <c r="MGC1599" s="55">
        <f t="shared" si="434"/>
        <v>0</v>
      </c>
      <c r="MGD1599" s="55">
        <f t="shared" si="434"/>
        <v>0</v>
      </c>
      <c r="MGE1599" s="55">
        <f t="shared" si="434"/>
        <v>0</v>
      </c>
      <c r="MGF1599" s="55">
        <f t="shared" si="434"/>
        <v>0</v>
      </c>
      <c r="MGG1599" s="55">
        <f t="shared" si="434"/>
        <v>0</v>
      </c>
      <c r="MGH1599" s="55">
        <f t="shared" si="434"/>
        <v>0</v>
      </c>
      <c r="MGI1599" s="55">
        <f t="shared" si="434"/>
        <v>0</v>
      </c>
      <c r="MGJ1599" s="55">
        <f t="shared" si="434"/>
        <v>0</v>
      </c>
      <c r="MGK1599" s="55">
        <f t="shared" si="434"/>
        <v>0</v>
      </c>
      <c r="MGL1599" s="55">
        <f t="shared" si="434"/>
        <v>0</v>
      </c>
      <c r="MGM1599" s="55">
        <f t="shared" si="434"/>
        <v>0</v>
      </c>
      <c r="MGN1599" s="55">
        <f t="shared" si="434"/>
        <v>0</v>
      </c>
      <c r="MGO1599" s="55">
        <f t="shared" si="434"/>
        <v>0</v>
      </c>
      <c r="MGP1599" s="55">
        <f t="shared" si="434"/>
        <v>0</v>
      </c>
      <c r="MGQ1599" s="55">
        <f t="shared" si="434"/>
        <v>0</v>
      </c>
      <c r="MGR1599" s="55">
        <f t="shared" si="434"/>
        <v>0</v>
      </c>
      <c r="MGS1599" s="55">
        <f t="shared" si="434"/>
        <v>0</v>
      </c>
      <c r="MGT1599" s="55">
        <f t="shared" si="434"/>
        <v>0</v>
      </c>
      <c r="MGU1599" s="55">
        <f t="shared" si="434"/>
        <v>0</v>
      </c>
      <c r="MGV1599" s="55">
        <f t="shared" si="434"/>
        <v>0</v>
      </c>
      <c r="MGW1599" s="55">
        <f t="shared" si="434"/>
        <v>0</v>
      </c>
      <c r="MGX1599" s="55">
        <f t="shared" si="434"/>
        <v>0</v>
      </c>
      <c r="MGY1599" s="55">
        <f t="shared" si="434"/>
        <v>0</v>
      </c>
      <c r="MGZ1599" s="55">
        <f t="shared" si="434"/>
        <v>0</v>
      </c>
      <c r="MHA1599" s="55">
        <f t="shared" si="434"/>
        <v>0</v>
      </c>
      <c r="MHB1599" s="55">
        <f t="shared" si="434"/>
        <v>0</v>
      </c>
      <c r="MHC1599" s="55">
        <f t="shared" si="434"/>
        <v>0</v>
      </c>
      <c r="MHD1599" s="55">
        <f t="shared" si="434"/>
        <v>0</v>
      </c>
      <c r="MHE1599" s="55">
        <f t="shared" si="434"/>
        <v>0</v>
      </c>
      <c r="MHF1599" s="55">
        <f t="shared" si="434"/>
        <v>0</v>
      </c>
      <c r="MHG1599" s="55">
        <f t="shared" si="434"/>
        <v>0</v>
      </c>
      <c r="MHH1599" s="55">
        <f t="shared" si="434"/>
        <v>0</v>
      </c>
      <c r="MHI1599" s="55">
        <f t="shared" si="434"/>
        <v>0</v>
      </c>
      <c r="MHJ1599" s="55">
        <f t="shared" si="434"/>
        <v>0</v>
      </c>
      <c r="MHK1599" s="55">
        <f t="shared" si="434"/>
        <v>0</v>
      </c>
      <c r="MHL1599" s="55">
        <f t="shared" si="434"/>
        <v>0</v>
      </c>
      <c r="MHM1599" s="55">
        <f t="shared" si="434"/>
        <v>0</v>
      </c>
      <c r="MHN1599" s="55">
        <f t="shared" si="434"/>
        <v>0</v>
      </c>
      <c r="MHO1599" s="55">
        <f t="shared" si="434"/>
        <v>0</v>
      </c>
      <c r="MHP1599" s="55">
        <f t="shared" si="434"/>
        <v>0</v>
      </c>
      <c r="MHQ1599" s="55">
        <f t="shared" si="434"/>
        <v>0</v>
      </c>
      <c r="MHR1599" s="55">
        <f t="shared" si="434"/>
        <v>0</v>
      </c>
      <c r="MHS1599" s="55">
        <f t="shared" si="434"/>
        <v>0</v>
      </c>
      <c r="MHT1599" s="55">
        <f t="shared" si="434"/>
        <v>0</v>
      </c>
      <c r="MHU1599" s="55">
        <f t="shared" si="434"/>
        <v>0</v>
      </c>
      <c r="MHV1599" s="55">
        <f t="shared" si="434"/>
        <v>0</v>
      </c>
      <c r="MHW1599" s="55">
        <f t="shared" si="434"/>
        <v>0</v>
      </c>
      <c r="MHX1599" s="55">
        <f t="shared" si="434"/>
        <v>0</v>
      </c>
      <c r="MHY1599" s="55">
        <f t="shared" si="434"/>
        <v>0</v>
      </c>
      <c r="MHZ1599" s="55">
        <f t="shared" si="434"/>
        <v>0</v>
      </c>
      <c r="MIA1599" s="55">
        <f t="shared" si="434"/>
        <v>0</v>
      </c>
      <c r="MIB1599" s="55">
        <f t="shared" si="434"/>
        <v>0</v>
      </c>
      <c r="MIC1599" s="55">
        <f t="shared" si="434"/>
        <v>0</v>
      </c>
      <c r="MID1599" s="55">
        <f t="shared" si="434"/>
        <v>0</v>
      </c>
      <c r="MIE1599" s="55">
        <f t="shared" si="434"/>
        <v>0</v>
      </c>
      <c r="MIF1599" s="55">
        <f t="shared" si="434"/>
        <v>0</v>
      </c>
      <c r="MIG1599" s="55">
        <f t="shared" si="434"/>
        <v>0</v>
      </c>
      <c r="MIH1599" s="55">
        <f t="shared" si="434"/>
        <v>0</v>
      </c>
      <c r="MII1599" s="55">
        <f t="shared" si="434"/>
        <v>0</v>
      </c>
      <c r="MIJ1599" s="55">
        <f t="shared" si="434"/>
        <v>0</v>
      </c>
      <c r="MIK1599" s="55">
        <f t="shared" si="434"/>
        <v>0</v>
      </c>
      <c r="MIL1599" s="55">
        <f t="shared" si="434"/>
        <v>0</v>
      </c>
      <c r="MIM1599" s="55">
        <f t="shared" si="434"/>
        <v>0</v>
      </c>
      <c r="MIN1599" s="55">
        <f t="shared" ref="MIN1599:MKY1599" si="435">+(MIN1619+MIN1623)*1.18*1.1</f>
        <v>0</v>
      </c>
      <c r="MIO1599" s="55">
        <f t="shared" si="435"/>
        <v>0</v>
      </c>
      <c r="MIP1599" s="55">
        <f t="shared" si="435"/>
        <v>0</v>
      </c>
      <c r="MIQ1599" s="55">
        <f t="shared" si="435"/>
        <v>0</v>
      </c>
      <c r="MIR1599" s="55">
        <f t="shared" si="435"/>
        <v>0</v>
      </c>
      <c r="MIS1599" s="55">
        <f t="shared" si="435"/>
        <v>0</v>
      </c>
      <c r="MIT1599" s="55">
        <f t="shared" si="435"/>
        <v>0</v>
      </c>
      <c r="MIU1599" s="55">
        <f t="shared" si="435"/>
        <v>0</v>
      </c>
      <c r="MIV1599" s="55">
        <f t="shared" si="435"/>
        <v>0</v>
      </c>
      <c r="MIW1599" s="55">
        <f t="shared" si="435"/>
        <v>0</v>
      </c>
      <c r="MIX1599" s="55">
        <f t="shared" si="435"/>
        <v>0</v>
      </c>
      <c r="MIY1599" s="55">
        <f t="shared" si="435"/>
        <v>0</v>
      </c>
      <c r="MIZ1599" s="55">
        <f t="shared" si="435"/>
        <v>0</v>
      </c>
      <c r="MJA1599" s="55">
        <f t="shared" si="435"/>
        <v>0</v>
      </c>
      <c r="MJB1599" s="55">
        <f t="shared" si="435"/>
        <v>0</v>
      </c>
      <c r="MJC1599" s="55">
        <f t="shared" si="435"/>
        <v>0</v>
      </c>
      <c r="MJD1599" s="55">
        <f t="shared" si="435"/>
        <v>0</v>
      </c>
      <c r="MJE1599" s="55">
        <f t="shared" si="435"/>
        <v>0</v>
      </c>
      <c r="MJF1599" s="55">
        <f t="shared" si="435"/>
        <v>0</v>
      </c>
      <c r="MJG1599" s="55">
        <f t="shared" si="435"/>
        <v>0</v>
      </c>
      <c r="MJH1599" s="55">
        <f t="shared" si="435"/>
        <v>0</v>
      </c>
      <c r="MJI1599" s="55">
        <f t="shared" si="435"/>
        <v>0</v>
      </c>
      <c r="MJJ1599" s="55">
        <f t="shared" si="435"/>
        <v>0</v>
      </c>
      <c r="MJK1599" s="55">
        <f t="shared" si="435"/>
        <v>0</v>
      </c>
      <c r="MJL1599" s="55">
        <f t="shared" si="435"/>
        <v>0</v>
      </c>
      <c r="MJM1599" s="55">
        <f t="shared" si="435"/>
        <v>0</v>
      </c>
      <c r="MJN1599" s="55">
        <f t="shared" si="435"/>
        <v>0</v>
      </c>
      <c r="MJO1599" s="55">
        <f t="shared" si="435"/>
        <v>0</v>
      </c>
      <c r="MJP1599" s="55">
        <f t="shared" si="435"/>
        <v>0</v>
      </c>
      <c r="MJQ1599" s="55">
        <f t="shared" si="435"/>
        <v>0</v>
      </c>
      <c r="MJR1599" s="55">
        <f t="shared" si="435"/>
        <v>0</v>
      </c>
      <c r="MJS1599" s="55">
        <f t="shared" si="435"/>
        <v>0</v>
      </c>
      <c r="MJT1599" s="55">
        <f t="shared" si="435"/>
        <v>0</v>
      </c>
      <c r="MJU1599" s="55">
        <f t="shared" si="435"/>
        <v>0</v>
      </c>
      <c r="MJV1599" s="55">
        <f t="shared" si="435"/>
        <v>0</v>
      </c>
      <c r="MJW1599" s="55">
        <f t="shared" si="435"/>
        <v>0</v>
      </c>
      <c r="MJX1599" s="55">
        <f t="shared" si="435"/>
        <v>0</v>
      </c>
      <c r="MJY1599" s="55">
        <f t="shared" si="435"/>
        <v>0</v>
      </c>
      <c r="MJZ1599" s="55">
        <f t="shared" si="435"/>
        <v>0</v>
      </c>
      <c r="MKA1599" s="55">
        <f t="shared" si="435"/>
        <v>0</v>
      </c>
      <c r="MKB1599" s="55">
        <f t="shared" si="435"/>
        <v>0</v>
      </c>
      <c r="MKC1599" s="55">
        <f t="shared" si="435"/>
        <v>0</v>
      </c>
      <c r="MKD1599" s="55">
        <f t="shared" si="435"/>
        <v>0</v>
      </c>
      <c r="MKE1599" s="55">
        <f t="shared" si="435"/>
        <v>0</v>
      </c>
      <c r="MKF1599" s="55">
        <f t="shared" si="435"/>
        <v>0</v>
      </c>
      <c r="MKG1599" s="55">
        <f t="shared" si="435"/>
        <v>0</v>
      </c>
      <c r="MKH1599" s="55">
        <f t="shared" si="435"/>
        <v>0</v>
      </c>
      <c r="MKI1599" s="55">
        <f t="shared" si="435"/>
        <v>0</v>
      </c>
      <c r="MKJ1599" s="55">
        <f t="shared" si="435"/>
        <v>0</v>
      </c>
      <c r="MKK1599" s="55">
        <f t="shared" si="435"/>
        <v>0</v>
      </c>
      <c r="MKL1599" s="55">
        <f t="shared" si="435"/>
        <v>0</v>
      </c>
      <c r="MKM1599" s="55">
        <f t="shared" si="435"/>
        <v>0</v>
      </c>
      <c r="MKN1599" s="55">
        <f t="shared" si="435"/>
        <v>0</v>
      </c>
      <c r="MKO1599" s="55">
        <f t="shared" si="435"/>
        <v>0</v>
      </c>
      <c r="MKP1599" s="55">
        <f t="shared" si="435"/>
        <v>0</v>
      </c>
      <c r="MKQ1599" s="55">
        <f t="shared" si="435"/>
        <v>0</v>
      </c>
      <c r="MKR1599" s="55">
        <f t="shared" si="435"/>
        <v>0</v>
      </c>
      <c r="MKS1599" s="55">
        <f t="shared" si="435"/>
        <v>0</v>
      </c>
      <c r="MKT1599" s="55">
        <f t="shared" si="435"/>
        <v>0</v>
      </c>
      <c r="MKU1599" s="55">
        <f t="shared" si="435"/>
        <v>0</v>
      </c>
      <c r="MKV1599" s="55">
        <f t="shared" si="435"/>
        <v>0</v>
      </c>
      <c r="MKW1599" s="55">
        <f t="shared" si="435"/>
        <v>0</v>
      </c>
      <c r="MKX1599" s="55">
        <f t="shared" si="435"/>
        <v>0</v>
      </c>
      <c r="MKY1599" s="55">
        <f t="shared" si="435"/>
        <v>0</v>
      </c>
      <c r="MKZ1599" s="55">
        <f t="shared" ref="MKZ1599:MNK1599" si="436">+(MKZ1619+MKZ1623)*1.18*1.1</f>
        <v>0</v>
      </c>
      <c r="MLA1599" s="55">
        <f t="shared" si="436"/>
        <v>0</v>
      </c>
      <c r="MLB1599" s="55">
        <f t="shared" si="436"/>
        <v>0</v>
      </c>
      <c r="MLC1599" s="55">
        <f t="shared" si="436"/>
        <v>0</v>
      </c>
      <c r="MLD1599" s="55">
        <f t="shared" si="436"/>
        <v>0</v>
      </c>
      <c r="MLE1599" s="55">
        <f t="shared" si="436"/>
        <v>0</v>
      </c>
      <c r="MLF1599" s="55">
        <f t="shared" si="436"/>
        <v>0</v>
      </c>
      <c r="MLG1599" s="55">
        <f t="shared" si="436"/>
        <v>0</v>
      </c>
      <c r="MLH1599" s="55">
        <f t="shared" si="436"/>
        <v>0</v>
      </c>
      <c r="MLI1599" s="55">
        <f t="shared" si="436"/>
        <v>0</v>
      </c>
      <c r="MLJ1599" s="55">
        <f t="shared" si="436"/>
        <v>0</v>
      </c>
      <c r="MLK1599" s="55">
        <f t="shared" si="436"/>
        <v>0</v>
      </c>
      <c r="MLL1599" s="55">
        <f t="shared" si="436"/>
        <v>0</v>
      </c>
      <c r="MLM1599" s="55">
        <f t="shared" si="436"/>
        <v>0</v>
      </c>
      <c r="MLN1599" s="55">
        <f t="shared" si="436"/>
        <v>0</v>
      </c>
      <c r="MLO1599" s="55">
        <f t="shared" si="436"/>
        <v>0</v>
      </c>
      <c r="MLP1599" s="55">
        <f t="shared" si="436"/>
        <v>0</v>
      </c>
      <c r="MLQ1599" s="55">
        <f t="shared" si="436"/>
        <v>0</v>
      </c>
      <c r="MLR1599" s="55">
        <f t="shared" si="436"/>
        <v>0</v>
      </c>
      <c r="MLS1599" s="55">
        <f t="shared" si="436"/>
        <v>0</v>
      </c>
      <c r="MLT1599" s="55">
        <f t="shared" si="436"/>
        <v>0</v>
      </c>
      <c r="MLU1599" s="55">
        <f t="shared" si="436"/>
        <v>0</v>
      </c>
      <c r="MLV1599" s="55">
        <f t="shared" si="436"/>
        <v>0</v>
      </c>
      <c r="MLW1599" s="55">
        <f t="shared" si="436"/>
        <v>0</v>
      </c>
      <c r="MLX1599" s="55">
        <f t="shared" si="436"/>
        <v>0</v>
      </c>
      <c r="MLY1599" s="55">
        <f t="shared" si="436"/>
        <v>0</v>
      </c>
      <c r="MLZ1599" s="55">
        <f t="shared" si="436"/>
        <v>0</v>
      </c>
      <c r="MMA1599" s="55">
        <f t="shared" si="436"/>
        <v>0</v>
      </c>
      <c r="MMB1599" s="55">
        <f t="shared" si="436"/>
        <v>0</v>
      </c>
      <c r="MMC1599" s="55">
        <f t="shared" si="436"/>
        <v>0</v>
      </c>
      <c r="MMD1599" s="55">
        <f t="shared" si="436"/>
        <v>0</v>
      </c>
      <c r="MME1599" s="55">
        <f t="shared" si="436"/>
        <v>0</v>
      </c>
      <c r="MMF1599" s="55">
        <f t="shared" si="436"/>
        <v>0</v>
      </c>
      <c r="MMG1599" s="55">
        <f t="shared" si="436"/>
        <v>0</v>
      </c>
      <c r="MMH1599" s="55">
        <f t="shared" si="436"/>
        <v>0</v>
      </c>
      <c r="MMI1599" s="55">
        <f t="shared" si="436"/>
        <v>0</v>
      </c>
      <c r="MMJ1599" s="55">
        <f t="shared" si="436"/>
        <v>0</v>
      </c>
      <c r="MMK1599" s="55">
        <f t="shared" si="436"/>
        <v>0</v>
      </c>
      <c r="MML1599" s="55">
        <f t="shared" si="436"/>
        <v>0</v>
      </c>
      <c r="MMM1599" s="55">
        <f t="shared" si="436"/>
        <v>0</v>
      </c>
      <c r="MMN1599" s="55">
        <f t="shared" si="436"/>
        <v>0</v>
      </c>
      <c r="MMO1599" s="55">
        <f t="shared" si="436"/>
        <v>0</v>
      </c>
      <c r="MMP1599" s="55">
        <f t="shared" si="436"/>
        <v>0</v>
      </c>
      <c r="MMQ1599" s="55">
        <f t="shared" si="436"/>
        <v>0</v>
      </c>
      <c r="MMR1599" s="55">
        <f t="shared" si="436"/>
        <v>0</v>
      </c>
      <c r="MMS1599" s="55">
        <f t="shared" si="436"/>
        <v>0</v>
      </c>
      <c r="MMT1599" s="55">
        <f t="shared" si="436"/>
        <v>0</v>
      </c>
      <c r="MMU1599" s="55">
        <f t="shared" si="436"/>
        <v>0</v>
      </c>
      <c r="MMV1599" s="55">
        <f t="shared" si="436"/>
        <v>0</v>
      </c>
      <c r="MMW1599" s="55">
        <f t="shared" si="436"/>
        <v>0</v>
      </c>
      <c r="MMX1599" s="55">
        <f t="shared" si="436"/>
        <v>0</v>
      </c>
      <c r="MMY1599" s="55">
        <f t="shared" si="436"/>
        <v>0</v>
      </c>
      <c r="MMZ1599" s="55">
        <f t="shared" si="436"/>
        <v>0</v>
      </c>
      <c r="MNA1599" s="55">
        <f t="shared" si="436"/>
        <v>0</v>
      </c>
      <c r="MNB1599" s="55">
        <f t="shared" si="436"/>
        <v>0</v>
      </c>
      <c r="MNC1599" s="55">
        <f t="shared" si="436"/>
        <v>0</v>
      </c>
      <c r="MND1599" s="55">
        <f t="shared" si="436"/>
        <v>0</v>
      </c>
      <c r="MNE1599" s="55">
        <f t="shared" si="436"/>
        <v>0</v>
      </c>
      <c r="MNF1599" s="55">
        <f t="shared" si="436"/>
        <v>0</v>
      </c>
      <c r="MNG1599" s="55">
        <f t="shared" si="436"/>
        <v>0</v>
      </c>
      <c r="MNH1599" s="55">
        <f t="shared" si="436"/>
        <v>0</v>
      </c>
      <c r="MNI1599" s="55">
        <f t="shared" si="436"/>
        <v>0</v>
      </c>
      <c r="MNJ1599" s="55">
        <f t="shared" si="436"/>
        <v>0</v>
      </c>
      <c r="MNK1599" s="55">
        <f t="shared" si="436"/>
        <v>0</v>
      </c>
      <c r="MNL1599" s="55">
        <f t="shared" ref="MNL1599:MPW1599" si="437">+(MNL1619+MNL1623)*1.18*1.1</f>
        <v>0</v>
      </c>
      <c r="MNM1599" s="55">
        <f t="shared" si="437"/>
        <v>0</v>
      </c>
      <c r="MNN1599" s="55">
        <f t="shared" si="437"/>
        <v>0</v>
      </c>
      <c r="MNO1599" s="55">
        <f t="shared" si="437"/>
        <v>0</v>
      </c>
      <c r="MNP1599" s="55">
        <f t="shared" si="437"/>
        <v>0</v>
      </c>
      <c r="MNQ1599" s="55">
        <f t="shared" si="437"/>
        <v>0</v>
      </c>
      <c r="MNR1599" s="55">
        <f t="shared" si="437"/>
        <v>0</v>
      </c>
      <c r="MNS1599" s="55">
        <f t="shared" si="437"/>
        <v>0</v>
      </c>
      <c r="MNT1599" s="55">
        <f t="shared" si="437"/>
        <v>0</v>
      </c>
      <c r="MNU1599" s="55">
        <f t="shared" si="437"/>
        <v>0</v>
      </c>
      <c r="MNV1599" s="55">
        <f t="shared" si="437"/>
        <v>0</v>
      </c>
      <c r="MNW1599" s="55">
        <f t="shared" si="437"/>
        <v>0</v>
      </c>
      <c r="MNX1599" s="55">
        <f t="shared" si="437"/>
        <v>0</v>
      </c>
      <c r="MNY1599" s="55">
        <f t="shared" si="437"/>
        <v>0</v>
      </c>
      <c r="MNZ1599" s="55">
        <f t="shared" si="437"/>
        <v>0</v>
      </c>
      <c r="MOA1599" s="55">
        <f t="shared" si="437"/>
        <v>0</v>
      </c>
      <c r="MOB1599" s="55">
        <f t="shared" si="437"/>
        <v>0</v>
      </c>
      <c r="MOC1599" s="55">
        <f t="shared" si="437"/>
        <v>0</v>
      </c>
      <c r="MOD1599" s="55">
        <f t="shared" si="437"/>
        <v>0</v>
      </c>
      <c r="MOE1599" s="55">
        <f t="shared" si="437"/>
        <v>0</v>
      </c>
      <c r="MOF1599" s="55">
        <f t="shared" si="437"/>
        <v>0</v>
      </c>
      <c r="MOG1599" s="55">
        <f t="shared" si="437"/>
        <v>0</v>
      </c>
      <c r="MOH1599" s="55">
        <f t="shared" si="437"/>
        <v>0</v>
      </c>
      <c r="MOI1599" s="55">
        <f t="shared" si="437"/>
        <v>0</v>
      </c>
      <c r="MOJ1599" s="55">
        <f t="shared" si="437"/>
        <v>0</v>
      </c>
      <c r="MOK1599" s="55">
        <f t="shared" si="437"/>
        <v>0</v>
      </c>
      <c r="MOL1599" s="55">
        <f t="shared" si="437"/>
        <v>0</v>
      </c>
      <c r="MOM1599" s="55">
        <f t="shared" si="437"/>
        <v>0</v>
      </c>
      <c r="MON1599" s="55">
        <f t="shared" si="437"/>
        <v>0</v>
      </c>
      <c r="MOO1599" s="55">
        <f t="shared" si="437"/>
        <v>0</v>
      </c>
      <c r="MOP1599" s="55">
        <f t="shared" si="437"/>
        <v>0</v>
      </c>
      <c r="MOQ1599" s="55">
        <f t="shared" si="437"/>
        <v>0</v>
      </c>
      <c r="MOR1599" s="55">
        <f t="shared" si="437"/>
        <v>0</v>
      </c>
      <c r="MOS1599" s="55">
        <f t="shared" si="437"/>
        <v>0</v>
      </c>
      <c r="MOT1599" s="55">
        <f t="shared" si="437"/>
        <v>0</v>
      </c>
      <c r="MOU1599" s="55">
        <f t="shared" si="437"/>
        <v>0</v>
      </c>
      <c r="MOV1599" s="55">
        <f t="shared" si="437"/>
        <v>0</v>
      </c>
      <c r="MOW1599" s="55">
        <f t="shared" si="437"/>
        <v>0</v>
      </c>
      <c r="MOX1599" s="55">
        <f t="shared" si="437"/>
        <v>0</v>
      </c>
      <c r="MOY1599" s="55">
        <f t="shared" si="437"/>
        <v>0</v>
      </c>
      <c r="MOZ1599" s="55">
        <f t="shared" si="437"/>
        <v>0</v>
      </c>
      <c r="MPA1599" s="55">
        <f t="shared" si="437"/>
        <v>0</v>
      </c>
      <c r="MPB1599" s="55">
        <f t="shared" si="437"/>
        <v>0</v>
      </c>
      <c r="MPC1599" s="55">
        <f t="shared" si="437"/>
        <v>0</v>
      </c>
      <c r="MPD1599" s="55">
        <f t="shared" si="437"/>
        <v>0</v>
      </c>
      <c r="MPE1599" s="55">
        <f t="shared" si="437"/>
        <v>0</v>
      </c>
      <c r="MPF1599" s="55">
        <f t="shared" si="437"/>
        <v>0</v>
      </c>
      <c r="MPG1599" s="55">
        <f t="shared" si="437"/>
        <v>0</v>
      </c>
      <c r="MPH1599" s="55">
        <f t="shared" si="437"/>
        <v>0</v>
      </c>
      <c r="MPI1599" s="55">
        <f t="shared" si="437"/>
        <v>0</v>
      </c>
      <c r="MPJ1599" s="55">
        <f t="shared" si="437"/>
        <v>0</v>
      </c>
      <c r="MPK1599" s="55">
        <f t="shared" si="437"/>
        <v>0</v>
      </c>
      <c r="MPL1599" s="55">
        <f t="shared" si="437"/>
        <v>0</v>
      </c>
      <c r="MPM1599" s="55">
        <f t="shared" si="437"/>
        <v>0</v>
      </c>
      <c r="MPN1599" s="55">
        <f t="shared" si="437"/>
        <v>0</v>
      </c>
      <c r="MPO1599" s="55">
        <f t="shared" si="437"/>
        <v>0</v>
      </c>
      <c r="MPP1599" s="55">
        <f t="shared" si="437"/>
        <v>0</v>
      </c>
      <c r="MPQ1599" s="55">
        <f t="shared" si="437"/>
        <v>0</v>
      </c>
      <c r="MPR1599" s="55">
        <f t="shared" si="437"/>
        <v>0</v>
      </c>
      <c r="MPS1599" s="55">
        <f t="shared" si="437"/>
        <v>0</v>
      </c>
      <c r="MPT1599" s="55">
        <f t="shared" si="437"/>
        <v>0</v>
      </c>
      <c r="MPU1599" s="55">
        <f t="shared" si="437"/>
        <v>0</v>
      </c>
      <c r="MPV1599" s="55">
        <f t="shared" si="437"/>
        <v>0</v>
      </c>
      <c r="MPW1599" s="55">
        <f t="shared" si="437"/>
        <v>0</v>
      </c>
      <c r="MPX1599" s="55">
        <f t="shared" ref="MPX1599:MSI1599" si="438">+(MPX1619+MPX1623)*1.18*1.1</f>
        <v>0</v>
      </c>
      <c r="MPY1599" s="55">
        <f t="shared" si="438"/>
        <v>0</v>
      </c>
      <c r="MPZ1599" s="55">
        <f t="shared" si="438"/>
        <v>0</v>
      </c>
      <c r="MQA1599" s="55">
        <f t="shared" si="438"/>
        <v>0</v>
      </c>
      <c r="MQB1599" s="55">
        <f t="shared" si="438"/>
        <v>0</v>
      </c>
      <c r="MQC1599" s="55">
        <f t="shared" si="438"/>
        <v>0</v>
      </c>
      <c r="MQD1599" s="55">
        <f t="shared" si="438"/>
        <v>0</v>
      </c>
      <c r="MQE1599" s="55">
        <f t="shared" si="438"/>
        <v>0</v>
      </c>
      <c r="MQF1599" s="55">
        <f t="shared" si="438"/>
        <v>0</v>
      </c>
      <c r="MQG1599" s="55">
        <f t="shared" si="438"/>
        <v>0</v>
      </c>
      <c r="MQH1599" s="55">
        <f t="shared" si="438"/>
        <v>0</v>
      </c>
      <c r="MQI1599" s="55">
        <f t="shared" si="438"/>
        <v>0</v>
      </c>
      <c r="MQJ1599" s="55">
        <f t="shared" si="438"/>
        <v>0</v>
      </c>
      <c r="MQK1599" s="55">
        <f t="shared" si="438"/>
        <v>0</v>
      </c>
      <c r="MQL1599" s="55">
        <f t="shared" si="438"/>
        <v>0</v>
      </c>
      <c r="MQM1599" s="55">
        <f t="shared" si="438"/>
        <v>0</v>
      </c>
      <c r="MQN1599" s="55">
        <f t="shared" si="438"/>
        <v>0</v>
      </c>
      <c r="MQO1599" s="55">
        <f t="shared" si="438"/>
        <v>0</v>
      </c>
      <c r="MQP1599" s="55">
        <f t="shared" si="438"/>
        <v>0</v>
      </c>
      <c r="MQQ1599" s="55">
        <f t="shared" si="438"/>
        <v>0</v>
      </c>
      <c r="MQR1599" s="55">
        <f t="shared" si="438"/>
        <v>0</v>
      </c>
      <c r="MQS1599" s="55">
        <f t="shared" si="438"/>
        <v>0</v>
      </c>
      <c r="MQT1599" s="55">
        <f t="shared" si="438"/>
        <v>0</v>
      </c>
      <c r="MQU1599" s="55">
        <f t="shared" si="438"/>
        <v>0</v>
      </c>
      <c r="MQV1599" s="55">
        <f t="shared" si="438"/>
        <v>0</v>
      </c>
      <c r="MQW1599" s="55">
        <f t="shared" si="438"/>
        <v>0</v>
      </c>
      <c r="MQX1599" s="55">
        <f t="shared" si="438"/>
        <v>0</v>
      </c>
      <c r="MQY1599" s="55">
        <f t="shared" si="438"/>
        <v>0</v>
      </c>
      <c r="MQZ1599" s="55">
        <f t="shared" si="438"/>
        <v>0</v>
      </c>
      <c r="MRA1599" s="55">
        <f t="shared" si="438"/>
        <v>0</v>
      </c>
      <c r="MRB1599" s="55">
        <f t="shared" si="438"/>
        <v>0</v>
      </c>
      <c r="MRC1599" s="55">
        <f t="shared" si="438"/>
        <v>0</v>
      </c>
      <c r="MRD1599" s="55">
        <f t="shared" si="438"/>
        <v>0</v>
      </c>
      <c r="MRE1599" s="55">
        <f t="shared" si="438"/>
        <v>0</v>
      </c>
      <c r="MRF1599" s="55">
        <f t="shared" si="438"/>
        <v>0</v>
      </c>
      <c r="MRG1599" s="55">
        <f t="shared" si="438"/>
        <v>0</v>
      </c>
      <c r="MRH1599" s="55">
        <f t="shared" si="438"/>
        <v>0</v>
      </c>
      <c r="MRI1599" s="55">
        <f t="shared" si="438"/>
        <v>0</v>
      </c>
      <c r="MRJ1599" s="55">
        <f t="shared" si="438"/>
        <v>0</v>
      </c>
      <c r="MRK1599" s="55">
        <f t="shared" si="438"/>
        <v>0</v>
      </c>
      <c r="MRL1599" s="55">
        <f t="shared" si="438"/>
        <v>0</v>
      </c>
      <c r="MRM1599" s="55">
        <f t="shared" si="438"/>
        <v>0</v>
      </c>
      <c r="MRN1599" s="55">
        <f t="shared" si="438"/>
        <v>0</v>
      </c>
      <c r="MRO1599" s="55">
        <f t="shared" si="438"/>
        <v>0</v>
      </c>
      <c r="MRP1599" s="55">
        <f t="shared" si="438"/>
        <v>0</v>
      </c>
      <c r="MRQ1599" s="55">
        <f t="shared" si="438"/>
        <v>0</v>
      </c>
      <c r="MRR1599" s="55">
        <f t="shared" si="438"/>
        <v>0</v>
      </c>
      <c r="MRS1599" s="55">
        <f t="shared" si="438"/>
        <v>0</v>
      </c>
      <c r="MRT1599" s="55">
        <f t="shared" si="438"/>
        <v>0</v>
      </c>
      <c r="MRU1599" s="55">
        <f t="shared" si="438"/>
        <v>0</v>
      </c>
      <c r="MRV1599" s="55">
        <f t="shared" si="438"/>
        <v>0</v>
      </c>
      <c r="MRW1599" s="55">
        <f t="shared" si="438"/>
        <v>0</v>
      </c>
      <c r="MRX1599" s="55">
        <f t="shared" si="438"/>
        <v>0</v>
      </c>
      <c r="MRY1599" s="55">
        <f t="shared" si="438"/>
        <v>0</v>
      </c>
      <c r="MRZ1599" s="55">
        <f t="shared" si="438"/>
        <v>0</v>
      </c>
      <c r="MSA1599" s="55">
        <f t="shared" si="438"/>
        <v>0</v>
      </c>
      <c r="MSB1599" s="55">
        <f t="shared" si="438"/>
        <v>0</v>
      </c>
      <c r="MSC1599" s="55">
        <f t="shared" si="438"/>
        <v>0</v>
      </c>
      <c r="MSD1599" s="55">
        <f t="shared" si="438"/>
        <v>0</v>
      </c>
      <c r="MSE1599" s="55">
        <f t="shared" si="438"/>
        <v>0</v>
      </c>
      <c r="MSF1599" s="55">
        <f t="shared" si="438"/>
        <v>0</v>
      </c>
      <c r="MSG1599" s="55">
        <f t="shared" si="438"/>
        <v>0</v>
      </c>
      <c r="MSH1599" s="55">
        <f t="shared" si="438"/>
        <v>0</v>
      </c>
      <c r="MSI1599" s="55">
        <f t="shared" si="438"/>
        <v>0</v>
      </c>
      <c r="MSJ1599" s="55">
        <f t="shared" ref="MSJ1599:MUU1599" si="439">+(MSJ1619+MSJ1623)*1.18*1.1</f>
        <v>0</v>
      </c>
      <c r="MSK1599" s="55">
        <f t="shared" si="439"/>
        <v>0</v>
      </c>
      <c r="MSL1599" s="55">
        <f t="shared" si="439"/>
        <v>0</v>
      </c>
      <c r="MSM1599" s="55">
        <f t="shared" si="439"/>
        <v>0</v>
      </c>
      <c r="MSN1599" s="55">
        <f t="shared" si="439"/>
        <v>0</v>
      </c>
      <c r="MSO1599" s="55">
        <f t="shared" si="439"/>
        <v>0</v>
      </c>
      <c r="MSP1599" s="55">
        <f t="shared" si="439"/>
        <v>0</v>
      </c>
      <c r="MSQ1599" s="55">
        <f t="shared" si="439"/>
        <v>0</v>
      </c>
      <c r="MSR1599" s="55">
        <f t="shared" si="439"/>
        <v>0</v>
      </c>
      <c r="MSS1599" s="55">
        <f t="shared" si="439"/>
        <v>0</v>
      </c>
      <c r="MST1599" s="55">
        <f t="shared" si="439"/>
        <v>0</v>
      </c>
      <c r="MSU1599" s="55">
        <f t="shared" si="439"/>
        <v>0</v>
      </c>
      <c r="MSV1599" s="55">
        <f t="shared" si="439"/>
        <v>0</v>
      </c>
      <c r="MSW1599" s="55">
        <f t="shared" si="439"/>
        <v>0</v>
      </c>
      <c r="MSX1599" s="55">
        <f t="shared" si="439"/>
        <v>0</v>
      </c>
      <c r="MSY1599" s="55">
        <f t="shared" si="439"/>
        <v>0</v>
      </c>
      <c r="MSZ1599" s="55">
        <f t="shared" si="439"/>
        <v>0</v>
      </c>
      <c r="MTA1599" s="55">
        <f t="shared" si="439"/>
        <v>0</v>
      </c>
      <c r="MTB1599" s="55">
        <f t="shared" si="439"/>
        <v>0</v>
      </c>
      <c r="MTC1599" s="55">
        <f t="shared" si="439"/>
        <v>0</v>
      </c>
      <c r="MTD1599" s="55">
        <f t="shared" si="439"/>
        <v>0</v>
      </c>
      <c r="MTE1599" s="55">
        <f t="shared" si="439"/>
        <v>0</v>
      </c>
      <c r="MTF1599" s="55">
        <f t="shared" si="439"/>
        <v>0</v>
      </c>
      <c r="MTG1599" s="55">
        <f t="shared" si="439"/>
        <v>0</v>
      </c>
      <c r="MTH1599" s="55">
        <f t="shared" si="439"/>
        <v>0</v>
      </c>
      <c r="MTI1599" s="55">
        <f t="shared" si="439"/>
        <v>0</v>
      </c>
      <c r="MTJ1599" s="55">
        <f t="shared" si="439"/>
        <v>0</v>
      </c>
      <c r="MTK1599" s="55">
        <f t="shared" si="439"/>
        <v>0</v>
      </c>
      <c r="MTL1599" s="55">
        <f t="shared" si="439"/>
        <v>0</v>
      </c>
      <c r="MTM1599" s="55">
        <f t="shared" si="439"/>
        <v>0</v>
      </c>
      <c r="MTN1599" s="55">
        <f t="shared" si="439"/>
        <v>0</v>
      </c>
      <c r="MTO1599" s="55">
        <f t="shared" si="439"/>
        <v>0</v>
      </c>
      <c r="MTP1599" s="55">
        <f t="shared" si="439"/>
        <v>0</v>
      </c>
      <c r="MTQ1599" s="55">
        <f t="shared" si="439"/>
        <v>0</v>
      </c>
      <c r="MTR1599" s="55">
        <f t="shared" si="439"/>
        <v>0</v>
      </c>
      <c r="MTS1599" s="55">
        <f t="shared" si="439"/>
        <v>0</v>
      </c>
      <c r="MTT1599" s="55">
        <f t="shared" si="439"/>
        <v>0</v>
      </c>
      <c r="MTU1599" s="55">
        <f t="shared" si="439"/>
        <v>0</v>
      </c>
      <c r="MTV1599" s="55">
        <f t="shared" si="439"/>
        <v>0</v>
      </c>
      <c r="MTW1599" s="55">
        <f t="shared" si="439"/>
        <v>0</v>
      </c>
      <c r="MTX1599" s="55">
        <f t="shared" si="439"/>
        <v>0</v>
      </c>
      <c r="MTY1599" s="55">
        <f t="shared" si="439"/>
        <v>0</v>
      </c>
      <c r="MTZ1599" s="55">
        <f t="shared" si="439"/>
        <v>0</v>
      </c>
      <c r="MUA1599" s="55">
        <f t="shared" si="439"/>
        <v>0</v>
      </c>
      <c r="MUB1599" s="55">
        <f t="shared" si="439"/>
        <v>0</v>
      </c>
      <c r="MUC1599" s="55">
        <f t="shared" si="439"/>
        <v>0</v>
      </c>
      <c r="MUD1599" s="55">
        <f t="shared" si="439"/>
        <v>0</v>
      </c>
      <c r="MUE1599" s="55">
        <f t="shared" si="439"/>
        <v>0</v>
      </c>
      <c r="MUF1599" s="55">
        <f t="shared" si="439"/>
        <v>0</v>
      </c>
      <c r="MUG1599" s="55">
        <f t="shared" si="439"/>
        <v>0</v>
      </c>
      <c r="MUH1599" s="55">
        <f t="shared" si="439"/>
        <v>0</v>
      </c>
      <c r="MUI1599" s="55">
        <f t="shared" si="439"/>
        <v>0</v>
      </c>
      <c r="MUJ1599" s="55">
        <f t="shared" si="439"/>
        <v>0</v>
      </c>
      <c r="MUK1599" s="55">
        <f t="shared" si="439"/>
        <v>0</v>
      </c>
      <c r="MUL1599" s="55">
        <f t="shared" si="439"/>
        <v>0</v>
      </c>
      <c r="MUM1599" s="55">
        <f t="shared" si="439"/>
        <v>0</v>
      </c>
      <c r="MUN1599" s="55">
        <f t="shared" si="439"/>
        <v>0</v>
      </c>
      <c r="MUO1599" s="55">
        <f t="shared" si="439"/>
        <v>0</v>
      </c>
      <c r="MUP1599" s="55">
        <f t="shared" si="439"/>
        <v>0</v>
      </c>
      <c r="MUQ1599" s="55">
        <f t="shared" si="439"/>
        <v>0</v>
      </c>
      <c r="MUR1599" s="55">
        <f t="shared" si="439"/>
        <v>0</v>
      </c>
      <c r="MUS1599" s="55">
        <f t="shared" si="439"/>
        <v>0</v>
      </c>
      <c r="MUT1599" s="55">
        <f t="shared" si="439"/>
        <v>0</v>
      </c>
      <c r="MUU1599" s="55">
        <f t="shared" si="439"/>
        <v>0</v>
      </c>
      <c r="MUV1599" s="55">
        <f t="shared" ref="MUV1599:MXG1599" si="440">+(MUV1619+MUV1623)*1.18*1.1</f>
        <v>0</v>
      </c>
      <c r="MUW1599" s="55">
        <f t="shared" si="440"/>
        <v>0</v>
      </c>
      <c r="MUX1599" s="55">
        <f t="shared" si="440"/>
        <v>0</v>
      </c>
      <c r="MUY1599" s="55">
        <f t="shared" si="440"/>
        <v>0</v>
      </c>
      <c r="MUZ1599" s="55">
        <f t="shared" si="440"/>
        <v>0</v>
      </c>
      <c r="MVA1599" s="55">
        <f t="shared" si="440"/>
        <v>0</v>
      </c>
      <c r="MVB1599" s="55">
        <f t="shared" si="440"/>
        <v>0</v>
      </c>
      <c r="MVC1599" s="55">
        <f t="shared" si="440"/>
        <v>0</v>
      </c>
      <c r="MVD1599" s="55">
        <f t="shared" si="440"/>
        <v>0</v>
      </c>
      <c r="MVE1599" s="55">
        <f t="shared" si="440"/>
        <v>0</v>
      </c>
      <c r="MVF1599" s="55">
        <f t="shared" si="440"/>
        <v>0</v>
      </c>
      <c r="MVG1599" s="55">
        <f t="shared" si="440"/>
        <v>0</v>
      </c>
      <c r="MVH1599" s="55">
        <f t="shared" si="440"/>
        <v>0</v>
      </c>
      <c r="MVI1599" s="55">
        <f t="shared" si="440"/>
        <v>0</v>
      </c>
      <c r="MVJ1599" s="55">
        <f t="shared" si="440"/>
        <v>0</v>
      </c>
      <c r="MVK1599" s="55">
        <f t="shared" si="440"/>
        <v>0</v>
      </c>
      <c r="MVL1599" s="55">
        <f t="shared" si="440"/>
        <v>0</v>
      </c>
      <c r="MVM1599" s="55">
        <f t="shared" si="440"/>
        <v>0</v>
      </c>
      <c r="MVN1599" s="55">
        <f t="shared" si="440"/>
        <v>0</v>
      </c>
      <c r="MVO1599" s="55">
        <f t="shared" si="440"/>
        <v>0</v>
      </c>
      <c r="MVP1599" s="55">
        <f t="shared" si="440"/>
        <v>0</v>
      </c>
      <c r="MVQ1599" s="55">
        <f t="shared" si="440"/>
        <v>0</v>
      </c>
      <c r="MVR1599" s="55">
        <f t="shared" si="440"/>
        <v>0</v>
      </c>
      <c r="MVS1599" s="55">
        <f t="shared" si="440"/>
        <v>0</v>
      </c>
      <c r="MVT1599" s="55">
        <f t="shared" si="440"/>
        <v>0</v>
      </c>
      <c r="MVU1599" s="55">
        <f t="shared" si="440"/>
        <v>0</v>
      </c>
      <c r="MVV1599" s="55">
        <f t="shared" si="440"/>
        <v>0</v>
      </c>
      <c r="MVW1599" s="55">
        <f t="shared" si="440"/>
        <v>0</v>
      </c>
      <c r="MVX1599" s="55">
        <f t="shared" si="440"/>
        <v>0</v>
      </c>
      <c r="MVY1599" s="55">
        <f t="shared" si="440"/>
        <v>0</v>
      </c>
      <c r="MVZ1599" s="55">
        <f t="shared" si="440"/>
        <v>0</v>
      </c>
      <c r="MWA1599" s="55">
        <f t="shared" si="440"/>
        <v>0</v>
      </c>
      <c r="MWB1599" s="55">
        <f t="shared" si="440"/>
        <v>0</v>
      </c>
      <c r="MWC1599" s="55">
        <f t="shared" si="440"/>
        <v>0</v>
      </c>
      <c r="MWD1599" s="55">
        <f t="shared" si="440"/>
        <v>0</v>
      </c>
      <c r="MWE1599" s="55">
        <f t="shared" si="440"/>
        <v>0</v>
      </c>
      <c r="MWF1599" s="55">
        <f t="shared" si="440"/>
        <v>0</v>
      </c>
      <c r="MWG1599" s="55">
        <f t="shared" si="440"/>
        <v>0</v>
      </c>
      <c r="MWH1599" s="55">
        <f t="shared" si="440"/>
        <v>0</v>
      </c>
      <c r="MWI1599" s="55">
        <f t="shared" si="440"/>
        <v>0</v>
      </c>
      <c r="MWJ1599" s="55">
        <f t="shared" si="440"/>
        <v>0</v>
      </c>
      <c r="MWK1599" s="55">
        <f t="shared" si="440"/>
        <v>0</v>
      </c>
      <c r="MWL1599" s="55">
        <f t="shared" si="440"/>
        <v>0</v>
      </c>
      <c r="MWM1599" s="55">
        <f t="shared" si="440"/>
        <v>0</v>
      </c>
      <c r="MWN1599" s="55">
        <f t="shared" si="440"/>
        <v>0</v>
      </c>
      <c r="MWO1599" s="55">
        <f t="shared" si="440"/>
        <v>0</v>
      </c>
      <c r="MWP1599" s="55">
        <f t="shared" si="440"/>
        <v>0</v>
      </c>
      <c r="MWQ1599" s="55">
        <f t="shared" si="440"/>
        <v>0</v>
      </c>
      <c r="MWR1599" s="55">
        <f t="shared" si="440"/>
        <v>0</v>
      </c>
      <c r="MWS1599" s="55">
        <f t="shared" si="440"/>
        <v>0</v>
      </c>
      <c r="MWT1599" s="55">
        <f t="shared" si="440"/>
        <v>0</v>
      </c>
      <c r="MWU1599" s="55">
        <f t="shared" si="440"/>
        <v>0</v>
      </c>
      <c r="MWV1599" s="55">
        <f t="shared" si="440"/>
        <v>0</v>
      </c>
      <c r="MWW1599" s="55">
        <f t="shared" si="440"/>
        <v>0</v>
      </c>
      <c r="MWX1599" s="55">
        <f t="shared" si="440"/>
        <v>0</v>
      </c>
      <c r="MWY1599" s="55">
        <f t="shared" si="440"/>
        <v>0</v>
      </c>
      <c r="MWZ1599" s="55">
        <f t="shared" si="440"/>
        <v>0</v>
      </c>
      <c r="MXA1599" s="55">
        <f t="shared" si="440"/>
        <v>0</v>
      </c>
      <c r="MXB1599" s="55">
        <f t="shared" si="440"/>
        <v>0</v>
      </c>
      <c r="MXC1599" s="55">
        <f t="shared" si="440"/>
        <v>0</v>
      </c>
      <c r="MXD1599" s="55">
        <f t="shared" si="440"/>
        <v>0</v>
      </c>
      <c r="MXE1599" s="55">
        <f t="shared" si="440"/>
        <v>0</v>
      </c>
      <c r="MXF1599" s="55">
        <f t="shared" si="440"/>
        <v>0</v>
      </c>
      <c r="MXG1599" s="55">
        <f t="shared" si="440"/>
        <v>0</v>
      </c>
      <c r="MXH1599" s="55">
        <f t="shared" ref="MXH1599:MZS1599" si="441">+(MXH1619+MXH1623)*1.18*1.1</f>
        <v>0</v>
      </c>
      <c r="MXI1599" s="55">
        <f t="shared" si="441"/>
        <v>0</v>
      </c>
      <c r="MXJ1599" s="55">
        <f t="shared" si="441"/>
        <v>0</v>
      </c>
      <c r="MXK1599" s="55">
        <f t="shared" si="441"/>
        <v>0</v>
      </c>
      <c r="MXL1599" s="55">
        <f t="shared" si="441"/>
        <v>0</v>
      </c>
      <c r="MXM1599" s="55">
        <f t="shared" si="441"/>
        <v>0</v>
      </c>
      <c r="MXN1599" s="55">
        <f t="shared" si="441"/>
        <v>0</v>
      </c>
      <c r="MXO1599" s="55">
        <f t="shared" si="441"/>
        <v>0</v>
      </c>
      <c r="MXP1599" s="55">
        <f t="shared" si="441"/>
        <v>0</v>
      </c>
      <c r="MXQ1599" s="55">
        <f t="shared" si="441"/>
        <v>0</v>
      </c>
      <c r="MXR1599" s="55">
        <f t="shared" si="441"/>
        <v>0</v>
      </c>
      <c r="MXS1599" s="55">
        <f t="shared" si="441"/>
        <v>0</v>
      </c>
      <c r="MXT1599" s="55">
        <f t="shared" si="441"/>
        <v>0</v>
      </c>
      <c r="MXU1599" s="55">
        <f t="shared" si="441"/>
        <v>0</v>
      </c>
      <c r="MXV1599" s="55">
        <f t="shared" si="441"/>
        <v>0</v>
      </c>
      <c r="MXW1599" s="55">
        <f t="shared" si="441"/>
        <v>0</v>
      </c>
      <c r="MXX1599" s="55">
        <f t="shared" si="441"/>
        <v>0</v>
      </c>
      <c r="MXY1599" s="55">
        <f t="shared" si="441"/>
        <v>0</v>
      </c>
      <c r="MXZ1599" s="55">
        <f t="shared" si="441"/>
        <v>0</v>
      </c>
      <c r="MYA1599" s="55">
        <f t="shared" si="441"/>
        <v>0</v>
      </c>
      <c r="MYB1599" s="55">
        <f t="shared" si="441"/>
        <v>0</v>
      </c>
      <c r="MYC1599" s="55">
        <f t="shared" si="441"/>
        <v>0</v>
      </c>
      <c r="MYD1599" s="55">
        <f t="shared" si="441"/>
        <v>0</v>
      </c>
      <c r="MYE1599" s="55">
        <f t="shared" si="441"/>
        <v>0</v>
      </c>
      <c r="MYF1599" s="55">
        <f t="shared" si="441"/>
        <v>0</v>
      </c>
      <c r="MYG1599" s="55">
        <f t="shared" si="441"/>
        <v>0</v>
      </c>
      <c r="MYH1599" s="55">
        <f t="shared" si="441"/>
        <v>0</v>
      </c>
      <c r="MYI1599" s="55">
        <f t="shared" si="441"/>
        <v>0</v>
      </c>
      <c r="MYJ1599" s="55">
        <f t="shared" si="441"/>
        <v>0</v>
      </c>
      <c r="MYK1599" s="55">
        <f t="shared" si="441"/>
        <v>0</v>
      </c>
      <c r="MYL1599" s="55">
        <f t="shared" si="441"/>
        <v>0</v>
      </c>
      <c r="MYM1599" s="55">
        <f t="shared" si="441"/>
        <v>0</v>
      </c>
      <c r="MYN1599" s="55">
        <f t="shared" si="441"/>
        <v>0</v>
      </c>
      <c r="MYO1599" s="55">
        <f t="shared" si="441"/>
        <v>0</v>
      </c>
      <c r="MYP1599" s="55">
        <f t="shared" si="441"/>
        <v>0</v>
      </c>
      <c r="MYQ1599" s="55">
        <f t="shared" si="441"/>
        <v>0</v>
      </c>
      <c r="MYR1599" s="55">
        <f t="shared" si="441"/>
        <v>0</v>
      </c>
      <c r="MYS1599" s="55">
        <f t="shared" si="441"/>
        <v>0</v>
      </c>
      <c r="MYT1599" s="55">
        <f t="shared" si="441"/>
        <v>0</v>
      </c>
      <c r="MYU1599" s="55">
        <f t="shared" si="441"/>
        <v>0</v>
      </c>
      <c r="MYV1599" s="55">
        <f t="shared" si="441"/>
        <v>0</v>
      </c>
      <c r="MYW1599" s="55">
        <f t="shared" si="441"/>
        <v>0</v>
      </c>
      <c r="MYX1599" s="55">
        <f t="shared" si="441"/>
        <v>0</v>
      </c>
      <c r="MYY1599" s="55">
        <f t="shared" si="441"/>
        <v>0</v>
      </c>
      <c r="MYZ1599" s="55">
        <f t="shared" si="441"/>
        <v>0</v>
      </c>
      <c r="MZA1599" s="55">
        <f t="shared" si="441"/>
        <v>0</v>
      </c>
      <c r="MZB1599" s="55">
        <f t="shared" si="441"/>
        <v>0</v>
      </c>
      <c r="MZC1599" s="55">
        <f t="shared" si="441"/>
        <v>0</v>
      </c>
      <c r="MZD1599" s="55">
        <f t="shared" si="441"/>
        <v>0</v>
      </c>
      <c r="MZE1599" s="55">
        <f t="shared" si="441"/>
        <v>0</v>
      </c>
      <c r="MZF1599" s="55">
        <f t="shared" si="441"/>
        <v>0</v>
      </c>
      <c r="MZG1599" s="55">
        <f t="shared" si="441"/>
        <v>0</v>
      </c>
      <c r="MZH1599" s="55">
        <f t="shared" si="441"/>
        <v>0</v>
      </c>
      <c r="MZI1599" s="55">
        <f t="shared" si="441"/>
        <v>0</v>
      </c>
      <c r="MZJ1599" s="55">
        <f t="shared" si="441"/>
        <v>0</v>
      </c>
      <c r="MZK1599" s="55">
        <f t="shared" si="441"/>
        <v>0</v>
      </c>
      <c r="MZL1599" s="55">
        <f t="shared" si="441"/>
        <v>0</v>
      </c>
      <c r="MZM1599" s="55">
        <f t="shared" si="441"/>
        <v>0</v>
      </c>
      <c r="MZN1599" s="55">
        <f t="shared" si="441"/>
        <v>0</v>
      </c>
      <c r="MZO1599" s="55">
        <f t="shared" si="441"/>
        <v>0</v>
      </c>
      <c r="MZP1599" s="55">
        <f t="shared" si="441"/>
        <v>0</v>
      </c>
      <c r="MZQ1599" s="55">
        <f t="shared" si="441"/>
        <v>0</v>
      </c>
      <c r="MZR1599" s="55">
        <f t="shared" si="441"/>
        <v>0</v>
      </c>
      <c r="MZS1599" s="55">
        <f t="shared" si="441"/>
        <v>0</v>
      </c>
      <c r="MZT1599" s="55">
        <f t="shared" ref="MZT1599:NCE1599" si="442">+(MZT1619+MZT1623)*1.18*1.1</f>
        <v>0</v>
      </c>
      <c r="MZU1599" s="55">
        <f t="shared" si="442"/>
        <v>0</v>
      </c>
      <c r="MZV1599" s="55">
        <f t="shared" si="442"/>
        <v>0</v>
      </c>
      <c r="MZW1599" s="55">
        <f t="shared" si="442"/>
        <v>0</v>
      </c>
      <c r="MZX1599" s="55">
        <f t="shared" si="442"/>
        <v>0</v>
      </c>
      <c r="MZY1599" s="55">
        <f t="shared" si="442"/>
        <v>0</v>
      </c>
      <c r="MZZ1599" s="55">
        <f t="shared" si="442"/>
        <v>0</v>
      </c>
      <c r="NAA1599" s="55">
        <f t="shared" si="442"/>
        <v>0</v>
      </c>
      <c r="NAB1599" s="55">
        <f t="shared" si="442"/>
        <v>0</v>
      </c>
      <c r="NAC1599" s="55">
        <f t="shared" si="442"/>
        <v>0</v>
      </c>
      <c r="NAD1599" s="55">
        <f t="shared" si="442"/>
        <v>0</v>
      </c>
      <c r="NAE1599" s="55">
        <f t="shared" si="442"/>
        <v>0</v>
      </c>
      <c r="NAF1599" s="55">
        <f t="shared" si="442"/>
        <v>0</v>
      </c>
      <c r="NAG1599" s="55">
        <f t="shared" si="442"/>
        <v>0</v>
      </c>
      <c r="NAH1599" s="55">
        <f t="shared" si="442"/>
        <v>0</v>
      </c>
      <c r="NAI1599" s="55">
        <f t="shared" si="442"/>
        <v>0</v>
      </c>
      <c r="NAJ1599" s="55">
        <f t="shared" si="442"/>
        <v>0</v>
      </c>
      <c r="NAK1599" s="55">
        <f t="shared" si="442"/>
        <v>0</v>
      </c>
      <c r="NAL1599" s="55">
        <f t="shared" si="442"/>
        <v>0</v>
      </c>
      <c r="NAM1599" s="55">
        <f t="shared" si="442"/>
        <v>0</v>
      </c>
      <c r="NAN1599" s="55">
        <f t="shared" si="442"/>
        <v>0</v>
      </c>
      <c r="NAO1599" s="55">
        <f t="shared" si="442"/>
        <v>0</v>
      </c>
      <c r="NAP1599" s="55">
        <f t="shared" si="442"/>
        <v>0</v>
      </c>
      <c r="NAQ1599" s="55">
        <f t="shared" si="442"/>
        <v>0</v>
      </c>
      <c r="NAR1599" s="55">
        <f t="shared" si="442"/>
        <v>0</v>
      </c>
      <c r="NAS1599" s="55">
        <f t="shared" si="442"/>
        <v>0</v>
      </c>
      <c r="NAT1599" s="55">
        <f t="shared" si="442"/>
        <v>0</v>
      </c>
      <c r="NAU1599" s="55">
        <f t="shared" si="442"/>
        <v>0</v>
      </c>
      <c r="NAV1599" s="55">
        <f t="shared" si="442"/>
        <v>0</v>
      </c>
      <c r="NAW1599" s="55">
        <f t="shared" si="442"/>
        <v>0</v>
      </c>
      <c r="NAX1599" s="55">
        <f t="shared" si="442"/>
        <v>0</v>
      </c>
      <c r="NAY1599" s="55">
        <f t="shared" si="442"/>
        <v>0</v>
      </c>
      <c r="NAZ1599" s="55">
        <f t="shared" si="442"/>
        <v>0</v>
      </c>
      <c r="NBA1599" s="55">
        <f t="shared" si="442"/>
        <v>0</v>
      </c>
      <c r="NBB1599" s="55">
        <f t="shared" si="442"/>
        <v>0</v>
      </c>
      <c r="NBC1599" s="55">
        <f t="shared" si="442"/>
        <v>0</v>
      </c>
      <c r="NBD1599" s="55">
        <f t="shared" si="442"/>
        <v>0</v>
      </c>
      <c r="NBE1599" s="55">
        <f t="shared" si="442"/>
        <v>0</v>
      </c>
      <c r="NBF1599" s="55">
        <f t="shared" si="442"/>
        <v>0</v>
      </c>
      <c r="NBG1599" s="55">
        <f t="shared" si="442"/>
        <v>0</v>
      </c>
      <c r="NBH1599" s="55">
        <f t="shared" si="442"/>
        <v>0</v>
      </c>
      <c r="NBI1599" s="55">
        <f t="shared" si="442"/>
        <v>0</v>
      </c>
      <c r="NBJ1599" s="55">
        <f t="shared" si="442"/>
        <v>0</v>
      </c>
      <c r="NBK1599" s="55">
        <f t="shared" si="442"/>
        <v>0</v>
      </c>
      <c r="NBL1599" s="55">
        <f t="shared" si="442"/>
        <v>0</v>
      </c>
      <c r="NBM1599" s="55">
        <f t="shared" si="442"/>
        <v>0</v>
      </c>
      <c r="NBN1599" s="55">
        <f t="shared" si="442"/>
        <v>0</v>
      </c>
      <c r="NBO1599" s="55">
        <f t="shared" si="442"/>
        <v>0</v>
      </c>
      <c r="NBP1599" s="55">
        <f t="shared" si="442"/>
        <v>0</v>
      </c>
      <c r="NBQ1599" s="55">
        <f t="shared" si="442"/>
        <v>0</v>
      </c>
      <c r="NBR1599" s="55">
        <f t="shared" si="442"/>
        <v>0</v>
      </c>
      <c r="NBS1599" s="55">
        <f t="shared" si="442"/>
        <v>0</v>
      </c>
      <c r="NBT1599" s="55">
        <f t="shared" si="442"/>
        <v>0</v>
      </c>
      <c r="NBU1599" s="55">
        <f t="shared" si="442"/>
        <v>0</v>
      </c>
      <c r="NBV1599" s="55">
        <f t="shared" si="442"/>
        <v>0</v>
      </c>
      <c r="NBW1599" s="55">
        <f t="shared" si="442"/>
        <v>0</v>
      </c>
      <c r="NBX1599" s="55">
        <f t="shared" si="442"/>
        <v>0</v>
      </c>
      <c r="NBY1599" s="55">
        <f t="shared" si="442"/>
        <v>0</v>
      </c>
      <c r="NBZ1599" s="55">
        <f t="shared" si="442"/>
        <v>0</v>
      </c>
      <c r="NCA1599" s="55">
        <f t="shared" si="442"/>
        <v>0</v>
      </c>
      <c r="NCB1599" s="55">
        <f t="shared" si="442"/>
        <v>0</v>
      </c>
      <c r="NCC1599" s="55">
        <f t="shared" si="442"/>
        <v>0</v>
      </c>
      <c r="NCD1599" s="55">
        <f t="shared" si="442"/>
        <v>0</v>
      </c>
      <c r="NCE1599" s="55">
        <f t="shared" si="442"/>
        <v>0</v>
      </c>
      <c r="NCF1599" s="55">
        <f t="shared" ref="NCF1599:NEQ1599" si="443">+(NCF1619+NCF1623)*1.18*1.1</f>
        <v>0</v>
      </c>
      <c r="NCG1599" s="55">
        <f t="shared" si="443"/>
        <v>0</v>
      </c>
      <c r="NCH1599" s="55">
        <f t="shared" si="443"/>
        <v>0</v>
      </c>
      <c r="NCI1599" s="55">
        <f t="shared" si="443"/>
        <v>0</v>
      </c>
      <c r="NCJ1599" s="55">
        <f t="shared" si="443"/>
        <v>0</v>
      </c>
      <c r="NCK1599" s="55">
        <f t="shared" si="443"/>
        <v>0</v>
      </c>
      <c r="NCL1599" s="55">
        <f t="shared" si="443"/>
        <v>0</v>
      </c>
      <c r="NCM1599" s="55">
        <f t="shared" si="443"/>
        <v>0</v>
      </c>
      <c r="NCN1599" s="55">
        <f t="shared" si="443"/>
        <v>0</v>
      </c>
      <c r="NCO1599" s="55">
        <f t="shared" si="443"/>
        <v>0</v>
      </c>
      <c r="NCP1599" s="55">
        <f t="shared" si="443"/>
        <v>0</v>
      </c>
      <c r="NCQ1599" s="55">
        <f t="shared" si="443"/>
        <v>0</v>
      </c>
      <c r="NCR1599" s="55">
        <f t="shared" si="443"/>
        <v>0</v>
      </c>
      <c r="NCS1599" s="55">
        <f t="shared" si="443"/>
        <v>0</v>
      </c>
      <c r="NCT1599" s="55">
        <f t="shared" si="443"/>
        <v>0</v>
      </c>
      <c r="NCU1599" s="55">
        <f t="shared" si="443"/>
        <v>0</v>
      </c>
      <c r="NCV1599" s="55">
        <f t="shared" si="443"/>
        <v>0</v>
      </c>
      <c r="NCW1599" s="55">
        <f t="shared" si="443"/>
        <v>0</v>
      </c>
      <c r="NCX1599" s="55">
        <f t="shared" si="443"/>
        <v>0</v>
      </c>
      <c r="NCY1599" s="55">
        <f t="shared" si="443"/>
        <v>0</v>
      </c>
      <c r="NCZ1599" s="55">
        <f t="shared" si="443"/>
        <v>0</v>
      </c>
      <c r="NDA1599" s="55">
        <f t="shared" si="443"/>
        <v>0</v>
      </c>
      <c r="NDB1599" s="55">
        <f t="shared" si="443"/>
        <v>0</v>
      </c>
      <c r="NDC1599" s="55">
        <f t="shared" si="443"/>
        <v>0</v>
      </c>
      <c r="NDD1599" s="55">
        <f t="shared" si="443"/>
        <v>0</v>
      </c>
      <c r="NDE1599" s="55">
        <f t="shared" si="443"/>
        <v>0</v>
      </c>
      <c r="NDF1599" s="55">
        <f t="shared" si="443"/>
        <v>0</v>
      </c>
      <c r="NDG1599" s="55">
        <f t="shared" si="443"/>
        <v>0</v>
      </c>
      <c r="NDH1599" s="55">
        <f t="shared" si="443"/>
        <v>0</v>
      </c>
      <c r="NDI1599" s="55">
        <f t="shared" si="443"/>
        <v>0</v>
      </c>
      <c r="NDJ1599" s="55">
        <f t="shared" si="443"/>
        <v>0</v>
      </c>
      <c r="NDK1599" s="55">
        <f t="shared" si="443"/>
        <v>0</v>
      </c>
      <c r="NDL1599" s="55">
        <f t="shared" si="443"/>
        <v>0</v>
      </c>
      <c r="NDM1599" s="55">
        <f t="shared" si="443"/>
        <v>0</v>
      </c>
      <c r="NDN1599" s="55">
        <f t="shared" si="443"/>
        <v>0</v>
      </c>
      <c r="NDO1599" s="55">
        <f t="shared" si="443"/>
        <v>0</v>
      </c>
      <c r="NDP1599" s="55">
        <f t="shared" si="443"/>
        <v>0</v>
      </c>
      <c r="NDQ1599" s="55">
        <f t="shared" si="443"/>
        <v>0</v>
      </c>
      <c r="NDR1599" s="55">
        <f t="shared" si="443"/>
        <v>0</v>
      </c>
      <c r="NDS1599" s="55">
        <f t="shared" si="443"/>
        <v>0</v>
      </c>
      <c r="NDT1599" s="55">
        <f t="shared" si="443"/>
        <v>0</v>
      </c>
      <c r="NDU1599" s="55">
        <f t="shared" si="443"/>
        <v>0</v>
      </c>
      <c r="NDV1599" s="55">
        <f t="shared" si="443"/>
        <v>0</v>
      </c>
      <c r="NDW1599" s="55">
        <f t="shared" si="443"/>
        <v>0</v>
      </c>
      <c r="NDX1599" s="55">
        <f t="shared" si="443"/>
        <v>0</v>
      </c>
      <c r="NDY1599" s="55">
        <f t="shared" si="443"/>
        <v>0</v>
      </c>
      <c r="NDZ1599" s="55">
        <f t="shared" si="443"/>
        <v>0</v>
      </c>
      <c r="NEA1599" s="55">
        <f t="shared" si="443"/>
        <v>0</v>
      </c>
      <c r="NEB1599" s="55">
        <f t="shared" si="443"/>
        <v>0</v>
      </c>
      <c r="NEC1599" s="55">
        <f t="shared" si="443"/>
        <v>0</v>
      </c>
      <c r="NED1599" s="55">
        <f t="shared" si="443"/>
        <v>0</v>
      </c>
      <c r="NEE1599" s="55">
        <f t="shared" si="443"/>
        <v>0</v>
      </c>
      <c r="NEF1599" s="55">
        <f t="shared" si="443"/>
        <v>0</v>
      </c>
      <c r="NEG1599" s="55">
        <f t="shared" si="443"/>
        <v>0</v>
      </c>
      <c r="NEH1599" s="55">
        <f t="shared" si="443"/>
        <v>0</v>
      </c>
      <c r="NEI1599" s="55">
        <f t="shared" si="443"/>
        <v>0</v>
      </c>
      <c r="NEJ1599" s="55">
        <f t="shared" si="443"/>
        <v>0</v>
      </c>
      <c r="NEK1599" s="55">
        <f t="shared" si="443"/>
        <v>0</v>
      </c>
      <c r="NEL1599" s="55">
        <f t="shared" si="443"/>
        <v>0</v>
      </c>
      <c r="NEM1599" s="55">
        <f t="shared" si="443"/>
        <v>0</v>
      </c>
      <c r="NEN1599" s="55">
        <f t="shared" si="443"/>
        <v>0</v>
      </c>
      <c r="NEO1599" s="55">
        <f t="shared" si="443"/>
        <v>0</v>
      </c>
      <c r="NEP1599" s="55">
        <f t="shared" si="443"/>
        <v>0</v>
      </c>
      <c r="NEQ1599" s="55">
        <f t="shared" si="443"/>
        <v>0</v>
      </c>
      <c r="NER1599" s="55">
        <f t="shared" ref="NER1599:NHC1599" si="444">+(NER1619+NER1623)*1.18*1.1</f>
        <v>0</v>
      </c>
      <c r="NES1599" s="55">
        <f t="shared" si="444"/>
        <v>0</v>
      </c>
      <c r="NET1599" s="55">
        <f t="shared" si="444"/>
        <v>0</v>
      </c>
      <c r="NEU1599" s="55">
        <f t="shared" si="444"/>
        <v>0</v>
      </c>
      <c r="NEV1599" s="55">
        <f t="shared" si="444"/>
        <v>0</v>
      </c>
      <c r="NEW1599" s="55">
        <f t="shared" si="444"/>
        <v>0</v>
      </c>
      <c r="NEX1599" s="55">
        <f t="shared" si="444"/>
        <v>0</v>
      </c>
      <c r="NEY1599" s="55">
        <f t="shared" si="444"/>
        <v>0</v>
      </c>
      <c r="NEZ1599" s="55">
        <f t="shared" si="444"/>
        <v>0</v>
      </c>
      <c r="NFA1599" s="55">
        <f t="shared" si="444"/>
        <v>0</v>
      </c>
      <c r="NFB1599" s="55">
        <f t="shared" si="444"/>
        <v>0</v>
      </c>
      <c r="NFC1599" s="55">
        <f t="shared" si="444"/>
        <v>0</v>
      </c>
      <c r="NFD1599" s="55">
        <f t="shared" si="444"/>
        <v>0</v>
      </c>
      <c r="NFE1599" s="55">
        <f t="shared" si="444"/>
        <v>0</v>
      </c>
      <c r="NFF1599" s="55">
        <f t="shared" si="444"/>
        <v>0</v>
      </c>
      <c r="NFG1599" s="55">
        <f t="shared" si="444"/>
        <v>0</v>
      </c>
      <c r="NFH1599" s="55">
        <f t="shared" si="444"/>
        <v>0</v>
      </c>
      <c r="NFI1599" s="55">
        <f t="shared" si="444"/>
        <v>0</v>
      </c>
      <c r="NFJ1599" s="55">
        <f t="shared" si="444"/>
        <v>0</v>
      </c>
      <c r="NFK1599" s="55">
        <f t="shared" si="444"/>
        <v>0</v>
      </c>
      <c r="NFL1599" s="55">
        <f t="shared" si="444"/>
        <v>0</v>
      </c>
      <c r="NFM1599" s="55">
        <f t="shared" si="444"/>
        <v>0</v>
      </c>
      <c r="NFN1599" s="55">
        <f t="shared" si="444"/>
        <v>0</v>
      </c>
      <c r="NFO1599" s="55">
        <f t="shared" si="444"/>
        <v>0</v>
      </c>
      <c r="NFP1599" s="55">
        <f t="shared" si="444"/>
        <v>0</v>
      </c>
      <c r="NFQ1599" s="55">
        <f t="shared" si="444"/>
        <v>0</v>
      </c>
      <c r="NFR1599" s="55">
        <f t="shared" si="444"/>
        <v>0</v>
      </c>
      <c r="NFS1599" s="55">
        <f t="shared" si="444"/>
        <v>0</v>
      </c>
      <c r="NFT1599" s="55">
        <f t="shared" si="444"/>
        <v>0</v>
      </c>
      <c r="NFU1599" s="55">
        <f t="shared" si="444"/>
        <v>0</v>
      </c>
      <c r="NFV1599" s="55">
        <f t="shared" si="444"/>
        <v>0</v>
      </c>
      <c r="NFW1599" s="55">
        <f t="shared" si="444"/>
        <v>0</v>
      </c>
      <c r="NFX1599" s="55">
        <f t="shared" si="444"/>
        <v>0</v>
      </c>
      <c r="NFY1599" s="55">
        <f t="shared" si="444"/>
        <v>0</v>
      </c>
      <c r="NFZ1599" s="55">
        <f t="shared" si="444"/>
        <v>0</v>
      </c>
      <c r="NGA1599" s="55">
        <f t="shared" si="444"/>
        <v>0</v>
      </c>
      <c r="NGB1599" s="55">
        <f t="shared" si="444"/>
        <v>0</v>
      </c>
      <c r="NGC1599" s="55">
        <f t="shared" si="444"/>
        <v>0</v>
      </c>
      <c r="NGD1599" s="55">
        <f t="shared" si="444"/>
        <v>0</v>
      </c>
      <c r="NGE1599" s="55">
        <f t="shared" si="444"/>
        <v>0</v>
      </c>
      <c r="NGF1599" s="55">
        <f t="shared" si="444"/>
        <v>0</v>
      </c>
      <c r="NGG1599" s="55">
        <f t="shared" si="444"/>
        <v>0</v>
      </c>
      <c r="NGH1599" s="55">
        <f t="shared" si="444"/>
        <v>0</v>
      </c>
      <c r="NGI1599" s="55">
        <f t="shared" si="444"/>
        <v>0</v>
      </c>
      <c r="NGJ1599" s="55">
        <f t="shared" si="444"/>
        <v>0</v>
      </c>
      <c r="NGK1599" s="55">
        <f t="shared" si="444"/>
        <v>0</v>
      </c>
      <c r="NGL1599" s="55">
        <f t="shared" si="444"/>
        <v>0</v>
      </c>
      <c r="NGM1599" s="55">
        <f t="shared" si="444"/>
        <v>0</v>
      </c>
      <c r="NGN1599" s="55">
        <f t="shared" si="444"/>
        <v>0</v>
      </c>
      <c r="NGO1599" s="55">
        <f t="shared" si="444"/>
        <v>0</v>
      </c>
      <c r="NGP1599" s="55">
        <f t="shared" si="444"/>
        <v>0</v>
      </c>
      <c r="NGQ1599" s="55">
        <f t="shared" si="444"/>
        <v>0</v>
      </c>
      <c r="NGR1599" s="55">
        <f t="shared" si="444"/>
        <v>0</v>
      </c>
      <c r="NGS1599" s="55">
        <f t="shared" si="444"/>
        <v>0</v>
      </c>
      <c r="NGT1599" s="55">
        <f t="shared" si="444"/>
        <v>0</v>
      </c>
      <c r="NGU1599" s="55">
        <f t="shared" si="444"/>
        <v>0</v>
      </c>
      <c r="NGV1599" s="55">
        <f t="shared" si="444"/>
        <v>0</v>
      </c>
      <c r="NGW1599" s="55">
        <f t="shared" si="444"/>
        <v>0</v>
      </c>
      <c r="NGX1599" s="55">
        <f t="shared" si="444"/>
        <v>0</v>
      </c>
      <c r="NGY1599" s="55">
        <f t="shared" si="444"/>
        <v>0</v>
      </c>
      <c r="NGZ1599" s="55">
        <f t="shared" si="444"/>
        <v>0</v>
      </c>
      <c r="NHA1599" s="55">
        <f t="shared" si="444"/>
        <v>0</v>
      </c>
      <c r="NHB1599" s="55">
        <f t="shared" si="444"/>
        <v>0</v>
      </c>
      <c r="NHC1599" s="55">
        <f t="shared" si="444"/>
        <v>0</v>
      </c>
      <c r="NHD1599" s="55">
        <f t="shared" ref="NHD1599:NJO1599" si="445">+(NHD1619+NHD1623)*1.18*1.1</f>
        <v>0</v>
      </c>
      <c r="NHE1599" s="55">
        <f t="shared" si="445"/>
        <v>0</v>
      </c>
      <c r="NHF1599" s="55">
        <f t="shared" si="445"/>
        <v>0</v>
      </c>
      <c r="NHG1599" s="55">
        <f t="shared" si="445"/>
        <v>0</v>
      </c>
      <c r="NHH1599" s="55">
        <f t="shared" si="445"/>
        <v>0</v>
      </c>
      <c r="NHI1599" s="55">
        <f t="shared" si="445"/>
        <v>0</v>
      </c>
      <c r="NHJ1599" s="55">
        <f t="shared" si="445"/>
        <v>0</v>
      </c>
      <c r="NHK1599" s="55">
        <f t="shared" si="445"/>
        <v>0</v>
      </c>
      <c r="NHL1599" s="55">
        <f t="shared" si="445"/>
        <v>0</v>
      </c>
      <c r="NHM1599" s="55">
        <f t="shared" si="445"/>
        <v>0</v>
      </c>
      <c r="NHN1599" s="55">
        <f t="shared" si="445"/>
        <v>0</v>
      </c>
      <c r="NHO1599" s="55">
        <f t="shared" si="445"/>
        <v>0</v>
      </c>
      <c r="NHP1599" s="55">
        <f t="shared" si="445"/>
        <v>0</v>
      </c>
      <c r="NHQ1599" s="55">
        <f t="shared" si="445"/>
        <v>0</v>
      </c>
      <c r="NHR1599" s="55">
        <f t="shared" si="445"/>
        <v>0</v>
      </c>
      <c r="NHS1599" s="55">
        <f t="shared" si="445"/>
        <v>0</v>
      </c>
      <c r="NHT1599" s="55">
        <f t="shared" si="445"/>
        <v>0</v>
      </c>
      <c r="NHU1599" s="55">
        <f t="shared" si="445"/>
        <v>0</v>
      </c>
      <c r="NHV1599" s="55">
        <f t="shared" si="445"/>
        <v>0</v>
      </c>
      <c r="NHW1599" s="55">
        <f t="shared" si="445"/>
        <v>0</v>
      </c>
      <c r="NHX1599" s="55">
        <f t="shared" si="445"/>
        <v>0</v>
      </c>
      <c r="NHY1599" s="55">
        <f t="shared" si="445"/>
        <v>0</v>
      </c>
      <c r="NHZ1599" s="55">
        <f t="shared" si="445"/>
        <v>0</v>
      </c>
      <c r="NIA1599" s="55">
        <f t="shared" si="445"/>
        <v>0</v>
      </c>
      <c r="NIB1599" s="55">
        <f t="shared" si="445"/>
        <v>0</v>
      </c>
      <c r="NIC1599" s="55">
        <f t="shared" si="445"/>
        <v>0</v>
      </c>
      <c r="NID1599" s="55">
        <f t="shared" si="445"/>
        <v>0</v>
      </c>
      <c r="NIE1599" s="55">
        <f t="shared" si="445"/>
        <v>0</v>
      </c>
      <c r="NIF1599" s="55">
        <f t="shared" si="445"/>
        <v>0</v>
      </c>
      <c r="NIG1599" s="55">
        <f t="shared" si="445"/>
        <v>0</v>
      </c>
      <c r="NIH1599" s="55">
        <f t="shared" si="445"/>
        <v>0</v>
      </c>
      <c r="NII1599" s="55">
        <f t="shared" si="445"/>
        <v>0</v>
      </c>
      <c r="NIJ1599" s="55">
        <f t="shared" si="445"/>
        <v>0</v>
      </c>
      <c r="NIK1599" s="55">
        <f t="shared" si="445"/>
        <v>0</v>
      </c>
      <c r="NIL1599" s="55">
        <f t="shared" si="445"/>
        <v>0</v>
      </c>
      <c r="NIM1599" s="55">
        <f t="shared" si="445"/>
        <v>0</v>
      </c>
      <c r="NIN1599" s="55">
        <f t="shared" si="445"/>
        <v>0</v>
      </c>
      <c r="NIO1599" s="55">
        <f t="shared" si="445"/>
        <v>0</v>
      </c>
      <c r="NIP1599" s="55">
        <f t="shared" si="445"/>
        <v>0</v>
      </c>
      <c r="NIQ1599" s="55">
        <f t="shared" si="445"/>
        <v>0</v>
      </c>
      <c r="NIR1599" s="55">
        <f t="shared" si="445"/>
        <v>0</v>
      </c>
      <c r="NIS1599" s="55">
        <f t="shared" si="445"/>
        <v>0</v>
      </c>
      <c r="NIT1599" s="55">
        <f t="shared" si="445"/>
        <v>0</v>
      </c>
      <c r="NIU1599" s="55">
        <f t="shared" si="445"/>
        <v>0</v>
      </c>
      <c r="NIV1599" s="55">
        <f t="shared" si="445"/>
        <v>0</v>
      </c>
      <c r="NIW1599" s="55">
        <f t="shared" si="445"/>
        <v>0</v>
      </c>
      <c r="NIX1599" s="55">
        <f t="shared" si="445"/>
        <v>0</v>
      </c>
      <c r="NIY1599" s="55">
        <f t="shared" si="445"/>
        <v>0</v>
      </c>
      <c r="NIZ1599" s="55">
        <f t="shared" si="445"/>
        <v>0</v>
      </c>
      <c r="NJA1599" s="55">
        <f t="shared" si="445"/>
        <v>0</v>
      </c>
      <c r="NJB1599" s="55">
        <f t="shared" si="445"/>
        <v>0</v>
      </c>
      <c r="NJC1599" s="55">
        <f t="shared" si="445"/>
        <v>0</v>
      </c>
      <c r="NJD1599" s="55">
        <f t="shared" si="445"/>
        <v>0</v>
      </c>
      <c r="NJE1599" s="55">
        <f t="shared" si="445"/>
        <v>0</v>
      </c>
      <c r="NJF1599" s="55">
        <f t="shared" si="445"/>
        <v>0</v>
      </c>
      <c r="NJG1599" s="55">
        <f t="shared" si="445"/>
        <v>0</v>
      </c>
      <c r="NJH1599" s="55">
        <f t="shared" si="445"/>
        <v>0</v>
      </c>
      <c r="NJI1599" s="55">
        <f t="shared" si="445"/>
        <v>0</v>
      </c>
      <c r="NJJ1599" s="55">
        <f t="shared" si="445"/>
        <v>0</v>
      </c>
      <c r="NJK1599" s="55">
        <f t="shared" si="445"/>
        <v>0</v>
      </c>
      <c r="NJL1599" s="55">
        <f t="shared" si="445"/>
        <v>0</v>
      </c>
      <c r="NJM1599" s="55">
        <f t="shared" si="445"/>
        <v>0</v>
      </c>
      <c r="NJN1599" s="55">
        <f t="shared" si="445"/>
        <v>0</v>
      </c>
      <c r="NJO1599" s="55">
        <f t="shared" si="445"/>
        <v>0</v>
      </c>
      <c r="NJP1599" s="55">
        <f t="shared" ref="NJP1599:NMA1599" si="446">+(NJP1619+NJP1623)*1.18*1.1</f>
        <v>0</v>
      </c>
      <c r="NJQ1599" s="55">
        <f t="shared" si="446"/>
        <v>0</v>
      </c>
      <c r="NJR1599" s="55">
        <f t="shared" si="446"/>
        <v>0</v>
      </c>
      <c r="NJS1599" s="55">
        <f t="shared" si="446"/>
        <v>0</v>
      </c>
      <c r="NJT1599" s="55">
        <f t="shared" si="446"/>
        <v>0</v>
      </c>
      <c r="NJU1599" s="55">
        <f t="shared" si="446"/>
        <v>0</v>
      </c>
      <c r="NJV1599" s="55">
        <f t="shared" si="446"/>
        <v>0</v>
      </c>
      <c r="NJW1599" s="55">
        <f t="shared" si="446"/>
        <v>0</v>
      </c>
      <c r="NJX1599" s="55">
        <f t="shared" si="446"/>
        <v>0</v>
      </c>
      <c r="NJY1599" s="55">
        <f t="shared" si="446"/>
        <v>0</v>
      </c>
      <c r="NJZ1599" s="55">
        <f t="shared" si="446"/>
        <v>0</v>
      </c>
      <c r="NKA1599" s="55">
        <f t="shared" si="446"/>
        <v>0</v>
      </c>
      <c r="NKB1599" s="55">
        <f t="shared" si="446"/>
        <v>0</v>
      </c>
      <c r="NKC1599" s="55">
        <f t="shared" si="446"/>
        <v>0</v>
      </c>
      <c r="NKD1599" s="55">
        <f t="shared" si="446"/>
        <v>0</v>
      </c>
      <c r="NKE1599" s="55">
        <f t="shared" si="446"/>
        <v>0</v>
      </c>
      <c r="NKF1599" s="55">
        <f t="shared" si="446"/>
        <v>0</v>
      </c>
      <c r="NKG1599" s="55">
        <f t="shared" si="446"/>
        <v>0</v>
      </c>
      <c r="NKH1599" s="55">
        <f t="shared" si="446"/>
        <v>0</v>
      </c>
      <c r="NKI1599" s="55">
        <f t="shared" si="446"/>
        <v>0</v>
      </c>
      <c r="NKJ1599" s="55">
        <f t="shared" si="446"/>
        <v>0</v>
      </c>
      <c r="NKK1599" s="55">
        <f t="shared" si="446"/>
        <v>0</v>
      </c>
      <c r="NKL1599" s="55">
        <f t="shared" si="446"/>
        <v>0</v>
      </c>
      <c r="NKM1599" s="55">
        <f t="shared" si="446"/>
        <v>0</v>
      </c>
      <c r="NKN1599" s="55">
        <f t="shared" si="446"/>
        <v>0</v>
      </c>
      <c r="NKO1599" s="55">
        <f t="shared" si="446"/>
        <v>0</v>
      </c>
      <c r="NKP1599" s="55">
        <f t="shared" si="446"/>
        <v>0</v>
      </c>
      <c r="NKQ1599" s="55">
        <f t="shared" si="446"/>
        <v>0</v>
      </c>
      <c r="NKR1599" s="55">
        <f t="shared" si="446"/>
        <v>0</v>
      </c>
      <c r="NKS1599" s="55">
        <f t="shared" si="446"/>
        <v>0</v>
      </c>
      <c r="NKT1599" s="55">
        <f t="shared" si="446"/>
        <v>0</v>
      </c>
      <c r="NKU1599" s="55">
        <f t="shared" si="446"/>
        <v>0</v>
      </c>
      <c r="NKV1599" s="55">
        <f t="shared" si="446"/>
        <v>0</v>
      </c>
      <c r="NKW1599" s="55">
        <f t="shared" si="446"/>
        <v>0</v>
      </c>
      <c r="NKX1599" s="55">
        <f t="shared" si="446"/>
        <v>0</v>
      </c>
      <c r="NKY1599" s="55">
        <f t="shared" si="446"/>
        <v>0</v>
      </c>
      <c r="NKZ1599" s="55">
        <f t="shared" si="446"/>
        <v>0</v>
      </c>
      <c r="NLA1599" s="55">
        <f t="shared" si="446"/>
        <v>0</v>
      </c>
      <c r="NLB1599" s="55">
        <f t="shared" si="446"/>
        <v>0</v>
      </c>
      <c r="NLC1599" s="55">
        <f t="shared" si="446"/>
        <v>0</v>
      </c>
      <c r="NLD1599" s="55">
        <f t="shared" si="446"/>
        <v>0</v>
      </c>
      <c r="NLE1599" s="55">
        <f t="shared" si="446"/>
        <v>0</v>
      </c>
      <c r="NLF1599" s="55">
        <f t="shared" si="446"/>
        <v>0</v>
      </c>
      <c r="NLG1599" s="55">
        <f t="shared" si="446"/>
        <v>0</v>
      </c>
      <c r="NLH1599" s="55">
        <f t="shared" si="446"/>
        <v>0</v>
      </c>
      <c r="NLI1599" s="55">
        <f t="shared" si="446"/>
        <v>0</v>
      </c>
      <c r="NLJ1599" s="55">
        <f t="shared" si="446"/>
        <v>0</v>
      </c>
      <c r="NLK1599" s="55">
        <f t="shared" si="446"/>
        <v>0</v>
      </c>
      <c r="NLL1599" s="55">
        <f t="shared" si="446"/>
        <v>0</v>
      </c>
      <c r="NLM1599" s="55">
        <f t="shared" si="446"/>
        <v>0</v>
      </c>
      <c r="NLN1599" s="55">
        <f t="shared" si="446"/>
        <v>0</v>
      </c>
      <c r="NLO1599" s="55">
        <f t="shared" si="446"/>
        <v>0</v>
      </c>
      <c r="NLP1599" s="55">
        <f t="shared" si="446"/>
        <v>0</v>
      </c>
      <c r="NLQ1599" s="55">
        <f t="shared" si="446"/>
        <v>0</v>
      </c>
      <c r="NLR1599" s="55">
        <f t="shared" si="446"/>
        <v>0</v>
      </c>
      <c r="NLS1599" s="55">
        <f t="shared" si="446"/>
        <v>0</v>
      </c>
      <c r="NLT1599" s="55">
        <f t="shared" si="446"/>
        <v>0</v>
      </c>
      <c r="NLU1599" s="55">
        <f t="shared" si="446"/>
        <v>0</v>
      </c>
      <c r="NLV1599" s="55">
        <f t="shared" si="446"/>
        <v>0</v>
      </c>
      <c r="NLW1599" s="55">
        <f t="shared" si="446"/>
        <v>0</v>
      </c>
      <c r="NLX1599" s="55">
        <f t="shared" si="446"/>
        <v>0</v>
      </c>
      <c r="NLY1599" s="55">
        <f t="shared" si="446"/>
        <v>0</v>
      </c>
      <c r="NLZ1599" s="55">
        <f t="shared" si="446"/>
        <v>0</v>
      </c>
      <c r="NMA1599" s="55">
        <f t="shared" si="446"/>
        <v>0</v>
      </c>
      <c r="NMB1599" s="55">
        <f t="shared" ref="NMB1599:NOM1599" si="447">+(NMB1619+NMB1623)*1.18*1.1</f>
        <v>0</v>
      </c>
      <c r="NMC1599" s="55">
        <f t="shared" si="447"/>
        <v>0</v>
      </c>
      <c r="NMD1599" s="55">
        <f t="shared" si="447"/>
        <v>0</v>
      </c>
      <c r="NME1599" s="55">
        <f t="shared" si="447"/>
        <v>0</v>
      </c>
      <c r="NMF1599" s="55">
        <f t="shared" si="447"/>
        <v>0</v>
      </c>
      <c r="NMG1599" s="55">
        <f t="shared" si="447"/>
        <v>0</v>
      </c>
      <c r="NMH1599" s="55">
        <f t="shared" si="447"/>
        <v>0</v>
      </c>
      <c r="NMI1599" s="55">
        <f t="shared" si="447"/>
        <v>0</v>
      </c>
      <c r="NMJ1599" s="55">
        <f t="shared" si="447"/>
        <v>0</v>
      </c>
      <c r="NMK1599" s="55">
        <f t="shared" si="447"/>
        <v>0</v>
      </c>
      <c r="NML1599" s="55">
        <f t="shared" si="447"/>
        <v>0</v>
      </c>
      <c r="NMM1599" s="55">
        <f t="shared" si="447"/>
        <v>0</v>
      </c>
      <c r="NMN1599" s="55">
        <f t="shared" si="447"/>
        <v>0</v>
      </c>
      <c r="NMO1599" s="55">
        <f t="shared" si="447"/>
        <v>0</v>
      </c>
      <c r="NMP1599" s="55">
        <f t="shared" si="447"/>
        <v>0</v>
      </c>
      <c r="NMQ1599" s="55">
        <f t="shared" si="447"/>
        <v>0</v>
      </c>
      <c r="NMR1599" s="55">
        <f t="shared" si="447"/>
        <v>0</v>
      </c>
      <c r="NMS1599" s="55">
        <f t="shared" si="447"/>
        <v>0</v>
      </c>
      <c r="NMT1599" s="55">
        <f t="shared" si="447"/>
        <v>0</v>
      </c>
      <c r="NMU1599" s="55">
        <f t="shared" si="447"/>
        <v>0</v>
      </c>
      <c r="NMV1599" s="55">
        <f t="shared" si="447"/>
        <v>0</v>
      </c>
      <c r="NMW1599" s="55">
        <f t="shared" si="447"/>
        <v>0</v>
      </c>
      <c r="NMX1599" s="55">
        <f t="shared" si="447"/>
        <v>0</v>
      </c>
      <c r="NMY1599" s="55">
        <f t="shared" si="447"/>
        <v>0</v>
      </c>
      <c r="NMZ1599" s="55">
        <f t="shared" si="447"/>
        <v>0</v>
      </c>
      <c r="NNA1599" s="55">
        <f t="shared" si="447"/>
        <v>0</v>
      </c>
      <c r="NNB1599" s="55">
        <f t="shared" si="447"/>
        <v>0</v>
      </c>
      <c r="NNC1599" s="55">
        <f t="shared" si="447"/>
        <v>0</v>
      </c>
      <c r="NND1599" s="55">
        <f t="shared" si="447"/>
        <v>0</v>
      </c>
      <c r="NNE1599" s="55">
        <f t="shared" si="447"/>
        <v>0</v>
      </c>
      <c r="NNF1599" s="55">
        <f t="shared" si="447"/>
        <v>0</v>
      </c>
      <c r="NNG1599" s="55">
        <f t="shared" si="447"/>
        <v>0</v>
      </c>
      <c r="NNH1599" s="55">
        <f t="shared" si="447"/>
        <v>0</v>
      </c>
      <c r="NNI1599" s="55">
        <f t="shared" si="447"/>
        <v>0</v>
      </c>
      <c r="NNJ1599" s="55">
        <f t="shared" si="447"/>
        <v>0</v>
      </c>
      <c r="NNK1599" s="55">
        <f t="shared" si="447"/>
        <v>0</v>
      </c>
      <c r="NNL1599" s="55">
        <f t="shared" si="447"/>
        <v>0</v>
      </c>
      <c r="NNM1599" s="55">
        <f t="shared" si="447"/>
        <v>0</v>
      </c>
      <c r="NNN1599" s="55">
        <f t="shared" si="447"/>
        <v>0</v>
      </c>
      <c r="NNO1599" s="55">
        <f t="shared" si="447"/>
        <v>0</v>
      </c>
      <c r="NNP1599" s="55">
        <f t="shared" si="447"/>
        <v>0</v>
      </c>
      <c r="NNQ1599" s="55">
        <f t="shared" si="447"/>
        <v>0</v>
      </c>
      <c r="NNR1599" s="55">
        <f t="shared" si="447"/>
        <v>0</v>
      </c>
      <c r="NNS1599" s="55">
        <f t="shared" si="447"/>
        <v>0</v>
      </c>
      <c r="NNT1599" s="55">
        <f t="shared" si="447"/>
        <v>0</v>
      </c>
      <c r="NNU1599" s="55">
        <f t="shared" si="447"/>
        <v>0</v>
      </c>
      <c r="NNV1599" s="55">
        <f t="shared" si="447"/>
        <v>0</v>
      </c>
      <c r="NNW1599" s="55">
        <f t="shared" si="447"/>
        <v>0</v>
      </c>
      <c r="NNX1599" s="55">
        <f t="shared" si="447"/>
        <v>0</v>
      </c>
      <c r="NNY1599" s="55">
        <f t="shared" si="447"/>
        <v>0</v>
      </c>
      <c r="NNZ1599" s="55">
        <f t="shared" si="447"/>
        <v>0</v>
      </c>
      <c r="NOA1599" s="55">
        <f t="shared" si="447"/>
        <v>0</v>
      </c>
      <c r="NOB1599" s="55">
        <f t="shared" si="447"/>
        <v>0</v>
      </c>
      <c r="NOC1599" s="55">
        <f t="shared" si="447"/>
        <v>0</v>
      </c>
      <c r="NOD1599" s="55">
        <f t="shared" si="447"/>
        <v>0</v>
      </c>
      <c r="NOE1599" s="55">
        <f t="shared" si="447"/>
        <v>0</v>
      </c>
      <c r="NOF1599" s="55">
        <f t="shared" si="447"/>
        <v>0</v>
      </c>
      <c r="NOG1599" s="55">
        <f t="shared" si="447"/>
        <v>0</v>
      </c>
      <c r="NOH1599" s="55">
        <f t="shared" si="447"/>
        <v>0</v>
      </c>
      <c r="NOI1599" s="55">
        <f t="shared" si="447"/>
        <v>0</v>
      </c>
      <c r="NOJ1599" s="55">
        <f t="shared" si="447"/>
        <v>0</v>
      </c>
      <c r="NOK1599" s="55">
        <f t="shared" si="447"/>
        <v>0</v>
      </c>
      <c r="NOL1599" s="55">
        <f t="shared" si="447"/>
        <v>0</v>
      </c>
      <c r="NOM1599" s="55">
        <f t="shared" si="447"/>
        <v>0</v>
      </c>
      <c r="NON1599" s="55">
        <f t="shared" ref="NON1599:NQY1599" si="448">+(NON1619+NON1623)*1.18*1.1</f>
        <v>0</v>
      </c>
      <c r="NOO1599" s="55">
        <f t="shared" si="448"/>
        <v>0</v>
      </c>
      <c r="NOP1599" s="55">
        <f t="shared" si="448"/>
        <v>0</v>
      </c>
      <c r="NOQ1599" s="55">
        <f t="shared" si="448"/>
        <v>0</v>
      </c>
      <c r="NOR1599" s="55">
        <f t="shared" si="448"/>
        <v>0</v>
      </c>
      <c r="NOS1599" s="55">
        <f t="shared" si="448"/>
        <v>0</v>
      </c>
      <c r="NOT1599" s="55">
        <f t="shared" si="448"/>
        <v>0</v>
      </c>
      <c r="NOU1599" s="55">
        <f t="shared" si="448"/>
        <v>0</v>
      </c>
      <c r="NOV1599" s="55">
        <f t="shared" si="448"/>
        <v>0</v>
      </c>
      <c r="NOW1599" s="55">
        <f t="shared" si="448"/>
        <v>0</v>
      </c>
      <c r="NOX1599" s="55">
        <f t="shared" si="448"/>
        <v>0</v>
      </c>
      <c r="NOY1599" s="55">
        <f t="shared" si="448"/>
        <v>0</v>
      </c>
      <c r="NOZ1599" s="55">
        <f t="shared" si="448"/>
        <v>0</v>
      </c>
      <c r="NPA1599" s="55">
        <f t="shared" si="448"/>
        <v>0</v>
      </c>
      <c r="NPB1599" s="55">
        <f t="shared" si="448"/>
        <v>0</v>
      </c>
      <c r="NPC1599" s="55">
        <f t="shared" si="448"/>
        <v>0</v>
      </c>
      <c r="NPD1599" s="55">
        <f t="shared" si="448"/>
        <v>0</v>
      </c>
      <c r="NPE1599" s="55">
        <f t="shared" si="448"/>
        <v>0</v>
      </c>
      <c r="NPF1599" s="55">
        <f t="shared" si="448"/>
        <v>0</v>
      </c>
      <c r="NPG1599" s="55">
        <f t="shared" si="448"/>
        <v>0</v>
      </c>
      <c r="NPH1599" s="55">
        <f t="shared" si="448"/>
        <v>0</v>
      </c>
      <c r="NPI1599" s="55">
        <f t="shared" si="448"/>
        <v>0</v>
      </c>
      <c r="NPJ1599" s="55">
        <f t="shared" si="448"/>
        <v>0</v>
      </c>
      <c r="NPK1599" s="55">
        <f t="shared" si="448"/>
        <v>0</v>
      </c>
      <c r="NPL1599" s="55">
        <f t="shared" si="448"/>
        <v>0</v>
      </c>
      <c r="NPM1599" s="55">
        <f t="shared" si="448"/>
        <v>0</v>
      </c>
      <c r="NPN1599" s="55">
        <f t="shared" si="448"/>
        <v>0</v>
      </c>
      <c r="NPO1599" s="55">
        <f t="shared" si="448"/>
        <v>0</v>
      </c>
      <c r="NPP1599" s="55">
        <f t="shared" si="448"/>
        <v>0</v>
      </c>
      <c r="NPQ1599" s="55">
        <f t="shared" si="448"/>
        <v>0</v>
      </c>
      <c r="NPR1599" s="55">
        <f t="shared" si="448"/>
        <v>0</v>
      </c>
      <c r="NPS1599" s="55">
        <f t="shared" si="448"/>
        <v>0</v>
      </c>
      <c r="NPT1599" s="55">
        <f t="shared" si="448"/>
        <v>0</v>
      </c>
      <c r="NPU1599" s="55">
        <f t="shared" si="448"/>
        <v>0</v>
      </c>
      <c r="NPV1599" s="55">
        <f t="shared" si="448"/>
        <v>0</v>
      </c>
      <c r="NPW1599" s="55">
        <f t="shared" si="448"/>
        <v>0</v>
      </c>
      <c r="NPX1599" s="55">
        <f t="shared" si="448"/>
        <v>0</v>
      </c>
      <c r="NPY1599" s="55">
        <f t="shared" si="448"/>
        <v>0</v>
      </c>
      <c r="NPZ1599" s="55">
        <f t="shared" si="448"/>
        <v>0</v>
      </c>
      <c r="NQA1599" s="55">
        <f t="shared" si="448"/>
        <v>0</v>
      </c>
      <c r="NQB1599" s="55">
        <f t="shared" si="448"/>
        <v>0</v>
      </c>
      <c r="NQC1599" s="55">
        <f t="shared" si="448"/>
        <v>0</v>
      </c>
      <c r="NQD1599" s="55">
        <f t="shared" si="448"/>
        <v>0</v>
      </c>
      <c r="NQE1599" s="55">
        <f t="shared" si="448"/>
        <v>0</v>
      </c>
      <c r="NQF1599" s="55">
        <f t="shared" si="448"/>
        <v>0</v>
      </c>
      <c r="NQG1599" s="55">
        <f t="shared" si="448"/>
        <v>0</v>
      </c>
      <c r="NQH1599" s="55">
        <f t="shared" si="448"/>
        <v>0</v>
      </c>
      <c r="NQI1599" s="55">
        <f t="shared" si="448"/>
        <v>0</v>
      </c>
      <c r="NQJ1599" s="55">
        <f t="shared" si="448"/>
        <v>0</v>
      </c>
      <c r="NQK1599" s="55">
        <f t="shared" si="448"/>
        <v>0</v>
      </c>
      <c r="NQL1599" s="55">
        <f t="shared" si="448"/>
        <v>0</v>
      </c>
      <c r="NQM1599" s="55">
        <f t="shared" si="448"/>
        <v>0</v>
      </c>
      <c r="NQN1599" s="55">
        <f t="shared" si="448"/>
        <v>0</v>
      </c>
      <c r="NQO1599" s="55">
        <f t="shared" si="448"/>
        <v>0</v>
      </c>
      <c r="NQP1599" s="55">
        <f t="shared" si="448"/>
        <v>0</v>
      </c>
      <c r="NQQ1599" s="55">
        <f t="shared" si="448"/>
        <v>0</v>
      </c>
      <c r="NQR1599" s="55">
        <f t="shared" si="448"/>
        <v>0</v>
      </c>
      <c r="NQS1599" s="55">
        <f t="shared" si="448"/>
        <v>0</v>
      </c>
      <c r="NQT1599" s="55">
        <f t="shared" si="448"/>
        <v>0</v>
      </c>
      <c r="NQU1599" s="55">
        <f t="shared" si="448"/>
        <v>0</v>
      </c>
      <c r="NQV1599" s="55">
        <f t="shared" si="448"/>
        <v>0</v>
      </c>
      <c r="NQW1599" s="55">
        <f t="shared" si="448"/>
        <v>0</v>
      </c>
      <c r="NQX1599" s="55">
        <f t="shared" si="448"/>
        <v>0</v>
      </c>
      <c r="NQY1599" s="55">
        <f t="shared" si="448"/>
        <v>0</v>
      </c>
      <c r="NQZ1599" s="55">
        <f t="shared" ref="NQZ1599:NTK1599" si="449">+(NQZ1619+NQZ1623)*1.18*1.1</f>
        <v>0</v>
      </c>
      <c r="NRA1599" s="55">
        <f t="shared" si="449"/>
        <v>0</v>
      </c>
      <c r="NRB1599" s="55">
        <f t="shared" si="449"/>
        <v>0</v>
      </c>
      <c r="NRC1599" s="55">
        <f t="shared" si="449"/>
        <v>0</v>
      </c>
      <c r="NRD1599" s="55">
        <f t="shared" si="449"/>
        <v>0</v>
      </c>
      <c r="NRE1599" s="55">
        <f t="shared" si="449"/>
        <v>0</v>
      </c>
      <c r="NRF1599" s="55">
        <f t="shared" si="449"/>
        <v>0</v>
      </c>
      <c r="NRG1599" s="55">
        <f t="shared" si="449"/>
        <v>0</v>
      </c>
      <c r="NRH1599" s="55">
        <f t="shared" si="449"/>
        <v>0</v>
      </c>
      <c r="NRI1599" s="55">
        <f t="shared" si="449"/>
        <v>0</v>
      </c>
      <c r="NRJ1599" s="55">
        <f t="shared" si="449"/>
        <v>0</v>
      </c>
      <c r="NRK1599" s="55">
        <f t="shared" si="449"/>
        <v>0</v>
      </c>
      <c r="NRL1599" s="55">
        <f t="shared" si="449"/>
        <v>0</v>
      </c>
      <c r="NRM1599" s="55">
        <f t="shared" si="449"/>
        <v>0</v>
      </c>
      <c r="NRN1599" s="55">
        <f t="shared" si="449"/>
        <v>0</v>
      </c>
      <c r="NRO1599" s="55">
        <f t="shared" si="449"/>
        <v>0</v>
      </c>
      <c r="NRP1599" s="55">
        <f t="shared" si="449"/>
        <v>0</v>
      </c>
      <c r="NRQ1599" s="55">
        <f t="shared" si="449"/>
        <v>0</v>
      </c>
      <c r="NRR1599" s="55">
        <f t="shared" si="449"/>
        <v>0</v>
      </c>
      <c r="NRS1599" s="55">
        <f t="shared" si="449"/>
        <v>0</v>
      </c>
      <c r="NRT1599" s="55">
        <f t="shared" si="449"/>
        <v>0</v>
      </c>
      <c r="NRU1599" s="55">
        <f t="shared" si="449"/>
        <v>0</v>
      </c>
      <c r="NRV1599" s="55">
        <f t="shared" si="449"/>
        <v>0</v>
      </c>
      <c r="NRW1599" s="55">
        <f t="shared" si="449"/>
        <v>0</v>
      </c>
      <c r="NRX1599" s="55">
        <f t="shared" si="449"/>
        <v>0</v>
      </c>
      <c r="NRY1599" s="55">
        <f t="shared" si="449"/>
        <v>0</v>
      </c>
      <c r="NRZ1599" s="55">
        <f t="shared" si="449"/>
        <v>0</v>
      </c>
      <c r="NSA1599" s="55">
        <f t="shared" si="449"/>
        <v>0</v>
      </c>
      <c r="NSB1599" s="55">
        <f t="shared" si="449"/>
        <v>0</v>
      </c>
      <c r="NSC1599" s="55">
        <f t="shared" si="449"/>
        <v>0</v>
      </c>
      <c r="NSD1599" s="55">
        <f t="shared" si="449"/>
        <v>0</v>
      </c>
      <c r="NSE1599" s="55">
        <f t="shared" si="449"/>
        <v>0</v>
      </c>
      <c r="NSF1599" s="55">
        <f t="shared" si="449"/>
        <v>0</v>
      </c>
      <c r="NSG1599" s="55">
        <f t="shared" si="449"/>
        <v>0</v>
      </c>
      <c r="NSH1599" s="55">
        <f t="shared" si="449"/>
        <v>0</v>
      </c>
      <c r="NSI1599" s="55">
        <f t="shared" si="449"/>
        <v>0</v>
      </c>
      <c r="NSJ1599" s="55">
        <f t="shared" si="449"/>
        <v>0</v>
      </c>
      <c r="NSK1599" s="55">
        <f t="shared" si="449"/>
        <v>0</v>
      </c>
      <c r="NSL1599" s="55">
        <f t="shared" si="449"/>
        <v>0</v>
      </c>
      <c r="NSM1599" s="55">
        <f t="shared" si="449"/>
        <v>0</v>
      </c>
      <c r="NSN1599" s="55">
        <f t="shared" si="449"/>
        <v>0</v>
      </c>
      <c r="NSO1599" s="55">
        <f t="shared" si="449"/>
        <v>0</v>
      </c>
      <c r="NSP1599" s="55">
        <f t="shared" si="449"/>
        <v>0</v>
      </c>
      <c r="NSQ1599" s="55">
        <f t="shared" si="449"/>
        <v>0</v>
      </c>
      <c r="NSR1599" s="55">
        <f t="shared" si="449"/>
        <v>0</v>
      </c>
      <c r="NSS1599" s="55">
        <f t="shared" si="449"/>
        <v>0</v>
      </c>
      <c r="NST1599" s="55">
        <f t="shared" si="449"/>
        <v>0</v>
      </c>
      <c r="NSU1599" s="55">
        <f t="shared" si="449"/>
        <v>0</v>
      </c>
      <c r="NSV1599" s="55">
        <f t="shared" si="449"/>
        <v>0</v>
      </c>
      <c r="NSW1599" s="55">
        <f t="shared" si="449"/>
        <v>0</v>
      </c>
      <c r="NSX1599" s="55">
        <f t="shared" si="449"/>
        <v>0</v>
      </c>
      <c r="NSY1599" s="55">
        <f t="shared" si="449"/>
        <v>0</v>
      </c>
      <c r="NSZ1599" s="55">
        <f t="shared" si="449"/>
        <v>0</v>
      </c>
      <c r="NTA1599" s="55">
        <f t="shared" si="449"/>
        <v>0</v>
      </c>
      <c r="NTB1599" s="55">
        <f t="shared" si="449"/>
        <v>0</v>
      </c>
      <c r="NTC1599" s="55">
        <f t="shared" si="449"/>
        <v>0</v>
      </c>
      <c r="NTD1599" s="55">
        <f t="shared" si="449"/>
        <v>0</v>
      </c>
      <c r="NTE1599" s="55">
        <f t="shared" si="449"/>
        <v>0</v>
      </c>
      <c r="NTF1599" s="55">
        <f t="shared" si="449"/>
        <v>0</v>
      </c>
      <c r="NTG1599" s="55">
        <f t="shared" si="449"/>
        <v>0</v>
      </c>
      <c r="NTH1599" s="55">
        <f t="shared" si="449"/>
        <v>0</v>
      </c>
      <c r="NTI1599" s="55">
        <f t="shared" si="449"/>
        <v>0</v>
      </c>
      <c r="NTJ1599" s="55">
        <f t="shared" si="449"/>
        <v>0</v>
      </c>
      <c r="NTK1599" s="55">
        <f t="shared" si="449"/>
        <v>0</v>
      </c>
      <c r="NTL1599" s="55">
        <f t="shared" ref="NTL1599:NVW1599" si="450">+(NTL1619+NTL1623)*1.18*1.1</f>
        <v>0</v>
      </c>
      <c r="NTM1599" s="55">
        <f t="shared" si="450"/>
        <v>0</v>
      </c>
      <c r="NTN1599" s="55">
        <f t="shared" si="450"/>
        <v>0</v>
      </c>
      <c r="NTO1599" s="55">
        <f t="shared" si="450"/>
        <v>0</v>
      </c>
      <c r="NTP1599" s="55">
        <f t="shared" si="450"/>
        <v>0</v>
      </c>
      <c r="NTQ1599" s="55">
        <f t="shared" si="450"/>
        <v>0</v>
      </c>
      <c r="NTR1599" s="55">
        <f t="shared" si="450"/>
        <v>0</v>
      </c>
      <c r="NTS1599" s="55">
        <f t="shared" si="450"/>
        <v>0</v>
      </c>
      <c r="NTT1599" s="55">
        <f t="shared" si="450"/>
        <v>0</v>
      </c>
      <c r="NTU1599" s="55">
        <f t="shared" si="450"/>
        <v>0</v>
      </c>
      <c r="NTV1599" s="55">
        <f t="shared" si="450"/>
        <v>0</v>
      </c>
      <c r="NTW1599" s="55">
        <f t="shared" si="450"/>
        <v>0</v>
      </c>
      <c r="NTX1599" s="55">
        <f t="shared" si="450"/>
        <v>0</v>
      </c>
      <c r="NTY1599" s="55">
        <f t="shared" si="450"/>
        <v>0</v>
      </c>
      <c r="NTZ1599" s="55">
        <f t="shared" si="450"/>
        <v>0</v>
      </c>
      <c r="NUA1599" s="55">
        <f t="shared" si="450"/>
        <v>0</v>
      </c>
      <c r="NUB1599" s="55">
        <f t="shared" si="450"/>
        <v>0</v>
      </c>
      <c r="NUC1599" s="55">
        <f t="shared" si="450"/>
        <v>0</v>
      </c>
      <c r="NUD1599" s="55">
        <f t="shared" si="450"/>
        <v>0</v>
      </c>
      <c r="NUE1599" s="55">
        <f t="shared" si="450"/>
        <v>0</v>
      </c>
      <c r="NUF1599" s="55">
        <f t="shared" si="450"/>
        <v>0</v>
      </c>
      <c r="NUG1599" s="55">
        <f t="shared" si="450"/>
        <v>0</v>
      </c>
      <c r="NUH1599" s="55">
        <f t="shared" si="450"/>
        <v>0</v>
      </c>
      <c r="NUI1599" s="55">
        <f t="shared" si="450"/>
        <v>0</v>
      </c>
      <c r="NUJ1599" s="55">
        <f t="shared" si="450"/>
        <v>0</v>
      </c>
      <c r="NUK1599" s="55">
        <f t="shared" si="450"/>
        <v>0</v>
      </c>
      <c r="NUL1599" s="55">
        <f t="shared" si="450"/>
        <v>0</v>
      </c>
      <c r="NUM1599" s="55">
        <f t="shared" si="450"/>
        <v>0</v>
      </c>
      <c r="NUN1599" s="55">
        <f t="shared" si="450"/>
        <v>0</v>
      </c>
      <c r="NUO1599" s="55">
        <f t="shared" si="450"/>
        <v>0</v>
      </c>
      <c r="NUP1599" s="55">
        <f t="shared" si="450"/>
        <v>0</v>
      </c>
      <c r="NUQ1599" s="55">
        <f t="shared" si="450"/>
        <v>0</v>
      </c>
      <c r="NUR1599" s="55">
        <f t="shared" si="450"/>
        <v>0</v>
      </c>
      <c r="NUS1599" s="55">
        <f t="shared" si="450"/>
        <v>0</v>
      </c>
      <c r="NUT1599" s="55">
        <f t="shared" si="450"/>
        <v>0</v>
      </c>
      <c r="NUU1599" s="55">
        <f t="shared" si="450"/>
        <v>0</v>
      </c>
      <c r="NUV1599" s="55">
        <f t="shared" si="450"/>
        <v>0</v>
      </c>
      <c r="NUW1599" s="55">
        <f t="shared" si="450"/>
        <v>0</v>
      </c>
      <c r="NUX1599" s="55">
        <f t="shared" si="450"/>
        <v>0</v>
      </c>
      <c r="NUY1599" s="55">
        <f t="shared" si="450"/>
        <v>0</v>
      </c>
      <c r="NUZ1599" s="55">
        <f t="shared" si="450"/>
        <v>0</v>
      </c>
      <c r="NVA1599" s="55">
        <f t="shared" si="450"/>
        <v>0</v>
      </c>
      <c r="NVB1599" s="55">
        <f t="shared" si="450"/>
        <v>0</v>
      </c>
      <c r="NVC1599" s="55">
        <f t="shared" si="450"/>
        <v>0</v>
      </c>
      <c r="NVD1599" s="55">
        <f t="shared" si="450"/>
        <v>0</v>
      </c>
      <c r="NVE1599" s="55">
        <f t="shared" si="450"/>
        <v>0</v>
      </c>
      <c r="NVF1599" s="55">
        <f t="shared" si="450"/>
        <v>0</v>
      </c>
      <c r="NVG1599" s="55">
        <f t="shared" si="450"/>
        <v>0</v>
      </c>
      <c r="NVH1599" s="55">
        <f t="shared" si="450"/>
        <v>0</v>
      </c>
      <c r="NVI1599" s="55">
        <f t="shared" si="450"/>
        <v>0</v>
      </c>
      <c r="NVJ1599" s="55">
        <f t="shared" si="450"/>
        <v>0</v>
      </c>
      <c r="NVK1599" s="55">
        <f t="shared" si="450"/>
        <v>0</v>
      </c>
      <c r="NVL1599" s="55">
        <f t="shared" si="450"/>
        <v>0</v>
      </c>
      <c r="NVM1599" s="55">
        <f t="shared" si="450"/>
        <v>0</v>
      </c>
      <c r="NVN1599" s="55">
        <f t="shared" si="450"/>
        <v>0</v>
      </c>
      <c r="NVO1599" s="55">
        <f t="shared" si="450"/>
        <v>0</v>
      </c>
      <c r="NVP1599" s="55">
        <f t="shared" si="450"/>
        <v>0</v>
      </c>
      <c r="NVQ1599" s="55">
        <f t="shared" si="450"/>
        <v>0</v>
      </c>
      <c r="NVR1599" s="55">
        <f t="shared" si="450"/>
        <v>0</v>
      </c>
      <c r="NVS1599" s="55">
        <f t="shared" si="450"/>
        <v>0</v>
      </c>
      <c r="NVT1599" s="55">
        <f t="shared" si="450"/>
        <v>0</v>
      </c>
      <c r="NVU1599" s="55">
        <f t="shared" si="450"/>
        <v>0</v>
      </c>
      <c r="NVV1599" s="55">
        <f t="shared" si="450"/>
        <v>0</v>
      </c>
      <c r="NVW1599" s="55">
        <f t="shared" si="450"/>
        <v>0</v>
      </c>
      <c r="NVX1599" s="55">
        <f t="shared" ref="NVX1599:NYI1599" si="451">+(NVX1619+NVX1623)*1.18*1.1</f>
        <v>0</v>
      </c>
      <c r="NVY1599" s="55">
        <f t="shared" si="451"/>
        <v>0</v>
      </c>
      <c r="NVZ1599" s="55">
        <f t="shared" si="451"/>
        <v>0</v>
      </c>
      <c r="NWA1599" s="55">
        <f t="shared" si="451"/>
        <v>0</v>
      </c>
      <c r="NWB1599" s="55">
        <f t="shared" si="451"/>
        <v>0</v>
      </c>
      <c r="NWC1599" s="55">
        <f t="shared" si="451"/>
        <v>0</v>
      </c>
      <c r="NWD1599" s="55">
        <f t="shared" si="451"/>
        <v>0</v>
      </c>
      <c r="NWE1599" s="55">
        <f t="shared" si="451"/>
        <v>0</v>
      </c>
      <c r="NWF1599" s="55">
        <f t="shared" si="451"/>
        <v>0</v>
      </c>
      <c r="NWG1599" s="55">
        <f t="shared" si="451"/>
        <v>0</v>
      </c>
      <c r="NWH1599" s="55">
        <f t="shared" si="451"/>
        <v>0</v>
      </c>
      <c r="NWI1599" s="55">
        <f t="shared" si="451"/>
        <v>0</v>
      </c>
      <c r="NWJ1599" s="55">
        <f t="shared" si="451"/>
        <v>0</v>
      </c>
      <c r="NWK1599" s="55">
        <f t="shared" si="451"/>
        <v>0</v>
      </c>
      <c r="NWL1599" s="55">
        <f t="shared" si="451"/>
        <v>0</v>
      </c>
      <c r="NWM1599" s="55">
        <f t="shared" si="451"/>
        <v>0</v>
      </c>
      <c r="NWN1599" s="55">
        <f t="shared" si="451"/>
        <v>0</v>
      </c>
      <c r="NWO1599" s="55">
        <f t="shared" si="451"/>
        <v>0</v>
      </c>
      <c r="NWP1599" s="55">
        <f t="shared" si="451"/>
        <v>0</v>
      </c>
      <c r="NWQ1599" s="55">
        <f t="shared" si="451"/>
        <v>0</v>
      </c>
      <c r="NWR1599" s="55">
        <f t="shared" si="451"/>
        <v>0</v>
      </c>
      <c r="NWS1599" s="55">
        <f t="shared" si="451"/>
        <v>0</v>
      </c>
      <c r="NWT1599" s="55">
        <f t="shared" si="451"/>
        <v>0</v>
      </c>
      <c r="NWU1599" s="55">
        <f t="shared" si="451"/>
        <v>0</v>
      </c>
      <c r="NWV1599" s="55">
        <f t="shared" si="451"/>
        <v>0</v>
      </c>
      <c r="NWW1599" s="55">
        <f t="shared" si="451"/>
        <v>0</v>
      </c>
      <c r="NWX1599" s="55">
        <f t="shared" si="451"/>
        <v>0</v>
      </c>
      <c r="NWY1599" s="55">
        <f t="shared" si="451"/>
        <v>0</v>
      </c>
      <c r="NWZ1599" s="55">
        <f t="shared" si="451"/>
        <v>0</v>
      </c>
      <c r="NXA1599" s="55">
        <f t="shared" si="451"/>
        <v>0</v>
      </c>
      <c r="NXB1599" s="55">
        <f t="shared" si="451"/>
        <v>0</v>
      </c>
      <c r="NXC1599" s="55">
        <f t="shared" si="451"/>
        <v>0</v>
      </c>
      <c r="NXD1599" s="55">
        <f t="shared" si="451"/>
        <v>0</v>
      </c>
      <c r="NXE1599" s="55">
        <f t="shared" si="451"/>
        <v>0</v>
      </c>
      <c r="NXF1599" s="55">
        <f t="shared" si="451"/>
        <v>0</v>
      </c>
      <c r="NXG1599" s="55">
        <f t="shared" si="451"/>
        <v>0</v>
      </c>
      <c r="NXH1599" s="55">
        <f t="shared" si="451"/>
        <v>0</v>
      </c>
      <c r="NXI1599" s="55">
        <f t="shared" si="451"/>
        <v>0</v>
      </c>
      <c r="NXJ1599" s="55">
        <f t="shared" si="451"/>
        <v>0</v>
      </c>
      <c r="NXK1599" s="55">
        <f t="shared" si="451"/>
        <v>0</v>
      </c>
      <c r="NXL1599" s="55">
        <f t="shared" si="451"/>
        <v>0</v>
      </c>
      <c r="NXM1599" s="55">
        <f t="shared" si="451"/>
        <v>0</v>
      </c>
      <c r="NXN1599" s="55">
        <f t="shared" si="451"/>
        <v>0</v>
      </c>
      <c r="NXO1599" s="55">
        <f t="shared" si="451"/>
        <v>0</v>
      </c>
      <c r="NXP1599" s="55">
        <f t="shared" si="451"/>
        <v>0</v>
      </c>
      <c r="NXQ1599" s="55">
        <f t="shared" si="451"/>
        <v>0</v>
      </c>
      <c r="NXR1599" s="55">
        <f t="shared" si="451"/>
        <v>0</v>
      </c>
      <c r="NXS1599" s="55">
        <f t="shared" si="451"/>
        <v>0</v>
      </c>
      <c r="NXT1599" s="55">
        <f t="shared" si="451"/>
        <v>0</v>
      </c>
      <c r="NXU1599" s="55">
        <f t="shared" si="451"/>
        <v>0</v>
      </c>
      <c r="NXV1599" s="55">
        <f t="shared" si="451"/>
        <v>0</v>
      </c>
      <c r="NXW1599" s="55">
        <f t="shared" si="451"/>
        <v>0</v>
      </c>
      <c r="NXX1599" s="55">
        <f t="shared" si="451"/>
        <v>0</v>
      </c>
      <c r="NXY1599" s="55">
        <f t="shared" si="451"/>
        <v>0</v>
      </c>
      <c r="NXZ1599" s="55">
        <f t="shared" si="451"/>
        <v>0</v>
      </c>
      <c r="NYA1599" s="55">
        <f t="shared" si="451"/>
        <v>0</v>
      </c>
      <c r="NYB1599" s="55">
        <f t="shared" si="451"/>
        <v>0</v>
      </c>
      <c r="NYC1599" s="55">
        <f t="shared" si="451"/>
        <v>0</v>
      </c>
      <c r="NYD1599" s="55">
        <f t="shared" si="451"/>
        <v>0</v>
      </c>
      <c r="NYE1599" s="55">
        <f t="shared" si="451"/>
        <v>0</v>
      </c>
      <c r="NYF1599" s="55">
        <f t="shared" si="451"/>
        <v>0</v>
      </c>
      <c r="NYG1599" s="55">
        <f t="shared" si="451"/>
        <v>0</v>
      </c>
      <c r="NYH1599" s="55">
        <f t="shared" si="451"/>
        <v>0</v>
      </c>
      <c r="NYI1599" s="55">
        <f t="shared" si="451"/>
        <v>0</v>
      </c>
      <c r="NYJ1599" s="55">
        <f t="shared" ref="NYJ1599:OAU1599" si="452">+(NYJ1619+NYJ1623)*1.18*1.1</f>
        <v>0</v>
      </c>
      <c r="NYK1599" s="55">
        <f t="shared" si="452"/>
        <v>0</v>
      </c>
      <c r="NYL1599" s="55">
        <f t="shared" si="452"/>
        <v>0</v>
      </c>
      <c r="NYM1599" s="55">
        <f t="shared" si="452"/>
        <v>0</v>
      </c>
      <c r="NYN1599" s="55">
        <f t="shared" si="452"/>
        <v>0</v>
      </c>
      <c r="NYO1599" s="55">
        <f t="shared" si="452"/>
        <v>0</v>
      </c>
      <c r="NYP1599" s="55">
        <f t="shared" si="452"/>
        <v>0</v>
      </c>
      <c r="NYQ1599" s="55">
        <f t="shared" si="452"/>
        <v>0</v>
      </c>
      <c r="NYR1599" s="55">
        <f t="shared" si="452"/>
        <v>0</v>
      </c>
      <c r="NYS1599" s="55">
        <f t="shared" si="452"/>
        <v>0</v>
      </c>
      <c r="NYT1599" s="55">
        <f t="shared" si="452"/>
        <v>0</v>
      </c>
      <c r="NYU1599" s="55">
        <f t="shared" si="452"/>
        <v>0</v>
      </c>
      <c r="NYV1599" s="55">
        <f t="shared" si="452"/>
        <v>0</v>
      </c>
      <c r="NYW1599" s="55">
        <f t="shared" si="452"/>
        <v>0</v>
      </c>
      <c r="NYX1599" s="55">
        <f t="shared" si="452"/>
        <v>0</v>
      </c>
      <c r="NYY1599" s="55">
        <f t="shared" si="452"/>
        <v>0</v>
      </c>
      <c r="NYZ1599" s="55">
        <f t="shared" si="452"/>
        <v>0</v>
      </c>
      <c r="NZA1599" s="55">
        <f t="shared" si="452"/>
        <v>0</v>
      </c>
      <c r="NZB1599" s="55">
        <f t="shared" si="452"/>
        <v>0</v>
      </c>
      <c r="NZC1599" s="55">
        <f t="shared" si="452"/>
        <v>0</v>
      </c>
      <c r="NZD1599" s="55">
        <f t="shared" si="452"/>
        <v>0</v>
      </c>
      <c r="NZE1599" s="55">
        <f t="shared" si="452"/>
        <v>0</v>
      </c>
      <c r="NZF1599" s="55">
        <f t="shared" si="452"/>
        <v>0</v>
      </c>
      <c r="NZG1599" s="55">
        <f t="shared" si="452"/>
        <v>0</v>
      </c>
      <c r="NZH1599" s="55">
        <f t="shared" si="452"/>
        <v>0</v>
      </c>
      <c r="NZI1599" s="55">
        <f t="shared" si="452"/>
        <v>0</v>
      </c>
      <c r="NZJ1599" s="55">
        <f t="shared" si="452"/>
        <v>0</v>
      </c>
      <c r="NZK1599" s="55">
        <f t="shared" si="452"/>
        <v>0</v>
      </c>
      <c r="NZL1599" s="55">
        <f t="shared" si="452"/>
        <v>0</v>
      </c>
      <c r="NZM1599" s="55">
        <f t="shared" si="452"/>
        <v>0</v>
      </c>
      <c r="NZN1599" s="55">
        <f t="shared" si="452"/>
        <v>0</v>
      </c>
      <c r="NZO1599" s="55">
        <f t="shared" si="452"/>
        <v>0</v>
      </c>
      <c r="NZP1599" s="55">
        <f t="shared" si="452"/>
        <v>0</v>
      </c>
      <c r="NZQ1599" s="55">
        <f t="shared" si="452"/>
        <v>0</v>
      </c>
      <c r="NZR1599" s="55">
        <f t="shared" si="452"/>
        <v>0</v>
      </c>
      <c r="NZS1599" s="55">
        <f t="shared" si="452"/>
        <v>0</v>
      </c>
      <c r="NZT1599" s="55">
        <f t="shared" si="452"/>
        <v>0</v>
      </c>
      <c r="NZU1599" s="55">
        <f t="shared" si="452"/>
        <v>0</v>
      </c>
      <c r="NZV1599" s="55">
        <f t="shared" si="452"/>
        <v>0</v>
      </c>
      <c r="NZW1599" s="55">
        <f t="shared" si="452"/>
        <v>0</v>
      </c>
      <c r="NZX1599" s="55">
        <f t="shared" si="452"/>
        <v>0</v>
      </c>
      <c r="NZY1599" s="55">
        <f t="shared" si="452"/>
        <v>0</v>
      </c>
      <c r="NZZ1599" s="55">
        <f t="shared" si="452"/>
        <v>0</v>
      </c>
      <c r="OAA1599" s="55">
        <f t="shared" si="452"/>
        <v>0</v>
      </c>
      <c r="OAB1599" s="55">
        <f t="shared" si="452"/>
        <v>0</v>
      </c>
      <c r="OAC1599" s="55">
        <f t="shared" si="452"/>
        <v>0</v>
      </c>
      <c r="OAD1599" s="55">
        <f t="shared" si="452"/>
        <v>0</v>
      </c>
      <c r="OAE1599" s="55">
        <f t="shared" si="452"/>
        <v>0</v>
      </c>
      <c r="OAF1599" s="55">
        <f t="shared" si="452"/>
        <v>0</v>
      </c>
      <c r="OAG1599" s="55">
        <f t="shared" si="452"/>
        <v>0</v>
      </c>
      <c r="OAH1599" s="55">
        <f t="shared" si="452"/>
        <v>0</v>
      </c>
      <c r="OAI1599" s="55">
        <f t="shared" si="452"/>
        <v>0</v>
      </c>
      <c r="OAJ1599" s="55">
        <f t="shared" si="452"/>
        <v>0</v>
      </c>
      <c r="OAK1599" s="55">
        <f t="shared" si="452"/>
        <v>0</v>
      </c>
      <c r="OAL1599" s="55">
        <f t="shared" si="452"/>
        <v>0</v>
      </c>
      <c r="OAM1599" s="55">
        <f t="shared" si="452"/>
        <v>0</v>
      </c>
      <c r="OAN1599" s="55">
        <f t="shared" si="452"/>
        <v>0</v>
      </c>
      <c r="OAO1599" s="55">
        <f t="shared" si="452"/>
        <v>0</v>
      </c>
      <c r="OAP1599" s="55">
        <f t="shared" si="452"/>
        <v>0</v>
      </c>
      <c r="OAQ1599" s="55">
        <f t="shared" si="452"/>
        <v>0</v>
      </c>
      <c r="OAR1599" s="55">
        <f t="shared" si="452"/>
        <v>0</v>
      </c>
      <c r="OAS1599" s="55">
        <f t="shared" si="452"/>
        <v>0</v>
      </c>
      <c r="OAT1599" s="55">
        <f t="shared" si="452"/>
        <v>0</v>
      </c>
      <c r="OAU1599" s="55">
        <f t="shared" si="452"/>
        <v>0</v>
      </c>
      <c r="OAV1599" s="55">
        <f t="shared" ref="OAV1599:ODG1599" si="453">+(OAV1619+OAV1623)*1.18*1.1</f>
        <v>0</v>
      </c>
      <c r="OAW1599" s="55">
        <f t="shared" si="453"/>
        <v>0</v>
      </c>
      <c r="OAX1599" s="55">
        <f t="shared" si="453"/>
        <v>0</v>
      </c>
      <c r="OAY1599" s="55">
        <f t="shared" si="453"/>
        <v>0</v>
      </c>
      <c r="OAZ1599" s="55">
        <f t="shared" si="453"/>
        <v>0</v>
      </c>
      <c r="OBA1599" s="55">
        <f t="shared" si="453"/>
        <v>0</v>
      </c>
      <c r="OBB1599" s="55">
        <f t="shared" si="453"/>
        <v>0</v>
      </c>
      <c r="OBC1599" s="55">
        <f t="shared" si="453"/>
        <v>0</v>
      </c>
      <c r="OBD1599" s="55">
        <f t="shared" si="453"/>
        <v>0</v>
      </c>
      <c r="OBE1599" s="55">
        <f t="shared" si="453"/>
        <v>0</v>
      </c>
      <c r="OBF1599" s="55">
        <f t="shared" si="453"/>
        <v>0</v>
      </c>
      <c r="OBG1599" s="55">
        <f t="shared" si="453"/>
        <v>0</v>
      </c>
      <c r="OBH1599" s="55">
        <f t="shared" si="453"/>
        <v>0</v>
      </c>
      <c r="OBI1599" s="55">
        <f t="shared" si="453"/>
        <v>0</v>
      </c>
      <c r="OBJ1599" s="55">
        <f t="shared" si="453"/>
        <v>0</v>
      </c>
      <c r="OBK1599" s="55">
        <f t="shared" si="453"/>
        <v>0</v>
      </c>
      <c r="OBL1599" s="55">
        <f t="shared" si="453"/>
        <v>0</v>
      </c>
      <c r="OBM1599" s="55">
        <f t="shared" si="453"/>
        <v>0</v>
      </c>
      <c r="OBN1599" s="55">
        <f t="shared" si="453"/>
        <v>0</v>
      </c>
      <c r="OBO1599" s="55">
        <f t="shared" si="453"/>
        <v>0</v>
      </c>
      <c r="OBP1599" s="55">
        <f t="shared" si="453"/>
        <v>0</v>
      </c>
      <c r="OBQ1599" s="55">
        <f t="shared" si="453"/>
        <v>0</v>
      </c>
      <c r="OBR1599" s="55">
        <f t="shared" si="453"/>
        <v>0</v>
      </c>
      <c r="OBS1599" s="55">
        <f t="shared" si="453"/>
        <v>0</v>
      </c>
      <c r="OBT1599" s="55">
        <f t="shared" si="453"/>
        <v>0</v>
      </c>
      <c r="OBU1599" s="55">
        <f t="shared" si="453"/>
        <v>0</v>
      </c>
      <c r="OBV1599" s="55">
        <f t="shared" si="453"/>
        <v>0</v>
      </c>
      <c r="OBW1599" s="55">
        <f t="shared" si="453"/>
        <v>0</v>
      </c>
      <c r="OBX1599" s="55">
        <f t="shared" si="453"/>
        <v>0</v>
      </c>
      <c r="OBY1599" s="55">
        <f t="shared" si="453"/>
        <v>0</v>
      </c>
      <c r="OBZ1599" s="55">
        <f t="shared" si="453"/>
        <v>0</v>
      </c>
      <c r="OCA1599" s="55">
        <f t="shared" si="453"/>
        <v>0</v>
      </c>
      <c r="OCB1599" s="55">
        <f t="shared" si="453"/>
        <v>0</v>
      </c>
      <c r="OCC1599" s="55">
        <f t="shared" si="453"/>
        <v>0</v>
      </c>
      <c r="OCD1599" s="55">
        <f t="shared" si="453"/>
        <v>0</v>
      </c>
      <c r="OCE1599" s="55">
        <f t="shared" si="453"/>
        <v>0</v>
      </c>
      <c r="OCF1599" s="55">
        <f t="shared" si="453"/>
        <v>0</v>
      </c>
      <c r="OCG1599" s="55">
        <f t="shared" si="453"/>
        <v>0</v>
      </c>
      <c r="OCH1599" s="55">
        <f t="shared" si="453"/>
        <v>0</v>
      </c>
      <c r="OCI1599" s="55">
        <f t="shared" si="453"/>
        <v>0</v>
      </c>
      <c r="OCJ1599" s="55">
        <f t="shared" si="453"/>
        <v>0</v>
      </c>
      <c r="OCK1599" s="55">
        <f t="shared" si="453"/>
        <v>0</v>
      </c>
      <c r="OCL1599" s="55">
        <f t="shared" si="453"/>
        <v>0</v>
      </c>
      <c r="OCM1599" s="55">
        <f t="shared" si="453"/>
        <v>0</v>
      </c>
      <c r="OCN1599" s="55">
        <f t="shared" si="453"/>
        <v>0</v>
      </c>
      <c r="OCO1599" s="55">
        <f t="shared" si="453"/>
        <v>0</v>
      </c>
      <c r="OCP1599" s="55">
        <f t="shared" si="453"/>
        <v>0</v>
      </c>
      <c r="OCQ1599" s="55">
        <f t="shared" si="453"/>
        <v>0</v>
      </c>
      <c r="OCR1599" s="55">
        <f t="shared" si="453"/>
        <v>0</v>
      </c>
      <c r="OCS1599" s="55">
        <f t="shared" si="453"/>
        <v>0</v>
      </c>
      <c r="OCT1599" s="55">
        <f t="shared" si="453"/>
        <v>0</v>
      </c>
      <c r="OCU1599" s="55">
        <f t="shared" si="453"/>
        <v>0</v>
      </c>
      <c r="OCV1599" s="55">
        <f t="shared" si="453"/>
        <v>0</v>
      </c>
      <c r="OCW1599" s="55">
        <f t="shared" si="453"/>
        <v>0</v>
      </c>
      <c r="OCX1599" s="55">
        <f t="shared" si="453"/>
        <v>0</v>
      </c>
      <c r="OCY1599" s="55">
        <f t="shared" si="453"/>
        <v>0</v>
      </c>
      <c r="OCZ1599" s="55">
        <f t="shared" si="453"/>
        <v>0</v>
      </c>
      <c r="ODA1599" s="55">
        <f t="shared" si="453"/>
        <v>0</v>
      </c>
      <c r="ODB1599" s="55">
        <f t="shared" si="453"/>
        <v>0</v>
      </c>
      <c r="ODC1599" s="55">
        <f t="shared" si="453"/>
        <v>0</v>
      </c>
      <c r="ODD1599" s="55">
        <f t="shared" si="453"/>
        <v>0</v>
      </c>
      <c r="ODE1599" s="55">
        <f t="shared" si="453"/>
        <v>0</v>
      </c>
      <c r="ODF1599" s="55">
        <f t="shared" si="453"/>
        <v>0</v>
      </c>
      <c r="ODG1599" s="55">
        <f t="shared" si="453"/>
        <v>0</v>
      </c>
      <c r="ODH1599" s="55">
        <f t="shared" ref="ODH1599:OFS1599" si="454">+(ODH1619+ODH1623)*1.18*1.1</f>
        <v>0</v>
      </c>
      <c r="ODI1599" s="55">
        <f t="shared" si="454"/>
        <v>0</v>
      </c>
      <c r="ODJ1599" s="55">
        <f t="shared" si="454"/>
        <v>0</v>
      </c>
      <c r="ODK1599" s="55">
        <f t="shared" si="454"/>
        <v>0</v>
      </c>
      <c r="ODL1599" s="55">
        <f t="shared" si="454"/>
        <v>0</v>
      </c>
      <c r="ODM1599" s="55">
        <f t="shared" si="454"/>
        <v>0</v>
      </c>
      <c r="ODN1599" s="55">
        <f t="shared" si="454"/>
        <v>0</v>
      </c>
      <c r="ODO1599" s="55">
        <f t="shared" si="454"/>
        <v>0</v>
      </c>
      <c r="ODP1599" s="55">
        <f t="shared" si="454"/>
        <v>0</v>
      </c>
      <c r="ODQ1599" s="55">
        <f t="shared" si="454"/>
        <v>0</v>
      </c>
      <c r="ODR1599" s="55">
        <f t="shared" si="454"/>
        <v>0</v>
      </c>
      <c r="ODS1599" s="55">
        <f t="shared" si="454"/>
        <v>0</v>
      </c>
      <c r="ODT1599" s="55">
        <f t="shared" si="454"/>
        <v>0</v>
      </c>
      <c r="ODU1599" s="55">
        <f t="shared" si="454"/>
        <v>0</v>
      </c>
      <c r="ODV1599" s="55">
        <f t="shared" si="454"/>
        <v>0</v>
      </c>
      <c r="ODW1599" s="55">
        <f t="shared" si="454"/>
        <v>0</v>
      </c>
      <c r="ODX1599" s="55">
        <f t="shared" si="454"/>
        <v>0</v>
      </c>
      <c r="ODY1599" s="55">
        <f t="shared" si="454"/>
        <v>0</v>
      </c>
      <c r="ODZ1599" s="55">
        <f t="shared" si="454"/>
        <v>0</v>
      </c>
      <c r="OEA1599" s="55">
        <f t="shared" si="454"/>
        <v>0</v>
      </c>
      <c r="OEB1599" s="55">
        <f t="shared" si="454"/>
        <v>0</v>
      </c>
      <c r="OEC1599" s="55">
        <f t="shared" si="454"/>
        <v>0</v>
      </c>
      <c r="OED1599" s="55">
        <f t="shared" si="454"/>
        <v>0</v>
      </c>
      <c r="OEE1599" s="55">
        <f t="shared" si="454"/>
        <v>0</v>
      </c>
      <c r="OEF1599" s="55">
        <f t="shared" si="454"/>
        <v>0</v>
      </c>
      <c r="OEG1599" s="55">
        <f t="shared" si="454"/>
        <v>0</v>
      </c>
      <c r="OEH1599" s="55">
        <f t="shared" si="454"/>
        <v>0</v>
      </c>
      <c r="OEI1599" s="55">
        <f t="shared" si="454"/>
        <v>0</v>
      </c>
      <c r="OEJ1599" s="55">
        <f t="shared" si="454"/>
        <v>0</v>
      </c>
      <c r="OEK1599" s="55">
        <f t="shared" si="454"/>
        <v>0</v>
      </c>
      <c r="OEL1599" s="55">
        <f t="shared" si="454"/>
        <v>0</v>
      </c>
      <c r="OEM1599" s="55">
        <f t="shared" si="454"/>
        <v>0</v>
      </c>
      <c r="OEN1599" s="55">
        <f t="shared" si="454"/>
        <v>0</v>
      </c>
      <c r="OEO1599" s="55">
        <f t="shared" si="454"/>
        <v>0</v>
      </c>
      <c r="OEP1599" s="55">
        <f t="shared" si="454"/>
        <v>0</v>
      </c>
      <c r="OEQ1599" s="55">
        <f t="shared" si="454"/>
        <v>0</v>
      </c>
      <c r="OER1599" s="55">
        <f t="shared" si="454"/>
        <v>0</v>
      </c>
      <c r="OES1599" s="55">
        <f t="shared" si="454"/>
        <v>0</v>
      </c>
      <c r="OET1599" s="55">
        <f t="shared" si="454"/>
        <v>0</v>
      </c>
      <c r="OEU1599" s="55">
        <f t="shared" si="454"/>
        <v>0</v>
      </c>
      <c r="OEV1599" s="55">
        <f t="shared" si="454"/>
        <v>0</v>
      </c>
      <c r="OEW1599" s="55">
        <f t="shared" si="454"/>
        <v>0</v>
      </c>
      <c r="OEX1599" s="55">
        <f t="shared" si="454"/>
        <v>0</v>
      </c>
      <c r="OEY1599" s="55">
        <f t="shared" si="454"/>
        <v>0</v>
      </c>
      <c r="OEZ1599" s="55">
        <f t="shared" si="454"/>
        <v>0</v>
      </c>
      <c r="OFA1599" s="55">
        <f t="shared" si="454"/>
        <v>0</v>
      </c>
      <c r="OFB1599" s="55">
        <f t="shared" si="454"/>
        <v>0</v>
      </c>
      <c r="OFC1599" s="55">
        <f t="shared" si="454"/>
        <v>0</v>
      </c>
      <c r="OFD1599" s="55">
        <f t="shared" si="454"/>
        <v>0</v>
      </c>
      <c r="OFE1599" s="55">
        <f t="shared" si="454"/>
        <v>0</v>
      </c>
      <c r="OFF1599" s="55">
        <f t="shared" si="454"/>
        <v>0</v>
      </c>
      <c r="OFG1599" s="55">
        <f t="shared" si="454"/>
        <v>0</v>
      </c>
      <c r="OFH1599" s="55">
        <f t="shared" si="454"/>
        <v>0</v>
      </c>
      <c r="OFI1599" s="55">
        <f t="shared" si="454"/>
        <v>0</v>
      </c>
      <c r="OFJ1599" s="55">
        <f t="shared" si="454"/>
        <v>0</v>
      </c>
      <c r="OFK1599" s="55">
        <f t="shared" si="454"/>
        <v>0</v>
      </c>
      <c r="OFL1599" s="55">
        <f t="shared" si="454"/>
        <v>0</v>
      </c>
      <c r="OFM1599" s="55">
        <f t="shared" si="454"/>
        <v>0</v>
      </c>
      <c r="OFN1599" s="55">
        <f t="shared" si="454"/>
        <v>0</v>
      </c>
      <c r="OFO1599" s="55">
        <f t="shared" si="454"/>
        <v>0</v>
      </c>
      <c r="OFP1599" s="55">
        <f t="shared" si="454"/>
        <v>0</v>
      </c>
      <c r="OFQ1599" s="55">
        <f t="shared" si="454"/>
        <v>0</v>
      </c>
      <c r="OFR1599" s="55">
        <f t="shared" si="454"/>
        <v>0</v>
      </c>
      <c r="OFS1599" s="55">
        <f t="shared" si="454"/>
        <v>0</v>
      </c>
      <c r="OFT1599" s="55">
        <f t="shared" ref="OFT1599:OIE1599" si="455">+(OFT1619+OFT1623)*1.18*1.1</f>
        <v>0</v>
      </c>
      <c r="OFU1599" s="55">
        <f t="shared" si="455"/>
        <v>0</v>
      </c>
      <c r="OFV1599" s="55">
        <f t="shared" si="455"/>
        <v>0</v>
      </c>
      <c r="OFW1599" s="55">
        <f t="shared" si="455"/>
        <v>0</v>
      </c>
      <c r="OFX1599" s="55">
        <f t="shared" si="455"/>
        <v>0</v>
      </c>
      <c r="OFY1599" s="55">
        <f t="shared" si="455"/>
        <v>0</v>
      </c>
      <c r="OFZ1599" s="55">
        <f t="shared" si="455"/>
        <v>0</v>
      </c>
      <c r="OGA1599" s="55">
        <f t="shared" si="455"/>
        <v>0</v>
      </c>
      <c r="OGB1599" s="55">
        <f t="shared" si="455"/>
        <v>0</v>
      </c>
      <c r="OGC1599" s="55">
        <f t="shared" si="455"/>
        <v>0</v>
      </c>
      <c r="OGD1599" s="55">
        <f t="shared" si="455"/>
        <v>0</v>
      </c>
      <c r="OGE1599" s="55">
        <f t="shared" si="455"/>
        <v>0</v>
      </c>
      <c r="OGF1599" s="55">
        <f t="shared" si="455"/>
        <v>0</v>
      </c>
      <c r="OGG1599" s="55">
        <f t="shared" si="455"/>
        <v>0</v>
      </c>
      <c r="OGH1599" s="55">
        <f t="shared" si="455"/>
        <v>0</v>
      </c>
      <c r="OGI1599" s="55">
        <f t="shared" si="455"/>
        <v>0</v>
      </c>
      <c r="OGJ1599" s="55">
        <f t="shared" si="455"/>
        <v>0</v>
      </c>
      <c r="OGK1599" s="55">
        <f t="shared" si="455"/>
        <v>0</v>
      </c>
      <c r="OGL1599" s="55">
        <f t="shared" si="455"/>
        <v>0</v>
      </c>
      <c r="OGM1599" s="55">
        <f t="shared" si="455"/>
        <v>0</v>
      </c>
      <c r="OGN1599" s="55">
        <f t="shared" si="455"/>
        <v>0</v>
      </c>
      <c r="OGO1599" s="55">
        <f t="shared" si="455"/>
        <v>0</v>
      </c>
      <c r="OGP1599" s="55">
        <f t="shared" si="455"/>
        <v>0</v>
      </c>
      <c r="OGQ1599" s="55">
        <f t="shared" si="455"/>
        <v>0</v>
      </c>
      <c r="OGR1599" s="55">
        <f t="shared" si="455"/>
        <v>0</v>
      </c>
      <c r="OGS1599" s="55">
        <f t="shared" si="455"/>
        <v>0</v>
      </c>
      <c r="OGT1599" s="55">
        <f t="shared" si="455"/>
        <v>0</v>
      </c>
      <c r="OGU1599" s="55">
        <f t="shared" si="455"/>
        <v>0</v>
      </c>
      <c r="OGV1599" s="55">
        <f t="shared" si="455"/>
        <v>0</v>
      </c>
      <c r="OGW1599" s="55">
        <f t="shared" si="455"/>
        <v>0</v>
      </c>
      <c r="OGX1599" s="55">
        <f t="shared" si="455"/>
        <v>0</v>
      </c>
      <c r="OGY1599" s="55">
        <f t="shared" si="455"/>
        <v>0</v>
      </c>
      <c r="OGZ1599" s="55">
        <f t="shared" si="455"/>
        <v>0</v>
      </c>
      <c r="OHA1599" s="55">
        <f t="shared" si="455"/>
        <v>0</v>
      </c>
      <c r="OHB1599" s="55">
        <f t="shared" si="455"/>
        <v>0</v>
      </c>
      <c r="OHC1599" s="55">
        <f t="shared" si="455"/>
        <v>0</v>
      </c>
      <c r="OHD1599" s="55">
        <f t="shared" si="455"/>
        <v>0</v>
      </c>
      <c r="OHE1599" s="55">
        <f t="shared" si="455"/>
        <v>0</v>
      </c>
      <c r="OHF1599" s="55">
        <f t="shared" si="455"/>
        <v>0</v>
      </c>
      <c r="OHG1599" s="55">
        <f t="shared" si="455"/>
        <v>0</v>
      </c>
      <c r="OHH1599" s="55">
        <f t="shared" si="455"/>
        <v>0</v>
      </c>
      <c r="OHI1599" s="55">
        <f t="shared" si="455"/>
        <v>0</v>
      </c>
      <c r="OHJ1599" s="55">
        <f t="shared" si="455"/>
        <v>0</v>
      </c>
      <c r="OHK1599" s="55">
        <f t="shared" si="455"/>
        <v>0</v>
      </c>
      <c r="OHL1599" s="55">
        <f t="shared" si="455"/>
        <v>0</v>
      </c>
      <c r="OHM1599" s="55">
        <f t="shared" si="455"/>
        <v>0</v>
      </c>
      <c r="OHN1599" s="55">
        <f t="shared" si="455"/>
        <v>0</v>
      </c>
      <c r="OHO1599" s="55">
        <f t="shared" si="455"/>
        <v>0</v>
      </c>
      <c r="OHP1599" s="55">
        <f t="shared" si="455"/>
        <v>0</v>
      </c>
      <c r="OHQ1599" s="55">
        <f t="shared" si="455"/>
        <v>0</v>
      </c>
      <c r="OHR1599" s="55">
        <f t="shared" si="455"/>
        <v>0</v>
      </c>
      <c r="OHS1599" s="55">
        <f t="shared" si="455"/>
        <v>0</v>
      </c>
      <c r="OHT1599" s="55">
        <f t="shared" si="455"/>
        <v>0</v>
      </c>
      <c r="OHU1599" s="55">
        <f t="shared" si="455"/>
        <v>0</v>
      </c>
      <c r="OHV1599" s="55">
        <f t="shared" si="455"/>
        <v>0</v>
      </c>
      <c r="OHW1599" s="55">
        <f t="shared" si="455"/>
        <v>0</v>
      </c>
      <c r="OHX1599" s="55">
        <f t="shared" si="455"/>
        <v>0</v>
      </c>
      <c r="OHY1599" s="55">
        <f t="shared" si="455"/>
        <v>0</v>
      </c>
      <c r="OHZ1599" s="55">
        <f t="shared" si="455"/>
        <v>0</v>
      </c>
      <c r="OIA1599" s="55">
        <f t="shared" si="455"/>
        <v>0</v>
      </c>
      <c r="OIB1599" s="55">
        <f t="shared" si="455"/>
        <v>0</v>
      </c>
      <c r="OIC1599" s="55">
        <f t="shared" si="455"/>
        <v>0</v>
      </c>
      <c r="OID1599" s="55">
        <f t="shared" si="455"/>
        <v>0</v>
      </c>
      <c r="OIE1599" s="55">
        <f t="shared" si="455"/>
        <v>0</v>
      </c>
      <c r="OIF1599" s="55">
        <f t="shared" ref="OIF1599:OKQ1599" si="456">+(OIF1619+OIF1623)*1.18*1.1</f>
        <v>0</v>
      </c>
      <c r="OIG1599" s="55">
        <f t="shared" si="456"/>
        <v>0</v>
      </c>
      <c r="OIH1599" s="55">
        <f t="shared" si="456"/>
        <v>0</v>
      </c>
      <c r="OII1599" s="55">
        <f t="shared" si="456"/>
        <v>0</v>
      </c>
      <c r="OIJ1599" s="55">
        <f t="shared" si="456"/>
        <v>0</v>
      </c>
      <c r="OIK1599" s="55">
        <f t="shared" si="456"/>
        <v>0</v>
      </c>
      <c r="OIL1599" s="55">
        <f t="shared" si="456"/>
        <v>0</v>
      </c>
      <c r="OIM1599" s="55">
        <f t="shared" si="456"/>
        <v>0</v>
      </c>
      <c r="OIN1599" s="55">
        <f t="shared" si="456"/>
        <v>0</v>
      </c>
      <c r="OIO1599" s="55">
        <f t="shared" si="456"/>
        <v>0</v>
      </c>
      <c r="OIP1599" s="55">
        <f t="shared" si="456"/>
        <v>0</v>
      </c>
      <c r="OIQ1599" s="55">
        <f t="shared" si="456"/>
        <v>0</v>
      </c>
      <c r="OIR1599" s="55">
        <f t="shared" si="456"/>
        <v>0</v>
      </c>
      <c r="OIS1599" s="55">
        <f t="shared" si="456"/>
        <v>0</v>
      </c>
      <c r="OIT1599" s="55">
        <f t="shared" si="456"/>
        <v>0</v>
      </c>
      <c r="OIU1599" s="55">
        <f t="shared" si="456"/>
        <v>0</v>
      </c>
      <c r="OIV1599" s="55">
        <f t="shared" si="456"/>
        <v>0</v>
      </c>
      <c r="OIW1599" s="55">
        <f t="shared" si="456"/>
        <v>0</v>
      </c>
      <c r="OIX1599" s="55">
        <f t="shared" si="456"/>
        <v>0</v>
      </c>
      <c r="OIY1599" s="55">
        <f t="shared" si="456"/>
        <v>0</v>
      </c>
      <c r="OIZ1599" s="55">
        <f t="shared" si="456"/>
        <v>0</v>
      </c>
      <c r="OJA1599" s="55">
        <f t="shared" si="456"/>
        <v>0</v>
      </c>
      <c r="OJB1599" s="55">
        <f t="shared" si="456"/>
        <v>0</v>
      </c>
      <c r="OJC1599" s="55">
        <f t="shared" si="456"/>
        <v>0</v>
      </c>
      <c r="OJD1599" s="55">
        <f t="shared" si="456"/>
        <v>0</v>
      </c>
      <c r="OJE1599" s="55">
        <f t="shared" si="456"/>
        <v>0</v>
      </c>
      <c r="OJF1599" s="55">
        <f t="shared" si="456"/>
        <v>0</v>
      </c>
      <c r="OJG1599" s="55">
        <f t="shared" si="456"/>
        <v>0</v>
      </c>
      <c r="OJH1599" s="55">
        <f t="shared" si="456"/>
        <v>0</v>
      </c>
      <c r="OJI1599" s="55">
        <f t="shared" si="456"/>
        <v>0</v>
      </c>
      <c r="OJJ1599" s="55">
        <f t="shared" si="456"/>
        <v>0</v>
      </c>
      <c r="OJK1599" s="55">
        <f t="shared" si="456"/>
        <v>0</v>
      </c>
      <c r="OJL1599" s="55">
        <f t="shared" si="456"/>
        <v>0</v>
      </c>
      <c r="OJM1599" s="55">
        <f t="shared" si="456"/>
        <v>0</v>
      </c>
      <c r="OJN1599" s="55">
        <f t="shared" si="456"/>
        <v>0</v>
      </c>
      <c r="OJO1599" s="55">
        <f t="shared" si="456"/>
        <v>0</v>
      </c>
      <c r="OJP1599" s="55">
        <f t="shared" si="456"/>
        <v>0</v>
      </c>
      <c r="OJQ1599" s="55">
        <f t="shared" si="456"/>
        <v>0</v>
      </c>
      <c r="OJR1599" s="55">
        <f t="shared" si="456"/>
        <v>0</v>
      </c>
      <c r="OJS1599" s="55">
        <f t="shared" si="456"/>
        <v>0</v>
      </c>
      <c r="OJT1599" s="55">
        <f t="shared" si="456"/>
        <v>0</v>
      </c>
      <c r="OJU1599" s="55">
        <f t="shared" si="456"/>
        <v>0</v>
      </c>
      <c r="OJV1599" s="55">
        <f t="shared" si="456"/>
        <v>0</v>
      </c>
      <c r="OJW1599" s="55">
        <f t="shared" si="456"/>
        <v>0</v>
      </c>
      <c r="OJX1599" s="55">
        <f t="shared" si="456"/>
        <v>0</v>
      </c>
      <c r="OJY1599" s="55">
        <f t="shared" si="456"/>
        <v>0</v>
      </c>
      <c r="OJZ1599" s="55">
        <f t="shared" si="456"/>
        <v>0</v>
      </c>
      <c r="OKA1599" s="55">
        <f t="shared" si="456"/>
        <v>0</v>
      </c>
      <c r="OKB1599" s="55">
        <f t="shared" si="456"/>
        <v>0</v>
      </c>
      <c r="OKC1599" s="55">
        <f t="shared" si="456"/>
        <v>0</v>
      </c>
      <c r="OKD1599" s="55">
        <f t="shared" si="456"/>
        <v>0</v>
      </c>
      <c r="OKE1599" s="55">
        <f t="shared" si="456"/>
        <v>0</v>
      </c>
      <c r="OKF1599" s="55">
        <f t="shared" si="456"/>
        <v>0</v>
      </c>
      <c r="OKG1599" s="55">
        <f t="shared" si="456"/>
        <v>0</v>
      </c>
      <c r="OKH1599" s="55">
        <f t="shared" si="456"/>
        <v>0</v>
      </c>
      <c r="OKI1599" s="55">
        <f t="shared" si="456"/>
        <v>0</v>
      </c>
      <c r="OKJ1599" s="55">
        <f t="shared" si="456"/>
        <v>0</v>
      </c>
      <c r="OKK1599" s="55">
        <f t="shared" si="456"/>
        <v>0</v>
      </c>
      <c r="OKL1599" s="55">
        <f t="shared" si="456"/>
        <v>0</v>
      </c>
      <c r="OKM1599" s="55">
        <f t="shared" si="456"/>
        <v>0</v>
      </c>
      <c r="OKN1599" s="55">
        <f t="shared" si="456"/>
        <v>0</v>
      </c>
      <c r="OKO1599" s="55">
        <f t="shared" si="456"/>
        <v>0</v>
      </c>
      <c r="OKP1599" s="55">
        <f t="shared" si="456"/>
        <v>0</v>
      </c>
      <c r="OKQ1599" s="55">
        <f t="shared" si="456"/>
        <v>0</v>
      </c>
      <c r="OKR1599" s="55">
        <f t="shared" ref="OKR1599:ONC1599" si="457">+(OKR1619+OKR1623)*1.18*1.1</f>
        <v>0</v>
      </c>
      <c r="OKS1599" s="55">
        <f t="shared" si="457"/>
        <v>0</v>
      </c>
      <c r="OKT1599" s="55">
        <f t="shared" si="457"/>
        <v>0</v>
      </c>
      <c r="OKU1599" s="55">
        <f t="shared" si="457"/>
        <v>0</v>
      </c>
      <c r="OKV1599" s="55">
        <f t="shared" si="457"/>
        <v>0</v>
      </c>
      <c r="OKW1599" s="55">
        <f t="shared" si="457"/>
        <v>0</v>
      </c>
      <c r="OKX1599" s="55">
        <f t="shared" si="457"/>
        <v>0</v>
      </c>
      <c r="OKY1599" s="55">
        <f t="shared" si="457"/>
        <v>0</v>
      </c>
      <c r="OKZ1599" s="55">
        <f t="shared" si="457"/>
        <v>0</v>
      </c>
      <c r="OLA1599" s="55">
        <f t="shared" si="457"/>
        <v>0</v>
      </c>
      <c r="OLB1599" s="55">
        <f t="shared" si="457"/>
        <v>0</v>
      </c>
      <c r="OLC1599" s="55">
        <f t="shared" si="457"/>
        <v>0</v>
      </c>
      <c r="OLD1599" s="55">
        <f t="shared" si="457"/>
        <v>0</v>
      </c>
      <c r="OLE1599" s="55">
        <f t="shared" si="457"/>
        <v>0</v>
      </c>
      <c r="OLF1599" s="55">
        <f t="shared" si="457"/>
        <v>0</v>
      </c>
      <c r="OLG1599" s="55">
        <f t="shared" si="457"/>
        <v>0</v>
      </c>
      <c r="OLH1599" s="55">
        <f t="shared" si="457"/>
        <v>0</v>
      </c>
      <c r="OLI1599" s="55">
        <f t="shared" si="457"/>
        <v>0</v>
      </c>
      <c r="OLJ1599" s="55">
        <f t="shared" si="457"/>
        <v>0</v>
      </c>
      <c r="OLK1599" s="55">
        <f t="shared" si="457"/>
        <v>0</v>
      </c>
      <c r="OLL1599" s="55">
        <f t="shared" si="457"/>
        <v>0</v>
      </c>
      <c r="OLM1599" s="55">
        <f t="shared" si="457"/>
        <v>0</v>
      </c>
      <c r="OLN1599" s="55">
        <f t="shared" si="457"/>
        <v>0</v>
      </c>
      <c r="OLO1599" s="55">
        <f t="shared" si="457"/>
        <v>0</v>
      </c>
      <c r="OLP1599" s="55">
        <f t="shared" si="457"/>
        <v>0</v>
      </c>
      <c r="OLQ1599" s="55">
        <f t="shared" si="457"/>
        <v>0</v>
      </c>
      <c r="OLR1599" s="55">
        <f t="shared" si="457"/>
        <v>0</v>
      </c>
      <c r="OLS1599" s="55">
        <f t="shared" si="457"/>
        <v>0</v>
      </c>
      <c r="OLT1599" s="55">
        <f t="shared" si="457"/>
        <v>0</v>
      </c>
      <c r="OLU1599" s="55">
        <f t="shared" si="457"/>
        <v>0</v>
      </c>
      <c r="OLV1599" s="55">
        <f t="shared" si="457"/>
        <v>0</v>
      </c>
      <c r="OLW1599" s="55">
        <f t="shared" si="457"/>
        <v>0</v>
      </c>
      <c r="OLX1599" s="55">
        <f t="shared" si="457"/>
        <v>0</v>
      </c>
      <c r="OLY1599" s="55">
        <f t="shared" si="457"/>
        <v>0</v>
      </c>
      <c r="OLZ1599" s="55">
        <f t="shared" si="457"/>
        <v>0</v>
      </c>
      <c r="OMA1599" s="55">
        <f t="shared" si="457"/>
        <v>0</v>
      </c>
      <c r="OMB1599" s="55">
        <f t="shared" si="457"/>
        <v>0</v>
      </c>
      <c r="OMC1599" s="55">
        <f t="shared" si="457"/>
        <v>0</v>
      </c>
      <c r="OMD1599" s="55">
        <f t="shared" si="457"/>
        <v>0</v>
      </c>
      <c r="OME1599" s="55">
        <f t="shared" si="457"/>
        <v>0</v>
      </c>
      <c r="OMF1599" s="55">
        <f t="shared" si="457"/>
        <v>0</v>
      </c>
      <c r="OMG1599" s="55">
        <f t="shared" si="457"/>
        <v>0</v>
      </c>
      <c r="OMH1599" s="55">
        <f t="shared" si="457"/>
        <v>0</v>
      </c>
      <c r="OMI1599" s="55">
        <f t="shared" si="457"/>
        <v>0</v>
      </c>
      <c r="OMJ1599" s="55">
        <f t="shared" si="457"/>
        <v>0</v>
      </c>
      <c r="OMK1599" s="55">
        <f t="shared" si="457"/>
        <v>0</v>
      </c>
      <c r="OML1599" s="55">
        <f t="shared" si="457"/>
        <v>0</v>
      </c>
      <c r="OMM1599" s="55">
        <f t="shared" si="457"/>
        <v>0</v>
      </c>
      <c r="OMN1599" s="55">
        <f t="shared" si="457"/>
        <v>0</v>
      </c>
      <c r="OMO1599" s="55">
        <f t="shared" si="457"/>
        <v>0</v>
      </c>
      <c r="OMP1599" s="55">
        <f t="shared" si="457"/>
        <v>0</v>
      </c>
      <c r="OMQ1599" s="55">
        <f t="shared" si="457"/>
        <v>0</v>
      </c>
      <c r="OMR1599" s="55">
        <f t="shared" si="457"/>
        <v>0</v>
      </c>
      <c r="OMS1599" s="55">
        <f t="shared" si="457"/>
        <v>0</v>
      </c>
      <c r="OMT1599" s="55">
        <f t="shared" si="457"/>
        <v>0</v>
      </c>
      <c r="OMU1599" s="55">
        <f t="shared" si="457"/>
        <v>0</v>
      </c>
      <c r="OMV1599" s="55">
        <f t="shared" si="457"/>
        <v>0</v>
      </c>
      <c r="OMW1599" s="55">
        <f t="shared" si="457"/>
        <v>0</v>
      </c>
      <c r="OMX1599" s="55">
        <f t="shared" si="457"/>
        <v>0</v>
      </c>
      <c r="OMY1599" s="55">
        <f t="shared" si="457"/>
        <v>0</v>
      </c>
      <c r="OMZ1599" s="55">
        <f t="shared" si="457"/>
        <v>0</v>
      </c>
      <c r="ONA1599" s="55">
        <f t="shared" si="457"/>
        <v>0</v>
      </c>
      <c r="ONB1599" s="55">
        <f t="shared" si="457"/>
        <v>0</v>
      </c>
      <c r="ONC1599" s="55">
        <f t="shared" si="457"/>
        <v>0</v>
      </c>
      <c r="OND1599" s="55">
        <f t="shared" ref="OND1599:OPO1599" si="458">+(OND1619+OND1623)*1.18*1.1</f>
        <v>0</v>
      </c>
      <c r="ONE1599" s="55">
        <f t="shared" si="458"/>
        <v>0</v>
      </c>
      <c r="ONF1599" s="55">
        <f t="shared" si="458"/>
        <v>0</v>
      </c>
      <c r="ONG1599" s="55">
        <f t="shared" si="458"/>
        <v>0</v>
      </c>
      <c r="ONH1599" s="55">
        <f t="shared" si="458"/>
        <v>0</v>
      </c>
      <c r="ONI1599" s="55">
        <f t="shared" si="458"/>
        <v>0</v>
      </c>
      <c r="ONJ1599" s="55">
        <f t="shared" si="458"/>
        <v>0</v>
      </c>
      <c r="ONK1599" s="55">
        <f t="shared" si="458"/>
        <v>0</v>
      </c>
      <c r="ONL1599" s="55">
        <f t="shared" si="458"/>
        <v>0</v>
      </c>
      <c r="ONM1599" s="55">
        <f t="shared" si="458"/>
        <v>0</v>
      </c>
      <c r="ONN1599" s="55">
        <f t="shared" si="458"/>
        <v>0</v>
      </c>
      <c r="ONO1599" s="55">
        <f t="shared" si="458"/>
        <v>0</v>
      </c>
      <c r="ONP1599" s="55">
        <f t="shared" si="458"/>
        <v>0</v>
      </c>
      <c r="ONQ1599" s="55">
        <f t="shared" si="458"/>
        <v>0</v>
      </c>
      <c r="ONR1599" s="55">
        <f t="shared" si="458"/>
        <v>0</v>
      </c>
      <c r="ONS1599" s="55">
        <f t="shared" si="458"/>
        <v>0</v>
      </c>
      <c r="ONT1599" s="55">
        <f t="shared" si="458"/>
        <v>0</v>
      </c>
      <c r="ONU1599" s="55">
        <f t="shared" si="458"/>
        <v>0</v>
      </c>
      <c r="ONV1599" s="55">
        <f t="shared" si="458"/>
        <v>0</v>
      </c>
      <c r="ONW1599" s="55">
        <f t="shared" si="458"/>
        <v>0</v>
      </c>
      <c r="ONX1599" s="55">
        <f t="shared" si="458"/>
        <v>0</v>
      </c>
      <c r="ONY1599" s="55">
        <f t="shared" si="458"/>
        <v>0</v>
      </c>
      <c r="ONZ1599" s="55">
        <f t="shared" si="458"/>
        <v>0</v>
      </c>
      <c r="OOA1599" s="55">
        <f t="shared" si="458"/>
        <v>0</v>
      </c>
      <c r="OOB1599" s="55">
        <f t="shared" si="458"/>
        <v>0</v>
      </c>
      <c r="OOC1599" s="55">
        <f t="shared" si="458"/>
        <v>0</v>
      </c>
      <c r="OOD1599" s="55">
        <f t="shared" si="458"/>
        <v>0</v>
      </c>
      <c r="OOE1599" s="55">
        <f t="shared" si="458"/>
        <v>0</v>
      </c>
      <c r="OOF1599" s="55">
        <f t="shared" si="458"/>
        <v>0</v>
      </c>
      <c r="OOG1599" s="55">
        <f t="shared" si="458"/>
        <v>0</v>
      </c>
      <c r="OOH1599" s="55">
        <f t="shared" si="458"/>
        <v>0</v>
      </c>
      <c r="OOI1599" s="55">
        <f t="shared" si="458"/>
        <v>0</v>
      </c>
      <c r="OOJ1599" s="55">
        <f t="shared" si="458"/>
        <v>0</v>
      </c>
      <c r="OOK1599" s="55">
        <f t="shared" si="458"/>
        <v>0</v>
      </c>
      <c r="OOL1599" s="55">
        <f t="shared" si="458"/>
        <v>0</v>
      </c>
      <c r="OOM1599" s="55">
        <f t="shared" si="458"/>
        <v>0</v>
      </c>
      <c r="OON1599" s="55">
        <f t="shared" si="458"/>
        <v>0</v>
      </c>
      <c r="OOO1599" s="55">
        <f t="shared" si="458"/>
        <v>0</v>
      </c>
      <c r="OOP1599" s="55">
        <f t="shared" si="458"/>
        <v>0</v>
      </c>
      <c r="OOQ1599" s="55">
        <f t="shared" si="458"/>
        <v>0</v>
      </c>
      <c r="OOR1599" s="55">
        <f t="shared" si="458"/>
        <v>0</v>
      </c>
      <c r="OOS1599" s="55">
        <f t="shared" si="458"/>
        <v>0</v>
      </c>
      <c r="OOT1599" s="55">
        <f t="shared" si="458"/>
        <v>0</v>
      </c>
      <c r="OOU1599" s="55">
        <f t="shared" si="458"/>
        <v>0</v>
      </c>
      <c r="OOV1599" s="55">
        <f t="shared" si="458"/>
        <v>0</v>
      </c>
      <c r="OOW1599" s="55">
        <f t="shared" si="458"/>
        <v>0</v>
      </c>
      <c r="OOX1599" s="55">
        <f t="shared" si="458"/>
        <v>0</v>
      </c>
      <c r="OOY1599" s="55">
        <f t="shared" si="458"/>
        <v>0</v>
      </c>
      <c r="OOZ1599" s="55">
        <f t="shared" si="458"/>
        <v>0</v>
      </c>
      <c r="OPA1599" s="55">
        <f t="shared" si="458"/>
        <v>0</v>
      </c>
      <c r="OPB1599" s="55">
        <f t="shared" si="458"/>
        <v>0</v>
      </c>
      <c r="OPC1599" s="55">
        <f t="shared" si="458"/>
        <v>0</v>
      </c>
      <c r="OPD1599" s="55">
        <f t="shared" si="458"/>
        <v>0</v>
      </c>
      <c r="OPE1599" s="55">
        <f t="shared" si="458"/>
        <v>0</v>
      </c>
      <c r="OPF1599" s="55">
        <f t="shared" si="458"/>
        <v>0</v>
      </c>
      <c r="OPG1599" s="55">
        <f t="shared" si="458"/>
        <v>0</v>
      </c>
      <c r="OPH1599" s="55">
        <f t="shared" si="458"/>
        <v>0</v>
      </c>
      <c r="OPI1599" s="55">
        <f t="shared" si="458"/>
        <v>0</v>
      </c>
      <c r="OPJ1599" s="55">
        <f t="shared" si="458"/>
        <v>0</v>
      </c>
      <c r="OPK1599" s="55">
        <f t="shared" si="458"/>
        <v>0</v>
      </c>
      <c r="OPL1599" s="55">
        <f t="shared" si="458"/>
        <v>0</v>
      </c>
      <c r="OPM1599" s="55">
        <f t="shared" si="458"/>
        <v>0</v>
      </c>
      <c r="OPN1599" s="55">
        <f t="shared" si="458"/>
        <v>0</v>
      </c>
      <c r="OPO1599" s="55">
        <f t="shared" si="458"/>
        <v>0</v>
      </c>
      <c r="OPP1599" s="55">
        <f t="shared" ref="OPP1599:OSA1599" si="459">+(OPP1619+OPP1623)*1.18*1.1</f>
        <v>0</v>
      </c>
      <c r="OPQ1599" s="55">
        <f t="shared" si="459"/>
        <v>0</v>
      </c>
      <c r="OPR1599" s="55">
        <f t="shared" si="459"/>
        <v>0</v>
      </c>
      <c r="OPS1599" s="55">
        <f t="shared" si="459"/>
        <v>0</v>
      </c>
      <c r="OPT1599" s="55">
        <f t="shared" si="459"/>
        <v>0</v>
      </c>
      <c r="OPU1599" s="55">
        <f t="shared" si="459"/>
        <v>0</v>
      </c>
      <c r="OPV1599" s="55">
        <f t="shared" si="459"/>
        <v>0</v>
      </c>
      <c r="OPW1599" s="55">
        <f t="shared" si="459"/>
        <v>0</v>
      </c>
      <c r="OPX1599" s="55">
        <f t="shared" si="459"/>
        <v>0</v>
      </c>
      <c r="OPY1599" s="55">
        <f t="shared" si="459"/>
        <v>0</v>
      </c>
      <c r="OPZ1599" s="55">
        <f t="shared" si="459"/>
        <v>0</v>
      </c>
      <c r="OQA1599" s="55">
        <f t="shared" si="459"/>
        <v>0</v>
      </c>
      <c r="OQB1599" s="55">
        <f t="shared" si="459"/>
        <v>0</v>
      </c>
      <c r="OQC1599" s="55">
        <f t="shared" si="459"/>
        <v>0</v>
      </c>
      <c r="OQD1599" s="55">
        <f t="shared" si="459"/>
        <v>0</v>
      </c>
      <c r="OQE1599" s="55">
        <f t="shared" si="459"/>
        <v>0</v>
      </c>
      <c r="OQF1599" s="55">
        <f t="shared" si="459"/>
        <v>0</v>
      </c>
      <c r="OQG1599" s="55">
        <f t="shared" si="459"/>
        <v>0</v>
      </c>
      <c r="OQH1599" s="55">
        <f t="shared" si="459"/>
        <v>0</v>
      </c>
      <c r="OQI1599" s="55">
        <f t="shared" si="459"/>
        <v>0</v>
      </c>
      <c r="OQJ1599" s="55">
        <f t="shared" si="459"/>
        <v>0</v>
      </c>
      <c r="OQK1599" s="55">
        <f t="shared" si="459"/>
        <v>0</v>
      </c>
      <c r="OQL1599" s="55">
        <f t="shared" si="459"/>
        <v>0</v>
      </c>
      <c r="OQM1599" s="55">
        <f t="shared" si="459"/>
        <v>0</v>
      </c>
      <c r="OQN1599" s="55">
        <f t="shared" si="459"/>
        <v>0</v>
      </c>
      <c r="OQO1599" s="55">
        <f t="shared" si="459"/>
        <v>0</v>
      </c>
      <c r="OQP1599" s="55">
        <f t="shared" si="459"/>
        <v>0</v>
      </c>
      <c r="OQQ1599" s="55">
        <f t="shared" si="459"/>
        <v>0</v>
      </c>
      <c r="OQR1599" s="55">
        <f t="shared" si="459"/>
        <v>0</v>
      </c>
      <c r="OQS1599" s="55">
        <f t="shared" si="459"/>
        <v>0</v>
      </c>
      <c r="OQT1599" s="55">
        <f t="shared" si="459"/>
        <v>0</v>
      </c>
      <c r="OQU1599" s="55">
        <f t="shared" si="459"/>
        <v>0</v>
      </c>
      <c r="OQV1599" s="55">
        <f t="shared" si="459"/>
        <v>0</v>
      </c>
      <c r="OQW1599" s="55">
        <f t="shared" si="459"/>
        <v>0</v>
      </c>
      <c r="OQX1599" s="55">
        <f t="shared" si="459"/>
        <v>0</v>
      </c>
      <c r="OQY1599" s="55">
        <f t="shared" si="459"/>
        <v>0</v>
      </c>
      <c r="OQZ1599" s="55">
        <f t="shared" si="459"/>
        <v>0</v>
      </c>
      <c r="ORA1599" s="55">
        <f t="shared" si="459"/>
        <v>0</v>
      </c>
      <c r="ORB1599" s="55">
        <f t="shared" si="459"/>
        <v>0</v>
      </c>
      <c r="ORC1599" s="55">
        <f t="shared" si="459"/>
        <v>0</v>
      </c>
      <c r="ORD1599" s="55">
        <f t="shared" si="459"/>
        <v>0</v>
      </c>
      <c r="ORE1599" s="55">
        <f t="shared" si="459"/>
        <v>0</v>
      </c>
      <c r="ORF1599" s="55">
        <f t="shared" si="459"/>
        <v>0</v>
      </c>
      <c r="ORG1599" s="55">
        <f t="shared" si="459"/>
        <v>0</v>
      </c>
      <c r="ORH1599" s="55">
        <f t="shared" si="459"/>
        <v>0</v>
      </c>
      <c r="ORI1599" s="55">
        <f t="shared" si="459"/>
        <v>0</v>
      </c>
      <c r="ORJ1599" s="55">
        <f t="shared" si="459"/>
        <v>0</v>
      </c>
      <c r="ORK1599" s="55">
        <f t="shared" si="459"/>
        <v>0</v>
      </c>
      <c r="ORL1599" s="55">
        <f t="shared" si="459"/>
        <v>0</v>
      </c>
      <c r="ORM1599" s="55">
        <f t="shared" si="459"/>
        <v>0</v>
      </c>
      <c r="ORN1599" s="55">
        <f t="shared" si="459"/>
        <v>0</v>
      </c>
      <c r="ORO1599" s="55">
        <f t="shared" si="459"/>
        <v>0</v>
      </c>
      <c r="ORP1599" s="55">
        <f t="shared" si="459"/>
        <v>0</v>
      </c>
      <c r="ORQ1599" s="55">
        <f t="shared" si="459"/>
        <v>0</v>
      </c>
      <c r="ORR1599" s="55">
        <f t="shared" si="459"/>
        <v>0</v>
      </c>
      <c r="ORS1599" s="55">
        <f t="shared" si="459"/>
        <v>0</v>
      </c>
      <c r="ORT1599" s="55">
        <f t="shared" si="459"/>
        <v>0</v>
      </c>
      <c r="ORU1599" s="55">
        <f t="shared" si="459"/>
        <v>0</v>
      </c>
      <c r="ORV1599" s="55">
        <f t="shared" si="459"/>
        <v>0</v>
      </c>
      <c r="ORW1599" s="55">
        <f t="shared" si="459"/>
        <v>0</v>
      </c>
      <c r="ORX1599" s="55">
        <f t="shared" si="459"/>
        <v>0</v>
      </c>
      <c r="ORY1599" s="55">
        <f t="shared" si="459"/>
        <v>0</v>
      </c>
      <c r="ORZ1599" s="55">
        <f t="shared" si="459"/>
        <v>0</v>
      </c>
      <c r="OSA1599" s="55">
        <f t="shared" si="459"/>
        <v>0</v>
      </c>
      <c r="OSB1599" s="55">
        <f t="shared" ref="OSB1599:OUM1599" si="460">+(OSB1619+OSB1623)*1.18*1.1</f>
        <v>0</v>
      </c>
      <c r="OSC1599" s="55">
        <f t="shared" si="460"/>
        <v>0</v>
      </c>
      <c r="OSD1599" s="55">
        <f t="shared" si="460"/>
        <v>0</v>
      </c>
      <c r="OSE1599" s="55">
        <f t="shared" si="460"/>
        <v>0</v>
      </c>
      <c r="OSF1599" s="55">
        <f t="shared" si="460"/>
        <v>0</v>
      </c>
      <c r="OSG1599" s="55">
        <f t="shared" si="460"/>
        <v>0</v>
      </c>
      <c r="OSH1599" s="55">
        <f t="shared" si="460"/>
        <v>0</v>
      </c>
      <c r="OSI1599" s="55">
        <f t="shared" si="460"/>
        <v>0</v>
      </c>
      <c r="OSJ1599" s="55">
        <f t="shared" si="460"/>
        <v>0</v>
      </c>
      <c r="OSK1599" s="55">
        <f t="shared" si="460"/>
        <v>0</v>
      </c>
      <c r="OSL1599" s="55">
        <f t="shared" si="460"/>
        <v>0</v>
      </c>
      <c r="OSM1599" s="55">
        <f t="shared" si="460"/>
        <v>0</v>
      </c>
      <c r="OSN1599" s="55">
        <f t="shared" si="460"/>
        <v>0</v>
      </c>
      <c r="OSO1599" s="55">
        <f t="shared" si="460"/>
        <v>0</v>
      </c>
      <c r="OSP1599" s="55">
        <f t="shared" si="460"/>
        <v>0</v>
      </c>
      <c r="OSQ1599" s="55">
        <f t="shared" si="460"/>
        <v>0</v>
      </c>
      <c r="OSR1599" s="55">
        <f t="shared" si="460"/>
        <v>0</v>
      </c>
      <c r="OSS1599" s="55">
        <f t="shared" si="460"/>
        <v>0</v>
      </c>
      <c r="OST1599" s="55">
        <f t="shared" si="460"/>
        <v>0</v>
      </c>
      <c r="OSU1599" s="55">
        <f t="shared" si="460"/>
        <v>0</v>
      </c>
      <c r="OSV1599" s="55">
        <f t="shared" si="460"/>
        <v>0</v>
      </c>
      <c r="OSW1599" s="55">
        <f t="shared" si="460"/>
        <v>0</v>
      </c>
      <c r="OSX1599" s="55">
        <f t="shared" si="460"/>
        <v>0</v>
      </c>
      <c r="OSY1599" s="55">
        <f t="shared" si="460"/>
        <v>0</v>
      </c>
      <c r="OSZ1599" s="55">
        <f t="shared" si="460"/>
        <v>0</v>
      </c>
      <c r="OTA1599" s="55">
        <f t="shared" si="460"/>
        <v>0</v>
      </c>
      <c r="OTB1599" s="55">
        <f t="shared" si="460"/>
        <v>0</v>
      </c>
      <c r="OTC1599" s="55">
        <f t="shared" si="460"/>
        <v>0</v>
      </c>
      <c r="OTD1599" s="55">
        <f t="shared" si="460"/>
        <v>0</v>
      </c>
      <c r="OTE1599" s="55">
        <f t="shared" si="460"/>
        <v>0</v>
      </c>
      <c r="OTF1599" s="55">
        <f t="shared" si="460"/>
        <v>0</v>
      </c>
      <c r="OTG1599" s="55">
        <f t="shared" si="460"/>
        <v>0</v>
      </c>
      <c r="OTH1599" s="55">
        <f t="shared" si="460"/>
        <v>0</v>
      </c>
      <c r="OTI1599" s="55">
        <f t="shared" si="460"/>
        <v>0</v>
      </c>
      <c r="OTJ1599" s="55">
        <f t="shared" si="460"/>
        <v>0</v>
      </c>
      <c r="OTK1599" s="55">
        <f t="shared" si="460"/>
        <v>0</v>
      </c>
      <c r="OTL1599" s="55">
        <f t="shared" si="460"/>
        <v>0</v>
      </c>
      <c r="OTM1599" s="55">
        <f t="shared" si="460"/>
        <v>0</v>
      </c>
      <c r="OTN1599" s="55">
        <f t="shared" si="460"/>
        <v>0</v>
      </c>
      <c r="OTO1599" s="55">
        <f t="shared" si="460"/>
        <v>0</v>
      </c>
      <c r="OTP1599" s="55">
        <f t="shared" si="460"/>
        <v>0</v>
      </c>
      <c r="OTQ1599" s="55">
        <f t="shared" si="460"/>
        <v>0</v>
      </c>
      <c r="OTR1599" s="55">
        <f t="shared" si="460"/>
        <v>0</v>
      </c>
      <c r="OTS1599" s="55">
        <f t="shared" si="460"/>
        <v>0</v>
      </c>
      <c r="OTT1599" s="55">
        <f t="shared" si="460"/>
        <v>0</v>
      </c>
      <c r="OTU1599" s="55">
        <f t="shared" si="460"/>
        <v>0</v>
      </c>
      <c r="OTV1599" s="55">
        <f t="shared" si="460"/>
        <v>0</v>
      </c>
      <c r="OTW1599" s="55">
        <f t="shared" si="460"/>
        <v>0</v>
      </c>
      <c r="OTX1599" s="55">
        <f t="shared" si="460"/>
        <v>0</v>
      </c>
      <c r="OTY1599" s="55">
        <f t="shared" si="460"/>
        <v>0</v>
      </c>
      <c r="OTZ1599" s="55">
        <f t="shared" si="460"/>
        <v>0</v>
      </c>
      <c r="OUA1599" s="55">
        <f t="shared" si="460"/>
        <v>0</v>
      </c>
      <c r="OUB1599" s="55">
        <f t="shared" si="460"/>
        <v>0</v>
      </c>
      <c r="OUC1599" s="55">
        <f t="shared" si="460"/>
        <v>0</v>
      </c>
      <c r="OUD1599" s="55">
        <f t="shared" si="460"/>
        <v>0</v>
      </c>
      <c r="OUE1599" s="55">
        <f t="shared" si="460"/>
        <v>0</v>
      </c>
      <c r="OUF1599" s="55">
        <f t="shared" si="460"/>
        <v>0</v>
      </c>
      <c r="OUG1599" s="55">
        <f t="shared" si="460"/>
        <v>0</v>
      </c>
      <c r="OUH1599" s="55">
        <f t="shared" si="460"/>
        <v>0</v>
      </c>
      <c r="OUI1599" s="55">
        <f t="shared" si="460"/>
        <v>0</v>
      </c>
      <c r="OUJ1599" s="55">
        <f t="shared" si="460"/>
        <v>0</v>
      </c>
      <c r="OUK1599" s="55">
        <f t="shared" si="460"/>
        <v>0</v>
      </c>
      <c r="OUL1599" s="55">
        <f t="shared" si="460"/>
        <v>0</v>
      </c>
      <c r="OUM1599" s="55">
        <f t="shared" si="460"/>
        <v>0</v>
      </c>
      <c r="OUN1599" s="55">
        <f t="shared" ref="OUN1599:OWY1599" si="461">+(OUN1619+OUN1623)*1.18*1.1</f>
        <v>0</v>
      </c>
      <c r="OUO1599" s="55">
        <f t="shared" si="461"/>
        <v>0</v>
      </c>
      <c r="OUP1599" s="55">
        <f t="shared" si="461"/>
        <v>0</v>
      </c>
      <c r="OUQ1599" s="55">
        <f t="shared" si="461"/>
        <v>0</v>
      </c>
      <c r="OUR1599" s="55">
        <f t="shared" si="461"/>
        <v>0</v>
      </c>
      <c r="OUS1599" s="55">
        <f t="shared" si="461"/>
        <v>0</v>
      </c>
      <c r="OUT1599" s="55">
        <f t="shared" si="461"/>
        <v>0</v>
      </c>
      <c r="OUU1599" s="55">
        <f t="shared" si="461"/>
        <v>0</v>
      </c>
      <c r="OUV1599" s="55">
        <f t="shared" si="461"/>
        <v>0</v>
      </c>
      <c r="OUW1599" s="55">
        <f t="shared" si="461"/>
        <v>0</v>
      </c>
      <c r="OUX1599" s="55">
        <f t="shared" si="461"/>
        <v>0</v>
      </c>
      <c r="OUY1599" s="55">
        <f t="shared" si="461"/>
        <v>0</v>
      </c>
      <c r="OUZ1599" s="55">
        <f t="shared" si="461"/>
        <v>0</v>
      </c>
      <c r="OVA1599" s="55">
        <f t="shared" si="461"/>
        <v>0</v>
      </c>
      <c r="OVB1599" s="55">
        <f t="shared" si="461"/>
        <v>0</v>
      </c>
      <c r="OVC1599" s="55">
        <f t="shared" si="461"/>
        <v>0</v>
      </c>
      <c r="OVD1599" s="55">
        <f t="shared" si="461"/>
        <v>0</v>
      </c>
      <c r="OVE1599" s="55">
        <f t="shared" si="461"/>
        <v>0</v>
      </c>
      <c r="OVF1599" s="55">
        <f t="shared" si="461"/>
        <v>0</v>
      </c>
      <c r="OVG1599" s="55">
        <f t="shared" si="461"/>
        <v>0</v>
      </c>
      <c r="OVH1599" s="55">
        <f t="shared" si="461"/>
        <v>0</v>
      </c>
      <c r="OVI1599" s="55">
        <f t="shared" si="461"/>
        <v>0</v>
      </c>
      <c r="OVJ1599" s="55">
        <f t="shared" si="461"/>
        <v>0</v>
      </c>
      <c r="OVK1599" s="55">
        <f t="shared" si="461"/>
        <v>0</v>
      </c>
      <c r="OVL1599" s="55">
        <f t="shared" si="461"/>
        <v>0</v>
      </c>
      <c r="OVM1599" s="55">
        <f t="shared" si="461"/>
        <v>0</v>
      </c>
      <c r="OVN1599" s="55">
        <f t="shared" si="461"/>
        <v>0</v>
      </c>
      <c r="OVO1599" s="55">
        <f t="shared" si="461"/>
        <v>0</v>
      </c>
      <c r="OVP1599" s="55">
        <f t="shared" si="461"/>
        <v>0</v>
      </c>
      <c r="OVQ1599" s="55">
        <f t="shared" si="461"/>
        <v>0</v>
      </c>
      <c r="OVR1599" s="55">
        <f t="shared" si="461"/>
        <v>0</v>
      </c>
      <c r="OVS1599" s="55">
        <f t="shared" si="461"/>
        <v>0</v>
      </c>
      <c r="OVT1599" s="55">
        <f t="shared" si="461"/>
        <v>0</v>
      </c>
      <c r="OVU1599" s="55">
        <f t="shared" si="461"/>
        <v>0</v>
      </c>
      <c r="OVV1599" s="55">
        <f t="shared" si="461"/>
        <v>0</v>
      </c>
      <c r="OVW1599" s="55">
        <f t="shared" si="461"/>
        <v>0</v>
      </c>
      <c r="OVX1599" s="55">
        <f t="shared" si="461"/>
        <v>0</v>
      </c>
      <c r="OVY1599" s="55">
        <f t="shared" si="461"/>
        <v>0</v>
      </c>
      <c r="OVZ1599" s="55">
        <f t="shared" si="461"/>
        <v>0</v>
      </c>
      <c r="OWA1599" s="55">
        <f t="shared" si="461"/>
        <v>0</v>
      </c>
      <c r="OWB1599" s="55">
        <f t="shared" si="461"/>
        <v>0</v>
      </c>
      <c r="OWC1599" s="55">
        <f t="shared" si="461"/>
        <v>0</v>
      </c>
      <c r="OWD1599" s="55">
        <f t="shared" si="461"/>
        <v>0</v>
      </c>
      <c r="OWE1599" s="55">
        <f t="shared" si="461"/>
        <v>0</v>
      </c>
      <c r="OWF1599" s="55">
        <f t="shared" si="461"/>
        <v>0</v>
      </c>
      <c r="OWG1599" s="55">
        <f t="shared" si="461"/>
        <v>0</v>
      </c>
      <c r="OWH1599" s="55">
        <f t="shared" si="461"/>
        <v>0</v>
      </c>
      <c r="OWI1599" s="55">
        <f t="shared" si="461"/>
        <v>0</v>
      </c>
      <c r="OWJ1599" s="55">
        <f t="shared" si="461"/>
        <v>0</v>
      </c>
      <c r="OWK1599" s="55">
        <f t="shared" si="461"/>
        <v>0</v>
      </c>
      <c r="OWL1599" s="55">
        <f t="shared" si="461"/>
        <v>0</v>
      </c>
      <c r="OWM1599" s="55">
        <f t="shared" si="461"/>
        <v>0</v>
      </c>
      <c r="OWN1599" s="55">
        <f t="shared" si="461"/>
        <v>0</v>
      </c>
      <c r="OWO1599" s="55">
        <f t="shared" si="461"/>
        <v>0</v>
      </c>
      <c r="OWP1599" s="55">
        <f t="shared" si="461"/>
        <v>0</v>
      </c>
      <c r="OWQ1599" s="55">
        <f t="shared" si="461"/>
        <v>0</v>
      </c>
      <c r="OWR1599" s="55">
        <f t="shared" si="461"/>
        <v>0</v>
      </c>
      <c r="OWS1599" s="55">
        <f t="shared" si="461"/>
        <v>0</v>
      </c>
      <c r="OWT1599" s="55">
        <f t="shared" si="461"/>
        <v>0</v>
      </c>
      <c r="OWU1599" s="55">
        <f t="shared" si="461"/>
        <v>0</v>
      </c>
      <c r="OWV1599" s="55">
        <f t="shared" si="461"/>
        <v>0</v>
      </c>
      <c r="OWW1599" s="55">
        <f t="shared" si="461"/>
        <v>0</v>
      </c>
      <c r="OWX1599" s="55">
        <f t="shared" si="461"/>
        <v>0</v>
      </c>
      <c r="OWY1599" s="55">
        <f t="shared" si="461"/>
        <v>0</v>
      </c>
      <c r="OWZ1599" s="55">
        <f t="shared" ref="OWZ1599:OZK1599" si="462">+(OWZ1619+OWZ1623)*1.18*1.1</f>
        <v>0</v>
      </c>
      <c r="OXA1599" s="55">
        <f t="shared" si="462"/>
        <v>0</v>
      </c>
      <c r="OXB1599" s="55">
        <f t="shared" si="462"/>
        <v>0</v>
      </c>
      <c r="OXC1599" s="55">
        <f t="shared" si="462"/>
        <v>0</v>
      </c>
      <c r="OXD1599" s="55">
        <f t="shared" si="462"/>
        <v>0</v>
      </c>
      <c r="OXE1599" s="55">
        <f t="shared" si="462"/>
        <v>0</v>
      </c>
      <c r="OXF1599" s="55">
        <f t="shared" si="462"/>
        <v>0</v>
      </c>
      <c r="OXG1599" s="55">
        <f t="shared" si="462"/>
        <v>0</v>
      </c>
      <c r="OXH1599" s="55">
        <f t="shared" si="462"/>
        <v>0</v>
      </c>
      <c r="OXI1599" s="55">
        <f t="shared" si="462"/>
        <v>0</v>
      </c>
      <c r="OXJ1599" s="55">
        <f t="shared" si="462"/>
        <v>0</v>
      </c>
      <c r="OXK1599" s="55">
        <f t="shared" si="462"/>
        <v>0</v>
      </c>
      <c r="OXL1599" s="55">
        <f t="shared" si="462"/>
        <v>0</v>
      </c>
      <c r="OXM1599" s="55">
        <f t="shared" si="462"/>
        <v>0</v>
      </c>
      <c r="OXN1599" s="55">
        <f t="shared" si="462"/>
        <v>0</v>
      </c>
      <c r="OXO1599" s="55">
        <f t="shared" si="462"/>
        <v>0</v>
      </c>
      <c r="OXP1599" s="55">
        <f t="shared" si="462"/>
        <v>0</v>
      </c>
      <c r="OXQ1599" s="55">
        <f t="shared" si="462"/>
        <v>0</v>
      </c>
      <c r="OXR1599" s="55">
        <f t="shared" si="462"/>
        <v>0</v>
      </c>
      <c r="OXS1599" s="55">
        <f t="shared" si="462"/>
        <v>0</v>
      </c>
      <c r="OXT1599" s="55">
        <f t="shared" si="462"/>
        <v>0</v>
      </c>
      <c r="OXU1599" s="55">
        <f t="shared" si="462"/>
        <v>0</v>
      </c>
      <c r="OXV1599" s="55">
        <f t="shared" si="462"/>
        <v>0</v>
      </c>
      <c r="OXW1599" s="55">
        <f t="shared" si="462"/>
        <v>0</v>
      </c>
      <c r="OXX1599" s="55">
        <f t="shared" si="462"/>
        <v>0</v>
      </c>
      <c r="OXY1599" s="55">
        <f t="shared" si="462"/>
        <v>0</v>
      </c>
      <c r="OXZ1599" s="55">
        <f t="shared" si="462"/>
        <v>0</v>
      </c>
      <c r="OYA1599" s="55">
        <f t="shared" si="462"/>
        <v>0</v>
      </c>
      <c r="OYB1599" s="55">
        <f t="shared" si="462"/>
        <v>0</v>
      </c>
      <c r="OYC1599" s="55">
        <f t="shared" si="462"/>
        <v>0</v>
      </c>
      <c r="OYD1599" s="55">
        <f t="shared" si="462"/>
        <v>0</v>
      </c>
      <c r="OYE1599" s="55">
        <f t="shared" si="462"/>
        <v>0</v>
      </c>
      <c r="OYF1599" s="55">
        <f t="shared" si="462"/>
        <v>0</v>
      </c>
      <c r="OYG1599" s="55">
        <f t="shared" si="462"/>
        <v>0</v>
      </c>
      <c r="OYH1599" s="55">
        <f t="shared" si="462"/>
        <v>0</v>
      </c>
      <c r="OYI1599" s="55">
        <f t="shared" si="462"/>
        <v>0</v>
      </c>
      <c r="OYJ1599" s="55">
        <f t="shared" si="462"/>
        <v>0</v>
      </c>
      <c r="OYK1599" s="55">
        <f t="shared" si="462"/>
        <v>0</v>
      </c>
      <c r="OYL1599" s="55">
        <f t="shared" si="462"/>
        <v>0</v>
      </c>
      <c r="OYM1599" s="55">
        <f t="shared" si="462"/>
        <v>0</v>
      </c>
      <c r="OYN1599" s="55">
        <f t="shared" si="462"/>
        <v>0</v>
      </c>
      <c r="OYO1599" s="55">
        <f t="shared" si="462"/>
        <v>0</v>
      </c>
      <c r="OYP1599" s="55">
        <f t="shared" si="462"/>
        <v>0</v>
      </c>
      <c r="OYQ1599" s="55">
        <f t="shared" si="462"/>
        <v>0</v>
      </c>
      <c r="OYR1599" s="55">
        <f t="shared" si="462"/>
        <v>0</v>
      </c>
      <c r="OYS1599" s="55">
        <f t="shared" si="462"/>
        <v>0</v>
      </c>
      <c r="OYT1599" s="55">
        <f t="shared" si="462"/>
        <v>0</v>
      </c>
      <c r="OYU1599" s="55">
        <f t="shared" si="462"/>
        <v>0</v>
      </c>
      <c r="OYV1599" s="55">
        <f t="shared" si="462"/>
        <v>0</v>
      </c>
      <c r="OYW1599" s="55">
        <f t="shared" si="462"/>
        <v>0</v>
      </c>
      <c r="OYX1599" s="55">
        <f t="shared" si="462"/>
        <v>0</v>
      </c>
      <c r="OYY1599" s="55">
        <f t="shared" si="462"/>
        <v>0</v>
      </c>
      <c r="OYZ1599" s="55">
        <f t="shared" si="462"/>
        <v>0</v>
      </c>
      <c r="OZA1599" s="55">
        <f t="shared" si="462"/>
        <v>0</v>
      </c>
      <c r="OZB1599" s="55">
        <f t="shared" si="462"/>
        <v>0</v>
      </c>
      <c r="OZC1599" s="55">
        <f t="shared" si="462"/>
        <v>0</v>
      </c>
      <c r="OZD1599" s="55">
        <f t="shared" si="462"/>
        <v>0</v>
      </c>
      <c r="OZE1599" s="55">
        <f t="shared" si="462"/>
        <v>0</v>
      </c>
      <c r="OZF1599" s="55">
        <f t="shared" si="462"/>
        <v>0</v>
      </c>
      <c r="OZG1599" s="55">
        <f t="shared" si="462"/>
        <v>0</v>
      </c>
      <c r="OZH1599" s="55">
        <f t="shared" si="462"/>
        <v>0</v>
      </c>
      <c r="OZI1599" s="55">
        <f t="shared" si="462"/>
        <v>0</v>
      </c>
      <c r="OZJ1599" s="55">
        <f t="shared" si="462"/>
        <v>0</v>
      </c>
      <c r="OZK1599" s="55">
        <f t="shared" si="462"/>
        <v>0</v>
      </c>
      <c r="OZL1599" s="55">
        <f t="shared" ref="OZL1599:PBW1599" si="463">+(OZL1619+OZL1623)*1.18*1.1</f>
        <v>0</v>
      </c>
      <c r="OZM1599" s="55">
        <f t="shared" si="463"/>
        <v>0</v>
      </c>
      <c r="OZN1599" s="55">
        <f t="shared" si="463"/>
        <v>0</v>
      </c>
      <c r="OZO1599" s="55">
        <f t="shared" si="463"/>
        <v>0</v>
      </c>
      <c r="OZP1599" s="55">
        <f t="shared" si="463"/>
        <v>0</v>
      </c>
      <c r="OZQ1599" s="55">
        <f t="shared" si="463"/>
        <v>0</v>
      </c>
      <c r="OZR1599" s="55">
        <f t="shared" si="463"/>
        <v>0</v>
      </c>
      <c r="OZS1599" s="55">
        <f t="shared" si="463"/>
        <v>0</v>
      </c>
      <c r="OZT1599" s="55">
        <f t="shared" si="463"/>
        <v>0</v>
      </c>
      <c r="OZU1599" s="55">
        <f t="shared" si="463"/>
        <v>0</v>
      </c>
      <c r="OZV1599" s="55">
        <f t="shared" si="463"/>
        <v>0</v>
      </c>
      <c r="OZW1599" s="55">
        <f t="shared" si="463"/>
        <v>0</v>
      </c>
      <c r="OZX1599" s="55">
        <f t="shared" si="463"/>
        <v>0</v>
      </c>
      <c r="OZY1599" s="55">
        <f t="shared" si="463"/>
        <v>0</v>
      </c>
      <c r="OZZ1599" s="55">
        <f t="shared" si="463"/>
        <v>0</v>
      </c>
      <c r="PAA1599" s="55">
        <f t="shared" si="463"/>
        <v>0</v>
      </c>
      <c r="PAB1599" s="55">
        <f t="shared" si="463"/>
        <v>0</v>
      </c>
      <c r="PAC1599" s="55">
        <f t="shared" si="463"/>
        <v>0</v>
      </c>
      <c r="PAD1599" s="55">
        <f t="shared" si="463"/>
        <v>0</v>
      </c>
      <c r="PAE1599" s="55">
        <f t="shared" si="463"/>
        <v>0</v>
      </c>
      <c r="PAF1599" s="55">
        <f t="shared" si="463"/>
        <v>0</v>
      </c>
      <c r="PAG1599" s="55">
        <f t="shared" si="463"/>
        <v>0</v>
      </c>
      <c r="PAH1599" s="55">
        <f t="shared" si="463"/>
        <v>0</v>
      </c>
      <c r="PAI1599" s="55">
        <f t="shared" si="463"/>
        <v>0</v>
      </c>
      <c r="PAJ1599" s="55">
        <f t="shared" si="463"/>
        <v>0</v>
      </c>
      <c r="PAK1599" s="55">
        <f t="shared" si="463"/>
        <v>0</v>
      </c>
      <c r="PAL1599" s="55">
        <f t="shared" si="463"/>
        <v>0</v>
      </c>
      <c r="PAM1599" s="55">
        <f t="shared" si="463"/>
        <v>0</v>
      </c>
      <c r="PAN1599" s="55">
        <f t="shared" si="463"/>
        <v>0</v>
      </c>
      <c r="PAO1599" s="55">
        <f t="shared" si="463"/>
        <v>0</v>
      </c>
      <c r="PAP1599" s="55">
        <f t="shared" si="463"/>
        <v>0</v>
      </c>
      <c r="PAQ1599" s="55">
        <f t="shared" si="463"/>
        <v>0</v>
      </c>
      <c r="PAR1599" s="55">
        <f t="shared" si="463"/>
        <v>0</v>
      </c>
      <c r="PAS1599" s="55">
        <f t="shared" si="463"/>
        <v>0</v>
      </c>
      <c r="PAT1599" s="55">
        <f t="shared" si="463"/>
        <v>0</v>
      </c>
      <c r="PAU1599" s="55">
        <f t="shared" si="463"/>
        <v>0</v>
      </c>
      <c r="PAV1599" s="55">
        <f t="shared" si="463"/>
        <v>0</v>
      </c>
      <c r="PAW1599" s="55">
        <f t="shared" si="463"/>
        <v>0</v>
      </c>
      <c r="PAX1599" s="55">
        <f t="shared" si="463"/>
        <v>0</v>
      </c>
      <c r="PAY1599" s="55">
        <f t="shared" si="463"/>
        <v>0</v>
      </c>
      <c r="PAZ1599" s="55">
        <f t="shared" si="463"/>
        <v>0</v>
      </c>
      <c r="PBA1599" s="55">
        <f t="shared" si="463"/>
        <v>0</v>
      </c>
      <c r="PBB1599" s="55">
        <f t="shared" si="463"/>
        <v>0</v>
      </c>
      <c r="PBC1599" s="55">
        <f t="shared" si="463"/>
        <v>0</v>
      </c>
      <c r="PBD1599" s="55">
        <f t="shared" si="463"/>
        <v>0</v>
      </c>
      <c r="PBE1599" s="55">
        <f t="shared" si="463"/>
        <v>0</v>
      </c>
      <c r="PBF1599" s="55">
        <f t="shared" si="463"/>
        <v>0</v>
      </c>
      <c r="PBG1599" s="55">
        <f t="shared" si="463"/>
        <v>0</v>
      </c>
      <c r="PBH1599" s="55">
        <f t="shared" si="463"/>
        <v>0</v>
      </c>
      <c r="PBI1599" s="55">
        <f t="shared" si="463"/>
        <v>0</v>
      </c>
      <c r="PBJ1599" s="55">
        <f t="shared" si="463"/>
        <v>0</v>
      </c>
      <c r="PBK1599" s="55">
        <f t="shared" si="463"/>
        <v>0</v>
      </c>
      <c r="PBL1599" s="55">
        <f t="shared" si="463"/>
        <v>0</v>
      </c>
      <c r="PBM1599" s="55">
        <f t="shared" si="463"/>
        <v>0</v>
      </c>
      <c r="PBN1599" s="55">
        <f t="shared" si="463"/>
        <v>0</v>
      </c>
      <c r="PBO1599" s="55">
        <f t="shared" si="463"/>
        <v>0</v>
      </c>
      <c r="PBP1599" s="55">
        <f t="shared" si="463"/>
        <v>0</v>
      </c>
      <c r="PBQ1599" s="55">
        <f t="shared" si="463"/>
        <v>0</v>
      </c>
      <c r="PBR1599" s="55">
        <f t="shared" si="463"/>
        <v>0</v>
      </c>
      <c r="PBS1599" s="55">
        <f t="shared" si="463"/>
        <v>0</v>
      </c>
      <c r="PBT1599" s="55">
        <f t="shared" si="463"/>
        <v>0</v>
      </c>
      <c r="PBU1599" s="55">
        <f t="shared" si="463"/>
        <v>0</v>
      </c>
      <c r="PBV1599" s="55">
        <f t="shared" si="463"/>
        <v>0</v>
      </c>
      <c r="PBW1599" s="55">
        <f t="shared" si="463"/>
        <v>0</v>
      </c>
      <c r="PBX1599" s="55">
        <f t="shared" ref="PBX1599:PEI1599" si="464">+(PBX1619+PBX1623)*1.18*1.1</f>
        <v>0</v>
      </c>
      <c r="PBY1599" s="55">
        <f t="shared" si="464"/>
        <v>0</v>
      </c>
      <c r="PBZ1599" s="55">
        <f t="shared" si="464"/>
        <v>0</v>
      </c>
      <c r="PCA1599" s="55">
        <f t="shared" si="464"/>
        <v>0</v>
      </c>
      <c r="PCB1599" s="55">
        <f t="shared" si="464"/>
        <v>0</v>
      </c>
      <c r="PCC1599" s="55">
        <f t="shared" si="464"/>
        <v>0</v>
      </c>
      <c r="PCD1599" s="55">
        <f t="shared" si="464"/>
        <v>0</v>
      </c>
      <c r="PCE1599" s="55">
        <f t="shared" si="464"/>
        <v>0</v>
      </c>
      <c r="PCF1599" s="55">
        <f t="shared" si="464"/>
        <v>0</v>
      </c>
      <c r="PCG1599" s="55">
        <f t="shared" si="464"/>
        <v>0</v>
      </c>
      <c r="PCH1599" s="55">
        <f t="shared" si="464"/>
        <v>0</v>
      </c>
      <c r="PCI1599" s="55">
        <f t="shared" si="464"/>
        <v>0</v>
      </c>
      <c r="PCJ1599" s="55">
        <f t="shared" si="464"/>
        <v>0</v>
      </c>
      <c r="PCK1599" s="55">
        <f t="shared" si="464"/>
        <v>0</v>
      </c>
      <c r="PCL1599" s="55">
        <f t="shared" si="464"/>
        <v>0</v>
      </c>
      <c r="PCM1599" s="55">
        <f t="shared" si="464"/>
        <v>0</v>
      </c>
      <c r="PCN1599" s="55">
        <f t="shared" si="464"/>
        <v>0</v>
      </c>
      <c r="PCO1599" s="55">
        <f t="shared" si="464"/>
        <v>0</v>
      </c>
      <c r="PCP1599" s="55">
        <f t="shared" si="464"/>
        <v>0</v>
      </c>
      <c r="PCQ1599" s="55">
        <f t="shared" si="464"/>
        <v>0</v>
      </c>
      <c r="PCR1599" s="55">
        <f t="shared" si="464"/>
        <v>0</v>
      </c>
      <c r="PCS1599" s="55">
        <f t="shared" si="464"/>
        <v>0</v>
      </c>
      <c r="PCT1599" s="55">
        <f t="shared" si="464"/>
        <v>0</v>
      </c>
      <c r="PCU1599" s="55">
        <f t="shared" si="464"/>
        <v>0</v>
      </c>
      <c r="PCV1599" s="55">
        <f t="shared" si="464"/>
        <v>0</v>
      </c>
      <c r="PCW1599" s="55">
        <f t="shared" si="464"/>
        <v>0</v>
      </c>
      <c r="PCX1599" s="55">
        <f t="shared" si="464"/>
        <v>0</v>
      </c>
      <c r="PCY1599" s="55">
        <f t="shared" si="464"/>
        <v>0</v>
      </c>
      <c r="PCZ1599" s="55">
        <f t="shared" si="464"/>
        <v>0</v>
      </c>
      <c r="PDA1599" s="55">
        <f t="shared" si="464"/>
        <v>0</v>
      </c>
      <c r="PDB1599" s="55">
        <f t="shared" si="464"/>
        <v>0</v>
      </c>
      <c r="PDC1599" s="55">
        <f t="shared" si="464"/>
        <v>0</v>
      </c>
      <c r="PDD1599" s="55">
        <f t="shared" si="464"/>
        <v>0</v>
      </c>
      <c r="PDE1599" s="55">
        <f t="shared" si="464"/>
        <v>0</v>
      </c>
      <c r="PDF1599" s="55">
        <f t="shared" si="464"/>
        <v>0</v>
      </c>
      <c r="PDG1599" s="55">
        <f t="shared" si="464"/>
        <v>0</v>
      </c>
      <c r="PDH1599" s="55">
        <f t="shared" si="464"/>
        <v>0</v>
      </c>
      <c r="PDI1599" s="55">
        <f t="shared" si="464"/>
        <v>0</v>
      </c>
      <c r="PDJ1599" s="55">
        <f t="shared" si="464"/>
        <v>0</v>
      </c>
      <c r="PDK1599" s="55">
        <f t="shared" si="464"/>
        <v>0</v>
      </c>
      <c r="PDL1599" s="55">
        <f t="shared" si="464"/>
        <v>0</v>
      </c>
      <c r="PDM1599" s="55">
        <f t="shared" si="464"/>
        <v>0</v>
      </c>
      <c r="PDN1599" s="55">
        <f t="shared" si="464"/>
        <v>0</v>
      </c>
      <c r="PDO1599" s="55">
        <f t="shared" si="464"/>
        <v>0</v>
      </c>
      <c r="PDP1599" s="55">
        <f t="shared" si="464"/>
        <v>0</v>
      </c>
      <c r="PDQ1599" s="55">
        <f t="shared" si="464"/>
        <v>0</v>
      </c>
      <c r="PDR1599" s="55">
        <f t="shared" si="464"/>
        <v>0</v>
      </c>
      <c r="PDS1599" s="55">
        <f t="shared" si="464"/>
        <v>0</v>
      </c>
      <c r="PDT1599" s="55">
        <f t="shared" si="464"/>
        <v>0</v>
      </c>
      <c r="PDU1599" s="55">
        <f t="shared" si="464"/>
        <v>0</v>
      </c>
      <c r="PDV1599" s="55">
        <f t="shared" si="464"/>
        <v>0</v>
      </c>
      <c r="PDW1599" s="55">
        <f t="shared" si="464"/>
        <v>0</v>
      </c>
      <c r="PDX1599" s="55">
        <f t="shared" si="464"/>
        <v>0</v>
      </c>
      <c r="PDY1599" s="55">
        <f t="shared" si="464"/>
        <v>0</v>
      </c>
      <c r="PDZ1599" s="55">
        <f t="shared" si="464"/>
        <v>0</v>
      </c>
      <c r="PEA1599" s="55">
        <f t="shared" si="464"/>
        <v>0</v>
      </c>
      <c r="PEB1599" s="55">
        <f t="shared" si="464"/>
        <v>0</v>
      </c>
      <c r="PEC1599" s="55">
        <f t="shared" si="464"/>
        <v>0</v>
      </c>
      <c r="PED1599" s="55">
        <f t="shared" si="464"/>
        <v>0</v>
      </c>
      <c r="PEE1599" s="55">
        <f t="shared" si="464"/>
        <v>0</v>
      </c>
      <c r="PEF1599" s="55">
        <f t="shared" si="464"/>
        <v>0</v>
      </c>
      <c r="PEG1599" s="55">
        <f t="shared" si="464"/>
        <v>0</v>
      </c>
      <c r="PEH1599" s="55">
        <f t="shared" si="464"/>
        <v>0</v>
      </c>
      <c r="PEI1599" s="55">
        <f t="shared" si="464"/>
        <v>0</v>
      </c>
      <c r="PEJ1599" s="55">
        <f t="shared" ref="PEJ1599:PGU1599" si="465">+(PEJ1619+PEJ1623)*1.18*1.1</f>
        <v>0</v>
      </c>
      <c r="PEK1599" s="55">
        <f t="shared" si="465"/>
        <v>0</v>
      </c>
      <c r="PEL1599" s="55">
        <f t="shared" si="465"/>
        <v>0</v>
      </c>
      <c r="PEM1599" s="55">
        <f t="shared" si="465"/>
        <v>0</v>
      </c>
      <c r="PEN1599" s="55">
        <f t="shared" si="465"/>
        <v>0</v>
      </c>
      <c r="PEO1599" s="55">
        <f t="shared" si="465"/>
        <v>0</v>
      </c>
      <c r="PEP1599" s="55">
        <f t="shared" si="465"/>
        <v>0</v>
      </c>
      <c r="PEQ1599" s="55">
        <f t="shared" si="465"/>
        <v>0</v>
      </c>
      <c r="PER1599" s="55">
        <f t="shared" si="465"/>
        <v>0</v>
      </c>
      <c r="PES1599" s="55">
        <f t="shared" si="465"/>
        <v>0</v>
      </c>
      <c r="PET1599" s="55">
        <f t="shared" si="465"/>
        <v>0</v>
      </c>
      <c r="PEU1599" s="55">
        <f t="shared" si="465"/>
        <v>0</v>
      </c>
      <c r="PEV1599" s="55">
        <f t="shared" si="465"/>
        <v>0</v>
      </c>
      <c r="PEW1599" s="55">
        <f t="shared" si="465"/>
        <v>0</v>
      </c>
      <c r="PEX1599" s="55">
        <f t="shared" si="465"/>
        <v>0</v>
      </c>
      <c r="PEY1599" s="55">
        <f t="shared" si="465"/>
        <v>0</v>
      </c>
      <c r="PEZ1599" s="55">
        <f t="shared" si="465"/>
        <v>0</v>
      </c>
      <c r="PFA1599" s="55">
        <f t="shared" si="465"/>
        <v>0</v>
      </c>
      <c r="PFB1599" s="55">
        <f t="shared" si="465"/>
        <v>0</v>
      </c>
      <c r="PFC1599" s="55">
        <f t="shared" si="465"/>
        <v>0</v>
      </c>
      <c r="PFD1599" s="55">
        <f t="shared" si="465"/>
        <v>0</v>
      </c>
      <c r="PFE1599" s="55">
        <f t="shared" si="465"/>
        <v>0</v>
      </c>
      <c r="PFF1599" s="55">
        <f t="shared" si="465"/>
        <v>0</v>
      </c>
      <c r="PFG1599" s="55">
        <f t="shared" si="465"/>
        <v>0</v>
      </c>
      <c r="PFH1599" s="55">
        <f t="shared" si="465"/>
        <v>0</v>
      </c>
      <c r="PFI1599" s="55">
        <f t="shared" si="465"/>
        <v>0</v>
      </c>
      <c r="PFJ1599" s="55">
        <f t="shared" si="465"/>
        <v>0</v>
      </c>
      <c r="PFK1599" s="55">
        <f t="shared" si="465"/>
        <v>0</v>
      </c>
      <c r="PFL1599" s="55">
        <f t="shared" si="465"/>
        <v>0</v>
      </c>
      <c r="PFM1599" s="55">
        <f t="shared" si="465"/>
        <v>0</v>
      </c>
      <c r="PFN1599" s="55">
        <f t="shared" si="465"/>
        <v>0</v>
      </c>
      <c r="PFO1599" s="55">
        <f t="shared" si="465"/>
        <v>0</v>
      </c>
      <c r="PFP1599" s="55">
        <f t="shared" si="465"/>
        <v>0</v>
      </c>
      <c r="PFQ1599" s="55">
        <f t="shared" si="465"/>
        <v>0</v>
      </c>
      <c r="PFR1599" s="55">
        <f t="shared" si="465"/>
        <v>0</v>
      </c>
      <c r="PFS1599" s="55">
        <f t="shared" si="465"/>
        <v>0</v>
      </c>
      <c r="PFT1599" s="55">
        <f t="shared" si="465"/>
        <v>0</v>
      </c>
      <c r="PFU1599" s="55">
        <f t="shared" si="465"/>
        <v>0</v>
      </c>
      <c r="PFV1599" s="55">
        <f t="shared" si="465"/>
        <v>0</v>
      </c>
      <c r="PFW1599" s="55">
        <f t="shared" si="465"/>
        <v>0</v>
      </c>
      <c r="PFX1599" s="55">
        <f t="shared" si="465"/>
        <v>0</v>
      </c>
      <c r="PFY1599" s="55">
        <f t="shared" si="465"/>
        <v>0</v>
      </c>
      <c r="PFZ1599" s="55">
        <f t="shared" si="465"/>
        <v>0</v>
      </c>
      <c r="PGA1599" s="55">
        <f t="shared" si="465"/>
        <v>0</v>
      </c>
      <c r="PGB1599" s="55">
        <f t="shared" si="465"/>
        <v>0</v>
      </c>
      <c r="PGC1599" s="55">
        <f t="shared" si="465"/>
        <v>0</v>
      </c>
      <c r="PGD1599" s="55">
        <f t="shared" si="465"/>
        <v>0</v>
      </c>
      <c r="PGE1599" s="55">
        <f t="shared" si="465"/>
        <v>0</v>
      </c>
      <c r="PGF1599" s="55">
        <f t="shared" si="465"/>
        <v>0</v>
      </c>
      <c r="PGG1599" s="55">
        <f t="shared" si="465"/>
        <v>0</v>
      </c>
      <c r="PGH1599" s="55">
        <f t="shared" si="465"/>
        <v>0</v>
      </c>
      <c r="PGI1599" s="55">
        <f t="shared" si="465"/>
        <v>0</v>
      </c>
      <c r="PGJ1599" s="55">
        <f t="shared" si="465"/>
        <v>0</v>
      </c>
      <c r="PGK1599" s="55">
        <f t="shared" si="465"/>
        <v>0</v>
      </c>
      <c r="PGL1599" s="55">
        <f t="shared" si="465"/>
        <v>0</v>
      </c>
      <c r="PGM1599" s="55">
        <f t="shared" si="465"/>
        <v>0</v>
      </c>
      <c r="PGN1599" s="55">
        <f t="shared" si="465"/>
        <v>0</v>
      </c>
      <c r="PGO1599" s="55">
        <f t="shared" si="465"/>
        <v>0</v>
      </c>
      <c r="PGP1599" s="55">
        <f t="shared" si="465"/>
        <v>0</v>
      </c>
      <c r="PGQ1599" s="55">
        <f t="shared" si="465"/>
        <v>0</v>
      </c>
      <c r="PGR1599" s="55">
        <f t="shared" si="465"/>
        <v>0</v>
      </c>
      <c r="PGS1599" s="55">
        <f t="shared" si="465"/>
        <v>0</v>
      </c>
      <c r="PGT1599" s="55">
        <f t="shared" si="465"/>
        <v>0</v>
      </c>
      <c r="PGU1599" s="55">
        <f t="shared" si="465"/>
        <v>0</v>
      </c>
      <c r="PGV1599" s="55">
        <f t="shared" ref="PGV1599:PJG1599" si="466">+(PGV1619+PGV1623)*1.18*1.1</f>
        <v>0</v>
      </c>
      <c r="PGW1599" s="55">
        <f t="shared" si="466"/>
        <v>0</v>
      </c>
      <c r="PGX1599" s="55">
        <f t="shared" si="466"/>
        <v>0</v>
      </c>
      <c r="PGY1599" s="55">
        <f t="shared" si="466"/>
        <v>0</v>
      </c>
      <c r="PGZ1599" s="55">
        <f t="shared" si="466"/>
        <v>0</v>
      </c>
      <c r="PHA1599" s="55">
        <f t="shared" si="466"/>
        <v>0</v>
      </c>
      <c r="PHB1599" s="55">
        <f t="shared" si="466"/>
        <v>0</v>
      </c>
      <c r="PHC1599" s="55">
        <f t="shared" si="466"/>
        <v>0</v>
      </c>
      <c r="PHD1599" s="55">
        <f t="shared" si="466"/>
        <v>0</v>
      </c>
      <c r="PHE1599" s="55">
        <f t="shared" si="466"/>
        <v>0</v>
      </c>
      <c r="PHF1599" s="55">
        <f t="shared" si="466"/>
        <v>0</v>
      </c>
      <c r="PHG1599" s="55">
        <f t="shared" si="466"/>
        <v>0</v>
      </c>
      <c r="PHH1599" s="55">
        <f t="shared" si="466"/>
        <v>0</v>
      </c>
      <c r="PHI1599" s="55">
        <f t="shared" si="466"/>
        <v>0</v>
      </c>
      <c r="PHJ1599" s="55">
        <f t="shared" si="466"/>
        <v>0</v>
      </c>
      <c r="PHK1599" s="55">
        <f t="shared" si="466"/>
        <v>0</v>
      </c>
      <c r="PHL1599" s="55">
        <f t="shared" si="466"/>
        <v>0</v>
      </c>
      <c r="PHM1599" s="55">
        <f t="shared" si="466"/>
        <v>0</v>
      </c>
      <c r="PHN1599" s="55">
        <f t="shared" si="466"/>
        <v>0</v>
      </c>
      <c r="PHO1599" s="55">
        <f t="shared" si="466"/>
        <v>0</v>
      </c>
      <c r="PHP1599" s="55">
        <f t="shared" si="466"/>
        <v>0</v>
      </c>
      <c r="PHQ1599" s="55">
        <f t="shared" si="466"/>
        <v>0</v>
      </c>
      <c r="PHR1599" s="55">
        <f t="shared" si="466"/>
        <v>0</v>
      </c>
      <c r="PHS1599" s="55">
        <f t="shared" si="466"/>
        <v>0</v>
      </c>
      <c r="PHT1599" s="55">
        <f t="shared" si="466"/>
        <v>0</v>
      </c>
      <c r="PHU1599" s="55">
        <f t="shared" si="466"/>
        <v>0</v>
      </c>
      <c r="PHV1599" s="55">
        <f t="shared" si="466"/>
        <v>0</v>
      </c>
      <c r="PHW1599" s="55">
        <f t="shared" si="466"/>
        <v>0</v>
      </c>
      <c r="PHX1599" s="55">
        <f t="shared" si="466"/>
        <v>0</v>
      </c>
      <c r="PHY1599" s="55">
        <f t="shared" si="466"/>
        <v>0</v>
      </c>
      <c r="PHZ1599" s="55">
        <f t="shared" si="466"/>
        <v>0</v>
      </c>
      <c r="PIA1599" s="55">
        <f t="shared" si="466"/>
        <v>0</v>
      </c>
      <c r="PIB1599" s="55">
        <f t="shared" si="466"/>
        <v>0</v>
      </c>
      <c r="PIC1599" s="55">
        <f t="shared" si="466"/>
        <v>0</v>
      </c>
      <c r="PID1599" s="55">
        <f t="shared" si="466"/>
        <v>0</v>
      </c>
      <c r="PIE1599" s="55">
        <f t="shared" si="466"/>
        <v>0</v>
      </c>
      <c r="PIF1599" s="55">
        <f t="shared" si="466"/>
        <v>0</v>
      </c>
      <c r="PIG1599" s="55">
        <f t="shared" si="466"/>
        <v>0</v>
      </c>
      <c r="PIH1599" s="55">
        <f t="shared" si="466"/>
        <v>0</v>
      </c>
      <c r="PII1599" s="55">
        <f t="shared" si="466"/>
        <v>0</v>
      </c>
      <c r="PIJ1599" s="55">
        <f t="shared" si="466"/>
        <v>0</v>
      </c>
      <c r="PIK1599" s="55">
        <f t="shared" si="466"/>
        <v>0</v>
      </c>
      <c r="PIL1599" s="55">
        <f t="shared" si="466"/>
        <v>0</v>
      </c>
      <c r="PIM1599" s="55">
        <f t="shared" si="466"/>
        <v>0</v>
      </c>
      <c r="PIN1599" s="55">
        <f t="shared" si="466"/>
        <v>0</v>
      </c>
      <c r="PIO1599" s="55">
        <f t="shared" si="466"/>
        <v>0</v>
      </c>
      <c r="PIP1599" s="55">
        <f t="shared" si="466"/>
        <v>0</v>
      </c>
      <c r="PIQ1599" s="55">
        <f t="shared" si="466"/>
        <v>0</v>
      </c>
      <c r="PIR1599" s="55">
        <f t="shared" si="466"/>
        <v>0</v>
      </c>
      <c r="PIS1599" s="55">
        <f t="shared" si="466"/>
        <v>0</v>
      </c>
      <c r="PIT1599" s="55">
        <f t="shared" si="466"/>
        <v>0</v>
      </c>
      <c r="PIU1599" s="55">
        <f t="shared" si="466"/>
        <v>0</v>
      </c>
      <c r="PIV1599" s="55">
        <f t="shared" si="466"/>
        <v>0</v>
      </c>
      <c r="PIW1599" s="55">
        <f t="shared" si="466"/>
        <v>0</v>
      </c>
      <c r="PIX1599" s="55">
        <f t="shared" si="466"/>
        <v>0</v>
      </c>
      <c r="PIY1599" s="55">
        <f t="shared" si="466"/>
        <v>0</v>
      </c>
      <c r="PIZ1599" s="55">
        <f t="shared" si="466"/>
        <v>0</v>
      </c>
      <c r="PJA1599" s="55">
        <f t="shared" si="466"/>
        <v>0</v>
      </c>
      <c r="PJB1599" s="55">
        <f t="shared" si="466"/>
        <v>0</v>
      </c>
      <c r="PJC1599" s="55">
        <f t="shared" si="466"/>
        <v>0</v>
      </c>
      <c r="PJD1599" s="55">
        <f t="shared" si="466"/>
        <v>0</v>
      </c>
      <c r="PJE1599" s="55">
        <f t="shared" si="466"/>
        <v>0</v>
      </c>
      <c r="PJF1599" s="55">
        <f t="shared" si="466"/>
        <v>0</v>
      </c>
      <c r="PJG1599" s="55">
        <f t="shared" si="466"/>
        <v>0</v>
      </c>
      <c r="PJH1599" s="55">
        <f t="shared" ref="PJH1599:PLS1599" si="467">+(PJH1619+PJH1623)*1.18*1.1</f>
        <v>0</v>
      </c>
      <c r="PJI1599" s="55">
        <f t="shared" si="467"/>
        <v>0</v>
      </c>
      <c r="PJJ1599" s="55">
        <f t="shared" si="467"/>
        <v>0</v>
      </c>
      <c r="PJK1599" s="55">
        <f t="shared" si="467"/>
        <v>0</v>
      </c>
      <c r="PJL1599" s="55">
        <f t="shared" si="467"/>
        <v>0</v>
      </c>
      <c r="PJM1599" s="55">
        <f t="shared" si="467"/>
        <v>0</v>
      </c>
      <c r="PJN1599" s="55">
        <f t="shared" si="467"/>
        <v>0</v>
      </c>
      <c r="PJO1599" s="55">
        <f t="shared" si="467"/>
        <v>0</v>
      </c>
      <c r="PJP1599" s="55">
        <f t="shared" si="467"/>
        <v>0</v>
      </c>
      <c r="PJQ1599" s="55">
        <f t="shared" si="467"/>
        <v>0</v>
      </c>
      <c r="PJR1599" s="55">
        <f t="shared" si="467"/>
        <v>0</v>
      </c>
      <c r="PJS1599" s="55">
        <f t="shared" si="467"/>
        <v>0</v>
      </c>
      <c r="PJT1599" s="55">
        <f t="shared" si="467"/>
        <v>0</v>
      </c>
      <c r="PJU1599" s="55">
        <f t="shared" si="467"/>
        <v>0</v>
      </c>
      <c r="PJV1599" s="55">
        <f t="shared" si="467"/>
        <v>0</v>
      </c>
      <c r="PJW1599" s="55">
        <f t="shared" si="467"/>
        <v>0</v>
      </c>
      <c r="PJX1599" s="55">
        <f t="shared" si="467"/>
        <v>0</v>
      </c>
      <c r="PJY1599" s="55">
        <f t="shared" si="467"/>
        <v>0</v>
      </c>
      <c r="PJZ1599" s="55">
        <f t="shared" si="467"/>
        <v>0</v>
      </c>
      <c r="PKA1599" s="55">
        <f t="shared" si="467"/>
        <v>0</v>
      </c>
      <c r="PKB1599" s="55">
        <f t="shared" si="467"/>
        <v>0</v>
      </c>
      <c r="PKC1599" s="55">
        <f t="shared" si="467"/>
        <v>0</v>
      </c>
      <c r="PKD1599" s="55">
        <f t="shared" si="467"/>
        <v>0</v>
      </c>
      <c r="PKE1599" s="55">
        <f t="shared" si="467"/>
        <v>0</v>
      </c>
      <c r="PKF1599" s="55">
        <f t="shared" si="467"/>
        <v>0</v>
      </c>
      <c r="PKG1599" s="55">
        <f t="shared" si="467"/>
        <v>0</v>
      </c>
      <c r="PKH1599" s="55">
        <f t="shared" si="467"/>
        <v>0</v>
      </c>
      <c r="PKI1599" s="55">
        <f t="shared" si="467"/>
        <v>0</v>
      </c>
      <c r="PKJ1599" s="55">
        <f t="shared" si="467"/>
        <v>0</v>
      </c>
      <c r="PKK1599" s="55">
        <f t="shared" si="467"/>
        <v>0</v>
      </c>
      <c r="PKL1599" s="55">
        <f t="shared" si="467"/>
        <v>0</v>
      </c>
      <c r="PKM1599" s="55">
        <f t="shared" si="467"/>
        <v>0</v>
      </c>
      <c r="PKN1599" s="55">
        <f t="shared" si="467"/>
        <v>0</v>
      </c>
      <c r="PKO1599" s="55">
        <f t="shared" si="467"/>
        <v>0</v>
      </c>
      <c r="PKP1599" s="55">
        <f t="shared" si="467"/>
        <v>0</v>
      </c>
      <c r="PKQ1599" s="55">
        <f t="shared" si="467"/>
        <v>0</v>
      </c>
      <c r="PKR1599" s="55">
        <f t="shared" si="467"/>
        <v>0</v>
      </c>
      <c r="PKS1599" s="55">
        <f t="shared" si="467"/>
        <v>0</v>
      </c>
      <c r="PKT1599" s="55">
        <f t="shared" si="467"/>
        <v>0</v>
      </c>
      <c r="PKU1599" s="55">
        <f t="shared" si="467"/>
        <v>0</v>
      </c>
      <c r="PKV1599" s="55">
        <f t="shared" si="467"/>
        <v>0</v>
      </c>
      <c r="PKW1599" s="55">
        <f t="shared" si="467"/>
        <v>0</v>
      </c>
      <c r="PKX1599" s="55">
        <f t="shared" si="467"/>
        <v>0</v>
      </c>
      <c r="PKY1599" s="55">
        <f t="shared" si="467"/>
        <v>0</v>
      </c>
      <c r="PKZ1599" s="55">
        <f t="shared" si="467"/>
        <v>0</v>
      </c>
      <c r="PLA1599" s="55">
        <f t="shared" si="467"/>
        <v>0</v>
      </c>
      <c r="PLB1599" s="55">
        <f t="shared" si="467"/>
        <v>0</v>
      </c>
      <c r="PLC1599" s="55">
        <f t="shared" si="467"/>
        <v>0</v>
      </c>
      <c r="PLD1599" s="55">
        <f t="shared" si="467"/>
        <v>0</v>
      </c>
      <c r="PLE1599" s="55">
        <f t="shared" si="467"/>
        <v>0</v>
      </c>
      <c r="PLF1599" s="55">
        <f t="shared" si="467"/>
        <v>0</v>
      </c>
      <c r="PLG1599" s="55">
        <f t="shared" si="467"/>
        <v>0</v>
      </c>
      <c r="PLH1599" s="55">
        <f t="shared" si="467"/>
        <v>0</v>
      </c>
      <c r="PLI1599" s="55">
        <f t="shared" si="467"/>
        <v>0</v>
      </c>
      <c r="PLJ1599" s="55">
        <f t="shared" si="467"/>
        <v>0</v>
      </c>
      <c r="PLK1599" s="55">
        <f t="shared" si="467"/>
        <v>0</v>
      </c>
      <c r="PLL1599" s="55">
        <f t="shared" si="467"/>
        <v>0</v>
      </c>
      <c r="PLM1599" s="55">
        <f t="shared" si="467"/>
        <v>0</v>
      </c>
      <c r="PLN1599" s="55">
        <f t="shared" si="467"/>
        <v>0</v>
      </c>
      <c r="PLO1599" s="55">
        <f t="shared" si="467"/>
        <v>0</v>
      </c>
      <c r="PLP1599" s="55">
        <f t="shared" si="467"/>
        <v>0</v>
      </c>
      <c r="PLQ1599" s="55">
        <f t="shared" si="467"/>
        <v>0</v>
      </c>
      <c r="PLR1599" s="55">
        <f t="shared" si="467"/>
        <v>0</v>
      </c>
      <c r="PLS1599" s="55">
        <f t="shared" si="467"/>
        <v>0</v>
      </c>
      <c r="PLT1599" s="55">
        <f t="shared" ref="PLT1599:POE1599" si="468">+(PLT1619+PLT1623)*1.18*1.1</f>
        <v>0</v>
      </c>
      <c r="PLU1599" s="55">
        <f t="shared" si="468"/>
        <v>0</v>
      </c>
      <c r="PLV1599" s="55">
        <f t="shared" si="468"/>
        <v>0</v>
      </c>
      <c r="PLW1599" s="55">
        <f t="shared" si="468"/>
        <v>0</v>
      </c>
      <c r="PLX1599" s="55">
        <f t="shared" si="468"/>
        <v>0</v>
      </c>
      <c r="PLY1599" s="55">
        <f t="shared" si="468"/>
        <v>0</v>
      </c>
      <c r="PLZ1599" s="55">
        <f t="shared" si="468"/>
        <v>0</v>
      </c>
      <c r="PMA1599" s="55">
        <f t="shared" si="468"/>
        <v>0</v>
      </c>
      <c r="PMB1599" s="55">
        <f t="shared" si="468"/>
        <v>0</v>
      </c>
      <c r="PMC1599" s="55">
        <f t="shared" si="468"/>
        <v>0</v>
      </c>
      <c r="PMD1599" s="55">
        <f t="shared" si="468"/>
        <v>0</v>
      </c>
      <c r="PME1599" s="55">
        <f t="shared" si="468"/>
        <v>0</v>
      </c>
      <c r="PMF1599" s="55">
        <f t="shared" si="468"/>
        <v>0</v>
      </c>
      <c r="PMG1599" s="55">
        <f t="shared" si="468"/>
        <v>0</v>
      </c>
      <c r="PMH1599" s="55">
        <f t="shared" si="468"/>
        <v>0</v>
      </c>
      <c r="PMI1599" s="55">
        <f t="shared" si="468"/>
        <v>0</v>
      </c>
      <c r="PMJ1599" s="55">
        <f t="shared" si="468"/>
        <v>0</v>
      </c>
      <c r="PMK1599" s="55">
        <f t="shared" si="468"/>
        <v>0</v>
      </c>
      <c r="PML1599" s="55">
        <f t="shared" si="468"/>
        <v>0</v>
      </c>
      <c r="PMM1599" s="55">
        <f t="shared" si="468"/>
        <v>0</v>
      </c>
      <c r="PMN1599" s="55">
        <f t="shared" si="468"/>
        <v>0</v>
      </c>
      <c r="PMO1599" s="55">
        <f t="shared" si="468"/>
        <v>0</v>
      </c>
      <c r="PMP1599" s="55">
        <f t="shared" si="468"/>
        <v>0</v>
      </c>
      <c r="PMQ1599" s="55">
        <f t="shared" si="468"/>
        <v>0</v>
      </c>
      <c r="PMR1599" s="55">
        <f t="shared" si="468"/>
        <v>0</v>
      </c>
      <c r="PMS1599" s="55">
        <f t="shared" si="468"/>
        <v>0</v>
      </c>
      <c r="PMT1599" s="55">
        <f t="shared" si="468"/>
        <v>0</v>
      </c>
      <c r="PMU1599" s="55">
        <f t="shared" si="468"/>
        <v>0</v>
      </c>
      <c r="PMV1599" s="55">
        <f t="shared" si="468"/>
        <v>0</v>
      </c>
      <c r="PMW1599" s="55">
        <f t="shared" si="468"/>
        <v>0</v>
      </c>
      <c r="PMX1599" s="55">
        <f t="shared" si="468"/>
        <v>0</v>
      </c>
      <c r="PMY1599" s="55">
        <f t="shared" si="468"/>
        <v>0</v>
      </c>
      <c r="PMZ1599" s="55">
        <f t="shared" si="468"/>
        <v>0</v>
      </c>
      <c r="PNA1599" s="55">
        <f t="shared" si="468"/>
        <v>0</v>
      </c>
      <c r="PNB1599" s="55">
        <f t="shared" si="468"/>
        <v>0</v>
      </c>
      <c r="PNC1599" s="55">
        <f t="shared" si="468"/>
        <v>0</v>
      </c>
      <c r="PND1599" s="55">
        <f t="shared" si="468"/>
        <v>0</v>
      </c>
      <c r="PNE1599" s="55">
        <f t="shared" si="468"/>
        <v>0</v>
      </c>
      <c r="PNF1599" s="55">
        <f t="shared" si="468"/>
        <v>0</v>
      </c>
      <c r="PNG1599" s="55">
        <f t="shared" si="468"/>
        <v>0</v>
      </c>
      <c r="PNH1599" s="55">
        <f t="shared" si="468"/>
        <v>0</v>
      </c>
      <c r="PNI1599" s="55">
        <f t="shared" si="468"/>
        <v>0</v>
      </c>
      <c r="PNJ1599" s="55">
        <f t="shared" si="468"/>
        <v>0</v>
      </c>
      <c r="PNK1599" s="55">
        <f t="shared" si="468"/>
        <v>0</v>
      </c>
      <c r="PNL1599" s="55">
        <f t="shared" si="468"/>
        <v>0</v>
      </c>
      <c r="PNM1599" s="55">
        <f t="shared" si="468"/>
        <v>0</v>
      </c>
      <c r="PNN1599" s="55">
        <f t="shared" si="468"/>
        <v>0</v>
      </c>
      <c r="PNO1599" s="55">
        <f t="shared" si="468"/>
        <v>0</v>
      </c>
      <c r="PNP1599" s="55">
        <f t="shared" si="468"/>
        <v>0</v>
      </c>
      <c r="PNQ1599" s="55">
        <f t="shared" si="468"/>
        <v>0</v>
      </c>
      <c r="PNR1599" s="55">
        <f t="shared" si="468"/>
        <v>0</v>
      </c>
      <c r="PNS1599" s="55">
        <f t="shared" si="468"/>
        <v>0</v>
      </c>
      <c r="PNT1599" s="55">
        <f t="shared" si="468"/>
        <v>0</v>
      </c>
      <c r="PNU1599" s="55">
        <f t="shared" si="468"/>
        <v>0</v>
      </c>
      <c r="PNV1599" s="55">
        <f t="shared" si="468"/>
        <v>0</v>
      </c>
      <c r="PNW1599" s="55">
        <f t="shared" si="468"/>
        <v>0</v>
      </c>
      <c r="PNX1599" s="55">
        <f t="shared" si="468"/>
        <v>0</v>
      </c>
      <c r="PNY1599" s="55">
        <f t="shared" si="468"/>
        <v>0</v>
      </c>
      <c r="PNZ1599" s="55">
        <f t="shared" si="468"/>
        <v>0</v>
      </c>
      <c r="POA1599" s="55">
        <f t="shared" si="468"/>
        <v>0</v>
      </c>
      <c r="POB1599" s="55">
        <f t="shared" si="468"/>
        <v>0</v>
      </c>
      <c r="POC1599" s="55">
        <f t="shared" si="468"/>
        <v>0</v>
      </c>
      <c r="POD1599" s="55">
        <f t="shared" si="468"/>
        <v>0</v>
      </c>
      <c r="POE1599" s="55">
        <f t="shared" si="468"/>
        <v>0</v>
      </c>
      <c r="POF1599" s="55">
        <f t="shared" ref="POF1599:PQQ1599" si="469">+(POF1619+POF1623)*1.18*1.1</f>
        <v>0</v>
      </c>
      <c r="POG1599" s="55">
        <f t="shared" si="469"/>
        <v>0</v>
      </c>
      <c r="POH1599" s="55">
        <f t="shared" si="469"/>
        <v>0</v>
      </c>
      <c r="POI1599" s="55">
        <f t="shared" si="469"/>
        <v>0</v>
      </c>
      <c r="POJ1599" s="55">
        <f t="shared" si="469"/>
        <v>0</v>
      </c>
      <c r="POK1599" s="55">
        <f t="shared" si="469"/>
        <v>0</v>
      </c>
      <c r="POL1599" s="55">
        <f t="shared" si="469"/>
        <v>0</v>
      </c>
      <c r="POM1599" s="55">
        <f t="shared" si="469"/>
        <v>0</v>
      </c>
      <c r="PON1599" s="55">
        <f t="shared" si="469"/>
        <v>0</v>
      </c>
      <c r="POO1599" s="55">
        <f t="shared" si="469"/>
        <v>0</v>
      </c>
      <c r="POP1599" s="55">
        <f t="shared" si="469"/>
        <v>0</v>
      </c>
      <c r="POQ1599" s="55">
        <f t="shared" si="469"/>
        <v>0</v>
      </c>
      <c r="POR1599" s="55">
        <f t="shared" si="469"/>
        <v>0</v>
      </c>
      <c r="POS1599" s="55">
        <f t="shared" si="469"/>
        <v>0</v>
      </c>
      <c r="POT1599" s="55">
        <f t="shared" si="469"/>
        <v>0</v>
      </c>
      <c r="POU1599" s="55">
        <f t="shared" si="469"/>
        <v>0</v>
      </c>
      <c r="POV1599" s="55">
        <f t="shared" si="469"/>
        <v>0</v>
      </c>
      <c r="POW1599" s="55">
        <f t="shared" si="469"/>
        <v>0</v>
      </c>
      <c r="POX1599" s="55">
        <f t="shared" si="469"/>
        <v>0</v>
      </c>
      <c r="POY1599" s="55">
        <f t="shared" si="469"/>
        <v>0</v>
      </c>
      <c r="POZ1599" s="55">
        <f t="shared" si="469"/>
        <v>0</v>
      </c>
      <c r="PPA1599" s="55">
        <f t="shared" si="469"/>
        <v>0</v>
      </c>
      <c r="PPB1599" s="55">
        <f t="shared" si="469"/>
        <v>0</v>
      </c>
      <c r="PPC1599" s="55">
        <f t="shared" si="469"/>
        <v>0</v>
      </c>
      <c r="PPD1599" s="55">
        <f t="shared" si="469"/>
        <v>0</v>
      </c>
      <c r="PPE1599" s="55">
        <f t="shared" si="469"/>
        <v>0</v>
      </c>
      <c r="PPF1599" s="55">
        <f t="shared" si="469"/>
        <v>0</v>
      </c>
      <c r="PPG1599" s="55">
        <f t="shared" si="469"/>
        <v>0</v>
      </c>
      <c r="PPH1599" s="55">
        <f t="shared" si="469"/>
        <v>0</v>
      </c>
      <c r="PPI1599" s="55">
        <f t="shared" si="469"/>
        <v>0</v>
      </c>
      <c r="PPJ1599" s="55">
        <f t="shared" si="469"/>
        <v>0</v>
      </c>
      <c r="PPK1599" s="55">
        <f t="shared" si="469"/>
        <v>0</v>
      </c>
      <c r="PPL1599" s="55">
        <f t="shared" si="469"/>
        <v>0</v>
      </c>
      <c r="PPM1599" s="55">
        <f t="shared" si="469"/>
        <v>0</v>
      </c>
      <c r="PPN1599" s="55">
        <f t="shared" si="469"/>
        <v>0</v>
      </c>
      <c r="PPO1599" s="55">
        <f t="shared" si="469"/>
        <v>0</v>
      </c>
      <c r="PPP1599" s="55">
        <f t="shared" si="469"/>
        <v>0</v>
      </c>
      <c r="PPQ1599" s="55">
        <f t="shared" si="469"/>
        <v>0</v>
      </c>
      <c r="PPR1599" s="55">
        <f t="shared" si="469"/>
        <v>0</v>
      </c>
      <c r="PPS1599" s="55">
        <f t="shared" si="469"/>
        <v>0</v>
      </c>
      <c r="PPT1599" s="55">
        <f t="shared" si="469"/>
        <v>0</v>
      </c>
      <c r="PPU1599" s="55">
        <f t="shared" si="469"/>
        <v>0</v>
      </c>
      <c r="PPV1599" s="55">
        <f t="shared" si="469"/>
        <v>0</v>
      </c>
      <c r="PPW1599" s="55">
        <f t="shared" si="469"/>
        <v>0</v>
      </c>
      <c r="PPX1599" s="55">
        <f t="shared" si="469"/>
        <v>0</v>
      </c>
      <c r="PPY1599" s="55">
        <f t="shared" si="469"/>
        <v>0</v>
      </c>
      <c r="PPZ1599" s="55">
        <f t="shared" si="469"/>
        <v>0</v>
      </c>
      <c r="PQA1599" s="55">
        <f t="shared" si="469"/>
        <v>0</v>
      </c>
      <c r="PQB1599" s="55">
        <f t="shared" si="469"/>
        <v>0</v>
      </c>
      <c r="PQC1599" s="55">
        <f t="shared" si="469"/>
        <v>0</v>
      </c>
      <c r="PQD1599" s="55">
        <f t="shared" si="469"/>
        <v>0</v>
      </c>
      <c r="PQE1599" s="55">
        <f t="shared" si="469"/>
        <v>0</v>
      </c>
      <c r="PQF1599" s="55">
        <f t="shared" si="469"/>
        <v>0</v>
      </c>
      <c r="PQG1599" s="55">
        <f t="shared" si="469"/>
        <v>0</v>
      </c>
      <c r="PQH1599" s="55">
        <f t="shared" si="469"/>
        <v>0</v>
      </c>
      <c r="PQI1599" s="55">
        <f t="shared" si="469"/>
        <v>0</v>
      </c>
      <c r="PQJ1599" s="55">
        <f t="shared" si="469"/>
        <v>0</v>
      </c>
      <c r="PQK1599" s="55">
        <f t="shared" si="469"/>
        <v>0</v>
      </c>
      <c r="PQL1599" s="55">
        <f t="shared" si="469"/>
        <v>0</v>
      </c>
      <c r="PQM1599" s="55">
        <f t="shared" si="469"/>
        <v>0</v>
      </c>
      <c r="PQN1599" s="55">
        <f t="shared" si="469"/>
        <v>0</v>
      </c>
      <c r="PQO1599" s="55">
        <f t="shared" si="469"/>
        <v>0</v>
      </c>
      <c r="PQP1599" s="55">
        <f t="shared" si="469"/>
        <v>0</v>
      </c>
      <c r="PQQ1599" s="55">
        <f t="shared" si="469"/>
        <v>0</v>
      </c>
      <c r="PQR1599" s="55">
        <f t="shared" ref="PQR1599:PTC1599" si="470">+(PQR1619+PQR1623)*1.18*1.1</f>
        <v>0</v>
      </c>
      <c r="PQS1599" s="55">
        <f t="shared" si="470"/>
        <v>0</v>
      </c>
      <c r="PQT1599" s="55">
        <f t="shared" si="470"/>
        <v>0</v>
      </c>
      <c r="PQU1599" s="55">
        <f t="shared" si="470"/>
        <v>0</v>
      </c>
      <c r="PQV1599" s="55">
        <f t="shared" si="470"/>
        <v>0</v>
      </c>
      <c r="PQW1599" s="55">
        <f t="shared" si="470"/>
        <v>0</v>
      </c>
      <c r="PQX1599" s="55">
        <f t="shared" si="470"/>
        <v>0</v>
      </c>
      <c r="PQY1599" s="55">
        <f t="shared" si="470"/>
        <v>0</v>
      </c>
      <c r="PQZ1599" s="55">
        <f t="shared" si="470"/>
        <v>0</v>
      </c>
      <c r="PRA1599" s="55">
        <f t="shared" si="470"/>
        <v>0</v>
      </c>
      <c r="PRB1599" s="55">
        <f t="shared" si="470"/>
        <v>0</v>
      </c>
      <c r="PRC1599" s="55">
        <f t="shared" si="470"/>
        <v>0</v>
      </c>
      <c r="PRD1599" s="55">
        <f t="shared" si="470"/>
        <v>0</v>
      </c>
      <c r="PRE1599" s="55">
        <f t="shared" si="470"/>
        <v>0</v>
      </c>
      <c r="PRF1599" s="55">
        <f t="shared" si="470"/>
        <v>0</v>
      </c>
      <c r="PRG1599" s="55">
        <f t="shared" si="470"/>
        <v>0</v>
      </c>
      <c r="PRH1599" s="55">
        <f t="shared" si="470"/>
        <v>0</v>
      </c>
      <c r="PRI1599" s="55">
        <f t="shared" si="470"/>
        <v>0</v>
      </c>
      <c r="PRJ1599" s="55">
        <f t="shared" si="470"/>
        <v>0</v>
      </c>
      <c r="PRK1599" s="55">
        <f t="shared" si="470"/>
        <v>0</v>
      </c>
      <c r="PRL1599" s="55">
        <f t="shared" si="470"/>
        <v>0</v>
      </c>
      <c r="PRM1599" s="55">
        <f t="shared" si="470"/>
        <v>0</v>
      </c>
      <c r="PRN1599" s="55">
        <f t="shared" si="470"/>
        <v>0</v>
      </c>
      <c r="PRO1599" s="55">
        <f t="shared" si="470"/>
        <v>0</v>
      </c>
      <c r="PRP1599" s="55">
        <f t="shared" si="470"/>
        <v>0</v>
      </c>
      <c r="PRQ1599" s="55">
        <f t="shared" si="470"/>
        <v>0</v>
      </c>
      <c r="PRR1599" s="55">
        <f t="shared" si="470"/>
        <v>0</v>
      </c>
      <c r="PRS1599" s="55">
        <f t="shared" si="470"/>
        <v>0</v>
      </c>
      <c r="PRT1599" s="55">
        <f t="shared" si="470"/>
        <v>0</v>
      </c>
      <c r="PRU1599" s="55">
        <f t="shared" si="470"/>
        <v>0</v>
      </c>
      <c r="PRV1599" s="55">
        <f t="shared" si="470"/>
        <v>0</v>
      </c>
      <c r="PRW1599" s="55">
        <f t="shared" si="470"/>
        <v>0</v>
      </c>
      <c r="PRX1599" s="55">
        <f t="shared" si="470"/>
        <v>0</v>
      </c>
      <c r="PRY1599" s="55">
        <f t="shared" si="470"/>
        <v>0</v>
      </c>
      <c r="PRZ1599" s="55">
        <f t="shared" si="470"/>
        <v>0</v>
      </c>
      <c r="PSA1599" s="55">
        <f t="shared" si="470"/>
        <v>0</v>
      </c>
      <c r="PSB1599" s="55">
        <f t="shared" si="470"/>
        <v>0</v>
      </c>
      <c r="PSC1599" s="55">
        <f t="shared" si="470"/>
        <v>0</v>
      </c>
      <c r="PSD1599" s="55">
        <f t="shared" si="470"/>
        <v>0</v>
      </c>
      <c r="PSE1599" s="55">
        <f t="shared" si="470"/>
        <v>0</v>
      </c>
      <c r="PSF1599" s="55">
        <f t="shared" si="470"/>
        <v>0</v>
      </c>
      <c r="PSG1599" s="55">
        <f t="shared" si="470"/>
        <v>0</v>
      </c>
      <c r="PSH1599" s="55">
        <f t="shared" si="470"/>
        <v>0</v>
      </c>
      <c r="PSI1599" s="55">
        <f t="shared" si="470"/>
        <v>0</v>
      </c>
      <c r="PSJ1599" s="55">
        <f t="shared" si="470"/>
        <v>0</v>
      </c>
      <c r="PSK1599" s="55">
        <f t="shared" si="470"/>
        <v>0</v>
      </c>
      <c r="PSL1599" s="55">
        <f t="shared" si="470"/>
        <v>0</v>
      </c>
      <c r="PSM1599" s="55">
        <f t="shared" si="470"/>
        <v>0</v>
      </c>
      <c r="PSN1599" s="55">
        <f t="shared" si="470"/>
        <v>0</v>
      </c>
      <c r="PSO1599" s="55">
        <f t="shared" si="470"/>
        <v>0</v>
      </c>
      <c r="PSP1599" s="55">
        <f t="shared" si="470"/>
        <v>0</v>
      </c>
      <c r="PSQ1599" s="55">
        <f t="shared" si="470"/>
        <v>0</v>
      </c>
      <c r="PSR1599" s="55">
        <f t="shared" si="470"/>
        <v>0</v>
      </c>
      <c r="PSS1599" s="55">
        <f t="shared" si="470"/>
        <v>0</v>
      </c>
      <c r="PST1599" s="55">
        <f t="shared" si="470"/>
        <v>0</v>
      </c>
      <c r="PSU1599" s="55">
        <f t="shared" si="470"/>
        <v>0</v>
      </c>
      <c r="PSV1599" s="55">
        <f t="shared" si="470"/>
        <v>0</v>
      </c>
      <c r="PSW1599" s="55">
        <f t="shared" si="470"/>
        <v>0</v>
      </c>
      <c r="PSX1599" s="55">
        <f t="shared" si="470"/>
        <v>0</v>
      </c>
      <c r="PSY1599" s="55">
        <f t="shared" si="470"/>
        <v>0</v>
      </c>
      <c r="PSZ1599" s="55">
        <f t="shared" si="470"/>
        <v>0</v>
      </c>
      <c r="PTA1599" s="55">
        <f t="shared" si="470"/>
        <v>0</v>
      </c>
      <c r="PTB1599" s="55">
        <f t="shared" si="470"/>
        <v>0</v>
      </c>
      <c r="PTC1599" s="55">
        <f t="shared" si="470"/>
        <v>0</v>
      </c>
      <c r="PTD1599" s="55">
        <f t="shared" ref="PTD1599:PVO1599" si="471">+(PTD1619+PTD1623)*1.18*1.1</f>
        <v>0</v>
      </c>
      <c r="PTE1599" s="55">
        <f t="shared" si="471"/>
        <v>0</v>
      </c>
      <c r="PTF1599" s="55">
        <f t="shared" si="471"/>
        <v>0</v>
      </c>
      <c r="PTG1599" s="55">
        <f t="shared" si="471"/>
        <v>0</v>
      </c>
      <c r="PTH1599" s="55">
        <f t="shared" si="471"/>
        <v>0</v>
      </c>
      <c r="PTI1599" s="55">
        <f t="shared" si="471"/>
        <v>0</v>
      </c>
      <c r="PTJ1599" s="55">
        <f t="shared" si="471"/>
        <v>0</v>
      </c>
      <c r="PTK1599" s="55">
        <f t="shared" si="471"/>
        <v>0</v>
      </c>
      <c r="PTL1599" s="55">
        <f t="shared" si="471"/>
        <v>0</v>
      </c>
      <c r="PTM1599" s="55">
        <f t="shared" si="471"/>
        <v>0</v>
      </c>
      <c r="PTN1599" s="55">
        <f t="shared" si="471"/>
        <v>0</v>
      </c>
      <c r="PTO1599" s="55">
        <f t="shared" si="471"/>
        <v>0</v>
      </c>
      <c r="PTP1599" s="55">
        <f t="shared" si="471"/>
        <v>0</v>
      </c>
      <c r="PTQ1599" s="55">
        <f t="shared" si="471"/>
        <v>0</v>
      </c>
      <c r="PTR1599" s="55">
        <f t="shared" si="471"/>
        <v>0</v>
      </c>
      <c r="PTS1599" s="55">
        <f t="shared" si="471"/>
        <v>0</v>
      </c>
      <c r="PTT1599" s="55">
        <f t="shared" si="471"/>
        <v>0</v>
      </c>
      <c r="PTU1599" s="55">
        <f t="shared" si="471"/>
        <v>0</v>
      </c>
      <c r="PTV1599" s="55">
        <f t="shared" si="471"/>
        <v>0</v>
      </c>
      <c r="PTW1599" s="55">
        <f t="shared" si="471"/>
        <v>0</v>
      </c>
      <c r="PTX1599" s="55">
        <f t="shared" si="471"/>
        <v>0</v>
      </c>
      <c r="PTY1599" s="55">
        <f t="shared" si="471"/>
        <v>0</v>
      </c>
      <c r="PTZ1599" s="55">
        <f t="shared" si="471"/>
        <v>0</v>
      </c>
      <c r="PUA1599" s="55">
        <f t="shared" si="471"/>
        <v>0</v>
      </c>
      <c r="PUB1599" s="55">
        <f t="shared" si="471"/>
        <v>0</v>
      </c>
      <c r="PUC1599" s="55">
        <f t="shared" si="471"/>
        <v>0</v>
      </c>
      <c r="PUD1599" s="55">
        <f t="shared" si="471"/>
        <v>0</v>
      </c>
      <c r="PUE1599" s="55">
        <f t="shared" si="471"/>
        <v>0</v>
      </c>
      <c r="PUF1599" s="55">
        <f t="shared" si="471"/>
        <v>0</v>
      </c>
      <c r="PUG1599" s="55">
        <f t="shared" si="471"/>
        <v>0</v>
      </c>
      <c r="PUH1599" s="55">
        <f t="shared" si="471"/>
        <v>0</v>
      </c>
      <c r="PUI1599" s="55">
        <f t="shared" si="471"/>
        <v>0</v>
      </c>
      <c r="PUJ1599" s="55">
        <f t="shared" si="471"/>
        <v>0</v>
      </c>
      <c r="PUK1599" s="55">
        <f t="shared" si="471"/>
        <v>0</v>
      </c>
      <c r="PUL1599" s="55">
        <f t="shared" si="471"/>
        <v>0</v>
      </c>
      <c r="PUM1599" s="55">
        <f t="shared" si="471"/>
        <v>0</v>
      </c>
      <c r="PUN1599" s="55">
        <f t="shared" si="471"/>
        <v>0</v>
      </c>
      <c r="PUO1599" s="55">
        <f t="shared" si="471"/>
        <v>0</v>
      </c>
      <c r="PUP1599" s="55">
        <f t="shared" si="471"/>
        <v>0</v>
      </c>
      <c r="PUQ1599" s="55">
        <f t="shared" si="471"/>
        <v>0</v>
      </c>
      <c r="PUR1599" s="55">
        <f t="shared" si="471"/>
        <v>0</v>
      </c>
      <c r="PUS1599" s="55">
        <f t="shared" si="471"/>
        <v>0</v>
      </c>
      <c r="PUT1599" s="55">
        <f t="shared" si="471"/>
        <v>0</v>
      </c>
      <c r="PUU1599" s="55">
        <f t="shared" si="471"/>
        <v>0</v>
      </c>
      <c r="PUV1599" s="55">
        <f t="shared" si="471"/>
        <v>0</v>
      </c>
      <c r="PUW1599" s="55">
        <f t="shared" si="471"/>
        <v>0</v>
      </c>
      <c r="PUX1599" s="55">
        <f t="shared" si="471"/>
        <v>0</v>
      </c>
      <c r="PUY1599" s="55">
        <f t="shared" si="471"/>
        <v>0</v>
      </c>
      <c r="PUZ1599" s="55">
        <f t="shared" si="471"/>
        <v>0</v>
      </c>
      <c r="PVA1599" s="55">
        <f t="shared" si="471"/>
        <v>0</v>
      </c>
      <c r="PVB1599" s="55">
        <f t="shared" si="471"/>
        <v>0</v>
      </c>
      <c r="PVC1599" s="55">
        <f t="shared" si="471"/>
        <v>0</v>
      </c>
      <c r="PVD1599" s="55">
        <f t="shared" si="471"/>
        <v>0</v>
      </c>
      <c r="PVE1599" s="55">
        <f t="shared" si="471"/>
        <v>0</v>
      </c>
      <c r="PVF1599" s="55">
        <f t="shared" si="471"/>
        <v>0</v>
      </c>
      <c r="PVG1599" s="55">
        <f t="shared" si="471"/>
        <v>0</v>
      </c>
      <c r="PVH1599" s="55">
        <f t="shared" si="471"/>
        <v>0</v>
      </c>
      <c r="PVI1599" s="55">
        <f t="shared" si="471"/>
        <v>0</v>
      </c>
      <c r="PVJ1599" s="55">
        <f t="shared" si="471"/>
        <v>0</v>
      </c>
      <c r="PVK1599" s="55">
        <f t="shared" si="471"/>
        <v>0</v>
      </c>
      <c r="PVL1599" s="55">
        <f t="shared" si="471"/>
        <v>0</v>
      </c>
      <c r="PVM1599" s="55">
        <f t="shared" si="471"/>
        <v>0</v>
      </c>
      <c r="PVN1599" s="55">
        <f t="shared" si="471"/>
        <v>0</v>
      </c>
      <c r="PVO1599" s="55">
        <f t="shared" si="471"/>
        <v>0</v>
      </c>
      <c r="PVP1599" s="55">
        <f t="shared" ref="PVP1599:PYA1599" si="472">+(PVP1619+PVP1623)*1.18*1.1</f>
        <v>0</v>
      </c>
      <c r="PVQ1599" s="55">
        <f t="shared" si="472"/>
        <v>0</v>
      </c>
      <c r="PVR1599" s="55">
        <f t="shared" si="472"/>
        <v>0</v>
      </c>
      <c r="PVS1599" s="55">
        <f t="shared" si="472"/>
        <v>0</v>
      </c>
      <c r="PVT1599" s="55">
        <f t="shared" si="472"/>
        <v>0</v>
      </c>
      <c r="PVU1599" s="55">
        <f t="shared" si="472"/>
        <v>0</v>
      </c>
      <c r="PVV1599" s="55">
        <f t="shared" si="472"/>
        <v>0</v>
      </c>
      <c r="PVW1599" s="55">
        <f t="shared" si="472"/>
        <v>0</v>
      </c>
      <c r="PVX1599" s="55">
        <f t="shared" si="472"/>
        <v>0</v>
      </c>
      <c r="PVY1599" s="55">
        <f t="shared" si="472"/>
        <v>0</v>
      </c>
      <c r="PVZ1599" s="55">
        <f t="shared" si="472"/>
        <v>0</v>
      </c>
      <c r="PWA1599" s="55">
        <f t="shared" si="472"/>
        <v>0</v>
      </c>
      <c r="PWB1599" s="55">
        <f t="shared" si="472"/>
        <v>0</v>
      </c>
      <c r="PWC1599" s="55">
        <f t="shared" si="472"/>
        <v>0</v>
      </c>
      <c r="PWD1599" s="55">
        <f t="shared" si="472"/>
        <v>0</v>
      </c>
      <c r="PWE1599" s="55">
        <f t="shared" si="472"/>
        <v>0</v>
      </c>
      <c r="PWF1599" s="55">
        <f t="shared" si="472"/>
        <v>0</v>
      </c>
      <c r="PWG1599" s="55">
        <f t="shared" si="472"/>
        <v>0</v>
      </c>
      <c r="PWH1599" s="55">
        <f t="shared" si="472"/>
        <v>0</v>
      </c>
      <c r="PWI1599" s="55">
        <f t="shared" si="472"/>
        <v>0</v>
      </c>
      <c r="PWJ1599" s="55">
        <f t="shared" si="472"/>
        <v>0</v>
      </c>
      <c r="PWK1599" s="55">
        <f t="shared" si="472"/>
        <v>0</v>
      </c>
      <c r="PWL1599" s="55">
        <f t="shared" si="472"/>
        <v>0</v>
      </c>
      <c r="PWM1599" s="55">
        <f t="shared" si="472"/>
        <v>0</v>
      </c>
      <c r="PWN1599" s="55">
        <f t="shared" si="472"/>
        <v>0</v>
      </c>
      <c r="PWO1599" s="55">
        <f t="shared" si="472"/>
        <v>0</v>
      </c>
      <c r="PWP1599" s="55">
        <f t="shared" si="472"/>
        <v>0</v>
      </c>
      <c r="PWQ1599" s="55">
        <f t="shared" si="472"/>
        <v>0</v>
      </c>
      <c r="PWR1599" s="55">
        <f t="shared" si="472"/>
        <v>0</v>
      </c>
      <c r="PWS1599" s="55">
        <f t="shared" si="472"/>
        <v>0</v>
      </c>
      <c r="PWT1599" s="55">
        <f t="shared" si="472"/>
        <v>0</v>
      </c>
      <c r="PWU1599" s="55">
        <f t="shared" si="472"/>
        <v>0</v>
      </c>
      <c r="PWV1599" s="55">
        <f t="shared" si="472"/>
        <v>0</v>
      </c>
      <c r="PWW1599" s="55">
        <f t="shared" si="472"/>
        <v>0</v>
      </c>
      <c r="PWX1599" s="55">
        <f t="shared" si="472"/>
        <v>0</v>
      </c>
      <c r="PWY1599" s="55">
        <f t="shared" si="472"/>
        <v>0</v>
      </c>
      <c r="PWZ1599" s="55">
        <f t="shared" si="472"/>
        <v>0</v>
      </c>
      <c r="PXA1599" s="55">
        <f t="shared" si="472"/>
        <v>0</v>
      </c>
      <c r="PXB1599" s="55">
        <f t="shared" si="472"/>
        <v>0</v>
      </c>
      <c r="PXC1599" s="55">
        <f t="shared" si="472"/>
        <v>0</v>
      </c>
      <c r="PXD1599" s="55">
        <f t="shared" si="472"/>
        <v>0</v>
      </c>
      <c r="PXE1599" s="55">
        <f t="shared" si="472"/>
        <v>0</v>
      </c>
      <c r="PXF1599" s="55">
        <f t="shared" si="472"/>
        <v>0</v>
      </c>
      <c r="PXG1599" s="55">
        <f t="shared" si="472"/>
        <v>0</v>
      </c>
      <c r="PXH1599" s="55">
        <f t="shared" si="472"/>
        <v>0</v>
      </c>
      <c r="PXI1599" s="55">
        <f t="shared" si="472"/>
        <v>0</v>
      </c>
      <c r="PXJ1599" s="55">
        <f t="shared" si="472"/>
        <v>0</v>
      </c>
      <c r="PXK1599" s="55">
        <f t="shared" si="472"/>
        <v>0</v>
      </c>
      <c r="PXL1599" s="55">
        <f t="shared" si="472"/>
        <v>0</v>
      </c>
      <c r="PXM1599" s="55">
        <f t="shared" si="472"/>
        <v>0</v>
      </c>
      <c r="PXN1599" s="55">
        <f t="shared" si="472"/>
        <v>0</v>
      </c>
      <c r="PXO1599" s="55">
        <f t="shared" si="472"/>
        <v>0</v>
      </c>
      <c r="PXP1599" s="55">
        <f t="shared" si="472"/>
        <v>0</v>
      </c>
      <c r="PXQ1599" s="55">
        <f t="shared" si="472"/>
        <v>0</v>
      </c>
      <c r="PXR1599" s="55">
        <f t="shared" si="472"/>
        <v>0</v>
      </c>
      <c r="PXS1599" s="55">
        <f t="shared" si="472"/>
        <v>0</v>
      </c>
      <c r="PXT1599" s="55">
        <f t="shared" si="472"/>
        <v>0</v>
      </c>
      <c r="PXU1599" s="55">
        <f t="shared" si="472"/>
        <v>0</v>
      </c>
      <c r="PXV1599" s="55">
        <f t="shared" si="472"/>
        <v>0</v>
      </c>
      <c r="PXW1599" s="55">
        <f t="shared" si="472"/>
        <v>0</v>
      </c>
      <c r="PXX1599" s="55">
        <f t="shared" si="472"/>
        <v>0</v>
      </c>
      <c r="PXY1599" s="55">
        <f t="shared" si="472"/>
        <v>0</v>
      </c>
      <c r="PXZ1599" s="55">
        <f t="shared" si="472"/>
        <v>0</v>
      </c>
      <c r="PYA1599" s="55">
        <f t="shared" si="472"/>
        <v>0</v>
      </c>
      <c r="PYB1599" s="55">
        <f t="shared" ref="PYB1599:QAM1599" si="473">+(PYB1619+PYB1623)*1.18*1.1</f>
        <v>0</v>
      </c>
      <c r="PYC1599" s="55">
        <f t="shared" si="473"/>
        <v>0</v>
      </c>
      <c r="PYD1599" s="55">
        <f t="shared" si="473"/>
        <v>0</v>
      </c>
      <c r="PYE1599" s="55">
        <f t="shared" si="473"/>
        <v>0</v>
      </c>
      <c r="PYF1599" s="55">
        <f t="shared" si="473"/>
        <v>0</v>
      </c>
      <c r="PYG1599" s="55">
        <f t="shared" si="473"/>
        <v>0</v>
      </c>
      <c r="PYH1599" s="55">
        <f t="shared" si="473"/>
        <v>0</v>
      </c>
      <c r="PYI1599" s="55">
        <f t="shared" si="473"/>
        <v>0</v>
      </c>
      <c r="PYJ1599" s="55">
        <f t="shared" si="473"/>
        <v>0</v>
      </c>
      <c r="PYK1599" s="55">
        <f t="shared" si="473"/>
        <v>0</v>
      </c>
      <c r="PYL1599" s="55">
        <f t="shared" si="473"/>
        <v>0</v>
      </c>
      <c r="PYM1599" s="55">
        <f t="shared" si="473"/>
        <v>0</v>
      </c>
      <c r="PYN1599" s="55">
        <f t="shared" si="473"/>
        <v>0</v>
      </c>
      <c r="PYO1599" s="55">
        <f t="shared" si="473"/>
        <v>0</v>
      </c>
      <c r="PYP1599" s="55">
        <f t="shared" si="473"/>
        <v>0</v>
      </c>
      <c r="PYQ1599" s="55">
        <f t="shared" si="473"/>
        <v>0</v>
      </c>
      <c r="PYR1599" s="55">
        <f t="shared" si="473"/>
        <v>0</v>
      </c>
      <c r="PYS1599" s="55">
        <f t="shared" si="473"/>
        <v>0</v>
      </c>
      <c r="PYT1599" s="55">
        <f t="shared" si="473"/>
        <v>0</v>
      </c>
      <c r="PYU1599" s="55">
        <f t="shared" si="473"/>
        <v>0</v>
      </c>
      <c r="PYV1599" s="55">
        <f t="shared" si="473"/>
        <v>0</v>
      </c>
      <c r="PYW1599" s="55">
        <f t="shared" si="473"/>
        <v>0</v>
      </c>
      <c r="PYX1599" s="55">
        <f t="shared" si="473"/>
        <v>0</v>
      </c>
      <c r="PYY1599" s="55">
        <f t="shared" si="473"/>
        <v>0</v>
      </c>
      <c r="PYZ1599" s="55">
        <f t="shared" si="473"/>
        <v>0</v>
      </c>
      <c r="PZA1599" s="55">
        <f t="shared" si="473"/>
        <v>0</v>
      </c>
      <c r="PZB1599" s="55">
        <f t="shared" si="473"/>
        <v>0</v>
      </c>
      <c r="PZC1599" s="55">
        <f t="shared" si="473"/>
        <v>0</v>
      </c>
      <c r="PZD1599" s="55">
        <f t="shared" si="473"/>
        <v>0</v>
      </c>
      <c r="PZE1599" s="55">
        <f t="shared" si="473"/>
        <v>0</v>
      </c>
      <c r="PZF1599" s="55">
        <f t="shared" si="473"/>
        <v>0</v>
      </c>
      <c r="PZG1599" s="55">
        <f t="shared" si="473"/>
        <v>0</v>
      </c>
      <c r="PZH1599" s="55">
        <f t="shared" si="473"/>
        <v>0</v>
      </c>
      <c r="PZI1599" s="55">
        <f t="shared" si="473"/>
        <v>0</v>
      </c>
      <c r="PZJ1599" s="55">
        <f t="shared" si="473"/>
        <v>0</v>
      </c>
      <c r="PZK1599" s="55">
        <f t="shared" si="473"/>
        <v>0</v>
      </c>
      <c r="PZL1599" s="55">
        <f t="shared" si="473"/>
        <v>0</v>
      </c>
      <c r="PZM1599" s="55">
        <f t="shared" si="473"/>
        <v>0</v>
      </c>
      <c r="PZN1599" s="55">
        <f t="shared" si="473"/>
        <v>0</v>
      </c>
      <c r="PZO1599" s="55">
        <f t="shared" si="473"/>
        <v>0</v>
      </c>
      <c r="PZP1599" s="55">
        <f t="shared" si="473"/>
        <v>0</v>
      </c>
      <c r="PZQ1599" s="55">
        <f t="shared" si="473"/>
        <v>0</v>
      </c>
      <c r="PZR1599" s="55">
        <f t="shared" si="473"/>
        <v>0</v>
      </c>
      <c r="PZS1599" s="55">
        <f t="shared" si="473"/>
        <v>0</v>
      </c>
      <c r="PZT1599" s="55">
        <f t="shared" si="473"/>
        <v>0</v>
      </c>
      <c r="PZU1599" s="55">
        <f t="shared" si="473"/>
        <v>0</v>
      </c>
      <c r="PZV1599" s="55">
        <f t="shared" si="473"/>
        <v>0</v>
      </c>
      <c r="PZW1599" s="55">
        <f t="shared" si="473"/>
        <v>0</v>
      </c>
      <c r="PZX1599" s="55">
        <f t="shared" si="473"/>
        <v>0</v>
      </c>
      <c r="PZY1599" s="55">
        <f t="shared" si="473"/>
        <v>0</v>
      </c>
      <c r="PZZ1599" s="55">
        <f t="shared" si="473"/>
        <v>0</v>
      </c>
      <c r="QAA1599" s="55">
        <f t="shared" si="473"/>
        <v>0</v>
      </c>
      <c r="QAB1599" s="55">
        <f t="shared" si="473"/>
        <v>0</v>
      </c>
      <c r="QAC1599" s="55">
        <f t="shared" si="473"/>
        <v>0</v>
      </c>
      <c r="QAD1599" s="55">
        <f t="shared" si="473"/>
        <v>0</v>
      </c>
      <c r="QAE1599" s="55">
        <f t="shared" si="473"/>
        <v>0</v>
      </c>
      <c r="QAF1599" s="55">
        <f t="shared" si="473"/>
        <v>0</v>
      </c>
      <c r="QAG1599" s="55">
        <f t="shared" si="473"/>
        <v>0</v>
      </c>
      <c r="QAH1599" s="55">
        <f t="shared" si="473"/>
        <v>0</v>
      </c>
      <c r="QAI1599" s="55">
        <f t="shared" si="473"/>
        <v>0</v>
      </c>
      <c r="QAJ1599" s="55">
        <f t="shared" si="473"/>
        <v>0</v>
      </c>
      <c r="QAK1599" s="55">
        <f t="shared" si="473"/>
        <v>0</v>
      </c>
      <c r="QAL1599" s="55">
        <f t="shared" si="473"/>
        <v>0</v>
      </c>
      <c r="QAM1599" s="55">
        <f t="shared" si="473"/>
        <v>0</v>
      </c>
      <c r="QAN1599" s="55">
        <f t="shared" ref="QAN1599:QCY1599" si="474">+(QAN1619+QAN1623)*1.18*1.1</f>
        <v>0</v>
      </c>
      <c r="QAO1599" s="55">
        <f t="shared" si="474"/>
        <v>0</v>
      </c>
      <c r="QAP1599" s="55">
        <f t="shared" si="474"/>
        <v>0</v>
      </c>
      <c r="QAQ1599" s="55">
        <f t="shared" si="474"/>
        <v>0</v>
      </c>
      <c r="QAR1599" s="55">
        <f t="shared" si="474"/>
        <v>0</v>
      </c>
      <c r="QAS1599" s="55">
        <f t="shared" si="474"/>
        <v>0</v>
      </c>
      <c r="QAT1599" s="55">
        <f t="shared" si="474"/>
        <v>0</v>
      </c>
      <c r="QAU1599" s="55">
        <f t="shared" si="474"/>
        <v>0</v>
      </c>
      <c r="QAV1599" s="55">
        <f t="shared" si="474"/>
        <v>0</v>
      </c>
      <c r="QAW1599" s="55">
        <f t="shared" si="474"/>
        <v>0</v>
      </c>
      <c r="QAX1599" s="55">
        <f t="shared" si="474"/>
        <v>0</v>
      </c>
      <c r="QAY1599" s="55">
        <f t="shared" si="474"/>
        <v>0</v>
      </c>
      <c r="QAZ1599" s="55">
        <f t="shared" si="474"/>
        <v>0</v>
      </c>
      <c r="QBA1599" s="55">
        <f t="shared" si="474"/>
        <v>0</v>
      </c>
      <c r="QBB1599" s="55">
        <f t="shared" si="474"/>
        <v>0</v>
      </c>
      <c r="QBC1599" s="55">
        <f t="shared" si="474"/>
        <v>0</v>
      </c>
      <c r="QBD1599" s="55">
        <f t="shared" si="474"/>
        <v>0</v>
      </c>
      <c r="QBE1599" s="55">
        <f t="shared" si="474"/>
        <v>0</v>
      </c>
      <c r="QBF1599" s="55">
        <f t="shared" si="474"/>
        <v>0</v>
      </c>
      <c r="QBG1599" s="55">
        <f t="shared" si="474"/>
        <v>0</v>
      </c>
      <c r="QBH1599" s="55">
        <f t="shared" si="474"/>
        <v>0</v>
      </c>
      <c r="QBI1599" s="55">
        <f t="shared" si="474"/>
        <v>0</v>
      </c>
      <c r="QBJ1599" s="55">
        <f t="shared" si="474"/>
        <v>0</v>
      </c>
      <c r="QBK1599" s="55">
        <f t="shared" si="474"/>
        <v>0</v>
      </c>
      <c r="QBL1599" s="55">
        <f t="shared" si="474"/>
        <v>0</v>
      </c>
      <c r="QBM1599" s="55">
        <f t="shared" si="474"/>
        <v>0</v>
      </c>
      <c r="QBN1599" s="55">
        <f t="shared" si="474"/>
        <v>0</v>
      </c>
      <c r="QBO1599" s="55">
        <f t="shared" si="474"/>
        <v>0</v>
      </c>
      <c r="QBP1599" s="55">
        <f t="shared" si="474"/>
        <v>0</v>
      </c>
      <c r="QBQ1599" s="55">
        <f t="shared" si="474"/>
        <v>0</v>
      </c>
      <c r="QBR1599" s="55">
        <f t="shared" si="474"/>
        <v>0</v>
      </c>
      <c r="QBS1599" s="55">
        <f t="shared" si="474"/>
        <v>0</v>
      </c>
      <c r="QBT1599" s="55">
        <f t="shared" si="474"/>
        <v>0</v>
      </c>
      <c r="QBU1599" s="55">
        <f t="shared" si="474"/>
        <v>0</v>
      </c>
      <c r="QBV1599" s="55">
        <f t="shared" si="474"/>
        <v>0</v>
      </c>
      <c r="QBW1599" s="55">
        <f t="shared" si="474"/>
        <v>0</v>
      </c>
      <c r="QBX1599" s="55">
        <f t="shared" si="474"/>
        <v>0</v>
      </c>
      <c r="QBY1599" s="55">
        <f t="shared" si="474"/>
        <v>0</v>
      </c>
      <c r="QBZ1599" s="55">
        <f t="shared" si="474"/>
        <v>0</v>
      </c>
      <c r="QCA1599" s="55">
        <f t="shared" si="474"/>
        <v>0</v>
      </c>
      <c r="QCB1599" s="55">
        <f t="shared" si="474"/>
        <v>0</v>
      </c>
      <c r="QCC1599" s="55">
        <f t="shared" si="474"/>
        <v>0</v>
      </c>
      <c r="QCD1599" s="55">
        <f t="shared" si="474"/>
        <v>0</v>
      </c>
      <c r="QCE1599" s="55">
        <f t="shared" si="474"/>
        <v>0</v>
      </c>
      <c r="QCF1599" s="55">
        <f t="shared" si="474"/>
        <v>0</v>
      </c>
      <c r="QCG1599" s="55">
        <f t="shared" si="474"/>
        <v>0</v>
      </c>
      <c r="QCH1599" s="55">
        <f t="shared" si="474"/>
        <v>0</v>
      </c>
      <c r="QCI1599" s="55">
        <f t="shared" si="474"/>
        <v>0</v>
      </c>
      <c r="QCJ1599" s="55">
        <f t="shared" si="474"/>
        <v>0</v>
      </c>
      <c r="QCK1599" s="55">
        <f t="shared" si="474"/>
        <v>0</v>
      </c>
      <c r="QCL1599" s="55">
        <f t="shared" si="474"/>
        <v>0</v>
      </c>
      <c r="QCM1599" s="55">
        <f t="shared" si="474"/>
        <v>0</v>
      </c>
      <c r="QCN1599" s="55">
        <f t="shared" si="474"/>
        <v>0</v>
      </c>
      <c r="QCO1599" s="55">
        <f t="shared" si="474"/>
        <v>0</v>
      </c>
      <c r="QCP1599" s="55">
        <f t="shared" si="474"/>
        <v>0</v>
      </c>
      <c r="QCQ1599" s="55">
        <f t="shared" si="474"/>
        <v>0</v>
      </c>
      <c r="QCR1599" s="55">
        <f t="shared" si="474"/>
        <v>0</v>
      </c>
      <c r="QCS1599" s="55">
        <f t="shared" si="474"/>
        <v>0</v>
      </c>
      <c r="QCT1599" s="55">
        <f t="shared" si="474"/>
        <v>0</v>
      </c>
      <c r="QCU1599" s="55">
        <f t="shared" si="474"/>
        <v>0</v>
      </c>
      <c r="QCV1599" s="55">
        <f t="shared" si="474"/>
        <v>0</v>
      </c>
      <c r="QCW1599" s="55">
        <f t="shared" si="474"/>
        <v>0</v>
      </c>
      <c r="QCX1599" s="55">
        <f t="shared" si="474"/>
        <v>0</v>
      </c>
      <c r="QCY1599" s="55">
        <f t="shared" si="474"/>
        <v>0</v>
      </c>
      <c r="QCZ1599" s="55">
        <f t="shared" ref="QCZ1599:QFK1599" si="475">+(QCZ1619+QCZ1623)*1.18*1.1</f>
        <v>0</v>
      </c>
      <c r="QDA1599" s="55">
        <f t="shared" si="475"/>
        <v>0</v>
      </c>
      <c r="QDB1599" s="55">
        <f t="shared" si="475"/>
        <v>0</v>
      </c>
      <c r="QDC1599" s="55">
        <f t="shared" si="475"/>
        <v>0</v>
      </c>
      <c r="QDD1599" s="55">
        <f t="shared" si="475"/>
        <v>0</v>
      </c>
      <c r="QDE1599" s="55">
        <f t="shared" si="475"/>
        <v>0</v>
      </c>
      <c r="QDF1599" s="55">
        <f t="shared" si="475"/>
        <v>0</v>
      </c>
      <c r="QDG1599" s="55">
        <f t="shared" si="475"/>
        <v>0</v>
      </c>
      <c r="QDH1599" s="55">
        <f t="shared" si="475"/>
        <v>0</v>
      </c>
      <c r="QDI1599" s="55">
        <f t="shared" si="475"/>
        <v>0</v>
      </c>
      <c r="QDJ1599" s="55">
        <f t="shared" si="475"/>
        <v>0</v>
      </c>
      <c r="QDK1599" s="55">
        <f t="shared" si="475"/>
        <v>0</v>
      </c>
      <c r="QDL1599" s="55">
        <f t="shared" si="475"/>
        <v>0</v>
      </c>
      <c r="QDM1599" s="55">
        <f t="shared" si="475"/>
        <v>0</v>
      </c>
      <c r="QDN1599" s="55">
        <f t="shared" si="475"/>
        <v>0</v>
      </c>
      <c r="QDO1599" s="55">
        <f t="shared" si="475"/>
        <v>0</v>
      </c>
      <c r="QDP1599" s="55">
        <f t="shared" si="475"/>
        <v>0</v>
      </c>
      <c r="QDQ1599" s="55">
        <f t="shared" si="475"/>
        <v>0</v>
      </c>
      <c r="QDR1599" s="55">
        <f t="shared" si="475"/>
        <v>0</v>
      </c>
      <c r="QDS1599" s="55">
        <f t="shared" si="475"/>
        <v>0</v>
      </c>
      <c r="QDT1599" s="55">
        <f t="shared" si="475"/>
        <v>0</v>
      </c>
      <c r="QDU1599" s="55">
        <f t="shared" si="475"/>
        <v>0</v>
      </c>
      <c r="QDV1599" s="55">
        <f t="shared" si="475"/>
        <v>0</v>
      </c>
      <c r="QDW1599" s="55">
        <f t="shared" si="475"/>
        <v>0</v>
      </c>
      <c r="QDX1599" s="55">
        <f t="shared" si="475"/>
        <v>0</v>
      </c>
      <c r="QDY1599" s="55">
        <f t="shared" si="475"/>
        <v>0</v>
      </c>
      <c r="QDZ1599" s="55">
        <f t="shared" si="475"/>
        <v>0</v>
      </c>
      <c r="QEA1599" s="55">
        <f t="shared" si="475"/>
        <v>0</v>
      </c>
      <c r="QEB1599" s="55">
        <f t="shared" si="475"/>
        <v>0</v>
      </c>
      <c r="QEC1599" s="55">
        <f t="shared" si="475"/>
        <v>0</v>
      </c>
      <c r="QED1599" s="55">
        <f t="shared" si="475"/>
        <v>0</v>
      </c>
      <c r="QEE1599" s="55">
        <f t="shared" si="475"/>
        <v>0</v>
      </c>
      <c r="QEF1599" s="55">
        <f t="shared" si="475"/>
        <v>0</v>
      </c>
      <c r="QEG1599" s="55">
        <f t="shared" si="475"/>
        <v>0</v>
      </c>
      <c r="QEH1599" s="55">
        <f t="shared" si="475"/>
        <v>0</v>
      </c>
      <c r="QEI1599" s="55">
        <f t="shared" si="475"/>
        <v>0</v>
      </c>
      <c r="QEJ1599" s="55">
        <f t="shared" si="475"/>
        <v>0</v>
      </c>
      <c r="QEK1599" s="55">
        <f t="shared" si="475"/>
        <v>0</v>
      </c>
      <c r="QEL1599" s="55">
        <f t="shared" si="475"/>
        <v>0</v>
      </c>
      <c r="QEM1599" s="55">
        <f t="shared" si="475"/>
        <v>0</v>
      </c>
      <c r="QEN1599" s="55">
        <f t="shared" si="475"/>
        <v>0</v>
      </c>
      <c r="QEO1599" s="55">
        <f t="shared" si="475"/>
        <v>0</v>
      </c>
      <c r="QEP1599" s="55">
        <f t="shared" si="475"/>
        <v>0</v>
      </c>
      <c r="QEQ1599" s="55">
        <f t="shared" si="475"/>
        <v>0</v>
      </c>
      <c r="QER1599" s="55">
        <f t="shared" si="475"/>
        <v>0</v>
      </c>
      <c r="QES1599" s="55">
        <f t="shared" si="475"/>
        <v>0</v>
      </c>
      <c r="QET1599" s="55">
        <f t="shared" si="475"/>
        <v>0</v>
      </c>
      <c r="QEU1599" s="55">
        <f t="shared" si="475"/>
        <v>0</v>
      </c>
      <c r="QEV1599" s="55">
        <f t="shared" si="475"/>
        <v>0</v>
      </c>
      <c r="QEW1599" s="55">
        <f t="shared" si="475"/>
        <v>0</v>
      </c>
      <c r="QEX1599" s="55">
        <f t="shared" si="475"/>
        <v>0</v>
      </c>
      <c r="QEY1599" s="55">
        <f t="shared" si="475"/>
        <v>0</v>
      </c>
      <c r="QEZ1599" s="55">
        <f t="shared" si="475"/>
        <v>0</v>
      </c>
      <c r="QFA1599" s="55">
        <f t="shared" si="475"/>
        <v>0</v>
      </c>
      <c r="QFB1599" s="55">
        <f t="shared" si="475"/>
        <v>0</v>
      </c>
      <c r="QFC1599" s="55">
        <f t="shared" si="475"/>
        <v>0</v>
      </c>
      <c r="QFD1599" s="55">
        <f t="shared" si="475"/>
        <v>0</v>
      </c>
      <c r="QFE1599" s="55">
        <f t="shared" si="475"/>
        <v>0</v>
      </c>
      <c r="QFF1599" s="55">
        <f t="shared" si="475"/>
        <v>0</v>
      </c>
      <c r="QFG1599" s="55">
        <f t="shared" si="475"/>
        <v>0</v>
      </c>
      <c r="QFH1599" s="55">
        <f t="shared" si="475"/>
        <v>0</v>
      </c>
      <c r="QFI1599" s="55">
        <f t="shared" si="475"/>
        <v>0</v>
      </c>
      <c r="QFJ1599" s="55">
        <f t="shared" si="475"/>
        <v>0</v>
      </c>
      <c r="QFK1599" s="55">
        <f t="shared" si="475"/>
        <v>0</v>
      </c>
      <c r="QFL1599" s="55">
        <f t="shared" ref="QFL1599:QHW1599" si="476">+(QFL1619+QFL1623)*1.18*1.1</f>
        <v>0</v>
      </c>
      <c r="QFM1599" s="55">
        <f t="shared" si="476"/>
        <v>0</v>
      </c>
      <c r="QFN1599" s="55">
        <f t="shared" si="476"/>
        <v>0</v>
      </c>
      <c r="QFO1599" s="55">
        <f t="shared" si="476"/>
        <v>0</v>
      </c>
      <c r="QFP1599" s="55">
        <f t="shared" si="476"/>
        <v>0</v>
      </c>
      <c r="QFQ1599" s="55">
        <f t="shared" si="476"/>
        <v>0</v>
      </c>
      <c r="QFR1599" s="55">
        <f t="shared" si="476"/>
        <v>0</v>
      </c>
      <c r="QFS1599" s="55">
        <f t="shared" si="476"/>
        <v>0</v>
      </c>
      <c r="QFT1599" s="55">
        <f t="shared" si="476"/>
        <v>0</v>
      </c>
      <c r="QFU1599" s="55">
        <f t="shared" si="476"/>
        <v>0</v>
      </c>
      <c r="QFV1599" s="55">
        <f t="shared" si="476"/>
        <v>0</v>
      </c>
      <c r="QFW1599" s="55">
        <f t="shared" si="476"/>
        <v>0</v>
      </c>
      <c r="QFX1599" s="55">
        <f t="shared" si="476"/>
        <v>0</v>
      </c>
      <c r="QFY1599" s="55">
        <f t="shared" si="476"/>
        <v>0</v>
      </c>
      <c r="QFZ1599" s="55">
        <f t="shared" si="476"/>
        <v>0</v>
      </c>
      <c r="QGA1599" s="55">
        <f t="shared" si="476"/>
        <v>0</v>
      </c>
      <c r="QGB1599" s="55">
        <f t="shared" si="476"/>
        <v>0</v>
      </c>
      <c r="QGC1599" s="55">
        <f t="shared" si="476"/>
        <v>0</v>
      </c>
      <c r="QGD1599" s="55">
        <f t="shared" si="476"/>
        <v>0</v>
      </c>
      <c r="QGE1599" s="55">
        <f t="shared" si="476"/>
        <v>0</v>
      </c>
      <c r="QGF1599" s="55">
        <f t="shared" si="476"/>
        <v>0</v>
      </c>
      <c r="QGG1599" s="55">
        <f t="shared" si="476"/>
        <v>0</v>
      </c>
      <c r="QGH1599" s="55">
        <f t="shared" si="476"/>
        <v>0</v>
      </c>
      <c r="QGI1599" s="55">
        <f t="shared" si="476"/>
        <v>0</v>
      </c>
      <c r="QGJ1599" s="55">
        <f t="shared" si="476"/>
        <v>0</v>
      </c>
      <c r="QGK1599" s="55">
        <f t="shared" si="476"/>
        <v>0</v>
      </c>
      <c r="QGL1599" s="55">
        <f t="shared" si="476"/>
        <v>0</v>
      </c>
      <c r="QGM1599" s="55">
        <f t="shared" si="476"/>
        <v>0</v>
      </c>
      <c r="QGN1599" s="55">
        <f t="shared" si="476"/>
        <v>0</v>
      </c>
      <c r="QGO1599" s="55">
        <f t="shared" si="476"/>
        <v>0</v>
      </c>
      <c r="QGP1599" s="55">
        <f t="shared" si="476"/>
        <v>0</v>
      </c>
      <c r="QGQ1599" s="55">
        <f t="shared" si="476"/>
        <v>0</v>
      </c>
      <c r="QGR1599" s="55">
        <f t="shared" si="476"/>
        <v>0</v>
      </c>
      <c r="QGS1599" s="55">
        <f t="shared" si="476"/>
        <v>0</v>
      </c>
      <c r="QGT1599" s="55">
        <f t="shared" si="476"/>
        <v>0</v>
      </c>
      <c r="QGU1599" s="55">
        <f t="shared" si="476"/>
        <v>0</v>
      </c>
      <c r="QGV1599" s="55">
        <f t="shared" si="476"/>
        <v>0</v>
      </c>
      <c r="QGW1599" s="55">
        <f t="shared" si="476"/>
        <v>0</v>
      </c>
      <c r="QGX1599" s="55">
        <f t="shared" si="476"/>
        <v>0</v>
      </c>
      <c r="QGY1599" s="55">
        <f t="shared" si="476"/>
        <v>0</v>
      </c>
      <c r="QGZ1599" s="55">
        <f t="shared" si="476"/>
        <v>0</v>
      </c>
      <c r="QHA1599" s="55">
        <f t="shared" si="476"/>
        <v>0</v>
      </c>
      <c r="QHB1599" s="55">
        <f t="shared" si="476"/>
        <v>0</v>
      </c>
      <c r="QHC1599" s="55">
        <f t="shared" si="476"/>
        <v>0</v>
      </c>
      <c r="QHD1599" s="55">
        <f t="shared" si="476"/>
        <v>0</v>
      </c>
      <c r="QHE1599" s="55">
        <f t="shared" si="476"/>
        <v>0</v>
      </c>
      <c r="QHF1599" s="55">
        <f t="shared" si="476"/>
        <v>0</v>
      </c>
      <c r="QHG1599" s="55">
        <f t="shared" si="476"/>
        <v>0</v>
      </c>
      <c r="QHH1599" s="55">
        <f t="shared" si="476"/>
        <v>0</v>
      </c>
      <c r="QHI1599" s="55">
        <f t="shared" si="476"/>
        <v>0</v>
      </c>
      <c r="QHJ1599" s="55">
        <f t="shared" si="476"/>
        <v>0</v>
      </c>
      <c r="QHK1599" s="55">
        <f t="shared" si="476"/>
        <v>0</v>
      </c>
      <c r="QHL1599" s="55">
        <f t="shared" si="476"/>
        <v>0</v>
      </c>
      <c r="QHM1599" s="55">
        <f t="shared" si="476"/>
        <v>0</v>
      </c>
      <c r="QHN1599" s="55">
        <f t="shared" si="476"/>
        <v>0</v>
      </c>
      <c r="QHO1599" s="55">
        <f t="shared" si="476"/>
        <v>0</v>
      </c>
      <c r="QHP1599" s="55">
        <f t="shared" si="476"/>
        <v>0</v>
      </c>
      <c r="QHQ1599" s="55">
        <f t="shared" si="476"/>
        <v>0</v>
      </c>
      <c r="QHR1599" s="55">
        <f t="shared" si="476"/>
        <v>0</v>
      </c>
      <c r="QHS1599" s="55">
        <f t="shared" si="476"/>
        <v>0</v>
      </c>
      <c r="QHT1599" s="55">
        <f t="shared" si="476"/>
        <v>0</v>
      </c>
      <c r="QHU1599" s="55">
        <f t="shared" si="476"/>
        <v>0</v>
      </c>
      <c r="QHV1599" s="55">
        <f t="shared" si="476"/>
        <v>0</v>
      </c>
      <c r="QHW1599" s="55">
        <f t="shared" si="476"/>
        <v>0</v>
      </c>
      <c r="QHX1599" s="55">
        <f t="shared" ref="QHX1599:QKI1599" si="477">+(QHX1619+QHX1623)*1.18*1.1</f>
        <v>0</v>
      </c>
      <c r="QHY1599" s="55">
        <f t="shared" si="477"/>
        <v>0</v>
      </c>
      <c r="QHZ1599" s="55">
        <f t="shared" si="477"/>
        <v>0</v>
      </c>
      <c r="QIA1599" s="55">
        <f t="shared" si="477"/>
        <v>0</v>
      </c>
      <c r="QIB1599" s="55">
        <f t="shared" si="477"/>
        <v>0</v>
      </c>
      <c r="QIC1599" s="55">
        <f t="shared" si="477"/>
        <v>0</v>
      </c>
      <c r="QID1599" s="55">
        <f t="shared" si="477"/>
        <v>0</v>
      </c>
      <c r="QIE1599" s="55">
        <f t="shared" si="477"/>
        <v>0</v>
      </c>
      <c r="QIF1599" s="55">
        <f t="shared" si="477"/>
        <v>0</v>
      </c>
      <c r="QIG1599" s="55">
        <f t="shared" si="477"/>
        <v>0</v>
      </c>
      <c r="QIH1599" s="55">
        <f t="shared" si="477"/>
        <v>0</v>
      </c>
      <c r="QII1599" s="55">
        <f t="shared" si="477"/>
        <v>0</v>
      </c>
      <c r="QIJ1599" s="55">
        <f t="shared" si="477"/>
        <v>0</v>
      </c>
      <c r="QIK1599" s="55">
        <f t="shared" si="477"/>
        <v>0</v>
      </c>
      <c r="QIL1599" s="55">
        <f t="shared" si="477"/>
        <v>0</v>
      </c>
      <c r="QIM1599" s="55">
        <f t="shared" si="477"/>
        <v>0</v>
      </c>
      <c r="QIN1599" s="55">
        <f t="shared" si="477"/>
        <v>0</v>
      </c>
      <c r="QIO1599" s="55">
        <f t="shared" si="477"/>
        <v>0</v>
      </c>
      <c r="QIP1599" s="55">
        <f t="shared" si="477"/>
        <v>0</v>
      </c>
      <c r="QIQ1599" s="55">
        <f t="shared" si="477"/>
        <v>0</v>
      </c>
      <c r="QIR1599" s="55">
        <f t="shared" si="477"/>
        <v>0</v>
      </c>
      <c r="QIS1599" s="55">
        <f t="shared" si="477"/>
        <v>0</v>
      </c>
      <c r="QIT1599" s="55">
        <f t="shared" si="477"/>
        <v>0</v>
      </c>
      <c r="QIU1599" s="55">
        <f t="shared" si="477"/>
        <v>0</v>
      </c>
      <c r="QIV1599" s="55">
        <f t="shared" si="477"/>
        <v>0</v>
      </c>
      <c r="QIW1599" s="55">
        <f t="shared" si="477"/>
        <v>0</v>
      </c>
      <c r="QIX1599" s="55">
        <f t="shared" si="477"/>
        <v>0</v>
      </c>
      <c r="QIY1599" s="55">
        <f t="shared" si="477"/>
        <v>0</v>
      </c>
      <c r="QIZ1599" s="55">
        <f t="shared" si="477"/>
        <v>0</v>
      </c>
      <c r="QJA1599" s="55">
        <f t="shared" si="477"/>
        <v>0</v>
      </c>
      <c r="QJB1599" s="55">
        <f t="shared" si="477"/>
        <v>0</v>
      </c>
      <c r="QJC1599" s="55">
        <f t="shared" si="477"/>
        <v>0</v>
      </c>
      <c r="QJD1599" s="55">
        <f t="shared" si="477"/>
        <v>0</v>
      </c>
      <c r="QJE1599" s="55">
        <f t="shared" si="477"/>
        <v>0</v>
      </c>
      <c r="QJF1599" s="55">
        <f t="shared" si="477"/>
        <v>0</v>
      </c>
      <c r="QJG1599" s="55">
        <f t="shared" si="477"/>
        <v>0</v>
      </c>
      <c r="QJH1599" s="55">
        <f t="shared" si="477"/>
        <v>0</v>
      </c>
      <c r="QJI1599" s="55">
        <f t="shared" si="477"/>
        <v>0</v>
      </c>
      <c r="QJJ1599" s="55">
        <f t="shared" si="477"/>
        <v>0</v>
      </c>
      <c r="QJK1599" s="55">
        <f t="shared" si="477"/>
        <v>0</v>
      </c>
      <c r="QJL1599" s="55">
        <f t="shared" si="477"/>
        <v>0</v>
      </c>
      <c r="QJM1599" s="55">
        <f t="shared" si="477"/>
        <v>0</v>
      </c>
      <c r="QJN1599" s="55">
        <f t="shared" si="477"/>
        <v>0</v>
      </c>
      <c r="QJO1599" s="55">
        <f t="shared" si="477"/>
        <v>0</v>
      </c>
      <c r="QJP1599" s="55">
        <f t="shared" si="477"/>
        <v>0</v>
      </c>
      <c r="QJQ1599" s="55">
        <f t="shared" si="477"/>
        <v>0</v>
      </c>
      <c r="QJR1599" s="55">
        <f t="shared" si="477"/>
        <v>0</v>
      </c>
      <c r="QJS1599" s="55">
        <f t="shared" si="477"/>
        <v>0</v>
      </c>
      <c r="QJT1599" s="55">
        <f t="shared" si="477"/>
        <v>0</v>
      </c>
      <c r="QJU1599" s="55">
        <f t="shared" si="477"/>
        <v>0</v>
      </c>
      <c r="QJV1599" s="55">
        <f t="shared" si="477"/>
        <v>0</v>
      </c>
      <c r="QJW1599" s="55">
        <f t="shared" si="477"/>
        <v>0</v>
      </c>
      <c r="QJX1599" s="55">
        <f t="shared" si="477"/>
        <v>0</v>
      </c>
      <c r="QJY1599" s="55">
        <f t="shared" si="477"/>
        <v>0</v>
      </c>
      <c r="QJZ1599" s="55">
        <f t="shared" si="477"/>
        <v>0</v>
      </c>
      <c r="QKA1599" s="55">
        <f t="shared" si="477"/>
        <v>0</v>
      </c>
      <c r="QKB1599" s="55">
        <f t="shared" si="477"/>
        <v>0</v>
      </c>
      <c r="QKC1599" s="55">
        <f t="shared" si="477"/>
        <v>0</v>
      </c>
      <c r="QKD1599" s="55">
        <f t="shared" si="477"/>
        <v>0</v>
      </c>
      <c r="QKE1599" s="55">
        <f t="shared" si="477"/>
        <v>0</v>
      </c>
      <c r="QKF1599" s="55">
        <f t="shared" si="477"/>
        <v>0</v>
      </c>
      <c r="QKG1599" s="55">
        <f t="shared" si="477"/>
        <v>0</v>
      </c>
      <c r="QKH1599" s="55">
        <f t="shared" si="477"/>
        <v>0</v>
      </c>
      <c r="QKI1599" s="55">
        <f t="shared" si="477"/>
        <v>0</v>
      </c>
      <c r="QKJ1599" s="55">
        <f t="shared" ref="QKJ1599:QMU1599" si="478">+(QKJ1619+QKJ1623)*1.18*1.1</f>
        <v>0</v>
      </c>
      <c r="QKK1599" s="55">
        <f t="shared" si="478"/>
        <v>0</v>
      </c>
      <c r="QKL1599" s="55">
        <f t="shared" si="478"/>
        <v>0</v>
      </c>
      <c r="QKM1599" s="55">
        <f t="shared" si="478"/>
        <v>0</v>
      </c>
      <c r="QKN1599" s="55">
        <f t="shared" si="478"/>
        <v>0</v>
      </c>
      <c r="QKO1599" s="55">
        <f t="shared" si="478"/>
        <v>0</v>
      </c>
      <c r="QKP1599" s="55">
        <f t="shared" si="478"/>
        <v>0</v>
      </c>
      <c r="QKQ1599" s="55">
        <f t="shared" si="478"/>
        <v>0</v>
      </c>
      <c r="QKR1599" s="55">
        <f t="shared" si="478"/>
        <v>0</v>
      </c>
      <c r="QKS1599" s="55">
        <f t="shared" si="478"/>
        <v>0</v>
      </c>
      <c r="QKT1599" s="55">
        <f t="shared" si="478"/>
        <v>0</v>
      </c>
      <c r="QKU1599" s="55">
        <f t="shared" si="478"/>
        <v>0</v>
      </c>
      <c r="QKV1599" s="55">
        <f t="shared" si="478"/>
        <v>0</v>
      </c>
      <c r="QKW1599" s="55">
        <f t="shared" si="478"/>
        <v>0</v>
      </c>
      <c r="QKX1599" s="55">
        <f t="shared" si="478"/>
        <v>0</v>
      </c>
      <c r="QKY1599" s="55">
        <f t="shared" si="478"/>
        <v>0</v>
      </c>
      <c r="QKZ1599" s="55">
        <f t="shared" si="478"/>
        <v>0</v>
      </c>
      <c r="QLA1599" s="55">
        <f t="shared" si="478"/>
        <v>0</v>
      </c>
      <c r="QLB1599" s="55">
        <f t="shared" si="478"/>
        <v>0</v>
      </c>
      <c r="QLC1599" s="55">
        <f t="shared" si="478"/>
        <v>0</v>
      </c>
      <c r="QLD1599" s="55">
        <f t="shared" si="478"/>
        <v>0</v>
      </c>
      <c r="QLE1599" s="55">
        <f t="shared" si="478"/>
        <v>0</v>
      </c>
      <c r="QLF1599" s="55">
        <f t="shared" si="478"/>
        <v>0</v>
      </c>
      <c r="QLG1599" s="55">
        <f t="shared" si="478"/>
        <v>0</v>
      </c>
      <c r="QLH1599" s="55">
        <f t="shared" si="478"/>
        <v>0</v>
      </c>
      <c r="QLI1599" s="55">
        <f t="shared" si="478"/>
        <v>0</v>
      </c>
      <c r="QLJ1599" s="55">
        <f t="shared" si="478"/>
        <v>0</v>
      </c>
      <c r="QLK1599" s="55">
        <f t="shared" si="478"/>
        <v>0</v>
      </c>
      <c r="QLL1599" s="55">
        <f t="shared" si="478"/>
        <v>0</v>
      </c>
      <c r="QLM1599" s="55">
        <f t="shared" si="478"/>
        <v>0</v>
      </c>
      <c r="QLN1599" s="55">
        <f t="shared" si="478"/>
        <v>0</v>
      </c>
      <c r="QLO1599" s="55">
        <f t="shared" si="478"/>
        <v>0</v>
      </c>
      <c r="QLP1599" s="55">
        <f t="shared" si="478"/>
        <v>0</v>
      </c>
      <c r="QLQ1599" s="55">
        <f t="shared" si="478"/>
        <v>0</v>
      </c>
      <c r="QLR1599" s="55">
        <f t="shared" si="478"/>
        <v>0</v>
      </c>
      <c r="QLS1599" s="55">
        <f t="shared" si="478"/>
        <v>0</v>
      </c>
      <c r="QLT1599" s="55">
        <f t="shared" si="478"/>
        <v>0</v>
      </c>
      <c r="QLU1599" s="55">
        <f t="shared" si="478"/>
        <v>0</v>
      </c>
      <c r="QLV1599" s="55">
        <f t="shared" si="478"/>
        <v>0</v>
      </c>
      <c r="QLW1599" s="55">
        <f t="shared" si="478"/>
        <v>0</v>
      </c>
      <c r="QLX1599" s="55">
        <f t="shared" si="478"/>
        <v>0</v>
      </c>
      <c r="QLY1599" s="55">
        <f t="shared" si="478"/>
        <v>0</v>
      </c>
      <c r="QLZ1599" s="55">
        <f t="shared" si="478"/>
        <v>0</v>
      </c>
      <c r="QMA1599" s="55">
        <f t="shared" si="478"/>
        <v>0</v>
      </c>
      <c r="QMB1599" s="55">
        <f t="shared" si="478"/>
        <v>0</v>
      </c>
      <c r="QMC1599" s="55">
        <f t="shared" si="478"/>
        <v>0</v>
      </c>
      <c r="QMD1599" s="55">
        <f t="shared" si="478"/>
        <v>0</v>
      </c>
      <c r="QME1599" s="55">
        <f t="shared" si="478"/>
        <v>0</v>
      </c>
      <c r="QMF1599" s="55">
        <f t="shared" si="478"/>
        <v>0</v>
      </c>
      <c r="QMG1599" s="55">
        <f t="shared" si="478"/>
        <v>0</v>
      </c>
      <c r="QMH1599" s="55">
        <f t="shared" si="478"/>
        <v>0</v>
      </c>
      <c r="QMI1599" s="55">
        <f t="shared" si="478"/>
        <v>0</v>
      </c>
      <c r="QMJ1599" s="55">
        <f t="shared" si="478"/>
        <v>0</v>
      </c>
      <c r="QMK1599" s="55">
        <f t="shared" si="478"/>
        <v>0</v>
      </c>
      <c r="QML1599" s="55">
        <f t="shared" si="478"/>
        <v>0</v>
      </c>
      <c r="QMM1599" s="55">
        <f t="shared" si="478"/>
        <v>0</v>
      </c>
      <c r="QMN1599" s="55">
        <f t="shared" si="478"/>
        <v>0</v>
      </c>
      <c r="QMO1599" s="55">
        <f t="shared" si="478"/>
        <v>0</v>
      </c>
      <c r="QMP1599" s="55">
        <f t="shared" si="478"/>
        <v>0</v>
      </c>
      <c r="QMQ1599" s="55">
        <f t="shared" si="478"/>
        <v>0</v>
      </c>
      <c r="QMR1599" s="55">
        <f t="shared" si="478"/>
        <v>0</v>
      </c>
      <c r="QMS1599" s="55">
        <f t="shared" si="478"/>
        <v>0</v>
      </c>
      <c r="QMT1599" s="55">
        <f t="shared" si="478"/>
        <v>0</v>
      </c>
      <c r="QMU1599" s="55">
        <f t="shared" si="478"/>
        <v>0</v>
      </c>
      <c r="QMV1599" s="55">
        <f t="shared" ref="QMV1599:QPG1599" si="479">+(QMV1619+QMV1623)*1.18*1.1</f>
        <v>0</v>
      </c>
      <c r="QMW1599" s="55">
        <f t="shared" si="479"/>
        <v>0</v>
      </c>
      <c r="QMX1599" s="55">
        <f t="shared" si="479"/>
        <v>0</v>
      </c>
      <c r="QMY1599" s="55">
        <f t="shared" si="479"/>
        <v>0</v>
      </c>
      <c r="QMZ1599" s="55">
        <f t="shared" si="479"/>
        <v>0</v>
      </c>
      <c r="QNA1599" s="55">
        <f t="shared" si="479"/>
        <v>0</v>
      </c>
      <c r="QNB1599" s="55">
        <f t="shared" si="479"/>
        <v>0</v>
      </c>
      <c r="QNC1599" s="55">
        <f t="shared" si="479"/>
        <v>0</v>
      </c>
      <c r="QND1599" s="55">
        <f t="shared" si="479"/>
        <v>0</v>
      </c>
      <c r="QNE1599" s="55">
        <f t="shared" si="479"/>
        <v>0</v>
      </c>
      <c r="QNF1599" s="55">
        <f t="shared" si="479"/>
        <v>0</v>
      </c>
      <c r="QNG1599" s="55">
        <f t="shared" si="479"/>
        <v>0</v>
      </c>
      <c r="QNH1599" s="55">
        <f t="shared" si="479"/>
        <v>0</v>
      </c>
      <c r="QNI1599" s="55">
        <f t="shared" si="479"/>
        <v>0</v>
      </c>
      <c r="QNJ1599" s="55">
        <f t="shared" si="479"/>
        <v>0</v>
      </c>
      <c r="QNK1599" s="55">
        <f t="shared" si="479"/>
        <v>0</v>
      </c>
      <c r="QNL1599" s="55">
        <f t="shared" si="479"/>
        <v>0</v>
      </c>
      <c r="QNM1599" s="55">
        <f t="shared" si="479"/>
        <v>0</v>
      </c>
      <c r="QNN1599" s="55">
        <f t="shared" si="479"/>
        <v>0</v>
      </c>
      <c r="QNO1599" s="55">
        <f t="shared" si="479"/>
        <v>0</v>
      </c>
      <c r="QNP1599" s="55">
        <f t="shared" si="479"/>
        <v>0</v>
      </c>
      <c r="QNQ1599" s="55">
        <f t="shared" si="479"/>
        <v>0</v>
      </c>
      <c r="QNR1599" s="55">
        <f t="shared" si="479"/>
        <v>0</v>
      </c>
      <c r="QNS1599" s="55">
        <f t="shared" si="479"/>
        <v>0</v>
      </c>
      <c r="QNT1599" s="55">
        <f t="shared" si="479"/>
        <v>0</v>
      </c>
      <c r="QNU1599" s="55">
        <f t="shared" si="479"/>
        <v>0</v>
      </c>
      <c r="QNV1599" s="55">
        <f t="shared" si="479"/>
        <v>0</v>
      </c>
      <c r="QNW1599" s="55">
        <f t="shared" si="479"/>
        <v>0</v>
      </c>
      <c r="QNX1599" s="55">
        <f t="shared" si="479"/>
        <v>0</v>
      </c>
      <c r="QNY1599" s="55">
        <f t="shared" si="479"/>
        <v>0</v>
      </c>
      <c r="QNZ1599" s="55">
        <f t="shared" si="479"/>
        <v>0</v>
      </c>
      <c r="QOA1599" s="55">
        <f t="shared" si="479"/>
        <v>0</v>
      </c>
      <c r="QOB1599" s="55">
        <f t="shared" si="479"/>
        <v>0</v>
      </c>
      <c r="QOC1599" s="55">
        <f t="shared" si="479"/>
        <v>0</v>
      </c>
      <c r="QOD1599" s="55">
        <f t="shared" si="479"/>
        <v>0</v>
      </c>
      <c r="QOE1599" s="55">
        <f t="shared" si="479"/>
        <v>0</v>
      </c>
      <c r="QOF1599" s="55">
        <f t="shared" si="479"/>
        <v>0</v>
      </c>
      <c r="QOG1599" s="55">
        <f t="shared" si="479"/>
        <v>0</v>
      </c>
      <c r="QOH1599" s="55">
        <f t="shared" si="479"/>
        <v>0</v>
      </c>
      <c r="QOI1599" s="55">
        <f t="shared" si="479"/>
        <v>0</v>
      </c>
      <c r="QOJ1599" s="55">
        <f t="shared" si="479"/>
        <v>0</v>
      </c>
      <c r="QOK1599" s="55">
        <f t="shared" si="479"/>
        <v>0</v>
      </c>
      <c r="QOL1599" s="55">
        <f t="shared" si="479"/>
        <v>0</v>
      </c>
      <c r="QOM1599" s="55">
        <f t="shared" si="479"/>
        <v>0</v>
      </c>
      <c r="QON1599" s="55">
        <f t="shared" si="479"/>
        <v>0</v>
      </c>
      <c r="QOO1599" s="55">
        <f t="shared" si="479"/>
        <v>0</v>
      </c>
      <c r="QOP1599" s="55">
        <f t="shared" si="479"/>
        <v>0</v>
      </c>
      <c r="QOQ1599" s="55">
        <f t="shared" si="479"/>
        <v>0</v>
      </c>
      <c r="QOR1599" s="55">
        <f t="shared" si="479"/>
        <v>0</v>
      </c>
      <c r="QOS1599" s="55">
        <f t="shared" si="479"/>
        <v>0</v>
      </c>
      <c r="QOT1599" s="55">
        <f t="shared" si="479"/>
        <v>0</v>
      </c>
      <c r="QOU1599" s="55">
        <f t="shared" si="479"/>
        <v>0</v>
      </c>
      <c r="QOV1599" s="55">
        <f t="shared" si="479"/>
        <v>0</v>
      </c>
      <c r="QOW1599" s="55">
        <f t="shared" si="479"/>
        <v>0</v>
      </c>
      <c r="QOX1599" s="55">
        <f t="shared" si="479"/>
        <v>0</v>
      </c>
      <c r="QOY1599" s="55">
        <f t="shared" si="479"/>
        <v>0</v>
      </c>
      <c r="QOZ1599" s="55">
        <f t="shared" si="479"/>
        <v>0</v>
      </c>
      <c r="QPA1599" s="55">
        <f t="shared" si="479"/>
        <v>0</v>
      </c>
      <c r="QPB1599" s="55">
        <f t="shared" si="479"/>
        <v>0</v>
      </c>
      <c r="QPC1599" s="55">
        <f t="shared" si="479"/>
        <v>0</v>
      </c>
      <c r="QPD1599" s="55">
        <f t="shared" si="479"/>
        <v>0</v>
      </c>
      <c r="QPE1599" s="55">
        <f t="shared" si="479"/>
        <v>0</v>
      </c>
      <c r="QPF1599" s="55">
        <f t="shared" si="479"/>
        <v>0</v>
      </c>
      <c r="QPG1599" s="55">
        <f t="shared" si="479"/>
        <v>0</v>
      </c>
      <c r="QPH1599" s="55">
        <f t="shared" ref="QPH1599:QRS1599" si="480">+(QPH1619+QPH1623)*1.18*1.1</f>
        <v>0</v>
      </c>
      <c r="QPI1599" s="55">
        <f t="shared" si="480"/>
        <v>0</v>
      </c>
      <c r="QPJ1599" s="55">
        <f t="shared" si="480"/>
        <v>0</v>
      </c>
      <c r="QPK1599" s="55">
        <f t="shared" si="480"/>
        <v>0</v>
      </c>
      <c r="QPL1599" s="55">
        <f t="shared" si="480"/>
        <v>0</v>
      </c>
      <c r="QPM1599" s="55">
        <f t="shared" si="480"/>
        <v>0</v>
      </c>
      <c r="QPN1599" s="55">
        <f t="shared" si="480"/>
        <v>0</v>
      </c>
      <c r="QPO1599" s="55">
        <f t="shared" si="480"/>
        <v>0</v>
      </c>
      <c r="QPP1599" s="55">
        <f t="shared" si="480"/>
        <v>0</v>
      </c>
      <c r="QPQ1599" s="55">
        <f t="shared" si="480"/>
        <v>0</v>
      </c>
      <c r="QPR1599" s="55">
        <f t="shared" si="480"/>
        <v>0</v>
      </c>
      <c r="QPS1599" s="55">
        <f t="shared" si="480"/>
        <v>0</v>
      </c>
      <c r="QPT1599" s="55">
        <f t="shared" si="480"/>
        <v>0</v>
      </c>
      <c r="QPU1599" s="55">
        <f t="shared" si="480"/>
        <v>0</v>
      </c>
      <c r="QPV1599" s="55">
        <f t="shared" si="480"/>
        <v>0</v>
      </c>
      <c r="QPW1599" s="55">
        <f t="shared" si="480"/>
        <v>0</v>
      </c>
      <c r="QPX1599" s="55">
        <f t="shared" si="480"/>
        <v>0</v>
      </c>
      <c r="QPY1599" s="55">
        <f t="shared" si="480"/>
        <v>0</v>
      </c>
      <c r="QPZ1599" s="55">
        <f t="shared" si="480"/>
        <v>0</v>
      </c>
      <c r="QQA1599" s="55">
        <f t="shared" si="480"/>
        <v>0</v>
      </c>
      <c r="QQB1599" s="55">
        <f t="shared" si="480"/>
        <v>0</v>
      </c>
      <c r="QQC1599" s="55">
        <f t="shared" si="480"/>
        <v>0</v>
      </c>
      <c r="QQD1599" s="55">
        <f t="shared" si="480"/>
        <v>0</v>
      </c>
      <c r="QQE1599" s="55">
        <f t="shared" si="480"/>
        <v>0</v>
      </c>
      <c r="QQF1599" s="55">
        <f t="shared" si="480"/>
        <v>0</v>
      </c>
      <c r="QQG1599" s="55">
        <f t="shared" si="480"/>
        <v>0</v>
      </c>
      <c r="QQH1599" s="55">
        <f t="shared" si="480"/>
        <v>0</v>
      </c>
      <c r="QQI1599" s="55">
        <f t="shared" si="480"/>
        <v>0</v>
      </c>
      <c r="QQJ1599" s="55">
        <f t="shared" si="480"/>
        <v>0</v>
      </c>
      <c r="QQK1599" s="55">
        <f t="shared" si="480"/>
        <v>0</v>
      </c>
      <c r="QQL1599" s="55">
        <f t="shared" si="480"/>
        <v>0</v>
      </c>
      <c r="QQM1599" s="55">
        <f t="shared" si="480"/>
        <v>0</v>
      </c>
      <c r="QQN1599" s="55">
        <f t="shared" si="480"/>
        <v>0</v>
      </c>
      <c r="QQO1599" s="55">
        <f t="shared" si="480"/>
        <v>0</v>
      </c>
      <c r="QQP1599" s="55">
        <f t="shared" si="480"/>
        <v>0</v>
      </c>
      <c r="QQQ1599" s="55">
        <f t="shared" si="480"/>
        <v>0</v>
      </c>
      <c r="QQR1599" s="55">
        <f t="shared" si="480"/>
        <v>0</v>
      </c>
      <c r="QQS1599" s="55">
        <f t="shared" si="480"/>
        <v>0</v>
      </c>
      <c r="QQT1599" s="55">
        <f t="shared" si="480"/>
        <v>0</v>
      </c>
      <c r="QQU1599" s="55">
        <f t="shared" si="480"/>
        <v>0</v>
      </c>
      <c r="QQV1599" s="55">
        <f t="shared" si="480"/>
        <v>0</v>
      </c>
      <c r="QQW1599" s="55">
        <f t="shared" si="480"/>
        <v>0</v>
      </c>
      <c r="QQX1599" s="55">
        <f t="shared" si="480"/>
        <v>0</v>
      </c>
      <c r="QQY1599" s="55">
        <f t="shared" si="480"/>
        <v>0</v>
      </c>
      <c r="QQZ1599" s="55">
        <f t="shared" si="480"/>
        <v>0</v>
      </c>
      <c r="QRA1599" s="55">
        <f t="shared" si="480"/>
        <v>0</v>
      </c>
      <c r="QRB1599" s="55">
        <f t="shared" si="480"/>
        <v>0</v>
      </c>
      <c r="QRC1599" s="55">
        <f t="shared" si="480"/>
        <v>0</v>
      </c>
      <c r="QRD1599" s="55">
        <f t="shared" si="480"/>
        <v>0</v>
      </c>
      <c r="QRE1599" s="55">
        <f t="shared" si="480"/>
        <v>0</v>
      </c>
      <c r="QRF1599" s="55">
        <f t="shared" si="480"/>
        <v>0</v>
      </c>
      <c r="QRG1599" s="55">
        <f t="shared" si="480"/>
        <v>0</v>
      </c>
      <c r="QRH1599" s="55">
        <f t="shared" si="480"/>
        <v>0</v>
      </c>
      <c r="QRI1599" s="55">
        <f t="shared" si="480"/>
        <v>0</v>
      </c>
      <c r="QRJ1599" s="55">
        <f t="shared" si="480"/>
        <v>0</v>
      </c>
      <c r="QRK1599" s="55">
        <f t="shared" si="480"/>
        <v>0</v>
      </c>
      <c r="QRL1599" s="55">
        <f t="shared" si="480"/>
        <v>0</v>
      </c>
      <c r="QRM1599" s="55">
        <f t="shared" si="480"/>
        <v>0</v>
      </c>
      <c r="QRN1599" s="55">
        <f t="shared" si="480"/>
        <v>0</v>
      </c>
      <c r="QRO1599" s="55">
        <f t="shared" si="480"/>
        <v>0</v>
      </c>
      <c r="QRP1599" s="55">
        <f t="shared" si="480"/>
        <v>0</v>
      </c>
      <c r="QRQ1599" s="55">
        <f t="shared" si="480"/>
        <v>0</v>
      </c>
      <c r="QRR1599" s="55">
        <f t="shared" si="480"/>
        <v>0</v>
      </c>
      <c r="QRS1599" s="55">
        <f t="shared" si="480"/>
        <v>0</v>
      </c>
      <c r="QRT1599" s="55">
        <f t="shared" ref="QRT1599:QUE1599" si="481">+(QRT1619+QRT1623)*1.18*1.1</f>
        <v>0</v>
      </c>
      <c r="QRU1599" s="55">
        <f t="shared" si="481"/>
        <v>0</v>
      </c>
      <c r="QRV1599" s="55">
        <f t="shared" si="481"/>
        <v>0</v>
      </c>
      <c r="QRW1599" s="55">
        <f t="shared" si="481"/>
        <v>0</v>
      </c>
      <c r="QRX1599" s="55">
        <f t="shared" si="481"/>
        <v>0</v>
      </c>
      <c r="QRY1599" s="55">
        <f t="shared" si="481"/>
        <v>0</v>
      </c>
      <c r="QRZ1599" s="55">
        <f t="shared" si="481"/>
        <v>0</v>
      </c>
      <c r="QSA1599" s="55">
        <f t="shared" si="481"/>
        <v>0</v>
      </c>
      <c r="QSB1599" s="55">
        <f t="shared" si="481"/>
        <v>0</v>
      </c>
      <c r="QSC1599" s="55">
        <f t="shared" si="481"/>
        <v>0</v>
      </c>
      <c r="QSD1599" s="55">
        <f t="shared" si="481"/>
        <v>0</v>
      </c>
      <c r="QSE1599" s="55">
        <f t="shared" si="481"/>
        <v>0</v>
      </c>
      <c r="QSF1599" s="55">
        <f t="shared" si="481"/>
        <v>0</v>
      </c>
      <c r="QSG1599" s="55">
        <f t="shared" si="481"/>
        <v>0</v>
      </c>
      <c r="QSH1599" s="55">
        <f t="shared" si="481"/>
        <v>0</v>
      </c>
      <c r="QSI1599" s="55">
        <f t="shared" si="481"/>
        <v>0</v>
      </c>
      <c r="QSJ1599" s="55">
        <f t="shared" si="481"/>
        <v>0</v>
      </c>
      <c r="QSK1599" s="55">
        <f t="shared" si="481"/>
        <v>0</v>
      </c>
      <c r="QSL1599" s="55">
        <f t="shared" si="481"/>
        <v>0</v>
      </c>
      <c r="QSM1599" s="55">
        <f t="shared" si="481"/>
        <v>0</v>
      </c>
      <c r="QSN1599" s="55">
        <f t="shared" si="481"/>
        <v>0</v>
      </c>
      <c r="QSO1599" s="55">
        <f t="shared" si="481"/>
        <v>0</v>
      </c>
      <c r="QSP1599" s="55">
        <f t="shared" si="481"/>
        <v>0</v>
      </c>
      <c r="QSQ1599" s="55">
        <f t="shared" si="481"/>
        <v>0</v>
      </c>
      <c r="QSR1599" s="55">
        <f t="shared" si="481"/>
        <v>0</v>
      </c>
      <c r="QSS1599" s="55">
        <f t="shared" si="481"/>
        <v>0</v>
      </c>
      <c r="QST1599" s="55">
        <f t="shared" si="481"/>
        <v>0</v>
      </c>
      <c r="QSU1599" s="55">
        <f t="shared" si="481"/>
        <v>0</v>
      </c>
      <c r="QSV1599" s="55">
        <f t="shared" si="481"/>
        <v>0</v>
      </c>
      <c r="QSW1599" s="55">
        <f t="shared" si="481"/>
        <v>0</v>
      </c>
      <c r="QSX1599" s="55">
        <f t="shared" si="481"/>
        <v>0</v>
      </c>
      <c r="QSY1599" s="55">
        <f t="shared" si="481"/>
        <v>0</v>
      </c>
      <c r="QSZ1599" s="55">
        <f t="shared" si="481"/>
        <v>0</v>
      </c>
      <c r="QTA1599" s="55">
        <f t="shared" si="481"/>
        <v>0</v>
      </c>
      <c r="QTB1599" s="55">
        <f t="shared" si="481"/>
        <v>0</v>
      </c>
      <c r="QTC1599" s="55">
        <f t="shared" si="481"/>
        <v>0</v>
      </c>
      <c r="QTD1599" s="55">
        <f t="shared" si="481"/>
        <v>0</v>
      </c>
      <c r="QTE1599" s="55">
        <f t="shared" si="481"/>
        <v>0</v>
      </c>
      <c r="QTF1599" s="55">
        <f t="shared" si="481"/>
        <v>0</v>
      </c>
      <c r="QTG1599" s="55">
        <f t="shared" si="481"/>
        <v>0</v>
      </c>
      <c r="QTH1599" s="55">
        <f t="shared" si="481"/>
        <v>0</v>
      </c>
      <c r="QTI1599" s="55">
        <f t="shared" si="481"/>
        <v>0</v>
      </c>
      <c r="QTJ1599" s="55">
        <f t="shared" si="481"/>
        <v>0</v>
      </c>
      <c r="QTK1599" s="55">
        <f t="shared" si="481"/>
        <v>0</v>
      </c>
      <c r="QTL1599" s="55">
        <f t="shared" si="481"/>
        <v>0</v>
      </c>
      <c r="QTM1599" s="55">
        <f t="shared" si="481"/>
        <v>0</v>
      </c>
      <c r="QTN1599" s="55">
        <f t="shared" si="481"/>
        <v>0</v>
      </c>
      <c r="QTO1599" s="55">
        <f t="shared" si="481"/>
        <v>0</v>
      </c>
      <c r="QTP1599" s="55">
        <f t="shared" si="481"/>
        <v>0</v>
      </c>
      <c r="QTQ1599" s="55">
        <f t="shared" si="481"/>
        <v>0</v>
      </c>
      <c r="QTR1599" s="55">
        <f t="shared" si="481"/>
        <v>0</v>
      </c>
      <c r="QTS1599" s="55">
        <f t="shared" si="481"/>
        <v>0</v>
      </c>
      <c r="QTT1599" s="55">
        <f t="shared" si="481"/>
        <v>0</v>
      </c>
      <c r="QTU1599" s="55">
        <f t="shared" si="481"/>
        <v>0</v>
      </c>
      <c r="QTV1599" s="55">
        <f t="shared" si="481"/>
        <v>0</v>
      </c>
      <c r="QTW1599" s="55">
        <f t="shared" si="481"/>
        <v>0</v>
      </c>
      <c r="QTX1599" s="55">
        <f t="shared" si="481"/>
        <v>0</v>
      </c>
      <c r="QTY1599" s="55">
        <f t="shared" si="481"/>
        <v>0</v>
      </c>
      <c r="QTZ1599" s="55">
        <f t="shared" si="481"/>
        <v>0</v>
      </c>
      <c r="QUA1599" s="55">
        <f t="shared" si="481"/>
        <v>0</v>
      </c>
      <c r="QUB1599" s="55">
        <f t="shared" si="481"/>
        <v>0</v>
      </c>
      <c r="QUC1599" s="55">
        <f t="shared" si="481"/>
        <v>0</v>
      </c>
      <c r="QUD1599" s="55">
        <f t="shared" si="481"/>
        <v>0</v>
      </c>
      <c r="QUE1599" s="55">
        <f t="shared" si="481"/>
        <v>0</v>
      </c>
      <c r="QUF1599" s="55">
        <f t="shared" ref="QUF1599:QWQ1599" si="482">+(QUF1619+QUF1623)*1.18*1.1</f>
        <v>0</v>
      </c>
      <c r="QUG1599" s="55">
        <f t="shared" si="482"/>
        <v>0</v>
      </c>
      <c r="QUH1599" s="55">
        <f t="shared" si="482"/>
        <v>0</v>
      </c>
      <c r="QUI1599" s="55">
        <f t="shared" si="482"/>
        <v>0</v>
      </c>
      <c r="QUJ1599" s="55">
        <f t="shared" si="482"/>
        <v>0</v>
      </c>
      <c r="QUK1599" s="55">
        <f t="shared" si="482"/>
        <v>0</v>
      </c>
      <c r="QUL1599" s="55">
        <f t="shared" si="482"/>
        <v>0</v>
      </c>
      <c r="QUM1599" s="55">
        <f t="shared" si="482"/>
        <v>0</v>
      </c>
      <c r="QUN1599" s="55">
        <f t="shared" si="482"/>
        <v>0</v>
      </c>
      <c r="QUO1599" s="55">
        <f t="shared" si="482"/>
        <v>0</v>
      </c>
      <c r="QUP1599" s="55">
        <f t="shared" si="482"/>
        <v>0</v>
      </c>
      <c r="QUQ1599" s="55">
        <f t="shared" si="482"/>
        <v>0</v>
      </c>
      <c r="QUR1599" s="55">
        <f t="shared" si="482"/>
        <v>0</v>
      </c>
      <c r="QUS1599" s="55">
        <f t="shared" si="482"/>
        <v>0</v>
      </c>
      <c r="QUT1599" s="55">
        <f t="shared" si="482"/>
        <v>0</v>
      </c>
      <c r="QUU1599" s="55">
        <f t="shared" si="482"/>
        <v>0</v>
      </c>
      <c r="QUV1599" s="55">
        <f t="shared" si="482"/>
        <v>0</v>
      </c>
      <c r="QUW1599" s="55">
        <f t="shared" si="482"/>
        <v>0</v>
      </c>
      <c r="QUX1599" s="55">
        <f t="shared" si="482"/>
        <v>0</v>
      </c>
      <c r="QUY1599" s="55">
        <f t="shared" si="482"/>
        <v>0</v>
      </c>
      <c r="QUZ1599" s="55">
        <f t="shared" si="482"/>
        <v>0</v>
      </c>
      <c r="QVA1599" s="55">
        <f t="shared" si="482"/>
        <v>0</v>
      </c>
      <c r="QVB1599" s="55">
        <f t="shared" si="482"/>
        <v>0</v>
      </c>
      <c r="QVC1599" s="55">
        <f t="shared" si="482"/>
        <v>0</v>
      </c>
      <c r="QVD1599" s="55">
        <f t="shared" si="482"/>
        <v>0</v>
      </c>
      <c r="QVE1599" s="55">
        <f t="shared" si="482"/>
        <v>0</v>
      </c>
      <c r="QVF1599" s="55">
        <f t="shared" si="482"/>
        <v>0</v>
      </c>
      <c r="QVG1599" s="55">
        <f t="shared" si="482"/>
        <v>0</v>
      </c>
      <c r="QVH1599" s="55">
        <f t="shared" si="482"/>
        <v>0</v>
      </c>
      <c r="QVI1599" s="55">
        <f t="shared" si="482"/>
        <v>0</v>
      </c>
      <c r="QVJ1599" s="55">
        <f t="shared" si="482"/>
        <v>0</v>
      </c>
      <c r="QVK1599" s="55">
        <f t="shared" si="482"/>
        <v>0</v>
      </c>
      <c r="QVL1599" s="55">
        <f t="shared" si="482"/>
        <v>0</v>
      </c>
      <c r="QVM1599" s="55">
        <f t="shared" si="482"/>
        <v>0</v>
      </c>
      <c r="QVN1599" s="55">
        <f t="shared" si="482"/>
        <v>0</v>
      </c>
      <c r="QVO1599" s="55">
        <f t="shared" si="482"/>
        <v>0</v>
      </c>
      <c r="QVP1599" s="55">
        <f t="shared" si="482"/>
        <v>0</v>
      </c>
      <c r="QVQ1599" s="55">
        <f t="shared" si="482"/>
        <v>0</v>
      </c>
      <c r="QVR1599" s="55">
        <f t="shared" si="482"/>
        <v>0</v>
      </c>
      <c r="QVS1599" s="55">
        <f t="shared" si="482"/>
        <v>0</v>
      </c>
      <c r="QVT1599" s="55">
        <f t="shared" si="482"/>
        <v>0</v>
      </c>
      <c r="QVU1599" s="55">
        <f t="shared" si="482"/>
        <v>0</v>
      </c>
      <c r="QVV1599" s="55">
        <f t="shared" si="482"/>
        <v>0</v>
      </c>
      <c r="QVW1599" s="55">
        <f t="shared" si="482"/>
        <v>0</v>
      </c>
      <c r="QVX1599" s="55">
        <f t="shared" si="482"/>
        <v>0</v>
      </c>
      <c r="QVY1599" s="55">
        <f t="shared" si="482"/>
        <v>0</v>
      </c>
      <c r="QVZ1599" s="55">
        <f t="shared" si="482"/>
        <v>0</v>
      </c>
      <c r="QWA1599" s="55">
        <f t="shared" si="482"/>
        <v>0</v>
      </c>
      <c r="QWB1599" s="55">
        <f t="shared" si="482"/>
        <v>0</v>
      </c>
      <c r="QWC1599" s="55">
        <f t="shared" si="482"/>
        <v>0</v>
      </c>
      <c r="QWD1599" s="55">
        <f t="shared" si="482"/>
        <v>0</v>
      </c>
      <c r="QWE1599" s="55">
        <f t="shared" si="482"/>
        <v>0</v>
      </c>
      <c r="QWF1599" s="55">
        <f t="shared" si="482"/>
        <v>0</v>
      </c>
      <c r="QWG1599" s="55">
        <f t="shared" si="482"/>
        <v>0</v>
      </c>
      <c r="QWH1599" s="55">
        <f t="shared" si="482"/>
        <v>0</v>
      </c>
      <c r="QWI1599" s="55">
        <f t="shared" si="482"/>
        <v>0</v>
      </c>
      <c r="QWJ1599" s="55">
        <f t="shared" si="482"/>
        <v>0</v>
      </c>
      <c r="QWK1599" s="55">
        <f t="shared" si="482"/>
        <v>0</v>
      </c>
      <c r="QWL1599" s="55">
        <f t="shared" si="482"/>
        <v>0</v>
      </c>
      <c r="QWM1599" s="55">
        <f t="shared" si="482"/>
        <v>0</v>
      </c>
      <c r="QWN1599" s="55">
        <f t="shared" si="482"/>
        <v>0</v>
      </c>
      <c r="QWO1599" s="55">
        <f t="shared" si="482"/>
        <v>0</v>
      </c>
      <c r="QWP1599" s="55">
        <f t="shared" si="482"/>
        <v>0</v>
      </c>
      <c r="QWQ1599" s="55">
        <f t="shared" si="482"/>
        <v>0</v>
      </c>
      <c r="QWR1599" s="55">
        <f t="shared" ref="QWR1599:QZC1599" si="483">+(QWR1619+QWR1623)*1.18*1.1</f>
        <v>0</v>
      </c>
      <c r="QWS1599" s="55">
        <f t="shared" si="483"/>
        <v>0</v>
      </c>
      <c r="QWT1599" s="55">
        <f t="shared" si="483"/>
        <v>0</v>
      </c>
      <c r="QWU1599" s="55">
        <f t="shared" si="483"/>
        <v>0</v>
      </c>
      <c r="QWV1599" s="55">
        <f t="shared" si="483"/>
        <v>0</v>
      </c>
      <c r="QWW1599" s="55">
        <f t="shared" si="483"/>
        <v>0</v>
      </c>
      <c r="QWX1599" s="55">
        <f t="shared" si="483"/>
        <v>0</v>
      </c>
      <c r="QWY1599" s="55">
        <f t="shared" si="483"/>
        <v>0</v>
      </c>
      <c r="QWZ1599" s="55">
        <f t="shared" si="483"/>
        <v>0</v>
      </c>
      <c r="QXA1599" s="55">
        <f t="shared" si="483"/>
        <v>0</v>
      </c>
      <c r="QXB1599" s="55">
        <f t="shared" si="483"/>
        <v>0</v>
      </c>
      <c r="QXC1599" s="55">
        <f t="shared" si="483"/>
        <v>0</v>
      </c>
      <c r="QXD1599" s="55">
        <f t="shared" si="483"/>
        <v>0</v>
      </c>
      <c r="QXE1599" s="55">
        <f t="shared" si="483"/>
        <v>0</v>
      </c>
      <c r="QXF1599" s="55">
        <f t="shared" si="483"/>
        <v>0</v>
      </c>
      <c r="QXG1599" s="55">
        <f t="shared" si="483"/>
        <v>0</v>
      </c>
      <c r="QXH1599" s="55">
        <f t="shared" si="483"/>
        <v>0</v>
      </c>
      <c r="QXI1599" s="55">
        <f t="shared" si="483"/>
        <v>0</v>
      </c>
      <c r="QXJ1599" s="55">
        <f t="shared" si="483"/>
        <v>0</v>
      </c>
      <c r="QXK1599" s="55">
        <f t="shared" si="483"/>
        <v>0</v>
      </c>
      <c r="QXL1599" s="55">
        <f t="shared" si="483"/>
        <v>0</v>
      </c>
      <c r="QXM1599" s="55">
        <f t="shared" si="483"/>
        <v>0</v>
      </c>
      <c r="QXN1599" s="55">
        <f t="shared" si="483"/>
        <v>0</v>
      </c>
      <c r="QXO1599" s="55">
        <f t="shared" si="483"/>
        <v>0</v>
      </c>
      <c r="QXP1599" s="55">
        <f t="shared" si="483"/>
        <v>0</v>
      </c>
      <c r="QXQ1599" s="55">
        <f t="shared" si="483"/>
        <v>0</v>
      </c>
      <c r="QXR1599" s="55">
        <f t="shared" si="483"/>
        <v>0</v>
      </c>
      <c r="QXS1599" s="55">
        <f t="shared" si="483"/>
        <v>0</v>
      </c>
      <c r="QXT1599" s="55">
        <f t="shared" si="483"/>
        <v>0</v>
      </c>
      <c r="QXU1599" s="55">
        <f t="shared" si="483"/>
        <v>0</v>
      </c>
      <c r="QXV1599" s="55">
        <f t="shared" si="483"/>
        <v>0</v>
      </c>
      <c r="QXW1599" s="55">
        <f t="shared" si="483"/>
        <v>0</v>
      </c>
      <c r="QXX1599" s="55">
        <f t="shared" si="483"/>
        <v>0</v>
      </c>
      <c r="QXY1599" s="55">
        <f t="shared" si="483"/>
        <v>0</v>
      </c>
      <c r="QXZ1599" s="55">
        <f t="shared" si="483"/>
        <v>0</v>
      </c>
      <c r="QYA1599" s="55">
        <f t="shared" si="483"/>
        <v>0</v>
      </c>
      <c r="QYB1599" s="55">
        <f t="shared" si="483"/>
        <v>0</v>
      </c>
      <c r="QYC1599" s="55">
        <f t="shared" si="483"/>
        <v>0</v>
      </c>
      <c r="QYD1599" s="55">
        <f t="shared" si="483"/>
        <v>0</v>
      </c>
      <c r="QYE1599" s="55">
        <f t="shared" si="483"/>
        <v>0</v>
      </c>
      <c r="QYF1599" s="55">
        <f t="shared" si="483"/>
        <v>0</v>
      </c>
      <c r="QYG1599" s="55">
        <f t="shared" si="483"/>
        <v>0</v>
      </c>
      <c r="QYH1599" s="55">
        <f t="shared" si="483"/>
        <v>0</v>
      </c>
      <c r="QYI1599" s="55">
        <f t="shared" si="483"/>
        <v>0</v>
      </c>
      <c r="QYJ1599" s="55">
        <f t="shared" si="483"/>
        <v>0</v>
      </c>
      <c r="QYK1599" s="55">
        <f t="shared" si="483"/>
        <v>0</v>
      </c>
      <c r="QYL1599" s="55">
        <f t="shared" si="483"/>
        <v>0</v>
      </c>
      <c r="QYM1599" s="55">
        <f t="shared" si="483"/>
        <v>0</v>
      </c>
      <c r="QYN1599" s="55">
        <f t="shared" si="483"/>
        <v>0</v>
      </c>
      <c r="QYO1599" s="55">
        <f t="shared" si="483"/>
        <v>0</v>
      </c>
      <c r="QYP1599" s="55">
        <f t="shared" si="483"/>
        <v>0</v>
      </c>
      <c r="QYQ1599" s="55">
        <f t="shared" si="483"/>
        <v>0</v>
      </c>
      <c r="QYR1599" s="55">
        <f t="shared" si="483"/>
        <v>0</v>
      </c>
      <c r="QYS1599" s="55">
        <f t="shared" si="483"/>
        <v>0</v>
      </c>
      <c r="QYT1599" s="55">
        <f t="shared" si="483"/>
        <v>0</v>
      </c>
      <c r="QYU1599" s="55">
        <f t="shared" si="483"/>
        <v>0</v>
      </c>
      <c r="QYV1599" s="55">
        <f t="shared" si="483"/>
        <v>0</v>
      </c>
      <c r="QYW1599" s="55">
        <f t="shared" si="483"/>
        <v>0</v>
      </c>
      <c r="QYX1599" s="55">
        <f t="shared" si="483"/>
        <v>0</v>
      </c>
      <c r="QYY1599" s="55">
        <f t="shared" si="483"/>
        <v>0</v>
      </c>
      <c r="QYZ1599" s="55">
        <f t="shared" si="483"/>
        <v>0</v>
      </c>
      <c r="QZA1599" s="55">
        <f t="shared" si="483"/>
        <v>0</v>
      </c>
      <c r="QZB1599" s="55">
        <f t="shared" si="483"/>
        <v>0</v>
      </c>
      <c r="QZC1599" s="55">
        <f t="shared" si="483"/>
        <v>0</v>
      </c>
      <c r="QZD1599" s="55">
        <f t="shared" ref="QZD1599:RBO1599" si="484">+(QZD1619+QZD1623)*1.18*1.1</f>
        <v>0</v>
      </c>
      <c r="QZE1599" s="55">
        <f t="shared" si="484"/>
        <v>0</v>
      </c>
      <c r="QZF1599" s="55">
        <f t="shared" si="484"/>
        <v>0</v>
      </c>
      <c r="QZG1599" s="55">
        <f t="shared" si="484"/>
        <v>0</v>
      </c>
      <c r="QZH1599" s="55">
        <f t="shared" si="484"/>
        <v>0</v>
      </c>
      <c r="QZI1599" s="55">
        <f t="shared" si="484"/>
        <v>0</v>
      </c>
      <c r="QZJ1599" s="55">
        <f t="shared" si="484"/>
        <v>0</v>
      </c>
      <c r="QZK1599" s="55">
        <f t="shared" si="484"/>
        <v>0</v>
      </c>
      <c r="QZL1599" s="55">
        <f t="shared" si="484"/>
        <v>0</v>
      </c>
      <c r="QZM1599" s="55">
        <f t="shared" si="484"/>
        <v>0</v>
      </c>
      <c r="QZN1599" s="55">
        <f t="shared" si="484"/>
        <v>0</v>
      </c>
      <c r="QZO1599" s="55">
        <f t="shared" si="484"/>
        <v>0</v>
      </c>
      <c r="QZP1599" s="55">
        <f t="shared" si="484"/>
        <v>0</v>
      </c>
      <c r="QZQ1599" s="55">
        <f t="shared" si="484"/>
        <v>0</v>
      </c>
      <c r="QZR1599" s="55">
        <f t="shared" si="484"/>
        <v>0</v>
      </c>
      <c r="QZS1599" s="55">
        <f t="shared" si="484"/>
        <v>0</v>
      </c>
      <c r="QZT1599" s="55">
        <f t="shared" si="484"/>
        <v>0</v>
      </c>
      <c r="QZU1599" s="55">
        <f t="shared" si="484"/>
        <v>0</v>
      </c>
      <c r="QZV1599" s="55">
        <f t="shared" si="484"/>
        <v>0</v>
      </c>
      <c r="QZW1599" s="55">
        <f t="shared" si="484"/>
        <v>0</v>
      </c>
      <c r="QZX1599" s="55">
        <f t="shared" si="484"/>
        <v>0</v>
      </c>
      <c r="QZY1599" s="55">
        <f t="shared" si="484"/>
        <v>0</v>
      </c>
      <c r="QZZ1599" s="55">
        <f t="shared" si="484"/>
        <v>0</v>
      </c>
      <c r="RAA1599" s="55">
        <f t="shared" si="484"/>
        <v>0</v>
      </c>
      <c r="RAB1599" s="55">
        <f t="shared" si="484"/>
        <v>0</v>
      </c>
      <c r="RAC1599" s="55">
        <f t="shared" si="484"/>
        <v>0</v>
      </c>
      <c r="RAD1599" s="55">
        <f t="shared" si="484"/>
        <v>0</v>
      </c>
      <c r="RAE1599" s="55">
        <f t="shared" si="484"/>
        <v>0</v>
      </c>
      <c r="RAF1599" s="55">
        <f t="shared" si="484"/>
        <v>0</v>
      </c>
      <c r="RAG1599" s="55">
        <f t="shared" si="484"/>
        <v>0</v>
      </c>
      <c r="RAH1599" s="55">
        <f t="shared" si="484"/>
        <v>0</v>
      </c>
      <c r="RAI1599" s="55">
        <f t="shared" si="484"/>
        <v>0</v>
      </c>
      <c r="RAJ1599" s="55">
        <f t="shared" si="484"/>
        <v>0</v>
      </c>
      <c r="RAK1599" s="55">
        <f t="shared" si="484"/>
        <v>0</v>
      </c>
      <c r="RAL1599" s="55">
        <f t="shared" si="484"/>
        <v>0</v>
      </c>
      <c r="RAM1599" s="55">
        <f t="shared" si="484"/>
        <v>0</v>
      </c>
      <c r="RAN1599" s="55">
        <f t="shared" si="484"/>
        <v>0</v>
      </c>
      <c r="RAO1599" s="55">
        <f t="shared" si="484"/>
        <v>0</v>
      </c>
      <c r="RAP1599" s="55">
        <f t="shared" si="484"/>
        <v>0</v>
      </c>
      <c r="RAQ1599" s="55">
        <f t="shared" si="484"/>
        <v>0</v>
      </c>
      <c r="RAR1599" s="55">
        <f t="shared" si="484"/>
        <v>0</v>
      </c>
      <c r="RAS1599" s="55">
        <f t="shared" si="484"/>
        <v>0</v>
      </c>
      <c r="RAT1599" s="55">
        <f t="shared" si="484"/>
        <v>0</v>
      </c>
      <c r="RAU1599" s="55">
        <f t="shared" si="484"/>
        <v>0</v>
      </c>
      <c r="RAV1599" s="55">
        <f t="shared" si="484"/>
        <v>0</v>
      </c>
      <c r="RAW1599" s="55">
        <f t="shared" si="484"/>
        <v>0</v>
      </c>
      <c r="RAX1599" s="55">
        <f t="shared" si="484"/>
        <v>0</v>
      </c>
      <c r="RAY1599" s="55">
        <f t="shared" si="484"/>
        <v>0</v>
      </c>
      <c r="RAZ1599" s="55">
        <f t="shared" si="484"/>
        <v>0</v>
      </c>
      <c r="RBA1599" s="55">
        <f t="shared" si="484"/>
        <v>0</v>
      </c>
      <c r="RBB1599" s="55">
        <f t="shared" si="484"/>
        <v>0</v>
      </c>
      <c r="RBC1599" s="55">
        <f t="shared" si="484"/>
        <v>0</v>
      </c>
      <c r="RBD1599" s="55">
        <f t="shared" si="484"/>
        <v>0</v>
      </c>
      <c r="RBE1599" s="55">
        <f t="shared" si="484"/>
        <v>0</v>
      </c>
      <c r="RBF1599" s="55">
        <f t="shared" si="484"/>
        <v>0</v>
      </c>
      <c r="RBG1599" s="55">
        <f t="shared" si="484"/>
        <v>0</v>
      </c>
      <c r="RBH1599" s="55">
        <f t="shared" si="484"/>
        <v>0</v>
      </c>
      <c r="RBI1599" s="55">
        <f t="shared" si="484"/>
        <v>0</v>
      </c>
      <c r="RBJ1599" s="55">
        <f t="shared" si="484"/>
        <v>0</v>
      </c>
      <c r="RBK1599" s="55">
        <f t="shared" si="484"/>
        <v>0</v>
      </c>
      <c r="RBL1599" s="55">
        <f t="shared" si="484"/>
        <v>0</v>
      </c>
      <c r="RBM1599" s="55">
        <f t="shared" si="484"/>
        <v>0</v>
      </c>
      <c r="RBN1599" s="55">
        <f t="shared" si="484"/>
        <v>0</v>
      </c>
      <c r="RBO1599" s="55">
        <f t="shared" si="484"/>
        <v>0</v>
      </c>
      <c r="RBP1599" s="55">
        <f t="shared" ref="RBP1599:REA1599" si="485">+(RBP1619+RBP1623)*1.18*1.1</f>
        <v>0</v>
      </c>
      <c r="RBQ1599" s="55">
        <f t="shared" si="485"/>
        <v>0</v>
      </c>
      <c r="RBR1599" s="55">
        <f t="shared" si="485"/>
        <v>0</v>
      </c>
      <c r="RBS1599" s="55">
        <f t="shared" si="485"/>
        <v>0</v>
      </c>
      <c r="RBT1599" s="55">
        <f t="shared" si="485"/>
        <v>0</v>
      </c>
      <c r="RBU1599" s="55">
        <f t="shared" si="485"/>
        <v>0</v>
      </c>
      <c r="RBV1599" s="55">
        <f t="shared" si="485"/>
        <v>0</v>
      </c>
      <c r="RBW1599" s="55">
        <f t="shared" si="485"/>
        <v>0</v>
      </c>
      <c r="RBX1599" s="55">
        <f t="shared" si="485"/>
        <v>0</v>
      </c>
      <c r="RBY1599" s="55">
        <f t="shared" si="485"/>
        <v>0</v>
      </c>
      <c r="RBZ1599" s="55">
        <f t="shared" si="485"/>
        <v>0</v>
      </c>
      <c r="RCA1599" s="55">
        <f t="shared" si="485"/>
        <v>0</v>
      </c>
      <c r="RCB1599" s="55">
        <f t="shared" si="485"/>
        <v>0</v>
      </c>
      <c r="RCC1599" s="55">
        <f t="shared" si="485"/>
        <v>0</v>
      </c>
      <c r="RCD1599" s="55">
        <f t="shared" si="485"/>
        <v>0</v>
      </c>
      <c r="RCE1599" s="55">
        <f t="shared" si="485"/>
        <v>0</v>
      </c>
      <c r="RCF1599" s="55">
        <f t="shared" si="485"/>
        <v>0</v>
      </c>
      <c r="RCG1599" s="55">
        <f t="shared" si="485"/>
        <v>0</v>
      </c>
      <c r="RCH1599" s="55">
        <f t="shared" si="485"/>
        <v>0</v>
      </c>
      <c r="RCI1599" s="55">
        <f t="shared" si="485"/>
        <v>0</v>
      </c>
      <c r="RCJ1599" s="55">
        <f t="shared" si="485"/>
        <v>0</v>
      </c>
      <c r="RCK1599" s="55">
        <f t="shared" si="485"/>
        <v>0</v>
      </c>
      <c r="RCL1599" s="55">
        <f t="shared" si="485"/>
        <v>0</v>
      </c>
      <c r="RCM1599" s="55">
        <f t="shared" si="485"/>
        <v>0</v>
      </c>
      <c r="RCN1599" s="55">
        <f t="shared" si="485"/>
        <v>0</v>
      </c>
      <c r="RCO1599" s="55">
        <f t="shared" si="485"/>
        <v>0</v>
      </c>
      <c r="RCP1599" s="55">
        <f t="shared" si="485"/>
        <v>0</v>
      </c>
      <c r="RCQ1599" s="55">
        <f t="shared" si="485"/>
        <v>0</v>
      </c>
      <c r="RCR1599" s="55">
        <f t="shared" si="485"/>
        <v>0</v>
      </c>
      <c r="RCS1599" s="55">
        <f t="shared" si="485"/>
        <v>0</v>
      </c>
      <c r="RCT1599" s="55">
        <f t="shared" si="485"/>
        <v>0</v>
      </c>
      <c r="RCU1599" s="55">
        <f t="shared" si="485"/>
        <v>0</v>
      </c>
      <c r="RCV1599" s="55">
        <f t="shared" si="485"/>
        <v>0</v>
      </c>
      <c r="RCW1599" s="55">
        <f t="shared" si="485"/>
        <v>0</v>
      </c>
      <c r="RCX1599" s="55">
        <f t="shared" si="485"/>
        <v>0</v>
      </c>
      <c r="RCY1599" s="55">
        <f t="shared" si="485"/>
        <v>0</v>
      </c>
      <c r="RCZ1599" s="55">
        <f t="shared" si="485"/>
        <v>0</v>
      </c>
      <c r="RDA1599" s="55">
        <f t="shared" si="485"/>
        <v>0</v>
      </c>
      <c r="RDB1599" s="55">
        <f t="shared" si="485"/>
        <v>0</v>
      </c>
      <c r="RDC1599" s="55">
        <f t="shared" si="485"/>
        <v>0</v>
      </c>
      <c r="RDD1599" s="55">
        <f t="shared" si="485"/>
        <v>0</v>
      </c>
      <c r="RDE1599" s="55">
        <f t="shared" si="485"/>
        <v>0</v>
      </c>
      <c r="RDF1599" s="55">
        <f t="shared" si="485"/>
        <v>0</v>
      </c>
      <c r="RDG1599" s="55">
        <f t="shared" si="485"/>
        <v>0</v>
      </c>
      <c r="RDH1599" s="55">
        <f t="shared" si="485"/>
        <v>0</v>
      </c>
      <c r="RDI1599" s="55">
        <f t="shared" si="485"/>
        <v>0</v>
      </c>
      <c r="RDJ1599" s="55">
        <f t="shared" si="485"/>
        <v>0</v>
      </c>
      <c r="RDK1599" s="55">
        <f t="shared" si="485"/>
        <v>0</v>
      </c>
      <c r="RDL1599" s="55">
        <f t="shared" si="485"/>
        <v>0</v>
      </c>
      <c r="RDM1599" s="55">
        <f t="shared" si="485"/>
        <v>0</v>
      </c>
      <c r="RDN1599" s="55">
        <f t="shared" si="485"/>
        <v>0</v>
      </c>
      <c r="RDO1599" s="55">
        <f t="shared" si="485"/>
        <v>0</v>
      </c>
      <c r="RDP1599" s="55">
        <f t="shared" si="485"/>
        <v>0</v>
      </c>
      <c r="RDQ1599" s="55">
        <f t="shared" si="485"/>
        <v>0</v>
      </c>
      <c r="RDR1599" s="55">
        <f t="shared" si="485"/>
        <v>0</v>
      </c>
      <c r="RDS1599" s="55">
        <f t="shared" si="485"/>
        <v>0</v>
      </c>
      <c r="RDT1599" s="55">
        <f t="shared" si="485"/>
        <v>0</v>
      </c>
      <c r="RDU1599" s="55">
        <f t="shared" si="485"/>
        <v>0</v>
      </c>
      <c r="RDV1599" s="55">
        <f t="shared" si="485"/>
        <v>0</v>
      </c>
      <c r="RDW1599" s="55">
        <f t="shared" si="485"/>
        <v>0</v>
      </c>
      <c r="RDX1599" s="55">
        <f t="shared" si="485"/>
        <v>0</v>
      </c>
      <c r="RDY1599" s="55">
        <f t="shared" si="485"/>
        <v>0</v>
      </c>
      <c r="RDZ1599" s="55">
        <f t="shared" si="485"/>
        <v>0</v>
      </c>
      <c r="REA1599" s="55">
        <f t="shared" si="485"/>
        <v>0</v>
      </c>
      <c r="REB1599" s="55">
        <f t="shared" ref="REB1599:RGM1599" si="486">+(REB1619+REB1623)*1.18*1.1</f>
        <v>0</v>
      </c>
      <c r="REC1599" s="55">
        <f t="shared" si="486"/>
        <v>0</v>
      </c>
      <c r="RED1599" s="55">
        <f t="shared" si="486"/>
        <v>0</v>
      </c>
      <c r="REE1599" s="55">
        <f t="shared" si="486"/>
        <v>0</v>
      </c>
      <c r="REF1599" s="55">
        <f t="shared" si="486"/>
        <v>0</v>
      </c>
      <c r="REG1599" s="55">
        <f t="shared" si="486"/>
        <v>0</v>
      </c>
      <c r="REH1599" s="55">
        <f t="shared" si="486"/>
        <v>0</v>
      </c>
      <c r="REI1599" s="55">
        <f t="shared" si="486"/>
        <v>0</v>
      </c>
      <c r="REJ1599" s="55">
        <f t="shared" si="486"/>
        <v>0</v>
      </c>
      <c r="REK1599" s="55">
        <f t="shared" si="486"/>
        <v>0</v>
      </c>
      <c r="REL1599" s="55">
        <f t="shared" si="486"/>
        <v>0</v>
      </c>
      <c r="REM1599" s="55">
        <f t="shared" si="486"/>
        <v>0</v>
      </c>
      <c r="REN1599" s="55">
        <f t="shared" si="486"/>
        <v>0</v>
      </c>
      <c r="REO1599" s="55">
        <f t="shared" si="486"/>
        <v>0</v>
      </c>
      <c r="REP1599" s="55">
        <f t="shared" si="486"/>
        <v>0</v>
      </c>
      <c r="REQ1599" s="55">
        <f t="shared" si="486"/>
        <v>0</v>
      </c>
      <c r="RER1599" s="55">
        <f t="shared" si="486"/>
        <v>0</v>
      </c>
      <c r="RES1599" s="55">
        <f t="shared" si="486"/>
        <v>0</v>
      </c>
      <c r="RET1599" s="55">
        <f t="shared" si="486"/>
        <v>0</v>
      </c>
      <c r="REU1599" s="55">
        <f t="shared" si="486"/>
        <v>0</v>
      </c>
      <c r="REV1599" s="55">
        <f t="shared" si="486"/>
        <v>0</v>
      </c>
      <c r="REW1599" s="55">
        <f t="shared" si="486"/>
        <v>0</v>
      </c>
      <c r="REX1599" s="55">
        <f t="shared" si="486"/>
        <v>0</v>
      </c>
      <c r="REY1599" s="55">
        <f t="shared" si="486"/>
        <v>0</v>
      </c>
      <c r="REZ1599" s="55">
        <f t="shared" si="486"/>
        <v>0</v>
      </c>
      <c r="RFA1599" s="55">
        <f t="shared" si="486"/>
        <v>0</v>
      </c>
      <c r="RFB1599" s="55">
        <f t="shared" si="486"/>
        <v>0</v>
      </c>
      <c r="RFC1599" s="55">
        <f t="shared" si="486"/>
        <v>0</v>
      </c>
      <c r="RFD1599" s="55">
        <f t="shared" si="486"/>
        <v>0</v>
      </c>
      <c r="RFE1599" s="55">
        <f t="shared" si="486"/>
        <v>0</v>
      </c>
      <c r="RFF1599" s="55">
        <f t="shared" si="486"/>
        <v>0</v>
      </c>
      <c r="RFG1599" s="55">
        <f t="shared" si="486"/>
        <v>0</v>
      </c>
      <c r="RFH1599" s="55">
        <f t="shared" si="486"/>
        <v>0</v>
      </c>
      <c r="RFI1599" s="55">
        <f t="shared" si="486"/>
        <v>0</v>
      </c>
      <c r="RFJ1599" s="55">
        <f t="shared" si="486"/>
        <v>0</v>
      </c>
      <c r="RFK1599" s="55">
        <f t="shared" si="486"/>
        <v>0</v>
      </c>
      <c r="RFL1599" s="55">
        <f t="shared" si="486"/>
        <v>0</v>
      </c>
      <c r="RFM1599" s="55">
        <f t="shared" si="486"/>
        <v>0</v>
      </c>
      <c r="RFN1599" s="55">
        <f t="shared" si="486"/>
        <v>0</v>
      </c>
      <c r="RFO1599" s="55">
        <f t="shared" si="486"/>
        <v>0</v>
      </c>
      <c r="RFP1599" s="55">
        <f t="shared" si="486"/>
        <v>0</v>
      </c>
      <c r="RFQ1599" s="55">
        <f t="shared" si="486"/>
        <v>0</v>
      </c>
      <c r="RFR1599" s="55">
        <f t="shared" si="486"/>
        <v>0</v>
      </c>
      <c r="RFS1599" s="55">
        <f t="shared" si="486"/>
        <v>0</v>
      </c>
      <c r="RFT1599" s="55">
        <f t="shared" si="486"/>
        <v>0</v>
      </c>
      <c r="RFU1599" s="55">
        <f t="shared" si="486"/>
        <v>0</v>
      </c>
      <c r="RFV1599" s="55">
        <f t="shared" si="486"/>
        <v>0</v>
      </c>
      <c r="RFW1599" s="55">
        <f t="shared" si="486"/>
        <v>0</v>
      </c>
      <c r="RFX1599" s="55">
        <f t="shared" si="486"/>
        <v>0</v>
      </c>
      <c r="RFY1599" s="55">
        <f t="shared" si="486"/>
        <v>0</v>
      </c>
      <c r="RFZ1599" s="55">
        <f t="shared" si="486"/>
        <v>0</v>
      </c>
      <c r="RGA1599" s="55">
        <f t="shared" si="486"/>
        <v>0</v>
      </c>
      <c r="RGB1599" s="55">
        <f t="shared" si="486"/>
        <v>0</v>
      </c>
      <c r="RGC1599" s="55">
        <f t="shared" si="486"/>
        <v>0</v>
      </c>
      <c r="RGD1599" s="55">
        <f t="shared" si="486"/>
        <v>0</v>
      </c>
      <c r="RGE1599" s="55">
        <f t="shared" si="486"/>
        <v>0</v>
      </c>
      <c r="RGF1599" s="55">
        <f t="shared" si="486"/>
        <v>0</v>
      </c>
      <c r="RGG1599" s="55">
        <f t="shared" si="486"/>
        <v>0</v>
      </c>
      <c r="RGH1599" s="55">
        <f t="shared" si="486"/>
        <v>0</v>
      </c>
      <c r="RGI1599" s="55">
        <f t="shared" si="486"/>
        <v>0</v>
      </c>
      <c r="RGJ1599" s="55">
        <f t="shared" si="486"/>
        <v>0</v>
      </c>
      <c r="RGK1599" s="55">
        <f t="shared" si="486"/>
        <v>0</v>
      </c>
      <c r="RGL1599" s="55">
        <f t="shared" si="486"/>
        <v>0</v>
      </c>
      <c r="RGM1599" s="55">
        <f t="shared" si="486"/>
        <v>0</v>
      </c>
      <c r="RGN1599" s="55">
        <f t="shared" ref="RGN1599:RIY1599" si="487">+(RGN1619+RGN1623)*1.18*1.1</f>
        <v>0</v>
      </c>
      <c r="RGO1599" s="55">
        <f t="shared" si="487"/>
        <v>0</v>
      </c>
      <c r="RGP1599" s="55">
        <f t="shared" si="487"/>
        <v>0</v>
      </c>
      <c r="RGQ1599" s="55">
        <f t="shared" si="487"/>
        <v>0</v>
      </c>
      <c r="RGR1599" s="55">
        <f t="shared" si="487"/>
        <v>0</v>
      </c>
      <c r="RGS1599" s="55">
        <f t="shared" si="487"/>
        <v>0</v>
      </c>
      <c r="RGT1599" s="55">
        <f t="shared" si="487"/>
        <v>0</v>
      </c>
      <c r="RGU1599" s="55">
        <f t="shared" si="487"/>
        <v>0</v>
      </c>
      <c r="RGV1599" s="55">
        <f t="shared" si="487"/>
        <v>0</v>
      </c>
      <c r="RGW1599" s="55">
        <f t="shared" si="487"/>
        <v>0</v>
      </c>
      <c r="RGX1599" s="55">
        <f t="shared" si="487"/>
        <v>0</v>
      </c>
      <c r="RGY1599" s="55">
        <f t="shared" si="487"/>
        <v>0</v>
      </c>
      <c r="RGZ1599" s="55">
        <f t="shared" si="487"/>
        <v>0</v>
      </c>
      <c r="RHA1599" s="55">
        <f t="shared" si="487"/>
        <v>0</v>
      </c>
      <c r="RHB1599" s="55">
        <f t="shared" si="487"/>
        <v>0</v>
      </c>
      <c r="RHC1599" s="55">
        <f t="shared" si="487"/>
        <v>0</v>
      </c>
      <c r="RHD1599" s="55">
        <f t="shared" si="487"/>
        <v>0</v>
      </c>
      <c r="RHE1599" s="55">
        <f t="shared" si="487"/>
        <v>0</v>
      </c>
      <c r="RHF1599" s="55">
        <f t="shared" si="487"/>
        <v>0</v>
      </c>
      <c r="RHG1599" s="55">
        <f t="shared" si="487"/>
        <v>0</v>
      </c>
      <c r="RHH1599" s="55">
        <f t="shared" si="487"/>
        <v>0</v>
      </c>
      <c r="RHI1599" s="55">
        <f t="shared" si="487"/>
        <v>0</v>
      </c>
      <c r="RHJ1599" s="55">
        <f t="shared" si="487"/>
        <v>0</v>
      </c>
      <c r="RHK1599" s="55">
        <f t="shared" si="487"/>
        <v>0</v>
      </c>
      <c r="RHL1599" s="55">
        <f t="shared" si="487"/>
        <v>0</v>
      </c>
      <c r="RHM1599" s="55">
        <f t="shared" si="487"/>
        <v>0</v>
      </c>
      <c r="RHN1599" s="55">
        <f t="shared" si="487"/>
        <v>0</v>
      </c>
      <c r="RHO1599" s="55">
        <f t="shared" si="487"/>
        <v>0</v>
      </c>
      <c r="RHP1599" s="55">
        <f t="shared" si="487"/>
        <v>0</v>
      </c>
      <c r="RHQ1599" s="55">
        <f t="shared" si="487"/>
        <v>0</v>
      </c>
      <c r="RHR1599" s="55">
        <f t="shared" si="487"/>
        <v>0</v>
      </c>
      <c r="RHS1599" s="55">
        <f t="shared" si="487"/>
        <v>0</v>
      </c>
      <c r="RHT1599" s="55">
        <f t="shared" si="487"/>
        <v>0</v>
      </c>
      <c r="RHU1599" s="55">
        <f t="shared" si="487"/>
        <v>0</v>
      </c>
      <c r="RHV1599" s="55">
        <f t="shared" si="487"/>
        <v>0</v>
      </c>
      <c r="RHW1599" s="55">
        <f t="shared" si="487"/>
        <v>0</v>
      </c>
      <c r="RHX1599" s="55">
        <f t="shared" si="487"/>
        <v>0</v>
      </c>
      <c r="RHY1599" s="55">
        <f t="shared" si="487"/>
        <v>0</v>
      </c>
      <c r="RHZ1599" s="55">
        <f t="shared" si="487"/>
        <v>0</v>
      </c>
      <c r="RIA1599" s="55">
        <f t="shared" si="487"/>
        <v>0</v>
      </c>
      <c r="RIB1599" s="55">
        <f t="shared" si="487"/>
        <v>0</v>
      </c>
      <c r="RIC1599" s="55">
        <f t="shared" si="487"/>
        <v>0</v>
      </c>
      <c r="RID1599" s="55">
        <f t="shared" si="487"/>
        <v>0</v>
      </c>
      <c r="RIE1599" s="55">
        <f t="shared" si="487"/>
        <v>0</v>
      </c>
      <c r="RIF1599" s="55">
        <f t="shared" si="487"/>
        <v>0</v>
      </c>
      <c r="RIG1599" s="55">
        <f t="shared" si="487"/>
        <v>0</v>
      </c>
      <c r="RIH1599" s="55">
        <f t="shared" si="487"/>
        <v>0</v>
      </c>
      <c r="RII1599" s="55">
        <f t="shared" si="487"/>
        <v>0</v>
      </c>
      <c r="RIJ1599" s="55">
        <f t="shared" si="487"/>
        <v>0</v>
      </c>
      <c r="RIK1599" s="55">
        <f t="shared" si="487"/>
        <v>0</v>
      </c>
      <c r="RIL1599" s="55">
        <f t="shared" si="487"/>
        <v>0</v>
      </c>
      <c r="RIM1599" s="55">
        <f t="shared" si="487"/>
        <v>0</v>
      </c>
      <c r="RIN1599" s="55">
        <f t="shared" si="487"/>
        <v>0</v>
      </c>
      <c r="RIO1599" s="55">
        <f t="shared" si="487"/>
        <v>0</v>
      </c>
      <c r="RIP1599" s="55">
        <f t="shared" si="487"/>
        <v>0</v>
      </c>
      <c r="RIQ1599" s="55">
        <f t="shared" si="487"/>
        <v>0</v>
      </c>
      <c r="RIR1599" s="55">
        <f t="shared" si="487"/>
        <v>0</v>
      </c>
      <c r="RIS1599" s="55">
        <f t="shared" si="487"/>
        <v>0</v>
      </c>
      <c r="RIT1599" s="55">
        <f t="shared" si="487"/>
        <v>0</v>
      </c>
      <c r="RIU1599" s="55">
        <f t="shared" si="487"/>
        <v>0</v>
      </c>
      <c r="RIV1599" s="55">
        <f t="shared" si="487"/>
        <v>0</v>
      </c>
      <c r="RIW1599" s="55">
        <f t="shared" si="487"/>
        <v>0</v>
      </c>
      <c r="RIX1599" s="55">
        <f t="shared" si="487"/>
        <v>0</v>
      </c>
      <c r="RIY1599" s="55">
        <f t="shared" si="487"/>
        <v>0</v>
      </c>
      <c r="RIZ1599" s="55">
        <f t="shared" ref="RIZ1599:RLK1599" si="488">+(RIZ1619+RIZ1623)*1.18*1.1</f>
        <v>0</v>
      </c>
      <c r="RJA1599" s="55">
        <f t="shared" si="488"/>
        <v>0</v>
      </c>
      <c r="RJB1599" s="55">
        <f t="shared" si="488"/>
        <v>0</v>
      </c>
      <c r="RJC1599" s="55">
        <f t="shared" si="488"/>
        <v>0</v>
      </c>
      <c r="RJD1599" s="55">
        <f t="shared" si="488"/>
        <v>0</v>
      </c>
      <c r="RJE1599" s="55">
        <f t="shared" si="488"/>
        <v>0</v>
      </c>
      <c r="RJF1599" s="55">
        <f t="shared" si="488"/>
        <v>0</v>
      </c>
      <c r="RJG1599" s="55">
        <f t="shared" si="488"/>
        <v>0</v>
      </c>
      <c r="RJH1599" s="55">
        <f t="shared" si="488"/>
        <v>0</v>
      </c>
      <c r="RJI1599" s="55">
        <f t="shared" si="488"/>
        <v>0</v>
      </c>
      <c r="RJJ1599" s="55">
        <f t="shared" si="488"/>
        <v>0</v>
      </c>
      <c r="RJK1599" s="55">
        <f t="shared" si="488"/>
        <v>0</v>
      </c>
      <c r="RJL1599" s="55">
        <f t="shared" si="488"/>
        <v>0</v>
      </c>
      <c r="RJM1599" s="55">
        <f t="shared" si="488"/>
        <v>0</v>
      </c>
      <c r="RJN1599" s="55">
        <f t="shared" si="488"/>
        <v>0</v>
      </c>
      <c r="RJO1599" s="55">
        <f t="shared" si="488"/>
        <v>0</v>
      </c>
      <c r="RJP1599" s="55">
        <f t="shared" si="488"/>
        <v>0</v>
      </c>
      <c r="RJQ1599" s="55">
        <f t="shared" si="488"/>
        <v>0</v>
      </c>
      <c r="RJR1599" s="55">
        <f t="shared" si="488"/>
        <v>0</v>
      </c>
      <c r="RJS1599" s="55">
        <f t="shared" si="488"/>
        <v>0</v>
      </c>
      <c r="RJT1599" s="55">
        <f t="shared" si="488"/>
        <v>0</v>
      </c>
      <c r="RJU1599" s="55">
        <f t="shared" si="488"/>
        <v>0</v>
      </c>
      <c r="RJV1599" s="55">
        <f t="shared" si="488"/>
        <v>0</v>
      </c>
      <c r="RJW1599" s="55">
        <f t="shared" si="488"/>
        <v>0</v>
      </c>
      <c r="RJX1599" s="55">
        <f t="shared" si="488"/>
        <v>0</v>
      </c>
      <c r="RJY1599" s="55">
        <f t="shared" si="488"/>
        <v>0</v>
      </c>
      <c r="RJZ1599" s="55">
        <f t="shared" si="488"/>
        <v>0</v>
      </c>
      <c r="RKA1599" s="55">
        <f t="shared" si="488"/>
        <v>0</v>
      </c>
      <c r="RKB1599" s="55">
        <f t="shared" si="488"/>
        <v>0</v>
      </c>
      <c r="RKC1599" s="55">
        <f t="shared" si="488"/>
        <v>0</v>
      </c>
      <c r="RKD1599" s="55">
        <f t="shared" si="488"/>
        <v>0</v>
      </c>
      <c r="RKE1599" s="55">
        <f t="shared" si="488"/>
        <v>0</v>
      </c>
      <c r="RKF1599" s="55">
        <f t="shared" si="488"/>
        <v>0</v>
      </c>
      <c r="RKG1599" s="55">
        <f t="shared" si="488"/>
        <v>0</v>
      </c>
      <c r="RKH1599" s="55">
        <f t="shared" si="488"/>
        <v>0</v>
      </c>
      <c r="RKI1599" s="55">
        <f t="shared" si="488"/>
        <v>0</v>
      </c>
      <c r="RKJ1599" s="55">
        <f t="shared" si="488"/>
        <v>0</v>
      </c>
      <c r="RKK1599" s="55">
        <f t="shared" si="488"/>
        <v>0</v>
      </c>
      <c r="RKL1599" s="55">
        <f t="shared" si="488"/>
        <v>0</v>
      </c>
      <c r="RKM1599" s="55">
        <f t="shared" si="488"/>
        <v>0</v>
      </c>
      <c r="RKN1599" s="55">
        <f t="shared" si="488"/>
        <v>0</v>
      </c>
      <c r="RKO1599" s="55">
        <f t="shared" si="488"/>
        <v>0</v>
      </c>
      <c r="RKP1599" s="55">
        <f t="shared" si="488"/>
        <v>0</v>
      </c>
      <c r="RKQ1599" s="55">
        <f t="shared" si="488"/>
        <v>0</v>
      </c>
      <c r="RKR1599" s="55">
        <f t="shared" si="488"/>
        <v>0</v>
      </c>
      <c r="RKS1599" s="55">
        <f t="shared" si="488"/>
        <v>0</v>
      </c>
      <c r="RKT1599" s="55">
        <f t="shared" si="488"/>
        <v>0</v>
      </c>
      <c r="RKU1599" s="55">
        <f t="shared" si="488"/>
        <v>0</v>
      </c>
      <c r="RKV1599" s="55">
        <f t="shared" si="488"/>
        <v>0</v>
      </c>
      <c r="RKW1599" s="55">
        <f t="shared" si="488"/>
        <v>0</v>
      </c>
      <c r="RKX1599" s="55">
        <f t="shared" si="488"/>
        <v>0</v>
      </c>
      <c r="RKY1599" s="55">
        <f t="shared" si="488"/>
        <v>0</v>
      </c>
      <c r="RKZ1599" s="55">
        <f t="shared" si="488"/>
        <v>0</v>
      </c>
      <c r="RLA1599" s="55">
        <f t="shared" si="488"/>
        <v>0</v>
      </c>
      <c r="RLB1599" s="55">
        <f t="shared" si="488"/>
        <v>0</v>
      </c>
      <c r="RLC1599" s="55">
        <f t="shared" si="488"/>
        <v>0</v>
      </c>
      <c r="RLD1599" s="55">
        <f t="shared" si="488"/>
        <v>0</v>
      </c>
      <c r="RLE1599" s="55">
        <f t="shared" si="488"/>
        <v>0</v>
      </c>
      <c r="RLF1599" s="55">
        <f t="shared" si="488"/>
        <v>0</v>
      </c>
      <c r="RLG1599" s="55">
        <f t="shared" si="488"/>
        <v>0</v>
      </c>
      <c r="RLH1599" s="55">
        <f t="shared" si="488"/>
        <v>0</v>
      </c>
      <c r="RLI1599" s="55">
        <f t="shared" si="488"/>
        <v>0</v>
      </c>
      <c r="RLJ1599" s="55">
        <f t="shared" si="488"/>
        <v>0</v>
      </c>
      <c r="RLK1599" s="55">
        <f t="shared" si="488"/>
        <v>0</v>
      </c>
      <c r="RLL1599" s="55">
        <f t="shared" ref="RLL1599:RNW1599" si="489">+(RLL1619+RLL1623)*1.18*1.1</f>
        <v>0</v>
      </c>
      <c r="RLM1599" s="55">
        <f t="shared" si="489"/>
        <v>0</v>
      </c>
      <c r="RLN1599" s="55">
        <f t="shared" si="489"/>
        <v>0</v>
      </c>
      <c r="RLO1599" s="55">
        <f t="shared" si="489"/>
        <v>0</v>
      </c>
      <c r="RLP1599" s="55">
        <f t="shared" si="489"/>
        <v>0</v>
      </c>
      <c r="RLQ1599" s="55">
        <f t="shared" si="489"/>
        <v>0</v>
      </c>
      <c r="RLR1599" s="55">
        <f t="shared" si="489"/>
        <v>0</v>
      </c>
      <c r="RLS1599" s="55">
        <f t="shared" si="489"/>
        <v>0</v>
      </c>
      <c r="RLT1599" s="55">
        <f t="shared" si="489"/>
        <v>0</v>
      </c>
      <c r="RLU1599" s="55">
        <f t="shared" si="489"/>
        <v>0</v>
      </c>
      <c r="RLV1599" s="55">
        <f t="shared" si="489"/>
        <v>0</v>
      </c>
      <c r="RLW1599" s="55">
        <f t="shared" si="489"/>
        <v>0</v>
      </c>
      <c r="RLX1599" s="55">
        <f t="shared" si="489"/>
        <v>0</v>
      </c>
      <c r="RLY1599" s="55">
        <f t="shared" si="489"/>
        <v>0</v>
      </c>
      <c r="RLZ1599" s="55">
        <f t="shared" si="489"/>
        <v>0</v>
      </c>
      <c r="RMA1599" s="55">
        <f t="shared" si="489"/>
        <v>0</v>
      </c>
      <c r="RMB1599" s="55">
        <f t="shared" si="489"/>
        <v>0</v>
      </c>
      <c r="RMC1599" s="55">
        <f t="shared" si="489"/>
        <v>0</v>
      </c>
      <c r="RMD1599" s="55">
        <f t="shared" si="489"/>
        <v>0</v>
      </c>
      <c r="RME1599" s="55">
        <f t="shared" si="489"/>
        <v>0</v>
      </c>
      <c r="RMF1599" s="55">
        <f t="shared" si="489"/>
        <v>0</v>
      </c>
      <c r="RMG1599" s="55">
        <f t="shared" si="489"/>
        <v>0</v>
      </c>
      <c r="RMH1599" s="55">
        <f t="shared" si="489"/>
        <v>0</v>
      </c>
      <c r="RMI1599" s="55">
        <f t="shared" si="489"/>
        <v>0</v>
      </c>
      <c r="RMJ1599" s="55">
        <f t="shared" si="489"/>
        <v>0</v>
      </c>
      <c r="RMK1599" s="55">
        <f t="shared" si="489"/>
        <v>0</v>
      </c>
      <c r="RML1599" s="55">
        <f t="shared" si="489"/>
        <v>0</v>
      </c>
      <c r="RMM1599" s="55">
        <f t="shared" si="489"/>
        <v>0</v>
      </c>
      <c r="RMN1599" s="55">
        <f t="shared" si="489"/>
        <v>0</v>
      </c>
      <c r="RMO1599" s="55">
        <f t="shared" si="489"/>
        <v>0</v>
      </c>
      <c r="RMP1599" s="55">
        <f t="shared" si="489"/>
        <v>0</v>
      </c>
      <c r="RMQ1599" s="55">
        <f t="shared" si="489"/>
        <v>0</v>
      </c>
      <c r="RMR1599" s="55">
        <f t="shared" si="489"/>
        <v>0</v>
      </c>
      <c r="RMS1599" s="55">
        <f t="shared" si="489"/>
        <v>0</v>
      </c>
      <c r="RMT1599" s="55">
        <f t="shared" si="489"/>
        <v>0</v>
      </c>
      <c r="RMU1599" s="55">
        <f t="shared" si="489"/>
        <v>0</v>
      </c>
      <c r="RMV1599" s="55">
        <f t="shared" si="489"/>
        <v>0</v>
      </c>
      <c r="RMW1599" s="55">
        <f t="shared" si="489"/>
        <v>0</v>
      </c>
      <c r="RMX1599" s="55">
        <f t="shared" si="489"/>
        <v>0</v>
      </c>
      <c r="RMY1599" s="55">
        <f t="shared" si="489"/>
        <v>0</v>
      </c>
      <c r="RMZ1599" s="55">
        <f t="shared" si="489"/>
        <v>0</v>
      </c>
      <c r="RNA1599" s="55">
        <f t="shared" si="489"/>
        <v>0</v>
      </c>
      <c r="RNB1599" s="55">
        <f t="shared" si="489"/>
        <v>0</v>
      </c>
      <c r="RNC1599" s="55">
        <f t="shared" si="489"/>
        <v>0</v>
      </c>
      <c r="RND1599" s="55">
        <f t="shared" si="489"/>
        <v>0</v>
      </c>
      <c r="RNE1599" s="55">
        <f t="shared" si="489"/>
        <v>0</v>
      </c>
      <c r="RNF1599" s="55">
        <f t="shared" si="489"/>
        <v>0</v>
      </c>
      <c r="RNG1599" s="55">
        <f t="shared" si="489"/>
        <v>0</v>
      </c>
      <c r="RNH1599" s="55">
        <f t="shared" si="489"/>
        <v>0</v>
      </c>
      <c r="RNI1599" s="55">
        <f t="shared" si="489"/>
        <v>0</v>
      </c>
      <c r="RNJ1599" s="55">
        <f t="shared" si="489"/>
        <v>0</v>
      </c>
      <c r="RNK1599" s="55">
        <f t="shared" si="489"/>
        <v>0</v>
      </c>
      <c r="RNL1599" s="55">
        <f t="shared" si="489"/>
        <v>0</v>
      </c>
      <c r="RNM1599" s="55">
        <f t="shared" si="489"/>
        <v>0</v>
      </c>
      <c r="RNN1599" s="55">
        <f t="shared" si="489"/>
        <v>0</v>
      </c>
      <c r="RNO1599" s="55">
        <f t="shared" si="489"/>
        <v>0</v>
      </c>
      <c r="RNP1599" s="55">
        <f t="shared" si="489"/>
        <v>0</v>
      </c>
      <c r="RNQ1599" s="55">
        <f t="shared" si="489"/>
        <v>0</v>
      </c>
      <c r="RNR1599" s="55">
        <f t="shared" si="489"/>
        <v>0</v>
      </c>
      <c r="RNS1599" s="55">
        <f t="shared" si="489"/>
        <v>0</v>
      </c>
      <c r="RNT1599" s="55">
        <f t="shared" si="489"/>
        <v>0</v>
      </c>
      <c r="RNU1599" s="55">
        <f t="shared" si="489"/>
        <v>0</v>
      </c>
      <c r="RNV1599" s="55">
        <f t="shared" si="489"/>
        <v>0</v>
      </c>
      <c r="RNW1599" s="55">
        <f t="shared" si="489"/>
        <v>0</v>
      </c>
      <c r="RNX1599" s="55">
        <f t="shared" ref="RNX1599:RQI1599" si="490">+(RNX1619+RNX1623)*1.18*1.1</f>
        <v>0</v>
      </c>
      <c r="RNY1599" s="55">
        <f t="shared" si="490"/>
        <v>0</v>
      </c>
      <c r="RNZ1599" s="55">
        <f t="shared" si="490"/>
        <v>0</v>
      </c>
      <c r="ROA1599" s="55">
        <f t="shared" si="490"/>
        <v>0</v>
      </c>
      <c r="ROB1599" s="55">
        <f t="shared" si="490"/>
        <v>0</v>
      </c>
      <c r="ROC1599" s="55">
        <f t="shared" si="490"/>
        <v>0</v>
      </c>
      <c r="ROD1599" s="55">
        <f t="shared" si="490"/>
        <v>0</v>
      </c>
      <c r="ROE1599" s="55">
        <f t="shared" si="490"/>
        <v>0</v>
      </c>
      <c r="ROF1599" s="55">
        <f t="shared" si="490"/>
        <v>0</v>
      </c>
      <c r="ROG1599" s="55">
        <f t="shared" si="490"/>
        <v>0</v>
      </c>
      <c r="ROH1599" s="55">
        <f t="shared" si="490"/>
        <v>0</v>
      </c>
      <c r="ROI1599" s="55">
        <f t="shared" si="490"/>
        <v>0</v>
      </c>
      <c r="ROJ1599" s="55">
        <f t="shared" si="490"/>
        <v>0</v>
      </c>
      <c r="ROK1599" s="55">
        <f t="shared" si="490"/>
        <v>0</v>
      </c>
      <c r="ROL1599" s="55">
        <f t="shared" si="490"/>
        <v>0</v>
      </c>
      <c r="ROM1599" s="55">
        <f t="shared" si="490"/>
        <v>0</v>
      </c>
      <c r="RON1599" s="55">
        <f t="shared" si="490"/>
        <v>0</v>
      </c>
      <c r="ROO1599" s="55">
        <f t="shared" si="490"/>
        <v>0</v>
      </c>
      <c r="ROP1599" s="55">
        <f t="shared" si="490"/>
        <v>0</v>
      </c>
      <c r="ROQ1599" s="55">
        <f t="shared" si="490"/>
        <v>0</v>
      </c>
      <c r="ROR1599" s="55">
        <f t="shared" si="490"/>
        <v>0</v>
      </c>
      <c r="ROS1599" s="55">
        <f t="shared" si="490"/>
        <v>0</v>
      </c>
      <c r="ROT1599" s="55">
        <f t="shared" si="490"/>
        <v>0</v>
      </c>
      <c r="ROU1599" s="55">
        <f t="shared" si="490"/>
        <v>0</v>
      </c>
      <c r="ROV1599" s="55">
        <f t="shared" si="490"/>
        <v>0</v>
      </c>
      <c r="ROW1599" s="55">
        <f t="shared" si="490"/>
        <v>0</v>
      </c>
      <c r="ROX1599" s="55">
        <f t="shared" si="490"/>
        <v>0</v>
      </c>
      <c r="ROY1599" s="55">
        <f t="shared" si="490"/>
        <v>0</v>
      </c>
      <c r="ROZ1599" s="55">
        <f t="shared" si="490"/>
        <v>0</v>
      </c>
      <c r="RPA1599" s="55">
        <f t="shared" si="490"/>
        <v>0</v>
      </c>
      <c r="RPB1599" s="55">
        <f t="shared" si="490"/>
        <v>0</v>
      </c>
      <c r="RPC1599" s="55">
        <f t="shared" si="490"/>
        <v>0</v>
      </c>
      <c r="RPD1599" s="55">
        <f t="shared" si="490"/>
        <v>0</v>
      </c>
      <c r="RPE1599" s="55">
        <f t="shared" si="490"/>
        <v>0</v>
      </c>
      <c r="RPF1599" s="55">
        <f t="shared" si="490"/>
        <v>0</v>
      </c>
      <c r="RPG1599" s="55">
        <f t="shared" si="490"/>
        <v>0</v>
      </c>
      <c r="RPH1599" s="55">
        <f t="shared" si="490"/>
        <v>0</v>
      </c>
      <c r="RPI1599" s="55">
        <f t="shared" si="490"/>
        <v>0</v>
      </c>
      <c r="RPJ1599" s="55">
        <f t="shared" si="490"/>
        <v>0</v>
      </c>
      <c r="RPK1599" s="55">
        <f t="shared" si="490"/>
        <v>0</v>
      </c>
      <c r="RPL1599" s="55">
        <f t="shared" si="490"/>
        <v>0</v>
      </c>
      <c r="RPM1599" s="55">
        <f t="shared" si="490"/>
        <v>0</v>
      </c>
      <c r="RPN1599" s="55">
        <f t="shared" si="490"/>
        <v>0</v>
      </c>
      <c r="RPO1599" s="55">
        <f t="shared" si="490"/>
        <v>0</v>
      </c>
      <c r="RPP1599" s="55">
        <f t="shared" si="490"/>
        <v>0</v>
      </c>
      <c r="RPQ1599" s="55">
        <f t="shared" si="490"/>
        <v>0</v>
      </c>
      <c r="RPR1599" s="55">
        <f t="shared" si="490"/>
        <v>0</v>
      </c>
      <c r="RPS1599" s="55">
        <f t="shared" si="490"/>
        <v>0</v>
      </c>
      <c r="RPT1599" s="55">
        <f t="shared" si="490"/>
        <v>0</v>
      </c>
      <c r="RPU1599" s="55">
        <f t="shared" si="490"/>
        <v>0</v>
      </c>
      <c r="RPV1599" s="55">
        <f t="shared" si="490"/>
        <v>0</v>
      </c>
      <c r="RPW1599" s="55">
        <f t="shared" si="490"/>
        <v>0</v>
      </c>
      <c r="RPX1599" s="55">
        <f t="shared" si="490"/>
        <v>0</v>
      </c>
      <c r="RPY1599" s="55">
        <f t="shared" si="490"/>
        <v>0</v>
      </c>
      <c r="RPZ1599" s="55">
        <f t="shared" si="490"/>
        <v>0</v>
      </c>
      <c r="RQA1599" s="55">
        <f t="shared" si="490"/>
        <v>0</v>
      </c>
      <c r="RQB1599" s="55">
        <f t="shared" si="490"/>
        <v>0</v>
      </c>
      <c r="RQC1599" s="55">
        <f t="shared" si="490"/>
        <v>0</v>
      </c>
      <c r="RQD1599" s="55">
        <f t="shared" si="490"/>
        <v>0</v>
      </c>
      <c r="RQE1599" s="55">
        <f t="shared" si="490"/>
        <v>0</v>
      </c>
      <c r="RQF1599" s="55">
        <f t="shared" si="490"/>
        <v>0</v>
      </c>
      <c r="RQG1599" s="55">
        <f t="shared" si="490"/>
        <v>0</v>
      </c>
      <c r="RQH1599" s="55">
        <f t="shared" si="490"/>
        <v>0</v>
      </c>
      <c r="RQI1599" s="55">
        <f t="shared" si="490"/>
        <v>0</v>
      </c>
      <c r="RQJ1599" s="55">
        <f t="shared" ref="RQJ1599:RSU1599" si="491">+(RQJ1619+RQJ1623)*1.18*1.1</f>
        <v>0</v>
      </c>
      <c r="RQK1599" s="55">
        <f t="shared" si="491"/>
        <v>0</v>
      </c>
      <c r="RQL1599" s="55">
        <f t="shared" si="491"/>
        <v>0</v>
      </c>
      <c r="RQM1599" s="55">
        <f t="shared" si="491"/>
        <v>0</v>
      </c>
      <c r="RQN1599" s="55">
        <f t="shared" si="491"/>
        <v>0</v>
      </c>
      <c r="RQO1599" s="55">
        <f t="shared" si="491"/>
        <v>0</v>
      </c>
      <c r="RQP1599" s="55">
        <f t="shared" si="491"/>
        <v>0</v>
      </c>
      <c r="RQQ1599" s="55">
        <f t="shared" si="491"/>
        <v>0</v>
      </c>
      <c r="RQR1599" s="55">
        <f t="shared" si="491"/>
        <v>0</v>
      </c>
      <c r="RQS1599" s="55">
        <f t="shared" si="491"/>
        <v>0</v>
      </c>
      <c r="RQT1599" s="55">
        <f t="shared" si="491"/>
        <v>0</v>
      </c>
      <c r="RQU1599" s="55">
        <f t="shared" si="491"/>
        <v>0</v>
      </c>
      <c r="RQV1599" s="55">
        <f t="shared" si="491"/>
        <v>0</v>
      </c>
      <c r="RQW1599" s="55">
        <f t="shared" si="491"/>
        <v>0</v>
      </c>
      <c r="RQX1599" s="55">
        <f t="shared" si="491"/>
        <v>0</v>
      </c>
      <c r="RQY1599" s="55">
        <f t="shared" si="491"/>
        <v>0</v>
      </c>
      <c r="RQZ1599" s="55">
        <f t="shared" si="491"/>
        <v>0</v>
      </c>
      <c r="RRA1599" s="55">
        <f t="shared" si="491"/>
        <v>0</v>
      </c>
      <c r="RRB1599" s="55">
        <f t="shared" si="491"/>
        <v>0</v>
      </c>
      <c r="RRC1599" s="55">
        <f t="shared" si="491"/>
        <v>0</v>
      </c>
      <c r="RRD1599" s="55">
        <f t="shared" si="491"/>
        <v>0</v>
      </c>
      <c r="RRE1599" s="55">
        <f t="shared" si="491"/>
        <v>0</v>
      </c>
      <c r="RRF1599" s="55">
        <f t="shared" si="491"/>
        <v>0</v>
      </c>
      <c r="RRG1599" s="55">
        <f t="shared" si="491"/>
        <v>0</v>
      </c>
      <c r="RRH1599" s="55">
        <f t="shared" si="491"/>
        <v>0</v>
      </c>
      <c r="RRI1599" s="55">
        <f t="shared" si="491"/>
        <v>0</v>
      </c>
      <c r="RRJ1599" s="55">
        <f t="shared" si="491"/>
        <v>0</v>
      </c>
      <c r="RRK1599" s="55">
        <f t="shared" si="491"/>
        <v>0</v>
      </c>
      <c r="RRL1599" s="55">
        <f t="shared" si="491"/>
        <v>0</v>
      </c>
      <c r="RRM1599" s="55">
        <f t="shared" si="491"/>
        <v>0</v>
      </c>
      <c r="RRN1599" s="55">
        <f t="shared" si="491"/>
        <v>0</v>
      </c>
      <c r="RRO1599" s="55">
        <f t="shared" si="491"/>
        <v>0</v>
      </c>
      <c r="RRP1599" s="55">
        <f t="shared" si="491"/>
        <v>0</v>
      </c>
      <c r="RRQ1599" s="55">
        <f t="shared" si="491"/>
        <v>0</v>
      </c>
      <c r="RRR1599" s="55">
        <f t="shared" si="491"/>
        <v>0</v>
      </c>
      <c r="RRS1599" s="55">
        <f t="shared" si="491"/>
        <v>0</v>
      </c>
      <c r="RRT1599" s="55">
        <f t="shared" si="491"/>
        <v>0</v>
      </c>
      <c r="RRU1599" s="55">
        <f t="shared" si="491"/>
        <v>0</v>
      </c>
      <c r="RRV1599" s="55">
        <f t="shared" si="491"/>
        <v>0</v>
      </c>
      <c r="RRW1599" s="55">
        <f t="shared" si="491"/>
        <v>0</v>
      </c>
      <c r="RRX1599" s="55">
        <f t="shared" si="491"/>
        <v>0</v>
      </c>
      <c r="RRY1599" s="55">
        <f t="shared" si="491"/>
        <v>0</v>
      </c>
      <c r="RRZ1599" s="55">
        <f t="shared" si="491"/>
        <v>0</v>
      </c>
      <c r="RSA1599" s="55">
        <f t="shared" si="491"/>
        <v>0</v>
      </c>
      <c r="RSB1599" s="55">
        <f t="shared" si="491"/>
        <v>0</v>
      </c>
      <c r="RSC1599" s="55">
        <f t="shared" si="491"/>
        <v>0</v>
      </c>
      <c r="RSD1599" s="55">
        <f t="shared" si="491"/>
        <v>0</v>
      </c>
      <c r="RSE1599" s="55">
        <f t="shared" si="491"/>
        <v>0</v>
      </c>
      <c r="RSF1599" s="55">
        <f t="shared" si="491"/>
        <v>0</v>
      </c>
      <c r="RSG1599" s="55">
        <f t="shared" si="491"/>
        <v>0</v>
      </c>
      <c r="RSH1599" s="55">
        <f t="shared" si="491"/>
        <v>0</v>
      </c>
      <c r="RSI1599" s="55">
        <f t="shared" si="491"/>
        <v>0</v>
      </c>
      <c r="RSJ1599" s="55">
        <f t="shared" si="491"/>
        <v>0</v>
      </c>
      <c r="RSK1599" s="55">
        <f t="shared" si="491"/>
        <v>0</v>
      </c>
      <c r="RSL1599" s="55">
        <f t="shared" si="491"/>
        <v>0</v>
      </c>
      <c r="RSM1599" s="55">
        <f t="shared" si="491"/>
        <v>0</v>
      </c>
      <c r="RSN1599" s="55">
        <f t="shared" si="491"/>
        <v>0</v>
      </c>
      <c r="RSO1599" s="55">
        <f t="shared" si="491"/>
        <v>0</v>
      </c>
      <c r="RSP1599" s="55">
        <f t="shared" si="491"/>
        <v>0</v>
      </c>
      <c r="RSQ1599" s="55">
        <f t="shared" si="491"/>
        <v>0</v>
      </c>
      <c r="RSR1599" s="55">
        <f t="shared" si="491"/>
        <v>0</v>
      </c>
      <c r="RSS1599" s="55">
        <f t="shared" si="491"/>
        <v>0</v>
      </c>
      <c r="RST1599" s="55">
        <f t="shared" si="491"/>
        <v>0</v>
      </c>
      <c r="RSU1599" s="55">
        <f t="shared" si="491"/>
        <v>0</v>
      </c>
      <c r="RSV1599" s="55">
        <f t="shared" ref="RSV1599:RVG1599" si="492">+(RSV1619+RSV1623)*1.18*1.1</f>
        <v>0</v>
      </c>
      <c r="RSW1599" s="55">
        <f t="shared" si="492"/>
        <v>0</v>
      </c>
      <c r="RSX1599" s="55">
        <f t="shared" si="492"/>
        <v>0</v>
      </c>
      <c r="RSY1599" s="55">
        <f t="shared" si="492"/>
        <v>0</v>
      </c>
      <c r="RSZ1599" s="55">
        <f t="shared" si="492"/>
        <v>0</v>
      </c>
      <c r="RTA1599" s="55">
        <f t="shared" si="492"/>
        <v>0</v>
      </c>
      <c r="RTB1599" s="55">
        <f t="shared" si="492"/>
        <v>0</v>
      </c>
      <c r="RTC1599" s="55">
        <f t="shared" si="492"/>
        <v>0</v>
      </c>
      <c r="RTD1599" s="55">
        <f t="shared" si="492"/>
        <v>0</v>
      </c>
      <c r="RTE1599" s="55">
        <f t="shared" si="492"/>
        <v>0</v>
      </c>
      <c r="RTF1599" s="55">
        <f t="shared" si="492"/>
        <v>0</v>
      </c>
      <c r="RTG1599" s="55">
        <f t="shared" si="492"/>
        <v>0</v>
      </c>
      <c r="RTH1599" s="55">
        <f t="shared" si="492"/>
        <v>0</v>
      </c>
      <c r="RTI1599" s="55">
        <f t="shared" si="492"/>
        <v>0</v>
      </c>
      <c r="RTJ1599" s="55">
        <f t="shared" si="492"/>
        <v>0</v>
      </c>
      <c r="RTK1599" s="55">
        <f t="shared" si="492"/>
        <v>0</v>
      </c>
      <c r="RTL1599" s="55">
        <f t="shared" si="492"/>
        <v>0</v>
      </c>
      <c r="RTM1599" s="55">
        <f t="shared" si="492"/>
        <v>0</v>
      </c>
      <c r="RTN1599" s="55">
        <f t="shared" si="492"/>
        <v>0</v>
      </c>
      <c r="RTO1599" s="55">
        <f t="shared" si="492"/>
        <v>0</v>
      </c>
      <c r="RTP1599" s="55">
        <f t="shared" si="492"/>
        <v>0</v>
      </c>
      <c r="RTQ1599" s="55">
        <f t="shared" si="492"/>
        <v>0</v>
      </c>
      <c r="RTR1599" s="55">
        <f t="shared" si="492"/>
        <v>0</v>
      </c>
      <c r="RTS1599" s="55">
        <f t="shared" si="492"/>
        <v>0</v>
      </c>
      <c r="RTT1599" s="55">
        <f t="shared" si="492"/>
        <v>0</v>
      </c>
      <c r="RTU1599" s="55">
        <f t="shared" si="492"/>
        <v>0</v>
      </c>
      <c r="RTV1599" s="55">
        <f t="shared" si="492"/>
        <v>0</v>
      </c>
      <c r="RTW1599" s="55">
        <f t="shared" si="492"/>
        <v>0</v>
      </c>
      <c r="RTX1599" s="55">
        <f t="shared" si="492"/>
        <v>0</v>
      </c>
      <c r="RTY1599" s="55">
        <f t="shared" si="492"/>
        <v>0</v>
      </c>
      <c r="RTZ1599" s="55">
        <f t="shared" si="492"/>
        <v>0</v>
      </c>
      <c r="RUA1599" s="55">
        <f t="shared" si="492"/>
        <v>0</v>
      </c>
      <c r="RUB1599" s="55">
        <f t="shared" si="492"/>
        <v>0</v>
      </c>
      <c r="RUC1599" s="55">
        <f t="shared" si="492"/>
        <v>0</v>
      </c>
      <c r="RUD1599" s="55">
        <f t="shared" si="492"/>
        <v>0</v>
      </c>
      <c r="RUE1599" s="55">
        <f t="shared" si="492"/>
        <v>0</v>
      </c>
      <c r="RUF1599" s="55">
        <f t="shared" si="492"/>
        <v>0</v>
      </c>
      <c r="RUG1599" s="55">
        <f t="shared" si="492"/>
        <v>0</v>
      </c>
      <c r="RUH1599" s="55">
        <f t="shared" si="492"/>
        <v>0</v>
      </c>
      <c r="RUI1599" s="55">
        <f t="shared" si="492"/>
        <v>0</v>
      </c>
      <c r="RUJ1599" s="55">
        <f t="shared" si="492"/>
        <v>0</v>
      </c>
      <c r="RUK1599" s="55">
        <f t="shared" si="492"/>
        <v>0</v>
      </c>
      <c r="RUL1599" s="55">
        <f t="shared" si="492"/>
        <v>0</v>
      </c>
      <c r="RUM1599" s="55">
        <f t="shared" si="492"/>
        <v>0</v>
      </c>
      <c r="RUN1599" s="55">
        <f t="shared" si="492"/>
        <v>0</v>
      </c>
      <c r="RUO1599" s="55">
        <f t="shared" si="492"/>
        <v>0</v>
      </c>
      <c r="RUP1599" s="55">
        <f t="shared" si="492"/>
        <v>0</v>
      </c>
      <c r="RUQ1599" s="55">
        <f t="shared" si="492"/>
        <v>0</v>
      </c>
      <c r="RUR1599" s="55">
        <f t="shared" si="492"/>
        <v>0</v>
      </c>
      <c r="RUS1599" s="55">
        <f t="shared" si="492"/>
        <v>0</v>
      </c>
      <c r="RUT1599" s="55">
        <f t="shared" si="492"/>
        <v>0</v>
      </c>
      <c r="RUU1599" s="55">
        <f t="shared" si="492"/>
        <v>0</v>
      </c>
      <c r="RUV1599" s="55">
        <f t="shared" si="492"/>
        <v>0</v>
      </c>
      <c r="RUW1599" s="55">
        <f t="shared" si="492"/>
        <v>0</v>
      </c>
      <c r="RUX1599" s="55">
        <f t="shared" si="492"/>
        <v>0</v>
      </c>
      <c r="RUY1599" s="55">
        <f t="shared" si="492"/>
        <v>0</v>
      </c>
      <c r="RUZ1599" s="55">
        <f t="shared" si="492"/>
        <v>0</v>
      </c>
      <c r="RVA1599" s="55">
        <f t="shared" si="492"/>
        <v>0</v>
      </c>
      <c r="RVB1599" s="55">
        <f t="shared" si="492"/>
        <v>0</v>
      </c>
      <c r="RVC1599" s="55">
        <f t="shared" si="492"/>
        <v>0</v>
      </c>
      <c r="RVD1599" s="55">
        <f t="shared" si="492"/>
        <v>0</v>
      </c>
      <c r="RVE1599" s="55">
        <f t="shared" si="492"/>
        <v>0</v>
      </c>
      <c r="RVF1599" s="55">
        <f t="shared" si="492"/>
        <v>0</v>
      </c>
      <c r="RVG1599" s="55">
        <f t="shared" si="492"/>
        <v>0</v>
      </c>
      <c r="RVH1599" s="55">
        <f t="shared" ref="RVH1599:RXS1599" si="493">+(RVH1619+RVH1623)*1.18*1.1</f>
        <v>0</v>
      </c>
      <c r="RVI1599" s="55">
        <f t="shared" si="493"/>
        <v>0</v>
      </c>
      <c r="RVJ1599" s="55">
        <f t="shared" si="493"/>
        <v>0</v>
      </c>
      <c r="RVK1599" s="55">
        <f t="shared" si="493"/>
        <v>0</v>
      </c>
      <c r="RVL1599" s="55">
        <f t="shared" si="493"/>
        <v>0</v>
      </c>
      <c r="RVM1599" s="55">
        <f t="shared" si="493"/>
        <v>0</v>
      </c>
      <c r="RVN1599" s="55">
        <f t="shared" si="493"/>
        <v>0</v>
      </c>
      <c r="RVO1599" s="55">
        <f t="shared" si="493"/>
        <v>0</v>
      </c>
      <c r="RVP1599" s="55">
        <f t="shared" si="493"/>
        <v>0</v>
      </c>
      <c r="RVQ1599" s="55">
        <f t="shared" si="493"/>
        <v>0</v>
      </c>
      <c r="RVR1599" s="55">
        <f t="shared" si="493"/>
        <v>0</v>
      </c>
      <c r="RVS1599" s="55">
        <f t="shared" si="493"/>
        <v>0</v>
      </c>
      <c r="RVT1599" s="55">
        <f t="shared" si="493"/>
        <v>0</v>
      </c>
      <c r="RVU1599" s="55">
        <f t="shared" si="493"/>
        <v>0</v>
      </c>
      <c r="RVV1599" s="55">
        <f t="shared" si="493"/>
        <v>0</v>
      </c>
      <c r="RVW1599" s="55">
        <f t="shared" si="493"/>
        <v>0</v>
      </c>
      <c r="RVX1599" s="55">
        <f t="shared" si="493"/>
        <v>0</v>
      </c>
      <c r="RVY1599" s="55">
        <f t="shared" si="493"/>
        <v>0</v>
      </c>
      <c r="RVZ1599" s="55">
        <f t="shared" si="493"/>
        <v>0</v>
      </c>
      <c r="RWA1599" s="55">
        <f t="shared" si="493"/>
        <v>0</v>
      </c>
      <c r="RWB1599" s="55">
        <f t="shared" si="493"/>
        <v>0</v>
      </c>
      <c r="RWC1599" s="55">
        <f t="shared" si="493"/>
        <v>0</v>
      </c>
      <c r="RWD1599" s="55">
        <f t="shared" si="493"/>
        <v>0</v>
      </c>
      <c r="RWE1599" s="55">
        <f t="shared" si="493"/>
        <v>0</v>
      </c>
      <c r="RWF1599" s="55">
        <f t="shared" si="493"/>
        <v>0</v>
      </c>
      <c r="RWG1599" s="55">
        <f t="shared" si="493"/>
        <v>0</v>
      </c>
      <c r="RWH1599" s="55">
        <f t="shared" si="493"/>
        <v>0</v>
      </c>
      <c r="RWI1599" s="55">
        <f t="shared" si="493"/>
        <v>0</v>
      </c>
      <c r="RWJ1599" s="55">
        <f t="shared" si="493"/>
        <v>0</v>
      </c>
      <c r="RWK1599" s="55">
        <f t="shared" si="493"/>
        <v>0</v>
      </c>
      <c r="RWL1599" s="55">
        <f t="shared" si="493"/>
        <v>0</v>
      </c>
      <c r="RWM1599" s="55">
        <f t="shared" si="493"/>
        <v>0</v>
      </c>
      <c r="RWN1599" s="55">
        <f t="shared" si="493"/>
        <v>0</v>
      </c>
      <c r="RWO1599" s="55">
        <f t="shared" si="493"/>
        <v>0</v>
      </c>
      <c r="RWP1599" s="55">
        <f t="shared" si="493"/>
        <v>0</v>
      </c>
      <c r="RWQ1599" s="55">
        <f t="shared" si="493"/>
        <v>0</v>
      </c>
      <c r="RWR1599" s="55">
        <f t="shared" si="493"/>
        <v>0</v>
      </c>
      <c r="RWS1599" s="55">
        <f t="shared" si="493"/>
        <v>0</v>
      </c>
      <c r="RWT1599" s="55">
        <f t="shared" si="493"/>
        <v>0</v>
      </c>
      <c r="RWU1599" s="55">
        <f t="shared" si="493"/>
        <v>0</v>
      </c>
      <c r="RWV1599" s="55">
        <f t="shared" si="493"/>
        <v>0</v>
      </c>
      <c r="RWW1599" s="55">
        <f t="shared" si="493"/>
        <v>0</v>
      </c>
      <c r="RWX1599" s="55">
        <f t="shared" si="493"/>
        <v>0</v>
      </c>
      <c r="RWY1599" s="55">
        <f t="shared" si="493"/>
        <v>0</v>
      </c>
      <c r="RWZ1599" s="55">
        <f t="shared" si="493"/>
        <v>0</v>
      </c>
      <c r="RXA1599" s="55">
        <f t="shared" si="493"/>
        <v>0</v>
      </c>
      <c r="RXB1599" s="55">
        <f t="shared" si="493"/>
        <v>0</v>
      </c>
      <c r="RXC1599" s="55">
        <f t="shared" si="493"/>
        <v>0</v>
      </c>
      <c r="RXD1599" s="55">
        <f t="shared" si="493"/>
        <v>0</v>
      </c>
      <c r="RXE1599" s="55">
        <f t="shared" si="493"/>
        <v>0</v>
      </c>
      <c r="RXF1599" s="55">
        <f t="shared" si="493"/>
        <v>0</v>
      </c>
      <c r="RXG1599" s="55">
        <f t="shared" si="493"/>
        <v>0</v>
      </c>
      <c r="RXH1599" s="55">
        <f t="shared" si="493"/>
        <v>0</v>
      </c>
      <c r="RXI1599" s="55">
        <f t="shared" si="493"/>
        <v>0</v>
      </c>
      <c r="RXJ1599" s="55">
        <f t="shared" si="493"/>
        <v>0</v>
      </c>
      <c r="RXK1599" s="55">
        <f t="shared" si="493"/>
        <v>0</v>
      </c>
      <c r="RXL1599" s="55">
        <f t="shared" si="493"/>
        <v>0</v>
      </c>
      <c r="RXM1599" s="55">
        <f t="shared" si="493"/>
        <v>0</v>
      </c>
      <c r="RXN1599" s="55">
        <f t="shared" si="493"/>
        <v>0</v>
      </c>
      <c r="RXO1599" s="55">
        <f t="shared" si="493"/>
        <v>0</v>
      </c>
      <c r="RXP1599" s="55">
        <f t="shared" si="493"/>
        <v>0</v>
      </c>
      <c r="RXQ1599" s="55">
        <f t="shared" si="493"/>
        <v>0</v>
      </c>
      <c r="RXR1599" s="55">
        <f t="shared" si="493"/>
        <v>0</v>
      </c>
      <c r="RXS1599" s="55">
        <f t="shared" si="493"/>
        <v>0</v>
      </c>
      <c r="RXT1599" s="55">
        <f t="shared" ref="RXT1599:SAE1599" si="494">+(RXT1619+RXT1623)*1.18*1.1</f>
        <v>0</v>
      </c>
      <c r="RXU1599" s="55">
        <f t="shared" si="494"/>
        <v>0</v>
      </c>
      <c r="RXV1599" s="55">
        <f t="shared" si="494"/>
        <v>0</v>
      </c>
      <c r="RXW1599" s="55">
        <f t="shared" si="494"/>
        <v>0</v>
      </c>
      <c r="RXX1599" s="55">
        <f t="shared" si="494"/>
        <v>0</v>
      </c>
      <c r="RXY1599" s="55">
        <f t="shared" si="494"/>
        <v>0</v>
      </c>
      <c r="RXZ1599" s="55">
        <f t="shared" si="494"/>
        <v>0</v>
      </c>
      <c r="RYA1599" s="55">
        <f t="shared" si="494"/>
        <v>0</v>
      </c>
      <c r="RYB1599" s="55">
        <f t="shared" si="494"/>
        <v>0</v>
      </c>
      <c r="RYC1599" s="55">
        <f t="shared" si="494"/>
        <v>0</v>
      </c>
      <c r="RYD1599" s="55">
        <f t="shared" si="494"/>
        <v>0</v>
      </c>
      <c r="RYE1599" s="55">
        <f t="shared" si="494"/>
        <v>0</v>
      </c>
      <c r="RYF1599" s="55">
        <f t="shared" si="494"/>
        <v>0</v>
      </c>
      <c r="RYG1599" s="55">
        <f t="shared" si="494"/>
        <v>0</v>
      </c>
      <c r="RYH1599" s="55">
        <f t="shared" si="494"/>
        <v>0</v>
      </c>
      <c r="RYI1599" s="55">
        <f t="shared" si="494"/>
        <v>0</v>
      </c>
      <c r="RYJ1599" s="55">
        <f t="shared" si="494"/>
        <v>0</v>
      </c>
      <c r="RYK1599" s="55">
        <f t="shared" si="494"/>
        <v>0</v>
      </c>
      <c r="RYL1599" s="55">
        <f t="shared" si="494"/>
        <v>0</v>
      </c>
      <c r="RYM1599" s="55">
        <f t="shared" si="494"/>
        <v>0</v>
      </c>
      <c r="RYN1599" s="55">
        <f t="shared" si="494"/>
        <v>0</v>
      </c>
      <c r="RYO1599" s="55">
        <f t="shared" si="494"/>
        <v>0</v>
      </c>
      <c r="RYP1599" s="55">
        <f t="shared" si="494"/>
        <v>0</v>
      </c>
      <c r="RYQ1599" s="55">
        <f t="shared" si="494"/>
        <v>0</v>
      </c>
      <c r="RYR1599" s="55">
        <f t="shared" si="494"/>
        <v>0</v>
      </c>
      <c r="RYS1599" s="55">
        <f t="shared" si="494"/>
        <v>0</v>
      </c>
      <c r="RYT1599" s="55">
        <f t="shared" si="494"/>
        <v>0</v>
      </c>
      <c r="RYU1599" s="55">
        <f t="shared" si="494"/>
        <v>0</v>
      </c>
      <c r="RYV1599" s="55">
        <f t="shared" si="494"/>
        <v>0</v>
      </c>
      <c r="RYW1599" s="55">
        <f t="shared" si="494"/>
        <v>0</v>
      </c>
      <c r="RYX1599" s="55">
        <f t="shared" si="494"/>
        <v>0</v>
      </c>
      <c r="RYY1599" s="55">
        <f t="shared" si="494"/>
        <v>0</v>
      </c>
      <c r="RYZ1599" s="55">
        <f t="shared" si="494"/>
        <v>0</v>
      </c>
      <c r="RZA1599" s="55">
        <f t="shared" si="494"/>
        <v>0</v>
      </c>
      <c r="RZB1599" s="55">
        <f t="shared" si="494"/>
        <v>0</v>
      </c>
      <c r="RZC1599" s="55">
        <f t="shared" si="494"/>
        <v>0</v>
      </c>
      <c r="RZD1599" s="55">
        <f t="shared" si="494"/>
        <v>0</v>
      </c>
      <c r="RZE1599" s="55">
        <f t="shared" si="494"/>
        <v>0</v>
      </c>
      <c r="RZF1599" s="55">
        <f t="shared" si="494"/>
        <v>0</v>
      </c>
      <c r="RZG1599" s="55">
        <f t="shared" si="494"/>
        <v>0</v>
      </c>
      <c r="RZH1599" s="55">
        <f t="shared" si="494"/>
        <v>0</v>
      </c>
      <c r="RZI1599" s="55">
        <f t="shared" si="494"/>
        <v>0</v>
      </c>
      <c r="RZJ1599" s="55">
        <f t="shared" si="494"/>
        <v>0</v>
      </c>
      <c r="RZK1599" s="55">
        <f t="shared" si="494"/>
        <v>0</v>
      </c>
      <c r="RZL1599" s="55">
        <f t="shared" si="494"/>
        <v>0</v>
      </c>
      <c r="RZM1599" s="55">
        <f t="shared" si="494"/>
        <v>0</v>
      </c>
      <c r="RZN1599" s="55">
        <f t="shared" si="494"/>
        <v>0</v>
      </c>
      <c r="RZO1599" s="55">
        <f t="shared" si="494"/>
        <v>0</v>
      </c>
      <c r="RZP1599" s="55">
        <f t="shared" si="494"/>
        <v>0</v>
      </c>
      <c r="RZQ1599" s="55">
        <f t="shared" si="494"/>
        <v>0</v>
      </c>
      <c r="RZR1599" s="55">
        <f t="shared" si="494"/>
        <v>0</v>
      </c>
      <c r="RZS1599" s="55">
        <f t="shared" si="494"/>
        <v>0</v>
      </c>
      <c r="RZT1599" s="55">
        <f t="shared" si="494"/>
        <v>0</v>
      </c>
      <c r="RZU1599" s="55">
        <f t="shared" si="494"/>
        <v>0</v>
      </c>
      <c r="RZV1599" s="55">
        <f t="shared" si="494"/>
        <v>0</v>
      </c>
      <c r="RZW1599" s="55">
        <f t="shared" si="494"/>
        <v>0</v>
      </c>
      <c r="RZX1599" s="55">
        <f t="shared" si="494"/>
        <v>0</v>
      </c>
      <c r="RZY1599" s="55">
        <f t="shared" si="494"/>
        <v>0</v>
      </c>
      <c r="RZZ1599" s="55">
        <f t="shared" si="494"/>
        <v>0</v>
      </c>
      <c r="SAA1599" s="55">
        <f t="shared" si="494"/>
        <v>0</v>
      </c>
      <c r="SAB1599" s="55">
        <f t="shared" si="494"/>
        <v>0</v>
      </c>
      <c r="SAC1599" s="55">
        <f t="shared" si="494"/>
        <v>0</v>
      </c>
      <c r="SAD1599" s="55">
        <f t="shared" si="494"/>
        <v>0</v>
      </c>
      <c r="SAE1599" s="55">
        <f t="shared" si="494"/>
        <v>0</v>
      </c>
      <c r="SAF1599" s="55">
        <f t="shared" ref="SAF1599:SCQ1599" si="495">+(SAF1619+SAF1623)*1.18*1.1</f>
        <v>0</v>
      </c>
      <c r="SAG1599" s="55">
        <f t="shared" si="495"/>
        <v>0</v>
      </c>
      <c r="SAH1599" s="55">
        <f t="shared" si="495"/>
        <v>0</v>
      </c>
      <c r="SAI1599" s="55">
        <f t="shared" si="495"/>
        <v>0</v>
      </c>
      <c r="SAJ1599" s="55">
        <f t="shared" si="495"/>
        <v>0</v>
      </c>
      <c r="SAK1599" s="55">
        <f t="shared" si="495"/>
        <v>0</v>
      </c>
      <c r="SAL1599" s="55">
        <f t="shared" si="495"/>
        <v>0</v>
      </c>
      <c r="SAM1599" s="55">
        <f t="shared" si="495"/>
        <v>0</v>
      </c>
      <c r="SAN1599" s="55">
        <f t="shared" si="495"/>
        <v>0</v>
      </c>
      <c r="SAO1599" s="55">
        <f t="shared" si="495"/>
        <v>0</v>
      </c>
      <c r="SAP1599" s="55">
        <f t="shared" si="495"/>
        <v>0</v>
      </c>
      <c r="SAQ1599" s="55">
        <f t="shared" si="495"/>
        <v>0</v>
      </c>
      <c r="SAR1599" s="55">
        <f t="shared" si="495"/>
        <v>0</v>
      </c>
      <c r="SAS1599" s="55">
        <f t="shared" si="495"/>
        <v>0</v>
      </c>
      <c r="SAT1599" s="55">
        <f t="shared" si="495"/>
        <v>0</v>
      </c>
      <c r="SAU1599" s="55">
        <f t="shared" si="495"/>
        <v>0</v>
      </c>
      <c r="SAV1599" s="55">
        <f t="shared" si="495"/>
        <v>0</v>
      </c>
      <c r="SAW1599" s="55">
        <f t="shared" si="495"/>
        <v>0</v>
      </c>
      <c r="SAX1599" s="55">
        <f t="shared" si="495"/>
        <v>0</v>
      </c>
      <c r="SAY1599" s="55">
        <f t="shared" si="495"/>
        <v>0</v>
      </c>
      <c r="SAZ1599" s="55">
        <f t="shared" si="495"/>
        <v>0</v>
      </c>
      <c r="SBA1599" s="55">
        <f t="shared" si="495"/>
        <v>0</v>
      </c>
      <c r="SBB1599" s="55">
        <f t="shared" si="495"/>
        <v>0</v>
      </c>
      <c r="SBC1599" s="55">
        <f t="shared" si="495"/>
        <v>0</v>
      </c>
      <c r="SBD1599" s="55">
        <f t="shared" si="495"/>
        <v>0</v>
      </c>
      <c r="SBE1599" s="55">
        <f t="shared" si="495"/>
        <v>0</v>
      </c>
      <c r="SBF1599" s="55">
        <f t="shared" si="495"/>
        <v>0</v>
      </c>
      <c r="SBG1599" s="55">
        <f t="shared" si="495"/>
        <v>0</v>
      </c>
      <c r="SBH1599" s="55">
        <f t="shared" si="495"/>
        <v>0</v>
      </c>
      <c r="SBI1599" s="55">
        <f t="shared" si="495"/>
        <v>0</v>
      </c>
      <c r="SBJ1599" s="55">
        <f t="shared" si="495"/>
        <v>0</v>
      </c>
      <c r="SBK1599" s="55">
        <f t="shared" si="495"/>
        <v>0</v>
      </c>
      <c r="SBL1599" s="55">
        <f t="shared" si="495"/>
        <v>0</v>
      </c>
      <c r="SBM1599" s="55">
        <f t="shared" si="495"/>
        <v>0</v>
      </c>
      <c r="SBN1599" s="55">
        <f t="shared" si="495"/>
        <v>0</v>
      </c>
      <c r="SBO1599" s="55">
        <f t="shared" si="495"/>
        <v>0</v>
      </c>
      <c r="SBP1599" s="55">
        <f t="shared" si="495"/>
        <v>0</v>
      </c>
      <c r="SBQ1599" s="55">
        <f t="shared" si="495"/>
        <v>0</v>
      </c>
      <c r="SBR1599" s="55">
        <f t="shared" si="495"/>
        <v>0</v>
      </c>
      <c r="SBS1599" s="55">
        <f t="shared" si="495"/>
        <v>0</v>
      </c>
      <c r="SBT1599" s="55">
        <f t="shared" si="495"/>
        <v>0</v>
      </c>
      <c r="SBU1599" s="55">
        <f t="shared" si="495"/>
        <v>0</v>
      </c>
      <c r="SBV1599" s="55">
        <f t="shared" si="495"/>
        <v>0</v>
      </c>
      <c r="SBW1599" s="55">
        <f t="shared" si="495"/>
        <v>0</v>
      </c>
      <c r="SBX1599" s="55">
        <f t="shared" si="495"/>
        <v>0</v>
      </c>
      <c r="SBY1599" s="55">
        <f t="shared" si="495"/>
        <v>0</v>
      </c>
      <c r="SBZ1599" s="55">
        <f t="shared" si="495"/>
        <v>0</v>
      </c>
      <c r="SCA1599" s="55">
        <f t="shared" si="495"/>
        <v>0</v>
      </c>
      <c r="SCB1599" s="55">
        <f t="shared" si="495"/>
        <v>0</v>
      </c>
      <c r="SCC1599" s="55">
        <f t="shared" si="495"/>
        <v>0</v>
      </c>
      <c r="SCD1599" s="55">
        <f t="shared" si="495"/>
        <v>0</v>
      </c>
      <c r="SCE1599" s="55">
        <f t="shared" si="495"/>
        <v>0</v>
      </c>
      <c r="SCF1599" s="55">
        <f t="shared" si="495"/>
        <v>0</v>
      </c>
      <c r="SCG1599" s="55">
        <f t="shared" si="495"/>
        <v>0</v>
      </c>
      <c r="SCH1599" s="55">
        <f t="shared" si="495"/>
        <v>0</v>
      </c>
      <c r="SCI1599" s="55">
        <f t="shared" si="495"/>
        <v>0</v>
      </c>
      <c r="SCJ1599" s="55">
        <f t="shared" si="495"/>
        <v>0</v>
      </c>
      <c r="SCK1599" s="55">
        <f t="shared" si="495"/>
        <v>0</v>
      </c>
      <c r="SCL1599" s="55">
        <f t="shared" si="495"/>
        <v>0</v>
      </c>
      <c r="SCM1599" s="55">
        <f t="shared" si="495"/>
        <v>0</v>
      </c>
      <c r="SCN1599" s="55">
        <f t="shared" si="495"/>
        <v>0</v>
      </c>
      <c r="SCO1599" s="55">
        <f t="shared" si="495"/>
        <v>0</v>
      </c>
      <c r="SCP1599" s="55">
        <f t="shared" si="495"/>
        <v>0</v>
      </c>
      <c r="SCQ1599" s="55">
        <f t="shared" si="495"/>
        <v>0</v>
      </c>
      <c r="SCR1599" s="55">
        <f t="shared" ref="SCR1599:SFC1599" si="496">+(SCR1619+SCR1623)*1.18*1.1</f>
        <v>0</v>
      </c>
      <c r="SCS1599" s="55">
        <f t="shared" si="496"/>
        <v>0</v>
      </c>
      <c r="SCT1599" s="55">
        <f t="shared" si="496"/>
        <v>0</v>
      </c>
      <c r="SCU1599" s="55">
        <f t="shared" si="496"/>
        <v>0</v>
      </c>
      <c r="SCV1599" s="55">
        <f t="shared" si="496"/>
        <v>0</v>
      </c>
      <c r="SCW1599" s="55">
        <f t="shared" si="496"/>
        <v>0</v>
      </c>
      <c r="SCX1599" s="55">
        <f t="shared" si="496"/>
        <v>0</v>
      </c>
      <c r="SCY1599" s="55">
        <f t="shared" si="496"/>
        <v>0</v>
      </c>
      <c r="SCZ1599" s="55">
        <f t="shared" si="496"/>
        <v>0</v>
      </c>
      <c r="SDA1599" s="55">
        <f t="shared" si="496"/>
        <v>0</v>
      </c>
      <c r="SDB1599" s="55">
        <f t="shared" si="496"/>
        <v>0</v>
      </c>
      <c r="SDC1599" s="55">
        <f t="shared" si="496"/>
        <v>0</v>
      </c>
      <c r="SDD1599" s="55">
        <f t="shared" si="496"/>
        <v>0</v>
      </c>
      <c r="SDE1599" s="55">
        <f t="shared" si="496"/>
        <v>0</v>
      </c>
      <c r="SDF1599" s="55">
        <f t="shared" si="496"/>
        <v>0</v>
      </c>
      <c r="SDG1599" s="55">
        <f t="shared" si="496"/>
        <v>0</v>
      </c>
      <c r="SDH1599" s="55">
        <f t="shared" si="496"/>
        <v>0</v>
      </c>
      <c r="SDI1599" s="55">
        <f t="shared" si="496"/>
        <v>0</v>
      </c>
      <c r="SDJ1599" s="55">
        <f t="shared" si="496"/>
        <v>0</v>
      </c>
      <c r="SDK1599" s="55">
        <f t="shared" si="496"/>
        <v>0</v>
      </c>
      <c r="SDL1599" s="55">
        <f t="shared" si="496"/>
        <v>0</v>
      </c>
      <c r="SDM1599" s="55">
        <f t="shared" si="496"/>
        <v>0</v>
      </c>
      <c r="SDN1599" s="55">
        <f t="shared" si="496"/>
        <v>0</v>
      </c>
      <c r="SDO1599" s="55">
        <f t="shared" si="496"/>
        <v>0</v>
      </c>
      <c r="SDP1599" s="55">
        <f t="shared" si="496"/>
        <v>0</v>
      </c>
      <c r="SDQ1599" s="55">
        <f t="shared" si="496"/>
        <v>0</v>
      </c>
      <c r="SDR1599" s="55">
        <f t="shared" si="496"/>
        <v>0</v>
      </c>
      <c r="SDS1599" s="55">
        <f t="shared" si="496"/>
        <v>0</v>
      </c>
      <c r="SDT1599" s="55">
        <f t="shared" si="496"/>
        <v>0</v>
      </c>
      <c r="SDU1599" s="55">
        <f t="shared" si="496"/>
        <v>0</v>
      </c>
      <c r="SDV1599" s="55">
        <f t="shared" si="496"/>
        <v>0</v>
      </c>
      <c r="SDW1599" s="55">
        <f t="shared" si="496"/>
        <v>0</v>
      </c>
      <c r="SDX1599" s="55">
        <f t="shared" si="496"/>
        <v>0</v>
      </c>
      <c r="SDY1599" s="55">
        <f t="shared" si="496"/>
        <v>0</v>
      </c>
      <c r="SDZ1599" s="55">
        <f t="shared" si="496"/>
        <v>0</v>
      </c>
      <c r="SEA1599" s="55">
        <f t="shared" si="496"/>
        <v>0</v>
      </c>
      <c r="SEB1599" s="55">
        <f t="shared" si="496"/>
        <v>0</v>
      </c>
      <c r="SEC1599" s="55">
        <f t="shared" si="496"/>
        <v>0</v>
      </c>
      <c r="SED1599" s="55">
        <f t="shared" si="496"/>
        <v>0</v>
      </c>
      <c r="SEE1599" s="55">
        <f t="shared" si="496"/>
        <v>0</v>
      </c>
      <c r="SEF1599" s="55">
        <f t="shared" si="496"/>
        <v>0</v>
      </c>
      <c r="SEG1599" s="55">
        <f t="shared" si="496"/>
        <v>0</v>
      </c>
      <c r="SEH1599" s="55">
        <f t="shared" si="496"/>
        <v>0</v>
      </c>
      <c r="SEI1599" s="55">
        <f t="shared" si="496"/>
        <v>0</v>
      </c>
      <c r="SEJ1599" s="55">
        <f t="shared" si="496"/>
        <v>0</v>
      </c>
      <c r="SEK1599" s="55">
        <f t="shared" si="496"/>
        <v>0</v>
      </c>
      <c r="SEL1599" s="55">
        <f t="shared" si="496"/>
        <v>0</v>
      </c>
      <c r="SEM1599" s="55">
        <f t="shared" si="496"/>
        <v>0</v>
      </c>
      <c r="SEN1599" s="55">
        <f t="shared" si="496"/>
        <v>0</v>
      </c>
      <c r="SEO1599" s="55">
        <f t="shared" si="496"/>
        <v>0</v>
      </c>
      <c r="SEP1599" s="55">
        <f t="shared" si="496"/>
        <v>0</v>
      </c>
      <c r="SEQ1599" s="55">
        <f t="shared" si="496"/>
        <v>0</v>
      </c>
      <c r="SER1599" s="55">
        <f t="shared" si="496"/>
        <v>0</v>
      </c>
      <c r="SES1599" s="55">
        <f t="shared" si="496"/>
        <v>0</v>
      </c>
      <c r="SET1599" s="55">
        <f t="shared" si="496"/>
        <v>0</v>
      </c>
      <c r="SEU1599" s="55">
        <f t="shared" si="496"/>
        <v>0</v>
      </c>
      <c r="SEV1599" s="55">
        <f t="shared" si="496"/>
        <v>0</v>
      </c>
      <c r="SEW1599" s="55">
        <f t="shared" si="496"/>
        <v>0</v>
      </c>
      <c r="SEX1599" s="55">
        <f t="shared" si="496"/>
        <v>0</v>
      </c>
      <c r="SEY1599" s="55">
        <f t="shared" si="496"/>
        <v>0</v>
      </c>
      <c r="SEZ1599" s="55">
        <f t="shared" si="496"/>
        <v>0</v>
      </c>
      <c r="SFA1599" s="55">
        <f t="shared" si="496"/>
        <v>0</v>
      </c>
      <c r="SFB1599" s="55">
        <f t="shared" si="496"/>
        <v>0</v>
      </c>
      <c r="SFC1599" s="55">
        <f t="shared" si="496"/>
        <v>0</v>
      </c>
      <c r="SFD1599" s="55">
        <f t="shared" ref="SFD1599:SHO1599" si="497">+(SFD1619+SFD1623)*1.18*1.1</f>
        <v>0</v>
      </c>
      <c r="SFE1599" s="55">
        <f t="shared" si="497"/>
        <v>0</v>
      </c>
      <c r="SFF1599" s="55">
        <f t="shared" si="497"/>
        <v>0</v>
      </c>
      <c r="SFG1599" s="55">
        <f t="shared" si="497"/>
        <v>0</v>
      </c>
      <c r="SFH1599" s="55">
        <f t="shared" si="497"/>
        <v>0</v>
      </c>
      <c r="SFI1599" s="55">
        <f t="shared" si="497"/>
        <v>0</v>
      </c>
      <c r="SFJ1599" s="55">
        <f t="shared" si="497"/>
        <v>0</v>
      </c>
      <c r="SFK1599" s="55">
        <f t="shared" si="497"/>
        <v>0</v>
      </c>
      <c r="SFL1599" s="55">
        <f t="shared" si="497"/>
        <v>0</v>
      </c>
      <c r="SFM1599" s="55">
        <f t="shared" si="497"/>
        <v>0</v>
      </c>
      <c r="SFN1599" s="55">
        <f t="shared" si="497"/>
        <v>0</v>
      </c>
      <c r="SFO1599" s="55">
        <f t="shared" si="497"/>
        <v>0</v>
      </c>
      <c r="SFP1599" s="55">
        <f t="shared" si="497"/>
        <v>0</v>
      </c>
      <c r="SFQ1599" s="55">
        <f t="shared" si="497"/>
        <v>0</v>
      </c>
      <c r="SFR1599" s="55">
        <f t="shared" si="497"/>
        <v>0</v>
      </c>
      <c r="SFS1599" s="55">
        <f t="shared" si="497"/>
        <v>0</v>
      </c>
      <c r="SFT1599" s="55">
        <f t="shared" si="497"/>
        <v>0</v>
      </c>
      <c r="SFU1599" s="55">
        <f t="shared" si="497"/>
        <v>0</v>
      </c>
      <c r="SFV1599" s="55">
        <f t="shared" si="497"/>
        <v>0</v>
      </c>
      <c r="SFW1599" s="55">
        <f t="shared" si="497"/>
        <v>0</v>
      </c>
      <c r="SFX1599" s="55">
        <f t="shared" si="497"/>
        <v>0</v>
      </c>
      <c r="SFY1599" s="55">
        <f t="shared" si="497"/>
        <v>0</v>
      </c>
      <c r="SFZ1599" s="55">
        <f t="shared" si="497"/>
        <v>0</v>
      </c>
      <c r="SGA1599" s="55">
        <f t="shared" si="497"/>
        <v>0</v>
      </c>
      <c r="SGB1599" s="55">
        <f t="shared" si="497"/>
        <v>0</v>
      </c>
      <c r="SGC1599" s="55">
        <f t="shared" si="497"/>
        <v>0</v>
      </c>
      <c r="SGD1599" s="55">
        <f t="shared" si="497"/>
        <v>0</v>
      </c>
      <c r="SGE1599" s="55">
        <f t="shared" si="497"/>
        <v>0</v>
      </c>
      <c r="SGF1599" s="55">
        <f t="shared" si="497"/>
        <v>0</v>
      </c>
      <c r="SGG1599" s="55">
        <f t="shared" si="497"/>
        <v>0</v>
      </c>
      <c r="SGH1599" s="55">
        <f t="shared" si="497"/>
        <v>0</v>
      </c>
      <c r="SGI1599" s="55">
        <f t="shared" si="497"/>
        <v>0</v>
      </c>
      <c r="SGJ1599" s="55">
        <f t="shared" si="497"/>
        <v>0</v>
      </c>
      <c r="SGK1599" s="55">
        <f t="shared" si="497"/>
        <v>0</v>
      </c>
      <c r="SGL1599" s="55">
        <f t="shared" si="497"/>
        <v>0</v>
      </c>
      <c r="SGM1599" s="55">
        <f t="shared" si="497"/>
        <v>0</v>
      </c>
      <c r="SGN1599" s="55">
        <f t="shared" si="497"/>
        <v>0</v>
      </c>
      <c r="SGO1599" s="55">
        <f t="shared" si="497"/>
        <v>0</v>
      </c>
      <c r="SGP1599" s="55">
        <f t="shared" si="497"/>
        <v>0</v>
      </c>
      <c r="SGQ1599" s="55">
        <f t="shared" si="497"/>
        <v>0</v>
      </c>
      <c r="SGR1599" s="55">
        <f t="shared" si="497"/>
        <v>0</v>
      </c>
      <c r="SGS1599" s="55">
        <f t="shared" si="497"/>
        <v>0</v>
      </c>
      <c r="SGT1599" s="55">
        <f t="shared" si="497"/>
        <v>0</v>
      </c>
      <c r="SGU1599" s="55">
        <f t="shared" si="497"/>
        <v>0</v>
      </c>
      <c r="SGV1599" s="55">
        <f t="shared" si="497"/>
        <v>0</v>
      </c>
      <c r="SGW1599" s="55">
        <f t="shared" si="497"/>
        <v>0</v>
      </c>
      <c r="SGX1599" s="55">
        <f t="shared" si="497"/>
        <v>0</v>
      </c>
      <c r="SGY1599" s="55">
        <f t="shared" si="497"/>
        <v>0</v>
      </c>
      <c r="SGZ1599" s="55">
        <f t="shared" si="497"/>
        <v>0</v>
      </c>
      <c r="SHA1599" s="55">
        <f t="shared" si="497"/>
        <v>0</v>
      </c>
      <c r="SHB1599" s="55">
        <f t="shared" si="497"/>
        <v>0</v>
      </c>
      <c r="SHC1599" s="55">
        <f t="shared" si="497"/>
        <v>0</v>
      </c>
      <c r="SHD1599" s="55">
        <f t="shared" si="497"/>
        <v>0</v>
      </c>
      <c r="SHE1599" s="55">
        <f t="shared" si="497"/>
        <v>0</v>
      </c>
      <c r="SHF1599" s="55">
        <f t="shared" si="497"/>
        <v>0</v>
      </c>
      <c r="SHG1599" s="55">
        <f t="shared" si="497"/>
        <v>0</v>
      </c>
      <c r="SHH1599" s="55">
        <f t="shared" si="497"/>
        <v>0</v>
      </c>
      <c r="SHI1599" s="55">
        <f t="shared" si="497"/>
        <v>0</v>
      </c>
      <c r="SHJ1599" s="55">
        <f t="shared" si="497"/>
        <v>0</v>
      </c>
      <c r="SHK1599" s="55">
        <f t="shared" si="497"/>
        <v>0</v>
      </c>
      <c r="SHL1599" s="55">
        <f t="shared" si="497"/>
        <v>0</v>
      </c>
      <c r="SHM1599" s="55">
        <f t="shared" si="497"/>
        <v>0</v>
      </c>
      <c r="SHN1599" s="55">
        <f t="shared" si="497"/>
        <v>0</v>
      </c>
      <c r="SHO1599" s="55">
        <f t="shared" si="497"/>
        <v>0</v>
      </c>
      <c r="SHP1599" s="55">
        <f t="shared" ref="SHP1599:SKA1599" si="498">+(SHP1619+SHP1623)*1.18*1.1</f>
        <v>0</v>
      </c>
      <c r="SHQ1599" s="55">
        <f t="shared" si="498"/>
        <v>0</v>
      </c>
      <c r="SHR1599" s="55">
        <f t="shared" si="498"/>
        <v>0</v>
      </c>
      <c r="SHS1599" s="55">
        <f t="shared" si="498"/>
        <v>0</v>
      </c>
      <c r="SHT1599" s="55">
        <f t="shared" si="498"/>
        <v>0</v>
      </c>
      <c r="SHU1599" s="55">
        <f t="shared" si="498"/>
        <v>0</v>
      </c>
      <c r="SHV1599" s="55">
        <f t="shared" si="498"/>
        <v>0</v>
      </c>
      <c r="SHW1599" s="55">
        <f t="shared" si="498"/>
        <v>0</v>
      </c>
      <c r="SHX1599" s="55">
        <f t="shared" si="498"/>
        <v>0</v>
      </c>
      <c r="SHY1599" s="55">
        <f t="shared" si="498"/>
        <v>0</v>
      </c>
      <c r="SHZ1599" s="55">
        <f t="shared" si="498"/>
        <v>0</v>
      </c>
      <c r="SIA1599" s="55">
        <f t="shared" si="498"/>
        <v>0</v>
      </c>
      <c r="SIB1599" s="55">
        <f t="shared" si="498"/>
        <v>0</v>
      </c>
      <c r="SIC1599" s="55">
        <f t="shared" si="498"/>
        <v>0</v>
      </c>
      <c r="SID1599" s="55">
        <f t="shared" si="498"/>
        <v>0</v>
      </c>
      <c r="SIE1599" s="55">
        <f t="shared" si="498"/>
        <v>0</v>
      </c>
      <c r="SIF1599" s="55">
        <f t="shared" si="498"/>
        <v>0</v>
      </c>
      <c r="SIG1599" s="55">
        <f t="shared" si="498"/>
        <v>0</v>
      </c>
      <c r="SIH1599" s="55">
        <f t="shared" si="498"/>
        <v>0</v>
      </c>
      <c r="SII1599" s="55">
        <f t="shared" si="498"/>
        <v>0</v>
      </c>
      <c r="SIJ1599" s="55">
        <f t="shared" si="498"/>
        <v>0</v>
      </c>
      <c r="SIK1599" s="55">
        <f t="shared" si="498"/>
        <v>0</v>
      </c>
      <c r="SIL1599" s="55">
        <f t="shared" si="498"/>
        <v>0</v>
      </c>
      <c r="SIM1599" s="55">
        <f t="shared" si="498"/>
        <v>0</v>
      </c>
      <c r="SIN1599" s="55">
        <f t="shared" si="498"/>
        <v>0</v>
      </c>
      <c r="SIO1599" s="55">
        <f t="shared" si="498"/>
        <v>0</v>
      </c>
      <c r="SIP1599" s="55">
        <f t="shared" si="498"/>
        <v>0</v>
      </c>
      <c r="SIQ1599" s="55">
        <f t="shared" si="498"/>
        <v>0</v>
      </c>
      <c r="SIR1599" s="55">
        <f t="shared" si="498"/>
        <v>0</v>
      </c>
      <c r="SIS1599" s="55">
        <f t="shared" si="498"/>
        <v>0</v>
      </c>
      <c r="SIT1599" s="55">
        <f t="shared" si="498"/>
        <v>0</v>
      </c>
      <c r="SIU1599" s="55">
        <f t="shared" si="498"/>
        <v>0</v>
      </c>
      <c r="SIV1599" s="55">
        <f t="shared" si="498"/>
        <v>0</v>
      </c>
      <c r="SIW1599" s="55">
        <f t="shared" si="498"/>
        <v>0</v>
      </c>
      <c r="SIX1599" s="55">
        <f t="shared" si="498"/>
        <v>0</v>
      </c>
      <c r="SIY1599" s="55">
        <f t="shared" si="498"/>
        <v>0</v>
      </c>
      <c r="SIZ1599" s="55">
        <f t="shared" si="498"/>
        <v>0</v>
      </c>
      <c r="SJA1599" s="55">
        <f t="shared" si="498"/>
        <v>0</v>
      </c>
      <c r="SJB1599" s="55">
        <f t="shared" si="498"/>
        <v>0</v>
      </c>
      <c r="SJC1599" s="55">
        <f t="shared" si="498"/>
        <v>0</v>
      </c>
      <c r="SJD1599" s="55">
        <f t="shared" si="498"/>
        <v>0</v>
      </c>
      <c r="SJE1599" s="55">
        <f t="shared" si="498"/>
        <v>0</v>
      </c>
      <c r="SJF1599" s="55">
        <f t="shared" si="498"/>
        <v>0</v>
      </c>
      <c r="SJG1599" s="55">
        <f t="shared" si="498"/>
        <v>0</v>
      </c>
      <c r="SJH1599" s="55">
        <f t="shared" si="498"/>
        <v>0</v>
      </c>
      <c r="SJI1599" s="55">
        <f t="shared" si="498"/>
        <v>0</v>
      </c>
      <c r="SJJ1599" s="55">
        <f t="shared" si="498"/>
        <v>0</v>
      </c>
      <c r="SJK1599" s="55">
        <f t="shared" si="498"/>
        <v>0</v>
      </c>
      <c r="SJL1599" s="55">
        <f t="shared" si="498"/>
        <v>0</v>
      </c>
      <c r="SJM1599" s="55">
        <f t="shared" si="498"/>
        <v>0</v>
      </c>
      <c r="SJN1599" s="55">
        <f t="shared" si="498"/>
        <v>0</v>
      </c>
      <c r="SJO1599" s="55">
        <f t="shared" si="498"/>
        <v>0</v>
      </c>
      <c r="SJP1599" s="55">
        <f t="shared" si="498"/>
        <v>0</v>
      </c>
      <c r="SJQ1599" s="55">
        <f t="shared" si="498"/>
        <v>0</v>
      </c>
      <c r="SJR1599" s="55">
        <f t="shared" si="498"/>
        <v>0</v>
      </c>
      <c r="SJS1599" s="55">
        <f t="shared" si="498"/>
        <v>0</v>
      </c>
      <c r="SJT1599" s="55">
        <f t="shared" si="498"/>
        <v>0</v>
      </c>
      <c r="SJU1599" s="55">
        <f t="shared" si="498"/>
        <v>0</v>
      </c>
      <c r="SJV1599" s="55">
        <f t="shared" si="498"/>
        <v>0</v>
      </c>
      <c r="SJW1599" s="55">
        <f t="shared" si="498"/>
        <v>0</v>
      </c>
      <c r="SJX1599" s="55">
        <f t="shared" si="498"/>
        <v>0</v>
      </c>
      <c r="SJY1599" s="55">
        <f t="shared" si="498"/>
        <v>0</v>
      </c>
      <c r="SJZ1599" s="55">
        <f t="shared" si="498"/>
        <v>0</v>
      </c>
      <c r="SKA1599" s="55">
        <f t="shared" si="498"/>
        <v>0</v>
      </c>
      <c r="SKB1599" s="55">
        <f t="shared" ref="SKB1599:SMM1599" si="499">+(SKB1619+SKB1623)*1.18*1.1</f>
        <v>0</v>
      </c>
      <c r="SKC1599" s="55">
        <f t="shared" si="499"/>
        <v>0</v>
      </c>
      <c r="SKD1599" s="55">
        <f t="shared" si="499"/>
        <v>0</v>
      </c>
      <c r="SKE1599" s="55">
        <f t="shared" si="499"/>
        <v>0</v>
      </c>
      <c r="SKF1599" s="55">
        <f t="shared" si="499"/>
        <v>0</v>
      </c>
      <c r="SKG1599" s="55">
        <f t="shared" si="499"/>
        <v>0</v>
      </c>
      <c r="SKH1599" s="55">
        <f t="shared" si="499"/>
        <v>0</v>
      </c>
      <c r="SKI1599" s="55">
        <f t="shared" si="499"/>
        <v>0</v>
      </c>
      <c r="SKJ1599" s="55">
        <f t="shared" si="499"/>
        <v>0</v>
      </c>
      <c r="SKK1599" s="55">
        <f t="shared" si="499"/>
        <v>0</v>
      </c>
      <c r="SKL1599" s="55">
        <f t="shared" si="499"/>
        <v>0</v>
      </c>
      <c r="SKM1599" s="55">
        <f t="shared" si="499"/>
        <v>0</v>
      </c>
      <c r="SKN1599" s="55">
        <f t="shared" si="499"/>
        <v>0</v>
      </c>
      <c r="SKO1599" s="55">
        <f t="shared" si="499"/>
        <v>0</v>
      </c>
      <c r="SKP1599" s="55">
        <f t="shared" si="499"/>
        <v>0</v>
      </c>
      <c r="SKQ1599" s="55">
        <f t="shared" si="499"/>
        <v>0</v>
      </c>
      <c r="SKR1599" s="55">
        <f t="shared" si="499"/>
        <v>0</v>
      </c>
      <c r="SKS1599" s="55">
        <f t="shared" si="499"/>
        <v>0</v>
      </c>
      <c r="SKT1599" s="55">
        <f t="shared" si="499"/>
        <v>0</v>
      </c>
      <c r="SKU1599" s="55">
        <f t="shared" si="499"/>
        <v>0</v>
      </c>
      <c r="SKV1599" s="55">
        <f t="shared" si="499"/>
        <v>0</v>
      </c>
      <c r="SKW1599" s="55">
        <f t="shared" si="499"/>
        <v>0</v>
      </c>
      <c r="SKX1599" s="55">
        <f t="shared" si="499"/>
        <v>0</v>
      </c>
      <c r="SKY1599" s="55">
        <f t="shared" si="499"/>
        <v>0</v>
      </c>
      <c r="SKZ1599" s="55">
        <f t="shared" si="499"/>
        <v>0</v>
      </c>
      <c r="SLA1599" s="55">
        <f t="shared" si="499"/>
        <v>0</v>
      </c>
      <c r="SLB1599" s="55">
        <f t="shared" si="499"/>
        <v>0</v>
      </c>
      <c r="SLC1599" s="55">
        <f t="shared" si="499"/>
        <v>0</v>
      </c>
      <c r="SLD1599" s="55">
        <f t="shared" si="499"/>
        <v>0</v>
      </c>
      <c r="SLE1599" s="55">
        <f t="shared" si="499"/>
        <v>0</v>
      </c>
      <c r="SLF1599" s="55">
        <f t="shared" si="499"/>
        <v>0</v>
      </c>
      <c r="SLG1599" s="55">
        <f t="shared" si="499"/>
        <v>0</v>
      </c>
      <c r="SLH1599" s="55">
        <f t="shared" si="499"/>
        <v>0</v>
      </c>
      <c r="SLI1599" s="55">
        <f t="shared" si="499"/>
        <v>0</v>
      </c>
      <c r="SLJ1599" s="55">
        <f t="shared" si="499"/>
        <v>0</v>
      </c>
      <c r="SLK1599" s="55">
        <f t="shared" si="499"/>
        <v>0</v>
      </c>
      <c r="SLL1599" s="55">
        <f t="shared" si="499"/>
        <v>0</v>
      </c>
      <c r="SLM1599" s="55">
        <f t="shared" si="499"/>
        <v>0</v>
      </c>
      <c r="SLN1599" s="55">
        <f t="shared" si="499"/>
        <v>0</v>
      </c>
      <c r="SLO1599" s="55">
        <f t="shared" si="499"/>
        <v>0</v>
      </c>
      <c r="SLP1599" s="55">
        <f t="shared" si="499"/>
        <v>0</v>
      </c>
      <c r="SLQ1599" s="55">
        <f t="shared" si="499"/>
        <v>0</v>
      </c>
      <c r="SLR1599" s="55">
        <f t="shared" si="499"/>
        <v>0</v>
      </c>
      <c r="SLS1599" s="55">
        <f t="shared" si="499"/>
        <v>0</v>
      </c>
      <c r="SLT1599" s="55">
        <f t="shared" si="499"/>
        <v>0</v>
      </c>
      <c r="SLU1599" s="55">
        <f t="shared" si="499"/>
        <v>0</v>
      </c>
      <c r="SLV1599" s="55">
        <f t="shared" si="499"/>
        <v>0</v>
      </c>
      <c r="SLW1599" s="55">
        <f t="shared" si="499"/>
        <v>0</v>
      </c>
      <c r="SLX1599" s="55">
        <f t="shared" si="499"/>
        <v>0</v>
      </c>
      <c r="SLY1599" s="55">
        <f t="shared" si="499"/>
        <v>0</v>
      </c>
      <c r="SLZ1599" s="55">
        <f t="shared" si="499"/>
        <v>0</v>
      </c>
      <c r="SMA1599" s="55">
        <f t="shared" si="499"/>
        <v>0</v>
      </c>
      <c r="SMB1599" s="55">
        <f t="shared" si="499"/>
        <v>0</v>
      </c>
      <c r="SMC1599" s="55">
        <f t="shared" si="499"/>
        <v>0</v>
      </c>
      <c r="SMD1599" s="55">
        <f t="shared" si="499"/>
        <v>0</v>
      </c>
      <c r="SME1599" s="55">
        <f t="shared" si="499"/>
        <v>0</v>
      </c>
      <c r="SMF1599" s="55">
        <f t="shared" si="499"/>
        <v>0</v>
      </c>
      <c r="SMG1599" s="55">
        <f t="shared" si="499"/>
        <v>0</v>
      </c>
      <c r="SMH1599" s="55">
        <f t="shared" si="499"/>
        <v>0</v>
      </c>
      <c r="SMI1599" s="55">
        <f t="shared" si="499"/>
        <v>0</v>
      </c>
      <c r="SMJ1599" s="55">
        <f t="shared" si="499"/>
        <v>0</v>
      </c>
      <c r="SMK1599" s="55">
        <f t="shared" si="499"/>
        <v>0</v>
      </c>
      <c r="SML1599" s="55">
        <f t="shared" si="499"/>
        <v>0</v>
      </c>
      <c r="SMM1599" s="55">
        <f t="shared" si="499"/>
        <v>0</v>
      </c>
      <c r="SMN1599" s="55">
        <f t="shared" ref="SMN1599:SOY1599" si="500">+(SMN1619+SMN1623)*1.18*1.1</f>
        <v>0</v>
      </c>
      <c r="SMO1599" s="55">
        <f t="shared" si="500"/>
        <v>0</v>
      </c>
      <c r="SMP1599" s="55">
        <f t="shared" si="500"/>
        <v>0</v>
      </c>
      <c r="SMQ1599" s="55">
        <f t="shared" si="500"/>
        <v>0</v>
      </c>
      <c r="SMR1599" s="55">
        <f t="shared" si="500"/>
        <v>0</v>
      </c>
      <c r="SMS1599" s="55">
        <f t="shared" si="500"/>
        <v>0</v>
      </c>
      <c r="SMT1599" s="55">
        <f t="shared" si="500"/>
        <v>0</v>
      </c>
      <c r="SMU1599" s="55">
        <f t="shared" si="500"/>
        <v>0</v>
      </c>
      <c r="SMV1599" s="55">
        <f t="shared" si="500"/>
        <v>0</v>
      </c>
      <c r="SMW1599" s="55">
        <f t="shared" si="500"/>
        <v>0</v>
      </c>
      <c r="SMX1599" s="55">
        <f t="shared" si="500"/>
        <v>0</v>
      </c>
      <c r="SMY1599" s="55">
        <f t="shared" si="500"/>
        <v>0</v>
      </c>
      <c r="SMZ1599" s="55">
        <f t="shared" si="500"/>
        <v>0</v>
      </c>
      <c r="SNA1599" s="55">
        <f t="shared" si="500"/>
        <v>0</v>
      </c>
      <c r="SNB1599" s="55">
        <f t="shared" si="500"/>
        <v>0</v>
      </c>
      <c r="SNC1599" s="55">
        <f t="shared" si="500"/>
        <v>0</v>
      </c>
      <c r="SND1599" s="55">
        <f t="shared" si="500"/>
        <v>0</v>
      </c>
      <c r="SNE1599" s="55">
        <f t="shared" si="500"/>
        <v>0</v>
      </c>
      <c r="SNF1599" s="55">
        <f t="shared" si="500"/>
        <v>0</v>
      </c>
      <c r="SNG1599" s="55">
        <f t="shared" si="500"/>
        <v>0</v>
      </c>
      <c r="SNH1599" s="55">
        <f t="shared" si="500"/>
        <v>0</v>
      </c>
      <c r="SNI1599" s="55">
        <f t="shared" si="500"/>
        <v>0</v>
      </c>
      <c r="SNJ1599" s="55">
        <f t="shared" si="500"/>
        <v>0</v>
      </c>
      <c r="SNK1599" s="55">
        <f t="shared" si="500"/>
        <v>0</v>
      </c>
      <c r="SNL1599" s="55">
        <f t="shared" si="500"/>
        <v>0</v>
      </c>
      <c r="SNM1599" s="55">
        <f t="shared" si="500"/>
        <v>0</v>
      </c>
      <c r="SNN1599" s="55">
        <f t="shared" si="500"/>
        <v>0</v>
      </c>
      <c r="SNO1599" s="55">
        <f t="shared" si="500"/>
        <v>0</v>
      </c>
      <c r="SNP1599" s="55">
        <f t="shared" si="500"/>
        <v>0</v>
      </c>
      <c r="SNQ1599" s="55">
        <f t="shared" si="500"/>
        <v>0</v>
      </c>
      <c r="SNR1599" s="55">
        <f t="shared" si="500"/>
        <v>0</v>
      </c>
      <c r="SNS1599" s="55">
        <f t="shared" si="500"/>
        <v>0</v>
      </c>
      <c r="SNT1599" s="55">
        <f t="shared" si="500"/>
        <v>0</v>
      </c>
      <c r="SNU1599" s="55">
        <f t="shared" si="500"/>
        <v>0</v>
      </c>
      <c r="SNV1599" s="55">
        <f t="shared" si="500"/>
        <v>0</v>
      </c>
      <c r="SNW1599" s="55">
        <f t="shared" si="500"/>
        <v>0</v>
      </c>
      <c r="SNX1599" s="55">
        <f t="shared" si="500"/>
        <v>0</v>
      </c>
      <c r="SNY1599" s="55">
        <f t="shared" si="500"/>
        <v>0</v>
      </c>
      <c r="SNZ1599" s="55">
        <f t="shared" si="500"/>
        <v>0</v>
      </c>
      <c r="SOA1599" s="55">
        <f t="shared" si="500"/>
        <v>0</v>
      </c>
      <c r="SOB1599" s="55">
        <f t="shared" si="500"/>
        <v>0</v>
      </c>
      <c r="SOC1599" s="55">
        <f t="shared" si="500"/>
        <v>0</v>
      </c>
      <c r="SOD1599" s="55">
        <f t="shared" si="500"/>
        <v>0</v>
      </c>
      <c r="SOE1599" s="55">
        <f t="shared" si="500"/>
        <v>0</v>
      </c>
      <c r="SOF1599" s="55">
        <f t="shared" si="500"/>
        <v>0</v>
      </c>
      <c r="SOG1599" s="55">
        <f t="shared" si="500"/>
        <v>0</v>
      </c>
      <c r="SOH1599" s="55">
        <f t="shared" si="500"/>
        <v>0</v>
      </c>
      <c r="SOI1599" s="55">
        <f t="shared" si="500"/>
        <v>0</v>
      </c>
      <c r="SOJ1599" s="55">
        <f t="shared" si="500"/>
        <v>0</v>
      </c>
      <c r="SOK1599" s="55">
        <f t="shared" si="500"/>
        <v>0</v>
      </c>
      <c r="SOL1599" s="55">
        <f t="shared" si="500"/>
        <v>0</v>
      </c>
      <c r="SOM1599" s="55">
        <f t="shared" si="500"/>
        <v>0</v>
      </c>
      <c r="SON1599" s="55">
        <f t="shared" si="500"/>
        <v>0</v>
      </c>
      <c r="SOO1599" s="55">
        <f t="shared" si="500"/>
        <v>0</v>
      </c>
      <c r="SOP1599" s="55">
        <f t="shared" si="500"/>
        <v>0</v>
      </c>
      <c r="SOQ1599" s="55">
        <f t="shared" si="500"/>
        <v>0</v>
      </c>
      <c r="SOR1599" s="55">
        <f t="shared" si="500"/>
        <v>0</v>
      </c>
      <c r="SOS1599" s="55">
        <f t="shared" si="500"/>
        <v>0</v>
      </c>
      <c r="SOT1599" s="55">
        <f t="shared" si="500"/>
        <v>0</v>
      </c>
      <c r="SOU1599" s="55">
        <f t="shared" si="500"/>
        <v>0</v>
      </c>
      <c r="SOV1599" s="55">
        <f t="shared" si="500"/>
        <v>0</v>
      </c>
      <c r="SOW1599" s="55">
        <f t="shared" si="500"/>
        <v>0</v>
      </c>
      <c r="SOX1599" s="55">
        <f t="shared" si="500"/>
        <v>0</v>
      </c>
      <c r="SOY1599" s="55">
        <f t="shared" si="500"/>
        <v>0</v>
      </c>
      <c r="SOZ1599" s="55">
        <f t="shared" ref="SOZ1599:SRK1599" si="501">+(SOZ1619+SOZ1623)*1.18*1.1</f>
        <v>0</v>
      </c>
      <c r="SPA1599" s="55">
        <f t="shared" si="501"/>
        <v>0</v>
      </c>
      <c r="SPB1599" s="55">
        <f t="shared" si="501"/>
        <v>0</v>
      </c>
      <c r="SPC1599" s="55">
        <f t="shared" si="501"/>
        <v>0</v>
      </c>
      <c r="SPD1599" s="55">
        <f t="shared" si="501"/>
        <v>0</v>
      </c>
      <c r="SPE1599" s="55">
        <f t="shared" si="501"/>
        <v>0</v>
      </c>
      <c r="SPF1599" s="55">
        <f t="shared" si="501"/>
        <v>0</v>
      </c>
      <c r="SPG1599" s="55">
        <f t="shared" si="501"/>
        <v>0</v>
      </c>
      <c r="SPH1599" s="55">
        <f t="shared" si="501"/>
        <v>0</v>
      </c>
      <c r="SPI1599" s="55">
        <f t="shared" si="501"/>
        <v>0</v>
      </c>
      <c r="SPJ1599" s="55">
        <f t="shared" si="501"/>
        <v>0</v>
      </c>
      <c r="SPK1599" s="55">
        <f t="shared" si="501"/>
        <v>0</v>
      </c>
      <c r="SPL1599" s="55">
        <f t="shared" si="501"/>
        <v>0</v>
      </c>
      <c r="SPM1599" s="55">
        <f t="shared" si="501"/>
        <v>0</v>
      </c>
      <c r="SPN1599" s="55">
        <f t="shared" si="501"/>
        <v>0</v>
      </c>
      <c r="SPO1599" s="55">
        <f t="shared" si="501"/>
        <v>0</v>
      </c>
      <c r="SPP1599" s="55">
        <f t="shared" si="501"/>
        <v>0</v>
      </c>
      <c r="SPQ1599" s="55">
        <f t="shared" si="501"/>
        <v>0</v>
      </c>
      <c r="SPR1599" s="55">
        <f t="shared" si="501"/>
        <v>0</v>
      </c>
      <c r="SPS1599" s="55">
        <f t="shared" si="501"/>
        <v>0</v>
      </c>
      <c r="SPT1599" s="55">
        <f t="shared" si="501"/>
        <v>0</v>
      </c>
      <c r="SPU1599" s="55">
        <f t="shared" si="501"/>
        <v>0</v>
      </c>
      <c r="SPV1599" s="55">
        <f t="shared" si="501"/>
        <v>0</v>
      </c>
      <c r="SPW1599" s="55">
        <f t="shared" si="501"/>
        <v>0</v>
      </c>
      <c r="SPX1599" s="55">
        <f t="shared" si="501"/>
        <v>0</v>
      </c>
      <c r="SPY1599" s="55">
        <f t="shared" si="501"/>
        <v>0</v>
      </c>
      <c r="SPZ1599" s="55">
        <f t="shared" si="501"/>
        <v>0</v>
      </c>
      <c r="SQA1599" s="55">
        <f t="shared" si="501"/>
        <v>0</v>
      </c>
      <c r="SQB1599" s="55">
        <f t="shared" si="501"/>
        <v>0</v>
      </c>
      <c r="SQC1599" s="55">
        <f t="shared" si="501"/>
        <v>0</v>
      </c>
      <c r="SQD1599" s="55">
        <f t="shared" si="501"/>
        <v>0</v>
      </c>
      <c r="SQE1599" s="55">
        <f t="shared" si="501"/>
        <v>0</v>
      </c>
      <c r="SQF1599" s="55">
        <f t="shared" si="501"/>
        <v>0</v>
      </c>
      <c r="SQG1599" s="55">
        <f t="shared" si="501"/>
        <v>0</v>
      </c>
      <c r="SQH1599" s="55">
        <f t="shared" si="501"/>
        <v>0</v>
      </c>
      <c r="SQI1599" s="55">
        <f t="shared" si="501"/>
        <v>0</v>
      </c>
      <c r="SQJ1599" s="55">
        <f t="shared" si="501"/>
        <v>0</v>
      </c>
      <c r="SQK1599" s="55">
        <f t="shared" si="501"/>
        <v>0</v>
      </c>
      <c r="SQL1599" s="55">
        <f t="shared" si="501"/>
        <v>0</v>
      </c>
      <c r="SQM1599" s="55">
        <f t="shared" si="501"/>
        <v>0</v>
      </c>
      <c r="SQN1599" s="55">
        <f t="shared" si="501"/>
        <v>0</v>
      </c>
      <c r="SQO1599" s="55">
        <f t="shared" si="501"/>
        <v>0</v>
      </c>
      <c r="SQP1599" s="55">
        <f t="shared" si="501"/>
        <v>0</v>
      </c>
      <c r="SQQ1599" s="55">
        <f t="shared" si="501"/>
        <v>0</v>
      </c>
      <c r="SQR1599" s="55">
        <f t="shared" si="501"/>
        <v>0</v>
      </c>
      <c r="SQS1599" s="55">
        <f t="shared" si="501"/>
        <v>0</v>
      </c>
      <c r="SQT1599" s="55">
        <f t="shared" si="501"/>
        <v>0</v>
      </c>
      <c r="SQU1599" s="55">
        <f t="shared" si="501"/>
        <v>0</v>
      </c>
      <c r="SQV1599" s="55">
        <f t="shared" si="501"/>
        <v>0</v>
      </c>
      <c r="SQW1599" s="55">
        <f t="shared" si="501"/>
        <v>0</v>
      </c>
      <c r="SQX1599" s="55">
        <f t="shared" si="501"/>
        <v>0</v>
      </c>
      <c r="SQY1599" s="55">
        <f t="shared" si="501"/>
        <v>0</v>
      </c>
      <c r="SQZ1599" s="55">
        <f t="shared" si="501"/>
        <v>0</v>
      </c>
      <c r="SRA1599" s="55">
        <f t="shared" si="501"/>
        <v>0</v>
      </c>
      <c r="SRB1599" s="55">
        <f t="shared" si="501"/>
        <v>0</v>
      </c>
      <c r="SRC1599" s="55">
        <f t="shared" si="501"/>
        <v>0</v>
      </c>
      <c r="SRD1599" s="55">
        <f t="shared" si="501"/>
        <v>0</v>
      </c>
      <c r="SRE1599" s="55">
        <f t="shared" si="501"/>
        <v>0</v>
      </c>
      <c r="SRF1599" s="55">
        <f t="shared" si="501"/>
        <v>0</v>
      </c>
      <c r="SRG1599" s="55">
        <f t="shared" si="501"/>
        <v>0</v>
      </c>
      <c r="SRH1599" s="55">
        <f t="shared" si="501"/>
        <v>0</v>
      </c>
      <c r="SRI1599" s="55">
        <f t="shared" si="501"/>
        <v>0</v>
      </c>
      <c r="SRJ1599" s="55">
        <f t="shared" si="501"/>
        <v>0</v>
      </c>
      <c r="SRK1599" s="55">
        <f t="shared" si="501"/>
        <v>0</v>
      </c>
      <c r="SRL1599" s="55">
        <f t="shared" ref="SRL1599:STW1599" si="502">+(SRL1619+SRL1623)*1.18*1.1</f>
        <v>0</v>
      </c>
      <c r="SRM1599" s="55">
        <f t="shared" si="502"/>
        <v>0</v>
      </c>
      <c r="SRN1599" s="55">
        <f t="shared" si="502"/>
        <v>0</v>
      </c>
      <c r="SRO1599" s="55">
        <f t="shared" si="502"/>
        <v>0</v>
      </c>
      <c r="SRP1599" s="55">
        <f t="shared" si="502"/>
        <v>0</v>
      </c>
      <c r="SRQ1599" s="55">
        <f t="shared" si="502"/>
        <v>0</v>
      </c>
      <c r="SRR1599" s="55">
        <f t="shared" si="502"/>
        <v>0</v>
      </c>
      <c r="SRS1599" s="55">
        <f t="shared" si="502"/>
        <v>0</v>
      </c>
      <c r="SRT1599" s="55">
        <f t="shared" si="502"/>
        <v>0</v>
      </c>
      <c r="SRU1599" s="55">
        <f t="shared" si="502"/>
        <v>0</v>
      </c>
      <c r="SRV1599" s="55">
        <f t="shared" si="502"/>
        <v>0</v>
      </c>
      <c r="SRW1599" s="55">
        <f t="shared" si="502"/>
        <v>0</v>
      </c>
      <c r="SRX1599" s="55">
        <f t="shared" si="502"/>
        <v>0</v>
      </c>
      <c r="SRY1599" s="55">
        <f t="shared" si="502"/>
        <v>0</v>
      </c>
      <c r="SRZ1599" s="55">
        <f t="shared" si="502"/>
        <v>0</v>
      </c>
      <c r="SSA1599" s="55">
        <f t="shared" si="502"/>
        <v>0</v>
      </c>
      <c r="SSB1599" s="55">
        <f t="shared" si="502"/>
        <v>0</v>
      </c>
      <c r="SSC1599" s="55">
        <f t="shared" si="502"/>
        <v>0</v>
      </c>
      <c r="SSD1599" s="55">
        <f t="shared" si="502"/>
        <v>0</v>
      </c>
      <c r="SSE1599" s="55">
        <f t="shared" si="502"/>
        <v>0</v>
      </c>
      <c r="SSF1599" s="55">
        <f t="shared" si="502"/>
        <v>0</v>
      </c>
      <c r="SSG1599" s="55">
        <f t="shared" si="502"/>
        <v>0</v>
      </c>
      <c r="SSH1599" s="55">
        <f t="shared" si="502"/>
        <v>0</v>
      </c>
      <c r="SSI1599" s="55">
        <f t="shared" si="502"/>
        <v>0</v>
      </c>
      <c r="SSJ1599" s="55">
        <f t="shared" si="502"/>
        <v>0</v>
      </c>
      <c r="SSK1599" s="55">
        <f t="shared" si="502"/>
        <v>0</v>
      </c>
      <c r="SSL1599" s="55">
        <f t="shared" si="502"/>
        <v>0</v>
      </c>
      <c r="SSM1599" s="55">
        <f t="shared" si="502"/>
        <v>0</v>
      </c>
      <c r="SSN1599" s="55">
        <f t="shared" si="502"/>
        <v>0</v>
      </c>
      <c r="SSO1599" s="55">
        <f t="shared" si="502"/>
        <v>0</v>
      </c>
      <c r="SSP1599" s="55">
        <f t="shared" si="502"/>
        <v>0</v>
      </c>
      <c r="SSQ1599" s="55">
        <f t="shared" si="502"/>
        <v>0</v>
      </c>
      <c r="SSR1599" s="55">
        <f t="shared" si="502"/>
        <v>0</v>
      </c>
      <c r="SSS1599" s="55">
        <f t="shared" si="502"/>
        <v>0</v>
      </c>
      <c r="SST1599" s="55">
        <f t="shared" si="502"/>
        <v>0</v>
      </c>
      <c r="SSU1599" s="55">
        <f t="shared" si="502"/>
        <v>0</v>
      </c>
      <c r="SSV1599" s="55">
        <f t="shared" si="502"/>
        <v>0</v>
      </c>
      <c r="SSW1599" s="55">
        <f t="shared" si="502"/>
        <v>0</v>
      </c>
      <c r="SSX1599" s="55">
        <f t="shared" si="502"/>
        <v>0</v>
      </c>
      <c r="SSY1599" s="55">
        <f t="shared" si="502"/>
        <v>0</v>
      </c>
      <c r="SSZ1599" s="55">
        <f t="shared" si="502"/>
        <v>0</v>
      </c>
      <c r="STA1599" s="55">
        <f t="shared" si="502"/>
        <v>0</v>
      </c>
      <c r="STB1599" s="55">
        <f t="shared" si="502"/>
        <v>0</v>
      </c>
      <c r="STC1599" s="55">
        <f t="shared" si="502"/>
        <v>0</v>
      </c>
      <c r="STD1599" s="55">
        <f t="shared" si="502"/>
        <v>0</v>
      </c>
      <c r="STE1599" s="55">
        <f t="shared" si="502"/>
        <v>0</v>
      </c>
      <c r="STF1599" s="55">
        <f t="shared" si="502"/>
        <v>0</v>
      </c>
      <c r="STG1599" s="55">
        <f t="shared" si="502"/>
        <v>0</v>
      </c>
      <c r="STH1599" s="55">
        <f t="shared" si="502"/>
        <v>0</v>
      </c>
      <c r="STI1599" s="55">
        <f t="shared" si="502"/>
        <v>0</v>
      </c>
      <c r="STJ1599" s="55">
        <f t="shared" si="502"/>
        <v>0</v>
      </c>
      <c r="STK1599" s="55">
        <f t="shared" si="502"/>
        <v>0</v>
      </c>
      <c r="STL1599" s="55">
        <f t="shared" si="502"/>
        <v>0</v>
      </c>
      <c r="STM1599" s="55">
        <f t="shared" si="502"/>
        <v>0</v>
      </c>
      <c r="STN1599" s="55">
        <f t="shared" si="502"/>
        <v>0</v>
      </c>
      <c r="STO1599" s="55">
        <f t="shared" si="502"/>
        <v>0</v>
      </c>
      <c r="STP1599" s="55">
        <f t="shared" si="502"/>
        <v>0</v>
      </c>
      <c r="STQ1599" s="55">
        <f t="shared" si="502"/>
        <v>0</v>
      </c>
      <c r="STR1599" s="55">
        <f t="shared" si="502"/>
        <v>0</v>
      </c>
      <c r="STS1599" s="55">
        <f t="shared" si="502"/>
        <v>0</v>
      </c>
      <c r="STT1599" s="55">
        <f t="shared" si="502"/>
        <v>0</v>
      </c>
      <c r="STU1599" s="55">
        <f t="shared" si="502"/>
        <v>0</v>
      </c>
      <c r="STV1599" s="55">
        <f t="shared" si="502"/>
        <v>0</v>
      </c>
      <c r="STW1599" s="55">
        <f t="shared" si="502"/>
        <v>0</v>
      </c>
      <c r="STX1599" s="55">
        <f t="shared" ref="STX1599:SWI1599" si="503">+(STX1619+STX1623)*1.18*1.1</f>
        <v>0</v>
      </c>
      <c r="STY1599" s="55">
        <f t="shared" si="503"/>
        <v>0</v>
      </c>
      <c r="STZ1599" s="55">
        <f t="shared" si="503"/>
        <v>0</v>
      </c>
      <c r="SUA1599" s="55">
        <f t="shared" si="503"/>
        <v>0</v>
      </c>
      <c r="SUB1599" s="55">
        <f t="shared" si="503"/>
        <v>0</v>
      </c>
      <c r="SUC1599" s="55">
        <f t="shared" si="503"/>
        <v>0</v>
      </c>
      <c r="SUD1599" s="55">
        <f t="shared" si="503"/>
        <v>0</v>
      </c>
      <c r="SUE1599" s="55">
        <f t="shared" si="503"/>
        <v>0</v>
      </c>
      <c r="SUF1599" s="55">
        <f t="shared" si="503"/>
        <v>0</v>
      </c>
      <c r="SUG1599" s="55">
        <f t="shared" si="503"/>
        <v>0</v>
      </c>
      <c r="SUH1599" s="55">
        <f t="shared" si="503"/>
        <v>0</v>
      </c>
      <c r="SUI1599" s="55">
        <f t="shared" si="503"/>
        <v>0</v>
      </c>
      <c r="SUJ1599" s="55">
        <f t="shared" si="503"/>
        <v>0</v>
      </c>
      <c r="SUK1599" s="55">
        <f t="shared" si="503"/>
        <v>0</v>
      </c>
      <c r="SUL1599" s="55">
        <f t="shared" si="503"/>
        <v>0</v>
      </c>
      <c r="SUM1599" s="55">
        <f t="shared" si="503"/>
        <v>0</v>
      </c>
      <c r="SUN1599" s="55">
        <f t="shared" si="503"/>
        <v>0</v>
      </c>
      <c r="SUO1599" s="55">
        <f t="shared" si="503"/>
        <v>0</v>
      </c>
      <c r="SUP1599" s="55">
        <f t="shared" si="503"/>
        <v>0</v>
      </c>
      <c r="SUQ1599" s="55">
        <f t="shared" si="503"/>
        <v>0</v>
      </c>
      <c r="SUR1599" s="55">
        <f t="shared" si="503"/>
        <v>0</v>
      </c>
      <c r="SUS1599" s="55">
        <f t="shared" si="503"/>
        <v>0</v>
      </c>
      <c r="SUT1599" s="55">
        <f t="shared" si="503"/>
        <v>0</v>
      </c>
      <c r="SUU1599" s="55">
        <f t="shared" si="503"/>
        <v>0</v>
      </c>
      <c r="SUV1599" s="55">
        <f t="shared" si="503"/>
        <v>0</v>
      </c>
      <c r="SUW1599" s="55">
        <f t="shared" si="503"/>
        <v>0</v>
      </c>
      <c r="SUX1599" s="55">
        <f t="shared" si="503"/>
        <v>0</v>
      </c>
      <c r="SUY1599" s="55">
        <f t="shared" si="503"/>
        <v>0</v>
      </c>
      <c r="SUZ1599" s="55">
        <f t="shared" si="503"/>
        <v>0</v>
      </c>
      <c r="SVA1599" s="55">
        <f t="shared" si="503"/>
        <v>0</v>
      </c>
      <c r="SVB1599" s="55">
        <f t="shared" si="503"/>
        <v>0</v>
      </c>
      <c r="SVC1599" s="55">
        <f t="shared" si="503"/>
        <v>0</v>
      </c>
      <c r="SVD1599" s="55">
        <f t="shared" si="503"/>
        <v>0</v>
      </c>
      <c r="SVE1599" s="55">
        <f t="shared" si="503"/>
        <v>0</v>
      </c>
      <c r="SVF1599" s="55">
        <f t="shared" si="503"/>
        <v>0</v>
      </c>
      <c r="SVG1599" s="55">
        <f t="shared" si="503"/>
        <v>0</v>
      </c>
      <c r="SVH1599" s="55">
        <f t="shared" si="503"/>
        <v>0</v>
      </c>
      <c r="SVI1599" s="55">
        <f t="shared" si="503"/>
        <v>0</v>
      </c>
      <c r="SVJ1599" s="55">
        <f t="shared" si="503"/>
        <v>0</v>
      </c>
      <c r="SVK1599" s="55">
        <f t="shared" si="503"/>
        <v>0</v>
      </c>
      <c r="SVL1599" s="55">
        <f t="shared" si="503"/>
        <v>0</v>
      </c>
      <c r="SVM1599" s="55">
        <f t="shared" si="503"/>
        <v>0</v>
      </c>
      <c r="SVN1599" s="55">
        <f t="shared" si="503"/>
        <v>0</v>
      </c>
      <c r="SVO1599" s="55">
        <f t="shared" si="503"/>
        <v>0</v>
      </c>
      <c r="SVP1599" s="55">
        <f t="shared" si="503"/>
        <v>0</v>
      </c>
      <c r="SVQ1599" s="55">
        <f t="shared" si="503"/>
        <v>0</v>
      </c>
      <c r="SVR1599" s="55">
        <f t="shared" si="503"/>
        <v>0</v>
      </c>
      <c r="SVS1599" s="55">
        <f t="shared" si="503"/>
        <v>0</v>
      </c>
      <c r="SVT1599" s="55">
        <f t="shared" si="503"/>
        <v>0</v>
      </c>
      <c r="SVU1599" s="55">
        <f t="shared" si="503"/>
        <v>0</v>
      </c>
      <c r="SVV1599" s="55">
        <f t="shared" si="503"/>
        <v>0</v>
      </c>
      <c r="SVW1599" s="55">
        <f t="shared" si="503"/>
        <v>0</v>
      </c>
      <c r="SVX1599" s="55">
        <f t="shared" si="503"/>
        <v>0</v>
      </c>
      <c r="SVY1599" s="55">
        <f t="shared" si="503"/>
        <v>0</v>
      </c>
      <c r="SVZ1599" s="55">
        <f t="shared" si="503"/>
        <v>0</v>
      </c>
      <c r="SWA1599" s="55">
        <f t="shared" si="503"/>
        <v>0</v>
      </c>
      <c r="SWB1599" s="55">
        <f t="shared" si="503"/>
        <v>0</v>
      </c>
      <c r="SWC1599" s="55">
        <f t="shared" si="503"/>
        <v>0</v>
      </c>
      <c r="SWD1599" s="55">
        <f t="shared" si="503"/>
        <v>0</v>
      </c>
      <c r="SWE1599" s="55">
        <f t="shared" si="503"/>
        <v>0</v>
      </c>
      <c r="SWF1599" s="55">
        <f t="shared" si="503"/>
        <v>0</v>
      </c>
      <c r="SWG1599" s="55">
        <f t="shared" si="503"/>
        <v>0</v>
      </c>
      <c r="SWH1599" s="55">
        <f t="shared" si="503"/>
        <v>0</v>
      </c>
      <c r="SWI1599" s="55">
        <f t="shared" si="503"/>
        <v>0</v>
      </c>
      <c r="SWJ1599" s="55">
        <f t="shared" ref="SWJ1599:SYU1599" si="504">+(SWJ1619+SWJ1623)*1.18*1.1</f>
        <v>0</v>
      </c>
      <c r="SWK1599" s="55">
        <f t="shared" si="504"/>
        <v>0</v>
      </c>
      <c r="SWL1599" s="55">
        <f t="shared" si="504"/>
        <v>0</v>
      </c>
      <c r="SWM1599" s="55">
        <f t="shared" si="504"/>
        <v>0</v>
      </c>
      <c r="SWN1599" s="55">
        <f t="shared" si="504"/>
        <v>0</v>
      </c>
      <c r="SWO1599" s="55">
        <f t="shared" si="504"/>
        <v>0</v>
      </c>
      <c r="SWP1599" s="55">
        <f t="shared" si="504"/>
        <v>0</v>
      </c>
      <c r="SWQ1599" s="55">
        <f t="shared" si="504"/>
        <v>0</v>
      </c>
      <c r="SWR1599" s="55">
        <f t="shared" si="504"/>
        <v>0</v>
      </c>
      <c r="SWS1599" s="55">
        <f t="shared" si="504"/>
        <v>0</v>
      </c>
      <c r="SWT1599" s="55">
        <f t="shared" si="504"/>
        <v>0</v>
      </c>
      <c r="SWU1599" s="55">
        <f t="shared" si="504"/>
        <v>0</v>
      </c>
      <c r="SWV1599" s="55">
        <f t="shared" si="504"/>
        <v>0</v>
      </c>
      <c r="SWW1599" s="55">
        <f t="shared" si="504"/>
        <v>0</v>
      </c>
      <c r="SWX1599" s="55">
        <f t="shared" si="504"/>
        <v>0</v>
      </c>
      <c r="SWY1599" s="55">
        <f t="shared" si="504"/>
        <v>0</v>
      </c>
      <c r="SWZ1599" s="55">
        <f t="shared" si="504"/>
        <v>0</v>
      </c>
      <c r="SXA1599" s="55">
        <f t="shared" si="504"/>
        <v>0</v>
      </c>
      <c r="SXB1599" s="55">
        <f t="shared" si="504"/>
        <v>0</v>
      </c>
      <c r="SXC1599" s="55">
        <f t="shared" si="504"/>
        <v>0</v>
      </c>
      <c r="SXD1599" s="55">
        <f t="shared" si="504"/>
        <v>0</v>
      </c>
      <c r="SXE1599" s="55">
        <f t="shared" si="504"/>
        <v>0</v>
      </c>
      <c r="SXF1599" s="55">
        <f t="shared" si="504"/>
        <v>0</v>
      </c>
      <c r="SXG1599" s="55">
        <f t="shared" si="504"/>
        <v>0</v>
      </c>
      <c r="SXH1599" s="55">
        <f t="shared" si="504"/>
        <v>0</v>
      </c>
      <c r="SXI1599" s="55">
        <f t="shared" si="504"/>
        <v>0</v>
      </c>
      <c r="SXJ1599" s="55">
        <f t="shared" si="504"/>
        <v>0</v>
      </c>
      <c r="SXK1599" s="55">
        <f t="shared" si="504"/>
        <v>0</v>
      </c>
      <c r="SXL1599" s="55">
        <f t="shared" si="504"/>
        <v>0</v>
      </c>
      <c r="SXM1599" s="55">
        <f t="shared" si="504"/>
        <v>0</v>
      </c>
      <c r="SXN1599" s="55">
        <f t="shared" si="504"/>
        <v>0</v>
      </c>
      <c r="SXO1599" s="55">
        <f t="shared" si="504"/>
        <v>0</v>
      </c>
      <c r="SXP1599" s="55">
        <f t="shared" si="504"/>
        <v>0</v>
      </c>
      <c r="SXQ1599" s="55">
        <f t="shared" si="504"/>
        <v>0</v>
      </c>
      <c r="SXR1599" s="55">
        <f t="shared" si="504"/>
        <v>0</v>
      </c>
      <c r="SXS1599" s="55">
        <f t="shared" si="504"/>
        <v>0</v>
      </c>
      <c r="SXT1599" s="55">
        <f t="shared" si="504"/>
        <v>0</v>
      </c>
      <c r="SXU1599" s="55">
        <f t="shared" si="504"/>
        <v>0</v>
      </c>
      <c r="SXV1599" s="55">
        <f t="shared" si="504"/>
        <v>0</v>
      </c>
      <c r="SXW1599" s="55">
        <f t="shared" si="504"/>
        <v>0</v>
      </c>
      <c r="SXX1599" s="55">
        <f t="shared" si="504"/>
        <v>0</v>
      </c>
      <c r="SXY1599" s="55">
        <f t="shared" si="504"/>
        <v>0</v>
      </c>
      <c r="SXZ1599" s="55">
        <f t="shared" si="504"/>
        <v>0</v>
      </c>
      <c r="SYA1599" s="55">
        <f t="shared" si="504"/>
        <v>0</v>
      </c>
      <c r="SYB1599" s="55">
        <f t="shared" si="504"/>
        <v>0</v>
      </c>
      <c r="SYC1599" s="55">
        <f t="shared" si="504"/>
        <v>0</v>
      </c>
      <c r="SYD1599" s="55">
        <f t="shared" si="504"/>
        <v>0</v>
      </c>
      <c r="SYE1599" s="55">
        <f t="shared" si="504"/>
        <v>0</v>
      </c>
      <c r="SYF1599" s="55">
        <f t="shared" si="504"/>
        <v>0</v>
      </c>
      <c r="SYG1599" s="55">
        <f t="shared" si="504"/>
        <v>0</v>
      </c>
      <c r="SYH1599" s="55">
        <f t="shared" si="504"/>
        <v>0</v>
      </c>
      <c r="SYI1599" s="55">
        <f t="shared" si="504"/>
        <v>0</v>
      </c>
      <c r="SYJ1599" s="55">
        <f t="shared" si="504"/>
        <v>0</v>
      </c>
      <c r="SYK1599" s="55">
        <f t="shared" si="504"/>
        <v>0</v>
      </c>
      <c r="SYL1599" s="55">
        <f t="shared" si="504"/>
        <v>0</v>
      </c>
      <c r="SYM1599" s="55">
        <f t="shared" si="504"/>
        <v>0</v>
      </c>
      <c r="SYN1599" s="55">
        <f t="shared" si="504"/>
        <v>0</v>
      </c>
      <c r="SYO1599" s="55">
        <f t="shared" si="504"/>
        <v>0</v>
      </c>
      <c r="SYP1599" s="55">
        <f t="shared" si="504"/>
        <v>0</v>
      </c>
      <c r="SYQ1599" s="55">
        <f t="shared" si="504"/>
        <v>0</v>
      </c>
      <c r="SYR1599" s="55">
        <f t="shared" si="504"/>
        <v>0</v>
      </c>
      <c r="SYS1599" s="55">
        <f t="shared" si="504"/>
        <v>0</v>
      </c>
      <c r="SYT1599" s="55">
        <f t="shared" si="504"/>
        <v>0</v>
      </c>
      <c r="SYU1599" s="55">
        <f t="shared" si="504"/>
        <v>0</v>
      </c>
      <c r="SYV1599" s="55">
        <f t="shared" ref="SYV1599:TBG1599" si="505">+(SYV1619+SYV1623)*1.18*1.1</f>
        <v>0</v>
      </c>
      <c r="SYW1599" s="55">
        <f t="shared" si="505"/>
        <v>0</v>
      </c>
      <c r="SYX1599" s="55">
        <f t="shared" si="505"/>
        <v>0</v>
      </c>
      <c r="SYY1599" s="55">
        <f t="shared" si="505"/>
        <v>0</v>
      </c>
      <c r="SYZ1599" s="55">
        <f t="shared" si="505"/>
        <v>0</v>
      </c>
      <c r="SZA1599" s="55">
        <f t="shared" si="505"/>
        <v>0</v>
      </c>
      <c r="SZB1599" s="55">
        <f t="shared" si="505"/>
        <v>0</v>
      </c>
      <c r="SZC1599" s="55">
        <f t="shared" si="505"/>
        <v>0</v>
      </c>
      <c r="SZD1599" s="55">
        <f t="shared" si="505"/>
        <v>0</v>
      </c>
      <c r="SZE1599" s="55">
        <f t="shared" si="505"/>
        <v>0</v>
      </c>
      <c r="SZF1599" s="55">
        <f t="shared" si="505"/>
        <v>0</v>
      </c>
      <c r="SZG1599" s="55">
        <f t="shared" si="505"/>
        <v>0</v>
      </c>
      <c r="SZH1599" s="55">
        <f t="shared" si="505"/>
        <v>0</v>
      </c>
      <c r="SZI1599" s="55">
        <f t="shared" si="505"/>
        <v>0</v>
      </c>
      <c r="SZJ1599" s="55">
        <f t="shared" si="505"/>
        <v>0</v>
      </c>
      <c r="SZK1599" s="55">
        <f t="shared" si="505"/>
        <v>0</v>
      </c>
      <c r="SZL1599" s="55">
        <f t="shared" si="505"/>
        <v>0</v>
      </c>
      <c r="SZM1599" s="55">
        <f t="shared" si="505"/>
        <v>0</v>
      </c>
      <c r="SZN1599" s="55">
        <f t="shared" si="505"/>
        <v>0</v>
      </c>
      <c r="SZO1599" s="55">
        <f t="shared" si="505"/>
        <v>0</v>
      </c>
      <c r="SZP1599" s="55">
        <f t="shared" si="505"/>
        <v>0</v>
      </c>
      <c r="SZQ1599" s="55">
        <f t="shared" si="505"/>
        <v>0</v>
      </c>
      <c r="SZR1599" s="55">
        <f t="shared" si="505"/>
        <v>0</v>
      </c>
      <c r="SZS1599" s="55">
        <f t="shared" si="505"/>
        <v>0</v>
      </c>
      <c r="SZT1599" s="55">
        <f t="shared" si="505"/>
        <v>0</v>
      </c>
      <c r="SZU1599" s="55">
        <f t="shared" si="505"/>
        <v>0</v>
      </c>
      <c r="SZV1599" s="55">
        <f t="shared" si="505"/>
        <v>0</v>
      </c>
      <c r="SZW1599" s="55">
        <f t="shared" si="505"/>
        <v>0</v>
      </c>
      <c r="SZX1599" s="55">
        <f t="shared" si="505"/>
        <v>0</v>
      </c>
      <c r="SZY1599" s="55">
        <f t="shared" si="505"/>
        <v>0</v>
      </c>
      <c r="SZZ1599" s="55">
        <f t="shared" si="505"/>
        <v>0</v>
      </c>
      <c r="TAA1599" s="55">
        <f t="shared" si="505"/>
        <v>0</v>
      </c>
      <c r="TAB1599" s="55">
        <f t="shared" si="505"/>
        <v>0</v>
      </c>
      <c r="TAC1599" s="55">
        <f t="shared" si="505"/>
        <v>0</v>
      </c>
      <c r="TAD1599" s="55">
        <f t="shared" si="505"/>
        <v>0</v>
      </c>
      <c r="TAE1599" s="55">
        <f t="shared" si="505"/>
        <v>0</v>
      </c>
      <c r="TAF1599" s="55">
        <f t="shared" si="505"/>
        <v>0</v>
      </c>
      <c r="TAG1599" s="55">
        <f t="shared" si="505"/>
        <v>0</v>
      </c>
      <c r="TAH1599" s="55">
        <f t="shared" si="505"/>
        <v>0</v>
      </c>
      <c r="TAI1599" s="55">
        <f t="shared" si="505"/>
        <v>0</v>
      </c>
      <c r="TAJ1599" s="55">
        <f t="shared" si="505"/>
        <v>0</v>
      </c>
      <c r="TAK1599" s="55">
        <f t="shared" si="505"/>
        <v>0</v>
      </c>
      <c r="TAL1599" s="55">
        <f t="shared" si="505"/>
        <v>0</v>
      </c>
      <c r="TAM1599" s="55">
        <f t="shared" si="505"/>
        <v>0</v>
      </c>
      <c r="TAN1599" s="55">
        <f t="shared" si="505"/>
        <v>0</v>
      </c>
      <c r="TAO1599" s="55">
        <f t="shared" si="505"/>
        <v>0</v>
      </c>
      <c r="TAP1599" s="55">
        <f t="shared" si="505"/>
        <v>0</v>
      </c>
      <c r="TAQ1599" s="55">
        <f t="shared" si="505"/>
        <v>0</v>
      </c>
      <c r="TAR1599" s="55">
        <f t="shared" si="505"/>
        <v>0</v>
      </c>
      <c r="TAS1599" s="55">
        <f t="shared" si="505"/>
        <v>0</v>
      </c>
      <c r="TAT1599" s="55">
        <f t="shared" si="505"/>
        <v>0</v>
      </c>
      <c r="TAU1599" s="55">
        <f t="shared" si="505"/>
        <v>0</v>
      </c>
      <c r="TAV1599" s="55">
        <f t="shared" si="505"/>
        <v>0</v>
      </c>
      <c r="TAW1599" s="55">
        <f t="shared" si="505"/>
        <v>0</v>
      </c>
      <c r="TAX1599" s="55">
        <f t="shared" si="505"/>
        <v>0</v>
      </c>
      <c r="TAY1599" s="55">
        <f t="shared" si="505"/>
        <v>0</v>
      </c>
      <c r="TAZ1599" s="55">
        <f t="shared" si="505"/>
        <v>0</v>
      </c>
      <c r="TBA1599" s="55">
        <f t="shared" si="505"/>
        <v>0</v>
      </c>
      <c r="TBB1599" s="55">
        <f t="shared" si="505"/>
        <v>0</v>
      </c>
      <c r="TBC1599" s="55">
        <f t="shared" si="505"/>
        <v>0</v>
      </c>
      <c r="TBD1599" s="55">
        <f t="shared" si="505"/>
        <v>0</v>
      </c>
      <c r="TBE1599" s="55">
        <f t="shared" si="505"/>
        <v>0</v>
      </c>
      <c r="TBF1599" s="55">
        <f t="shared" si="505"/>
        <v>0</v>
      </c>
      <c r="TBG1599" s="55">
        <f t="shared" si="505"/>
        <v>0</v>
      </c>
      <c r="TBH1599" s="55">
        <f t="shared" ref="TBH1599:TDS1599" si="506">+(TBH1619+TBH1623)*1.18*1.1</f>
        <v>0</v>
      </c>
      <c r="TBI1599" s="55">
        <f t="shared" si="506"/>
        <v>0</v>
      </c>
      <c r="TBJ1599" s="55">
        <f t="shared" si="506"/>
        <v>0</v>
      </c>
      <c r="TBK1599" s="55">
        <f t="shared" si="506"/>
        <v>0</v>
      </c>
      <c r="TBL1599" s="55">
        <f t="shared" si="506"/>
        <v>0</v>
      </c>
      <c r="TBM1599" s="55">
        <f t="shared" si="506"/>
        <v>0</v>
      </c>
      <c r="TBN1599" s="55">
        <f t="shared" si="506"/>
        <v>0</v>
      </c>
      <c r="TBO1599" s="55">
        <f t="shared" si="506"/>
        <v>0</v>
      </c>
      <c r="TBP1599" s="55">
        <f t="shared" si="506"/>
        <v>0</v>
      </c>
      <c r="TBQ1599" s="55">
        <f t="shared" si="506"/>
        <v>0</v>
      </c>
      <c r="TBR1599" s="55">
        <f t="shared" si="506"/>
        <v>0</v>
      </c>
      <c r="TBS1599" s="55">
        <f t="shared" si="506"/>
        <v>0</v>
      </c>
      <c r="TBT1599" s="55">
        <f t="shared" si="506"/>
        <v>0</v>
      </c>
      <c r="TBU1599" s="55">
        <f t="shared" si="506"/>
        <v>0</v>
      </c>
      <c r="TBV1599" s="55">
        <f t="shared" si="506"/>
        <v>0</v>
      </c>
      <c r="TBW1599" s="55">
        <f t="shared" si="506"/>
        <v>0</v>
      </c>
      <c r="TBX1599" s="55">
        <f t="shared" si="506"/>
        <v>0</v>
      </c>
      <c r="TBY1599" s="55">
        <f t="shared" si="506"/>
        <v>0</v>
      </c>
      <c r="TBZ1599" s="55">
        <f t="shared" si="506"/>
        <v>0</v>
      </c>
      <c r="TCA1599" s="55">
        <f t="shared" si="506"/>
        <v>0</v>
      </c>
      <c r="TCB1599" s="55">
        <f t="shared" si="506"/>
        <v>0</v>
      </c>
      <c r="TCC1599" s="55">
        <f t="shared" si="506"/>
        <v>0</v>
      </c>
      <c r="TCD1599" s="55">
        <f t="shared" si="506"/>
        <v>0</v>
      </c>
      <c r="TCE1599" s="55">
        <f t="shared" si="506"/>
        <v>0</v>
      </c>
      <c r="TCF1599" s="55">
        <f t="shared" si="506"/>
        <v>0</v>
      </c>
      <c r="TCG1599" s="55">
        <f t="shared" si="506"/>
        <v>0</v>
      </c>
      <c r="TCH1599" s="55">
        <f t="shared" si="506"/>
        <v>0</v>
      </c>
      <c r="TCI1599" s="55">
        <f t="shared" si="506"/>
        <v>0</v>
      </c>
      <c r="TCJ1599" s="55">
        <f t="shared" si="506"/>
        <v>0</v>
      </c>
      <c r="TCK1599" s="55">
        <f t="shared" si="506"/>
        <v>0</v>
      </c>
      <c r="TCL1599" s="55">
        <f t="shared" si="506"/>
        <v>0</v>
      </c>
      <c r="TCM1599" s="55">
        <f t="shared" si="506"/>
        <v>0</v>
      </c>
      <c r="TCN1599" s="55">
        <f t="shared" si="506"/>
        <v>0</v>
      </c>
      <c r="TCO1599" s="55">
        <f t="shared" si="506"/>
        <v>0</v>
      </c>
      <c r="TCP1599" s="55">
        <f t="shared" si="506"/>
        <v>0</v>
      </c>
      <c r="TCQ1599" s="55">
        <f t="shared" si="506"/>
        <v>0</v>
      </c>
      <c r="TCR1599" s="55">
        <f t="shared" si="506"/>
        <v>0</v>
      </c>
      <c r="TCS1599" s="55">
        <f t="shared" si="506"/>
        <v>0</v>
      </c>
      <c r="TCT1599" s="55">
        <f t="shared" si="506"/>
        <v>0</v>
      </c>
      <c r="TCU1599" s="55">
        <f t="shared" si="506"/>
        <v>0</v>
      </c>
      <c r="TCV1599" s="55">
        <f t="shared" si="506"/>
        <v>0</v>
      </c>
      <c r="TCW1599" s="55">
        <f t="shared" si="506"/>
        <v>0</v>
      </c>
      <c r="TCX1599" s="55">
        <f t="shared" si="506"/>
        <v>0</v>
      </c>
      <c r="TCY1599" s="55">
        <f t="shared" si="506"/>
        <v>0</v>
      </c>
      <c r="TCZ1599" s="55">
        <f t="shared" si="506"/>
        <v>0</v>
      </c>
      <c r="TDA1599" s="55">
        <f t="shared" si="506"/>
        <v>0</v>
      </c>
      <c r="TDB1599" s="55">
        <f t="shared" si="506"/>
        <v>0</v>
      </c>
      <c r="TDC1599" s="55">
        <f t="shared" si="506"/>
        <v>0</v>
      </c>
      <c r="TDD1599" s="55">
        <f t="shared" si="506"/>
        <v>0</v>
      </c>
      <c r="TDE1599" s="55">
        <f t="shared" si="506"/>
        <v>0</v>
      </c>
      <c r="TDF1599" s="55">
        <f t="shared" si="506"/>
        <v>0</v>
      </c>
      <c r="TDG1599" s="55">
        <f t="shared" si="506"/>
        <v>0</v>
      </c>
      <c r="TDH1599" s="55">
        <f t="shared" si="506"/>
        <v>0</v>
      </c>
      <c r="TDI1599" s="55">
        <f t="shared" si="506"/>
        <v>0</v>
      </c>
      <c r="TDJ1599" s="55">
        <f t="shared" si="506"/>
        <v>0</v>
      </c>
      <c r="TDK1599" s="55">
        <f t="shared" si="506"/>
        <v>0</v>
      </c>
      <c r="TDL1599" s="55">
        <f t="shared" si="506"/>
        <v>0</v>
      </c>
      <c r="TDM1599" s="55">
        <f t="shared" si="506"/>
        <v>0</v>
      </c>
      <c r="TDN1599" s="55">
        <f t="shared" si="506"/>
        <v>0</v>
      </c>
      <c r="TDO1599" s="55">
        <f t="shared" si="506"/>
        <v>0</v>
      </c>
      <c r="TDP1599" s="55">
        <f t="shared" si="506"/>
        <v>0</v>
      </c>
      <c r="TDQ1599" s="55">
        <f t="shared" si="506"/>
        <v>0</v>
      </c>
      <c r="TDR1599" s="55">
        <f t="shared" si="506"/>
        <v>0</v>
      </c>
      <c r="TDS1599" s="55">
        <f t="shared" si="506"/>
        <v>0</v>
      </c>
      <c r="TDT1599" s="55">
        <f t="shared" ref="TDT1599:TGE1599" si="507">+(TDT1619+TDT1623)*1.18*1.1</f>
        <v>0</v>
      </c>
      <c r="TDU1599" s="55">
        <f t="shared" si="507"/>
        <v>0</v>
      </c>
      <c r="TDV1599" s="55">
        <f t="shared" si="507"/>
        <v>0</v>
      </c>
      <c r="TDW1599" s="55">
        <f t="shared" si="507"/>
        <v>0</v>
      </c>
      <c r="TDX1599" s="55">
        <f t="shared" si="507"/>
        <v>0</v>
      </c>
      <c r="TDY1599" s="55">
        <f t="shared" si="507"/>
        <v>0</v>
      </c>
      <c r="TDZ1599" s="55">
        <f t="shared" si="507"/>
        <v>0</v>
      </c>
      <c r="TEA1599" s="55">
        <f t="shared" si="507"/>
        <v>0</v>
      </c>
      <c r="TEB1599" s="55">
        <f t="shared" si="507"/>
        <v>0</v>
      </c>
      <c r="TEC1599" s="55">
        <f t="shared" si="507"/>
        <v>0</v>
      </c>
      <c r="TED1599" s="55">
        <f t="shared" si="507"/>
        <v>0</v>
      </c>
      <c r="TEE1599" s="55">
        <f t="shared" si="507"/>
        <v>0</v>
      </c>
      <c r="TEF1599" s="55">
        <f t="shared" si="507"/>
        <v>0</v>
      </c>
      <c r="TEG1599" s="55">
        <f t="shared" si="507"/>
        <v>0</v>
      </c>
      <c r="TEH1599" s="55">
        <f t="shared" si="507"/>
        <v>0</v>
      </c>
      <c r="TEI1599" s="55">
        <f t="shared" si="507"/>
        <v>0</v>
      </c>
      <c r="TEJ1599" s="55">
        <f t="shared" si="507"/>
        <v>0</v>
      </c>
      <c r="TEK1599" s="55">
        <f t="shared" si="507"/>
        <v>0</v>
      </c>
      <c r="TEL1599" s="55">
        <f t="shared" si="507"/>
        <v>0</v>
      </c>
      <c r="TEM1599" s="55">
        <f t="shared" si="507"/>
        <v>0</v>
      </c>
      <c r="TEN1599" s="55">
        <f t="shared" si="507"/>
        <v>0</v>
      </c>
      <c r="TEO1599" s="55">
        <f t="shared" si="507"/>
        <v>0</v>
      </c>
      <c r="TEP1599" s="55">
        <f t="shared" si="507"/>
        <v>0</v>
      </c>
      <c r="TEQ1599" s="55">
        <f t="shared" si="507"/>
        <v>0</v>
      </c>
      <c r="TER1599" s="55">
        <f t="shared" si="507"/>
        <v>0</v>
      </c>
      <c r="TES1599" s="55">
        <f t="shared" si="507"/>
        <v>0</v>
      </c>
      <c r="TET1599" s="55">
        <f t="shared" si="507"/>
        <v>0</v>
      </c>
      <c r="TEU1599" s="55">
        <f t="shared" si="507"/>
        <v>0</v>
      </c>
      <c r="TEV1599" s="55">
        <f t="shared" si="507"/>
        <v>0</v>
      </c>
      <c r="TEW1599" s="55">
        <f t="shared" si="507"/>
        <v>0</v>
      </c>
      <c r="TEX1599" s="55">
        <f t="shared" si="507"/>
        <v>0</v>
      </c>
      <c r="TEY1599" s="55">
        <f t="shared" si="507"/>
        <v>0</v>
      </c>
      <c r="TEZ1599" s="55">
        <f t="shared" si="507"/>
        <v>0</v>
      </c>
      <c r="TFA1599" s="55">
        <f t="shared" si="507"/>
        <v>0</v>
      </c>
      <c r="TFB1599" s="55">
        <f t="shared" si="507"/>
        <v>0</v>
      </c>
      <c r="TFC1599" s="55">
        <f t="shared" si="507"/>
        <v>0</v>
      </c>
      <c r="TFD1599" s="55">
        <f t="shared" si="507"/>
        <v>0</v>
      </c>
      <c r="TFE1599" s="55">
        <f t="shared" si="507"/>
        <v>0</v>
      </c>
      <c r="TFF1599" s="55">
        <f t="shared" si="507"/>
        <v>0</v>
      </c>
      <c r="TFG1599" s="55">
        <f t="shared" si="507"/>
        <v>0</v>
      </c>
      <c r="TFH1599" s="55">
        <f t="shared" si="507"/>
        <v>0</v>
      </c>
      <c r="TFI1599" s="55">
        <f t="shared" si="507"/>
        <v>0</v>
      </c>
      <c r="TFJ1599" s="55">
        <f t="shared" si="507"/>
        <v>0</v>
      </c>
      <c r="TFK1599" s="55">
        <f t="shared" si="507"/>
        <v>0</v>
      </c>
      <c r="TFL1599" s="55">
        <f t="shared" si="507"/>
        <v>0</v>
      </c>
      <c r="TFM1599" s="55">
        <f t="shared" si="507"/>
        <v>0</v>
      </c>
      <c r="TFN1599" s="55">
        <f t="shared" si="507"/>
        <v>0</v>
      </c>
      <c r="TFO1599" s="55">
        <f t="shared" si="507"/>
        <v>0</v>
      </c>
      <c r="TFP1599" s="55">
        <f t="shared" si="507"/>
        <v>0</v>
      </c>
      <c r="TFQ1599" s="55">
        <f t="shared" si="507"/>
        <v>0</v>
      </c>
      <c r="TFR1599" s="55">
        <f t="shared" si="507"/>
        <v>0</v>
      </c>
      <c r="TFS1599" s="55">
        <f t="shared" si="507"/>
        <v>0</v>
      </c>
      <c r="TFT1599" s="55">
        <f t="shared" si="507"/>
        <v>0</v>
      </c>
      <c r="TFU1599" s="55">
        <f t="shared" si="507"/>
        <v>0</v>
      </c>
      <c r="TFV1599" s="55">
        <f t="shared" si="507"/>
        <v>0</v>
      </c>
      <c r="TFW1599" s="55">
        <f t="shared" si="507"/>
        <v>0</v>
      </c>
      <c r="TFX1599" s="55">
        <f t="shared" si="507"/>
        <v>0</v>
      </c>
      <c r="TFY1599" s="55">
        <f t="shared" si="507"/>
        <v>0</v>
      </c>
      <c r="TFZ1599" s="55">
        <f t="shared" si="507"/>
        <v>0</v>
      </c>
      <c r="TGA1599" s="55">
        <f t="shared" si="507"/>
        <v>0</v>
      </c>
      <c r="TGB1599" s="55">
        <f t="shared" si="507"/>
        <v>0</v>
      </c>
      <c r="TGC1599" s="55">
        <f t="shared" si="507"/>
        <v>0</v>
      </c>
      <c r="TGD1599" s="55">
        <f t="shared" si="507"/>
        <v>0</v>
      </c>
      <c r="TGE1599" s="55">
        <f t="shared" si="507"/>
        <v>0</v>
      </c>
      <c r="TGF1599" s="55">
        <f t="shared" ref="TGF1599:TIQ1599" si="508">+(TGF1619+TGF1623)*1.18*1.1</f>
        <v>0</v>
      </c>
      <c r="TGG1599" s="55">
        <f t="shared" si="508"/>
        <v>0</v>
      </c>
      <c r="TGH1599" s="55">
        <f t="shared" si="508"/>
        <v>0</v>
      </c>
      <c r="TGI1599" s="55">
        <f t="shared" si="508"/>
        <v>0</v>
      </c>
      <c r="TGJ1599" s="55">
        <f t="shared" si="508"/>
        <v>0</v>
      </c>
      <c r="TGK1599" s="55">
        <f t="shared" si="508"/>
        <v>0</v>
      </c>
      <c r="TGL1599" s="55">
        <f t="shared" si="508"/>
        <v>0</v>
      </c>
      <c r="TGM1599" s="55">
        <f t="shared" si="508"/>
        <v>0</v>
      </c>
      <c r="TGN1599" s="55">
        <f t="shared" si="508"/>
        <v>0</v>
      </c>
      <c r="TGO1599" s="55">
        <f t="shared" si="508"/>
        <v>0</v>
      </c>
      <c r="TGP1599" s="55">
        <f t="shared" si="508"/>
        <v>0</v>
      </c>
      <c r="TGQ1599" s="55">
        <f t="shared" si="508"/>
        <v>0</v>
      </c>
      <c r="TGR1599" s="55">
        <f t="shared" si="508"/>
        <v>0</v>
      </c>
      <c r="TGS1599" s="55">
        <f t="shared" si="508"/>
        <v>0</v>
      </c>
      <c r="TGT1599" s="55">
        <f t="shared" si="508"/>
        <v>0</v>
      </c>
      <c r="TGU1599" s="55">
        <f t="shared" si="508"/>
        <v>0</v>
      </c>
      <c r="TGV1599" s="55">
        <f t="shared" si="508"/>
        <v>0</v>
      </c>
      <c r="TGW1599" s="55">
        <f t="shared" si="508"/>
        <v>0</v>
      </c>
      <c r="TGX1599" s="55">
        <f t="shared" si="508"/>
        <v>0</v>
      </c>
      <c r="TGY1599" s="55">
        <f t="shared" si="508"/>
        <v>0</v>
      </c>
      <c r="TGZ1599" s="55">
        <f t="shared" si="508"/>
        <v>0</v>
      </c>
      <c r="THA1599" s="55">
        <f t="shared" si="508"/>
        <v>0</v>
      </c>
      <c r="THB1599" s="55">
        <f t="shared" si="508"/>
        <v>0</v>
      </c>
      <c r="THC1599" s="55">
        <f t="shared" si="508"/>
        <v>0</v>
      </c>
      <c r="THD1599" s="55">
        <f t="shared" si="508"/>
        <v>0</v>
      </c>
      <c r="THE1599" s="55">
        <f t="shared" si="508"/>
        <v>0</v>
      </c>
      <c r="THF1599" s="55">
        <f t="shared" si="508"/>
        <v>0</v>
      </c>
      <c r="THG1599" s="55">
        <f t="shared" si="508"/>
        <v>0</v>
      </c>
      <c r="THH1599" s="55">
        <f t="shared" si="508"/>
        <v>0</v>
      </c>
      <c r="THI1599" s="55">
        <f t="shared" si="508"/>
        <v>0</v>
      </c>
      <c r="THJ1599" s="55">
        <f t="shared" si="508"/>
        <v>0</v>
      </c>
      <c r="THK1599" s="55">
        <f t="shared" si="508"/>
        <v>0</v>
      </c>
      <c r="THL1599" s="55">
        <f t="shared" si="508"/>
        <v>0</v>
      </c>
      <c r="THM1599" s="55">
        <f t="shared" si="508"/>
        <v>0</v>
      </c>
      <c r="THN1599" s="55">
        <f t="shared" si="508"/>
        <v>0</v>
      </c>
      <c r="THO1599" s="55">
        <f t="shared" si="508"/>
        <v>0</v>
      </c>
      <c r="THP1599" s="55">
        <f t="shared" si="508"/>
        <v>0</v>
      </c>
      <c r="THQ1599" s="55">
        <f t="shared" si="508"/>
        <v>0</v>
      </c>
      <c r="THR1599" s="55">
        <f t="shared" si="508"/>
        <v>0</v>
      </c>
      <c r="THS1599" s="55">
        <f t="shared" si="508"/>
        <v>0</v>
      </c>
      <c r="THT1599" s="55">
        <f t="shared" si="508"/>
        <v>0</v>
      </c>
      <c r="THU1599" s="55">
        <f t="shared" si="508"/>
        <v>0</v>
      </c>
      <c r="THV1599" s="55">
        <f t="shared" si="508"/>
        <v>0</v>
      </c>
      <c r="THW1599" s="55">
        <f t="shared" si="508"/>
        <v>0</v>
      </c>
      <c r="THX1599" s="55">
        <f t="shared" si="508"/>
        <v>0</v>
      </c>
      <c r="THY1599" s="55">
        <f t="shared" si="508"/>
        <v>0</v>
      </c>
      <c r="THZ1599" s="55">
        <f t="shared" si="508"/>
        <v>0</v>
      </c>
      <c r="TIA1599" s="55">
        <f t="shared" si="508"/>
        <v>0</v>
      </c>
      <c r="TIB1599" s="55">
        <f t="shared" si="508"/>
        <v>0</v>
      </c>
      <c r="TIC1599" s="55">
        <f t="shared" si="508"/>
        <v>0</v>
      </c>
      <c r="TID1599" s="55">
        <f t="shared" si="508"/>
        <v>0</v>
      </c>
      <c r="TIE1599" s="55">
        <f t="shared" si="508"/>
        <v>0</v>
      </c>
      <c r="TIF1599" s="55">
        <f t="shared" si="508"/>
        <v>0</v>
      </c>
      <c r="TIG1599" s="55">
        <f t="shared" si="508"/>
        <v>0</v>
      </c>
      <c r="TIH1599" s="55">
        <f t="shared" si="508"/>
        <v>0</v>
      </c>
      <c r="TII1599" s="55">
        <f t="shared" si="508"/>
        <v>0</v>
      </c>
      <c r="TIJ1599" s="55">
        <f t="shared" si="508"/>
        <v>0</v>
      </c>
      <c r="TIK1599" s="55">
        <f t="shared" si="508"/>
        <v>0</v>
      </c>
      <c r="TIL1599" s="55">
        <f t="shared" si="508"/>
        <v>0</v>
      </c>
      <c r="TIM1599" s="55">
        <f t="shared" si="508"/>
        <v>0</v>
      </c>
      <c r="TIN1599" s="55">
        <f t="shared" si="508"/>
        <v>0</v>
      </c>
      <c r="TIO1599" s="55">
        <f t="shared" si="508"/>
        <v>0</v>
      </c>
      <c r="TIP1599" s="55">
        <f t="shared" si="508"/>
        <v>0</v>
      </c>
      <c r="TIQ1599" s="55">
        <f t="shared" si="508"/>
        <v>0</v>
      </c>
      <c r="TIR1599" s="55">
        <f t="shared" ref="TIR1599:TLC1599" si="509">+(TIR1619+TIR1623)*1.18*1.1</f>
        <v>0</v>
      </c>
      <c r="TIS1599" s="55">
        <f t="shared" si="509"/>
        <v>0</v>
      </c>
      <c r="TIT1599" s="55">
        <f t="shared" si="509"/>
        <v>0</v>
      </c>
      <c r="TIU1599" s="55">
        <f t="shared" si="509"/>
        <v>0</v>
      </c>
      <c r="TIV1599" s="55">
        <f t="shared" si="509"/>
        <v>0</v>
      </c>
      <c r="TIW1599" s="55">
        <f t="shared" si="509"/>
        <v>0</v>
      </c>
      <c r="TIX1599" s="55">
        <f t="shared" si="509"/>
        <v>0</v>
      </c>
      <c r="TIY1599" s="55">
        <f t="shared" si="509"/>
        <v>0</v>
      </c>
      <c r="TIZ1599" s="55">
        <f t="shared" si="509"/>
        <v>0</v>
      </c>
      <c r="TJA1599" s="55">
        <f t="shared" si="509"/>
        <v>0</v>
      </c>
      <c r="TJB1599" s="55">
        <f t="shared" si="509"/>
        <v>0</v>
      </c>
      <c r="TJC1599" s="55">
        <f t="shared" si="509"/>
        <v>0</v>
      </c>
      <c r="TJD1599" s="55">
        <f t="shared" si="509"/>
        <v>0</v>
      </c>
      <c r="TJE1599" s="55">
        <f t="shared" si="509"/>
        <v>0</v>
      </c>
      <c r="TJF1599" s="55">
        <f t="shared" si="509"/>
        <v>0</v>
      </c>
      <c r="TJG1599" s="55">
        <f t="shared" si="509"/>
        <v>0</v>
      </c>
      <c r="TJH1599" s="55">
        <f t="shared" si="509"/>
        <v>0</v>
      </c>
      <c r="TJI1599" s="55">
        <f t="shared" si="509"/>
        <v>0</v>
      </c>
      <c r="TJJ1599" s="55">
        <f t="shared" si="509"/>
        <v>0</v>
      </c>
      <c r="TJK1599" s="55">
        <f t="shared" si="509"/>
        <v>0</v>
      </c>
      <c r="TJL1599" s="55">
        <f t="shared" si="509"/>
        <v>0</v>
      </c>
      <c r="TJM1599" s="55">
        <f t="shared" si="509"/>
        <v>0</v>
      </c>
      <c r="TJN1599" s="55">
        <f t="shared" si="509"/>
        <v>0</v>
      </c>
      <c r="TJO1599" s="55">
        <f t="shared" si="509"/>
        <v>0</v>
      </c>
      <c r="TJP1599" s="55">
        <f t="shared" si="509"/>
        <v>0</v>
      </c>
      <c r="TJQ1599" s="55">
        <f t="shared" si="509"/>
        <v>0</v>
      </c>
      <c r="TJR1599" s="55">
        <f t="shared" si="509"/>
        <v>0</v>
      </c>
      <c r="TJS1599" s="55">
        <f t="shared" si="509"/>
        <v>0</v>
      </c>
      <c r="TJT1599" s="55">
        <f t="shared" si="509"/>
        <v>0</v>
      </c>
      <c r="TJU1599" s="55">
        <f t="shared" si="509"/>
        <v>0</v>
      </c>
      <c r="TJV1599" s="55">
        <f t="shared" si="509"/>
        <v>0</v>
      </c>
      <c r="TJW1599" s="55">
        <f t="shared" si="509"/>
        <v>0</v>
      </c>
      <c r="TJX1599" s="55">
        <f t="shared" si="509"/>
        <v>0</v>
      </c>
      <c r="TJY1599" s="55">
        <f t="shared" si="509"/>
        <v>0</v>
      </c>
      <c r="TJZ1599" s="55">
        <f t="shared" si="509"/>
        <v>0</v>
      </c>
      <c r="TKA1599" s="55">
        <f t="shared" si="509"/>
        <v>0</v>
      </c>
      <c r="TKB1599" s="55">
        <f t="shared" si="509"/>
        <v>0</v>
      </c>
      <c r="TKC1599" s="55">
        <f t="shared" si="509"/>
        <v>0</v>
      </c>
      <c r="TKD1599" s="55">
        <f t="shared" si="509"/>
        <v>0</v>
      </c>
      <c r="TKE1599" s="55">
        <f t="shared" si="509"/>
        <v>0</v>
      </c>
      <c r="TKF1599" s="55">
        <f t="shared" si="509"/>
        <v>0</v>
      </c>
      <c r="TKG1599" s="55">
        <f t="shared" si="509"/>
        <v>0</v>
      </c>
      <c r="TKH1599" s="55">
        <f t="shared" si="509"/>
        <v>0</v>
      </c>
      <c r="TKI1599" s="55">
        <f t="shared" si="509"/>
        <v>0</v>
      </c>
      <c r="TKJ1599" s="55">
        <f t="shared" si="509"/>
        <v>0</v>
      </c>
      <c r="TKK1599" s="55">
        <f t="shared" si="509"/>
        <v>0</v>
      </c>
      <c r="TKL1599" s="55">
        <f t="shared" si="509"/>
        <v>0</v>
      </c>
      <c r="TKM1599" s="55">
        <f t="shared" si="509"/>
        <v>0</v>
      </c>
      <c r="TKN1599" s="55">
        <f t="shared" si="509"/>
        <v>0</v>
      </c>
      <c r="TKO1599" s="55">
        <f t="shared" si="509"/>
        <v>0</v>
      </c>
      <c r="TKP1599" s="55">
        <f t="shared" si="509"/>
        <v>0</v>
      </c>
      <c r="TKQ1599" s="55">
        <f t="shared" si="509"/>
        <v>0</v>
      </c>
      <c r="TKR1599" s="55">
        <f t="shared" si="509"/>
        <v>0</v>
      </c>
      <c r="TKS1599" s="55">
        <f t="shared" si="509"/>
        <v>0</v>
      </c>
      <c r="TKT1599" s="55">
        <f t="shared" si="509"/>
        <v>0</v>
      </c>
      <c r="TKU1599" s="55">
        <f t="shared" si="509"/>
        <v>0</v>
      </c>
      <c r="TKV1599" s="55">
        <f t="shared" si="509"/>
        <v>0</v>
      </c>
      <c r="TKW1599" s="55">
        <f t="shared" si="509"/>
        <v>0</v>
      </c>
      <c r="TKX1599" s="55">
        <f t="shared" si="509"/>
        <v>0</v>
      </c>
      <c r="TKY1599" s="55">
        <f t="shared" si="509"/>
        <v>0</v>
      </c>
      <c r="TKZ1599" s="55">
        <f t="shared" si="509"/>
        <v>0</v>
      </c>
      <c r="TLA1599" s="55">
        <f t="shared" si="509"/>
        <v>0</v>
      </c>
      <c r="TLB1599" s="55">
        <f t="shared" si="509"/>
        <v>0</v>
      </c>
      <c r="TLC1599" s="55">
        <f t="shared" si="509"/>
        <v>0</v>
      </c>
      <c r="TLD1599" s="55">
        <f t="shared" ref="TLD1599:TNO1599" si="510">+(TLD1619+TLD1623)*1.18*1.1</f>
        <v>0</v>
      </c>
      <c r="TLE1599" s="55">
        <f t="shared" si="510"/>
        <v>0</v>
      </c>
      <c r="TLF1599" s="55">
        <f t="shared" si="510"/>
        <v>0</v>
      </c>
      <c r="TLG1599" s="55">
        <f t="shared" si="510"/>
        <v>0</v>
      </c>
      <c r="TLH1599" s="55">
        <f t="shared" si="510"/>
        <v>0</v>
      </c>
      <c r="TLI1599" s="55">
        <f t="shared" si="510"/>
        <v>0</v>
      </c>
      <c r="TLJ1599" s="55">
        <f t="shared" si="510"/>
        <v>0</v>
      </c>
      <c r="TLK1599" s="55">
        <f t="shared" si="510"/>
        <v>0</v>
      </c>
      <c r="TLL1599" s="55">
        <f t="shared" si="510"/>
        <v>0</v>
      </c>
      <c r="TLM1599" s="55">
        <f t="shared" si="510"/>
        <v>0</v>
      </c>
      <c r="TLN1599" s="55">
        <f t="shared" si="510"/>
        <v>0</v>
      </c>
      <c r="TLO1599" s="55">
        <f t="shared" si="510"/>
        <v>0</v>
      </c>
      <c r="TLP1599" s="55">
        <f t="shared" si="510"/>
        <v>0</v>
      </c>
      <c r="TLQ1599" s="55">
        <f t="shared" si="510"/>
        <v>0</v>
      </c>
      <c r="TLR1599" s="55">
        <f t="shared" si="510"/>
        <v>0</v>
      </c>
      <c r="TLS1599" s="55">
        <f t="shared" si="510"/>
        <v>0</v>
      </c>
      <c r="TLT1599" s="55">
        <f t="shared" si="510"/>
        <v>0</v>
      </c>
      <c r="TLU1599" s="55">
        <f t="shared" si="510"/>
        <v>0</v>
      </c>
      <c r="TLV1599" s="55">
        <f t="shared" si="510"/>
        <v>0</v>
      </c>
      <c r="TLW1599" s="55">
        <f t="shared" si="510"/>
        <v>0</v>
      </c>
      <c r="TLX1599" s="55">
        <f t="shared" si="510"/>
        <v>0</v>
      </c>
      <c r="TLY1599" s="55">
        <f t="shared" si="510"/>
        <v>0</v>
      </c>
      <c r="TLZ1599" s="55">
        <f t="shared" si="510"/>
        <v>0</v>
      </c>
      <c r="TMA1599" s="55">
        <f t="shared" si="510"/>
        <v>0</v>
      </c>
      <c r="TMB1599" s="55">
        <f t="shared" si="510"/>
        <v>0</v>
      </c>
      <c r="TMC1599" s="55">
        <f t="shared" si="510"/>
        <v>0</v>
      </c>
      <c r="TMD1599" s="55">
        <f t="shared" si="510"/>
        <v>0</v>
      </c>
      <c r="TME1599" s="55">
        <f t="shared" si="510"/>
        <v>0</v>
      </c>
      <c r="TMF1599" s="55">
        <f t="shared" si="510"/>
        <v>0</v>
      </c>
      <c r="TMG1599" s="55">
        <f t="shared" si="510"/>
        <v>0</v>
      </c>
      <c r="TMH1599" s="55">
        <f t="shared" si="510"/>
        <v>0</v>
      </c>
      <c r="TMI1599" s="55">
        <f t="shared" si="510"/>
        <v>0</v>
      </c>
      <c r="TMJ1599" s="55">
        <f t="shared" si="510"/>
        <v>0</v>
      </c>
      <c r="TMK1599" s="55">
        <f t="shared" si="510"/>
        <v>0</v>
      </c>
      <c r="TML1599" s="55">
        <f t="shared" si="510"/>
        <v>0</v>
      </c>
      <c r="TMM1599" s="55">
        <f t="shared" si="510"/>
        <v>0</v>
      </c>
      <c r="TMN1599" s="55">
        <f t="shared" si="510"/>
        <v>0</v>
      </c>
      <c r="TMO1599" s="55">
        <f t="shared" si="510"/>
        <v>0</v>
      </c>
      <c r="TMP1599" s="55">
        <f t="shared" si="510"/>
        <v>0</v>
      </c>
      <c r="TMQ1599" s="55">
        <f t="shared" si="510"/>
        <v>0</v>
      </c>
      <c r="TMR1599" s="55">
        <f t="shared" si="510"/>
        <v>0</v>
      </c>
      <c r="TMS1599" s="55">
        <f t="shared" si="510"/>
        <v>0</v>
      </c>
      <c r="TMT1599" s="55">
        <f t="shared" si="510"/>
        <v>0</v>
      </c>
      <c r="TMU1599" s="55">
        <f t="shared" si="510"/>
        <v>0</v>
      </c>
      <c r="TMV1599" s="55">
        <f t="shared" si="510"/>
        <v>0</v>
      </c>
      <c r="TMW1599" s="55">
        <f t="shared" si="510"/>
        <v>0</v>
      </c>
      <c r="TMX1599" s="55">
        <f t="shared" si="510"/>
        <v>0</v>
      </c>
      <c r="TMY1599" s="55">
        <f t="shared" si="510"/>
        <v>0</v>
      </c>
      <c r="TMZ1599" s="55">
        <f t="shared" si="510"/>
        <v>0</v>
      </c>
      <c r="TNA1599" s="55">
        <f t="shared" si="510"/>
        <v>0</v>
      </c>
      <c r="TNB1599" s="55">
        <f t="shared" si="510"/>
        <v>0</v>
      </c>
      <c r="TNC1599" s="55">
        <f t="shared" si="510"/>
        <v>0</v>
      </c>
      <c r="TND1599" s="55">
        <f t="shared" si="510"/>
        <v>0</v>
      </c>
      <c r="TNE1599" s="55">
        <f t="shared" si="510"/>
        <v>0</v>
      </c>
      <c r="TNF1599" s="55">
        <f t="shared" si="510"/>
        <v>0</v>
      </c>
      <c r="TNG1599" s="55">
        <f t="shared" si="510"/>
        <v>0</v>
      </c>
      <c r="TNH1599" s="55">
        <f t="shared" si="510"/>
        <v>0</v>
      </c>
      <c r="TNI1599" s="55">
        <f t="shared" si="510"/>
        <v>0</v>
      </c>
      <c r="TNJ1599" s="55">
        <f t="shared" si="510"/>
        <v>0</v>
      </c>
      <c r="TNK1599" s="55">
        <f t="shared" si="510"/>
        <v>0</v>
      </c>
      <c r="TNL1599" s="55">
        <f t="shared" si="510"/>
        <v>0</v>
      </c>
      <c r="TNM1599" s="55">
        <f t="shared" si="510"/>
        <v>0</v>
      </c>
      <c r="TNN1599" s="55">
        <f t="shared" si="510"/>
        <v>0</v>
      </c>
      <c r="TNO1599" s="55">
        <f t="shared" si="510"/>
        <v>0</v>
      </c>
      <c r="TNP1599" s="55">
        <f t="shared" ref="TNP1599:TQA1599" si="511">+(TNP1619+TNP1623)*1.18*1.1</f>
        <v>0</v>
      </c>
      <c r="TNQ1599" s="55">
        <f t="shared" si="511"/>
        <v>0</v>
      </c>
      <c r="TNR1599" s="55">
        <f t="shared" si="511"/>
        <v>0</v>
      </c>
      <c r="TNS1599" s="55">
        <f t="shared" si="511"/>
        <v>0</v>
      </c>
      <c r="TNT1599" s="55">
        <f t="shared" si="511"/>
        <v>0</v>
      </c>
      <c r="TNU1599" s="55">
        <f t="shared" si="511"/>
        <v>0</v>
      </c>
      <c r="TNV1599" s="55">
        <f t="shared" si="511"/>
        <v>0</v>
      </c>
      <c r="TNW1599" s="55">
        <f t="shared" si="511"/>
        <v>0</v>
      </c>
      <c r="TNX1599" s="55">
        <f t="shared" si="511"/>
        <v>0</v>
      </c>
      <c r="TNY1599" s="55">
        <f t="shared" si="511"/>
        <v>0</v>
      </c>
      <c r="TNZ1599" s="55">
        <f t="shared" si="511"/>
        <v>0</v>
      </c>
      <c r="TOA1599" s="55">
        <f t="shared" si="511"/>
        <v>0</v>
      </c>
      <c r="TOB1599" s="55">
        <f t="shared" si="511"/>
        <v>0</v>
      </c>
      <c r="TOC1599" s="55">
        <f t="shared" si="511"/>
        <v>0</v>
      </c>
      <c r="TOD1599" s="55">
        <f t="shared" si="511"/>
        <v>0</v>
      </c>
      <c r="TOE1599" s="55">
        <f t="shared" si="511"/>
        <v>0</v>
      </c>
      <c r="TOF1599" s="55">
        <f t="shared" si="511"/>
        <v>0</v>
      </c>
      <c r="TOG1599" s="55">
        <f t="shared" si="511"/>
        <v>0</v>
      </c>
      <c r="TOH1599" s="55">
        <f t="shared" si="511"/>
        <v>0</v>
      </c>
      <c r="TOI1599" s="55">
        <f t="shared" si="511"/>
        <v>0</v>
      </c>
      <c r="TOJ1599" s="55">
        <f t="shared" si="511"/>
        <v>0</v>
      </c>
      <c r="TOK1599" s="55">
        <f t="shared" si="511"/>
        <v>0</v>
      </c>
      <c r="TOL1599" s="55">
        <f t="shared" si="511"/>
        <v>0</v>
      </c>
      <c r="TOM1599" s="55">
        <f t="shared" si="511"/>
        <v>0</v>
      </c>
      <c r="TON1599" s="55">
        <f t="shared" si="511"/>
        <v>0</v>
      </c>
      <c r="TOO1599" s="55">
        <f t="shared" si="511"/>
        <v>0</v>
      </c>
      <c r="TOP1599" s="55">
        <f t="shared" si="511"/>
        <v>0</v>
      </c>
      <c r="TOQ1599" s="55">
        <f t="shared" si="511"/>
        <v>0</v>
      </c>
      <c r="TOR1599" s="55">
        <f t="shared" si="511"/>
        <v>0</v>
      </c>
      <c r="TOS1599" s="55">
        <f t="shared" si="511"/>
        <v>0</v>
      </c>
      <c r="TOT1599" s="55">
        <f t="shared" si="511"/>
        <v>0</v>
      </c>
      <c r="TOU1599" s="55">
        <f t="shared" si="511"/>
        <v>0</v>
      </c>
      <c r="TOV1599" s="55">
        <f t="shared" si="511"/>
        <v>0</v>
      </c>
      <c r="TOW1599" s="55">
        <f t="shared" si="511"/>
        <v>0</v>
      </c>
      <c r="TOX1599" s="55">
        <f t="shared" si="511"/>
        <v>0</v>
      </c>
      <c r="TOY1599" s="55">
        <f t="shared" si="511"/>
        <v>0</v>
      </c>
      <c r="TOZ1599" s="55">
        <f t="shared" si="511"/>
        <v>0</v>
      </c>
      <c r="TPA1599" s="55">
        <f t="shared" si="511"/>
        <v>0</v>
      </c>
      <c r="TPB1599" s="55">
        <f t="shared" si="511"/>
        <v>0</v>
      </c>
      <c r="TPC1599" s="55">
        <f t="shared" si="511"/>
        <v>0</v>
      </c>
      <c r="TPD1599" s="55">
        <f t="shared" si="511"/>
        <v>0</v>
      </c>
      <c r="TPE1599" s="55">
        <f t="shared" si="511"/>
        <v>0</v>
      </c>
      <c r="TPF1599" s="55">
        <f t="shared" si="511"/>
        <v>0</v>
      </c>
      <c r="TPG1599" s="55">
        <f t="shared" si="511"/>
        <v>0</v>
      </c>
      <c r="TPH1599" s="55">
        <f t="shared" si="511"/>
        <v>0</v>
      </c>
      <c r="TPI1599" s="55">
        <f t="shared" si="511"/>
        <v>0</v>
      </c>
      <c r="TPJ1599" s="55">
        <f t="shared" si="511"/>
        <v>0</v>
      </c>
      <c r="TPK1599" s="55">
        <f t="shared" si="511"/>
        <v>0</v>
      </c>
      <c r="TPL1599" s="55">
        <f t="shared" si="511"/>
        <v>0</v>
      </c>
      <c r="TPM1599" s="55">
        <f t="shared" si="511"/>
        <v>0</v>
      </c>
      <c r="TPN1599" s="55">
        <f t="shared" si="511"/>
        <v>0</v>
      </c>
      <c r="TPO1599" s="55">
        <f t="shared" si="511"/>
        <v>0</v>
      </c>
      <c r="TPP1599" s="55">
        <f t="shared" si="511"/>
        <v>0</v>
      </c>
      <c r="TPQ1599" s="55">
        <f t="shared" si="511"/>
        <v>0</v>
      </c>
      <c r="TPR1599" s="55">
        <f t="shared" si="511"/>
        <v>0</v>
      </c>
      <c r="TPS1599" s="55">
        <f t="shared" si="511"/>
        <v>0</v>
      </c>
      <c r="TPT1599" s="55">
        <f t="shared" si="511"/>
        <v>0</v>
      </c>
      <c r="TPU1599" s="55">
        <f t="shared" si="511"/>
        <v>0</v>
      </c>
      <c r="TPV1599" s="55">
        <f t="shared" si="511"/>
        <v>0</v>
      </c>
      <c r="TPW1599" s="55">
        <f t="shared" si="511"/>
        <v>0</v>
      </c>
      <c r="TPX1599" s="55">
        <f t="shared" si="511"/>
        <v>0</v>
      </c>
      <c r="TPY1599" s="55">
        <f t="shared" si="511"/>
        <v>0</v>
      </c>
      <c r="TPZ1599" s="55">
        <f t="shared" si="511"/>
        <v>0</v>
      </c>
      <c r="TQA1599" s="55">
        <f t="shared" si="511"/>
        <v>0</v>
      </c>
      <c r="TQB1599" s="55">
        <f t="shared" ref="TQB1599:TSM1599" si="512">+(TQB1619+TQB1623)*1.18*1.1</f>
        <v>0</v>
      </c>
      <c r="TQC1599" s="55">
        <f t="shared" si="512"/>
        <v>0</v>
      </c>
      <c r="TQD1599" s="55">
        <f t="shared" si="512"/>
        <v>0</v>
      </c>
      <c r="TQE1599" s="55">
        <f t="shared" si="512"/>
        <v>0</v>
      </c>
      <c r="TQF1599" s="55">
        <f t="shared" si="512"/>
        <v>0</v>
      </c>
      <c r="TQG1599" s="55">
        <f t="shared" si="512"/>
        <v>0</v>
      </c>
      <c r="TQH1599" s="55">
        <f t="shared" si="512"/>
        <v>0</v>
      </c>
      <c r="TQI1599" s="55">
        <f t="shared" si="512"/>
        <v>0</v>
      </c>
      <c r="TQJ1599" s="55">
        <f t="shared" si="512"/>
        <v>0</v>
      </c>
      <c r="TQK1599" s="55">
        <f t="shared" si="512"/>
        <v>0</v>
      </c>
      <c r="TQL1599" s="55">
        <f t="shared" si="512"/>
        <v>0</v>
      </c>
      <c r="TQM1599" s="55">
        <f t="shared" si="512"/>
        <v>0</v>
      </c>
      <c r="TQN1599" s="55">
        <f t="shared" si="512"/>
        <v>0</v>
      </c>
      <c r="TQO1599" s="55">
        <f t="shared" si="512"/>
        <v>0</v>
      </c>
      <c r="TQP1599" s="55">
        <f t="shared" si="512"/>
        <v>0</v>
      </c>
      <c r="TQQ1599" s="55">
        <f t="shared" si="512"/>
        <v>0</v>
      </c>
      <c r="TQR1599" s="55">
        <f t="shared" si="512"/>
        <v>0</v>
      </c>
      <c r="TQS1599" s="55">
        <f t="shared" si="512"/>
        <v>0</v>
      </c>
      <c r="TQT1599" s="55">
        <f t="shared" si="512"/>
        <v>0</v>
      </c>
      <c r="TQU1599" s="55">
        <f t="shared" si="512"/>
        <v>0</v>
      </c>
      <c r="TQV1599" s="55">
        <f t="shared" si="512"/>
        <v>0</v>
      </c>
      <c r="TQW1599" s="55">
        <f t="shared" si="512"/>
        <v>0</v>
      </c>
      <c r="TQX1599" s="55">
        <f t="shared" si="512"/>
        <v>0</v>
      </c>
      <c r="TQY1599" s="55">
        <f t="shared" si="512"/>
        <v>0</v>
      </c>
      <c r="TQZ1599" s="55">
        <f t="shared" si="512"/>
        <v>0</v>
      </c>
      <c r="TRA1599" s="55">
        <f t="shared" si="512"/>
        <v>0</v>
      </c>
      <c r="TRB1599" s="55">
        <f t="shared" si="512"/>
        <v>0</v>
      </c>
      <c r="TRC1599" s="55">
        <f t="shared" si="512"/>
        <v>0</v>
      </c>
      <c r="TRD1599" s="55">
        <f t="shared" si="512"/>
        <v>0</v>
      </c>
      <c r="TRE1599" s="55">
        <f t="shared" si="512"/>
        <v>0</v>
      </c>
      <c r="TRF1599" s="55">
        <f t="shared" si="512"/>
        <v>0</v>
      </c>
      <c r="TRG1599" s="55">
        <f t="shared" si="512"/>
        <v>0</v>
      </c>
      <c r="TRH1599" s="55">
        <f t="shared" si="512"/>
        <v>0</v>
      </c>
      <c r="TRI1599" s="55">
        <f t="shared" si="512"/>
        <v>0</v>
      </c>
      <c r="TRJ1599" s="55">
        <f t="shared" si="512"/>
        <v>0</v>
      </c>
      <c r="TRK1599" s="55">
        <f t="shared" si="512"/>
        <v>0</v>
      </c>
      <c r="TRL1599" s="55">
        <f t="shared" si="512"/>
        <v>0</v>
      </c>
      <c r="TRM1599" s="55">
        <f t="shared" si="512"/>
        <v>0</v>
      </c>
      <c r="TRN1599" s="55">
        <f t="shared" si="512"/>
        <v>0</v>
      </c>
      <c r="TRO1599" s="55">
        <f t="shared" si="512"/>
        <v>0</v>
      </c>
      <c r="TRP1599" s="55">
        <f t="shared" si="512"/>
        <v>0</v>
      </c>
      <c r="TRQ1599" s="55">
        <f t="shared" si="512"/>
        <v>0</v>
      </c>
      <c r="TRR1599" s="55">
        <f t="shared" si="512"/>
        <v>0</v>
      </c>
      <c r="TRS1599" s="55">
        <f t="shared" si="512"/>
        <v>0</v>
      </c>
      <c r="TRT1599" s="55">
        <f t="shared" si="512"/>
        <v>0</v>
      </c>
      <c r="TRU1599" s="55">
        <f t="shared" si="512"/>
        <v>0</v>
      </c>
      <c r="TRV1599" s="55">
        <f t="shared" si="512"/>
        <v>0</v>
      </c>
      <c r="TRW1599" s="55">
        <f t="shared" si="512"/>
        <v>0</v>
      </c>
      <c r="TRX1599" s="55">
        <f t="shared" si="512"/>
        <v>0</v>
      </c>
      <c r="TRY1599" s="55">
        <f t="shared" si="512"/>
        <v>0</v>
      </c>
      <c r="TRZ1599" s="55">
        <f t="shared" si="512"/>
        <v>0</v>
      </c>
      <c r="TSA1599" s="55">
        <f t="shared" si="512"/>
        <v>0</v>
      </c>
      <c r="TSB1599" s="55">
        <f t="shared" si="512"/>
        <v>0</v>
      </c>
      <c r="TSC1599" s="55">
        <f t="shared" si="512"/>
        <v>0</v>
      </c>
      <c r="TSD1599" s="55">
        <f t="shared" si="512"/>
        <v>0</v>
      </c>
      <c r="TSE1599" s="55">
        <f t="shared" si="512"/>
        <v>0</v>
      </c>
      <c r="TSF1599" s="55">
        <f t="shared" si="512"/>
        <v>0</v>
      </c>
      <c r="TSG1599" s="55">
        <f t="shared" si="512"/>
        <v>0</v>
      </c>
      <c r="TSH1599" s="55">
        <f t="shared" si="512"/>
        <v>0</v>
      </c>
      <c r="TSI1599" s="55">
        <f t="shared" si="512"/>
        <v>0</v>
      </c>
      <c r="TSJ1599" s="55">
        <f t="shared" si="512"/>
        <v>0</v>
      </c>
      <c r="TSK1599" s="55">
        <f t="shared" si="512"/>
        <v>0</v>
      </c>
      <c r="TSL1599" s="55">
        <f t="shared" si="512"/>
        <v>0</v>
      </c>
      <c r="TSM1599" s="55">
        <f t="shared" si="512"/>
        <v>0</v>
      </c>
      <c r="TSN1599" s="55">
        <f t="shared" ref="TSN1599:TUY1599" si="513">+(TSN1619+TSN1623)*1.18*1.1</f>
        <v>0</v>
      </c>
      <c r="TSO1599" s="55">
        <f t="shared" si="513"/>
        <v>0</v>
      </c>
      <c r="TSP1599" s="55">
        <f t="shared" si="513"/>
        <v>0</v>
      </c>
      <c r="TSQ1599" s="55">
        <f t="shared" si="513"/>
        <v>0</v>
      </c>
      <c r="TSR1599" s="55">
        <f t="shared" si="513"/>
        <v>0</v>
      </c>
      <c r="TSS1599" s="55">
        <f t="shared" si="513"/>
        <v>0</v>
      </c>
      <c r="TST1599" s="55">
        <f t="shared" si="513"/>
        <v>0</v>
      </c>
      <c r="TSU1599" s="55">
        <f t="shared" si="513"/>
        <v>0</v>
      </c>
      <c r="TSV1599" s="55">
        <f t="shared" si="513"/>
        <v>0</v>
      </c>
      <c r="TSW1599" s="55">
        <f t="shared" si="513"/>
        <v>0</v>
      </c>
      <c r="TSX1599" s="55">
        <f t="shared" si="513"/>
        <v>0</v>
      </c>
      <c r="TSY1599" s="55">
        <f t="shared" si="513"/>
        <v>0</v>
      </c>
      <c r="TSZ1599" s="55">
        <f t="shared" si="513"/>
        <v>0</v>
      </c>
      <c r="TTA1599" s="55">
        <f t="shared" si="513"/>
        <v>0</v>
      </c>
      <c r="TTB1599" s="55">
        <f t="shared" si="513"/>
        <v>0</v>
      </c>
      <c r="TTC1599" s="55">
        <f t="shared" si="513"/>
        <v>0</v>
      </c>
      <c r="TTD1599" s="55">
        <f t="shared" si="513"/>
        <v>0</v>
      </c>
      <c r="TTE1599" s="55">
        <f t="shared" si="513"/>
        <v>0</v>
      </c>
      <c r="TTF1599" s="55">
        <f t="shared" si="513"/>
        <v>0</v>
      </c>
      <c r="TTG1599" s="55">
        <f t="shared" si="513"/>
        <v>0</v>
      </c>
      <c r="TTH1599" s="55">
        <f t="shared" si="513"/>
        <v>0</v>
      </c>
      <c r="TTI1599" s="55">
        <f t="shared" si="513"/>
        <v>0</v>
      </c>
      <c r="TTJ1599" s="55">
        <f t="shared" si="513"/>
        <v>0</v>
      </c>
      <c r="TTK1599" s="55">
        <f t="shared" si="513"/>
        <v>0</v>
      </c>
      <c r="TTL1599" s="55">
        <f t="shared" si="513"/>
        <v>0</v>
      </c>
      <c r="TTM1599" s="55">
        <f t="shared" si="513"/>
        <v>0</v>
      </c>
      <c r="TTN1599" s="55">
        <f t="shared" si="513"/>
        <v>0</v>
      </c>
      <c r="TTO1599" s="55">
        <f t="shared" si="513"/>
        <v>0</v>
      </c>
      <c r="TTP1599" s="55">
        <f t="shared" si="513"/>
        <v>0</v>
      </c>
      <c r="TTQ1599" s="55">
        <f t="shared" si="513"/>
        <v>0</v>
      </c>
      <c r="TTR1599" s="55">
        <f t="shared" si="513"/>
        <v>0</v>
      </c>
      <c r="TTS1599" s="55">
        <f t="shared" si="513"/>
        <v>0</v>
      </c>
      <c r="TTT1599" s="55">
        <f t="shared" si="513"/>
        <v>0</v>
      </c>
      <c r="TTU1599" s="55">
        <f t="shared" si="513"/>
        <v>0</v>
      </c>
      <c r="TTV1599" s="55">
        <f t="shared" si="513"/>
        <v>0</v>
      </c>
      <c r="TTW1599" s="55">
        <f t="shared" si="513"/>
        <v>0</v>
      </c>
      <c r="TTX1599" s="55">
        <f t="shared" si="513"/>
        <v>0</v>
      </c>
      <c r="TTY1599" s="55">
        <f t="shared" si="513"/>
        <v>0</v>
      </c>
      <c r="TTZ1599" s="55">
        <f t="shared" si="513"/>
        <v>0</v>
      </c>
      <c r="TUA1599" s="55">
        <f t="shared" si="513"/>
        <v>0</v>
      </c>
      <c r="TUB1599" s="55">
        <f t="shared" si="513"/>
        <v>0</v>
      </c>
      <c r="TUC1599" s="55">
        <f t="shared" si="513"/>
        <v>0</v>
      </c>
      <c r="TUD1599" s="55">
        <f t="shared" si="513"/>
        <v>0</v>
      </c>
      <c r="TUE1599" s="55">
        <f t="shared" si="513"/>
        <v>0</v>
      </c>
      <c r="TUF1599" s="55">
        <f t="shared" si="513"/>
        <v>0</v>
      </c>
      <c r="TUG1599" s="55">
        <f t="shared" si="513"/>
        <v>0</v>
      </c>
      <c r="TUH1599" s="55">
        <f t="shared" si="513"/>
        <v>0</v>
      </c>
      <c r="TUI1599" s="55">
        <f t="shared" si="513"/>
        <v>0</v>
      </c>
      <c r="TUJ1599" s="55">
        <f t="shared" si="513"/>
        <v>0</v>
      </c>
      <c r="TUK1599" s="55">
        <f t="shared" si="513"/>
        <v>0</v>
      </c>
      <c r="TUL1599" s="55">
        <f t="shared" si="513"/>
        <v>0</v>
      </c>
      <c r="TUM1599" s="55">
        <f t="shared" si="513"/>
        <v>0</v>
      </c>
      <c r="TUN1599" s="55">
        <f t="shared" si="513"/>
        <v>0</v>
      </c>
      <c r="TUO1599" s="55">
        <f t="shared" si="513"/>
        <v>0</v>
      </c>
      <c r="TUP1599" s="55">
        <f t="shared" si="513"/>
        <v>0</v>
      </c>
      <c r="TUQ1599" s="55">
        <f t="shared" si="513"/>
        <v>0</v>
      </c>
      <c r="TUR1599" s="55">
        <f t="shared" si="513"/>
        <v>0</v>
      </c>
      <c r="TUS1599" s="55">
        <f t="shared" si="513"/>
        <v>0</v>
      </c>
      <c r="TUT1599" s="55">
        <f t="shared" si="513"/>
        <v>0</v>
      </c>
      <c r="TUU1599" s="55">
        <f t="shared" si="513"/>
        <v>0</v>
      </c>
      <c r="TUV1599" s="55">
        <f t="shared" si="513"/>
        <v>0</v>
      </c>
      <c r="TUW1599" s="55">
        <f t="shared" si="513"/>
        <v>0</v>
      </c>
      <c r="TUX1599" s="55">
        <f t="shared" si="513"/>
        <v>0</v>
      </c>
      <c r="TUY1599" s="55">
        <f t="shared" si="513"/>
        <v>0</v>
      </c>
      <c r="TUZ1599" s="55">
        <f t="shared" ref="TUZ1599:TXK1599" si="514">+(TUZ1619+TUZ1623)*1.18*1.1</f>
        <v>0</v>
      </c>
      <c r="TVA1599" s="55">
        <f t="shared" si="514"/>
        <v>0</v>
      </c>
      <c r="TVB1599" s="55">
        <f t="shared" si="514"/>
        <v>0</v>
      </c>
      <c r="TVC1599" s="55">
        <f t="shared" si="514"/>
        <v>0</v>
      </c>
      <c r="TVD1599" s="55">
        <f t="shared" si="514"/>
        <v>0</v>
      </c>
      <c r="TVE1599" s="55">
        <f t="shared" si="514"/>
        <v>0</v>
      </c>
      <c r="TVF1599" s="55">
        <f t="shared" si="514"/>
        <v>0</v>
      </c>
      <c r="TVG1599" s="55">
        <f t="shared" si="514"/>
        <v>0</v>
      </c>
      <c r="TVH1599" s="55">
        <f t="shared" si="514"/>
        <v>0</v>
      </c>
      <c r="TVI1599" s="55">
        <f t="shared" si="514"/>
        <v>0</v>
      </c>
      <c r="TVJ1599" s="55">
        <f t="shared" si="514"/>
        <v>0</v>
      </c>
      <c r="TVK1599" s="55">
        <f t="shared" si="514"/>
        <v>0</v>
      </c>
      <c r="TVL1599" s="55">
        <f t="shared" si="514"/>
        <v>0</v>
      </c>
      <c r="TVM1599" s="55">
        <f t="shared" si="514"/>
        <v>0</v>
      </c>
      <c r="TVN1599" s="55">
        <f t="shared" si="514"/>
        <v>0</v>
      </c>
      <c r="TVO1599" s="55">
        <f t="shared" si="514"/>
        <v>0</v>
      </c>
      <c r="TVP1599" s="55">
        <f t="shared" si="514"/>
        <v>0</v>
      </c>
      <c r="TVQ1599" s="55">
        <f t="shared" si="514"/>
        <v>0</v>
      </c>
      <c r="TVR1599" s="55">
        <f t="shared" si="514"/>
        <v>0</v>
      </c>
      <c r="TVS1599" s="55">
        <f t="shared" si="514"/>
        <v>0</v>
      </c>
      <c r="TVT1599" s="55">
        <f t="shared" si="514"/>
        <v>0</v>
      </c>
      <c r="TVU1599" s="55">
        <f t="shared" si="514"/>
        <v>0</v>
      </c>
      <c r="TVV1599" s="55">
        <f t="shared" si="514"/>
        <v>0</v>
      </c>
      <c r="TVW1599" s="55">
        <f t="shared" si="514"/>
        <v>0</v>
      </c>
      <c r="TVX1599" s="55">
        <f t="shared" si="514"/>
        <v>0</v>
      </c>
      <c r="TVY1599" s="55">
        <f t="shared" si="514"/>
        <v>0</v>
      </c>
      <c r="TVZ1599" s="55">
        <f t="shared" si="514"/>
        <v>0</v>
      </c>
      <c r="TWA1599" s="55">
        <f t="shared" si="514"/>
        <v>0</v>
      </c>
      <c r="TWB1599" s="55">
        <f t="shared" si="514"/>
        <v>0</v>
      </c>
      <c r="TWC1599" s="55">
        <f t="shared" si="514"/>
        <v>0</v>
      </c>
      <c r="TWD1599" s="55">
        <f t="shared" si="514"/>
        <v>0</v>
      </c>
      <c r="TWE1599" s="55">
        <f t="shared" si="514"/>
        <v>0</v>
      </c>
      <c r="TWF1599" s="55">
        <f t="shared" si="514"/>
        <v>0</v>
      </c>
      <c r="TWG1599" s="55">
        <f t="shared" si="514"/>
        <v>0</v>
      </c>
      <c r="TWH1599" s="55">
        <f t="shared" si="514"/>
        <v>0</v>
      </c>
      <c r="TWI1599" s="55">
        <f t="shared" si="514"/>
        <v>0</v>
      </c>
      <c r="TWJ1599" s="55">
        <f t="shared" si="514"/>
        <v>0</v>
      </c>
      <c r="TWK1599" s="55">
        <f t="shared" si="514"/>
        <v>0</v>
      </c>
      <c r="TWL1599" s="55">
        <f t="shared" si="514"/>
        <v>0</v>
      </c>
      <c r="TWM1599" s="55">
        <f t="shared" si="514"/>
        <v>0</v>
      </c>
      <c r="TWN1599" s="55">
        <f t="shared" si="514"/>
        <v>0</v>
      </c>
      <c r="TWO1599" s="55">
        <f t="shared" si="514"/>
        <v>0</v>
      </c>
      <c r="TWP1599" s="55">
        <f t="shared" si="514"/>
        <v>0</v>
      </c>
      <c r="TWQ1599" s="55">
        <f t="shared" si="514"/>
        <v>0</v>
      </c>
      <c r="TWR1599" s="55">
        <f t="shared" si="514"/>
        <v>0</v>
      </c>
      <c r="TWS1599" s="55">
        <f t="shared" si="514"/>
        <v>0</v>
      </c>
      <c r="TWT1599" s="55">
        <f t="shared" si="514"/>
        <v>0</v>
      </c>
      <c r="TWU1599" s="55">
        <f t="shared" si="514"/>
        <v>0</v>
      </c>
      <c r="TWV1599" s="55">
        <f t="shared" si="514"/>
        <v>0</v>
      </c>
      <c r="TWW1599" s="55">
        <f t="shared" si="514"/>
        <v>0</v>
      </c>
      <c r="TWX1599" s="55">
        <f t="shared" si="514"/>
        <v>0</v>
      </c>
      <c r="TWY1599" s="55">
        <f t="shared" si="514"/>
        <v>0</v>
      </c>
      <c r="TWZ1599" s="55">
        <f t="shared" si="514"/>
        <v>0</v>
      </c>
      <c r="TXA1599" s="55">
        <f t="shared" si="514"/>
        <v>0</v>
      </c>
      <c r="TXB1599" s="55">
        <f t="shared" si="514"/>
        <v>0</v>
      </c>
      <c r="TXC1599" s="55">
        <f t="shared" si="514"/>
        <v>0</v>
      </c>
      <c r="TXD1599" s="55">
        <f t="shared" si="514"/>
        <v>0</v>
      </c>
      <c r="TXE1599" s="55">
        <f t="shared" si="514"/>
        <v>0</v>
      </c>
      <c r="TXF1599" s="55">
        <f t="shared" si="514"/>
        <v>0</v>
      </c>
      <c r="TXG1599" s="55">
        <f t="shared" si="514"/>
        <v>0</v>
      </c>
      <c r="TXH1599" s="55">
        <f t="shared" si="514"/>
        <v>0</v>
      </c>
      <c r="TXI1599" s="55">
        <f t="shared" si="514"/>
        <v>0</v>
      </c>
      <c r="TXJ1599" s="55">
        <f t="shared" si="514"/>
        <v>0</v>
      </c>
      <c r="TXK1599" s="55">
        <f t="shared" si="514"/>
        <v>0</v>
      </c>
      <c r="TXL1599" s="55">
        <f t="shared" ref="TXL1599:TZW1599" si="515">+(TXL1619+TXL1623)*1.18*1.1</f>
        <v>0</v>
      </c>
      <c r="TXM1599" s="55">
        <f t="shared" si="515"/>
        <v>0</v>
      </c>
      <c r="TXN1599" s="55">
        <f t="shared" si="515"/>
        <v>0</v>
      </c>
      <c r="TXO1599" s="55">
        <f t="shared" si="515"/>
        <v>0</v>
      </c>
      <c r="TXP1599" s="55">
        <f t="shared" si="515"/>
        <v>0</v>
      </c>
      <c r="TXQ1599" s="55">
        <f t="shared" si="515"/>
        <v>0</v>
      </c>
      <c r="TXR1599" s="55">
        <f t="shared" si="515"/>
        <v>0</v>
      </c>
      <c r="TXS1599" s="55">
        <f t="shared" si="515"/>
        <v>0</v>
      </c>
      <c r="TXT1599" s="55">
        <f t="shared" si="515"/>
        <v>0</v>
      </c>
      <c r="TXU1599" s="55">
        <f t="shared" si="515"/>
        <v>0</v>
      </c>
      <c r="TXV1599" s="55">
        <f t="shared" si="515"/>
        <v>0</v>
      </c>
      <c r="TXW1599" s="55">
        <f t="shared" si="515"/>
        <v>0</v>
      </c>
      <c r="TXX1599" s="55">
        <f t="shared" si="515"/>
        <v>0</v>
      </c>
      <c r="TXY1599" s="55">
        <f t="shared" si="515"/>
        <v>0</v>
      </c>
      <c r="TXZ1599" s="55">
        <f t="shared" si="515"/>
        <v>0</v>
      </c>
      <c r="TYA1599" s="55">
        <f t="shared" si="515"/>
        <v>0</v>
      </c>
      <c r="TYB1599" s="55">
        <f t="shared" si="515"/>
        <v>0</v>
      </c>
      <c r="TYC1599" s="55">
        <f t="shared" si="515"/>
        <v>0</v>
      </c>
      <c r="TYD1599" s="55">
        <f t="shared" si="515"/>
        <v>0</v>
      </c>
      <c r="TYE1599" s="55">
        <f t="shared" si="515"/>
        <v>0</v>
      </c>
      <c r="TYF1599" s="55">
        <f t="shared" si="515"/>
        <v>0</v>
      </c>
      <c r="TYG1599" s="55">
        <f t="shared" si="515"/>
        <v>0</v>
      </c>
      <c r="TYH1599" s="55">
        <f t="shared" si="515"/>
        <v>0</v>
      </c>
      <c r="TYI1599" s="55">
        <f t="shared" si="515"/>
        <v>0</v>
      </c>
      <c r="TYJ1599" s="55">
        <f t="shared" si="515"/>
        <v>0</v>
      </c>
      <c r="TYK1599" s="55">
        <f t="shared" si="515"/>
        <v>0</v>
      </c>
      <c r="TYL1599" s="55">
        <f t="shared" si="515"/>
        <v>0</v>
      </c>
      <c r="TYM1599" s="55">
        <f t="shared" si="515"/>
        <v>0</v>
      </c>
      <c r="TYN1599" s="55">
        <f t="shared" si="515"/>
        <v>0</v>
      </c>
      <c r="TYO1599" s="55">
        <f t="shared" si="515"/>
        <v>0</v>
      </c>
      <c r="TYP1599" s="55">
        <f t="shared" si="515"/>
        <v>0</v>
      </c>
      <c r="TYQ1599" s="55">
        <f t="shared" si="515"/>
        <v>0</v>
      </c>
      <c r="TYR1599" s="55">
        <f t="shared" si="515"/>
        <v>0</v>
      </c>
      <c r="TYS1599" s="55">
        <f t="shared" si="515"/>
        <v>0</v>
      </c>
      <c r="TYT1599" s="55">
        <f t="shared" si="515"/>
        <v>0</v>
      </c>
      <c r="TYU1599" s="55">
        <f t="shared" si="515"/>
        <v>0</v>
      </c>
      <c r="TYV1599" s="55">
        <f t="shared" si="515"/>
        <v>0</v>
      </c>
      <c r="TYW1599" s="55">
        <f t="shared" si="515"/>
        <v>0</v>
      </c>
      <c r="TYX1599" s="55">
        <f t="shared" si="515"/>
        <v>0</v>
      </c>
      <c r="TYY1599" s="55">
        <f t="shared" si="515"/>
        <v>0</v>
      </c>
      <c r="TYZ1599" s="55">
        <f t="shared" si="515"/>
        <v>0</v>
      </c>
      <c r="TZA1599" s="55">
        <f t="shared" si="515"/>
        <v>0</v>
      </c>
      <c r="TZB1599" s="55">
        <f t="shared" si="515"/>
        <v>0</v>
      </c>
      <c r="TZC1599" s="55">
        <f t="shared" si="515"/>
        <v>0</v>
      </c>
      <c r="TZD1599" s="55">
        <f t="shared" si="515"/>
        <v>0</v>
      </c>
      <c r="TZE1599" s="55">
        <f t="shared" si="515"/>
        <v>0</v>
      </c>
      <c r="TZF1599" s="55">
        <f t="shared" si="515"/>
        <v>0</v>
      </c>
      <c r="TZG1599" s="55">
        <f t="shared" si="515"/>
        <v>0</v>
      </c>
      <c r="TZH1599" s="55">
        <f t="shared" si="515"/>
        <v>0</v>
      </c>
      <c r="TZI1599" s="55">
        <f t="shared" si="515"/>
        <v>0</v>
      </c>
      <c r="TZJ1599" s="55">
        <f t="shared" si="515"/>
        <v>0</v>
      </c>
      <c r="TZK1599" s="55">
        <f t="shared" si="515"/>
        <v>0</v>
      </c>
      <c r="TZL1599" s="55">
        <f t="shared" si="515"/>
        <v>0</v>
      </c>
      <c r="TZM1599" s="55">
        <f t="shared" si="515"/>
        <v>0</v>
      </c>
      <c r="TZN1599" s="55">
        <f t="shared" si="515"/>
        <v>0</v>
      </c>
      <c r="TZO1599" s="55">
        <f t="shared" si="515"/>
        <v>0</v>
      </c>
      <c r="TZP1599" s="55">
        <f t="shared" si="515"/>
        <v>0</v>
      </c>
      <c r="TZQ1599" s="55">
        <f t="shared" si="515"/>
        <v>0</v>
      </c>
      <c r="TZR1599" s="55">
        <f t="shared" si="515"/>
        <v>0</v>
      </c>
      <c r="TZS1599" s="55">
        <f t="shared" si="515"/>
        <v>0</v>
      </c>
      <c r="TZT1599" s="55">
        <f t="shared" si="515"/>
        <v>0</v>
      </c>
      <c r="TZU1599" s="55">
        <f t="shared" si="515"/>
        <v>0</v>
      </c>
      <c r="TZV1599" s="55">
        <f t="shared" si="515"/>
        <v>0</v>
      </c>
      <c r="TZW1599" s="55">
        <f t="shared" si="515"/>
        <v>0</v>
      </c>
      <c r="TZX1599" s="55">
        <f t="shared" ref="TZX1599:UCI1599" si="516">+(TZX1619+TZX1623)*1.18*1.1</f>
        <v>0</v>
      </c>
      <c r="TZY1599" s="55">
        <f t="shared" si="516"/>
        <v>0</v>
      </c>
      <c r="TZZ1599" s="55">
        <f t="shared" si="516"/>
        <v>0</v>
      </c>
      <c r="UAA1599" s="55">
        <f t="shared" si="516"/>
        <v>0</v>
      </c>
      <c r="UAB1599" s="55">
        <f t="shared" si="516"/>
        <v>0</v>
      </c>
      <c r="UAC1599" s="55">
        <f t="shared" si="516"/>
        <v>0</v>
      </c>
      <c r="UAD1599" s="55">
        <f t="shared" si="516"/>
        <v>0</v>
      </c>
      <c r="UAE1599" s="55">
        <f t="shared" si="516"/>
        <v>0</v>
      </c>
      <c r="UAF1599" s="55">
        <f t="shared" si="516"/>
        <v>0</v>
      </c>
      <c r="UAG1599" s="55">
        <f t="shared" si="516"/>
        <v>0</v>
      </c>
      <c r="UAH1599" s="55">
        <f t="shared" si="516"/>
        <v>0</v>
      </c>
      <c r="UAI1599" s="55">
        <f t="shared" si="516"/>
        <v>0</v>
      </c>
      <c r="UAJ1599" s="55">
        <f t="shared" si="516"/>
        <v>0</v>
      </c>
      <c r="UAK1599" s="55">
        <f t="shared" si="516"/>
        <v>0</v>
      </c>
      <c r="UAL1599" s="55">
        <f t="shared" si="516"/>
        <v>0</v>
      </c>
      <c r="UAM1599" s="55">
        <f t="shared" si="516"/>
        <v>0</v>
      </c>
      <c r="UAN1599" s="55">
        <f t="shared" si="516"/>
        <v>0</v>
      </c>
      <c r="UAO1599" s="55">
        <f t="shared" si="516"/>
        <v>0</v>
      </c>
      <c r="UAP1599" s="55">
        <f t="shared" si="516"/>
        <v>0</v>
      </c>
      <c r="UAQ1599" s="55">
        <f t="shared" si="516"/>
        <v>0</v>
      </c>
      <c r="UAR1599" s="55">
        <f t="shared" si="516"/>
        <v>0</v>
      </c>
      <c r="UAS1599" s="55">
        <f t="shared" si="516"/>
        <v>0</v>
      </c>
      <c r="UAT1599" s="55">
        <f t="shared" si="516"/>
        <v>0</v>
      </c>
      <c r="UAU1599" s="55">
        <f t="shared" si="516"/>
        <v>0</v>
      </c>
      <c r="UAV1599" s="55">
        <f t="shared" si="516"/>
        <v>0</v>
      </c>
      <c r="UAW1599" s="55">
        <f t="shared" si="516"/>
        <v>0</v>
      </c>
      <c r="UAX1599" s="55">
        <f t="shared" si="516"/>
        <v>0</v>
      </c>
      <c r="UAY1599" s="55">
        <f t="shared" si="516"/>
        <v>0</v>
      </c>
      <c r="UAZ1599" s="55">
        <f t="shared" si="516"/>
        <v>0</v>
      </c>
      <c r="UBA1599" s="55">
        <f t="shared" si="516"/>
        <v>0</v>
      </c>
      <c r="UBB1599" s="55">
        <f t="shared" si="516"/>
        <v>0</v>
      </c>
      <c r="UBC1599" s="55">
        <f t="shared" si="516"/>
        <v>0</v>
      </c>
      <c r="UBD1599" s="55">
        <f t="shared" si="516"/>
        <v>0</v>
      </c>
      <c r="UBE1599" s="55">
        <f t="shared" si="516"/>
        <v>0</v>
      </c>
      <c r="UBF1599" s="55">
        <f t="shared" si="516"/>
        <v>0</v>
      </c>
      <c r="UBG1599" s="55">
        <f t="shared" si="516"/>
        <v>0</v>
      </c>
      <c r="UBH1599" s="55">
        <f t="shared" si="516"/>
        <v>0</v>
      </c>
      <c r="UBI1599" s="55">
        <f t="shared" si="516"/>
        <v>0</v>
      </c>
      <c r="UBJ1599" s="55">
        <f t="shared" si="516"/>
        <v>0</v>
      </c>
      <c r="UBK1599" s="55">
        <f t="shared" si="516"/>
        <v>0</v>
      </c>
      <c r="UBL1599" s="55">
        <f t="shared" si="516"/>
        <v>0</v>
      </c>
      <c r="UBM1599" s="55">
        <f t="shared" si="516"/>
        <v>0</v>
      </c>
      <c r="UBN1599" s="55">
        <f t="shared" si="516"/>
        <v>0</v>
      </c>
      <c r="UBO1599" s="55">
        <f t="shared" si="516"/>
        <v>0</v>
      </c>
      <c r="UBP1599" s="55">
        <f t="shared" si="516"/>
        <v>0</v>
      </c>
      <c r="UBQ1599" s="55">
        <f t="shared" si="516"/>
        <v>0</v>
      </c>
      <c r="UBR1599" s="55">
        <f t="shared" si="516"/>
        <v>0</v>
      </c>
      <c r="UBS1599" s="55">
        <f t="shared" si="516"/>
        <v>0</v>
      </c>
      <c r="UBT1599" s="55">
        <f t="shared" si="516"/>
        <v>0</v>
      </c>
      <c r="UBU1599" s="55">
        <f t="shared" si="516"/>
        <v>0</v>
      </c>
      <c r="UBV1599" s="55">
        <f t="shared" si="516"/>
        <v>0</v>
      </c>
      <c r="UBW1599" s="55">
        <f t="shared" si="516"/>
        <v>0</v>
      </c>
      <c r="UBX1599" s="55">
        <f t="shared" si="516"/>
        <v>0</v>
      </c>
      <c r="UBY1599" s="55">
        <f t="shared" si="516"/>
        <v>0</v>
      </c>
      <c r="UBZ1599" s="55">
        <f t="shared" si="516"/>
        <v>0</v>
      </c>
      <c r="UCA1599" s="55">
        <f t="shared" si="516"/>
        <v>0</v>
      </c>
      <c r="UCB1599" s="55">
        <f t="shared" si="516"/>
        <v>0</v>
      </c>
      <c r="UCC1599" s="55">
        <f t="shared" si="516"/>
        <v>0</v>
      </c>
      <c r="UCD1599" s="55">
        <f t="shared" si="516"/>
        <v>0</v>
      </c>
      <c r="UCE1599" s="55">
        <f t="shared" si="516"/>
        <v>0</v>
      </c>
      <c r="UCF1599" s="55">
        <f t="shared" si="516"/>
        <v>0</v>
      </c>
      <c r="UCG1599" s="55">
        <f t="shared" si="516"/>
        <v>0</v>
      </c>
      <c r="UCH1599" s="55">
        <f t="shared" si="516"/>
        <v>0</v>
      </c>
      <c r="UCI1599" s="55">
        <f t="shared" si="516"/>
        <v>0</v>
      </c>
      <c r="UCJ1599" s="55">
        <f t="shared" ref="UCJ1599:UEU1599" si="517">+(UCJ1619+UCJ1623)*1.18*1.1</f>
        <v>0</v>
      </c>
      <c r="UCK1599" s="55">
        <f t="shared" si="517"/>
        <v>0</v>
      </c>
      <c r="UCL1599" s="55">
        <f t="shared" si="517"/>
        <v>0</v>
      </c>
      <c r="UCM1599" s="55">
        <f t="shared" si="517"/>
        <v>0</v>
      </c>
      <c r="UCN1599" s="55">
        <f t="shared" si="517"/>
        <v>0</v>
      </c>
      <c r="UCO1599" s="55">
        <f t="shared" si="517"/>
        <v>0</v>
      </c>
      <c r="UCP1599" s="55">
        <f t="shared" si="517"/>
        <v>0</v>
      </c>
      <c r="UCQ1599" s="55">
        <f t="shared" si="517"/>
        <v>0</v>
      </c>
      <c r="UCR1599" s="55">
        <f t="shared" si="517"/>
        <v>0</v>
      </c>
      <c r="UCS1599" s="55">
        <f t="shared" si="517"/>
        <v>0</v>
      </c>
      <c r="UCT1599" s="55">
        <f t="shared" si="517"/>
        <v>0</v>
      </c>
      <c r="UCU1599" s="55">
        <f t="shared" si="517"/>
        <v>0</v>
      </c>
      <c r="UCV1599" s="55">
        <f t="shared" si="517"/>
        <v>0</v>
      </c>
      <c r="UCW1599" s="55">
        <f t="shared" si="517"/>
        <v>0</v>
      </c>
      <c r="UCX1599" s="55">
        <f t="shared" si="517"/>
        <v>0</v>
      </c>
      <c r="UCY1599" s="55">
        <f t="shared" si="517"/>
        <v>0</v>
      </c>
      <c r="UCZ1599" s="55">
        <f t="shared" si="517"/>
        <v>0</v>
      </c>
      <c r="UDA1599" s="55">
        <f t="shared" si="517"/>
        <v>0</v>
      </c>
      <c r="UDB1599" s="55">
        <f t="shared" si="517"/>
        <v>0</v>
      </c>
      <c r="UDC1599" s="55">
        <f t="shared" si="517"/>
        <v>0</v>
      </c>
      <c r="UDD1599" s="55">
        <f t="shared" si="517"/>
        <v>0</v>
      </c>
      <c r="UDE1599" s="55">
        <f t="shared" si="517"/>
        <v>0</v>
      </c>
      <c r="UDF1599" s="55">
        <f t="shared" si="517"/>
        <v>0</v>
      </c>
      <c r="UDG1599" s="55">
        <f t="shared" si="517"/>
        <v>0</v>
      </c>
      <c r="UDH1599" s="55">
        <f t="shared" si="517"/>
        <v>0</v>
      </c>
      <c r="UDI1599" s="55">
        <f t="shared" si="517"/>
        <v>0</v>
      </c>
      <c r="UDJ1599" s="55">
        <f t="shared" si="517"/>
        <v>0</v>
      </c>
      <c r="UDK1599" s="55">
        <f t="shared" si="517"/>
        <v>0</v>
      </c>
      <c r="UDL1599" s="55">
        <f t="shared" si="517"/>
        <v>0</v>
      </c>
      <c r="UDM1599" s="55">
        <f t="shared" si="517"/>
        <v>0</v>
      </c>
      <c r="UDN1599" s="55">
        <f t="shared" si="517"/>
        <v>0</v>
      </c>
      <c r="UDO1599" s="55">
        <f t="shared" si="517"/>
        <v>0</v>
      </c>
      <c r="UDP1599" s="55">
        <f t="shared" si="517"/>
        <v>0</v>
      </c>
      <c r="UDQ1599" s="55">
        <f t="shared" si="517"/>
        <v>0</v>
      </c>
      <c r="UDR1599" s="55">
        <f t="shared" si="517"/>
        <v>0</v>
      </c>
      <c r="UDS1599" s="55">
        <f t="shared" si="517"/>
        <v>0</v>
      </c>
      <c r="UDT1599" s="55">
        <f t="shared" si="517"/>
        <v>0</v>
      </c>
      <c r="UDU1599" s="55">
        <f t="shared" si="517"/>
        <v>0</v>
      </c>
      <c r="UDV1599" s="55">
        <f t="shared" si="517"/>
        <v>0</v>
      </c>
      <c r="UDW1599" s="55">
        <f t="shared" si="517"/>
        <v>0</v>
      </c>
      <c r="UDX1599" s="55">
        <f t="shared" si="517"/>
        <v>0</v>
      </c>
      <c r="UDY1599" s="55">
        <f t="shared" si="517"/>
        <v>0</v>
      </c>
      <c r="UDZ1599" s="55">
        <f t="shared" si="517"/>
        <v>0</v>
      </c>
      <c r="UEA1599" s="55">
        <f t="shared" si="517"/>
        <v>0</v>
      </c>
      <c r="UEB1599" s="55">
        <f t="shared" si="517"/>
        <v>0</v>
      </c>
      <c r="UEC1599" s="55">
        <f t="shared" si="517"/>
        <v>0</v>
      </c>
      <c r="UED1599" s="55">
        <f t="shared" si="517"/>
        <v>0</v>
      </c>
      <c r="UEE1599" s="55">
        <f t="shared" si="517"/>
        <v>0</v>
      </c>
      <c r="UEF1599" s="55">
        <f t="shared" si="517"/>
        <v>0</v>
      </c>
      <c r="UEG1599" s="55">
        <f t="shared" si="517"/>
        <v>0</v>
      </c>
      <c r="UEH1599" s="55">
        <f t="shared" si="517"/>
        <v>0</v>
      </c>
      <c r="UEI1599" s="55">
        <f t="shared" si="517"/>
        <v>0</v>
      </c>
      <c r="UEJ1599" s="55">
        <f t="shared" si="517"/>
        <v>0</v>
      </c>
      <c r="UEK1599" s="55">
        <f t="shared" si="517"/>
        <v>0</v>
      </c>
      <c r="UEL1599" s="55">
        <f t="shared" si="517"/>
        <v>0</v>
      </c>
      <c r="UEM1599" s="55">
        <f t="shared" si="517"/>
        <v>0</v>
      </c>
      <c r="UEN1599" s="55">
        <f t="shared" si="517"/>
        <v>0</v>
      </c>
      <c r="UEO1599" s="55">
        <f t="shared" si="517"/>
        <v>0</v>
      </c>
      <c r="UEP1599" s="55">
        <f t="shared" si="517"/>
        <v>0</v>
      </c>
      <c r="UEQ1599" s="55">
        <f t="shared" si="517"/>
        <v>0</v>
      </c>
      <c r="UER1599" s="55">
        <f t="shared" si="517"/>
        <v>0</v>
      </c>
      <c r="UES1599" s="55">
        <f t="shared" si="517"/>
        <v>0</v>
      </c>
      <c r="UET1599" s="55">
        <f t="shared" si="517"/>
        <v>0</v>
      </c>
      <c r="UEU1599" s="55">
        <f t="shared" si="517"/>
        <v>0</v>
      </c>
      <c r="UEV1599" s="55">
        <f t="shared" ref="UEV1599:UHG1599" si="518">+(UEV1619+UEV1623)*1.18*1.1</f>
        <v>0</v>
      </c>
      <c r="UEW1599" s="55">
        <f t="shared" si="518"/>
        <v>0</v>
      </c>
      <c r="UEX1599" s="55">
        <f t="shared" si="518"/>
        <v>0</v>
      </c>
      <c r="UEY1599" s="55">
        <f t="shared" si="518"/>
        <v>0</v>
      </c>
      <c r="UEZ1599" s="55">
        <f t="shared" si="518"/>
        <v>0</v>
      </c>
      <c r="UFA1599" s="55">
        <f t="shared" si="518"/>
        <v>0</v>
      </c>
      <c r="UFB1599" s="55">
        <f t="shared" si="518"/>
        <v>0</v>
      </c>
      <c r="UFC1599" s="55">
        <f t="shared" si="518"/>
        <v>0</v>
      </c>
      <c r="UFD1599" s="55">
        <f t="shared" si="518"/>
        <v>0</v>
      </c>
      <c r="UFE1599" s="55">
        <f t="shared" si="518"/>
        <v>0</v>
      </c>
      <c r="UFF1599" s="55">
        <f t="shared" si="518"/>
        <v>0</v>
      </c>
      <c r="UFG1599" s="55">
        <f t="shared" si="518"/>
        <v>0</v>
      </c>
      <c r="UFH1599" s="55">
        <f t="shared" si="518"/>
        <v>0</v>
      </c>
      <c r="UFI1599" s="55">
        <f t="shared" si="518"/>
        <v>0</v>
      </c>
      <c r="UFJ1599" s="55">
        <f t="shared" si="518"/>
        <v>0</v>
      </c>
      <c r="UFK1599" s="55">
        <f t="shared" si="518"/>
        <v>0</v>
      </c>
      <c r="UFL1599" s="55">
        <f t="shared" si="518"/>
        <v>0</v>
      </c>
      <c r="UFM1599" s="55">
        <f t="shared" si="518"/>
        <v>0</v>
      </c>
      <c r="UFN1599" s="55">
        <f t="shared" si="518"/>
        <v>0</v>
      </c>
      <c r="UFO1599" s="55">
        <f t="shared" si="518"/>
        <v>0</v>
      </c>
      <c r="UFP1599" s="55">
        <f t="shared" si="518"/>
        <v>0</v>
      </c>
      <c r="UFQ1599" s="55">
        <f t="shared" si="518"/>
        <v>0</v>
      </c>
      <c r="UFR1599" s="55">
        <f t="shared" si="518"/>
        <v>0</v>
      </c>
      <c r="UFS1599" s="55">
        <f t="shared" si="518"/>
        <v>0</v>
      </c>
      <c r="UFT1599" s="55">
        <f t="shared" si="518"/>
        <v>0</v>
      </c>
      <c r="UFU1599" s="55">
        <f t="shared" si="518"/>
        <v>0</v>
      </c>
      <c r="UFV1599" s="55">
        <f t="shared" si="518"/>
        <v>0</v>
      </c>
      <c r="UFW1599" s="55">
        <f t="shared" si="518"/>
        <v>0</v>
      </c>
      <c r="UFX1599" s="55">
        <f t="shared" si="518"/>
        <v>0</v>
      </c>
      <c r="UFY1599" s="55">
        <f t="shared" si="518"/>
        <v>0</v>
      </c>
      <c r="UFZ1599" s="55">
        <f t="shared" si="518"/>
        <v>0</v>
      </c>
      <c r="UGA1599" s="55">
        <f t="shared" si="518"/>
        <v>0</v>
      </c>
      <c r="UGB1599" s="55">
        <f t="shared" si="518"/>
        <v>0</v>
      </c>
      <c r="UGC1599" s="55">
        <f t="shared" si="518"/>
        <v>0</v>
      </c>
      <c r="UGD1599" s="55">
        <f t="shared" si="518"/>
        <v>0</v>
      </c>
      <c r="UGE1599" s="55">
        <f t="shared" si="518"/>
        <v>0</v>
      </c>
      <c r="UGF1599" s="55">
        <f t="shared" si="518"/>
        <v>0</v>
      </c>
      <c r="UGG1599" s="55">
        <f t="shared" si="518"/>
        <v>0</v>
      </c>
      <c r="UGH1599" s="55">
        <f t="shared" si="518"/>
        <v>0</v>
      </c>
      <c r="UGI1599" s="55">
        <f t="shared" si="518"/>
        <v>0</v>
      </c>
      <c r="UGJ1599" s="55">
        <f t="shared" si="518"/>
        <v>0</v>
      </c>
      <c r="UGK1599" s="55">
        <f t="shared" si="518"/>
        <v>0</v>
      </c>
      <c r="UGL1599" s="55">
        <f t="shared" si="518"/>
        <v>0</v>
      </c>
      <c r="UGM1599" s="55">
        <f t="shared" si="518"/>
        <v>0</v>
      </c>
      <c r="UGN1599" s="55">
        <f t="shared" si="518"/>
        <v>0</v>
      </c>
      <c r="UGO1599" s="55">
        <f t="shared" si="518"/>
        <v>0</v>
      </c>
      <c r="UGP1599" s="55">
        <f t="shared" si="518"/>
        <v>0</v>
      </c>
      <c r="UGQ1599" s="55">
        <f t="shared" si="518"/>
        <v>0</v>
      </c>
      <c r="UGR1599" s="55">
        <f t="shared" si="518"/>
        <v>0</v>
      </c>
      <c r="UGS1599" s="55">
        <f t="shared" si="518"/>
        <v>0</v>
      </c>
      <c r="UGT1599" s="55">
        <f t="shared" si="518"/>
        <v>0</v>
      </c>
      <c r="UGU1599" s="55">
        <f t="shared" si="518"/>
        <v>0</v>
      </c>
      <c r="UGV1599" s="55">
        <f t="shared" si="518"/>
        <v>0</v>
      </c>
      <c r="UGW1599" s="55">
        <f t="shared" si="518"/>
        <v>0</v>
      </c>
      <c r="UGX1599" s="55">
        <f t="shared" si="518"/>
        <v>0</v>
      </c>
      <c r="UGY1599" s="55">
        <f t="shared" si="518"/>
        <v>0</v>
      </c>
      <c r="UGZ1599" s="55">
        <f t="shared" si="518"/>
        <v>0</v>
      </c>
      <c r="UHA1599" s="55">
        <f t="shared" si="518"/>
        <v>0</v>
      </c>
      <c r="UHB1599" s="55">
        <f t="shared" si="518"/>
        <v>0</v>
      </c>
      <c r="UHC1599" s="55">
        <f t="shared" si="518"/>
        <v>0</v>
      </c>
      <c r="UHD1599" s="55">
        <f t="shared" si="518"/>
        <v>0</v>
      </c>
      <c r="UHE1599" s="55">
        <f t="shared" si="518"/>
        <v>0</v>
      </c>
      <c r="UHF1599" s="55">
        <f t="shared" si="518"/>
        <v>0</v>
      </c>
      <c r="UHG1599" s="55">
        <f t="shared" si="518"/>
        <v>0</v>
      </c>
      <c r="UHH1599" s="55">
        <f t="shared" ref="UHH1599:UJS1599" si="519">+(UHH1619+UHH1623)*1.18*1.1</f>
        <v>0</v>
      </c>
      <c r="UHI1599" s="55">
        <f t="shared" si="519"/>
        <v>0</v>
      </c>
      <c r="UHJ1599" s="55">
        <f t="shared" si="519"/>
        <v>0</v>
      </c>
      <c r="UHK1599" s="55">
        <f t="shared" si="519"/>
        <v>0</v>
      </c>
      <c r="UHL1599" s="55">
        <f t="shared" si="519"/>
        <v>0</v>
      </c>
      <c r="UHM1599" s="55">
        <f t="shared" si="519"/>
        <v>0</v>
      </c>
      <c r="UHN1599" s="55">
        <f t="shared" si="519"/>
        <v>0</v>
      </c>
      <c r="UHO1599" s="55">
        <f t="shared" si="519"/>
        <v>0</v>
      </c>
      <c r="UHP1599" s="55">
        <f t="shared" si="519"/>
        <v>0</v>
      </c>
      <c r="UHQ1599" s="55">
        <f t="shared" si="519"/>
        <v>0</v>
      </c>
      <c r="UHR1599" s="55">
        <f t="shared" si="519"/>
        <v>0</v>
      </c>
      <c r="UHS1599" s="55">
        <f t="shared" si="519"/>
        <v>0</v>
      </c>
      <c r="UHT1599" s="55">
        <f t="shared" si="519"/>
        <v>0</v>
      </c>
      <c r="UHU1599" s="55">
        <f t="shared" si="519"/>
        <v>0</v>
      </c>
      <c r="UHV1599" s="55">
        <f t="shared" si="519"/>
        <v>0</v>
      </c>
      <c r="UHW1599" s="55">
        <f t="shared" si="519"/>
        <v>0</v>
      </c>
      <c r="UHX1599" s="55">
        <f t="shared" si="519"/>
        <v>0</v>
      </c>
      <c r="UHY1599" s="55">
        <f t="shared" si="519"/>
        <v>0</v>
      </c>
      <c r="UHZ1599" s="55">
        <f t="shared" si="519"/>
        <v>0</v>
      </c>
      <c r="UIA1599" s="55">
        <f t="shared" si="519"/>
        <v>0</v>
      </c>
      <c r="UIB1599" s="55">
        <f t="shared" si="519"/>
        <v>0</v>
      </c>
      <c r="UIC1599" s="55">
        <f t="shared" si="519"/>
        <v>0</v>
      </c>
      <c r="UID1599" s="55">
        <f t="shared" si="519"/>
        <v>0</v>
      </c>
      <c r="UIE1599" s="55">
        <f t="shared" si="519"/>
        <v>0</v>
      </c>
      <c r="UIF1599" s="55">
        <f t="shared" si="519"/>
        <v>0</v>
      </c>
      <c r="UIG1599" s="55">
        <f t="shared" si="519"/>
        <v>0</v>
      </c>
      <c r="UIH1599" s="55">
        <f t="shared" si="519"/>
        <v>0</v>
      </c>
      <c r="UII1599" s="55">
        <f t="shared" si="519"/>
        <v>0</v>
      </c>
      <c r="UIJ1599" s="55">
        <f t="shared" si="519"/>
        <v>0</v>
      </c>
      <c r="UIK1599" s="55">
        <f t="shared" si="519"/>
        <v>0</v>
      </c>
      <c r="UIL1599" s="55">
        <f t="shared" si="519"/>
        <v>0</v>
      </c>
      <c r="UIM1599" s="55">
        <f t="shared" si="519"/>
        <v>0</v>
      </c>
      <c r="UIN1599" s="55">
        <f t="shared" si="519"/>
        <v>0</v>
      </c>
      <c r="UIO1599" s="55">
        <f t="shared" si="519"/>
        <v>0</v>
      </c>
      <c r="UIP1599" s="55">
        <f t="shared" si="519"/>
        <v>0</v>
      </c>
      <c r="UIQ1599" s="55">
        <f t="shared" si="519"/>
        <v>0</v>
      </c>
      <c r="UIR1599" s="55">
        <f t="shared" si="519"/>
        <v>0</v>
      </c>
      <c r="UIS1599" s="55">
        <f t="shared" si="519"/>
        <v>0</v>
      </c>
      <c r="UIT1599" s="55">
        <f t="shared" si="519"/>
        <v>0</v>
      </c>
      <c r="UIU1599" s="55">
        <f t="shared" si="519"/>
        <v>0</v>
      </c>
      <c r="UIV1599" s="55">
        <f t="shared" si="519"/>
        <v>0</v>
      </c>
      <c r="UIW1599" s="55">
        <f t="shared" si="519"/>
        <v>0</v>
      </c>
      <c r="UIX1599" s="55">
        <f t="shared" si="519"/>
        <v>0</v>
      </c>
      <c r="UIY1599" s="55">
        <f t="shared" si="519"/>
        <v>0</v>
      </c>
      <c r="UIZ1599" s="55">
        <f t="shared" si="519"/>
        <v>0</v>
      </c>
      <c r="UJA1599" s="55">
        <f t="shared" si="519"/>
        <v>0</v>
      </c>
      <c r="UJB1599" s="55">
        <f t="shared" si="519"/>
        <v>0</v>
      </c>
      <c r="UJC1599" s="55">
        <f t="shared" si="519"/>
        <v>0</v>
      </c>
      <c r="UJD1599" s="55">
        <f t="shared" si="519"/>
        <v>0</v>
      </c>
      <c r="UJE1599" s="55">
        <f t="shared" si="519"/>
        <v>0</v>
      </c>
      <c r="UJF1599" s="55">
        <f t="shared" si="519"/>
        <v>0</v>
      </c>
      <c r="UJG1599" s="55">
        <f t="shared" si="519"/>
        <v>0</v>
      </c>
      <c r="UJH1599" s="55">
        <f t="shared" si="519"/>
        <v>0</v>
      </c>
      <c r="UJI1599" s="55">
        <f t="shared" si="519"/>
        <v>0</v>
      </c>
      <c r="UJJ1599" s="55">
        <f t="shared" si="519"/>
        <v>0</v>
      </c>
      <c r="UJK1599" s="55">
        <f t="shared" si="519"/>
        <v>0</v>
      </c>
      <c r="UJL1599" s="55">
        <f t="shared" si="519"/>
        <v>0</v>
      </c>
      <c r="UJM1599" s="55">
        <f t="shared" si="519"/>
        <v>0</v>
      </c>
      <c r="UJN1599" s="55">
        <f t="shared" si="519"/>
        <v>0</v>
      </c>
      <c r="UJO1599" s="55">
        <f t="shared" si="519"/>
        <v>0</v>
      </c>
      <c r="UJP1599" s="55">
        <f t="shared" si="519"/>
        <v>0</v>
      </c>
      <c r="UJQ1599" s="55">
        <f t="shared" si="519"/>
        <v>0</v>
      </c>
      <c r="UJR1599" s="55">
        <f t="shared" si="519"/>
        <v>0</v>
      </c>
      <c r="UJS1599" s="55">
        <f t="shared" si="519"/>
        <v>0</v>
      </c>
      <c r="UJT1599" s="55">
        <f t="shared" ref="UJT1599:UME1599" si="520">+(UJT1619+UJT1623)*1.18*1.1</f>
        <v>0</v>
      </c>
      <c r="UJU1599" s="55">
        <f t="shared" si="520"/>
        <v>0</v>
      </c>
      <c r="UJV1599" s="55">
        <f t="shared" si="520"/>
        <v>0</v>
      </c>
      <c r="UJW1599" s="55">
        <f t="shared" si="520"/>
        <v>0</v>
      </c>
      <c r="UJX1599" s="55">
        <f t="shared" si="520"/>
        <v>0</v>
      </c>
      <c r="UJY1599" s="55">
        <f t="shared" si="520"/>
        <v>0</v>
      </c>
      <c r="UJZ1599" s="55">
        <f t="shared" si="520"/>
        <v>0</v>
      </c>
      <c r="UKA1599" s="55">
        <f t="shared" si="520"/>
        <v>0</v>
      </c>
      <c r="UKB1599" s="55">
        <f t="shared" si="520"/>
        <v>0</v>
      </c>
      <c r="UKC1599" s="55">
        <f t="shared" si="520"/>
        <v>0</v>
      </c>
      <c r="UKD1599" s="55">
        <f t="shared" si="520"/>
        <v>0</v>
      </c>
      <c r="UKE1599" s="55">
        <f t="shared" si="520"/>
        <v>0</v>
      </c>
      <c r="UKF1599" s="55">
        <f t="shared" si="520"/>
        <v>0</v>
      </c>
      <c r="UKG1599" s="55">
        <f t="shared" si="520"/>
        <v>0</v>
      </c>
      <c r="UKH1599" s="55">
        <f t="shared" si="520"/>
        <v>0</v>
      </c>
      <c r="UKI1599" s="55">
        <f t="shared" si="520"/>
        <v>0</v>
      </c>
      <c r="UKJ1599" s="55">
        <f t="shared" si="520"/>
        <v>0</v>
      </c>
      <c r="UKK1599" s="55">
        <f t="shared" si="520"/>
        <v>0</v>
      </c>
      <c r="UKL1599" s="55">
        <f t="shared" si="520"/>
        <v>0</v>
      </c>
      <c r="UKM1599" s="55">
        <f t="shared" si="520"/>
        <v>0</v>
      </c>
      <c r="UKN1599" s="55">
        <f t="shared" si="520"/>
        <v>0</v>
      </c>
      <c r="UKO1599" s="55">
        <f t="shared" si="520"/>
        <v>0</v>
      </c>
      <c r="UKP1599" s="55">
        <f t="shared" si="520"/>
        <v>0</v>
      </c>
      <c r="UKQ1599" s="55">
        <f t="shared" si="520"/>
        <v>0</v>
      </c>
      <c r="UKR1599" s="55">
        <f t="shared" si="520"/>
        <v>0</v>
      </c>
      <c r="UKS1599" s="55">
        <f t="shared" si="520"/>
        <v>0</v>
      </c>
      <c r="UKT1599" s="55">
        <f t="shared" si="520"/>
        <v>0</v>
      </c>
      <c r="UKU1599" s="55">
        <f t="shared" si="520"/>
        <v>0</v>
      </c>
      <c r="UKV1599" s="55">
        <f t="shared" si="520"/>
        <v>0</v>
      </c>
      <c r="UKW1599" s="55">
        <f t="shared" si="520"/>
        <v>0</v>
      </c>
      <c r="UKX1599" s="55">
        <f t="shared" si="520"/>
        <v>0</v>
      </c>
      <c r="UKY1599" s="55">
        <f t="shared" si="520"/>
        <v>0</v>
      </c>
      <c r="UKZ1599" s="55">
        <f t="shared" si="520"/>
        <v>0</v>
      </c>
      <c r="ULA1599" s="55">
        <f t="shared" si="520"/>
        <v>0</v>
      </c>
      <c r="ULB1599" s="55">
        <f t="shared" si="520"/>
        <v>0</v>
      </c>
      <c r="ULC1599" s="55">
        <f t="shared" si="520"/>
        <v>0</v>
      </c>
      <c r="ULD1599" s="55">
        <f t="shared" si="520"/>
        <v>0</v>
      </c>
      <c r="ULE1599" s="55">
        <f t="shared" si="520"/>
        <v>0</v>
      </c>
      <c r="ULF1599" s="55">
        <f t="shared" si="520"/>
        <v>0</v>
      </c>
      <c r="ULG1599" s="55">
        <f t="shared" si="520"/>
        <v>0</v>
      </c>
      <c r="ULH1599" s="55">
        <f t="shared" si="520"/>
        <v>0</v>
      </c>
      <c r="ULI1599" s="55">
        <f t="shared" si="520"/>
        <v>0</v>
      </c>
      <c r="ULJ1599" s="55">
        <f t="shared" si="520"/>
        <v>0</v>
      </c>
      <c r="ULK1599" s="55">
        <f t="shared" si="520"/>
        <v>0</v>
      </c>
      <c r="ULL1599" s="55">
        <f t="shared" si="520"/>
        <v>0</v>
      </c>
      <c r="ULM1599" s="55">
        <f t="shared" si="520"/>
        <v>0</v>
      </c>
      <c r="ULN1599" s="55">
        <f t="shared" si="520"/>
        <v>0</v>
      </c>
      <c r="ULO1599" s="55">
        <f t="shared" si="520"/>
        <v>0</v>
      </c>
      <c r="ULP1599" s="55">
        <f t="shared" si="520"/>
        <v>0</v>
      </c>
      <c r="ULQ1599" s="55">
        <f t="shared" si="520"/>
        <v>0</v>
      </c>
      <c r="ULR1599" s="55">
        <f t="shared" si="520"/>
        <v>0</v>
      </c>
      <c r="ULS1599" s="55">
        <f t="shared" si="520"/>
        <v>0</v>
      </c>
      <c r="ULT1599" s="55">
        <f t="shared" si="520"/>
        <v>0</v>
      </c>
      <c r="ULU1599" s="55">
        <f t="shared" si="520"/>
        <v>0</v>
      </c>
      <c r="ULV1599" s="55">
        <f t="shared" si="520"/>
        <v>0</v>
      </c>
      <c r="ULW1599" s="55">
        <f t="shared" si="520"/>
        <v>0</v>
      </c>
      <c r="ULX1599" s="55">
        <f t="shared" si="520"/>
        <v>0</v>
      </c>
      <c r="ULY1599" s="55">
        <f t="shared" si="520"/>
        <v>0</v>
      </c>
      <c r="ULZ1599" s="55">
        <f t="shared" si="520"/>
        <v>0</v>
      </c>
      <c r="UMA1599" s="55">
        <f t="shared" si="520"/>
        <v>0</v>
      </c>
      <c r="UMB1599" s="55">
        <f t="shared" si="520"/>
        <v>0</v>
      </c>
      <c r="UMC1599" s="55">
        <f t="shared" si="520"/>
        <v>0</v>
      </c>
      <c r="UMD1599" s="55">
        <f t="shared" si="520"/>
        <v>0</v>
      </c>
      <c r="UME1599" s="55">
        <f t="shared" si="520"/>
        <v>0</v>
      </c>
      <c r="UMF1599" s="55">
        <f t="shared" ref="UMF1599:UOQ1599" si="521">+(UMF1619+UMF1623)*1.18*1.1</f>
        <v>0</v>
      </c>
      <c r="UMG1599" s="55">
        <f t="shared" si="521"/>
        <v>0</v>
      </c>
      <c r="UMH1599" s="55">
        <f t="shared" si="521"/>
        <v>0</v>
      </c>
      <c r="UMI1599" s="55">
        <f t="shared" si="521"/>
        <v>0</v>
      </c>
      <c r="UMJ1599" s="55">
        <f t="shared" si="521"/>
        <v>0</v>
      </c>
      <c r="UMK1599" s="55">
        <f t="shared" si="521"/>
        <v>0</v>
      </c>
      <c r="UML1599" s="55">
        <f t="shared" si="521"/>
        <v>0</v>
      </c>
      <c r="UMM1599" s="55">
        <f t="shared" si="521"/>
        <v>0</v>
      </c>
      <c r="UMN1599" s="55">
        <f t="shared" si="521"/>
        <v>0</v>
      </c>
      <c r="UMO1599" s="55">
        <f t="shared" si="521"/>
        <v>0</v>
      </c>
      <c r="UMP1599" s="55">
        <f t="shared" si="521"/>
        <v>0</v>
      </c>
      <c r="UMQ1599" s="55">
        <f t="shared" si="521"/>
        <v>0</v>
      </c>
      <c r="UMR1599" s="55">
        <f t="shared" si="521"/>
        <v>0</v>
      </c>
      <c r="UMS1599" s="55">
        <f t="shared" si="521"/>
        <v>0</v>
      </c>
      <c r="UMT1599" s="55">
        <f t="shared" si="521"/>
        <v>0</v>
      </c>
      <c r="UMU1599" s="55">
        <f t="shared" si="521"/>
        <v>0</v>
      </c>
      <c r="UMV1599" s="55">
        <f t="shared" si="521"/>
        <v>0</v>
      </c>
      <c r="UMW1599" s="55">
        <f t="shared" si="521"/>
        <v>0</v>
      </c>
      <c r="UMX1599" s="55">
        <f t="shared" si="521"/>
        <v>0</v>
      </c>
      <c r="UMY1599" s="55">
        <f t="shared" si="521"/>
        <v>0</v>
      </c>
      <c r="UMZ1599" s="55">
        <f t="shared" si="521"/>
        <v>0</v>
      </c>
      <c r="UNA1599" s="55">
        <f t="shared" si="521"/>
        <v>0</v>
      </c>
      <c r="UNB1599" s="55">
        <f t="shared" si="521"/>
        <v>0</v>
      </c>
      <c r="UNC1599" s="55">
        <f t="shared" si="521"/>
        <v>0</v>
      </c>
      <c r="UND1599" s="55">
        <f t="shared" si="521"/>
        <v>0</v>
      </c>
      <c r="UNE1599" s="55">
        <f t="shared" si="521"/>
        <v>0</v>
      </c>
      <c r="UNF1599" s="55">
        <f t="shared" si="521"/>
        <v>0</v>
      </c>
      <c r="UNG1599" s="55">
        <f t="shared" si="521"/>
        <v>0</v>
      </c>
      <c r="UNH1599" s="55">
        <f t="shared" si="521"/>
        <v>0</v>
      </c>
      <c r="UNI1599" s="55">
        <f t="shared" si="521"/>
        <v>0</v>
      </c>
      <c r="UNJ1599" s="55">
        <f t="shared" si="521"/>
        <v>0</v>
      </c>
      <c r="UNK1599" s="55">
        <f t="shared" si="521"/>
        <v>0</v>
      </c>
      <c r="UNL1599" s="55">
        <f t="shared" si="521"/>
        <v>0</v>
      </c>
      <c r="UNM1599" s="55">
        <f t="shared" si="521"/>
        <v>0</v>
      </c>
      <c r="UNN1599" s="55">
        <f t="shared" si="521"/>
        <v>0</v>
      </c>
      <c r="UNO1599" s="55">
        <f t="shared" si="521"/>
        <v>0</v>
      </c>
      <c r="UNP1599" s="55">
        <f t="shared" si="521"/>
        <v>0</v>
      </c>
      <c r="UNQ1599" s="55">
        <f t="shared" si="521"/>
        <v>0</v>
      </c>
      <c r="UNR1599" s="55">
        <f t="shared" si="521"/>
        <v>0</v>
      </c>
      <c r="UNS1599" s="55">
        <f t="shared" si="521"/>
        <v>0</v>
      </c>
      <c r="UNT1599" s="55">
        <f t="shared" si="521"/>
        <v>0</v>
      </c>
      <c r="UNU1599" s="55">
        <f t="shared" si="521"/>
        <v>0</v>
      </c>
      <c r="UNV1599" s="55">
        <f t="shared" si="521"/>
        <v>0</v>
      </c>
      <c r="UNW1599" s="55">
        <f t="shared" si="521"/>
        <v>0</v>
      </c>
      <c r="UNX1599" s="55">
        <f t="shared" si="521"/>
        <v>0</v>
      </c>
      <c r="UNY1599" s="55">
        <f t="shared" si="521"/>
        <v>0</v>
      </c>
      <c r="UNZ1599" s="55">
        <f t="shared" si="521"/>
        <v>0</v>
      </c>
      <c r="UOA1599" s="55">
        <f t="shared" si="521"/>
        <v>0</v>
      </c>
      <c r="UOB1599" s="55">
        <f t="shared" si="521"/>
        <v>0</v>
      </c>
      <c r="UOC1599" s="55">
        <f t="shared" si="521"/>
        <v>0</v>
      </c>
      <c r="UOD1599" s="55">
        <f t="shared" si="521"/>
        <v>0</v>
      </c>
      <c r="UOE1599" s="55">
        <f t="shared" si="521"/>
        <v>0</v>
      </c>
      <c r="UOF1599" s="55">
        <f t="shared" si="521"/>
        <v>0</v>
      </c>
      <c r="UOG1599" s="55">
        <f t="shared" si="521"/>
        <v>0</v>
      </c>
      <c r="UOH1599" s="55">
        <f t="shared" si="521"/>
        <v>0</v>
      </c>
      <c r="UOI1599" s="55">
        <f t="shared" si="521"/>
        <v>0</v>
      </c>
      <c r="UOJ1599" s="55">
        <f t="shared" si="521"/>
        <v>0</v>
      </c>
      <c r="UOK1599" s="55">
        <f t="shared" si="521"/>
        <v>0</v>
      </c>
      <c r="UOL1599" s="55">
        <f t="shared" si="521"/>
        <v>0</v>
      </c>
      <c r="UOM1599" s="55">
        <f t="shared" si="521"/>
        <v>0</v>
      </c>
      <c r="UON1599" s="55">
        <f t="shared" si="521"/>
        <v>0</v>
      </c>
      <c r="UOO1599" s="55">
        <f t="shared" si="521"/>
        <v>0</v>
      </c>
      <c r="UOP1599" s="55">
        <f t="shared" si="521"/>
        <v>0</v>
      </c>
      <c r="UOQ1599" s="55">
        <f t="shared" si="521"/>
        <v>0</v>
      </c>
      <c r="UOR1599" s="55">
        <f t="shared" ref="UOR1599:URC1599" si="522">+(UOR1619+UOR1623)*1.18*1.1</f>
        <v>0</v>
      </c>
      <c r="UOS1599" s="55">
        <f t="shared" si="522"/>
        <v>0</v>
      </c>
      <c r="UOT1599" s="55">
        <f t="shared" si="522"/>
        <v>0</v>
      </c>
      <c r="UOU1599" s="55">
        <f t="shared" si="522"/>
        <v>0</v>
      </c>
      <c r="UOV1599" s="55">
        <f t="shared" si="522"/>
        <v>0</v>
      </c>
      <c r="UOW1599" s="55">
        <f t="shared" si="522"/>
        <v>0</v>
      </c>
      <c r="UOX1599" s="55">
        <f t="shared" si="522"/>
        <v>0</v>
      </c>
      <c r="UOY1599" s="55">
        <f t="shared" si="522"/>
        <v>0</v>
      </c>
      <c r="UOZ1599" s="55">
        <f t="shared" si="522"/>
        <v>0</v>
      </c>
      <c r="UPA1599" s="55">
        <f t="shared" si="522"/>
        <v>0</v>
      </c>
      <c r="UPB1599" s="55">
        <f t="shared" si="522"/>
        <v>0</v>
      </c>
      <c r="UPC1599" s="55">
        <f t="shared" si="522"/>
        <v>0</v>
      </c>
      <c r="UPD1599" s="55">
        <f t="shared" si="522"/>
        <v>0</v>
      </c>
      <c r="UPE1599" s="55">
        <f t="shared" si="522"/>
        <v>0</v>
      </c>
      <c r="UPF1599" s="55">
        <f t="shared" si="522"/>
        <v>0</v>
      </c>
      <c r="UPG1599" s="55">
        <f t="shared" si="522"/>
        <v>0</v>
      </c>
      <c r="UPH1599" s="55">
        <f t="shared" si="522"/>
        <v>0</v>
      </c>
      <c r="UPI1599" s="55">
        <f t="shared" si="522"/>
        <v>0</v>
      </c>
      <c r="UPJ1599" s="55">
        <f t="shared" si="522"/>
        <v>0</v>
      </c>
      <c r="UPK1599" s="55">
        <f t="shared" si="522"/>
        <v>0</v>
      </c>
      <c r="UPL1599" s="55">
        <f t="shared" si="522"/>
        <v>0</v>
      </c>
      <c r="UPM1599" s="55">
        <f t="shared" si="522"/>
        <v>0</v>
      </c>
      <c r="UPN1599" s="55">
        <f t="shared" si="522"/>
        <v>0</v>
      </c>
      <c r="UPO1599" s="55">
        <f t="shared" si="522"/>
        <v>0</v>
      </c>
      <c r="UPP1599" s="55">
        <f t="shared" si="522"/>
        <v>0</v>
      </c>
      <c r="UPQ1599" s="55">
        <f t="shared" si="522"/>
        <v>0</v>
      </c>
      <c r="UPR1599" s="55">
        <f t="shared" si="522"/>
        <v>0</v>
      </c>
      <c r="UPS1599" s="55">
        <f t="shared" si="522"/>
        <v>0</v>
      </c>
      <c r="UPT1599" s="55">
        <f t="shared" si="522"/>
        <v>0</v>
      </c>
      <c r="UPU1599" s="55">
        <f t="shared" si="522"/>
        <v>0</v>
      </c>
      <c r="UPV1599" s="55">
        <f t="shared" si="522"/>
        <v>0</v>
      </c>
      <c r="UPW1599" s="55">
        <f t="shared" si="522"/>
        <v>0</v>
      </c>
      <c r="UPX1599" s="55">
        <f t="shared" si="522"/>
        <v>0</v>
      </c>
      <c r="UPY1599" s="55">
        <f t="shared" si="522"/>
        <v>0</v>
      </c>
      <c r="UPZ1599" s="55">
        <f t="shared" si="522"/>
        <v>0</v>
      </c>
      <c r="UQA1599" s="55">
        <f t="shared" si="522"/>
        <v>0</v>
      </c>
      <c r="UQB1599" s="55">
        <f t="shared" si="522"/>
        <v>0</v>
      </c>
      <c r="UQC1599" s="55">
        <f t="shared" si="522"/>
        <v>0</v>
      </c>
      <c r="UQD1599" s="55">
        <f t="shared" si="522"/>
        <v>0</v>
      </c>
      <c r="UQE1599" s="55">
        <f t="shared" si="522"/>
        <v>0</v>
      </c>
      <c r="UQF1599" s="55">
        <f t="shared" si="522"/>
        <v>0</v>
      </c>
      <c r="UQG1599" s="55">
        <f t="shared" si="522"/>
        <v>0</v>
      </c>
      <c r="UQH1599" s="55">
        <f t="shared" si="522"/>
        <v>0</v>
      </c>
      <c r="UQI1599" s="55">
        <f t="shared" si="522"/>
        <v>0</v>
      </c>
      <c r="UQJ1599" s="55">
        <f t="shared" si="522"/>
        <v>0</v>
      </c>
      <c r="UQK1599" s="55">
        <f t="shared" si="522"/>
        <v>0</v>
      </c>
      <c r="UQL1599" s="55">
        <f t="shared" si="522"/>
        <v>0</v>
      </c>
      <c r="UQM1599" s="55">
        <f t="shared" si="522"/>
        <v>0</v>
      </c>
      <c r="UQN1599" s="55">
        <f t="shared" si="522"/>
        <v>0</v>
      </c>
      <c r="UQO1599" s="55">
        <f t="shared" si="522"/>
        <v>0</v>
      </c>
      <c r="UQP1599" s="55">
        <f t="shared" si="522"/>
        <v>0</v>
      </c>
      <c r="UQQ1599" s="55">
        <f t="shared" si="522"/>
        <v>0</v>
      </c>
      <c r="UQR1599" s="55">
        <f t="shared" si="522"/>
        <v>0</v>
      </c>
      <c r="UQS1599" s="55">
        <f t="shared" si="522"/>
        <v>0</v>
      </c>
      <c r="UQT1599" s="55">
        <f t="shared" si="522"/>
        <v>0</v>
      </c>
      <c r="UQU1599" s="55">
        <f t="shared" si="522"/>
        <v>0</v>
      </c>
      <c r="UQV1599" s="55">
        <f t="shared" si="522"/>
        <v>0</v>
      </c>
      <c r="UQW1599" s="55">
        <f t="shared" si="522"/>
        <v>0</v>
      </c>
      <c r="UQX1599" s="55">
        <f t="shared" si="522"/>
        <v>0</v>
      </c>
      <c r="UQY1599" s="55">
        <f t="shared" si="522"/>
        <v>0</v>
      </c>
      <c r="UQZ1599" s="55">
        <f t="shared" si="522"/>
        <v>0</v>
      </c>
      <c r="URA1599" s="55">
        <f t="shared" si="522"/>
        <v>0</v>
      </c>
      <c r="URB1599" s="55">
        <f t="shared" si="522"/>
        <v>0</v>
      </c>
      <c r="URC1599" s="55">
        <f t="shared" si="522"/>
        <v>0</v>
      </c>
      <c r="URD1599" s="55">
        <f t="shared" ref="URD1599:UTO1599" si="523">+(URD1619+URD1623)*1.18*1.1</f>
        <v>0</v>
      </c>
      <c r="URE1599" s="55">
        <f t="shared" si="523"/>
        <v>0</v>
      </c>
      <c r="URF1599" s="55">
        <f t="shared" si="523"/>
        <v>0</v>
      </c>
      <c r="URG1599" s="55">
        <f t="shared" si="523"/>
        <v>0</v>
      </c>
      <c r="URH1599" s="55">
        <f t="shared" si="523"/>
        <v>0</v>
      </c>
      <c r="URI1599" s="55">
        <f t="shared" si="523"/>
        <v>0</v>
      </c>
      <c r="URJ1599" s="55">
        <f t="shared" si="523"/>
        <v>0</v>
      </c>
      <c r="URK1599" s="55">
        <f t="shared" si="523"/>
        <v>0</v>
      </c>
      <c r="URL1599" s="55">
        <f t="shared" si="523"/>
        <v>0</v>
      </c>
      <c r="URM1599" s="55">
        <f t="shared" si="523"/>
        <v>0</v>
      </c>
      <c r="URN1599" s="55">
        <f t="shared" si="523"/>
        <v>0</v>
      </c>
      <c r="URO1599" s="55">
        <f t="shared" si="523"/>
        <v>0</v>
      </c>
      <c r="URP1599" s="55">
        <f t="shared" si="523"/>
        <v>0</v>
      </c>
      <c r="URQ1599" s="55">
        <f t="shared" si="523"/>
        <v>0</v>
      </c>
      <c r="URR1599" s="55">
        <f t="shared" si="523"/>
        <v>0</v>
      </c>
      <c r="URS1599" s="55">
        <f t="shared" si="523"/>
        <v>0</v>
      </c>
      <c r="URT1599" s="55">
        <f t="shared" si="523"/>
        <v>0</v>
      </c>
      <c r="URU1599" s="55">
        <f t="shared" si="523"/>
        <v>0</v>
      </c>
      <c r="URV1599" s="55">
        <f t="shared" si="523"/>
        <v>0</v>
      </c>
      <c r="URW1599" s="55">
        <f t="shared" si="523"/>
        <v>0</v>
      </c>
      <c r="URX1599" s="55">
        <f t="shared" si="523"/>
        <v>0</v>
      </c>
      <c r="URY1599" s="55">
        <f t="shared" si="523"/>
        <v>0</v>
      </c>
      <c r="URZ1599" s="55">
        <f t="shared" si="523"/>
        <v>0</v>
      </c>
      <c r="USA1599" s="55">
        <f t="shared" si="523"/>
        <v>0</v>
      </c>
      <c r="USB1599" s="55">
        <f t="shared" si="523"/>
        <v>0</v>
      </c>
      <c r="USC1599" s="55">
        <f t="shared" si="523"/>
        <v>0</v>
      </c>
      <c r="USD1599" s="55">
        <f t="shared" si="523"/>
        <v>0</v>
      </c>
      <c r="USE1599" s="55">
        <f t="shared" si="523"/>
        <v>0</v>
      </c>
      <c r="USF1599" s="55">
        <f t="shared" si="523"/>
        <v>0</v>
      </c>
      <c r="USG1599" s="55">
        <f t="shared" si="523"/>
        <v>0</v>
      </c>
      <c r="USH1599" s="55">
        <f t="shared" si="523"/>
        <v>0</v>
      </c>
      <c r="USI1599" s="55">
        <f t="shared" si="523"/>
        <v>0</v>
      </c>
      <c r="USJ1599" s="55">
        <f t="shared" si="523"/>
        <v>0</v>
      </c>
      <c r="USK1599" s="55">
        <f t="shared" si="523"/>
        <v>0</v>
      </c>
      <c r="USL1599" s="55">
        <f t="shared" si="523"/>
        <v>0</v>
      </c>
      <c r="USM1599" s="55">
        <f t="shared" si="523"/>
        <v>0</v>
      </c>
      <c r="USN1599" s="55">
        <f t="shared" si="523"/>
        <v>0</v>
      </c>
      <c r="USO1599" s="55">
        <f t="shared" si="523"/>
        <v>0</v>
      </c>
      <c r="USP1599" s="55">
        <f t="shared" si="523"/>
        <v>0</v>
      </c>
      <c r="USQ1599" s="55">
        <f t="shared" si="523"/>
        <v>0</v>
      </c>
      <c r="USR1599" s="55">
        <f t="shared" si="523"/>
        <v>0</v>
      </c>
      <c r="USS1599" s="55">
        <f t="shared" si="523"/>
        <v>0</v>
      </c>
      <c r="UST1599" s="55">
        <f t="shared" si="523"/>
        <v>0</v>
      </c>
      <c r="USU1599" s="55">
        <f t="shared" si="523"/>
        <v>0</v>
      </c>
      <c r="USV1599" s="55">
        <f t="shared" si="523"/>
        <v>0</v>
      </c>
      <c r="USW1599" s="55">
        <f t="shared" si="523"/>
        <v>0</v>
      </c>
      <c r="USX1599" s="55">
        <f t="shared" si="523"/>
        <v>0</v>
      </c>
      <c r="USY1599" s="55">
        <f t="shared" si="523"/>
        <v>0</v>
      </c>
      <c r="USZ1599" s="55">
        <f t="shared" si="523"/>
        <v>0</v>
      </c>
      <c r="UTA1599" s="55">
        <f t="shared" si="523"/>
        <v>0</v>
      </c>
      <c r="UTB1599" s="55">
        <f t="shared" si="523"/>
        <v>0</v>
      </c>
      <c r="UTC1599" s="55">
        <f t="shared" si="523"/>
        <v>0</v>
      </c>
      <c r="UTD1599" s="55">
        <f t="shared" si="523"/>
        <v>0</v>
      </c>
      <c r="UTE1599" s="55">
        <f t="shared" si="523"/>
        <v>0</v>
      </c>
      <c r="UTF1599" s="55">
        <f t="shared" si="523"/>
        <v>0</v>
      </c>
      <c r="UTG1599" s="55">
        <f t="shared" si="523"/>
        <v>0</v>
      </c>
      <c r="UTH1599" s="55">
        <f t="shared" si="523"/>
        <v>0</v>
      </c>
      <c r="UTI1599" s="55">
        <f t="shared" si="523"/>
        <v>0</v>
      </c>
      <c r="UTJ1599" s="55">
        <f t="shared" si="523"/>
        <v>0</v>
      </c>
      <c r="UTK1599" s="55">
        <f t="shared" si="523"/>
        <v>0</v>
      </c>
      <c r="UTL1599" s="55">
        <f t="shared" si="523"/>
        <v>0</v>
      </c>
      <c r="UTM1599" s="55">
        <f t="shared" si="523"/>
        <v>0</v>
      </c>
      <c r="UTN1599" s="55">
        <f t="shared" si="523"/>
        <v>0</v>
      </c>
      <c r="UTO1599" s="55">
        <f t="shared" si="523"/>
        <v>0</v>
      </c>
      <c r="UTP1599" s="55">
        <f t="shared" ref="UTP1599:UWA1599" si="524">+(UTP1619+UTP1623)*1.18*1.1</f>
        <v>0</v>
      </c>
      <c r="UTQ1599" s="55">
        <f t="shared" si="524"/>
        <v>0</v>
      </c>
      <c r="UTR1599" s="55">
        <f t="shared" si="524"/>
        <v>0</v>
      </c>
      <c r="UTS1599" s="55">
        <f t="shared" si="524"/>
        <v>0</v>
      </c>
      <c r="UTT1599" s="55">
        <f t="shared" si="524"/>
        <v>0</v>
      </c>
      <c r="UTU1599" s="55">
        <f t="shared" si="524"/>
        <v>0</v>
      </c>
      <c r="UTV1599" s="55">
        <f t="shared" si="524"/>
        <v>0</v>
      </c>
      <c r="UTW1599" s="55">
        <f t="shared" si="524"/>
        <v>0</v>
      </c>
      <c r="UTX1599" s="55">
        <f t="shared" si="524"/>
        <v>0</v>
      </c>
      <c r="UTY1599" s="55">
        <f t="shared" si="524"/>
        <v>0</v>
      </c>
      <c r="UTZ1599" s="55">
        <f t="shared" si="524"/>
        <v>0</v>
      </c>
      <c r="UUA1599" s="55">
        <f t="shared" si="524"/>
        <v>0</v>
      </c>
      <c r="UUB1599" s="55">
        <f t="shared" si="524"/>
        <v>0</v>
      </c>
      <c r="UUC1599" s="55">
        <f t="shared" si="524"/>
        <v>0</v>
      </c>
      <c r="UUD1599" s="55">
        <f t="shared" si="524"/>
        <v>0</v>
      </c>
      <c r="UUE1599" s="55">
        <f t="shared" si="524"/>
        <v>0</v>
      </c>
      <c r="UUF1599" s="55">
        <f t="shared" si="524"/>
        <v>0</v>
      </c>
      <c r="UUG1599" s="55">
        <f t="shared" si="524"/>
        <v>0</v>
      </c>
      <c r="UUH1599" s="55">
        <f t="shared" si="524"/>
        <v>0</v>
      </c>
      <c r="UUI1599" s="55">
        <f t="shared" si="524"/>
        <v>0</v>
      </c>
      <c r="UUJ1599" s="55">
        <f t="shared" si="524"/>
        <v>0</v>
      </c>
      <c r="UUK1599" s="55">
        <f t="shared" si="524"/>
        <v>0</v>
      </c>
      <c r="UUL1599" s="55">
        <f t="shared" si="524"/>
        <v>0</v>
      </c>
      <c r="UUM1599" s="55">
        <f t="shared" si="524"/>
        <v>0</v>
      </c>
      <c r="UUN1599" s="55">
        <f t="shared" si="524"/>
        <v>0</v>
      </c>
      <c r="UUO1599" s="55">
        <f t="shared" si="524"/>
        <v>0</v>
      </c>
      <c r="UUP1599" s="55">
        <f t="shared" si="524"/>
        <v>0</v>
      </c>
      <c r="UUQ1599" s="55">
        <f t="shared" si="524"/>
        <v>0</v>
      </c>
      <c r="UUR1599" s="55">
        <f t="shared" si="524"/>
        <v>0</v>
      </c>
      <c r="UUS1599" s="55">
        <f t="shared" si="524"/>
        <v>0</v>
      </c>
      <c r="UUT1599" s="55">
        <f t="shared" si="524"/>
        <v>0</v>
      </c>
      <c r="UUU1599" s="55">
        <f t="shared" si="524"/>
        <v>0</v>
      </c>
      <c r="UUV1599" s="55">
        <f t="shared" si="524"/>
        <v>0</v>
      </c>
      <c r="UUW1599" s="55">
        <f t="shared" si="524"/>
        <v>0</v>
      </c>
      <c r="UUX1599" s="55">
        <f t="shared" si="524"/>
        <v>0</v>
      </c>
      <c r="UUY1599" s="55">
        <f t="shared" si="524"/>
        <v>0</v>
      </c>
      <c r="UUZ1599" s="55">
        <f t="shared" si="524"/>
        <v>0</v>
      </c>
      <c r="UVA1599" s="55">
        <f t="shared" si="524"/>
        <v>0</v>
      </c>
      <c r="UVB1599" s="55">
        <f t="shared" si="524"/>
        <v>0</v>
      </c>
      <c r="UVC1599" s="55">
        <f t="shared" si="524"/>
        <v>0</v>
      </c>
      <c r="UVD1599" s="55">
        <f t="shared" si="524"/>
        <v>0</v>
      </c>
      <c r="UVE1599" s="55">
        <f t="shared" si="524"/>
        <v>0</v>
      </c>
      <c r="UVF1599" s="55">
        <f t="shared" si="524"/>
        <v>0</v>
      </c>
      <c r="UVG1599" s="55">
        <f t="shared" si="524"/>
        <v>0</v>
      </c>
      <c r="UVH1599" s="55">
        <f t="shared" si="524"/>
        <v>0</v>
      </c>
      <c r="UVI1599" s="55">
        <f t="shared" si="524"/>
        <v>0</v>
      </c>
      <c r="UVJ1599" s="55">
        <f t="shared" si="524"/>
        <v>0</v>
      </c>
      <c r="UVK1599" s="55">
        <f t="shared" si="524"/>
        <v>0</v>
      </c>
      <c r="UVL1599" s="55">
        <f t="shared" si="524"/>
        <v>0</v>
      </c>
      <c r="UVM1599" s="55">
        <f t="shared" si="524"/>
        <v>0</v>
      </c>
      <c r="UVN1599" s="55">
        <f t="shared" si="524"/>
        <v>0</v>
      </c>
      <c r="UVO1599" s="55">
        <f t="shared" si="524"/>
        <v>0</v>
      </c>
      <c r="UVP1599" s="55">
        <f t="shared" si="524"/>
        <v>0</v>
      </c>
      <c r="UVQ1599" s="55">
        <f t="shared" si="524"/>
        <v>0</v>
      </c>
      <c r="UVR1599" s="55">
        <f t="shared" si="524"/>
        <v>0</v>
      </c>
      <c r="UVS1599" s="55">
        <f t="shared" si="524"/>
        <v>0</v>
      </c>
      <c r="UVT1599" s="55">
        <f t="shared" si="524"/>
        <v>0</v>
      </c>
      <c r="UVU1599" s="55">
        <f t="shared" si="524"/>
        <v>0</v>
      </c>
      <c r="UVV1599" s="55">
        <f t="shared" si="524"/>
        <v>0</v>
      </c>
      <c r="UVW1599" s="55">
        <f t="shared" si="524"/>
        <v>0</v>
      </c>
      <c r="UVX1599" s="55">
        <f t="shared" si="524"/>
        <v>0</v>
      </c>
      <c r="UVY1599" s="55">
        <f t="shared" si="524"/>
        <v>0</v>
      </c>
      <c r="UVZ1599" s="55">
        <f t="shared" si="524"/>
        <v>0</v>
      </c>
      <c r="UWA1599" s="55">
        <f t="shared" si="524"/>
        <v>0</v>
      </c>
      <c r="UWB1599" s="55">
        <f t="shared" ref="UWB1599:UYM1599" si="525">+(UWB1619+UWB1623)*1.18*1.1</f>
        <v>0</v>
      </c>
      <c r="UWC1599" s="55">
        <f t="shared" si="525"/>
        <v>0</v>
      </c>
      <c r="UWD1599" s="55">
        <f t="shared" si="525"/>
        <v>0</v>
      </c>
      <c r="UWE1599" s="55">
        <f t="shared" si="525"/>
        <v>0</v>
      </c>
      <c r="UWF1599" s="55">
        <f t="shared" si="525"/>
        <v>0</v>
      </c>
      <c r="UWG1599" s="55">
        <f t="shared" si="525"/>
        <v>0</v>
      </c>
      <c r="UWH1599" s="55">
        <f t="shared" si="525"/>
        <v>0</v>
      </c>
      <c r="UWI1599" s="55">
        <f t="shared" si="525"/>
        <v>0</v>
      </c>
      <c r="UWJ1599" s="55">
        <f t="shared" si="525"/>
        <v>0</v>
      </c>
      <c r="UWK1599" s="55">
        <f t="shared" si="525"/>
        <v>0</v>
      </c>
      <c r="UWL1599" s="55">
        <f t="shared" si="525"/>
        <v>0</v>
      </c>
      <c r="UWM1599" s="55">
        <f t="shared" si="525"/>
        <v>0</v>
      </c>
      <c r="UWN1599" s="55">
        <f t="shared" si="525"/>
        <v>0</v>
      </c>
      <c r="UWO1599" s="55">
        <f t="shared" si="525"/>
        <v>0</v>
      </c>
      <c r="UWP1599" s="55">
        <f t="shared" si="525"/>
        <v>0</v>
      </c>
      <c r="UWQ1599" s="55">
        <f t="shared" si="525"/>
        <v>0</v>
      </c>
      <c r="UWR1599" s="55">
        <f t="shared" si="525"/>
        <v>0</v>
      </c>
      <c r="UWS1599" s="55">
        <f t="shared" si="525"/>
        <v>0</v>
      </c>
      <c r="UWT1599" s="55">
        <f t="shared" si="525"/>
        <v>0</v>
      </c>
      <c r="UWU1599" s="55">
        <f t="shared" si="525"/>
        <v>0</v>
      </c>
      <c r="UWV1599" s="55">
        <f t="shared" si="525"/>
        <v>0</v>
      </c>
      <c r="UWW1599" s="55">
        <f t="shared" si="525"/>
        <v>0</v>
      </c>
      <c r="UWX1599" s="55">
        <f t="shared" si="525"/>
        <v>0</v>
      </c>
      <c r="UWY1599" s="55">
        <f t="shared" si="525"/>
        <v>0</v>
      </c>
      <c r="UWZ1599" s="55">
        <f t="shared" si="525"/>
        <v>0</v>
      </c>
      <c r="UXA1599" s="55">
        <f t="shared" si="525"/>
        <v>0</v>
      </c>
      <c r="UXB1599" s="55">
        <f t="shared" si="525"/>
        <v>0</v>
      </c>
      <c r="UXC1599" s="55">
        <f t="shared" si="525"/>
        <v>0</v>
      </c>
      <c r="UXD1599" s="55">
        <f t="shared" si="525"/>
        <v>0</v>
      </c>
      <c r="UXE1599" s="55">
        <f t="shared" si="525"/>
        <v>0</v>
      </c>
      <c r="UXF1599" s="55">
        <f t="shared" si="525"/>
        <v>0</v>
      </c>
      <c r="UXG1599" s="55">
        <f t="shared" si="525"/>
        <v>0</v>
      </c>
      <c r="UXH1599" s="55">
        <f t="shared" si="525"/>
        <v>0</v>
      </c>
      <c r="UXI1599" s="55">
        <f t="shared" si="525"/>
        <v>0</v>
      </c>
      <c r="UXJ1599" s="55">
        <f t="shared" si="525"/>
        <v>0</v>
      </c>
      <c r="UXK1599" s="55">
        <f t="shared" si="525"/>
        <v>0</v>
      </c>
      <c r="UXL1599" s="55">
        <f t="shared" si="525"/>
        <v>0</v>
      </c>
      <c r="UXM1599" s="55">
        <f t="shared" si="525"/>
        <v>0</v>
      </c>
      <c r="UXN1599" s="55">
        <f t="shared" si="525"/>
        <v>0</v>
      </c>
      <c r="UXO1599" s="55">
        <f t="shared" si="525"/>
        <v>0</v>
      </c>
      <c r="UXP1599" s="55">
        <f t="shared" si="525"/>
        <v>0</v>
      </c>
      <c r="UXQ1599" s="55">
        <f t="shared" si="525"/>
        <v>0</v>
      </c>
      <c r="UXR1599" s="55">
        <f t="shared" si="525"/>
        <v>0</v>
      </c>
      <c r="UXS1599" s="55">
        <f t="shared" si="525"/>
        <v>0</v>
      </c>
      <c r="UXT1599" s="55">
        <f t="shared" si="525"/>
        <v>0</v>
      </c>
      <c r="UXU1599" s="55">
        <f t="shared" si="525"/>
        <v>0</v>
      </c>
      <c r="UXV1599" s="55">
        <f t="shared" si="525"/>
        <v>0</v>
      </c>
      <c r="UXW1599" s="55">
        <f t="shared" si="525"/>
        <v>0</v>
      </c>
      <c r="UXX1599" s="55">
        <f t="shared" si="525"/>
        <v>0</v>
      </c>
      <c r="UXY1599" s="55">
        <f t="shared" si="525"/>
        <v>0</v>
      </c>
      <c r="UXZ1599" s="55">
        <f t="shared" si="525"/>
        <v>0</v>
      </c>
      <c r="UYA1599" s="55">
        <f t="shared" si="525"/>
        <v>0</v>
      </c>
      <c r="UYB1599" s="55">
        <f t="shared" si="525"/>
        <v>0</v>
      </c>
      <c r="UYC1599" s="55">
        <f t="shared" si="525"/>
        <v>0</v>
      </c>
      <c r="UYD1599" s="55">
        <f t="shared" si="525"/>
        <v>0</v>
      </c>
      <c r="UYE1599" s="55">
        <f t="shared" si="525"/>
        <v>0</v>
      </c>
      <c r="UYF1599" s="55">
        <f t="shared" si="525"/>
        <v>0</v>
      </c>
      <c r="UYG1599" s="55">
        <f t="shared" si="525"/>
        <v>0</v>
      </c>
      <c r="UYH1599" s="55">
        <f t="shared" si="525"/>
        <v>0</v>
      </c>
      <c r="UYI1599" s="55">
        <f t="shared" si="525"/>
        <v>0</v>
      </c>
      <c r="UYJ1599" s="55">
        <f t="shared" si="525"/>
        <v>0</v>
      </c>
      <c r="UYK1599" s="55">
        <f t="shared" si="525"/>
        <v>0</v>
      </c>
      <c r="UYL1599" s="55">
        <f t="shared" si="525"/>
        <v>0</v>
      </c>
      <c r="UYM1599" s="55">
        <f t="shared" si="525"/>
        <v>0</v>
      </c>
      <c r="UYN1599" s="55">
        <f t="shared" ref="UYN1599:VAY1599" si="526">+(UYN1619+UYN1623)*1.18*1.1</f>
        <v>0</v>
      </c>
      <c r="UYO1599" s="55">
        <f t="shared" si="526"/>
        <v>0</v>
      </c>
      <c r="UYP1599" s="55">
        <f t="shared" si="526"/>
        <v>0</v>
      </c>
      <c r="UYQ1599" s="55">
        <f t="shared" si="526"/>
        <v>0</v>
      </c>
      <c r="UYR1599" s="55">
        <f t="shared" si="526"/>
        <v>0</v>
      </c>
      <c r="UYS1599" s="55">
        <f t="shared" si="526"/>
        <v>0</v>
      </c>
      <c r="UYT1599" s="55">
        <f t="shared" si="526"/>
        <v>0</v>
      </c>
      <c r="UYU1599" s="55">
        <f t="shared" si="526"/>
        <v>0</v>
      </c>
      <c r="UYV1599" s="55">
        <f t="shared" si="526"/>
        <v>0</v>
      </c>
      <c r="UYW1599" s="55">
        <f t="shared" si="526"/>
        <v>0</v>
      </c>
      <c r="UYX1599" s="55">
        <f t="shared" si="526"/>
        <v>0</v>
      </c>
      <c r="UYY1599" s="55">
        <f t="shared" si="526"/>
        <v>0</v>
      </c>
      <c r="UYZ1599" s="55">
        <f t="shared" si="526"/>
        <v>0</v>
      </c>
      <c r="UZA1599" s="55">
        <f t="shared" si="526"/>
        <v>0</v>
      </c>
      <c r="UZB1599" s="55">
        <f t="shared" si="526"/>
        <v>0</v>
      </c>
      <c r="UZC1599" s="55">
        <f t="shared" si="526"/>
        <v>0</v>
      </c>
      <c r="UZD1599" s="55">
        <f t="shared" si="526"/>
        <v>0</v>
      </c>
      <c r="UZE1599" s="55">
        <f t="shared" si="526"/>
        <v>0</v>
      </c>
      <c r="UZF1599" s="55">
        <f t="shared" si="526"/>
        <v>0</v>
      </c>
      <c r="UZG1599" s="55">
        <f t="shared" si="526"/>
        <v>0</v>
      </c>
      <c r="UZH1599" s="55">
        <f t="shared" si="526"/>
        <v>0</v>
      </c>
      <c r="UZI1599" s="55">
        <f t="shared" si="526"/>
        <v>0</v>
      </c>
      <c r="UZJ1599" s="55">
        <f t="shared" si="526"/>
        <v>0</v>
      </c>
      <c r="UZK1599" s="55">
        <f t="shared" si="526"/>
        <v>0</v>
      </c>
      <c r="UZL1599" s="55">
        <f t="shared" si="526"/>
        <v>0</v>
      </c>
      <c r="UZM1599" s="55">
        <f t="shared" si="526"/>
        <v>0</v>
      </c>
      <c r="UZN1599" s="55">
        <f t="shared" si="526"/>
        <v>0</v>
      </c>
      <c r="UZO1599" s="55">
        <f t="shared" si="526"/>
        <v>0</v>
      </c>
      <c r="UZP1599" s="55">
        <f t="shared" si="526"/>
        <v>0</v>
      </c>
      <c r="UZQ1599" s="55">
        <f t="shared" si="526"/>
        <v>0</v>
      </c>
      <c r="UZR1599" s="55">
        <f t="shared" si="526"/>
        <v>0</v>
      </c>
      <c r="UZS1599" s="55">
        <f t="shared" si="526"/>
        <v>0</v>
      </c>
      <c r="UZT1599" s="55">
        <f t="shared" si="526"/>
        <v>0</v>
      </c>
      <c r="UZU1599" s="55">
        <f t="shared" si="526"/>
        <v>0</v>
      </c>
      <c r="UZV1599" s="55">
        <f t="shared" si="526"/>
        <v>0</v>
      </c>
      <c r="UZW1599" s="55">
        <f t="shared" si="526"/>
        <v>0</v>
      </c>
      <c r="UZX1599" s="55">
        <f t="shared" si="526"/>
        <v>0</v>
      </c>
      <c r="UZY1599" s="55">
        <f t="shared" si="526"/>
        <v>0</v>
      </c>
      <c r="UZZ1599" s="55">
        <f t="shared" si="526"/>
        <v>0</v>
      </c>
      <c r="VAA1599" s="55">
        <f t="shared" si="526"/>
        <v>0</v>
      </c>
      <c r="VAB1599" s="55">
        <f t="shared" si="526"/>
        <v>0</v>
      </c>
      <c r="VAC1599" s="55">
        <f t="shared" si="526"/>
        <v>0</v>
      </c>
      <c r="VAD1599" s="55">
        <f t="shared" si="526"/>
        <v>0</v>
      </c>
      <c r="VAE1599" s="55">
        <f t="shared" si="526"/>
        <v>0</v>
      </c>
      <c r="VAF1599" s="55">
        <f t="shared" si="526"/>
        <v>0</v>
      </c>
      <c r="VAG1599" s="55">
        <f t="shared" si="526"/>
        <v>0</v>
      </c>
      <c r="VAH1599" s="55">
        <f t="shared" si="526"/>
        <v>0</v>
      </c>
      <c r="VAI1599" s="55">
        <f t="shared" si="526"/>
        <v>0</v>
      </c>
      <c r="VAJ1599" s="55">
        <f t="shared" si="526"/>
        <v>0</v>
      </c>
      <c r="VAK1599" s="55">
        <f t="shared" si="526"/>
        <v>0</v>
      </c>
      <c r="VAL1599" s="55">
        <f t="shared" si="526"/>
        <v>0</v>
      </c>
      <c r="VAM1599" s="55">
        <f t="shared" si="526"/>
        <v>0</v>
      </c>
      <c r="VAN1599" s="55">
        <f t="shared" si="526"/>
        <v>0</v>
      </c>
      <c r="VAO1599" s="55">
        <f t="shared" si="526"/>
        <v>0</v>
      </c>
      <c r="VAP1599" s="55">
        <f t="shared" si="526"/>
        <v>0</v>
      </c>
      <c r="VAQ1599" s="55">
        <f t="shared" si="526"/>
        <v>0</v>
      </c>
      <c r="VAR1599" s="55">
        <f t="shared" si="526"/>
        <v>0</v>
      </c>
      <c r="VAS1599" s="55">
        <f t="shared" si="526"/>
        <v>0</v>
      </c>
      <c r="VAT1599" s="55">
        <f t="shared" si="526"/>
        <v>0</v>
      </c>
      <c r="VAU1599" s="55">
        <f t="shared" si="526"/>
        <v>0</v>
      </c>
      <c r="VAV1599" s="55">
        <f t="shared" si="526"/>
        <v>0</v>
      </c>
      <c r="VAW1599" s="55">
        <f t="shared" si="526"/>
        <v>0</v>
      </c>
      <c r="VAX1599" s="55">
        <f t="shared" si="526"/>
        <v>0</v>
      </c>
      <c r="VAY1599" s="55">
        <f t="shared" si="526"/>
        <v>0</v>
      </c>
      <c r="VAZ1599" s="55">
        <f t="shared" ref="VAZ1599:VDK1599" si="527">+(VAZ1619+VAZ1623)*1.18*1.1</f>
        <v>0</v>
      </c>
      <c r="VBA1599" s="55">
        <f t="shared" si="527"/>
        <v>0</v>
      </c>
      <c r="VBB1599" s="55">
        <f t="shared" si="527"/>
        <v>0</v>
      </c>
      <c r="VBC1599" s="55">
        <f t="shared" si="527"/>
        <v>0</v>
      </c>
      <c r="VBD1599" s="55">
        <f t="shared" si="527"/>
        <v>0</v>
      </c>
      <c r="VBE1599" s="55">
        <f t="shared" si="527"/>
        <v>0</v>
      </c>
      <c r="VBF1599" s="55">
        <f t="shared" si="527"/>
        <v>0</v>
      </c>
      <c r="VBG1599" s="55">
        <f t="shared" si="527"/>
        <v>0</v>
      </c>
      <c r="VBH1599" s="55">
        <f t="shared" si="527"/>
        <v>0</v>
      </c>
      <c r="VBI1599" s="55">
        <f t="shared" si="527"/>
        <v>0</v>
      </c>
      <c r="VBJ1599" s="55">
        <f t="shared" si="527"/>
        <v>0</v>
      </c>
      <c r="VBK1599" s="55">
        <f t="shared" si="527"/>
        <v>0</v>
      </c>
      <c r="VBL1599" s="55">
        <f t="shared" si="527"/>
        <v>0</v>
      </c>
      <c r="VBM1599" s="55">
        <f t="shared" si="527"/>
        <v>0</v>
      </c>
      <c r="VBN1599" s="55">
        <f t="shared" si="527"/>
        <v>0</v>
      </c>
      <c r="VBO1599" s="55">
        <f t="shared" si="527"/>
        <v>0</v>
      </c>
      <c r="VBP1599" s="55">
        <f t="shared" si="527"/>
        <v>0</v>
      </c>
      <c r="VBQ1599" s="55">
        <f t="shared" si="527"/>
        <v>0</v>
      </c>
      <c r="VBR1599" s="55">
        <f t="shared" si="527"/>
        <v>0</v>
      </c>
      <c r="VBS1599" s="55">
        <f t="shared" si="527"/>
        <v>0</v>
      </c>
      <c r="VBT1599" s="55">
        <f t="shared" si="527"/>
        <v>0</v>
      </c>
      <c r="VBU1599" s="55">
        <f t="shared" si="527"/>
        <v>0</v>
      </c>
      <c r="VBV1599" s="55">
        <f t="shared" si="527"/>
        <v>0</v>
      </c>
      <c r="VBW1599" s="55">
        <f t="shared" si="527"/>
        <v>0</v>
      </c>
      <c r="VBX1599" s="55">
        <f t="shared" si="527"/>
        <v>0</v>
      </c>
      <c r="VBY1599" s="55">
        <f t="shared" si="527"/>
        <v>0</v>
      </c>
      <c r="VBZ1599" s="55">
        <f t="shared" si="527"/>
        <v>0</v>
      </c>
      <c r="VCA1599" s="55">
        <f t="shared" si="527"/>
        <v>0</v>
      </c>
      <c r="VCB1599" s="55">
        <f t="shared" si="527"/>
        <v>0</v>
      </c>
      <c r="VCC1599" s="55">
        <f t="shared" si="527"/>
        <v>0</v>
      </c>
      <c r="VCD1599" s="55">
        <f t="shared" si="527"/>
        <v>0</v>
      </c>
      <c r="VCE1599" s="55">
        <f t="shared" si="527"/>
        <v>0</v>
      </c>
      <c r="VCF1599" s="55">
        <f t="shared" si="527"/>
        <v>0</v>
      </c>
      <c r="VCG1599" s="55">
        <f t="shared" si="527"/>
        <v>0</v>
      </c>
      <c r="VCH1599" s="55">
        <f t="shared" si="527"/>
        <v>0</v>
      </c>
      <c r="VCI1599" s="55">
        <f t="shared" si="527"/>
        <v>0</v>
      </c>
      <c r="VCJ1599" s="55">
        <f t="shared" si="527"/>
        <v>0</v>
      </c>
      <c r="VCK1599" s="55">
        <f t="shared" si="527"/>
        <v>0</v>
      </c>
      <c r="VCL1599" s="55">
        <f t="shared" si="527"/>
        <v>0</v>
      </c>
      <c r="VCM1599" s="55">
        <f t="shared" si="527"/>
        <v>0</v>
      </c>
      <c r="VCN1599" s="55">
        <f t="shared" si="527"/>
        <v>0</v>
      </c>
      <c r="VCO1599" s="55">
        <f t="shared" si="527"/>
        <v>0</v>
      </c>
      <c r="VCP1599" s="55">
        <f t="shared" si="527"/>
        <v>0</v>
      </c>
      <c r="VCQ1599" s="55">
        <f t="shared" si="527"/>
        <v>0</v>
      </c>
      <c r="VCR1599" s="55">
        <f t="shared" si="527"/>
        <v>0</v>
      </c>
      <c r="VCS1599" s="55">
        <f t="shared" si="527"/>
        <v>0</v>
      </c>
      <c r="VCT1599" s="55">
        <f t="shared" si="527"/>
        <v>0</v>
      </c>
      <c r="VCU1599" s="55">
        <f t="shared" si="527"/>
        <v>0</v>
      </c>
      <c r="VCV1599" s="55">
        <f t="shared" si="527"/>
        <v>0</v>
      </c>
      <c r="VCW1599" s="55">
        <f t="shared" si="527"/>
        <v>0</v>
      </c>
      <c r="VCX1599" s="55">
        <f t="shared" si="527"/>
        <v>0</v>
      </c>
      <c r="VCY1599" s="55">
        <f t="shared" si="527"/>
        <v>0</v>
      </c>
      <c r="VCZ1599" s="55">
        <f t="shared" si="527"/>
        <v>0</v>
      </c>
      <c r="VDA1599" s="55">
        <f t="shared" si="527"/>
        <v>0</v>
      </c>
      <c r="VDB1599" s="55">
        <f t="shared" si="527"/>
        <v>0</v>
      </c>
      <c r="VDC1599" s="55">
        <f t="shared" si="527"/>
        <v>0</v>
      </c>
      <c r="VDD1599" s="55">
        <f t="shared" si="527"/>
        <v>0</v>
      </c>
      <c r="VDE1599" s="55">
        <f t="shared" si="527"/>
        <v>0</v>
      </c>
      <c r="VDF1599" s="55">
        <f t="shared" si="527"/>
        <v>0</v>
      </c>
      <c r="VDG1599" s="55">
        <f t="shared" si="527"/>
        <v>0</v>
      </c>
      <c r="VDH1599" s="55">
        <f t="shared" si="527"/>
        <v>0</v>
      </c>
      <c r="VDI1599" s="55">
        <f t="shared" si="527"/>
        <v>0</v>
      </c>
      <c r="VDJ1599" s="55">
        <f t="shared" si="527"/>
        <v>0</v>
      </c>
      <c r="VDK1599" s="55">
        <f t="shared" si="527"/>
        <v>0</v>
      </c>
      <c r="VDL1599" s="55">
        <f t="shared" ref="VDL1599:VFW1599" si="528">+(VDL1619+VDL1623)*1.18*1.1</f>
        <v>0</v>
      </c>
      <c r="VDM1599" s="55">
        <f t="shared" si="528"/>
        <v>0</v>
      </c>
      <c r="VDN1599" s="55">
        <f t="shared" si="528"/>
        <v>0</v>
      </c>
      <c r="VDO1599" s="55">
        <f t="shared" si="528"/>
        <v>0</v>
      </c>
      <c r="VDP1599" s="55">
        <f t="shared" si="528"/>
        <v>0</v>
      </c>
      <c r="VDQ1599" s="55">
        <f t="shared" si="528"/>
        <v>0</v>
      </c>
      <c r="VDR1599" s="55">
        <f t="shared" si="528"/>
        <v>0</v>
      </c>
      <c r="VDS1599" s="55">
        <f t="shared" si="528"/>
        <v>0</v>
      </c>
      <c r="VDT1599" s="55">
        <f t="shared" si="528"/>
        <v>0</v>
      </c>
      <c r="VDU1599" s="55">
        <f t="shared" si="528"/>
        <v>0</v>
      </c>
      <c r="VDV1599" s="55">
        <f t="shared" si="528"/>
        <v>0</v>
      </c>
      <c r="VDW1599" s="55">
        <f t="shared" si="528"/>
        <v>0</v>
      </c>
      <c r="VDX1599" s="55">
        <f t="shared" si="528"/>
        <v>0</v>
      </c>
      <c r="VDY1599" s="55">
        <f t="shared" si="528"/>
        <v>0</v>
      </c>
      <c r="VDZ1599" s="55">
        <f t="shared" si="528"/>
        <v>0</v>
      </c>
      <c r="VEA1599" s="55">
        <f t="shared" si="528"/>
        <v>0</v>
      </c>
      <c r="VEB1599" s="55">
        <f t="shared" si="528"/>
        <v>0</v>
      </c>
      <c r="VEC1599" s="55">
        <f t="shared" si="528"/>
        <v>0</v>
      </c>
      <c r="VED1599" s="55">
        <f t="shared" si="528"/>
        <v>0</v>
      </c>
      <c r="VEE1599" s="55">
        <f t="shared" si="528"/>
        <v>0</v>
      </c>
      <c r="VEF1599" s="55">
        <f t="shared" si="528"/>
        <v>0</v>
      </c>
      <c r="VEG1599" s="55">
        <f t="shared" si="528"/>
        <v>0</v>
      </c>
      <c r="VEH1599" s="55">
        <f t="shared" si="528"/>
        <v>0</v>
      </c>
      <c r="VEI1599" s="55">
        <f t="shared" si="528"/>
        <v>0</v>
      </c>
      <c r="VEJ1599" s="55">
        <f t="shared" si="528"/>
        <v>0</v>
      </c>
      <c r="VEK1599" s="55">
        <f t="shared" si="528"/>
        <v>0</v>
      </c>
      <c r="VEL1599" s="55">
        <f t="shared" si="528"/>
        <v>0</v>
      </c>
      <c r="VEM1599" s="55">
        <f t="shared" si="528"/>
        <v>0</v>
      </c>
      <c r="VEN1599" s="55">
        <f t="shared" si="528"/>
        <v>0</v>
      </c>
      <c r="VEO1599" s="55">
        <f t="shared" si="528"/>
        <v>0</v>
      </c>
      <c r="VEP1599" s="55">
        <f t="shared" si="528"/>
        <v>0</v>
      </c>
      <c r="VEQ1599" s="55">
        <f t="shared" si="528"/>
        <v>0</v>
      </c>
      <c r="VER1599" s="55">
        <f t="shared" si="528"/>
        <v>0</v>
      </c>
      <c r="VES1599" s="55">
        <f t="shared" si="528"/>
        <v>0</v>
      </c>
      <c r="VET1599" s="55">
        <f t="shared" si="528"/>
        <v>0</v>
      </c>
      <c r="VEU1599" s="55">
        <f t="shared" si="528"/>
        <v>0</v>
      </c>
      <c r="VEV1599" s="55">
        <f t="shared" si="528"/>
        <v>0</v>
      </c>
      <c r="VEW1599" s="55">
        <f t="shared" si="528"/>
        <v>0</v>
      </c>
      <c r="VEX1599" s="55">
        <f t="shared" si="528"/>
        <v>0</v>
      </c>
      <c r="VEY1599" s="55">
        <f t="shared" si="528"/>
        <v>0</v>
      </c>
      <c r="VEZ1599" s="55">
        <f t="shared" si="528"/>
        <v>0</v>
      </c>
      <c r="VFA1599" s="55">
        <f t="shared" si="528"/>
        <v>0</v>
      </c>
      <c r="VFB1599" s="55">
        <f t="shared" si="528"/>
        <v>0</v>
      </c>
      <c r="VFC1599" s="55">
        <f t="shared" si="528"/>
        <v>0</v>
      </c>
      <c r="VFD1599" s="55">
        <f t="shared" si="528"/>
        <v>0</v>
      </c>
      <c r="VFE1599" s="55">
        <f t="shared" si="528"/>
        <v>0</v>
      </c>
      <c r="VFF1599" s="55">
        <f t="shared" si="528"/>
        <v>0</v>
      </c>
      <c r="VFG1599" s="55">
        <f t="shared" si="528"/>
        <v>0</v>
      </c>
      <c r="VFH1599" s="55">
        <f t="shared" si="528"/>
        <v>0</v>
      </c>
      <c r="VFI1599" s="55">
        <f t="shared" si="528"/>
        <v>0</v>
      </c>
      <c r="VFJ1599" s="55">
        <f t="shared" si="528"/>
        <v>0</v>
      </c>
      <c r="VFK1599" s="55">
        <f t="shared" si="528"/>
        <v>0</v>
      </c>
      <c r="VFL1599" s="55">
        <f t="shared" si="528"/>
        <v>0</v>
      </c>
      <c r="VFM1599" s="55">
        <f t="shared" si="528"/>
        <v>0</v>
      </c>
      <c r="VFN1599" s="55">
        <f t="shared" si="528"/>
        <v>0</v>
      </c>
      <c r="VFO1599" s="55">
        <f t="shared" si="528"/>
        <v>0</v>
      </c>
      <c r="VFP1599" s="55">
        <f t="shared" si="528"/>
        <v>0</v>
      </c>
      <c r="VFQ1599" s="55">
        <f t="shared" si="528"/>
        <v>0</v>
      </c>
      <c r="VFR1599" s="55">
        <f t="shared" si="528"/>
        <v>0</v>
      </c>
      <c r="VFS1599" s="55">
        <f t="shared" si="528"/>
        <v>0</v>
      </c>
      <c r="VFT1599" s="55">
        <f t="shared" si="528"/>
        <v>0</v>
      </c>
      <c r="VFU1599" s="55">
        <f t="shared" si="528"/>
        <v>0</v>
      </c>
      <c r="VFV1599" s="55">
        <f t="shared" si="528"/>
        <v>0</v>
      </c>
      <c r="VFW1599" s="55">
        <f t="shared" si="528"/>
        <v>0</v>
      </c>
      <c r="VFX1599" s="55">
        <f t="shared" ref="VFX1599:VII1599" si="529">+(VFX1619+VFX1623)*1.18*1.1</f>
        <v>0</v>
      </c>
      <c r="VFY1599" s="55">
        <f t="shared" si="529"/>
        <v>0</v>
      </c>
      <c r="VFZ1599" s="55">
        <f t="shared" si="529"/>
        <v>0</v>
      </c>
      <c r="VGA1599" s="55">
        <f t="shared" si="529"/>
        <v>0</v>
      </c>
      <c r="VGB1599" s="55">
        <f t="shared" si="529"/>
        <v>0</v>
      </c>
      <c r="VGC1599" s="55">
        <f t="shared" si="529"/>
        <v>0</v>
      </c>
      <c r="VGD1599" s="55">
        <f t="shared" si="529"/>
        <v>0</v>
      </c>
      <c r="VGE1599" s="55">
        <f t="shared" si="529"/>
        <v>0</v>
      </c>
      <c r="VGF1599" s="55">
        <f t="shared" si="529"/>
        <v>0</v>
      </c>
      <c r="VGG1599" s="55">
        <f t="shared" si="529"/>
        <v>0</v>
      </c>
      <c r="VGH1599" s="55">
        <f t="shared" si="529"/>
        <v>0</v>
      </c>
      <c r="VGI1599" s="55">
        <f t="shared" si="529"/>
        <v>0</v>
      </c>
      <c r="VGJ1599" s="55">
        <f t="shared" si="529"/>
        <v>0</v>
      </c>
      <c r="VGK1599" s="55">
        <f t="shared" si="529"/>
        <v>0</v>
      </c>
      <c r="VGL1599" s="55">
        <f t="shared" si="529"/>
        <v>0</v>
      </c>
      <c r="VGM1599" s="55">
        <f t="shared" si="529"/>
        <v>0</v>
      </c>
      <c r="VGN1599" s="55">
        <f t="shared" si="529"/>
        <v>0</v>
      </c>
      <c r="VGO1599" s="55">
        <f t="shared" si="529"/>
        <v>0</v>
      </c>
      <c r="VGP1599" s="55">
        <f t="shared" si="529"/>
        <v>0</v>
      </c>
      <c r="VGQ1599" s="55">
        <f t="shared" si="529"/>
        <v>0</v>
      </c>
      <c r="VGR1599" s="55">
        <f t="shared" si="529"/>
        <v>0</v>
      </c>
      <c r="VGS1599" s="55">
        <f t="shared" si="529"/>
        <v>0</v>
      </c>
      <c r="VGT1599" s="55">
        <f t="shared" si="529"/>
        <v>0</v>
      </c>
      <c r="VGU1599" s="55">
        <f t="shared" si="529"/>
        <v>0</v>
      </c>
      <c r="VGV1599" s="55">
        <f t="shared" si="529"/>
        <v>0</v>
      </c>
      <c r="VGW1599" s="55">
        <f t="shared" si="529"/>
        <v>0</v>
      </c>
      <c r="VGX1599" s="55">
        <f t="shared" si="529"/>
        <v>0</v>
      </c>
      <c r="VGY1599" s="55">
        <f t="shared" si="529"/>
        <v>0</v>
      </c>
      <c r="VGZ1599" s="55">
        <f t="shared" si="529"/>
        <v>0</v>
      </c>
      <c r="VHA1599" s="55">
        <f t="shared" si="529"/>
        <v>0</v>
      </c>
      <c r="VHB1599" s="55">
        <f t="shared" si="529"/>
        <v>0</v>
      </c>
      <c r="VHC1599" s="55">
        <f t="shared" si="529"/>
        <v>0</v>
      </c>
      <c r="VHD1599" s="55">
        <f t="shared" si="529"/>
        <v>0</v>
      </c>
      <c r="VHE1599" s="55">
        <f t="shared" si="529"/>
        <v>0</v>
      </c>
      <c r="VHF1599" s="55">
        <f t="shared" si="529"/>
        <v>0</v>
      </c>
      <c r="VHG1599" s="55">
        <f t="shared" si="529"/>
        <v>0</v>
      </c>
      <c r="VHH1599" s="55">
        <f t="shared" si="529"/>
        <v>0</v>
      </c>
      <c r="VHI1599" s="55">
        <f t="shared" si="529"/>
        <v>0</v>
      </c>
      <c r="VHJ1599" s="55">
        <f t="shared" si="529"/>
        <v>0</v>
      </c>
      <c r="VHK1599" s="55">
        <f t="shared" si="529"/>
        <v>0</v>
      </c>
      <c r="VHL1599" s="55">
        <f t="shared" si="529"/>
        <v>0</v>
      </c>
      <c r="VHM1599" s="55">
        <f t="shared" si="529"/>
        <v>0</v>
      </c>
      <c r="VHN1599" s="55">
        <f t="shared" si="529"/>
        <v>0</v>
      </c>
      <c r="VHO1599" s="55">
        <f t="shared" si="529"/>
        <v>0</v>
      </c>
      <c r="VHP1599" s="55">
        <f t="shared" si="529"/>
        <v>0</v>
      </c>
      <c r="VHQ1599" s="55">
        <f t="shared" si="529"/>
        <v>0</v>
      </c>
      <c r="VHR1599" s="55">
        <f t="shared" si="529"/>
        <v>0</v>
      </c>
      <c r="VHS1599" s="55">
        <f t="shared" si="529"/>
        <v>0</v>
      </c>
      <c r="VHT1599" s="55">
        <f t="shared" si="529"/>
        <v>0</v>
      </c>
      <c r="VHU1599" s="55">
        <f t="shared" si="529"/>
        <v>0</v>
      </c>
      <c r="VHV1599" s="55">
        <f t="shared" si="529"/>
        <v>0</v>
      </c>
      <c r="VHW1599" s="55">
        <f t="shared" si="529"/>
        <v>0</v>
      </c>
      <c r="VHX1599" s="55">
        <f t="shared" si="529"/>
        <v>0</v>
      </c>
      <c r="VHY1599" s="55">
        <f t="shared" si="529"/>
        <v>0</v>
      </c>
      <c r="VHZ1599" s="55">
        <f t="shared" si="529"/>
        <v>0</v>
      </c>
      <c r="VIA1599" s="55">
        <f t="shared" si="529"/>
        <v>0</v>
      </c>
      <c r="VIB1599" s="55">
        <f t="shared" si="529"/>
        <v>0</v>
      </c>
      <c r="VIC1599" s="55">
        <f t="shared" si="529"/>
        <v>0</v>
      </c>
      <c r="VID1599" s="55">
        <f t="shared" si="529"/>
        <v>0</v>
      </c>
      <c r="VIE1599" s="55">
        <f t="shared" si="529"/>
        <v>0</v>
      </c>
      <c r="VIF1599" s="55">
        <f t="shared" si="529"/>
        <v>0</v>
      </c>
      <c r="VIG1599" s="55">
        <f t="shared" si="529"/>
        <v>0</v>
      </c>
      <c r="VIH1599" s="55">
        <f t="shared" si="529"/>
        <v>0</v>
      </c>
      <c r="VII1599" s="55">
        <f t="shared" si="529"/>
        <v>0</v>
      </c>
      <c r="VIJ1599" s="55">
        <f t="shared" ref="VIJ1599:VKU1599" si="530">+(VIJ1619+VIJ1623)*1.18*1.1</f>
        <v>0</v>
      </c>
      <c r="VIK1599" s="55">
        <f t="shared" si="530"/>
        <v>0</v>
      </c>
      <c r="VIL1599" s="55">
        <f t="shared" si="530"/>
        <v>0</v>
      </c>
      <c r="VIM1599" s="55">
        <f t="shared" si="530"/>
        <v>0</v>
      </c>
      <c r="VIN1599" s="55">
        <f t="shared" si="530"/>
        <v>0</v>
      </c>
      <c r="VIO1599" s="55">
        <f t="shared" si="530"/>
        <v>0</v>
      </c>
      <c r="VIP1599" s="55">
        <f t="shared" si="530"/>
        <v>0</v>
      </c>
      <c r="VIQ1599" s="55">
        <f t="shared" si="530"/>
        <v>0</v>
      </c>
      <c r="VIR1599" s="55">
        <f t="shared" si="530"/>
        <v>0</v>
      </c>
      <c r="VIS1599" s="55">
        <f t="shared" si="530"/>
        <v>0</v>
      </c>
      <c r="VIT1599" s="55">
        <f t="shared" si="530"/>
        <v>0</v>
      </c>
      <c r="VIU1599" s="55">
        <f t="shared" si="530"/>
        <v>0</v>
      </c>
      <c r="VIV1599" s="55">
        <f t="shared" si="530"/>
        <v>0</v>
      </c>
      <c r="VIW1599" s="55">
        <f t="shared" si="530"/>
        <v>0</v>
      </c>
      <c r="VIX1599" s="55">
        <f t="shared" si="530"/>
        <v>0</v>
      </c>
      <c r="VIY1599" s="55">
        <f t="shared" si="530"/>
        <v>0</v>
      </c>
      <c r="VIZ1599" s="55">
        <f t="shared" si="530"/>
        <v>0</v>
      </c>
      <c r="VJA1599" s="55">
        <f t="shared" si="530"/>
        <v>0</v>
      </c>
      <c r="VJB1599" s="55">
        <f t="shared" si="530"/>
        <v>0</v>
      </c>
      <c r="VJC1599" s="55">
        <f t="shared" si="530"/>
        <v>0</v>
      </c>
      <c r="VJD1599" s="55">
        <f t="shared" si="530"/>
        <v>0</v>
      </c>
      <c r="VJE1599" s="55">
        <f t="shared" si="530"/>
        <v>0</v>
      </c>
      <c r="VJF1599" s="55">
        <f t="shared" si="530"/>
        <v>0</v>
      </c>
      <c r="VJG1599" s="55">
        <f t="shared" si="530"/>
        <v>0</v>
      </c>
      <c r="VJH1599" s="55">
        <f t="shared" si="530"/>
        <v>0</v>
      </c>
      <c r="VJI1599" s="55">
        <f t="shared" si="530"/>
        <v>0</v>
      </c>
      <c r="VJJ1599" s="55">
        <f t="shared" si="530"/>
        <v>0</v>
      </c>
      <c r="VJK1599" s="55">
        <f t="shared" si="530"/>
        <v>0</v>
      </c>
      <c r="VJL1599" s="55">
        <f t="shared" si="530"/>
        <v>0</v>
      </c>
      <c r="VJM1599" s="55">
        <f t="shared" si="530"/>
        <v>0</v>
      </c>
      <c r="VJN1599" s="55">
        <f t="shared" si="530"/>
        <v>0</v>
      </c>
      <c r="VJO1599" s="55">
        <f t="shared" si="530"/>
        <v>0</v>
      </c>
      <c r="VJP1599" s="55">
        <f t="shared" si="530"/>
        <v>0</v>
      </c>
      <c r="VJQ1599" s="55">
        <f t="shared" si="530"/>
        <v>0</v>
      </c>
      <c r="VJR1599" s="55">
        <f t="shared" si="530"/>
        <v>0</v>
      </c>
      <c r="VJS1599" s="55">
        <f t="shared" si="530"/>
        <v>0</v>
      </c>
      <c r="VJT1599" s="55">
        <f t="shared" si="530"/>
        <v>0</v>
      </c>
      <c r="VJU1599" s="55">
        <f t="shared" si="530"/>
        <v>0</v>
      </c>
      <c r="VJV1599" s="55">
        <f t="shared" si="530"/>
        <v>0</v>
      </c>
      <c r="VJW1599" s="55">
        <f t="shared" si="530"/>
        <v>0</v>
      </c>
      <c r="VJX1599" s="55">
        <f t="shared" si="530"/>
        <v>0</v>
      </c>
      <c r="VJY1599" s="55">
        <f t="shared" si="530"/>
        <v>0</v>
      </c>
      <c r="VJZ1599" s="55">
        <f t="shared" si="530"/>
        <v>0</v>
      </c>
      <c r="VKA1599" s="55">
        <f t="shared" si="530"/>
        <v>0</v>
      </c>
      <c r="VKB1599" s="55">
        <f t="shared" si="530"/>
        <v>0</v>
      </c>
      <c r="VKC1599" s="55">
        <f t="shared" si="530"/>
        <v>0</v>
      </c>
      <c r="VKD1599" s="55">
        <f t="shared" si="530"/>
        <v>0</v>
      </c>
      <c r="VKE1599" s="55">
        <f t="shared" si="530"/>
        <v>0</v>
      </c>
      <c r="VKF1599" s="55">
        <f t="shared" si="530"/>
        <v>0</v>
      </c>
      <c r="VKG1599" s="55">
        <f t="shared" si="530"/>
        <v>0</v>
      </c>
      <c r="VKH1599" s="55">
        <f t="shared" si="530"/>
        <v>0</v>
      </c>
      <c r="VKI1599" s="55">
        <f t="shared" si="530"/>
        <v>0</v>
      </c>
      <c r="VKJ1599" s="55">
        <f t="shared" si="530"/>
        <v>0</v>
      </c>
      <c r="VKK1599" s="55">
        <f t="shared" si="530"/>
        <v>0</v>
      </c>
      <c r="VKL1599" s="55">
        <f t="shared" si="530"/>
        <v>0</v>
      </c>
      <c r="VKM1599" s="55">
        <f t="shared" si="530"/>
        <v>0</v>
      </c>
      <c r="VKN1599" s="55">
        <f t="shared" si="530"/>
        <v>0</v>
      </c>
      <c r="VKO1599" s="55">
        <f t="shared" si="530"/>
        <v>0</v>
      </c>
      <c r="VKP1599" s="55">
        <f t="shared" si="530"/>
        <v>0</v>
      </c>
      <c r="VKQ1599" s="55">
        <f t="shared" si="530"/>
        <v>0</v>
      </c>
      <c r="VKR1599" s="55">
        <f t="shared" si="530"/>
        <v>0</v>
      </c>
      <c r="VKS1599" s="55">
        <f t="shared" si="530"/>
        <v>0</v>
      </c>
      <c r="VKT1599" s="55">
        <f t="shared" si="530"/>
        <v>0</v>
      </c>
      <c r="VKU1599" s="55">
        <f t="shared" si="530"/>
        <v>0</v>
      </c>
      <c r="VKV1599" s="55">
        <f t="shared" ref="VKV1599:VNG1599" si="531">+(VKV1619+VKV1623)*1.18*1.1</f>
        <v>0</v>
      </c>
      <c r="VKW1599" s="55">
        <f t="shared" si="531"/>
        <v>0</v>
      </c>
      <c r="VKX1599" s="55">
        <f t="shared" si="531"/>
        <v>0</v>
      </c>
      <c r="VKY1599" s="55">
        <f t="shared" si="531"/>
        <v>0</v>
      </c>
      <c r="VKZ1599" s="55">
        <f t="shared" si="531"/>
        <v>0</v>
      </c>
      <c r="VLA1599" s="55">
        <f t="shared" si="531"/>
        <v>0</v>
      </c>
      <c r="VLB1599" s="55">
        <f t="shared" si="531"/>
        <v>0</v>
      </c>
      <c r="VLC1599" s="55">
        <f t="shared" si="531"/>
        <v>0</v>
      </c>
      <c r="VLD1599" s="55">
        <f t="shared" si="531"/>
        <v>0</v>
      </c>
      <c r="VLE1599" s="55">
        <f t="shared" si="531"/>
        <v>0</v>
      </c>
      <c r="VLF1599" s="55">
        <f t="shared" si="531"/>
        <v>0</v>
      </c>
      <c r="VLG1599" s="55">
        <f t="shared" si="531"/>
        <v>0</v>
      </c>
      <c r="VLH1599" s="55">
        <f t="shared" si="531"/>
        <v>0</v>
      </c>
      <c r="VLI1599" s="55">
        <f t="shared" si="531"/>
        <v>0</v>
      </c>
      <c r="VLJ1599" s="55">
        <f t="shared" si="531"/>
        <v>0</v>
      </c>
      <c r="VLK1599" s="55">
        <f t="shared" si="531"/>
        <v>0</v>
      </c>
      <c r="VLL1599" s="55">
        <f t="shared" si="531"/>
        <v>0</v>
      </c>
      <c r="VLM1599" s="55">
        <f t="shared" si="531"/>
        <v>0</v>
      </c>
      <c r="VLN1599" s="55">
        <f t="shared" si="531"/>
        <v>0</v>
      </c>
      <c r="VLO1599" s="55">
        <f t="shared" si="531"/>
        <v>0</v>
      </c>
      <c r="VLP1599" s="55">
        <f t="shared" si="531"/>
        <v>0</v>
      </c>
      <c r="VLQ1599" s="55">
        <f t="shared" si="531"/>
        <v>0</v>
      </c>
      <c r="VLR1599" s="55">
        <f t="shared" si="531"/>
        <v>0</v>
      </c>
      <c r="VLS1599" s="55">
        <f t="shared" si="531"/>
        <v>0</v>
      </c>
      <c r="VLT1599" s="55">
        <f t="shared" si="531"/>
        <v>0</v>
      </c>
      <c r="VLU1599" s="55">
        <f t="shared" si="531"/>
        <v>0</v>
      </c>
      <c r="VLV1599" s="55">
        <f t="shared" si="531"/>
        <v>0</v>
      </c>
      <c r="VLW1599" s="55">
        <f t="shared" si="531"/>
        <v>0</v>
      </c>
      <c r="VLX1599" s="55">
        <f t="shared" si="531"/>
        <v>0</v>
      </c>
      <c r="VLY1599" s="55">
        <f t="shared" si="531"/>
        <v>0</v>
      </c>
      <c r="VLZ1599" s="55">
        <f t="shared" si="531"/>
        <v>0</v>
      </c>
      <c r="VMA1599" s="55">
        <f t="shared" si="531"/>
        <v>0</v>
      </c>
      <c r="VMB1599" s="55">
        <f t="shared" si="531"/>
        <v>0</v>
      </c>
      <c r="VMC1599" s="55">
        <f t="shared" si="531"/>
        <v>0</v>
      </c>
      <c r="VMD1599" s="55">
        <f t="shared" si="531"/>
        <v>0</v>
      </c>
      <c r="VME1599" s="55">
        <f t="shared" si="531"/>
        <v>0</v>
      </c>
      <c r="VMF1599" s="55">
        <f t="shared" si="531"/>
        <v>0</v>
      </c>
      <c r="VMG1599" s="55">
        <f t="shared" si="531"/>
        <v>0</v>
      </c>
      <c r="VMH1599" s="55">
        <f t="shared" si="531"/>
        <v>0</v>
      </c>
      <c r="VMI1599" s="55">
        <f t="shared" si="531"/>
        <v>0</v>
      </c>
      <c r="VMJ1599" s="55">
        <f t="shared" si="531"/>
        <v>0</v>
      </c>
      <c r="VMK1599" s="55">
        <f t="shared" si="531"/>
        <v>0</v>
      </c>
      <c r="VML1599" s="55">
        <f t="shared" si="531"/>
        <v>0</v>
      </c>
      <c r="VMM1599" s="55">
        <f t="shared" si="531"/>
        <v>0</v>
      </c>
      <c r="VMN1599" s="55">
        <f t="shared" si="531"/>
        <v>0</v>
      </c>
      <c r="VMO1599" s="55">
        <f t="shared" si="531"/>
        <v>0</v>
      </c>
      <c r="VMP1599" s="55">
        <f t="shared" si="531"/>
        <v>0</v>
      </c>
      <c r="VMQ1599" s="55">
        <f t="shared" si="531"/>
        <v>0</v>
      </c>
      <c r="VMR1599" s="55">
        <f t="shared" si="531"/>
        <v>0</v>
      </c>
      <c r="VMS1599" s="55">
        <f t="shared" si="531"/>
        <v>0</v>
      </c>
      <c r="VMT1599" s="55">
        <f t="shared" si="531"/>
        <v>0</v>
      </c>
      <c r="VMU1599" s="55">
        <f t="shared" si="531"/>
        <v>0</v>
      </c>
      <c r="VMV1599" s="55">
        <f t="shared" si="531"/>
        <v>0</v>
      </c>
      <c r="VMW1599" s="55">
        <f t="shared" si="531"/>
        <v>0</v>
      </c>
      <c r="VMX1599" s="55">
        <f t="shared" si="531"/>
        <v>0</v>
      </c>
      <c r="VMY1599" s="55">
        <f t="shared" si="531"/>
        <v>0</v>
      </c>
      <c r="VMZ1599" s="55">
        <f t="shared" si="531"/>
        <v>0</v>
      </c>
      <c r="VNA1599" s="55">
        <f t="shared" si="531"/>
        <v>0</v>
      </c>
      <c r="VNB1599" s="55">
        <f t="shared" si="531"/>
        <v>0</v>
      </c>
      <c r="VNC1599" s="55">
        <f t="shared" si="531"/>
        <v>0</v>
      </c>
      <c r="VND1599" s="55">
        <f t="shared" si="531"/>
        <v>0</v>
      </c>
      <c r="VNE1599" s="55">
        <f t="shared" si="531"/>
        <v>0</v>
      </c>
      <c r="VNF1599" s="55">
        <f t="shared" si="531"/>
        <v>0</v>
      </c>
      <c r="VNG1599" s="55">
        <f t="shared" si="531"/>
        <v>0</v>
      </c>
      <c r="VNH1599" s="55">
        <f t="shared" ref="VNH1599:VPS1599" si="532">+(VNH1619+VNH1623)*1.18*1.1</f>
        <v>0</v>
      </c>
      <c r="VNI1599" s="55">
        <f t="shared" si="532"/>
        <v>0</v>
      </c>
      <c r="VNJ1599" s="55">
        <f t="shared" si="532"/>
        <v>0</v>
      </c>
      <c r="VNK1599" s="55">
        <f t="shared" si="532"/>
        <v>0</v>
      </c>
      <c r="VNL1599" s="55">
        <f t="shared" si="532"/>
        <v>0</v>
      </c>
      <c r="VNM1599" s="55">
        <f t="shared" si="532"/>
        <v>0</v>
      </c>
      <c r="VNN1599" s="55">
        <f t="shared" si="532"/>
        <v>0</v>
      </c>
      <c r="VNO1599" s="55">
        <f t="shared" si="532"/>
        <v>0</v>
      </c>
      <c r="VNP1599" s="55">
        <f t="shared" si="532"/>
        <v>0</v>
      </c>
      <c r="VNQ1599" s="55">
        <f t="shared" si="532"/>
        <v>0</v>
      </c>
      <c r="VNR1599" s="55">
        <f t="shared" si="532"/>
        <v>0</v>
      </c>
      <c r="VNS1599" s="55">
        <f t="shared" si="532"/>
        <v>0</v>
      </c>
      <c r="VNT1599" s="55">
        <f t="shared" si="532"/>
        <v>0</v>
      </c>
      <c r="VNU1599" s="55">
        <f t="shared" si="532"/>
        <v>0</v>
      </c>
      <c r="VNV1599" s="55">
        <f t="shared" si="532"/>
        <v>0</v>
      </c>
      <c r="VNW1599" s="55">
        <f t="shared" si="532"/>
        <v>0</v>
      </c>
      <c r="VNX1599" s="55">
        <f t="shared" si="532"/>
        <v>0</v>
      </c>
      <c r="VNY1599" s="55">
        <f t="shared" si="532"/>
        <v>0</v>
      </c>
      <c r="VNZ1599" s="55">
        <f t="shared" si="532"/>
        <v>0</v>
      </c>
      <c r="VOA1599" s="55">
        <f t="shared" si="532"/>
        <v>0</v>
      </c>
      <c r="VOB1599" s="55">
        <f t="shared" si="532"/>
        <v>0</v>
      </c>
      <c r="VOC1599" s="55">
        <f t="shared" si="532"/>
        <v>0</v>
      </c>
      <c r="VOD1599" s="55">
        <f t="shared" si="532"/>
        <v>0</v>
      </c>
      <c r="VOE1599" s="55">
        <f t="shared" si="532"/>
        <v>0</v>
      </c>
      <c r="VOF1599" s="55">
        <f t="shared" si="532"/>
        <v>0</v>
      </c>
      <c r="VOG1599" s="55">
        <f t="shared" si="532"/>
        <v>0</v>
      </c>
      <c r="VOH1599" s="55">
        <f t="shared" si="532"/>
        <v>0</v>
      </c>
      <c r="VOI1599" s="55">
        <f t="shared" si="532"/>
        <v>0</v>
      </c>
      <c r="VOJ1599" s="55">
        <f t="shared" si="532"/>
        <v>0</v>
      </c>
      <c r="VOK1599" s="55">
        <f t="shared" si="532"/>
        <v>0</v>
      </c>
      <c r="VOL1599" s="55">
        <f t="shared" si="532"/>
        <v>0</v>
      </c>
      <c r="VOM1599" s="55">
        <f t="shared" si="532"/>
        <v>0</v>
      </c>
      <c r="VON1599" s="55">
        <f t="shared" si="532"/>
        <v>0</v>
      </c>
      <c r="VOO1599" s="55">
        <f t="shared" si="532"/>
        <v>0</v>
      </c>
      <c r="VOP1599" s="55">
        <f t="shared" si="532"/>
        <v>0</v>
      </c>
      <c r="VOQ1599" s="55">
        <f t="shared" si="532"/>
        <v>0</v>
      </c>
      <c r="VOR1599" s="55">
        <f t="shared" si="532"/>
        <v>0</v>
      </c>
      <c r="VOS1599" s="55">
        <f t="shared" si="532"/>
        <v>0</v>
      </c>
      <c r="VOT1599" s="55">
        <f t="shared" si="532"/>
        <v>0</v>
      </c>
      <c r="VOU1599" s="55">
        <f t="shared" si="532"/>
        <v>0</v>
      </c>
      <c r="VOV1599" s="55">
        <f t="shared" si="532"/>
        <v>0</v>
      </c>
      <c r="VOW1599" s="55">
        <f t="shared" si="532"/>
        <v>0</v>
      </c>
      <c r="VOX1599" s="55">
        <f t="shared" si="532"/>
        <v>0</v>
      </c>
      <c r="VOY1599" s="55">
        <f t="shared" si="532"/>
        <v>0</v>
      </c>
      <c r="VOZ1599" s="55">
        <f t="shared" si="532"/>
        <v>0</v>
      </c>
      <c r="VPA1599" s="55">
        <f t="shared" si="532"/>
        <v>0</v>
      </c>
      <c r="VPB1599" s="55">
        <f t="shared" si="532"/>
        <v>0</v>
      </c>
      <c r="VPC1599" s="55">
        <f t="shared" si="532"/>
        <v>0</v>
      </c>
      <c r="VPD1599" s="55">
        <f t="shared" si="532"/>
        <v>0</v>
      </c>
      <c r="VPE1599" s="55">
        <f t="shared" si="532"/>
        <v>0</v>
      </c>
      <c r="VPF1599" s="55">
        <f t="shared" si="532"/>
        <v>0</v>
      </c>
      <c r="VPG1599" s="55">
        <f t="shared" si="532"/>
        <v>0</v>
      </c>
      <c r="VPH1599" s="55">
        <f t="shared" si="532"/>
        <v>0</v>
      </c>
      <c r="VPI1599" s="55">
        <f t="shared" si="532"/>
        <v>0</v>
      </c>
      <c r="VPJ1599" s="55">
        <f t="shared" si="532"/>
        <v>0</v>
      </c>
      <c r="VPK1599" s="55">
        <f t="shared" si="532"/>
        <v>0</v>
      </c>
      <c r="VPL1599" s="55">
        <f t="shared" si="532"/>
        <v>0</v>
      </c>
      <c r="VPM1599" s="55">
        <f t="shared" si="532"/>
        <v>0</v>
      </c>
      <c r="VPN1599" s="55">
        <f t="shared" si="532"/>
        <v>0</v>
      </c>
      <c r="VPO1599" s="55">
        <f t="shared" si="532"/>
        <v>0</v>
      </c>
      <c r="VPP1599" s="55">
        <f t="shared" si="532"/>
        <v>0</v>
      </c>
      <c r="VPQ1599" s="55">
        <f t="shared" si="532"/>
        <v>0</v>
      </c>
      <c r="VPR1599" s="55">
        <f t="shared" si="532"/>
        <v>0</v>
      </c>
      <c r="VPS1599" s="55">
        <f t="shared" si="532"/>
        <v>0</v>
      </c>
      <c r="VPT1599" s="55">
        <f t="shared" ref="VPT1599:VSE1599" si="533">+(VPT1619+VPT1623)*1.18*1.1</f>
        <v>0</v>
      </c>
      <c r="VPU1599" s="55">
        <f t="shared" si="533"/>
        <v>0</v>
      </c>
      <c r="VPV1599" s="55">
        <f t="shared" si="533"/>
        <v>0</v>
      </c>
      <c r="VPW1599" s="55">
        <f t="shared" si="533"/>
        <v>0</v>
      </c>
      <c r="VPX1599" s="55">
        <f t="shared" si="533"/>
        <v>0</v>
      </c>
      <c r="VPY1599" s="55">
        <f t="shared" si="533"/>
        <v>0</v>
      </c>
      <c r="VPZ1599" s="55">
        <f t="shared" si="533"/>
        <v>0</v>
      </c>
      <c r="VQA1599" s="55">
        <f t="shared" si="533"/>
        <v>0</v>
      </c>
      <c r="VQB1599" s="55">
        <f t="shared" si="533"/>
        <v>0</v>
      </c>
      <c r="VQC1599" s="55">
        <f t="shared" si="533"/>
        <v>0</v>
      </c>
      <c r="VQD1599" s="55">
        <f t="shared" si="533"/>
        <v>0</v>
      </c>
      <c r="VQE1599" s="55">
        <f t="shared" si="533"/>
        <v>0</v>
      </c>
      <c r="VQF1599" s="55">
        <f t="shared" si="533"/>
        <v>0</v>
      </c>
      <c r="VQG1599" s="55">
        <f t="shared" si="533"/>
        <v>0</v>
      </c>
      <c r="VQH1599" s="55">
        <f t="shared" si="533"/>
        <v>0</v>
      </c>
      <c r="VQI1599" s="55">
        <f t="shared" si="533"/>
        <v>0</v>
      </c>
      <c r="VQJ1599" s="55">
        <f t="shared" si="533"/>
        <v>0</v>
      </c>
      <c r="VQK1599" s="55">
        <f t="shared" si="533"/>
        <v>0</v>
      </c>
      <c r="VQL1599" s="55">
        <f t="shared" si="533"/>
        <v>0</v>
      </c>
      <c r="VQM1599" s="55">
        <f t="shared" si="533"/>
        <v>0</v>
      </c>
      <c r="VQN1599" s="55">
        <f t="shared" si="533"/>
        <v>0</v>
      </c>
      <c r="VQO1599" s="55">
        <f t="shared" si="533"/>
        <v>0</v>
      </c>
      <c r="VQP1599" s="55">
        <f t="shared" si="533"/>
        <v>0</v>
      </c>
      <c r="VQQ1599" s="55">
        <f t="shared" si="533"/>
        <v>0</v>
      </c>
      <c r="VQR1599" s="55">
        <f t="shared" si="533"/>
        <v>0</v>
      </c>
      <c r="VQS1599" s="55">
        <f t="shared" si="533"/>
        <v>0</v>
      </c>
      <c r="VQT1599" s="55">
        <f t="shared" si="533"/>
        <v>0</v>
      </c>
      <c r="VQU1599" s="55">
        <f t="shared" si="533"/>
        <v>0</v>
      </c>
      <c r="VQV1599" s="55">
        <f t="shared" si="533"/>
        <v>0</v>
      </c>
      <c r="VQW1599" s="55">
        <f t="shared" si="533"/>
        <v>0</v>
      </c>
      <c r="VQX1599" s="55">
        <f t="shared" si="533"/>
        <v>0</v>
      </c>
      <c r="VQY1599" s="55">
        <f t="shared" si="533"/>
        <v>0</v>
      </c>
      <c r="VQZ1599" s="55">
        <f t="shared" si="533"/>
        <v>0</v>
      </c>
      <c r="VRA1599" s="55">
        <f t="shared" si="533"/>
        <v>0</v>
      </c>
      <c r="VRB1599" s="55">
        <f t="shared" si="533"/>
        <v>0</v>
      </c>
      <c r="VRC1599" s="55">
        <f t="shared" si="533"/>
        <v>0</v>
      </c>
      <c r="VRD1599" s="55">
        <f t="shared" si="533"/>
        <v>0</v>
      </c>
      <c r="VRE1599" s="55">
        <f t="shared" si="533"/>
        <v>0</v>
      </c>
      <c r="VRF1599" s="55">
        <f t="shared" si="533"/>
        <v>0</v>
      </c>
      <c r="VRG1599" s="55">
        <f t="shared" si="533"/>
        <v>0</v>
      </c>
      <c r="VRH1599" s="55">
        <f t="shared" si="533"/>
        <v>0</v>
      </c>
      <c r="VRI1599" s="55">
        <f t="shared" si="533"/>
        <v>0</v>
      </c>
      <c r="VRJ1599" s="55">
        <f t="shared" si="533"/>
        <v>0</v>
      </c>
      <c r="VRK1599" s="55">
        <f t="shared" si="533"/>
        <v>0</v>
      </c>
      <c r="VRL1599" s="55">
        <f t="shared" si="533"/>
        <v>0</v>
      </c>
      <c r="VRM1599" s="55">
        <f t="shared" si="533"/>
        <v>0</v>
      </c>
      <c r="VRN1599" s="55">
        <f t="shared" si="533"/>
        <v>0</v>
      </c>
      <c r="VRO1599" s="55">
        <f t="shared" si="533"/>
        <v>0</v>
      </c>
      <c r="VRP1599" s="55">
        <f t="shared" si="533"/>
        <v>0</v>
      </c>
      <c r="VRQ1599" s="55">
        <f t="shared" si="533"/>
        <v>0</v>
      </c>
      <c r="VRR1599" s="55">
        <f t="shared" si="533"/>
        <v>0</v>
      </c>
      <c r="VRS1599" s="55">
        <f t="shared" si="533"/>
        <v>0</v>
      </c>
      <c r="VRT1599" s="55">
        <f t="shared" si="533"/>
        <v>0</v>
      </c>
      <c r="VRU1599" s="55">
        <f t="shared" si="533"/>
        <v>0</v>
      </c>
      <c r="VRV1599" s="55">
        <f t="shared" si="533"/>
        <v>0</v>
      </c>
      <c r="VRW1599" s="55">
        <f t="shared" si="533"/>
        <v>0</v>
      </c>
      <c r="VRX1599" s="55">
        <f t="shared" si="533"/>
        <v>0</v>
      </c>
      <c r="VRY1599" s="55">
        <f t="shared" si="533"/>
        <v>0</v>
      </c>
      <c r="VRZ1599" s="55">
        <f t="shared" si="533"/>
        <v>0</v>
      </c>
      <c r="VSA1599" s="55">
        <f t="shared" si="533"/>
        <v>0</v>
      </c>
      <c r="VSB1599" s="55">
        <f t="shared" si="533"/>
        <v>0</v>
      </c>
      <c r="VSC1599" s="55">
        <f t="shared" si="533"/>
        <v>0</v>
      </c>
      <c r="VSD1599" s="55">
        <f t="shared" si="533"/>
        <v>0</v>
      </c>
      <c r="VSE1599" s="55">
        <f t="shared" si="533"/>
        <v>0</v>
      </c>
      <c r="VSF1599" s="55">
        <f t="shared" ref="VSF1599:VUQ1599" si="534">+(VSF1619+VSF1623)*1.18*1.1</f>
        <v>0</v>
      </c>
      <c r="VSG1599" s="55">
        <f t="shared" si="534"/>
        <v>0</v>
      </c>
      <c r="VSH1599" s="55">
        <f t="shared" si="534"/>
        <v>0</v>
      </c>
      <c r="VSI1599" s="55">
        <f t="shared" si="534"/>
        <v>0</v>
      </c>
      <c r="VSJ1599" s="55">
        <f t="shared" si="534"/>
        <v>0</v>
      </c>
      <c r="VSK1599" s="55">
        <f t="shared" si="534"/>
        <v>0</v>
      </c>
      <c r="VSL1599" s="55">
        <f t="shared" si="534"/>
        <v>0</v>
      </c>
      <c r="VSM1599" s="55">
        <f t="shared" si="534"/>
        <v>0</v>
      </c>
      <c r="VSN1599" s="55">
        <f t="shared" si="534"/>
        <v>0</v>
      </c>
      <c r="VSO1599" s="55">
        <f t="shared" si="534"/>
        <v>0</v>
      </c>
      <c r="VSP1599" s="55">
        <f t="shared" si="534"/>
        <v>0</v>
      </c>
      <c r="VSQ1599" s="55">
        <f t="shared" si="534"/>
        <v>0</v>
      </c>
      <c r="VSR1599" s="55">
        <f t="shared" si="534"/>
        <v>0</v>
      </c>
      <c r="VSS1599" s="55">
        <f t="shared" si="534"/>
        <v>0</v>
      </c>
      <c r="VST1599" s="55">
        <f t="shared" si="534"/>
        <v>0</v>
      </c>
      <c r="VSU1599" s="55">
        <f t="shared" si="534"/>
        <v>0</v>
      </c>
      <c r="VSV1599" s="55">
        <f t="shared" si="534"/>
        <v>0</v>
      </c>
      <c r="VSW1599" s="55">
        <f t="shared" si="534"/>
        <v>0</v>
      </c>
      <c r="VSX1599" s="55">
        <f t="shared" si="534"/>
        <v>0</v>
      </c>
      <c r="VSY1599" s="55">
        <f t="shared" si="534"/>
        <v>0</v>
      </c>
      <c r="VSZ1599" s="55">
        <f t="shared" si="534"/>
        <v>0</v>
      </c>
      <c r="VTA1599" s="55">
        <f t="shared" si="534"/>
        <v>0</v>
      </c>
      <c r="VTB1599" s="55">
        <f t="shared" si="534"/>
        <v>0</v>
      </c>
      <c r="VTC1599" s="55">
        <f t="shared" si="534"/>
        <v>0</v>
      </c>
      <c r="VTD1599" s="55">
        <f t="shared" si="534"/>
        <v>0</v>
      </c>
      <c r="VTE1599" s="55">
        <f t="shared" si="534"/>
        <v>0</v>
      </c>
      <c r="VTF1599" s="55">
        <f t="shared" si="534"/>
        <v>0</v>
      </c>
      <c r="VTG1599" s="55">
        <f t="shared" si="534"/>
        <v>0</v>
      </c>
      <c r="VTH1599" s="55">
        <f t="shared" si="534"/>
        <v>0</v>
      </c>
      <c r="VTI1599" s="55">
        <f t="shared" si="534"/>
        <v>0</v>
      </c>
      <c r="VTJ1599" s="55">
        <f t="shared" si="534"/>
        <v>0</v>
      </c>
      <c r="VTK1599" s="55">
        <f t="shared" si="534"/>
        <v>0</v>
      </c>
      <c r="VTL1599" s="55">
        <f t="shared" si="534"/>
        <v>0</v>
      </c>
      <c r="VTM1599" s="55">
        <f t="shared" si="534"/>
        <v>0</v>
      </c>
      <c r="VTN1599" s="55">
        <f t="shared" si="534"/>
        <v>0</v>
      </c>
      <c r="VTO1599" s="55">
        <f t="shared" si="534"/>
        <v>0</v>
      </c>
      <c r="VTP1599" s="55">
        <f t="shared" si="534"/>
        <v>0</v>
      </c>
      <c r="VTQ1599" s="55">
        <f t="shared" si="534"/>
        <v>0</v>
      </c>
      <c r="VTR1599" s="55">
        <f t="shared" si="534"/>
        <v>0</v>
      </c>
      <c r="VTS1599" s="55">
        <f t="shared" si="534"/>
        <v>0</v>
      </c>
      <c r="VTT1599" s="55">
        <f t="shared" si="534"/>
        <v>0</v>
      </c>
      <c r="VTU1599" s="55">
        <f t="shared" si="534"/>
        <v>0</v>
      </c>
      <c r="VTV1599" s="55">
        <f t="shared" si="534"/>
        <v>0</v>
      </c>
      <c r="VTW1599" s="55">
        <f t="shared" si="534"/>
        <v>0</v>
      </c>
      <c r="VTX1599" s="55">
        <f t="shared" si="534"/>
        <v>0</v>
      </c>
      <c r="VTY1599" s="55">
        <f t="shared" si="534"/>
        <v>0</v>
      </c>
      <c r="VTZ1599" s="55">
        <f t="shared" si="534"/>
        <v>0</v>
      </c>
      <c r="VUA1599" s="55">
        <f t="shared" si="534"/>
        <v>0</v>
      </c>
      <c r="VUB1599" s="55">
        <f t="shared" si="534"/>
        <v>0</v>
      </c>
      <c r="VUC1599" s="55">
        <f t="shared" si="534"/>
        <v>0</v>
      </c>
      <c r="VUD1599" s="55">
        <f t="shared" si="534"/>
        <v>0</v>
      </c>
      <c r="VUE1599" s="55">
        <f t="shared" si="534"/>
        <v>0</v>
      </c>
      <c r="VUF1599" s="55">
        <f t="shared" si="534"/>
        <v>0</v>
      </c>
      <c r="VUG1599" s="55">
        <f t="shared" si="534"/>
        <v>0</v>
      </c>
      <c r="VUH1599" s="55">
        <f t="shared" si="534"/>
        <v>0</v>
      </c>
      <c r="VUI1599" s="55">
        <f t="shared" si="534"/>
        <v>0</v>
      </c>
      <c r="VUJ1599" s="55">
        <f t="shared" si="534"/>
        <v>0</v>
      </c>
      <c r="VUK1599" s="55">
        <f t="shared" si="534"/>
        <v>0</v>
      </c>
      <c r="VUL1599" s="55">
        <f t="shared" si="534"/>
        <v>0</v>
      </c>
      <c r="VUM1599" s="55">
        <f t="shared" si="534"/>
        <v>0</v>
      </c>
      <c r="VUN1599" s="55">
        <f t="shared" si="534"/>
        <v>0</v>
      </c>
      <c r="VUO1599" s="55">
        <f t="shared" si="534"/>
        <v>0</v>
      </c>
      <c r="VUP1599" s="55">
        <f t="shared" si="534"/>
        <v>0</v>
      </c>
      <c r="VUQ1599" s="55">
        <f t="shared" si="534"/>
        <v>0</v>
      </c>
      <c r="VUR1599" s="55">
        <f t="shared" ref="VUR1599:VXC1599" si="535">+(VUR1619+VUR1623)*1.18*1.1</f>
        <v>0</v>
      </c>
      <c r="VUS1599" s="55">
        <f t="shared" si="535"/>
        <v>0</v>
      </c>
      <c r="VUT1599" s="55">
        <f t="shared" si="535"/>
        <v>0</v>
      </c>
      <c r="VUU1599" s="55">
        <f t="shared" si="535"/>
        <v>0</v>
      </c>
      <c r="VUV1599" s="55">
        <f t="shared" si="535"/>
        <v>0</v>
      </c>
      <c r="VUW1599" s="55">
        <f t="shared" si="535"/>
        <v>0</v>
      </c>
      <c r="VUX1599" s="55">
        <f t="shared" si="535"/>
        <v>0</v>
      </c>
      <c r="VUY1599" s="55">
        <f t="shared" si="535"/>
        <v>0</v>
      </c>
      <c r="VUZ1599" s="55">
        <f t="shared" si="535"/>
        <v>0</v>
      </c>
      <c r="VVA1599" s="55">
        <f t="shared" si="535"/>
        <v>0</v>
      </c>
      <c r="VVB1599" s="55">
        <f t="shared" si="535"/>
        <v>0</v>
      </c>
      <c r="VVC1599" s="55">
        <f t="shared" si="535"/>
        <v>0</v>
      </c>
      <c r="VVD1599" s="55">
        <f t="shared" si="535"/>
        <v>0</v>
      </c>
      <c r="VVE1599" s="55">
        <f t="shared" si="535"/>
        <v>0</v>
      </c>
      <c r="VVF1599" s="55">
        <f t="shared" si="535"/>
        <v>0</v>
      </c>
      <c r="VVG1599" s="55">
        <f t="shared" si="535"/>
        <v>0</v>
      </c>
      <c r="VVH1599" s="55">
        <f t="shared" si="535"/>
        <v>0</v>
      </c>
      <c r="VVI1599" s="55">
        <f t="shared" si="535"/>
        <v>0</v>
      </c>
      <c r="VVJ1599" s="55">
        <f t="shared" si="535"/>
        <v>0</v>
      </c>
      <c r="VVK1599" s="55">
        <f t="shared" si="535"/>
        <v>0</v>
      </c>
      <c r="VVL1599" s="55">
        <f t="shared" si="535"/>
        <v>0</v>
      </c>
      <c r="VVM1599" s="55">
        <f t="shared" si="535"/>
        <v>0</v>
      </c>
      <c r="VVN1599" s="55">
        <f t="shared" si="535"/>
        <v>0</v>
      </c>
      <c r="VVO1599" s="55">
        <f t="shared" si="535"/>
        <v>0</v>
      </c>
      <c r="VVP1599" s="55">
        <f t="shared" si="535"/>
        <v>0</v>
      </c>
      <c r="VVQ1599" s="55">
        <f t="shared" si="535"/>
        <v>0</v>
      </c>
      <c r="VVR1599" s="55">
        <f t="shared" si="535"/>
        <v>0</v>
      </c>
      <c r="VVS1599" s="55">
        <f t="shared" si="535"/>
        <v>0</v>
      </c>
      <c r="VVT1599" s="55">
        <f t="shared" si="535"/>
        <v>0</v>
      </c>
      <c r="VVU1599" s="55">
        <f t="shared" si="535"/>
        <v>0</v>
      </c>
      <c r="VVV1599" s="55">
        <f t="shared" si="535"/>
        <v>0</v>
      </c>
      <c r="VVW1599" s="55">
        <f t="shared" si="535"/>
        <v>0</v>
      </c>
      <c r="VVX1599" s="55">
        <f t="shared" si="535"/>
        <v>0</v>
      </c>
      <c r="VVY1599" s="55">
        <f t="shared" si="535"/>
        <v>0</v>
      </c>
      <c r="VVZ1599" s="55">
        <f t="shared" si="535"/>
        <v>0</v>
      </c>
      <c r="VWA1599" s="55">
        <f t="shared" si="535"/>
        <v>0</v>
      </c>
      <c r="VWB1599" s="55">
        <f t="shared" si="535"/>
        <v>0</v>
      </c>
      <c r="VWC1599" s="55">
        <f t="shared" si="535"/>
        <v>0</v>
      </c>
      <c r="VWD1599" s="55">
        <f t="shared" si="535"/>
        <v>0</v>
      </c>
      <c r="VWE1599" s="55">
        <f t="shared" si="535"/>
        <v>0</v>
      </c>
      <c r="VWF1599" s="55">
        <f t="shared" si="535"/>
        <v>0</v>
      </c>
      <c r="VWG1599" s="55">
        <f t="shared" si="535"/>
        <v>0</v>
      </c>
      <c r="VWH1599" s="55">
        <f t="shared" si="535"/>
        <v>0</v>
      </c>
      <c r="VWI1599" s="55">
        <f t="shared" si="535"/>
        <v>0</v>
      </c>
      <c r="VWJ1599" s="55">
        <f t="shared" si="535"/>
        <v>0</v>
      </c>
      <c r="VWK1599" s="55">
        <f t="shared" si="535"/>
        <v>0</v>
      </c>
      <c r="VWL1599" s="55">
        <f t="shared" si="535"/>
        <v>0</v>
      </c>
      <c r="VWM1599" s="55">
        <f t="shared" si="535"/>
        <v>0</v>
      </c>
      <c r="VWN1599" s="55">
        <f t="shared" si="535"/>
        <v>0</v>
      </c>
      <c r="VWO1599" s="55">
        <f t="shared" si="535"/>
        <v>0</v>
      </c>
      <c r="VWP1599" s="55">
        <f t="shared" si="535"/>
        <v>0</v>
      </c>
      <c r="VWQ1599" s="55">
        <f t="shared" si="535"/>
        <v>0</v>
      </c>
      <c r="VWR1599" s="55">
        <f t="shared" si="535"/>
        <v>0</v>
      </c>
      <c r="VWS1599" s="55">
        <f t="shared" si="535"/>
        <v>0</v>
      </c>
      <c r="VWT1599" s="55">
        <f t="shared" si="535"/>
        <v>0</v>
      </c>
      <c r="VWU1599" s="55">
        <f t="shared" si="535"/>
        <v>0</v>
      </c>
      <c r="VWV1599" s="55">
        <f t="shared" si="535"/>
        <v>0</v>
      </c>
      <c r="VWW1599" s="55">
        <f t="shared" si="535"/>
        <v>0</v>
      </c>
      <c r="VWX1599" s="55">
        <f t="shared" si="535"/>
        <v>0</v>
      </c>
      <c r="VWY1599" s="55">
        <f t="shared" si="535"/>
        <v>0</v>
      </c>
      <c r="VWZ1599" s="55">
        <f t="shared" si="535"/>
        <v>0</v>
      </c>
      <c r="VXA1599" s="55">
        <f t="shared" si="535"/>
        <v>0</v>
      </c>
      <c r="VXB1599" s="55">
        <f t="shared" si="535"/>
        <v>0</v>
      </c>
      <c r="VXC1599" s="55">
        <f t="shared" si="535"/>
        <v>0</v>
      </c>
      <c r="VXD1599" s="55">
        <f t="shared" ref="VXD1599:VZO1599" si="536">+(VXD1619+VXD1623)*1.18*1.1</f>
        <v>0</v>
      </c>
      <c r="VXE1599" s="55">
        <f t="shared" si="536"/>
        <v>0</v>
      </c>
      <c r="VXF1599" s="55">
        <f t="shared" si="536"/>
        <v>0</v>
      </c>
      <c r="VXG1599" s="55">
        <f t="shared" si="536"/>
        <v>0</v>
      </c>
      <c r="VXH1599" s="55">
        <f t="shared" si="536"/>
        <v>0</v>
      </c>
      <c r="VXI1599" s="55">
        <f t="shared" si="536"/>
        <v>0</v>
      </c>
      <c r="VXJ1599" s="55">
        <f t="shared" si="536"/>
        <v>0</v>
      </c>
      <c r="VXK1599" s="55">
        <f t="shared" si="536"/>
        <v>0</v>
      </c>
      <c r="VXL1599" s="55">
        <f t="shared" si="536"/>
        <v>0</v>
      </c>
      <c r="VXM1599" s="55">
        <f t="shared" si="536"/>
        <v>0</v>
      </c>
      <c r="VXN1599" s="55">
        <f t="shared" si="536"/>
        <v>0</v>
      </c>
      <c r="VXO1599" s="55">
        <f t="shared" si="536"/>
        <v>0</v>
      </c>
      <c r="VXP1599" s="55">
        <f t="shared" si="536"/>
        <v>0</v>
      </c>
      <c r="VXQ1599" s="55">
        <f t="shared" si="536"/>
        <v>0</v>
      </c>
      <c r="VXR1599" s="55">
        <f t="shared" si="536"/>
        <v>0</v>
      </c>
      <c r="VXS1599" s="55">
        <f t="shared" si="536"/>
        <v>0</v>
      </c>
      <c r="VXT1599" s="55">
        <f t="shared" si="536"/>
        <v>0</v>
      </c>
      <c r="VXU1599" s="55">
        <f t="shared" si="536"/>
        <v>0</v>
      </c>
      <c r="VXV1599" s="55">
        <f t="shared" si="536"/>
        <v>0</v>
      </c>
      <c r="VXW1599" s="55">
        <f t="shared" si="536"/>
        <v>0</v>
      </c>
      <c r="VXX1599" s="55">
        <f t="shared" si="536"/>
        <v>0</v>
      </c>
      <c r="VXY1599" s="55">
        <f t="shared" si="536"/>
        <v>0</v>
      </c>
      <c r="VXZ1599" s="55">
        <f t="shared" si="536"/>
        <v>0</v>
      </c>
      <c r="VYA1599" s="55">
        <f t="shared" si="536"/>
        <v>0</v>
      </c>
      <c r="VYB1599" s="55">
        <f t="shared" si="536"/>
        <v>0</v>
      </c>
      <c r="VYC1599" s="55">
        <f t="shared" si="536"/>
        <v>0</v>
      </c>
      <c r="VYD1599" s="55">
        <f t="shared" si="536"/>
        <v>0</v>
      </c>
      <c r="VYE1599" s="55">
        <f t="shared" si="536"/>
        <v>0</v>
      </c>
      <c r="VYF1599" s="55">
        <f t="shared" si="536"/>
        <v>0</v>
      </c>
      <c r="VYG1599" s="55">
        <f t="shared" si="536"/>
        <v>0</v>
      </c>
      <c r="VYH1599" s="55">
        <f t="shared" si="536"/>
        <v>0</v>
      </c>
      <c r="VYI1599" s="55">
        <f t="shared" si="536"/>
        <v>0</v>
      </c>
      <c r="VYJ1599" s="55">
        <f t="shared" si="536"/>
        <v>0</v>
      </c>
      <c r="VYK1599" s="55">
        <f t="shared" si="536"/>
        <v>0</v>
      </c>
      <c r="VYL1599" s="55">
        <f t="shared" si="536"/>
        <v>0</v>
      </c>
      <c r="VYM1599" s="55">
        <f t="shared" si="536"/>
        <v>0</v>
      </c>
      <c r="VYN1599" s="55">
        <f t="shared" si="536"/>
        <v>0</v>
      </c>
      <c r="VYO1599" s="55">
        <f t="shared" si="536"/>
        <v>0</v>
      </c>
      <c r="VYP1599" s="55">
        <f t="shared" si="536"/>
        <v>0</v>
      </c>
      <c r="VYQ1599" s="55">
        <f t="shared" si="536"/>
        <v>0</v>
      </c>
      <c r="VYR1599" s="55">
        <f t="shared" si="536"/>
        <v>0</v>
      </c>
      <c r="VYS1599" s="55">
        <f t="shared" si="536"/>
        <v>0</v>
      </c>
      <c r="VYT1599" s="55">
        <f t="shared" si="536"/>
        <v>0</v>
      </c>
      <c r="VYU1599" s="55">
        <f t="shared" si="536"/>
        <v>0</v>
      </c>
      <c r="VYV1599" s="55">
        <f t="shared" si="536"/>
        <v>0</v>
      </c>
      <c r="VYW1599" s="55">
        <f t="shared" si="536"/>
        <v>0</v>
      </c>
      <c r="VYX1599" s="55">
        <f t="shared" si="536"/>
        <v>0</v>
      </c>
      <c r="VYY1599" s="55">
        <f t="shared" si="536"/>
        <v>0</v>
      </c>
      <c r="VYZ1599" s="55">
        <f t="shared" si="536"/>
        <v>0</v>
      </c>
      <c r="VZA1599" s="55">
        <f t="shared" si="536"/>
        <v>0</v>
      </c>
      <c r="VZB1599" s="55">
        <f t="shared" si="536"/>
        <v>0</v>
      </c>
      <c r="VZC1599" s="55">
        <f t="shared" si="536"/>
        <v>0</v>
      </c>
      <c r="VZD1599" s="55">
        <f t="shared" si="536"/>
        <v>0</v>
      </c>
      <c r="VZE1599" s="55">
        <f t="shared" si="536"/>
        <v>0</v>
      </c>
      <c r="VZF1599" s="55">
        <f t="shared" si="536"/>
        <v>0</v>
      </c>
      <c r="VZG1599" s="55">
        <f t="shared" si="536"/>
        <v>0</v>
      </c>
      <c r="VZH1599" s="55">
        <f t="shared" si="536"/>
        <v>0</v>
      </c>
      <c r="VZI1599" s="55">
        <f t="shared" si="536"/>
        <v>0</v>
      </c>
      <c r="VZJ1599" s="55">
        <f t="shared" si="536"/>
        <v>0</v>
      </c>
      <c r="VZK1599" s="55">
        <f t="shared" si="536"/>
        <v>0</v>
      </c>
      <c r="VZL1599" s="55">
        <f t="shared" si="536"/>
        <v>0</v>
      </c>
      <c r="VZM1599" s="55">
        <f t="shared" si="536"/>
        <v>0</v>
      </c>
      <c r="VZN1599" s="55">
        <f t="shared" si="536"/>
        <v>0</v>
      </c>
      <c r="VZO1599" s="55">
        <f t="shared" si="536"/>
        <v>0</v>
      </c>
      <c r="VZP1599" s="55">
        <f t="shared" ref="VZP1599:WCA1599" si="537">+(VZP1619+VZP1623)*1.18*1.1</f>
        <v>0</v>
      </c>
      <c r="VZQ1599" s="55">
        <f t="shared" si="537"/>
        <v>0</v>
      </c>
      <c r="VZR1599" s="55">
        <f t="shared" si="537"/>
        <v>0</v>
      </c>
      <c r="VZS1599" s="55">
        <f t="shared" si="537"/>
        <v>0</v>
      </c>
      <c r="VZT1599" s="55">
        <f t="shared" si="537"/>
        <v>0</v>
      </c>
      <c r="VZU1599" s="55">
        <f t="shared" si="537"/>
        <v>0</v>
      </c>
      <c r="VZV1599" s="55">
        <f t="shared" si="537"/>
        <v>0</v>
      </c>
      <c r="VZW1599" s="55">
        <f t="shared" si="537"/>
        <v>0</v>
      </c>
      <c r="VZX1599" s="55">
        <f t="shared" si="537"/>
        <v>0</v>
      </c>
      <c r="VZY1599" s="55">
        <f t="shared" si="537"/>
        <v>0</v>
      </c>
      <c r="VZZ1599" s="55">
        <f t="shared" si="537"/>
        <v>0</v>
      </c>
      <c r="WAA1599" s="55">
        <f t="shared" si="537"/>
        <v>0</v>
      </c>
      <c r="WAB1599" s="55">
        <f t="shared" si="537"/>
        <v>0</v>
      </c>
      <c r="WAC1599" s="55">
        <f t="shared" si="537"/>
        <v>0</v>
      </c>
      <c r="WAD1599" s="55">
        <f t="shared" si="537"/>
        <v>0</v>
      </c>
      <c r="WAE1599" s="55">
        <f t="shared" si="537"/>
        <v>0</v>
      </c>
      <c r="WAF1599" s="55">
        <f t="shared" si="537"/>
        <v>0</v>
      </c>
      <c r="WAG1599" s="55">
        <f t="shared" si="537"/>
        <v>0</v>
      </c>
      <c r="WAH1599" s="55">
        <f t="shared" si="537"/>
        <v>0</v>
      </c>
      <c r="WAI1599" s="55">
        <f t="shared" si="537"/>
        <v>0</v>
      </c>
      <c r="WAJ1599" s="55">
        <f t="shared" si="537"/>
        <v>0</v>
      </c>
      <c r="WAK1599" s="55">
        <f t="shared" si="537"/>
        <v>0</v>
      </c>
      <c r="WAL1599" s="55">
        <f t="shared" si="537"/>
        <v>0</v>
      </c>
      <c r="WAM1599" s="55">
        <f t="shared" si="537"/>
        <v>0</v>
      </c>
      <c r="WAN1599" s="55">
        <f t="shared" si="537"/>
        <v>0</v>
      </c>
      <c r="WAO1599" s="55">
        <f t="shared" si="537"/>
        <v>0</v>
      </c>
      <c r="WAP1599" s="55">
        <f t="shared" si="537"/>
        <v>0</v>
      </c>
      <c r="WAQ1599" s="55">
        <f t="shared" si="537"/>
        <v>0</v>
      </c>
      <c r="WAR1599" s="55">
        <f t="shared" si="537"/>
        <v>0</v>
      </c>
      <c r="WAS1599" s="55">
        <f t="shared" si="537"/>
        <v>0</v>
      </c>
      <c r="WAT1599" s="55">
        <f t="shared" si="537"/>
        <v>0</v>
      </c>
      <c r="WAU1599" s="55">
        <f t="shared" si="537"/>
        <v>0</v>
      </c>
      <c r="WAV1599" s="55">
        <f t="shared" si="537"/>
        <v>0</v>
      </c>
      <c r="WAW1599" s="55">
        <f t="shared" si="537"/>
        <v>0</v>
      </c>
      <c r="WAX1599" s="55">
        <f t="shared" si="537"/>
        <v>0</v>
      </c>
      <c r="WAY1599" s="55">
        <f t="shared" si="537"/>
        <v>0</v>
      </c>
      <c r="WAZ1599" s="55">
        <f t="shared" si="537"/>
        <v>0</v>
      </c>
      <c r="WBA1599" s="55">
        <f t="shared" si="537"/>
        <v>0</v>
      </c>
      <c r="WBB1599" s="55">
        <f t="shared" si="537"/>
        <v>0</v>
      </c>
      <c r="WBC1599" s="55">
        <f t="shared" si="537"/>
        <v>0</v>
      </c>
      <c r="WBD1599" s="55">
        <f t="shared" si="537"/>
        <v>0</v>
      </c>
      <c r="WBE1599" s="55">
        <f t="shared" si="537"/>
        <v>0</v>
      </c>
      <c r="WBF1599" s="55">
        <f t="shared" si="537"/>
        <v>0</v>
      </c>
      <c r="WBG1599" s="55">
        <f t="shared" si="537"/>
        <v>0</v>
      </c>
      <c r="WBH1599" s="55">
        <f t="shared" si="537"/>
        <v>0</v>
      </c>
      <c r="WBI1599" s="55">
        <f t="shared" si="537"/>
        <v>0</v>
      </c>
      <c r="WBJ1599" s="55">
        <f t="shared" si="537"/>
        <v>0</v>
      </c>
      <c r="WBK1599" s="55">
        <f t="shared" si="537"/>
        <v>0</v>
      </c>
      <c r="WBL1599" s="55">
        <f t="shared" si="537"/>
        <v>0</v>
      </c>
      <c r="WBM1599" s="55">
        <f t="shared" si="537"/>
        <v>0</v>
      </c>
      <c r="WBN1599" s="55">
        <f t="shared" si="537"/>
        <v>0</v>
      </c>
      <c r="WBO1599" s="55">
        <f t="shared" si="537"/>
        <v>0</v>
      </c>
      <c r="WBP1599" s="55">
        <f t="shared" si="537"/>
        <v>0</v>
      </c>
      <c r="WBQ1599" s="55">
        <f t="shared" si="537"/>
        <v>0</v>
      </c>
      <c r="WBR1599" s="55">
        <f t="shared" si="537"/>
        <v>0</v>
      </c>
      <c r="WBS1599" s="55">
        <f t="shared" si="537"/>
        <v>0</v>
      </c>
      <c r="WBT1599" s="55">
        <f t="shared" si="537"/>
        <v>0</v>
      </c>
      <c r="WBU1599" s="55">
        <f t="shared" si="537"/>
        <v>0</v>
      </c>
      <c r="WBV1599" s="55">
        <f t="shared" si="537"/>
        <v>0</v>
      </c>
      <c r="WBW1599" s="55">
        <f t="shared" si="537"/>
        <v>0</v>
      </c>
      <c r="WBX1599" s="55">
        <f t="shared" si="537"/>
        <v>0</v>
      </c>
      <c r="WBY1599" s="55">
        <f t="shared" si="537"/>
        <v>0</v>
      </c>
      <c r="WBZ1599" s="55">
        <f t="shared" si="537"/>
        <v>0</v>
      </c>
      <c r="WCA1599" s="55">
        <f t="shared" si="537"/>
        <v>0</v>
      </c>
      <c r="WCB1599" s="55">
        <f t="shared" ref="WCB1599:WEM1599" si="538">+(WCB1619+WCB1623)*1.18*1.1</f>
        <v>0</v>
      </c>
      <c r="WCC1599" s="55">
        <f t="shared" si="538"/>
        <v>0</v>
      </c>
      <c r="WCD1599" s="55">
        <f t="shared" si="538"/>
        <v>0</v>
      </c>
      <c r="WCE1599" s="55">
        <f t="shared" si="538"/>
        <v>0</v>
      </c>
      <c r="WCF1599" s="55">
        <f t="shared" si="538"/>
        <v>0</v>
      </c>
      <c r="WCG1599" s="55">
        <f t="shared" si="538"/>
        <v>0</v>
      </c>
      <c r="WCH1599" s="55">
        <f t="shared" si="538"/>
        <v>0</v>
      </c>
      <c r="WCI1599" s="55">
        <f t="shared" si="538"/>
        <v>0</v>
      </c>
      <c r="WCJ1599" s="55">
        <f t="shared" si="538"/>
        <v>0</v>
      </c>
      <c r="WCK1599" s="55">
        <f t="shared" si="538"/>
        <v>0</v>
      </c>
      <c r="WCL1599" s="55">
        <f t="shared" si="538"/>
        <v>0</v>
      </c>
      <c r="WCM1599" s="55">
        <f t="shared" si="538"/>
        <v>0</v>
      </c>
      <c r="WCN1599" s="55">
        <f t="shared" si="538"/>
        <v>0</v>
      </c>
      <c r="WCO1599" s="55">
        <f t="shared" si="538"/>
        <v>0</v>
      </c>
      <c r="WCP1599" s="55">
        <f t="shared" si="538"/>
        <v>0</v>
      </c>
      <c r="WCQ1599" s="55">
        <f t="shared" si="538"/>
        <v>0</v>
      </c>
      <c r="WCR1599" s="55">
        <f t="shared" si="538"/>
        <v>0</v>
      </c>
      <c r="WCS1599" s="55">
        <f t="shared" si="538"/>
        <v>0</v>
      </c>
      <c r="WCT1599" s="55">
        <f t="shared" si="538"/>
        <v>0</v>
      </c>
      <c r="WCU1599" s="55">
        <f t="shared" si="538"/>
        <v>0</v>
      </c>
      <c r="WCV1599" s="55">
        <f t="shared" si="538"/>
        <v>0</v>
      </c>
      <c r="WCW1599" s="55">
        <f t="shared" si="538"/>
        <v>0</v>
      </c>
      <c r="WCX1599" s="55">
        <f t="shared" si="538"/>
        <v>0</v>
      </c>
      <c r="WCY1599" s="55">
        <f t="shared" si="538"/>
        <v>0</v>
      </c>
      <c r="WCZ1599" s="55">
        <f t="shared" si="538"/>
        <v>0</v>
      </c>
      <c r="WDA1599" s="55">
        <f t="shared" si="538"/>
        <v>0</v>
      </c>
      <c r="WDB1599" s="55">
        <f t="shared" si="538"/>
        <v>0</v>
      </c>
      <c r="WDC1599" s="55">
        <f t="shared" si="538"/>
        <v>0</v>
      </c>
      <c r="WDD1599" s="55">
        <f t="shared" si="538"/>
        <v>0</v>
      </c>
      <c r="WDE1599" s="55">
        <f t="shared" si="538"/>
        <v>0</v>
      </c>
      <c r="WDF1599" s="55">
        <f t="shared" si="538"/>
        <v>0</v>
      </c>
      <c r="WDG1599" s="55">
        <f t="shared" si="538"/>
        <v>0</v>
      </c>
      <c r="WDH1599" s="55">
        <f t="shared" si="538"/>
        <v>0</v>
      </c>
      <c r="WDI1599" s="55">
        <f t="shared" si="538"/>
        <v>0</v>
      </c>
      <c r="WDJ1599" s="55">
        <f t="shared" si="538"/>
        <v>0</v>
      </c>
      <c r="WDK1599" s="55">
        <f t="shared" si="538"/>
        <v>0</v>
      </c>
      <c r="WDL1599" s="55">
        <f t="shared" si="538"/>
        <v>0</v>
      </c>
      <c r="WDM1599" s="55">
        <f t="shared" si="538"/>
        <v>0</v>
      </c>
      <c r="WDN1599" s="55">
        <f t="shared" si="538"/>
        <v>0</v>
      </c>
      <c r="WDO1599" s="55">
        <f t="shared" si="538"/>
        <v>0</v>
      </c>
      <c r="WDP1599" s="55">
        <f t="shared" si="538"/>
        <v>0</v>
      </c>
      <c r="WDQ1599" s="55">
        <f t="shared" si="538"/>
        <v>0</v>
      </c>
      <c r="WDR1599" s="55">
        <f t="shared" si="538"/>
        <v>0</v>
      </c>
      <c r="WDS1599" s="55">
        <f t="shared" si="538"/>
        <v>0</v>
      </c>
      <c r="WDT1599" s="55">
        <f t="shared" si="538"/>
        <v>0</v>
      </c>
      <c r="WDU1599" s="55">
        <f t="shared" si="538"/>
        <v>0</v>
      </c>
      <c r="WDV1599" s="55">
        <f t="shared" si="538"/>
        <v>0</v>
      </c>
      <c r="WDW1599" s="55">
        <f t="shared" si="538"/>
        <v>0</v>
      </c>
      <c r="WDX1599" s="55">
        <f t="shared" si="538"/>
        <v>0</v>
      </c>
      <c r="WDY1599" s="55">
        <f t="shared" si="538"/>
        <v>0</v>
      </c>
      <c r="WDZ1599" s="55">
        <f t="shared" si="538"/>
        <v>0</v>
      </c>
      <c r="WEA1599" s="55">
        <f t="shared" si="538"/>
        <v>0</v>
      </c>
      <c r="WEB1599" s="55">
        <f t="shared" si="538"/>
        <v>0</v>
      </c>
      <c r="WEC1599" s="55">
        <f t="shared" si="538"/>
        <v>0</v>
      </c>
      <c r="WED1599" s="55">
        <f t="shared" si="538"/>
        <v>0</v>
      </c>
      <c r="WEE1599" s="55">
        <f t="shared" si="538"/>
        <v>0</v>
      </c>
      <c r="WEF1599" s="55">
        <f t="shared" si="538"/>
        <v>0</v>
      </c>
      <c r="WEG1599" s="55">
        <f t="shared" si="538"/>
        <v>0</v>
      </c>
      <c r="WEH1599" s="55">
        <f t="shared" si="538"/>
        <v>0</v>
      </c>
      <c r="WEI1599" s="55">
        <f t="shared" si="538"/>
        <v>0</v>
      </c>
      <c r="WEJ1599" s="55">
        <f t="shared" si="538"/>
        <v>0</v>
      </c>
      <c r="WEK1599" s="55">
        <f t="shared" si="538"/>
        <v>0</v>
      </c>
      <c r="WEL1599" s="55">
        <f t="shared" si="538"/>
        <v>0</v>
      </c>
      <c r="WEM1599" s="55">
        <f t="shared" si="538"/>
        <v>0</v>
      </c>
      <c r="WEN1599" s="55">
        <f t="shared" ref="WEN1599:WGY1599" si="539">+(WEN1619+WEN1623)*1.18*1.1</f>
        <v>0</v>
      </c>
      <c r="WEO1599" s="55">
        <f t="shared" si="539"/>
        <v>0</v>
      </c>
      <c r="WEP1599" s="55">
        <f t="shared" si="539"/>
        <v>0</v>
      </c>
      <c r="WEQ1599" s="55">
        <f t="shared" si="539"/>
        <v>0</v>
      </c>
      <c r="WER1599" s="55">
        <f t="shared" si="539"/>
        <v>0</v>
      </c>
      <c r="WES1599" s="55">
        <f t="shared" si="539"/>
        <v>0</v>
      </c>
      <c r="WET1599" s="55">
        <f t="shared" si="539"/>
        <v>0</v>
      </c>
      <c r="WEU1599" s="55">
        <f t="shared" si="539"/>
        <v>0</v>
      </c>
      <c r="WEV1599" s="55">
        <f t="shared" si="539"/>
        <v>0</v>
      </c>
      <c r="WEW1599" s="55">
        <f t="shared" si="539"/>
        <v>0</v>
      </c>
      <c r="WEX1599" s="55">
        <f t="shared" si="539"/>
        <v>0</v>
      </c>
      <c r="WEY1599" s="55">
        <f t="shared" si="539"/>
        <v>0</v>
      </c>
      <c r="WEZ1599" s="55">
        <f t="shared" si="539"/>
        <v>0</v>
      </c>
      <c r="WFA1599" s="55">
        <f t="shared" si="539"/>
        <v>0</v>
      </c>
      <c r="WFB1599" s="55">
        <f t="shared" si="539"/>
        <v>0</v>
      </c>
      <c r="WFC1599" s="55">
        <f t="shared" si="539"/>
        <v>0</v>
      </c>
      <c r="WFD1599" s="55">
        <f t="shared" si="539"/>
        <v>0</v>
      </c>
      <c r="WFE1599" s="55">
        <f t="shared" si="539"/>
        <v>0</v>
      </c>
      <c r="WFF1599" s="55">
        <f t="shared" si="539"/>
        <v>0</v>
      </c>
      <c r="WFG1599" s="55">
        <f t="shared" si="539"/>
        <v>0</v>
      </c>
      <c r="WFH1599" s="55">
        <f t="shared" si="539"/>
        <v>0</v>
      </c>
      <c r="WFI1599" s="55">
        <f t="shared" si="539"/>
        <v>0</v>
      </c>
      <c r="WFJ1599" s="55">
        <f t="shared" si="539"/>
        <v>0</v>
      </c>
      <c r="WFK1599" s="55">
        <f t="shared" si="539"/>
        <v>0</v>
      </c>
      <c r="WFL1599" s="55">
        <f t="shared" si="539"/>
        <v>0</v>
      </c>
      <c r="WFM1599" s="55">
        <f t="shared" si="539"/>
        <v>0</v>
      </c>
      <c r="WFN1599" s="55">
        <f t="shared" si="539"/>
        <v>0</v>
      </c>
      <c r="WFO1599" s="55">
        <f t="shared" si="539"/>
        <v>0</v>
      </c>
      <c r="WFP1599" s="55">
        <f t="shared" si="539"/>
        <v>0</v>
      </c>
      <c r="WFQ1599" s="55">
        <f t="shared" si="539"/>
        <v>0</v>
      </c>
      <c r="WFR1599" s="55">
        <f t="shared" si="539"/>
        <v>0</v>
      </c>
      <c r="WFS1599" s="55">
        <f t="shared" si="539"/>
        <v>0</v>
      </c>
      <c r="WFT1599" s="55">
        <f t="shared" si="539"/>
        <v>0</v>
      </c>
      <c r="WFU1599" s="55">
        <f t="shared" si="539"/>
        <v>0</v>
      </c>
      <c r="WFV1599" s="55">
        <f t="shared" si="539"/>
        <v>0</v>
      </c>
      <c r="WFW1599" s="55">
        <f t="shared" si="539"/>
        <v>0</v>
      </c>
      <c r="WFX1599" s="55">
        <f t="shared" si="539"/>
        <v>0</v>
      </c>
      <c r="WFY1599" s="55">
        <f t="shared" si="539"/>
        <v>0</v>
      </c>
      <c r="WFZ1599" s="55">
        <f t="shared" si="539"/>
        <v>0</v>
      </c>
      <c r="WGA1599" s="55">
        <f t="shared" si="539"/>
        <v>0</v>
      </c>
      <c r="WGB1599" s="55">
        <f t="shared" si="539"/>
        <v>0</v>
      </c>
      <c r="WGC1599" s="55">
        <f t="shared" si="539"/>
        <v>0</v>
      </c>
      <c r="WGD1599" s="55">
        <f t="shared" si="539"/>
        <v>0</v>
      </c>
      <c r="WGE1599" s="55">
        <f t="shared" si="539"/>
        <v>0</v>
      </c>
      <c r="WGF1599" s="55">
        <f t="shared" si="539"/>
        <v>0</v>
      </c>
      <c r="WGG1599" s="55">
        <f t="shared" si="539"/>
        <v>0</v>
      </c>
      <c r="WGH1599" s="55">
        <f t="shared" si="539"/>
        <v>0</v>
      </c>
      <c r="WGI1599" s="55">
        <f t="shared" si="539"/>
        <v>0</v>
      </c>
      <c r="WGJ1599" s="55">
        <f t="shared" si="539"/>
        <v>0</v>
      </c>
      <c r="WGK1599" s="55">
        <f t="shared" si="539"/>
        <v>0</v>
      </c>
      <c r="WGL1599" s="55">
        <f t="shared" si="539"/>
        <v>0</v>
      </c>
      <c r="WGM1599" s="55">
        <f t="shared" si="539"/>
        <v>0</v>
      </c>
      <c r="WGN1599" s="55">
        <f t="shared" si="539"/>
        <v>0</v>
      </c>
      <c r="WGO1599" s="55">
        <f t="shared" si="539"/>
        <v>0</v>
      </c>
      <c r="WGP1599" s="55">
        <f t="shared" si="539"/>
        <v>0</v>
      </c>
      <c r="WGQ1599" s="55">
        <f t="shared" si="539"/>
        <v>0</v>
      </c>
      <c r="WGR1599" s="55">
        <f t="shared" si="539"/>
        <v>0</v>
      </c>
      <c r="WGS1599" s="55">
        <f t="shared" si="539"/>
        <v>0</v>
      </c>
      <c r="WGT1599" s="55">
        <f t="shared" si="539"/>
        <v>0</v>
      </c>
      <c r="WGU1599" s="55">
        <f t="shared" si="539"/>
        <v>0</v>
      </c>
      <c r="WGV1599" s="55">
        <f t="shared" si="539"/>
        <v>0</v>
      </c>
      <c r="WGW1599" s="55">
        <f t="shared" si="539"/>
        <v>0</v>
      </c>
      <c r="WGX1599" s="55">
        <f t="shared" si="539"/>
        <v>0</v>
      </c>
      <c r="WGY1599" s="55">
        <f t="shared" si="539"/>
        <v>0</v>
      </c>
      <c r="WGZ1599" s="55">
        <f t="shared" ref="WGZ1599:WJK1599" si="540">+(WGZ1619+WGZ1623)*1.18*1.1</f>
        <v>0</v>
      </c>
      <c r="WHA1599" s="55">
        <f t="shared" si="540"/>
        <v>0</v>
      </c>
      <c r="WHB1599" s="55">
        <f t="shared" si="540"/>
        <v>0</v>
      </c>
      <c r="WHC1599" s="55">
        <f t="shared" si="540"/>
        <v>0</v>
      </c>
      <c r="WHD1599" s="55">
        <f t="shared" si="540"/>
        <v>0</v>
      </c>
      <c r="WHE1599" s="55">
        <f t="shared" si="540"/>
        <v>0</v>
      </c>
      <c r="WHF1599" s="55">
        <f t="shared" si="540"/>
        <v>0</v>
      </c>
      <c r="WHG1599" s="55">
        <f t="shared" si="540"/>
        <v>0</v>
      </c>
      <c r="WHH1599" s="55">
        <f t="shared" si="540"/>
        <v>0</v>
      </c>
      <c r="WHI1599" s="55">
        <f t="shared" si="540"/>
        <v>0</v>
      </c>
      <c r="WHJ1599" s="55">
        <f t="shared" si="540"/>
        <v>0</v>
      </c>
      <c r="WHK1599" s="55">
        <f t="shared" si="540"/>
        <v>0</v>
      </c>
      <c r="WHL1599" s="55">
        <f t="shared" si="540"/>
        <v>0</v>
      </c>
      <c r="WHM1599" s="55">
        <f t="shared" si="540"/>
        <v>0</v>
      </c>
      <c r="WHN1599" s="55">
        <f t="shared" si="540"/>
        <v>0</v>
      </c>
      <c r="WHO1599" s="55">
        <f t="shared" si="540"/>
        <v>0</v>
      </c>
      <c r="WHP1599" s="55">
        <f t="shared" si="540"/>
        <v>0</v>
      </c>
      <c r="WHQ1599" s="55">
        <f t="shared" si="540"/>
        <v>0</v>
      </c>
      <c r="WHR1599" s="55">
        <f t="shared" si="540"/>
        <v>0</v>
      </c>
      <c r="WHS1599" s="55">
        <f t="shared" si="540"/>
        <v>0</v>
      </c>
      <c r="WHT1599" s="55">
        <f t="shared" si="540"/>
        <v>0</v>
      </c>
      <c r="WHU1599" s="55">
        <f t="shared" si="540"/>
        <v>0</v>
      </c>
      <c r="WHV1599" s="55">
        <f t="shared" si="540"/>
        <v>0</v>
      </c>
      <c r="WHW1599" s="55">
        <f t="shared" si="540"/>
        <v>0</v>
      </c>
      <c r="WHX1599" s="55">
        <f t="shared" si="540"/>
        <v>0</v>
      </c>
      <c r="WHY1599" s="55">
        <f t="shared" si="540"/>
        <v>0</v>
      </c>
      <c r="WHZ1599" s="55">
        <f t="shared" si="540"/>
        <v>0</v>
      </c>
      <c r="WIA1599" s="55">
        <f t="shared" si="540"/>
        <v>0</v>
      </c>
      <c r="WIB1599" s="55">
        <f t="shared" si="540"/>
        <v>0</v>
      </c>
      <c r="WIC1599" s="55">
        <f t="shared" si="540"/>
        <v>0</v>
      </c>
      <c r="WID1599" s="55">
        <f t="shared" si="540"/>
        <v>0</v>
      </c>
      <c r="WIE1599" s="55">
        <f t="shared" si="540"/>
        <v>0</v>
      </c>
      <c r="WIF1599" s="55">
        <f t="shared" si="540"/>
        <v>0</v>
      </c>
      <c r="WIG1599" s="55">
        <f t="shared" si="540"/>
        <v>0</v>
      </c>
      <c r="WIH1599" s="55">
        <f t="shared" si="540"/>
        <v>0</v>
      </c>
      <c r="WII1599" s="55">
        <f t="shared" si="540"/>
        <v>0</v>
      </c>
      <c r="WIJ1599" s="55">
        <f t="shared" si="540"/>
        <v>0</v>
      </c>
      <c r="WIK1599" s="55">
        <f t="shared" si="540"/>
        <v>0</v>
      </c>
      <c r="WIL1599" s="55">
        <f t="shared" si="540"/>
        <v>0</v>
      </c>
      <c r="WIM1599" s="55">
        <f t="shared" si="540"/>
        <v>0</v>
      </c>
      <c r="WIN1599" s="55">
        <f t="shared" si="540"/>
        <v>0</v>
      </c>
      <c r="WIO1599" s="55">
        <f t="shared" si="540"/>
        <v>0</v>
      </c>
      <c r="WIP1599" s="55">
        <f t="shared" si="540"/>
        <v>0</v>
      </c>
      <c r="WIQ1599" s="55">
        <f t="shared" si="540"/>
        <v>0</v>
      </c>
      <c r="WIR1599" s="55">
        <f t="shared" si="540"/>
        <v>0</v>
      </c>
      <c r="WIS1599" s="55">
        <f t="shared" si="540"/>
        <v>0</v>
      </c>
      <c r="WIT1599" s="55">
        <f t="shared" si="540"/>
        <v>0</v>
      </c>
      <c r="WIU1599" s="55">
        <f t="shared" si="540"/>
        <v>0</v>
      </c>
      <c r="WIV1599" s="55">
        <f t="shared" si="540"/>
        <v>0</v>
      </c>
      <c r="WIW1599" s="55">
        <f t="shared" si="540"/>
        <v>0</v>
      </c>
      <c r="WIX1599" s="55">
        <f t="shared" si="540"/>
        <v>0</v>
      </c>
      <c r="WIY1599" s="55">
        <f t="shared" si="540"/>
        <v>0</v>
      </c>
      <c r="WIZ1599" s="55">
        <f t="shared" si="540"/>
        <v>0</v>
      </c>
      <c r="WJA1599" s="55">
        <f t="shared" si="540"/>
        <v>0</v>
      </c>
      <c r="WJB1599" s="55">
        <f t="shared" si="540"/>
        <v>0</v>
      </c>
      <c r="WJC1599" s="55">
        <f t="shared" si="540"/>
        <v>0</v>
      </c>
      <c r="WJD1599" s="55">
        <f t="shared" si="540"/>
        <v>0</v>
      </c>
      <c r="WJE1599" s="55">
        <f t="shared" si="540"/>
        <v>0</v>
      </c>
      <c r="WJF1599" s="55">
        <f t="shared" si="540"/>
        <v>0</v>
      </c>
      <c r="WJG1599" s="55">
        <f t="shared" si="540"/>
        <v>0</v>
      </c>
      <c r="WJH1599" s="55">
        <f t="shared" si="540"/>
        <v>0</v>
      </c>
      <c r="WJI1599" s="55">
        <f t="shared" si="540"/>
        <v>0</v>
      </c>
      <c r="WJJ1599" s="55">
        <f t="shared" si="540"/>
        <v>0</v>
      </c>
      <c r="WJK1599" s="55">
        <f t="shared" si="540"/>
        <v>0</v>
      </c>
      <c r="WJL1599" s="55">
        <f t="shared" ref="WJL1599:WLW1599" si="541">+(WJL1619+WJL1623)*1.18*1.1</f>
        <v>0</v>
      </c>
      <c r="WJM1599" s="55">
        <f t="shared" si="541"/>
        <v>0</v>
      </c>
      <c r="WJN1599" s="55">
        <f t="shared" si="541"/>
        <v>0</v>
      </c>
      <c r="WJO1599" s="55">
        <f t="shared" si="541"/>
        <v>0</v>
      </c>
      <c r="WJP1599" s="55">
        <f t="shared" si="541"/>
        <v>0</v>
      </c>
      <c r="WJQ1599" s="55">
        <f t="shared" si="541"/>
        <v>0</v>
      </c>
      <c r="WJR1599" s="55">
        <f t="shared" si="541"/>
        <v>0</v>
      </c>
      <c r="WJS1599" s="55">
        <f t="shared" si="541"/>
        <v>0</v>
      </c>
      <c r="WJT1599" s="55">
        <f t="shared" si="541"/>
        <v>0</v>
      </c>
      <c r="WJU1599" s="55">
        <f t="shared" si="541"/>
        <v>0</v>
      </c>
      <c r="WJV1599" s="55">
        <f t="shared" si="541"/>
        <v>0</v>
      </c>
      <c r="WJW1599" s="55">
        <f t="shared" si="541"/>
        <v>0</v>
      </c>
      <c r="WJX1599" s="55">
        <f t="shared" si="541"/>
        <v>0</v>
      </c>
      <c r="WJY1599" s="55">
        <f t="shared" si="541"/>
        <v>0</v>
      </c>
      <c r="WJZ1599" s="55">
        <f t="shared" si="541"/>
        <v>0</v>
      </c>
      <c r="WKA1599" s="55">
        <f t="shared" si="541"/>
        <v>0</v>
      </c>
      <c r="WKB1599" s="55">
        <f t="shared" si="541"/>
        <v>0</v>
      </c>
      <c r="WKC1599" s="55">
        <f t="shared" si="541"/>
        <v>0</v>
      </c>
      <c r="WKD1599" s="55">
        <f t="shared" si="541"/>
        <v>0</v>
      </c>
      <c r="WKE1599" s="55">
        <f t="shared" si="541"/>
        <v>0</v>
      </c>
      <c r="WKF1599" s="55">
        <f t="shared" si="541"/>
        <v>0</v>
      </c>
      <c r="WKG1599" s="55">
        <f t="shared" si="541"/>
        <v>0</v>
      </c>
      <c r="WKH1599" s="55">
        <f t="shared" si="541"/>
        <v>0</v>
      </c>
      <c r="WKI1599" s="55">
        <f t="shared" si="541"/>
        <v>0</v>
      </c>
      <c r="WKJ1599" s="55">
        <f t="shared" si="541"/>
        <v>0</v>
      </c>
      <c r="WKK1599" s="55">
        <f t="shared" si="541"/>
        <v>0</v>
      </c>
      <c r="WKL1599" s="55">
        <f t="shared" si="541"/>
        <v>0</v>
      </c>
      <c r="WKM1599" s="55">
        <f t="shared" si="541"/>
        <v>0</v>
      </c>
      <c r="WKN1599" s="55">
        <f t="shared" si="541"/>
        <v>0</v>
      </c>
      <c r="WKO1599" s="55">
        <f t="shared" si="541"/>
        <v>0</v>
      </c>
      <c r="WKP1599" s="55">
        <f t="shared" si="541"/>
        <v>0</v>
      </c>
      <c r="WKQ1599" s="55">
        <f t="shared" si="541"/>
        <v>0</v>
      </c>
      <c r="WKR1599" s="55">
        <f t="shared" si="541"/>
        <v>0</v>
      </c>
      <c r="WKS1599" s="55">
        <f t="shared" si="541"/>
        <v>0</v>
      </c>
      <c r="WKT1599" s="55">
        <f t="shared" si="541"/>
        <v>0</v>
      </c>
      <c r="WKU1599" s="55">
        <f t="shared" si="541"/>
        <v>0</v>
      </c>
      <c r="WKV1599" s="55">
        <f t="shared" si="541"/>
        <v>0</v>
      </c>
      <c r="WKW1599" s="55">
        <f t="shared" si="541"/>
        <v>0</v>
      </c>
      <c r="WKX1599" s="55">
        <f t="shared" si="541"/>
        <v>0</v>
      </c>
      <c r="WKY1599" s="55">
        <f t="shared" si="541"/>
        <v>0</v>
      </c>
      <c r="WKZ1599" s="55">
        <f t="shared" si="541"/>
        <v>0</v>
      </c>
      <c r="WLA1599" s="55">
        <f t="shared" si="541"/>
        <v>0</v>
      </c>
      <c r="WLB1599" s="55">
        <f t="shared" si="541"/>
        <v>0</v>
      </c>
      <c r="WLC1599" s="55">
        <f t="shared" si="541"/>
        <v>0</v>
      </c>
      <c r="WLD1599" s="55">
        <f t="shared" si="541"/>
        <v>0</v>
      </c>
      <c r="WLE1599" s="55">
        <f t="shared" si="541"/>
        <v>0</v>
      </c>
      <c r="WLF1599" s="55">
        <f t="shared" si="541"/>
        <v>0</v>
      </c>
      <c r="WLG1599" s="55">
        <f t="shared" si="541"/>
        <v>0</v>
      </c>
      <c r="WLH1599" s="55">
        <f t="shared" si="541"/>
        <v>0</v>
      </c>
      <c r="WLI1599" s="55">
        <f t="shared" si="541"/>
        <v>0</v>
      </c>
      <c r="WLJ1599" s="55">
        <f t="shared" si="541"/>
        <v>0</v>
      </c>
      <c r="WLK1599" s="55">
        <f t="shared" si="541"/>
        <v>0</v>
      </c>
      <c r="WLL1599" s="55">
        <f t="shared" si="541"/>
        <v>0</v>
      </c>
      <c r="WLM1599" s="55">
        <f t="shared" si="541"/>
        <v>0</v>
      </c>
      <c r="WLN1599" s="55">
        <f t="shared" si="541"/>
        <v>0</v>
      </c>
      <c r="WLO1599" s="55">
        <f t="shared" si="541"/>
        <v>0</v>
      </c>
      <c r="WLP1599" s="55">
        <f t="shared" si="541"/>
        <v>0</v>
      </c>
      <c r="WLQ1599" s="55">
        <f t="shared" si="541"/>
        <v>0</v>
      </c>
      <c r="WLR1599" s="55">
        <f t="shared" si="541"/>
        <v>0</v>
      </c>
      <c r="WLS1599" s="55">
        <f t="shared" si="541"/>
        <v>0</v>
      </c>
      <c r="WLT1599" s="55">
        <f t="shared" si="541"/>
        <v>0</v>
      </c>
      <c r="WLU1599" s="55">
        <f t="shared" si="541"/>
        <v>0</v>
      </c>
      <c r="WLV1599" s="55">
        <f t="shared" si="541"/>
        <v>0</v>
      </c>
      <c r="WLW1599" s="55">
        <f t="shared" si="541"/>
        <v>0</v>
      </c>
      <c r="WLX1599" s="55">
        <f t="shared" ref="WLX1599:WOI1599" si="542">+(WLX1619+WLX1623)*1.18*1.1</f>
        <v>0</v>
      </c>
      <c r="WLY1599" s="55">
        <f t="shared" si="542"/>
        <v>0</v>
      </c>
      <c r="WLZ1599" s="55">
        <f t="shared" si="542"/>
        <v>0</v>
      </c>
      <c r="WMA1599" s="55">
        <f t="shared" si="542"/>
        <v>0</v>
      </c>
      <c r="WMB1599" s="55">
        <f t="shared" si="542"/>
        <v>0</v>
      </c>
      <c r="WMC1599" s="55">
        <f t="shared" si="542"/>
        <v>0</v>
      </c>
      <c r="WMD1599" s="55">
        <f t="shared" si="542"/>
        <v>0</v>
      </c>
      <c r="WME1599" s="55">
        <f t="shared" si="542"/>
        <v>0</v>
      </c>
      <c r="WMF1599" s="55">
        <f t="shared" si="542"/>
        <v>0</v>
      </c>
      <c r="WMG1599" s="55">
        <f t="shared" si="542"/>
        <v>0</v>
      </c>
      <c r="WMH1599" s="55">
        <f t="shared" si="542"/>
        <v>0</v>
      </c>
      <c r="WMI1599" s="55">
        <f t="shared" si="542"/>
        <v>0</v>
      </c>
      <c r="WMJ1599" s="55">
        <f t="shared" si="542"/>
        <v>0</v>
      </c>
      <c r="WMK1599" s="55">
        <f t="shared" si="542"/>
        <v>0</v>
      </c>
      <c r="WML1599" s="55">
        <f t="shared" si="542"/>
        <v>0</v>
      </c>
      <c r="WMM1599" s="55">
        <f t="shared" si="542"/>
        <v>0</v>
      </c>
      <c r="WMN1599" s="55">
        <f t="shared" si="542"/>
        <v>0</v>
      </c>
      <c r="WMO1599" s="55">
        <f t="shared" si="542"/>
        <v>0</v>
      </c>
      <c r="WMP1599" s="55">
        <f t="shared" si="542"/>
        <v>0</v>
      </c>
      <c r="WMQ1599" s="55">
        <f t="shared" si="542"/>
        <v>0</v>
      </c>
      <c r="WMR1599" s="55">
        <f t="shared" si="542"/>
        <v>0</v>
      </c>
      <c r="WMS1599" s="55">
        <f t="shared" si="542"/>
        <v>0</v>
      </c>
      <c r="WMT1599" s="55">
        <f t="shared" si="542"/>
        <v>0</v>
      </c>
      <c r="WMU1599" s="55">
        <f t="shared" si="542"/>
        <v>0</v>
      </c>
      <c r="WMV1599" s="55">
        <f t="shared" si="542"/>
        <v>0</v>
      </c>
      <c r="WMW1599" s="55">
        <f t="shared" si="542"/>
        <v>0</v>
      </c>
      <c r="WMX1599" s="55">
        <f t="shared" si="542"/>
        <v>0</v>
      </c>
      <c r="WMY1599" s="55">
        <f t="shared" si="542"/>
        <v>0</v>
      </c>
      <c r="WMZ1599" s="55">
        <f t="shared" si="542"/>
        <v>0</v>
      </c>
      <c r="WNA1599" s="55">
        <f t="shared" si="542"/>
        <v>0</v>
      </c>
      <c r="WNB1599" s="55">
        <f t="shared" si="542"/>
        <v>0</v>
      </c>
      <c r="WNC1599" s="55">
        <f t="shared" si="542"/>
        <v>0</v>
      </c>
      <c r="WND1599" s="55">
        <f t="shared" si="542"/>
        <v>0</v>
      </c>
      <c r="WNE1599" s="55">
        <f t="shared" si="542"/>
        <v>0</v>
      </c>
      <c r="WNF1599" s="55">
        <f t="shared" si="542"/>
        <v>0</v>
      </c>
      <c r="WNG1599" s="55">
        <f t="shared" si="542"/>
        <v>0</v>
      </c>
      <c r="WNH1599" s="55">
        <f t="shared" si="542"/>
        <v>0</v>
      </c>
      <c r="WNI1599" s="55">
        <f t="shared" si="542"/>
        <v>0</v>
      </c>
      <c r="WNJ1599" s="55">
        <f t="shared" si="542"/>
        <v>0</v>
      </c>
      <c r="WNK1599" s="55">
        <f t="shared" si="542"/>
        <v>0</v>
      </c>
      <c r="WNL1599" s="55">
        <f t="shared" si="542"/>
        <v>0</v>
      </c>
      <c r="WNM1599" s="55">
        <f t="shared" si="542"/>
        <v>0</v>
      </c>
      <c r="WNN1599" s="55">
        <f t="shared" si="542"/>
        <v>0</v>
      </c>
      <c r="WNO1599" s="55">
        <f t="shared" si="542"/>
        <v>0</v>
      </c>
      <c r="WNP1599" s="55">
        <f t="shared" si="542"/>
        <v>0</v>
      </c>
      <c r="WNQ1599" s="55">
        <f t="shared" si="542"/>
        <v>0</v>
      </c>
      <c r="WNR1599" s="55">
        <f t="shared" si="542"/>
        <v>0</v>
      </c>
      <c r="WNS1599" s="55">
        <f t="shared" si="542"/>
        <v>0</v>
      </c>
      <c r="WNT1599" s="55">
        <f t="shared" si="542"/>
        <v>0</v>
      </c>
      <c r="WNU1599" s="55">
        <f t="shared" si="542"/>
        <v>0</v>
      </c>
      <c r="WNV1599" s="55">
        <f t="shared" si="542"/>
        <v>0</v>
      </c>
      <c r="WNW1599" s="55">
        <f t="shared" si="542"/>
        <v>0</v>
      </c>
      <c r="WNX1599" s="55">
        <f t="shared" si="542"/>
        <v>0</v>
      </c>
      <c r="WNY1599" s="55">
        <f t="shared" si="542"/>
        <v>0</v>
      </c>
      <c r="WNZ1599" s="55">
        <f t="shared" si="542"/>
        <v>0</v>
      </c>
      <c r="WOA1599" s="55">
        <f t="shared" si="542"/>
        <v>0</v>
      </c>
      <c r="WOB1599" s="55">
        <f t="shared" si="542"/>
        <v>0</v>
      </c>
      <c r="WOC1599" s="55">
        <f t="shared" si="542"/>
        <v>0</v>
      </c>
      <c r="WOD1599" s="55">
        <f t="shared" si="542"/>
        <v>0</v>
      </c>
      <c r="WOE1599" s="55">
        <f t="shared" si="542"/>
        <v>0</v>
      </c>
      <c r="WOF1599" s="55">
        <f t="shared" si="542"/>
        <v>0</v>
      </c>
      <c r="WOG1599" s="55">
        <f t="shared" si="542"/>
        <v>0</v>
      </c>
      <c r="WOH1599" s="55">
        <f t="shared" si="542"/>
        <v>0</v>
      </c>
      <c r="WOI1599" s="55">
        <f t="shared" si="542"/>
        <v>0</v>
      </c>
      <c r="WOJ1599" s="55">
        <f t="shared" ref="WOJ1599:WQU1599" si="543">+(WOJ1619+WOJ1623)*1.18*1.1</f>
        <v>0</v>
      </c>
      <c r="WOK1599" s="55">
        <f t="shared" si="543"/>
        <v>0</v>
      </c>
      <c r="WOL1599" s="55">
        <f t="shared" si="543"/>
        <v>0</v>
      </c>
      <c r="WOM1599" s="55">
        <f t="shared" si="543"/>
        <v>0</v>
      </c>
      <c r="WON1599" s="55">
        <f t="shared" si="543"/>
        <v>0</v>
      </c>
      <c r="WOO1599" s="55">
        <f t="shared" si="543"/>
        <v>0</v>
      </c>
      <c r="WOP1599" s="55">
        <f t="shared" si="543"/>
        <v>0</v>
      </c>
      <c r="WOQ1599" s="55">
        <f t="shared" si="543"/>
        <v>0</v>
      </c>
      <c r="WOR1599" s="55">
        <f t="shared" si="543"/>
        <v>0</v>
      </c>
      <c r="WOS1599" s="55">
        <f t="shared" si="543"/>
        <v>0</v>
      </c>
      <c r="WOT1599" s="55">
        <f t="shared" si="543"/>
        <v>0</v>
      </c>
      <c r="WOU1599" s="55">
        <f t="shared" si="543"/>
        <v>0</v>
      </c>
      <c r="WOV1599" s="55">
        <f t="shared" si="543"/>
        <v>0</v>
      </c>
      <c r="WOW1599" s="55">
        <f t="shared" si="543"/>
        <v>0</v>
      </c>
      <c r="WOX1599" s="55">
        <f t="shared" si="543"/>
        <v>0</v>
      </c>
      <c r="WOY1599" s="55">
        <f t="shared" si="543"/>
        <v>0</v>
      </c>
      <c r="WOZ1599" s="55">
        <f t="shared" si="543"/>
        <v>0</v>
      </c>
      <c r="WPA1599" s="55">
        <f t="shared" si="543"/>
        <v>0</v>
      </c>
      <c r="WPB1599" s="55">
        <f t="shared" si="543"/>
        <v>0</v>
      </c>
      <c r="WPC1599" s="55">
        <f t="shared" si="543"/>
        <v>0</v>
      </c>
      <c r="WPD1599" s="55">
        <f t="shared" si="543"/>
        <v>0</v>
      </c>
      <c r="WPE1599" s="55">
        <f t="shared" si="543"/>
        <v>0</v>
      </c>
      <c r="WPF1599" s="55">
        <f t="shared" si="543"/>
        <v>0</v>
      </c>
      <c r="WPG1599" s="55">
        <f t="shared" si="543"/>
        <v>0</v>
      </c>
      <c r="WPH1599" s="55">
        <f t="shared" si="543"/>
        <v>0</v>
      </c>
      <c r="WPI1599" s="55">
        <f t="shared" si="543"/>
        <v>0</v>
      </c>
      <c r="WPJ1599" s="55">
        <f t="shared" si="543"/>
        <v>0</v>
      </c>
      <c r="WPK1599" s="55">
        <f t="shared" si="543"/>
        <v>0</v>
      </c>
      <c r="WPL1599" s="55">
        <f t="shared" si="543"/>
        <v>0</v>
      </c>
      <c r="WPM1599" s="55">
        <f t="shared" si="543"/>
        <v>0</v>
      </c>
      <c r="WPN1599" s="55">
        <f t="shared" si="543"/>
        <v>0</v>
      </c>
      <c r="WPO1599" s="55">
        <f t="shared" si="543"/>
        <v>0</v>
      </c>
      <c r="WPP1599" s="55">
        <f t="shared" si="543"/>
        <v>0</v>
      </c>
      <c r="WPQ1599" s="55">
        <f t="shared" si="543"/>
        <v>0</v>
      </c>
      <c r="WPR1599" s="55">
        <f t="shared" si="543"/>
        <v>0</v>
      </c>
      <c r="WPS1599" s="55">
        <f t="shared" si="543"/>
        <v>0</v>
      </c>
      <c r="WPT1599" s="55">
        <f t="shared" si="543"/>
        <v>0</v>
      </c>
      <c r="WPU1599" s="55">
        <f t="shared" si="543"/>
        <v>0</v>
      </c>
      <c r="WPV1599" s="55">
        <f t="shared" si="543"/>
        <v>0</v>
      </c>
      <c r="WPW1599" s="55">
        <f t="shared" si="543"/>
        <v>0</v>
      </c>
      <c r="WPX1599" s="55">
        <f t="shared" si="543"/>
        <v>0</v>
      </c>
      <c r="WPY1599" s="55">
        <f t="shared" si="543"/>
        <v>0</v>
      </c>
      <c r="WPZ1599" s="55">
        <f t="shared" si="543"/>
        <v>0</v>
      </c>
      <c r="WQA1599" s="55">
        <f t="shared" si="543"/>
        <v>0</v>
      </c>
      <c r="WQB1599" s="55">
        <f t="shared" si="543"/>
        <v>0</v>
      </c>
      <c r="WQC1599" s="55">
        <f t="shared" si="543"/>
        <v>0</v>
      </c>
      <c r="WQD1599" s="55">
        <f t="shared" si="543"/>
        <v>0</v>
      </c>
      <c r="WQE1599" s="55">
        <f t="shared" si="543"/>
        <v>0</v>
      </c>
      <c r="WQF1599" s="55">
        <f t="shared" si="543"/>
        <v>0</v>
      </c>
      <c r="WQG1599" s="55">
        <f t="shared" si="543"/>
        <v>0</v>
      </c>
      <c r="WQH1599" s="55">
        <f t="shared" si="543"/>
        <v>0</v>
      </c>
      <c r="WQI1599" s="55">
        <f t="shared" si="543"/>
        <v>0</v>
      </c>
      <c r="WQJ1599" s="55">
        <f t="shared" si="543"/>
        <v>0</v>
      </c>
      <c r="WQK1599" s="55">
        <f t="shared" si="543"/>
        <v>0</v>
      </c>
      <c r="WQL1599" s="55">
        <f t="shared" si="543"/>
        <v>0</v>
      </c>
      <c r="WQM1599" s="55">
        <f t="shared" si="543"/>
        <v>0</v>
      </c>
      <c r="WQN1599" s="55">
        <f t="shared" si="543"/>
        <v>0</v>
      </c>
      <c r="WQO1599" s="55">
        <f t="shared" si="543"/>
        <v>0</v>
      </c>
      <c r="WQP1599" s="55">
        <f t="shared" si="543"/>
        <v>0</v>
      </c>
      <c r="WQQ1599" s="55">
        <f t="shared" si="543"/>
        <v>0</v>
      </c>
      <c r="WQR1599" s="55">
        <f t="shared" si="543"/>
        <v>0</v>
      </c>
      <c r="WQS1599" s="55">
        <f t="shared" si="543"/>
        <v>0</v>
      </c>
      <c r="WQT1599" s="55">
        <f t="shared" si="543"/>
        <v>0</v>
      </c>
      <c r="WQU1599" s="55">
        <f t="shared" si="543"/>
        <v>0</v>
      </c>
      <c r="WQV1599" s="55">
        <f t="shared" ref="WQV1599:WTG1599" si="544">+(WQV1619+WQV1623)*1.18*1.1</f>
        <v>0</v>
      </c>
      <c r="WQW1599" s="55">
        <f t="shared" si="544"/>
        <v>0</v>
      </c>
      <c r="WQX1599" s="55">
        <f t="shared" si="544"/>
        <v>0</v>
      </c>
      <c r="WQY1599" s="55">
        <f t="shared" si="544"/>
        <v>0</v>
      </c>
      <c r="WQZ1599" s="55">
        <f t="shared" si="544"/>
        <v>0</v>
      </c>
      <c r="WRA1599" s="55">
        <f t="shared" si="544"/>
        <v>0</v>
      </c>
      <c r="WRB1599" s="55">
        <f t="shared" si="544"/>
        <v>0</v>
      </c>
      <c r="WRC1599" s="55">
        <f t="shared" si="544"/>
        <v>0</v>
      </c>
      <c r="WRD1599" s="55">
        <f t="shared" si="544"/>
        <v>0</v>
      </c>
      <c r="WRE1599" s="55">
        <f t="shared" si="544"/>
        <v>0</v>
      </c>
      <c r="WRF1599" s="55">
        <f t="shared" si="544"/>
        <v>0</v>
      </c>
      <c r="WRG1599" s="55">
        <f t="shared" si="544"/>
        <v>0</v>
      </c>
      <c r="WRH1599" s="55">
        <f t="shared" si="544"/>
        <v>0</v>
      </c>
      <c r="WRI1599" s="55">
        <f t="shared" si="544"/>
        <v>0</v>
      </c>
      <c r="WRJ1599" s="55">
        <f t="shared" si="544"/>
        <v>0</v>
      </c>
      <c r="WRK1599" s="55">
        <f t="shared" si="544"/>
        <v>0</v>
      </c>
      <c r="WRL1599" s="55">
        <f t="shared" si="544"/>
        <v>0</v>
      </c>
      <c r="WRM1599" s="55">
        <f t="shared" si="544"/>
        <v>0</v>
      </c>
      <c r="WRN1599" s="55">
        <f t="shared" si="544"/>
        <v>0</v>
      </c>
      <c r="WRO1599" s="55">
        <f t="shared" si="544"/>
        <v>0</v>
      </c>
      <c r="WRP1599" s="55">
        <f t="shared" si="544"/>
        <v>0</v>
      </c>
      <c r="WRQ1599" s="55">
        <f t="shared" si="544"/>
        <v>0</v>
      </c>
      <c r="WRR1599" s="55">
        <f t="shared" si="544"/>
        <v>0</v>
      </c>
      <c r="WRS1599" s="55">
        <f t="shared" si="544"/>
        <v>0</v>
      </c>
      <c r="WRT1599" s="55">
        <f t="shared" si="544"/>
        <v>0</v>
      </c>
      <c r="WRU1599" s="55">
        <f t="shared" si="544"/>
        <v>0</v>
      </c>
      <c r="WRV1599" s="55">
        <f t="shared" si="544"/>
        <v>0</v>
      </c>
      <c r="WRW1599" s="55">
        <f t="shared" si="544"/>
        <v>0</v>
      </c>
      <c r="WRX1599" s="55">
        <f t="shared" si="544"/>
        <v>0</v>
      </c>
      <c r="WRY1599" s="55">
        <f t="shared" si="544"/>
        <v>0</v>
      </c>
      <c r="WRZ1599" s="55">
        <f t="shared" si="544"/>
        <v>0</v>
      </c>
      <c r="WSA1599" s="55">
        <f t="shared" si="544"/>
        <v>0</v>
      </c>
      <c r="WSB1599" s="55">
        <f t="shared" si="544"/>
        <v>0</v>
      </c>
      <c r="WSC1599" s="55">
        <f t="shared" si="544"/>
        <v>0</v>
      </c>
      <c r="WSD1599" s="55">
        <f t="shared" si="544"/>
        <v>0</v>
      </c>
      <c r="WSE1599" s="55">
        <f t="shared" si="544"/>
        <v>0</v>
      </c>
      <c r="WSF1599" s="55">
        <f t="shared" si="544"/>
        <v>0</v>
      </c>
      <c r="WSG1599" s="55">
        <f t="shared" si="544"/>
        <v>0</v>
      </c>
      <c r="WSH1599" s="55">
        <f t="shared" si="544"/>
        <v>0</v>
      </c>
      <c r="WSI1599" s="55">
        <f t="shared" si="544"/>
        <v>0</v>
      </c>
      <c r="WSJ1599" s="55">
        <f t="shared" si="544"/>
        <v>0</v>
      </c>
      <c r="WSK1599" s="55">
        <f t="shared" si="544"/>
        <v>0</v>
      </c>
      <c r="WSL1599" s="55">
        <f t="shared" si="544"/>
        <v>0</v>
      </c>
      <c r="WSM1599" s="55">
        <f t="shared" si="544"/>
        <v>0</v>
      </c>
      <c r="WSN1599" s="55">
        <f t="shared" si="544"/>
        <v>0</v>
      </c>
      <c r="WSO1599" s="55">
        <f t="shared" si="544"/>
        <v>0</v>
      </c>
      <c r="WSP1599" s="55">
        <f t="shared" si="544"/>
        <v>0</v>
      </c>
      <c r="WSQ1599" s="55">
        <f t="shared" si="544"/>
        <v>0</v>
      </c>
      <c r="WSR1599" s="55">
        <f t="shared" si="544"/>
        <v>0</v>
      </c>
      <c r="WSS1599" s="55">
        <f t="shared" si="544"/>
        <v>0</v>
      </c>
      <c r="WST1599" s="55">
        <f t="shared" si="544"/>
        <v>0</v>
      </c>
      <c r="WSU1599" s="55">
        <f t="shared" si="544"/>
        <v>0</v>
      </c>
      <c r="WSV1599" s="55">
        <f t="shared" si="544"/>
        <v>0</v>
      </c>
      <c r="WSW1599" s="55">
        <f t="shared" si="544"/>
        <v>0</v>
      </c>
      <c r="WSX1599" s="55">
        <f t="shared" si="544"/>
        <v>0</v>
      </c>
      <c r="WSY1599" s="55">
        <f t="shared" si="544"/>
        <v>0</v>
      </c>
      <c r="WSZ1599" s="55">
        <f t="shared" si="544"/>
        <v>0</v>
      </c>
      <c r="WTA1599" s="55">
        <f t="shared" si="544"/>
        <v>0</v>
      </c>
      <c r="WTB1599" s="55">
        <f t="shared" si="544"/>
        <v>0</v>
      </c>
      <c r="WTC1599" s="55">
        <f t="shared" si="544"/>
        <v>0</v>
      </c>
      <c r="WTD1599" s="55">
        <f t="shared" si="544"/>
        <v>0</v>
      </c>
      <c r="WTE1599" s="55">
        <f t="shared" si="544"/>
        <v>0</v>
      </c>
      <c r="WTF1599" s="55">
        <f t="shared" si="544"/>
        <v>0</v>
      </c>
      <c r="WTG1599" s="55">
        <f t="shared" si="544"/>
        <v>0</v>
      </c>
      <c r="WTH1599" s="55">
        <f t="shared" ref="WTH1599:WVS1599" si="545">+(WTH1619+WTH1623)*1.18*1.1</f>
        <v>0</v>
      </c>
      <c r="WTI1599" s="55">
        <f t="shared" si="545"/>
        <v>0</v>
      </c>
      <c r="WTJ1599" s="55">
        <f t="shared" si="545"/>
        <v>0</v>
      </c>
      <c r="WTK1599" s="55">
        <f t="shared" si="545"/>
        <v>0</v>
      </c>
      <c r="WTL1599" s="55">
        <f t="shared" si="545"/>
        <v>0</v>
      </c>
      <c r="WTM1599" s="55">
        <f t="shared" si="545"/>
        <v>0</v>
      </c>
      <c r="WTN1599" s="55">
        <f t="shared" si="545"/>
        <v>0</v>
      </c>
      <c r="WTO1599" s="55">
        <f t="shared" si="545"/>
        <v>0</v>
      </c>
      <c r="WTP1599" s="55">
        <f t="shared" si="545"/>
        <v>0</v>
      </c>
      <c r="WTQ1599" s="55">
        <f t="shared" si="545"/>
        <v>0</v>
      </c>
      <c r="WTR1599" s="55">
        <f t="shared" si="545"/>
        <v>0</v>
      </c>
      <c r="WTS1599" s="55">
        <f t="shared" si="545"/>
        <v>0</v>
      </c>
      <c r="WTT1599" s="55">
        <f t="shared" si="545"/>
        <v>0</v>
      </c>
      <c r="WTU1599" s="55">
        <f t="shared" si="545"/>
        <v>0</v>
      </c>
      <c r="WTV1599" s="55">
        <f t="shared" si="545"/>
        <v>0</v>
      </c>
      <c r="WTW1599" s="55">
        <f t="shared" si="545"/>
        <v>0</v>
      </c>
      <c r="WTX1599" s="55">
        <f t="shared" si="545"/>
        <v>0</v>
      </c>
      <c r="WTY1599" s="55">
        <f t="shared" si="545"/>
        <v>0</v>
      </c>
      <c r="WTZ1599" s="55">
        <f t="shared" si="545"/>
        <v>0</v>
      </c>
      <c r="WUA1599" s="55">
        <f t="shared" si="545"/>
        <v>0</v>
      </c>
      <c r="WUB1599" s="55">
        <f t="shared" si="545"/>
        <v>0</v>
      </c>
      <c r="WUC1599" s="55">
        <f t="shared" si="545"/>
        <v>0</v>
      </c>
      <c r="WUD1599" s="55">
        <f t="shared" si="545"/>
        <v>0</v>
      </c>
      <c r="WUE1599" s="55">
        <f t="shared" si="545"/>
        <v>0</v>
      </c>
      <c r="WUF1599" s="55">
        <f t="shared" si="545"/>
        <v>0</v>
      </c>
      <c r="WUG1599" s="55">
        <f t="shared" si="545"/>
        <v>0</v>
      </c>
      <c r="WUH1599" s="55">
        <f t="shared" si="545"/>
        <v>0</v>
      </c>
      <c r="WUI1599" s="55">
        <f t="shared" si="545"/>
        <v>0</v>
      </c>
      <c r="WUJ1599" s="55">
        <f t="shared" si="545"/>
        <v>0</v>
      </c>
      <c r="WUK1599" s="55">
        <f t="shared" si="545"/>
        <v>0</v>
      </c>
      <c r="WUL1599" s="55">
        <f t="shared" si="545"/>
        <v>0</v>
      </c>
      <c r="WUM1599" s="55">
        <f t="shared" si="545"/>
        <v>0</v>
      </c>
      <c r="WUN1599" s="55">
        <f t="shared" si="545"/>
        <v>0</v>
      </c>
      <c r="WUO1599" s="55">
        <f t="shared" si="545"/>
        <v>0</v>
      </c>
      <c r="WUP1599" s="55">
        <f t="shared" si="545"/>
        <v>0</v>
      </c>
      <c r="WUQ1599" s="55">
        <f t="shared" si="545"/>
        <v>0</v>
      </c>
      <c r="WUR1599" s="55">
        <f t="shared" si="545"/>
        <v>0</v>
      </c>
      <c r="WUS1599" s="55">
        <f t="shared" si="545"/>
        <v>0</v>
      </c>
      <c r="WUT1599" s="55">
        <f t="shared" si="545"/>
        <v>0</v>
      </c>
      <c r="WUU1599" s="55">
        <f t="shared" si="545"/>
        <v>0</v>
      </c>
      <c r="WUV1599" s="55">
        <f t="shared" si="545"/>
        <v>0</v>
      </c>
      <c r="WUW1599" s="55">
        <f t="shared" si="545"/>
        <v>0</v>
      </c>
      <c r="WUX1599" s="55">
        <f t="shared" si="545"/>
        <v>0</v>
      </c>
      <c r="WUY1599" s="55">
        <f t="shared" si="545"/>
        <v>0</v>
      </c>
      <c r="WUZ1599" s="55">
        <f t="shared" si="545"/>
        <v>0</v>
      </c>
      <c r="WVA1599" s="55">
        <f t="shared" si="545"/>
        <v>0</v>
      </c>
      <c r="WVB1599" s="55">
        <f t="shared" si="545"/>
        <v>0</v>
      </c>
      <c r="WVC1599" s="55">
        <f t="shared" si="545"/>
        <v>0</v>
      </c>
      <c r="WVD1599" s="55">
        <f t="shared" si="545"/>
        <v>0</v>
      </c>
      <c r="WVE1599" s="55">
        <f t="shared" si="545"/>
        <v>0</v>
      </c>
      <c r="WVF1599" s="55">
        <f t="shared" si="545"/>
        <v>0</v>
      </c>
      <c r="WVG1599" s="55">
        <f t="shared" si="545"/>
        <v>0</v>
      </c>
      <c r="WVH1599" s="55">
        <f t="shared" si="545"/>
        <v>0</v>
      </c>
      <c r="WVI1599" s="55">
        <f t="shared" si="545"/>
        <v>0</v>
      </c>
      <c r="WVJ1599" s="55">
        <f t="shared" si="545"/>
        <v>0</v>
      </c>
      <c r="WVK1599" s="55">
        <f t="shared" si="545"/>
        <v>0</v>
      </c>
      <c r="WVL1599" s="55">
        <f t="shared" si="545"/>
        <v>0</v>
      </c>
      <c r="WVM1599" s="55">
        <f t="shared" si="545"/>
        <v>0</v>
      </c>
      <c r="WVN1599" s="55">
        <f t="shared" si="545"/>
        <v>0</v>
      </c>
      <c r="WVO1599" s="55">
        <f t="shared" si="545"/>
        <v>0</v>
      </c>
      <c r="WVP1599" s="55">
        <f t="shared" si="545"/>
        <v>0</v>
      </c>
      <c r="WVQ1599" s="55">
        <f t="shared" si="545"/>
        <v>0</v>
      </c>
      <c r="WVR1599" s="55">
        <f t="shared" si="545"/>
        <v>0</v>
      </c>
      <c r="WVS1599" s="55">
        <f t="shared" si="545"/>
        <v>0</v>
      </c>
      <c r="WVT1599" s="55">
        <f t="shared" ref="WVT1599:WYE1599" si="546">+(WVT1619+WVT1623)*1.18*1.1</f>
        <v>0</v>
      </c>
      <c r="WVU1599" s="55">
        <f t="shared" si="546"/>
        <v>0</v>
      </c>
      <c r="WVV1599" s="55">
        <f t="shared" si="546"/>
        <v>0</v>
      </c>
      <c r="WVW1599" s="55">
        <f t="shared" si="546"/>
        <v>0</v>
      </c>
      <c r="WVX1599" s="55">
        <f t="shared" si="546"/>
        <v>0</v>
      </c>
      <c r="WVY1599" s="55">
        <f t="shared" si="546"/>
        <v>0</v>
      </c>
      <c r="WVZ1599" s="55">
        <f t="shared" si="546"/>
        <v>0</v>
      </c>
      <c r="WWA1599" s="55">
        <f t="shared" si="546"/>
        <v>0</v>
      </c>
      <c r="WWB1599" s="55">
        <f t="shared" si="546"/>
        <v>0</v>
      </c>
      <c r="WWC1599" s="55">
        <f t="shared" si="546"/>
        <v>0</v>
      </c>
      <c r="WWD1599" s="55">
        <f t="shared" si="546"/>
        <v>0</v>
      </c>
      <c r="WWE1599" s="55">
        <f t="shared" si="546"/>
        <v>0</v>
      </c>
      <c r="WWF1599" s="55">
        <f t="shared" si="546"/>
        <v>0</v>
      </c>
      <c r="WWG1599" s="55">
        <f t="shared" si="546"/>
        <v>0</v>
      </c>
      <c r="WWH1599" s="55">
        <f t="shared" si="546"/>
        <v>0</v>
      </c>
      <c r="WWI1599" s="55">
        <f t="shared" si="546"/>
        <v>0</v>
      </c>
      <c r="WWJ1599" s="55">
        <f t="shared" si="546"/>
        <v>0</v>
      </c>
      <c r="WWK1599" s="55">
        <f t="shared" si="546"/>
        <v>0</v>
      </c>
      <c r="WWL1599" s="55">
        <f t="shared" si="546"/>
        <v>0</v>
      </c>
      <c r="WWM1599" s="55">
        <f t="shared" si="546"/>
        <v>0</v>
      </c>
      <c r="WWN1599" s="55">
        <f t="shared" si="546"/>
        <v>0</v>
      </c>
      <c r="WWO1599" s="55">
        <f t="shared" si="546"/>
        <v>0</v>
      </c>
      <c r="WWP1599" s="55">
        <f t="shared" si="546"/>
        <v>0</v>
      </c>
      <c r="WWQ1599" s="55">
        <f t="shared" si="546"/>
        <v>0</v>
      </c>
      <c r="WWR1599" s="55">
        <f t="shared" si="546"/>
        <v>0</v>
      </c>
      <c r="WWS1599" s="55">
        <f t="shared" si="546"/>
        <v>0</v>
      </c>
      <c r="WWT1599" s="55">
        <f t="shared" si="546"/>
        <v>0</v>
      </c>
      <c r="WWU1599" s="55">
        <f t="shared" si="546"/>
        <v>0</v>
      </c>
      <c r="WWV1599" s="55">
        <f t="shared" si="546"/>
        <v>0</v>
      </c>
      <c r="WWW1599" s="55">
        <f t="shared" si="546"/>
        <v>0</v>
      </c>
      <c r="WWX1599" s="55">
        <f t="shared" si="546"/>
        <v>0</v>
      </c>
      <c r="WWY1599" s="55">
        <f t="shared" si="546"/>
        <v>0</v>
      </c>
      <c r="WWZ1599" s="55">
        <f t="shared" si="546"/>
        <v>0</v>
      </c>
      <c r="WXA1599" s="55">
        <f t="shared" si="546"/>
        <v>0</v>
      </c>
      <c r="WXB1599" s="55">
        <f t="shared" si="546"/>
        <v>0</v>
      </c>
      <c r="WXC1599" s="55">
        <f t="shared" si="546"/>
        <v>0</v>
      </c>
      <c r="WXD1599" s="55">
        <f t="shared" si="546"/>
        <v>0</v>
      </c>
      <c r="WXE1599" s="55">
        <f t="shared" si="546"/>
        <v>0</v>
      </c>
      <c r="WXF1599" s="55">
        <f t="shared" si="546"/>
        <v>0</v>
      </c>
      <c r="WXG1599" s="55">
        <f t="shared" si="546"/>
        <v>0</v>
      </c>
      <c r="WXH1599" s="55">
        <f t="shared" si="546"/>
        <v>0</v>
      </c>
      <c r="WXI1599" s="55">
        <f t="shared" si="546"/>
        <v>0</v>
      </c>
      <c r="WXJ1599" s="55">
        <f t="shared" si="546"/>
        <v>0</v>
      </c>
      <c r="WXK1599" s="55">
        <f t="shared" si="546"/>
        <v>0</v>
      </c>
      <c r="WXL1599" s="55">
        <f t="shared" si="546"/>
        <v>0</v>
      </c>
      <c r="WXM1599" s="55">
        <f t="shared" si="546"/>
        <v>0</v>
      </c>
      <c r="WXN1599" s="55">
        <f t="shared" si="546"/>
        <v>0</v>
      </c>
      <c r="WXO1599" s="55">
        <f t="shared" si="546"/>
        <v>0</v>
      </c>
      <c r="WXP1599" s="55">
        <f t="shared" si="546"/>
        <v>0</v>
      </c>
      <c r="WXQ1599" s="55">
        <f t="shared" si="546"/>
        <v>0</v>
      </c>
      <c r="WXR1599" s="55">
        <f t="shared" si="546"/>
        <v>0</v>
      </c>
      <c r="WXS1599" s="55">
        <f t="shared" si="546"/>
        <v>0</v>
      </c>
      <c r="WXT1599" s="55">
        <f t="shared" si="546"/>
        <v>0</v>
      </c>
      <c r="WXU1599" s="55">
        <f t="shared" si="546"/>
        <v>0</v>
      </c>
      <c r="WXV1599" s="55">
        <f t="shared" si="546"/>
        <v>0</v>
      </c>
      <c r="WXW1599" s="55">
        <f t="shared" si="546"/>
        <v>0</v>
      </c>
      <c r="WXX1599" s="55">
        <f t="shared" si="546"/>
        <v>0</v>
      </c>
      <c r="WXY1599" s="55">
        <f t="shared" si="546"/>
        <v>0</v>
      </c>
      <c r="WXZ1599" s="55">
        <f t="shared" si="546"/>
        <v>0</v>
      </c>
      <c r="WYA1599" s="55">
        <f t="shared" si="546"/>
        <v>0</v>
      </c>
      <c r="WYB1599" s="55">
        <f t="shared" si="546"/>
        <v>0</v>
      </c>
      <c r="WYC1599" s="55">
        <f t="shared" si="546"/>
        <v>0</v>
      </c>
      <c r="WYD1599" s="55">
        <f t="shared" si="546"/>
        <v>0</v>
      </c>
      <c r="WYE1599" s="55">
        <f t="shared" si="546"/>
        <v>0</v>
      </c>
      <c r="WYF1599" s="55">
        <f t="shared" ref="WYF1599:XAQ1599" si="547">+(WYF1619+WYF1623)*1.18*1.1</f>
        <v>0</v>
      </c>
      <c r="WYG1599" s="55">
        <f t="shared" si="547"/>
        <v>0</v>
      </c>
      <c r="WYH1599" s="55">
        <f t="shared" si="547"/>
        <v>0</v>
      </c>
      <c r="WYI1599" s="55">
        <f t="shared" si="547"/>
        <v>0</v>
      </c>
      <c r="WYJ1599" s="55">
        <f t="shared" si="547"/>
        <v>0</v>
      </c>
      <c r="WYK1599" s="55">
        <f t="shared" si="547"/>
        <v>0</v>
      </c>
      <c r="WYL1599" s="55">
        <f t="shared" si="547"/>
        <v>0</v>
      </c>
      <c r="WYM1599" s="55">
        <f t="shared" si="547"/>
        <v>0</v>
      </c>
      <c r="WYN1599" s="55">
        <f t="shared" si="547"/>
        <v>0</v>
      </c>
      <c r="WYO1599" s="55">
        <f t="shared" si="547"/>
        <v>0</v>
      </c>
      <c r="WYP1599" s="55">
        <f t="shared" si="547"/>
        <v>0</v>
      </c>
      <c r="WYQ1599" s="55">
        <f t="shared" si="547"/>
        <v>0</v>
      </c>
      <c r="WYR1599" s="55">
        <f t="shared" si="547"/>
        <v>0</v>
      </c>
      <c r="WYS1599" s="55">
        <f t="shared" si="547"/>
        <v>0</v>
      </c>
      <c r="WYT1599" s="55">
        <f t="shared" si="547"/>
        <v>0</v>
      </c>
      <c r="WYU1599" s="55">
        <f t="shared" si="547"/>
        <v>0</v>
      </c>
      <c r="WYV1599" s="55">
        <f t="shared" si="547"/>
        <v>0</v>
      </c>
      <c r="WYW1599" s="55">
        <f t="shared" si="547"/>
        <v>0</v>
      </c>
      <c r="WYX1599" s="55">
        <f t="shared" si="547"/>
        <v>0</v>
      </c>
      <c r="WYY1599" s="55">
        <f t="shared" si="547"/>
        <v>0</v>
      </c>
      <c r="WYZ1599" s="55">
        <f t="shared" si="547"/>
        <v>0</v>
      </c>
      <c r="WZA1599" s="55">
        <f t="shared" si="547"/>
        <v>0</v>
      </c>
      <c r="WZB1599" s="55">
        <f t="shared" si="547"/>
        <v>0</v>
      </c>
      <c r="WZC1599" s="55">
        <f t="shared" si="547"/>
        <v>0</v>
      </c>
      <c r="WZD1599" s="55">
        <f t="shared" si="547"/>
        <v>0</v>
      </c>
      <c r="WZE1599" s="55">
        <f t="shared" si="547"/>
        <v>0</v>
      </c>
      <c r="WZF1599" s="55">
        <f t="shared" si="547"/>
        <v>0</v>
      </c>
      <c r="WZG1599" s="55">
        <f t="shared" si="547"/>
        <v>0</v>
      </c>
      <c r="WZH1599" s="55">
        <f t="shared" si="547"/>
        <v>0</v>
      </c>
      <c r="WZI1599" s="55">
        <f t="shared" si="547"/>
        <v>0</v>
      </c>
      <c r="WZJ1599" s="55">
        <f t="shared" si="547"/>
        <v>0</v>
      </c>
      <c r="WZK1599" s="55">
        <f t="shared" si="547"/>
        <v>0</v>
      </c>
      <c r="WZL1599" s="55">
        <f t="shared" si="547"/>
        <v>0</v>
      </c>
      <c r="WZM1599" s="55">
        <f t="shared" si="547"/>
        <v>0</v>
      </c>
      <c r="WZN1599" s="55">
        <f t="shared" si="547"/>
        <v>0</v>
      </c>
      <c r="WZO1599" s="55">
        <f t="shared" si="547"/>
        <v>0</v>
      </c>
      <c r="WZP1599" s="55">
        <f t="shared" si="547"/>
        <v>0</v>
      </c>
      <c r="WZQ1599" s="55">
        <f t="shared" si="547"/>
        <v>0</v>
      </c>
      <c r="WZR1599" s="55">
        <f t="shared" si="547"/>
        <v>0</v>
      </c>
      <c r="WZS1599" s="55">
        <f t="shared" si="547"/>
        <v>0</v>
      </c>
      <c r="WZT1599" s="55">
        <f t="shared" si="547"/>
        <v>0</v>
      </c>
      <c r="WZU1599" s="55">
        <f t="shared" si="547"/>
        <v>0</v>
      </c>
      <c r="WZV1599" s="55">
        <f t="shared" si="547"/>
        <v>0</v>
      </c>
      <c r="WZW1599" s="55">
        <f t="shared" si="547"/>
        <v>0</v>
      </c>
      <c r="WZX1599" s="55">
        <f t="shared" si="547"/>
        <v>0</v>
      </c>
      <c r="WZY1599" s="55">
        <f t="shared" si="547"/>
        <v>0</v>
      </c>
      <c r="WZZ1599" s="55">
        <f t="shared" si="547"/>
        <v>0</v>
      </c>
      <c r="XAA1599" s="55">
        <f t="shared" si="547"/>
        <v>0</v>
      </c>
      <c r="XAB1599" s="55">
        <f t="shared" si="547"/>
        <v>0</v>
      </c>
      <c r="XAC1599" s="55">
        <f t="shared" si="547"/>
        <v>0</v>
      </c>
      <c r="XAD1599" s="55">
        <f t="shared" si="547"/>
        <v>0</v>
      </c>
      <c r="XAE1599" s="55">
        <f t="shared" si="547"/>
        <v>0</v>
      </c>
      <c r="XAF1599" s="55">
        <f t="shared" si="547"/>
        <v>0</v>
      </c>
      <c r="XAG1599" s="55">
        <f t="shared" si="547"/>
        <v>0</v>
      </c>
      <c r="XAH1599" s="55">
        <f t="shared" si="547"/>
        <v>0</v>
      </c>
      <c r="XAI1599" s="55">
        <f t="shared" si="547"/>
        <v>0</v>
      </c>
      <c r="XAJ1599" s="55">
        <f t="shared" si="547"/>
        <v>0</v>
      </c>
      <c r="XAK1599" s="55">
        <f t="shared" si="547"/>
        <v>0</v>
      </c>
      <c r="XAL1599" s="55">
        <f t="shared" si="547"/>
        <v>0</v>
      </c>
      <c r="XAM1599" s="55">
        <f t="shared" si="547"/>
        <v>0</v>
      </c>
      <c r="XAN1599" s="55">
        <f t="shared" si="547"/>
        <v>0</v>
      </c>
      <c r="XAO1599" s="55">
        <f t="shared" si="547"/>
        <v>0</v>
      </c>
      <c r="XAP1599" s="55">
        <f t="shared" si="547"/>
        <v>0</v>
      </c>
      <c r="XAQ1599" s="55">
        <f t="shared" si="547"/>
        <v>0</v>
      </c>
      <c r="XAR1599" s="55">
        <f t="shared" ref="XAR1599:XDC1599" si="548">+(XAR1619+XAR1623)*1.18*1.1</f>
        <v>0</v>
      </c>
      <c r="XAS1599" s="55">
        <f t="shared" si="548"/>
        <v>0</v>
      </c>
      <c r="XAT1599" s="55">
        <f t="shared" si="548"/>
        <v>0</v>
      </c>
      <c r="XAU1599" s="55">
        <f t="shared" si="548"/>
        <v>0</v>
      </c>
      <c r="XAV1599" s="55">
        <f t="shared" si="548"/>
        <v>0</v>
      </c>
      <c r="XAW1599" s="55">
        <f t="shared" si="548"/>
        <v>0</v>
      </c>
      <c r="XAX1599" s="55">
        <f t="shared" si="548"/>
        <v>0</v>
      </c>
      <c r="XAY1599" s="55">
        <f t="shared" si="548"/>
        <v>0</v>
      </c>
      <c r="XAZ1599" s="55">
        <f t="shared" si="548"/>
        <v>0</v>
      </c>
      <c r="XBA1599" s="55">
        <f t="shared" si="548"/>
        <v>0</v>
      </c>
      <c r="XBB1599" s="55">
        <f t="shared" si="548"/>
        <v>0</v>
      </c>
      <c r="XBC1599" s="55">
        <f t="shared" si="548"/>
        <v>0</v>
      </c>
      <c r="XBD1599" s="55">
        <f t="shared" si="548"/>
        <v>0</v>
      </c>
      <c r="XBE1599" s="55">
        <f t="shared" si="548"/>
        <v>0</v>
      </c>
      <c r="XBF1599" s="55">
        <f t="shared" si="548"/>
        <v>0</v>
      </c>
      <c r="XBG1599" s="55">
        <f t="shared" si="548"/>
        <v>0</v>
      </c>
      <c r="XBH1599" s="55">
        <f t="shared" si="548"/>
        <v>0</v>
      </c>
      <c r="XBI1599" s="55">
        <f t="shared" si="548"/>
        <v>0</v>
      </c>
      <c r="XBJ1599" s="55">
        <f t="shared" si="548"/>
        <v>0</v>
      </c>
      <c r="XBK1599" s="55">
        <f t="shared" si="548"/>
        <v>0</v>
      </c>
      <c r="XBL1599" s="55">
        <f t="shared" si="548"/>
        <v>0</v>
      </c>
      <c r="XBM1599" s="55">
        <f t="shared" si="548"/>
        <v>0</v>
      </c>
      <c r="XBN1599" s="55">
        <f t="shared" si="548"/>
        <v>0</v>
      </c>
      <c r="XBO1599" s="55">
        <f t="shared" si="548"/>
        <v>0</v>
      </c>
      <c r="XBP1599" s="55">
        <f t="shared" si="548"/>
        <v>0</v>
      </c>
      <c r="XBQ1599" s="55">
        <f t="shared" si="548"/>
        <v>0</v>
      </c>
      <c r="XBR1599" s="55">
        <f t="shared" si="548"/>
        <v>0</v>
      </c>
      <c r="XBS1599" s="55">
        <f t="shared" si="548"/>
        <v>0</v>
      </c>
      <c r="XBT1599" s="55">
        <f t="shared" si="548"/>
        <v>0</v>
      </c>
      <c r="XBU1599" s="55">
        <f t="shared" si="548"/>
        <v>0</v>
      </c>
      <c r="XBV1599" s="55">
        <f t="shared" si="548"/>
        <v>0</v>
      </c>
      <c r="XBW1599" s="55">
        <f t="shared" si="548"/>
        <v>0</v>
      </c>
      <c r="XBX1599" s="55">
        <f t="shared" si="548"/>
        <v>0</v>
      </c>
      <c r="XBY1599" s="55">
        <f t="shared" si="548"/>
        <v>0</v>
      </c>
      <c r="XBZ1599" s="55">
        <f t="shared" si="548"/>
        <v>0</v>
      </c>
      <c r="XCA1599" s="55">
        <f t="shared" si="548"/>
        <v>0</v>
      </c>
      <c r="XCB1599" s="55">
        <f t="shared" si="548"/>
        <v>0</v>
      </c>
      <c r="XCC1599" s="55">
        <f t="shared" si="548"/>
        <v>0</v>
      </c>
      <c r="XCD1599" s="55">
        <f t="shared" si="548"/>
        <v>0</v>
      </c>
      <c r="XCE1599" s="55">
        <f t="shared" si="548"/>
        <v>0</v>
      </c>
      <c r="XCF1599" s="55">
        <f t="shared" si="548"/>
        <v>0</v>
      </c>
      <c r="XCG1599" s="55">
        <f t="shared" si="548"/>
        <v>0</v>
      </c>
      <c r="XCH1599" s="55">
        <f t="shared" si="548"/>
        <v>0</v>
      </c>
      <c r="XCI1599" s="55">
        <f t="shared" si="548"/>
        <v>0</v>
      </c>
      <c r="XCJ1599" s="55">
        <f t="shared" si="548"/>
        <v>0</v>
      </c>
      <c r="XCK1599" s="55">
        <f t="shared" si="548"/>
        <v>0</v>
      </c>
      <c r="XCL1599" s="55">
        <f t="shared" si="548"/>
        <v>0</v>
      </c>
      <c r="XCM1599" s="55">
        <f t="shared" si="548"/>
        <v>0</v>
      </c>
      <c r="XCN1599" s="55">
        <f t="shared" si="548"/>
        <v>0</v>
      </c>
      <c r="XCO1599" s="55">
        <f t="shared" si="548"/>
        <v>0</v>
      </c>
      <c r="XCP1599" s="55">
        <f t="shared" si="548"/>
        <v>0</v>
      </c>
      <c r="XCQ1599" s="55">
        <f t="shared" si="548"/>
        <v>0</v>
      </c>
      <c r="XCR1599" s="55">
        <f t="shared" si="548"/>
        <v>0</v>
      </c>
      <c r="XCS1599" s="55">
        <f t="shared" si="548"/>
        <v>0</v>
      </c>
      <c r="XCT1599" s="55">
        <f t="shared" si="548"/>
        <v>0</v>
      </c>
      <c r="XCU1599" s="55">
        <f t="shared" si="548"/>
        <v>0</v>
      </c>
      <c r="XCV1599" s="55">
        <f t="shared" si="548"/>
        <v>0</v>
      </c>
      <c r="XCW1599" s="55">
        <f t="shared" si="548"/>
        <v>0</v>
      </c>
      <c r="XCX1599" s="55">
        <f t="shared" si="548"/>
        <v>0</v>
      </c>
      <c r="XCY1599" s="55">
        <f t="shared" si="548"/>
        <v>0</v>
      </c>
      <c r="XCZ1599" s="55">
        <f t="shared" si="548"/>
        <v>0</v>
      </c>
      <c r="XDA1599" s="55">
        <f t="shared" si="548"/>
        <v>0</v>
      </c>
      <c r="XDB1599" s="55">
        <f t="shared" si="548"/>
        <v>0</v>
      </c>
      <c r="XDC1599" s="55">
        <f t="shared" si="548"/>
        <v>0</v>
      </c>
      <c r="XDD1599" s="55">
        <f t="shared" ref="XDD1599:XFC1599" si="549">+(XDD1619+XDD1623)*1.18*1.1</f>
        <v>0</v>
      </c>
      <c r="XDE1599" s="55">
        <f t="shared" si="549"/>
        <v>0</v>
      </c>
      <c r="XDF1599" s="55">
        <f t="shared" si="549"/>
        <v>0</v>
      </c>
      <c r="XDG1599" s="55">
        <f t="shared" si="549"/>
        <v>0</v>
      </c>
      <c r="XDH1599" s="55">
        <f t="shared" si="549"/>
        <v>0</v>
      </c>
      <c r="XDI1599" s="55">
        <f t="shared" si="549"/>
        <v>0</v>
      </c>
      <c r="XDJ1599" s="55">
        <f t="shared" si="549"/>
        <v>0</v>
      </c>
      <c r="XDK1599" s="55">
        <f t="shared" si="549"/>
        <v>0</v>
      </c>
      <c r="XDL1599" s="55">
        <f t="shared" si="549"/>
        <v>0</v>
      </c>
      <c r="XDM1599" s="55">
        <f t="shared" si="549"/>
        <v>0</v>
      </c>
      <c r="XDN1599" s="55">
        <f t="shared" si="549"/>
        <v>0</v>
      </c>
      <c r="XDO1599" s="55">
        <f t="shared" si="549"/>
        <v>0</v>
      </c>
      <c r="XDP1599" s="55">
        <f t="shared" si="549"/>
        <v>0</v>
      </c>
      <c r="XDQ1599" s="55">
        <f t="shared" si="549"/>
        <v>0</v>
      </c>
      <c r="XDR1599" s="55">
        <f t="shared" si="549"/>
        <v>0</v>
      </c>
      <c r="XDS1599" s="55">
        <f t="shared" si="549"/>
        <v>0</v>
      </c>
      <c r="XDT1599" s="55">
        <f t="shared" si="549"/>
        <v>0</v>
      </c>
      <c r="XDU1599" s="55">
        <f t="shared" si="549"/>
        <v>0</v>
      </c>
      <c r="XDV1599" s="55">
        <f t="shared" si="549"/>
        <v>0</v>
      </c>
      <c r="XDW1599" s="55">
        <f t="shared" si="549"/>
        <v>0</v>
      </c>
      <c r="XDX1599" s="55">
        <f t="shared" si="549"/>
        <v>0</v>
      </c>
      <c r="XDY1599" s="55">
        <f t="shared" si="549"/>
        <v>0</v>
      </c>
      <c r="XDZ1599" s="55">
        <f t="shared" si="549"/>
        <v>0</v>
      </c>
      <c r="XEA1599" s="55">
        <f t="shared" si="549"/>
        <v>0</v>
      </c>
      <c r="XEB1599" s="55">
        <f t="shared" si="549"/>
        <v>0</v>
      </c>
      <c r="XEC1599" s="55">
        <f t="shared" si="549"/>
        <v>0</v>
      </c>
      <c r="XED1599" s="55">
        <f t="shared" si="549"/>
        <v>0</v>
      </c>
      <c r="XEE1599" s="55">
        <f t="shared" si="549"/>
        <v>0</v>
      </c>
      <c r="XEF1599" s="55">
        <f t="shared" si="549"/>
        <v>0</v>
      </c>
      <c r="XEG1599" s="55">
        <f t="shared" si="549"/>
        <v>0</v>
      </c>
      <c r="XEH1599" s="55">
        <f t="shared" si="549"/>
        <v>0</v>
      </c>
      <c r="XEI1599" s="55">
        <f t="shared" si="549"/>
        <v>0</v>
      </c>
      <c r="XEJ1599" s="55">
        <f t="shared" si="549"/>
        <v>0</v>
      </c>
      <c r="XEK1599" s="55">
        <f t="shared" si="549"/>
        <v>0</v>
      </c>
      <c r="XEL1599" s="55">
        <f t="shared" si="549"/>
        <v>0</v>
      </c>
      <c r="XEM1599" s="55">
        <f t="shared" si="549"/>
        <v>0</v>
      </c>
      <c r="XEN1599" s="55">
        <f t="shared" si="549"/>
        <v>0</v>
      </c>
      <c r="XEO1599" s="55">
        <f t="shared" si="549"/>
        <v>0</v>
      </c>
      <c r="XEP1599" s="55">
        <f t="shared" si="549"/>
        <v>0</v>
      </c>
      <c r="XEQ1599" s="55">
        <f t="shared" si="549"/>
        <v>0</v>
      </c>
      <c r="XER1599" s="55">
        <f t="shared" si="549"/>
        <v>0</v>
      </c>
      <c r="XES1599" s="55">
        <f t="shared" si="549"/>
        <v>0</v>
      </c>
      <c r="XET1599" s="55">
        <f t="shared" si="549"/>
        <v>0</v>
      </c>
      <c r="XEU1599" s="55">
        <f t="shared" si="549"/>
        <v>0</v>
      </c>
      <c r="XEV1599" s="55">
        <f t="shared" si="549"/>
        <v>0</v>
      </c>
      <c r="XEW1599" s="55">
        <f t="shared" si="549"/>
        <v>0</v>
      </c>
      <c r="XEX1599" s="55">
        <f t="shared" si="549"/>
        <v>0</v>
      </c>
      <c r="XEY1599" s="55">
        <f t="shared" si="549"/>
        <v>0</v>
      </c>
      <c r="XEZ1599" s="55">
        <f t="shared" si="549"/>
        <v>0</v>
      </c>
      <c r="XFA1599" s="55">
        <f t="shared" si="549"/>
        <v>0</v>
      </c>
      <c r="XFB1599" s="55">
        <f t="shared" si="549"/>
        <v>0</v>
      </c>
      <c r="XFC1599" s="55">
        <f t="shared" si="549"/>
        <v>0</v>
      </c>
    </row>
    <row r="1600" spans="1:16383" x14ac:dyDescent="0.25">
      <c r="A1600" s="90"/>
      <c r="B1600" s="41" t="s">
        <v>412</v>
      </c>
      <c r="C1600" s="53">
        <v>1</v>
      </c>
      <c r="D1600" s="41" t="s">
        <v>150</v>
      </c>
      <c r="E1600" s="54">
        <f>+'[1]MO MAY25'!N587*1.5</f>
        <v>60.375</v>
      </c>
      <c r="F1600" s="53">
        <f>E1600*C1600</f>
        <v>60.375</v>
      </c>
      <c r="G1600" s="58"/>
      <c r="I1600" s="153"/>
    </row>
    <row r="1601" spans="1:9" x14ac:dyDescent="0.25">
      <c r="A1601" s="16"/>
      <c r="B1601" s="41" t="s">
        <v>508</v>
      </c>
      <c r="C1601" s="53">
        <v>1</v>
      </c>
      <c r="D1601" s="41" t="s">
        <v>150</v>
      </c>
      <c r="E1601" s="54">
        <f>+'[1]MO MAY25'!$N$573</f>
        <v>362.25</v>
      </c>
      <c r="F1601" s="53">
        <f>E1601*C1601</f>
        <v>362.25</v>
      </c>
      <c r="G1601" s="58"/>
      <c r="I1601" s="153"/>
    </row>
    <row r="1602" spans="1:9" x14ac:dyDescent="0.25">
      <c r="A1602" s="90"/>
      <c r="B1602" s="41" t="s">
        <v>435</v>
      </c>
      <c r="C1602" s="53">
        <v>0</v>
      </c>
      <c r="D1602" s="41" t="s">
        <v>150</v>
      </c>
      <c r="E1602" s="54">
        <f>+'[1]MO MAY25'!$N$425</f>
        <v>310.5</v>
      </c>
      <c r="F1602" s="53">
        <f>E1602*C1602</f>
        <v>0</v>
      </c>
      <c r="G1602" s="58"/>
      <c r="I1602" s="153"/>
    </row>
    <row r="1603" spans="1:9" ht="15.6" x14ac:dyDescent="0.3">
      <c r="A1603" s="90"/>
      <c r="B1603" s="41"/>
      <c r="C1603" s="53"/>
      <c r="D1603" s="41"/>
      <c r="E1603" s="54"/>
      <c r="F1603" s="53"/>
      <c r="G1603" s="56">
        <f>SUM(F1594:F1602)</f>
        <v>1220.6120711588785</v>
      </c>
      <c r="H1603" s="57" t="s">
        <v>150</v>
      </c>
      <c r="I1603" s="153"/>
    </row>
    <row r="1604" spans="1:9" ht="15.6" x14ac:dyDescent="0.3">
      <c r="A1604" s="90"/>
      <c r="B1604" s="41"/>
      <c r="C1604" s="53"/>
      <c r="D1604" s="41"/>
      <c r="E1604" s="54"/>
      <c r="F1604" s="53"/>
      <c r="G1604" s="56">
        <f>SUM(F1594:F1602)+(F1600+F1601)*0.05</f>
        <v>1241.7433211588784</v>
      </c>
      <c r="H1604" s="57" t="s">
        <v>150</v>
      </c>
      <c r="I1604" s="153"/>
    </row>
    <row r="1605" spans="1:9" ht="14.25" customHeight="1" x14ac:dyDescent="0.3">
      <c r="A1605" s="90"/>
      <c r="B1605" s="3" t="s">
        <v>533</v>
      </c>
      <c r="C1605" s="8"/>
      <c r="E1605" s="46"/>
      <c r="F1605" s="8"/>
      <c r="G1605" s="58"/>
      <c r="I1605" s="153"/>
    </row>
    <row r="1606" spans="1:9" x14ac:dyDescent="0.25">
      <c r="A1606" s="90">
        <f>+A1594+0.01</f>
        <v>13.369999999999992</v>
      </c>
      <c r="B1606" s="41" t="s">
        <v>455</v>
      </c>
      <c r="C1606" s="53">
        <v>0.25</v>
      </c>
      <c r="D1606" s="41" t="s">
        <v>81</v>
      </c>
      <c r="E1606" s="54">
        <f>+$E$1321</f>
        <v>2012.5</v>
      </c>
      <c r="F1606" s="53">
        <f>E1606*C1606</f>
        <v>503.125</v>
      </c>
      <c r="G1606" s="58"/>
      <c r="I1606" s="153"/>
    </row>
    <row r="1607" spans="1:9" x14ac:dyDescent="0.25">
      <c r="A1607" s="90"/>
      <c r="B1607" s="41" t="s">
        <v>407</v>
      </c>
      <c r="C1607" s="53">
        <f>0.3*0.05</f>
        <v>1.4999999999999999E-2</v>
      </c>
      <c r="D1607" s="41" t="s">
        <v>54</v>
      </c>
      <c r="E1607" s="54">
        <f>+$G$55</f>
        <v>9859.73</v>
      </c>
      <c r="F1607" s="53">
        <f>E1607*C1607</f>
        <v>147.89595</v>
      </c>
      <c r="G1607" s="58"/>
      <c r="I1607" s="153"/>
    </row>
    <row r="1608" spans="1:9" x14ac:dyDescent="0.25">
      <c r="A1608" s="90"/>
      <c r="B1608" s="41" t="s">
        <v>408</v>
      </c>
      <c r="C1608" s="53">
        <f>0.3*0.13</f>
        <v>3.9E-2</v>
      </c>
      <c r="D1608" s="41" t="s">
        <v>409</v>
      </c>
      <c r="E1608" s="54">
        <f>+$E$1596</f>
        <v>1350</v>
      </c>
      <c r="F1608" s="53">
        <f>E1608*C1608</f>
        <v>52.65</v>
      </c>
      <c r="G1608" s="58"/>
      <c r="H1608" s="41"/>
      <c r="I1608" s="153"/>
    </row>
    <row r="1609" spans="1:9" x14ac:dyDescent="0.25">
      <c r="A1609" s="90"/>
      <c r="B1609" s="41" t="s">
        <v>411</v>
      </c>
      <c r="C1609" s="53">
        <f>0.05*0.3</f>
        <v>1.4999999999999999E-2</v>
      </c>
      <c r="D1609" s="41" t="s">
        <v>82</v>
      </c>
      <c r="E1609" s="54">
        <f>+$E$1597</f>
        <v>80.850000000000009</v>
      </c>
      <c r="F1609" s="53">
        <f>E1609*C1609</f>
        <v>1.21275</v>
      </c>
      <c r="G1609" s="58"/>
      <c r="H1609" s="41"/>
      <c r="I1609" s="153"/>
    </row>
    <row r="1610" spans="1:9" x14ac:dyDescent="0.25">
      <c r="A1610" s="90"/>
      <c r="B1610" s="41" t="s">
        <v>410</v>
      </c>
      <c r="C1610" s="53">
        <f>0.3*6.5</f>
        <v>1.95</v>
      </c>
      <c r="D1610" s="41" t="s">
        <v>82</v>
      </c>
      <c r="E1610" s="54">
        <f>+$G$95</f>
        <v>15.807777777777778</v>
      </c>
      <c r="F1610" s="53">
        <f>E1610*C1610</f>
        <v>30.825166666666668</v>
      </c>
      <c r="G1610" s="58"/>
      <c r="I1610" s="153"/>
    </row>
    <row r="1611" spans="1:9" x14ac:dyDescent="0.25">
      <c r="A1611" s="90"/>
      <c r="B1611" s="41" t="s">
        <v>67</v>
      </c>
      <c r="C1611" s="53">
        <v>10</v>
      </c>
      <c r="D1611" s="41" t="s">
        <v>34</v>
      </c>
      <c r="E1611" s="54">
        <f>SUM(F1606:F1610)</f>
        <v>735.70886666666661</v>
      </c>
      <c r="F1611" s="53">
        <f>E1611*C1611/100</f>
        <v>73.570886666666667</v>
      </c>
      <c r="G1611" s="58"/>
      <c r="I1611" s="153"/>
    </row>
    <row r="1612" spans="1:9" x14ac:dyDescent="0.25">
      <c r="A1612" s="90"/>
      <c r="B1612" s="41" t="s">
        <v>412</v>
      </c>
      <c r="C1612" s="53">
        <v>1</v>
      </c>
      <c r="D1612" s="41" t="s">
        <v>150</v>
      </c>
      <c r="E1612" s="54">
        <f>+$E$1600</f>
        <v>60.375</v>
      </c>
      <c r="F1612" s="53">
        <f>E1612*C1612</f>
        <v>60.375</v>
      </c>
      <c r="G1612" s="58"/>
      <c r="I1612" s="153"/>
    </row>
    <row r="1613" spans="1:9" x14ac:dyDescent="0.25">
      <c r="A1613" s="16"/>
      <c r="B1613" s="41" t="s">
        <v>508</v>
      </c>
      <c r="C1613" s="53">
        <v>1</v>
      </c>
      <c r="D1613" s="41" t="s">
        <v>150</v>
      </c>
      <c r="E1613" s="54">
        <f>+$E$1601</f>
        <v>362.25</v>
      </c>
      <c r="F1613" s="53">
        <f>E1613*C1613</f>
        <v>362.25</v>
      </c>
      <c r="G1613" s="58"/>
      <c r="I1613" s="153"/>
    </row>
    <row r="1614" spans="1:9" x14ac:dyDescent="0.25">
      <c r="A1614" s="90"/>
      <c r="B1614" s="41" t="s">
        <v>435</v>
      </c>
      <c r="C1614" s="53">
        <v>0</v>
      </c>
      <c r="D1614" s="41" t="s">
        <v>150</v>
      </c>
      <c r="E1614" s="54">
        <f>+$E$1602</f>
        <v>310.5</v>
      </c>
      <c r="F1614" s="53">
        <f>E1614*C1614</f>
        <v>0</v>
      </c>
      <c r="G1614" s="58"/>
      <c r="I1614" s="153"/>
    </row>
    <row r="1615" spans="1:9" ht="15.6" x14ac:dyDescent="0.3">
      <c r="A1615" s="90"/>
      <c r="B1615" s="41"/>
      <c r="C1615" s="53"/>
      <c r="D1615" s="41"/>
      <c r="E1615" s="54"/>
      <c r="F1615" s="53"/>
      <c r="G1615" s="59">
        <f>SUM(F1606:F1614)</f>
        <v>1231.9047533333332</v>
      </c>
      <c r="H1615" s="3" t="s">
        <v>150</v>
      </c>
      <c r="I1615" s="153"/>
    </row>
    <row r="1616" spans="1:9" ht="15.6" x14ac:dyDescent="0.3">
      <c r="A1616" s="90"/>
      <c r="B1616" s="3" t="s">
        <v>534</v>
      </c>
      <c r="C1616" s="8"/>
      <c r="E1616" s="46"/>
      <c r="F1616" s="8"/>
      <c r="G1616" s="58"/>
      <c r="I1616" s="153"/>
    </row>
    <row r="1617" spans="1:16383" x14ac:dyDescent="0.25">
      <c r="A1617" s="90">
        <f>+A1606+0.01</f>
        <v>13.379999999999992</v>
      </c>
      <c r="B1617" s="41" t="s">
        <v>455</v>
      </c>
      <c r="C1617" s="53">
        <v>0.25</v>
      </c>
      <c r="D1617" s="41" t="s">
        <v>81</v>
      </c>
      <c r="E1617" s="54">
        <f>+$E$1371*1.35</f>
        <v>1814.4907199999998</v>
      </c>
      <c r="F1617" s="53">
        <f>E1617*C1617</f>
        <v>453.62267999999995</v>
      </c>
      <c r="G1617" s="58"/>
      <c r="I1617" s="153"/>
    </row>
    <row r="1618" spans="1:16383" x14ac:dyDescent="0.25">
      <c r="A1618" s="90"/>
      <c r="B1618" s="41" t="s">
        <v>407</v>
      </c>
      <c r="C1618" s="53">
        <f>0.3*0.05</f>
        <v>1.4999999999999999E-2</v>
      </c>
      <c r="D1618" s="41" t="s">
        <v>54</v>
      </c>
      <c r="E1618" s="54">
        <f>+$G$55</f>
        <v>9859.73</v>
      </c>
      <c r="F1618" s="53">
        <f>E1618*C1618</f>
        <v>147.89595</v>
      </c>
      <c r="G1618" s="58"/>
      <c r="I1618" s="153"/>
      <c r="L1618" s="55">
        <f t="shared" ref="L1618:BW1618" si="550">+(L1627+L1608)*1.18*1.1</f>
        <v>0</v>
      </c>
      <c r="M1618" s="55">
        <f t="shared" si="550"/>
        <v>0</v>
      </c>
      <c r="N1618" s="55">
        <f t="shared" si="550"/>
        <v>0</v>
      </c>
      <c r="O1618" s="55">
        <f t="shared" si="550"/>
        <v>0</v>
      </c>
      <c r="P1618" s="55">
        <f t="shared" si="550"/>
        <v>0</v>
      </c>
      <c r="Q1618" s="55">
        <f t="shared" si="550"/>
        <v>0</v>
      </c>
      <c r="R1618" s="55">
        <f t="shared" si="550"/>
        <v>0</v>
      </c>
      <c r="S1618" s="55">
        <f t="shared" si="550"/>
        <v>0</v>
      </c>
      <c r="T1618" s="55">
        <f t="shared" si="550"/>
        <v>0</v>
      </c>
      <c r="U1618" s="55">
        <f t="shared" si="550"/>
        <v>0</v>
      </c>
      <c r="V1618" s="55">
        <f t="shared" si="550"/>
        <v>0</v>
      </c>
      <c r="W1618" s="55">
        <f t="shared" si="550"/>
        <v>0</v>
      </c>
      <c r="X1618" s="55">
        <f t="shared" si="550"/>
        <v>0</v>
      </c>
      <c r="Y1618" s="55">
        <f t="shared" si="550"/>
        <v>0</v>
      </c>
      <c r="Z1618" s="55">
        <f t="shared" si="550"/>
        <v>0</v>
      </c>
      <c r="AA1618" s="55">
        <f t="shared" si="550"/>
        <v>0</v>
      </c>
      <c r="AB1618" s="55">
        <f t="shared" si="550"/>
        <v>0</v>
      </c>
      <c r="AC1618" s="55">
        <f t="shared" si="550"/>
        <v>0</v>
      </c>
      <c r="AD1618" s="55">
        <f t="shared" si="550"/>
        <v>0</v>
      </c>
      <c r="AE1618" s="55">
        <f t="shared" si="550"/>
        <v>0</v>
      </c>
      <c r="AF1618" s="55">
        <f t="shared" si="550"/>
        <v>0</v>
      </c>
      <c r="AG1618" s="55">
        <f t="shared" si="550"/>
        <v>0</v>
      </c>
      <c r="AH1618" s="55">
        <f t="shared" si="550"/>
        <v>0</v>
      </c>
      <c r="AI1618" s="55">
        <f t="shared" si="550"/>
        <v>0</v>
      </c>
      <c r="AJ1618" s="55">
        <f t="shared" si="550"/>
        <v>0</v>
      </c>
      <c r="AK1618" s="55">
        <f t="shared" si="550"/>
        <v>0</v>
      </c>
      <c r="AL1618" s="55">
        <f t="shared" si="550"/>
        <v>0</v>
      </c>
      <c r="AM1618" s="55">
        <f t="shared" si="550"/>
        <v>0</v>
      </c>
      <c r="AN1618" s="55">
        <f t="shared" si="550"/>
        <v>0</v>
      </c>
      <c r="AO1618" s="55">
        <f t="shared" si="550"/>
        <v>0</v>
      </c>
      <c r="AP1618" s="55">
        <f t="shared" si="550"/>
        <v>0</v>
      </c>
      <c r="AQ1618" s="55">
        <f t="shared" si="550"/>
        <v>0</v>
      </c>
      <c r="AR1618" s="55">
        <f t="shared" si="550"/>
        <v>0</v>
      </c>
      <c r="AS1618" s="55">
        <f t="shared" si="550"/>
        <v>0</v>
      </c>
      <c r="AT1618" s="55">
        <f t="shared" si="550"/>
        <v>0</v>
      </c>
      <c r="AU1618" s="55">
        <f t="shared" si="550"/>
        <v>0</v>
      </c>
      <c r="AV1618" s="55">
        <f t="shared" si="550"/>
        <v>0</v>
      </c>
      <c r="AW1618" s="55">
        <f t="shared" si="550"/>
        <v>0</v>
      </c>
      <c r="AX1618" s="55">
        <f t="shared" si="550"/>
        <v>0</v>
      </c>
      <c r="AY1618" s="55">
        <f t="shared" si="550"/>
        <v>0</v>
      </c>
      <c r="AZ1618" s="55">
        <f t="shared" si="550"/>
        <v>0</v>
      </c>
      <c r="BA1618" s="55">
        <f t="shared" si="550"/>
        <v>0</v>
      </c>
      <c r="BB1618" s="55">
        <f t="shared" si="550"/>
        <v>0</v>
      </c>
      <c r="BC1618" s="55">
        <f t="shared" si="550"/>
        <v>0</v>
      </c>
      <c r="BD1618" s="55">
        <f t="shared" si="550"/>
        <v>0</v>
      </c>
      <c r="BE1618" s="55">
        <f t="shared" si="550"/>
        <v>0</v>
      </c>
      <c r="BF1618" s="55">
        <f t="shared" si="550"/>
        <v>0</v>
      </c>
      <c r="BG1618" s="55">
        <f t="shared" si="550"/>
        <v>0</v>
      </c>
      <c r="BH1618" s="55">
        <f t="shared" si="550"/>
        <v>0</v>
      </c>
      <c r="BI1618" s="55">
        <f t="shared" si="550"/>
        <v>0</v>
      </c>
      <c r="BJ1618" s="55">
        <f t="shared" si="550"/>
        <v>0</v>
      </c>
      <c r="BK1618" s="55">
        <f t="shared" si="550"/>
        <v>0</v>
      </c>
      <c r="BL1618" s="55">
        <f t="shared" si="550"/>
        <v>0</v>
      </c>
      <c r="BM1618" s="55">
        <f t="shared" si="550"/>
        <v>0</v>
      </c>
      <c r="BN1618" s="55">
        <f t="shared" si="550"/>
        <v>0</v>
      </c>
      <c r="BO1618" s="55">
        <f t="shared" si="550"/>
        <v>0</v>
      </c>
      <c r="BP1618" s="55">
        <f t="shared" si="550"/>
        <v>0</v>
      </c>
      <c r="BQ1618" s="55">
        <f t="shared" si="550"/>
        <v>0</v>
      </c>
      <c r="BR1618" s="55">
        <f t="shared" si="550"/>
        <v>0</v>
      </c>
      <c r="BS1618" s="55">
        <f t="shared" si="550"/>
        <v>0</v>
      </c>
      <c r="BT1618" s="55">
        <f t="shared" si="550"/>
        <v>0</v>
      </c>
      <c r="BU1618" s="55">
        <f t="shared" si="550"/>
        <v>0</v>
      </c>
      <c r="BV1618" s="55">
        <f t="shared" si="550"/>
        <v>0</v>
      </c>
      <c r="BW1618" s="55">
        <f t="shared" si="550"/>
        <v>0</v>
      </c>
      <c r="BX1618" s="55">
        <f t="shared" ref="BX1618:EI1618" si="551">+(BX1627+BX1608)*1.18*1.1</f>
        <v>0</v>
      </c>
      <c r="BY1618" s="55">
        <f t="shared" si="551"/>
        <v>0</v>
      </c>
      <c r="BZ1618" s="55">
        <f t="shared" si="551"/>
        <v>0</v>
      </c>
      <c r="CA1618" s="55">
        <f t="shared" si="551"/>
        <v>0</v>
      </c>
      <c r="CB1618" s="55">
        <f t="shared" si="551"/>
        <v>0</v>
      </c>
      <c r="CC1618" s="55">
        <f t="shared" si="551"/>
        <v>0</v>
      </c>
      <c r="CD1618" s="55">
        <f t="shared" si="551"/>
        <v>0</v>
      </c>
      <c r="CE1618" s="55">
        <f t="shared" si="551"/>
        <v>0</v>
      </c>
      <c r="CF1618" s="55">
        <f t="shared" si="551"/>
        <v>0</v>
      </c>
      <c r="CG1618" s="55">
        <f t="shared" si="551"/>
        <v>0</v>
      </c>
      <c r="CH1618" s="55">
        <f t="shared" si="551"/>
        <v>0</v>
      </c>
      <c r="CI1618" s="55">
        <f t="shared" si="551"/>
        <v>0</v>
      </c>
      <c r="CJ1618" s="55">
        <f t="shared" si="551"/>
        <v>0</v>
      </c>
      <c r="CK1618" s="55">
        <f t="shared" si="551"/>
        <v>0</v>
      </c>
      <c r="CL1618" s="55">
        <f t="shared" si="551"/>
        <v>0</v>
      </c>
      <c r="CM1618" s="55">
        <f t="shared" si="551"/>
        <v>0</v>
      </c>
      <c r="CN1618" s="55">
        <f t="shared" si="551"/>
        <v>0</v>
      </c>
      <c r="CO1618" s="55">
        <f t="shared" si="551"/>
        <v>0</v>
      </c>
      <c r="CP1618" s="55">
        <f t="shared" si="551"/>
        <v>0</v>
      </c>
      <c r="CQ1618" s="55">
        <f t="shared" si="551"/>
        <v>0</v>
      </c>
      <c r="CR1618" s="55">
        <f t="shared" si="551"/>
        <v>0</v>
      </c>
      <c r="CS1618" s="55">
        <f t="shared" si="551"/>
        <v>0</v>
      </c>
      <c r="CT1618" s="55">
        <f t="shared" si="551"/>
        <v>0</v>
      </c>
      <c r="CU1618" s="55">
        <f t="shared" si="551"/>
        <v>0</v>
      </c>
      <c r="CV1618" s="55">
        <f t="shared" si="551"/>
        <v>0</v>
      </c>
      <c r="CW1618" s="55">
        <f t="shared" si="551"/>
        <v>0</v>
      </c>
      <c r="CX1618" s="55">
        <f t="shared" si="551"/>
        <v>0</v>
      </c>
      <c r="CY1618" s="55">
        <f t="shared" si="551"/>
        <v>0</v>
      </c>
      <c r="CZ1618" s="55">
        <f t="shared" si="551"/>
        <v>0</v>
      </c>
      <c r="DA1618" s="55">
        <f t="shared" si="551"/>
        <v>0</v>
      </c>
      <c r="DB1618" s="55">
        <f t="shared" si="551"/>
        <v>0</v>
      </c>
      <c r="DC1618" s="55">
        <f t="shared" si="551"/>
        <v>0</v>
      </c>
      <c r="DD1618" s="55">
        <f t="shared" si="551"/>
        <v>0</v>
      </c>
      <c r="DE1618" s="55">
        <f t="shared" si="551"/>
        <v>0</v>
      </c>
      <c r="DF1618" s="55">
        <f t="shared" si="551"/>
        <v>0</v>
      </c>
      <c r="DG1618" s="55">
        <f t="shared" si="551"/>
        <v>0</v>
      </c>
      <c r="DH1618" s="55">
        <f t="shared" si="551"/>
        <v>0</v>
      </c>
      <c r="DI1618" s="55">
        <f t="shared" si="551"/>
        <v>0</v>
      </c>
      <c r="DJ1618" s="55">
        <f t="shared" si="551"/>
        <v>0</v>
      </c>
      <c r="DK1618" s="55">
        <f t="shared" si="551"/>
        <v>0</v>
      </c>
      <c r="DL1618" s="55">
        <f t="shared" si="551"/>
        <v>0</v>
      </c>
      <c r="DM1618" s="55">
        <f t="shared" si="551"/>
        <v>0</v>
      </c>
      <c r="DN1618" s="55">
        <f t="shared" si="551"/>
        <v>0</v>
      </c>
      <c r="DO1618" s="55">
        <f t="shared" si="551"/>
        <v>0</v>
      </c>
      <c r="DP1618" s="55">
        <f t="shared" si="551"/>
        <v>0</v>
      </c>
      <c r="DQ1618" s="55">
        <f t="shared" si="551"/>
        <v>0</v>
      </c>
      <c r="DR1618" s="55">
        <f t="shared" si="551"/>
        <v>0</v>
      </c>
      <c r="DS1618" s="55">
        <f t="shared" si="551"/>
        <v>0</v>
      </c>
      <c r="DT1618" s="55">
        <f t="shared" si="551"/>
        <v>0</v>
      </c>
      <c r="DU1618" s="55">
        <f t="shared" si="551"/>
        <v>0</v>
      </c>
      <c r="DV1618" s="55">
        <f t="shared" si="551"/>
        <v>0</v>
      </c>
      <c r="DW1618" s="55">
        <f t="shared" si="551"/>
        <v>0</v>
      </c>
      <c r="DX1618" s="55">
        <f t="shared" si="551"/>
        <v>0</v>
      </c>
      <c r="DY1618" s="55">
        <f t="shared" si="551"/>
        <v>0</v>
      </c>
      <c r="DZ1618" s="55">
        <f t="shared" si="551"/>
        <v>0</v>
      </c>
      <c r="EA1618" s="55">
        <f t="shared" si="551"/>
        <v>0</v>
      </c>
      <c r="EB1618" s="55">
        <f t="shared" si="551"/>
        <v>0</v>
      </c>
      <c r="EC1618" s="55">
        <f t="shared" si="551"/>
        <v>0</v>
      </c>
      <c r="ED1618" s="55">
        <f t="shared" si="551"/>
        <v>0</v>
      </c>
      <c r="EE1618" s="55">
        <f t="shared" si="551"/>
        <v>0</v>
      </c>
      <c r="EF1618" s="55">
        <f t="shared" si="551"/>
        <v>0</v>
      </c>
      <c r="EG1618" s="55">
        <f t="shared" si="551"/>
        <v>0</v>
      </c>
      <c r="EH1618" s="55">
        <f t="shared" si="551"/>
        <v>0</v>
      </c>
      <c r="EI1618" s="55">
        <f t="shared" si="551"/>
        <v>0</v>
      </c>
      <c r="EJ1618" s="55">
        <f t="shared" ref="EJ1618:GU1618" si="552">+(EJ1627+EJ1608)*1.18*1.1</f>
        <v>0</v>
      </c>
      <c r="EK1618" s="55">
        <f t="shared" si="552"/>
        <v>0</v>
      </c>
      <c r="EL1618" s="55">
        <f t="shared" si="552"/>
        <v>0</v>
      </c>
      <c r="EM1618" s="55">
        <f t="shared" si="552"/>
        <v>0</v>
      </c>
      <c r="EN1618" s="55">
        <f t="shared" si="552"/>
        <v>0</v>
      </c>
      <c r="EO1618" s="55">
        <f t="shared" si="552"/>
        <v>0</v>
      </c>
      <c r="EP1618" s="55">
        <f t="shared" si="552"/>
        <v>0</v>
      </c>
      <c r="EQ1618" s="55">
        <f t="shared" si="552"/>
        <v>0</v>
      </c>
      <c r="ER1618" s="55">
        <f t="shared" si="552"/>
        <v>0</v>
      </c>
      <c r="ES1618" s="55">
        <f t="shared" si="552"/>
        <v>0</v>
      </c>
      <c r="ET1618" s="55">
        <f t="shared" si="552"/>
        <v>0</v>
      </c>
      <c r="EU1618" s="55">
        <f t="shared" si="552"/>
        <v>0</v>
      </c>
      <c r="EV1618" s="55">
        <f t="shared" si="552"/>
        <v>0</v>
      </c>
      <c r="EW1618" s="55">
        <f t="shared" si="552"/>
        <v>0</v>
      </c>
      <c r="EX1618" s="55">
        <f t="shared" si="552"/>
        <v>0</v>
      </c>
      <c r="EY1618" s="55">
        <f t="shared" si="552"/>
        <v>0</v>
      </c>
      <c r="EZ1618" s="55">
        <f t="shared" si="552"/>
        <v>0</v>
      </c>
      <c r="FA1618" s="55">
        <f t="shared" si="552"/>
        <v>0</v>
      </c>
      <c r="FB1618" s="55">
        <f t="shared" si="552"/>
        <v>0</v>
      </c>
      <c r="FC1618" s="55">
        <f t="shared" si="552"/>
        <v>0</v>
      </c>
      <c r="FD1618" s="55">
        <f t="shared" si="552"/>
        <v>0</v>
      </c>
      <c r="FE1618" s="55">
        <f t="shared" si="552"/>
        <v>0</v>
      </c>
      <c r="FF1618" s="55">
        <f t="shared" si="552"/>
        <v>0</v>
      </c>
      <c r="FG1618" s="55">
        <f t="shared" si="552"/>
        <v>0</v>
      </c>
      <c r="FH1618" s="55">
        <f t="shared" si="552"/>
        <v>0</v>
      </c>
      <c r="FI1618" s="55">
        <f t="shared" si="552"/>
        <v>0</v>
      </c>
      <c r="FJ1618" s="55">
        <f t="shared" si="552"/>
        <v>0</v>
      </c>
      <c r="FK1618" s="55">
        <f t="shared" si="552"/>
        <v>0</v>
      </c>
      <c r="FL1618" s="55">
        <f t="shared" si="552"/>
        <v>0</v>
      </c>
      <c r="FM1618" s="55">
        <f t="shared" si="552"/>
        <v>0</v>
      </c>
      <c r="FN1618" s="55">
        <f t="shared" si="552"/>
        <v>0</v>
      </c>
      <c r="FO1618" s="55">
        <f t="shared" si="552"/>
        <v>0</v>
      </c>
      <c r="FP1618" s="55">
        <f t="shared" si="552"/>
        <v>0</v>
      </c>
      <c r="FQ1618" s="55">
        <f t="shared" si="552"/>
        <v>0</v>
      </c>
      <c r="FR1618" s="55">
        <f t="shared" si="552"/>
        <v>0</v>
      </c>
      <c r="FS1618" s="55">
        <f t="shared" si="552"/>
        <v>0</v>
      </c>
      <c r="FT1618" s="55">
        <f t="shared" si="552"/>
        <v>0</v>
      </c>
      <c r="FU1618" s="55">
        <f t="shared" si="552"/>
        <v>0</v>
      </c>
      <c r="FV1618" s="55">
        <f t="shared" si="552"/>
        <v>0</v>
      </c>
      <c r="FW1618" s="55">
        <f t="shared" si="552"/>
        <v>0</v>
      </c>
      <c r="FX1618" s="55">
        <f t="shared" si="552"/>
        <v>0</v>
      </c>
      <c r="FY1618" s="55">
        <f t="shared" si="552"/>
        <v>0</v>
      </c>
      <c r="FZ1618" s="55">
        <f t="shared" si="552"/>
        <v>0</v>
      </c>
      <c r="GA1618" s="55">
        <f t="shared" si="552"/>
        <v>0</v>
      </c>
      <c r="GB1618" s="55">
        <f t="shared" si="552"/>
        <v>0</v>
      </c>
      <c r="GC1618" s="55">
        <f t="shared" si="552"/>
        <v>0</v>
      </c>
      <c r="GD1618" s="55">
        <f t="shared" si="552"/>
        <v>0</v>
      </c>
      <c r="GE1618" s="55">
        <f t="shared" si="552"/>
        <v>0</v>
      </c>
      <c r="GF1618" s="55">
        <f t="shared" si="552"/>
        <v>0</v>
      </c>
      <c r="GG1618" s="55">
        <f t="shared" si="552"/>
        <v>0</v>
      </c>
      <c r="GH1618" s="55">
        <f t="shared" si="552"/>
        <v>0</v>
      </c>
      <c r="GI1618" s="55">
        <f t="shared" si="552"/>
        <v>0</v>
      </c>
      <c r="GJ1618" s="55">
        <f t="shared" si="552"/>
        <v>0</v>
      </c>
      <c r="GK1618" s="55">
        <f t="shared" si="552"/>
        <v>0</v>
      </c>
      <c r="GL1618" s="55">
        <f t="shared" si="552"/>
        <v>0</v>
      </c>
      <c r="GM1618" s="55">
        <f t="shared" si="552"/>
        <v>0</v>
      </c>
      <c r="GN1618" s="55">
        <f t="shared" si="552"/>
        <v>0</v>
      </c>
      <c r="GO1618" s="55">
        <f t="shared" si="552"/>
        <v>0</v>
      </c>
      <c r="GP1618" s="55">
        <f t="shared" si="552"/>
        <v>0</v>
      </c>
      <c r="GQ1618" s="55">
        <f t="shared" si="552"/>
        <v>0</v>
      </c>
      <c r="GR1618" s="55">
        <f t="shared" si="552"/>
        <v>0</v>
      </c>
      <c r="GS1618" s="55">
        <f t="shared" si="552"/>
        <v>0</v>
      </c>
      <c r="GT1618" s="55">
        <f t="shared" si="552"/>
        <v>0</v>
      </c>
      <c r="GU1618" s="55">
        <f t="shared" si="552"/>
        <v>0</v>
      </c>
      <c r="GV1618" s="55">
        <f t="shared" ref="GV1618:JG1618" si="553">+(GV1627+GV1608)*1.18*1.1</f>
        <v>0</v>
      </c>
      <c r="GW1618" s="55">
        <f t="shared" si="553"/>
        <v>0</v>
      </c>
      <c r="GX1618" s="55">
        <f t="shared" si="553"/>
        <v>0</v>
      </c>
      <c r="GY1618" s="55">
        <f t="shared" si="553"/>
        <v>0</v>
      </c>
      <c r="GZ1618" s="55">
        <f t="shared" si="553"/>
        <v>0</v>
      </c>
      <c r="HA1618" s="55">
        <f t="shared" si="553"/>
        <v>0</v>
      </c>
      <c r="HB1618" s="55">
        <f t="shared" si="553"/>
        <v>0</v>
      </c>
      <c r="HC1618" s="55">
        <f t="shared" si="553"/>
        <v>0</v>
      </c>
      <c r="HD1618" s="55">
        <f t="shared" si="553"/>
        <v>0</v>
      </c>
      <c r="HE1618" s="55">
        <f t="shared" si="553"/>
        <v>0</v>
      </c>
      <c r="HF1618" s="55">
        <f t="shared" si="553"/>
        <v>0</v>
      </c>
      <c r="HG1618" s="55">
        <f t="shared" si="553"/>
        <v>0</v>
      </c>
      <c r="HH1618" s="55">
        <f t="shared" si="553"/>
        <v>0</v>
      </c>
      <c r="HI1618" s="55">
        <f t="shared" si="553"/>
        <v>0</v>
      </c>
      <c r="HJ1618" s="55">
        <f t="shared" si="553"/>
        <v>0</v>
      </c>
      <c r="HK1618" s="55">
        <f t="shared" si="553"/>
        <v>0</v>
      </c>
      <c r="HL1618" s="55">
        <f t="shared" si="553"/>
        <v>0</v>
      </c>
      <c r="HM1618" s="55">
        <f t="shared" si="553"/>
        <v>0</v>
      </c>
      <c r="HN1618" s="55">
        <f t="shared" si="553"/>
        <v>0</v>
      </c>
      <c r="HO1618" s="55">
        <f t="shared" si="553"/>
        <v>0</v>
      </c>
      <c r="HP1618" s="55">
        <f t="shared" si="553"/>
        <v>0</v>
      </c>
      <c r="HQ1618" s="55">
        <f t="shared" si="553"/>
        <v>0</v>
      </c>
      <c r="HR1618" s="55">
        <f t="shared" si="553"/>
        <v>0</v>
      </c>
      <c r="HS1618" s="55">
        <f t="shared" si="553"/>
        <v>0</v>
      </c>
      <c r="HT1618" s="55">
        <f t="shared" si="553"/>
        <v>0</v>
      </c>
      <c r="HU1618" s="55">
        <f t="shared" si="553"/>
        <v>0</v>
      </c>
      <c r="HV1618" s="55">
        <f t="shared" si="553"/>
        <v>0</v>
      </c>
      <c r="HW1618" s="55">
        <f t="shared" si="553"/>
        <v>0</v>
      </c>
      <c r="HX1618" s="55">
        <f t="shared" si="553"/>
        <v>0</v>
      </c>
      <c r="HY1618" s="55">
        <f t="shared" si="553"/>
        <v>0</v>
      </c>
      <c r="HZ1618" s="55">
        <f t="shared" si="553"/>
        <v>0</v>
      </c>
      <c r="IA1618" s="55">
        <f t="shared" si="553"/>
        <v>0</v>
      </c>
      <c r="IB1618" s="55">
        <f t="shared" si="553"/>
        <v>0</v>
      </c>
      <c r="IC1618" s="55">
        <f t="shared" si="553"/>
        <v>0</v>
      </c>
      <c r="ID1618" s="55">
        <f t="shared" si="553"/>
        <v>0</v>
      </c>
      <c r="IE1618" s="55">
        <f t="shared" si="553"/>
        <v>0</v>
      </c>
      <c r="IF1618" s="55">
        <f t="shared" si="553"/>
        <v>0</v>
      </c>
      <c r="IG1618" s="55">
        <f t="shared" si="553"/>
        <v>0</v>
      </c>
      <c r="IH1618" s="55">
        <f t="shared" si="553"/>
        <v>0</v>
      </c>
      <c r="II1618" s="55">
        <f t="shared" si="553"/>
        <v>0</v>
      </c>
      <c r="IJ1618" s="55">
        <f t="shared" si="553"/>
        <v>0</v>
      </c>
      <c r="IK1618" s="55">
        <f t="shared" si="553"/>
        <v>0</v>
      </c>
      <c r="IL1618" s="55">
        <f t="shared" si="553"/>
        <v>0</v>
      </c>
      <c r="IM1618" s="55">
        <f t="shared" si="553"/>
        <v>0</v>
      </c>
      <c r="IN1618" s="55">
        <f t="shared" si="553"/>
        <v>0</v>
      </c>
      <c r="IO1618" s="55">
        <f t="shared" si="553"/>
        <v>0</v>
      </c>
      <c r="IP1618" s="55">
        <f t="shared" si="553"/>
        <v>0</v>
      </c>
      <c r="IQ1618" s="55">
        <f t="shared" si="553"/>
        <v>0</v>
      </c>
      <c r="IR1618" s="55">
        <f t="shared" si="553"/>
        <v>0</v>
      </c>
      <c r="IS1618" s="55">
        <f t="shared" si="553"/>
        <v>0</v>
      </c>
      <c r="IT1618" s="55">
        <f t="shared" si="553"/>
        <v>0</v>
      </c>
      <c r="IU1618" s="55">
        <f t="shared" si="553"/>
        <v>0</v>
      </c>
      <c r="IV1618" s="55">
        <f t="shared" si="553"/>
        <v>0</v>
      </c>
      <c r="IW1618" s="55">
        <f t="shared" si="553"/>
        <v>0</v>
      </c>
      <c r="IX1618" s="55">
        <f t="shared" si="553"/>
        <v>0</v>
      </c>
      <c r="IY1618" s="55">
        <f t="shared" si="553"/>
        <v>0</v>
      </c>
      <c r="IZ1618" s="55">
        <f t="shared" si="553"/>
        <v>0</v>
      </c>
      <c r="JA1618" s="55">
        <f t="shared" si="553"/>
        <v>0</v>
      </c>
      <c r="JB1618" s="55">
        <f t="shared" si="553"/>
        <v>0</v>
      </c>
      <c r="JC1618" s="55">
        <f t="shared" si="553"/>
        <v>0</v>
      </c>
      <c r="JD1618" s="55">
        <f t="shared" si="553"/>
        <v>0</v>
      </c>
      <c r="JE1618" s="55">
        <f t="shared" si="553"/>
        <v>0</v>
      </c>
      <c r="JF1618" s="55">
        <f t="shared" si="553"/>
        <v>0</v>
      </c>
      <c r="JG1618" s="55">
        <f t="shared" si="553"/>
        <v>0</v>
      </c>
      <c r="JH1618" s="55">
        <f t="shared" ref="JH1618:LS1618" si="554">+(JH1627+JH1608)*1.18*1.1</f>
        <v>0</v>
      </c>
      <c r="JI1618" s="55">
        <f t="shared" si="554"/>
        <v>0</v>
      </c>
      <c r="JJ1618" s="55">
        <f t="shared" si="554"/>
        <v>0</v>
      </c>
      <c r="JK1618" s="55">
        <f t="shared" si="554"/>
        <v>0</v>
      </c>
      <c r="JL1618" s="55">
        <f t="shared" si="554"/>
        <v>0</v>
      </c>
      <c r="JM1618" s="55">
        <f t="shared" si="554"/>
        <v>0</v>
      </c>
      <c r="JN1618" s="55">
        <f t="shared" si="554"/>
        <v>0</v>
      </c>
      <c r="JO1618" s="55">
        <f t="shared" si="554"/>
        <v>0</v>
      </c>
      <c r="JP1618" s="55">
        <f t="shared" si="554"/>
        <v>0</v>
      </c>
      <c r="JQ1618" s="55">
        <f t="shared" si="554"/>
        <v>0</v>
      </c>
      <c r="JR1618" s="55">
        <f t="shared" si="554"/>
        <v>0</v>
      </c>
      <c r="JS1618" s="55">
        <f t="shared" si="554"/>
        <v>0</v>
      </c>
      <c r="JT1618" s="55">
        <f t="shared" si="554"/>
        <v>0</v>
      </c>
      <c r="JU1618" s="55">
        <f t="shared" si="554"/>
        <v>0</v>
      </c>
      <c r="JV1618" s="55">
        <f t="shared" si="554"/>
        <v>0</v>
      </c>
      <c r="JW1618" s="55">
        <f t="shared" si="554"/>
        <v>0</v>
      </c>
      <c r="JX1618" s="55">
        <f t="shared" si="554"/>
        <v>0</v>
      </c>
      <c r="JY1618" s="55">
        <f t="shared" si="554"/>
        <v>0</v>
      </c>
      <c r="JZ1618" s="55">
        <f t="shared" si="554"/>
        <v>0</v>
      </c>
      <c r="KA1618" s="55">
        <f t="shared" si="554"/>
        <v>0</v>
      </c>
      <c r="KB1618" s="55">
        <f t="shared" si="554"/>
        <v>0</v>
      </c>
      <c r="KC1618" s="55">
        <f t="shared" si="554"/>
        <v>0</v>
      </c>
      <c r="KD1618" s="55">
        <f t="shared" si="554"/>
        <v>0</v>
      </c>
      <c r="KE1618" s="55">
        <f t="shared" si="554"/>
        <v>0</v>
      </c>
      <c r="KF1618" s="55">
        <f t="shared" si="554"/>
        <v>0</v>
      </c>
      <c r="KG1618" s="55">
        <f t="shared" si="554"/>
        <v>0</v>
      </c>
      <c r="KH1618" s="55">
        <f t="shared" si="554"/>
        <v>0</v>
      </c>
      <c r="KI1618" s="55">
        <f t="shared" si="554"/>
        <v>0</v>
      </c>
      <c r="KJ1618" s="55">
        <f t="shared" si="554"/>
        <v>0</v>
      </c>
      <c r="KK1618" s="55">
        <f t="shared" si="554"/>
        <v>0</v>
      </c>
      <c r="KL1618" s="55">
        <f t="shared" si="554"/>
        <v>0</v>
      </c>
      <c r="KM1618" s="55">
        <f t="shared" si="554"/>
        <v>0</v>
      </c>
      <c r="KN1618" s="55">
        <f t="shared" si="554"/>
        <v>0</v>
      </c>
      <c r="KO1618" s="55">
        <f t="shared" si="554"/>
        <v>0</v>
      </c>
      <c r="KP1618" s="55">
        <f t="shared" si="554"/>
        <v>0</v>
      </c>
      <c r="KQ1618" s="55">
        <f t="shared" si="554"/>
        <v>0</v>
      </c>
      <c r="KR1618" s="55">
        <f t="shared" si="554"/>
        <v>0</v>
      </c>
      <c r="KS1618" s="55">
        <f t="shared" si="554"/>
        <v>0</v>
      </c>
      <c r="KT1618" s="55">
        <f t="shared" si="554"/>
        <v>0</v>
      </c>
      <c r="KU1618" s="55">
        <f t="shared" si="554"/>
        <v>0</v>
      </c>
      <c r="KV1618" s="55">
        <f t="shared" si="554"/>
        <v>0</v>
      </c>
      <c r="KW1618" s="55">
        <f t="shared" si="554"/>
        <v>0</v>
      </c>
      <c r="KX1618" s="55">
        <f t="shared" si="554"/>
        <v>0</v>
      </c>
      <c r="KY1618" s="55">
        <f t="shared" si="554"/>
        <v>0</v>
      </c>
      <c r="KZ1618" s="55">
        <f t="shared" si="554"/>
        <v>0</v>
      </c>
      <c r="LA1618" s="55">
        <f t="shared" si="554"/>
        <v>0</v>
      </c>
      <c r="LB1618" s="55">
        <f t="shared" si="554"/>
        <v>0</v>
      </c>
      <c r="LC1618" s="55">
        <f t="shared" si="554"/>
        <v>0</v>
      </c>
      <c r="LD1618" s="55">
        <f t="shared" si="554"/>
        <v>0</v>
      </c>
      <c r="LE1618" s="55">
        <f t="shared" si="554"/>
        <v>0</v>
      </c>
      <c r="LF1618" s="55">
        <f t="shared" si="554"/>
        <v>0</v>
      </c>
      <c r="LG1618" s="55">
        <f t="shared" si="554"/>
        <v>0</v>
      </c>
      <c r="LH1618" s="55">
        <f t="shared" si="554"/>
        <v>0</v>
      </c>
      <c r="LI1618" s="55">
        <f t="shared" si="554"/>
        <v>0</v>
      </c>
      <c r="LJ1618" s="55">
        <f t="shared" si="554"/>
        <v>0</v>
      </c>
      <c r="LK1618" s="55">
        <f t="shared" si="554"/>
        <v>0</v>
      </c>
      <c r="LL1618" s="55">
        <f t="shared" si="554"/>
        <v>0</v>
      </c>
      <c r="LM1618" s="55">
        <f t="shared" si="554"/>
        <v>0</v>
      </c>
      <c r="LN1618" s="55">
        <f t="shared" si="554"/>
        <v>0</v>
      </c>
      <c r="LO1618" s="55">
        <f t="shared" si="554"/>
        <v>0</v>
      </c>
      <c r="LP1618" s="55">
        <f t="shared" si="554"/>
        <v>0</v>
      </c>
      <c r="LQ1618" s="55">
        <f t="shared" si="554"/>
        <v>0</v>
      </c>
      <c r="LR1618" s="55">
        <f t="shared" si="554"/>
        <v>0</v>
      </c>
      <c r="LS1618" s="55">
        <f t="shared" si="554"/>
        <v>0</v>
      </c>
      <c r="LT1618" s="55">
        <f t="shared" ref="LT1618:OE1618" si="555">+(LT1627+LT1608)*1.18*1.1</f>
        <v>0</v>
      </c>
      <c r="LU1618" s="55">
        <f t="shared" si="555"/>
        <v>0</v>
      </c>
      <c r="LV1618" s="55">
        <f t="shared" si="555"/>
        <v>0</v>
      </c>
      <c r="LW1618" s="55">
        <f t="shared" si="555"/>
        <v>0</v>
      </c>
      <c r="LX1618" s="55">
        <f t="shared" si="555"/>
        <v>0</v>
      </c>
      <c r="LY1618" s="55">
        <f t="shared" si="555"/>
        <v>0</v>
      </c>
      <c r="LZ1618" s="55">
        <f t="shared" si="555"/>
        <v>0</v>
      </c>
      <c r="MA1618" s="55">
        <f t="shared" si="555"/>
        <v>0</v>
      </c>
      <c r="MB1618" s="55">
        <f t="shared" si="555"/>
        <v>0</v>
      </c>
      <c r="MC1618" s="55">
        <f t="shared" si="555"/>
        <v>0</v>
      </c>
      <c r="MD1618" s="55">
        <f t="shared" si="555"/>
        <v>0</v>
      </c>
      <c r="ME1618" s="55">
        <f t="shared" si="555"/>
        <v>0</v>
      </c>
      <c r="MF1618" s="55">
        <f t="shared" si="555"/>
        <v>0</v>
      </c>
      <c r="MG1618" s="55">
        <f t="shared" si="555"/>
        <v>0</v>
      </c>
      <c r="MH1618" s="55">
        <f t="shared" si="555"/>
        <v>0</v>
      </c>
      <c r="MI1618" s="55">
        <f t="shared" si="555"/>
        <v>0</v>
      </c>
      <c r="MJ1618" s="55">
        <f t="shared" si="555"/>
        <v>0</v>
      </c>
      <c r="MK1618" s="55">
        <f t="shared" si="555"/>
        <v>0</v>
      </c>
      <c r="ML1618" s="55">
        <f t="shared" si="555"/>
        <v>0</v>
      </c>
      <c r="MM1618" s="55">
        <f t="shared" si="555"/>
        <v>0</v>
      </c>
      <c r="MN1618" s="55">
        <f t="shared" si="555"/>
        <v>0</v>
      </c>
      <c r="MO1618" s="55">
        <f t="shared" si="555"/>
        <v>0</v>
      </c>
      <c r="MP1618" s="55">
        <f t="shared" si="555"/>
        <v>0</v>
      </c>
      <c r="MQ1618" s="55">
        <f t="shared" si="555"/>
        <v>0</v>
      </c>
      <c r="MR1618" s="55">
        <f t="shared" si="555"/>
        <v>0</v>
      </c>
      <c r="MS1618" s="55">
        <f t="shared" si="555"/>
        <v>0</v>
      </c>
      <c r="MT1618" s="55">
        <f t="shared" si="555"/>
        <v>0</v>
      </c>
      <c r="MU1618" s="55">
        <f t="shared" si="555"/>
        <v>0</v>
      </c>
      <c r="MV1618" s="55">
        <f t="shared" si="555"/>
        <v>0</v>
      </c>
      <c r="MW1618" s="55">
        <f t="shared" si="555"/>
        <v>0</v>
      </c>
      <c r="MX1618" s="55">
        <f t="shared" si="555"/>
        <v>0</v>
      </c>
      <c r="MY1618" s="55">
        <f t="shared" si="555"/>
        <v>0</v>
      </c>
      <c r="MZ1618" s="55">
        <f t="shared" si="555"/>
        <v>0</v>
      </c>
      <c r="NA1618" s="55">
        <f t="shared" si="555"/>
        <v>0</v>
      </c>
      <c r="NB1618" s="55">
        <f t="shared" si="555"/>
        <v>0</v>
      </c>
      <c r="NC1618" s="55">
        <f t="shared" si="555"/>
        <v>0</v>
      </c>
      <c r="ND1618" s="55">
        <f t="shared" si="555"/>
        <v>0</v>
      </c>
      <c r="NE1618" s="55">
        <f t="shared" si="555"/>
        <v>0</v>
      </c>
      <c r="NF1618" s="55">
        <f t="shared" si="555"/>
        <v>0</v>
      </c>
      <c r="NG1618" s="55">
        <f t="shared" si="555"/>
        <v>0</v>
      </c>
      <c r="NH1618" s="55">
        <f t="shared" si="555"/>
        <v>0</v>
      </c>
      <c r="NI1618" s="55">
        <f t="shared" si="555"/>
        <v>0</v>
      </c>
      <c r="NJ1618" s="55">
        <f t="shared" si="555"/>
        <v>0</v>
      </c>
      <c r="NK1618" s="55">
        <f t="shared" si="555"/>
        <v>0</v>
      </c>
      <c r="NL1618" s="55">
        <f t="shared" si="555"/>
        <v>0</v>
      </c>
      <c r="NM1618" s="55">
        <f t="shared" si="555"/>
        <v>0</v>
      </c>
      <c r="NN1618" s="55">
        <f t="shared" si="555"/>
        <v>0</v>
      </c>
      <c r="NO1618" s="55">
        <f t="shared" si="555"/>
        <v>0</v>
      </c>
      <c r="NP1618" s="55">
        <f t="shared" si="555"/>
        <v>0</v>
      </c>
      <c r="NQ1618" s="55">
        <f t="shared" si="555"/>
        <v>0</v>
      </c>
      <c r="NR1618" s="55">
        <f t="shared" si="555"/>
        <v>0</v>
      </c>
      <c r="NS1618" s="55">
        <f t="shared" si="555"/>
        <v>0</v>
      </c>
      <c r="NT1618" s="55">
        <f t="shared" si="555"/>
        <v>0</v>
      </c>
      <c r="NU1618" s="55">
        <f t="shared" si="555"/>
        <v>0</v>
      </c>
      <c r="NV1618" s="55">
        <f t="shared" si="555"/>
        <v>0</v>
      </c>
      <c r="NW1618" s="55">
        <f t="shared" si="555"/>
        <v>0</v>
      </c>
      <c r="NX1618" s="55">
        <f t="shared" si="555"/>
        <v>0</v>
      </c>
      <c r="NY1618" s="55">
        <f t="shared" si="555"/>
        <v>0</v>
      </c>
      <c r="NZ1618" s="55">
        <f t="shared" si="555"/>
        <v>0</v>
      </c>
      <c r="OA1618" s="55">
        <f t="shared" si="555"/>
        <v>0</v>
      </c>
      <c r="OB1618" s="55">
        <f t="shared" si="555"/>
        <v>0</v>
      </c>
      <c r="OC1618" s="55">
        <f t="shared" si="555"/>
        <v>0</v>
      </c>
      <c r="OD1618" s="55">
        <f t="shared" si="555"/>
        <v>0</v>
      </c>
      <c r="OE1618" s="55">
        <f t="shared" si="555"/>
        <v>0</v>
      </c>
      <c r="OF1618" s="55">
        <f t="shared" ref="OF1618:QQ1618" si="556">+(OF1627+OF1608)*1.18*1.1</f>
        <v>0</v>
      </c>
      <c r="OG1618" s="55">
        <f t="shared" si="556"/>
        <v>0</v>
      </c>
      <c r="OH1618" s="55">
        <f t="shared" si="556"/>
        <v>0</v>
      </c>
      <c r="OI1618" s="55">
        <f t="shared" si="556"/>
        <v>0</v>
      </c>
      <c r="OJ1618" s="55">
        <f t="shared" si="556"/>
        <v>0</v>
      </c>
      <c r="OK1618" s="55">
        <f t="shared" si="556"/>
        <v>0</v>
      </c>
      <c r="OL1618" s="55">
        <f t="shared" si="556"/>
        <v>0</v>
      </c>
      <c r="OM1618" s="55">
        <f t="shared" si="556"/>
        <v>0</v>
      </c>
      <c r="ON1618" s="55">
        <f t="shared" si="556"/>
        <v>0</v>
      </c>
      <c r="OO1618" s="55">
        <f t="shared" si="556"/>
        <v>0</v>
      </c>
      <c r="OP1618" s="55">
        <f t="shared" si="556"/>
        <v>0</v>
      </c>
      <c r="OQ1618" s="55">
        <f t="shared" si="556"/>
        <v>0</v>
      </c>
      <c r="OR1618" s="55">
        <f t="shared" si="556"/>
        <v>0</v>
      </c>
      <c r="OS1618" s="55">
        <f t="shared" si="556"/>
        <v>0</v>
      </c>
      <c r="OT1618" s="55">
        <f t="shared" si="556"/>
        <v>0</v>
      </c>
      <c r="OU1618" s="55">
        <f t="shared" si="556"/>
        <v>0</v>
      </c>
      <c r="OV1618" s="55">
        <f t="shared" si="556"/>
        <v>0</v>
      </c>
      <c r="OW1618" s="55">
        <f t="shared" si="556"/>
        <v>0</v>
      </c>
      <c r="OX1618" s="55">
        <f t="shared" si="556"/>
        <v>0</v>
      </c>
      <c r="OY1618" s="55">
        <f t="shared" si="556"/>
        <v>0</v>
      </c>
      <c r="OZ1618" s="55">
        <f t="shared" si="556"/>
        <v>0</v>
      </c>
      <c r="PA1618" s="55">
        <f t="shared" si="556"/>
        <v>0</v>
      </c>
      <c r="PB1618" s="55">
        <f t="shared" si="556"/>
        <v>0</v>
      </c>
      <c r="PC1618" s="55">
        <f t="shared" si="556"/>
        <v>0</v>
      </c>
      <c r="PD1618" s="55">
        <f t="shared" si="556"/>
        <v>0</v>
      </c>
      <c r="PE1618" s="55">
        <f t="shared" si="556"/>
        <v>0</v>
      </c>
      <c r="PF1618" s="55">
        <f t="shared" si="556"/>
        <v>0</v>
      </c>
      <c r="PG1618" s="55">
        <f t="shared" si="556"/>
        <v>0</v>
      </c>
      <c r="PH1618" s="55">
        <f t="shared" si="556"/>
        <v>0</v>
      </c>
      <c r="PI1618" s="55">
        <f t="shared" si="556"/>
        <v>0</v>
      </c>
      <c r="PJ1618" s="55">
        <f t="shared" si="556"/>
        <v>0</v>
      </c>
      <c r="PK1618" s="55">
        <f t="shared" si="556"/>
        <v>0</v>
      </c>
      <c r="PL1618" s="55">
        <f t="shared" si="556"/>
        <v>0</v>
      </c>
      <c r="PM1618" s="55">
        <f t="shared" si="556"/>
        <v>0</v>
      </c>
      <c r="PN1618" s="55">
        <f t="shared" si="556"/>
        <v>0</v>
      </c>
      <c r="PO1618" s="55">
        <f t="shared" si="556"/>
        <v>0</v>
      </c>
      <c r="PP1618" s="55">
        <f t="shared" si="556"/>
        <v>0</v>
      </c>
      <c r="PQ1618" s="55">
        <f t="shared" si="556"/>
        <v>0</v>
      </c>
      <c r="PR1618" s="55">
        <f t="shared" si="556"/>
        <v>0</v>
      </c>
      <c r="PS1618" s="55">
        <f t="shared" si="556"/>
        <v>0</v>
      </c>
      <c r="PT1618" s="55">
        <f t="shared" si="556"/>
        <v>0</v>
      </c>
      <c r="PU1618" s="55">
        <f t="shared" si="556"/>
        <v>0</v>
      </c>
      <c r="PV1618" s="55">
        <f t="shared" si="556"/>
        <v>0</v>
      </c>
      <c r="PW1618" s="55">
        <f t="shared" si="556"/>
        <v>0</v>
      </c>
      <c r="PX1618" s="55">
        <f t="shared" si="556"/>
        <v>0</v>
      </c>
      <c r="PY1618" s="55">
        <f t="shared" si="556"/>
        <v>0</v>
      </c>
      <c r="PZ1618" s="55">
        <f t="shared" si="556"/>
        <v>0</v>
      </c>
      <c r="QA1618" s="55">
        <f t="shared" si="556"/>
        <v>0</v>
      </c>
      <c r="QB1618" s="55">
        <f t="shared" si="556"/>
        <v>0</v>
      </c>
      <c r="QC1618" s="55">
        <f t="shared" si="556"/>
        <v>0</v>
      </c>
      <c r="QD1618" s="55">
        <f t="shared" si="556"/>
        <v>0</v>
      </c>
      <c r="QE1618" s="55">
        <f t="shared" si="556"/>
        <v>0</v>
      </c>
      <c r="QF1618" s="55">
        <f t="shared" si="556"/>
        <v>0</v>
      </c>
      <c r="QG1618" s="55">
        <f t="shared" si="556"/>
        <v>0</v>
      </c>
      <c r="QH1618" s="55">
        <f t="shared" si="556"/>
        <v>0</v>
      </c>
      <c r="QI1618" s="55">
        <f t="shared" si="556"/>
        <v>0</v>
      </c>
      <c r="QJ1618" s="55">
        <f t="shared" si="556"/>
        <v>0</v>
      </c>
      <c r="QK1618" s="55">
        <f t="shared" si="556"/>
        <v>0</v>
      </c>
      <c r="QL1618" s="55">
        <f t="shared" si="556"/>
        <v>0</v>
      </c>
      <c r="QM1618" s="55">
        <f t="shared" si="556"/>
        <v>0</v>
      </c>
      <c r="QN1618" s="55">
        <f t="shared" si="556"/>
        <v>0</v>
      </c>
      <c r="QO1618" s="55">
        <f t="shared" si="556"/>
        <v>0</v>
      </c>
      <c r="QP1618" s="55">
        <f t="shared" si="556"/>
        <v>0</v>
      </c>
      <c r="QQ1618" s="55">
        <f t="shared" si="556"/>
        <v>0</v>
      </c>
      <c r="QR1618" s="55">
        <f t="shared" ref="QR1618:TC1618" si="557">+(QR1627+QR1608)*1.18*1.1</f>
        <v>0</v>
      </c>
      <c r="QS1618" s="55">
        <f t="shared" si="557"/>
        <v>0</v>
      </c>
      <c r="QT1618" s="55">
        <f t="shared" si="557"/>
        <v>0</v>
      </c>
      <c r="QU1618" s="55">
        <f t="shared" si="557"/>
        <v>0</v>
      </c>
      <c r="QV1618" s="55">
        <f t="shared" si="557"/>
        <v>0</v>
      </c>
      <c r="QW1618" s="55">
        <f t="shared" si="557"/>
        <v>0</v>
      </c>
      <c r="QX1618" s="55">
        <f t="shared" si="557"/>
        <v>0</v>
      </c>
      <c r="QY1618" s="55">
        <f t="shared" si="557"/>
        <v>0</v>
      </c>
      <c r="QZ1618" s="55">
        <f t="shared" si="557"/>
        <v>0</v>
      </c>
      <c r="RA1618" s="55">
        <f t="shared" si="557"/>
        <v>0</v>
      </c>
      <c r="RB1618" s="55">
        <f t="shared" si="557"/>
        <v>0</v>
      </c>
      <c r="RC1618" s="55">
        <f t="shared" si="557"/>
        <v>0</v>
      </c>
      <c r="RD1618" s="55">
        <f t="shared" si="557"/>
        <v>0</v>
      </c>
      <c r="RE1618" s="55">
        <f t="shared" si="557"/>
        <v>0</v>
      </c>
      <c r="RF1618" s="55">
        <f t="shared" si="557"/>
        <v>0</v>
      </c>
      <c r="RG1618" s="55">
        <f t="shared" si="557"/>
        <v>0</v>
      </c>
      <c r="RH1618" s="55">
        <f t="shared" si="557"/>
        <v>0</v>
      </c>
      <c r="RI1618" s="55">
        <f t="shared" si="557"/>
        <v>0</v>
      </c>
      <c r="RJ1618" s="55">
        <f t="shared" si="557"/>
        <v>0</v>
      </c>
      <c r="RK1618" s="55">
        <f t="shared" si="557"/>
        <v>0</v>
      </c>
      <c r="RL1618" s="55">
        <f t="shared" si="557"/>
        <v>0</v>
      </c>
      <c r="RM1618" s="55">
        <f t="shared" si="557"/>
        <v>0</v>
      </c>
      <c r="RN1618" s="55">
        <f t="shared" si="557"/>
        <v>0</v>
      </c>
      <c r="RO1618" s="55">
        <f t="shared" si="557"/>
        <v>0</v>
      </c>
      <c r="RP1618" s="55">
        <f t="shared" si="557"/>
        <v>0</v>
      </c>
      <c r="RQ1618" s="55">
        <f t="shared" si="557"/>
        <v>0</v>
      </c>
      <c r="RR1618" s="55">
        <f t="shared" si="557"/>
        <v>0</v>
      </c>
      <c r="RS1618" s="55">
        <f t="shared" si="557"/>
        <v>0</v>
      </c>
      <c r="RT1618" s="55">
        <f t="shared" si="557"/>
        <v>0</v>
      </c>
      <c r="RU1618" s="55">
        <f t="shared" si="557"/>
        <v>0</v>
      </c>
      <c r="RV1618" s="55">
        <f t="shared" si="557"/>
        <v>0</v>
      </c>
      <c r="RW1618" s="55">
        <f t="shared" si="557"/>
        <v>0</v>
      </c>
      <c r="RX1618" s="55">
        <f t="shared" si="557"/>
        <v>0</v>
      </c>
      <c r="RY1618" s="55">
        <f t="shared" si="557"/>
        <v>0</v>
      </c>
      <c r="RZ1618" s="55">
        <f t="shared" si="557"/>
        <v>0</v>
      </c>
      <c r="SA1618" s="55">
        <f t="shared" si="557"/>
        <v>0</v>
      </c>
      <c r="SB1618" s="55">
        <f t="shared" si="557"/>
        <v>0</v>
      </c>
      <c r="SC1618" s="55">
        <f t="shared" si="557"/>
        <v>0</v>
      </c>
      <c r="SD1618" s="55">
        <f t="shared" si="557"/>
        <v>0</v>
      </c>
      <c r="SE1618" s="55">
        <f t="shared" si="557"/>
        <v>0</v>
      </c>
      <c r="SF1618" s="55">
        <f t="shared" si="557"/>
        <v>0</v>
      </c>
      <c r="SG1618" s="55">
        <f t="shared" si="557"/>
        <v>0</v>
      </c>
      <c r="SH1618" s="55">
        <f t="shared" si="557"/>
        <v>0</v>
      </c>
      <c r="SI1618" s="55">
        <f t="shared" si="557"/>
        <v>0</v>
      </c>
      <c r="SJ1618" s="55">
        <f t="shared" si="557"/>
        <v>0</v>
      </c>
      <c r="SK1618" s="55">
        <f t="shared" si="557"/>
        <v>0</v>
      </c>
      <c r="SL1618" s="55">
        <f t="shared" si="557"/>
        <v>0</v>
      </c>
      <c r="SM1618" s="55">
        <f t="shared" si="557"/>
        <v>0</v>
      </c>
      <c r="SN1618" s="55">
        <f t="shared" si="557"/>
        <v>0</v>
      </c>
      <c r="SO1618" s="55">
        <f t="shared" si="557"/>
        <v>0</v>
      </c>
      <c r="SP1618" s="55">
        <f t="shared" si="557"/>
        <v>0</v>
      </c>
      <c r="SQ1618" s="55">
        <f t="shared" si="557"/>
        <v>0</v>
      </c>
      <c r="SR1618" s="55">
        <f t="shared" si="557"/>
        <v>0</v>
      </c>
      <c r="SS1618" s="55">
        <f t="shared" si="557"/>
        <v>0</v>
      </c>
      <c r="ST1618" s="55">
        <f t="shared" si="557"/>
        <v>0</v>
      </c>
      <c r="SU1618" s="55">
        <f t="shared" si="557"/>
        <v>0</v>
      </c>
      <c r="SV1618" s="55">
        <f t="shared" si="557"/>
        <v>0</v>
      </c>
      <c r="SW1618" s="55">
        <f t="shared" si="557"/>
        <v>0</v>
      </c>
      <c r="SX1618" s="55">
        <f t="shared" si="557"/>
        <v>0</v>
      </c>
      <c r="SY1618" s="55">
        <f t="shared" si="557"/>
        <v>0</v>
      </c>
      <c r="SZ1618" s="55">
        <f t="shared" si="557"/>
        <v>0</v>
      </c>
      <c r="TA1618" s="55">
        <f t="shared" si="557"/>
        <v>0</v>
      </c>
      <c r="TB1618" s="55">
        <f t="shared" si="557"/>
        <v>0</v>
      </c>
      <c r="TC1618" s="55">
        <f t="shared" si="557"/>
        <v>0</v>
      </c>
      <c r="TD1618" s="55">
        <f t="shared" ref="TD1618:VO1618" si="558">+(TD1627+TD1608)*1.18*1.1</f>
        <v>0</v>
      </c>
      <c r="TE1618" s="55">
        <f t="shared" si="558"/>
        <v>0</v>
      </c>
      <c r="TF1618" s="55">
        <f t="shared" si="558"/>
        <v>0</v>
      </c>
      <c r="TG1618" s="55">
        <f t="shared" si="558"/>
        <v>0</v>
      </c>
      <c r="TH1618" s="55">
        <f t="shared" si="558"/>
        <v>0</v>
      </c>
      <c r="TI1618" s="55">
        <f t="shared" si="558"/>
        <v>0</v>
      </c>
      <c r="TJ1618" s="55">
        <f t="shared" si="558"/>
        <v>0</v>
      </c>
      <c r="TK1618" s="55">
        <f t="shared" si="558"/>
        <v>0</v>
      </c>
      <c r="TL1618" s="55">
        <f t="shared" si="558"/>
        <v>0</v>
      </c>
      <c r="TM1618" s="55">
        <f t="shared" si="558"/>
        <v>0</v>
      </c>
      <c r="TN1618" s="55">
        <f t="shared" si="558"/>
        <v>0</v>
      </c>
      <c r="TO1618" s="55">
        <f t="shared" si="558"/>
        <v>0</v>
      </c>
      <c r="TP1618" s="55">
        <f t="shared" si="558"/>
        <v>0</v>
      </c>
      <c r="TQ1618" s="55">
        <f t="shared" si="558"/>
        <v>0</v>
      </c>
      <c r="TR1618" s="55">
        <f t="shared" si="558"/>
        <v>0</v>
      </c>
      <c r="TS1618" s="55">
        <f t="shared" si="558"/>
        <v>0</v>
      </c>
      <c r="TT1618" s="55">
        <f t="shared" si="558"/>
        <v>0</v>
      </c>
      <c r="TU1618" s="55">
        <f t="shared" si="558"/>
        <v>0</v>
      </c>
      <c r="TV1618" s="55">
        <f t="shared" si="558"/>
        <v>0</v>
      </c>
      <c r="TW1618" s="55">
        <f t="shared" si="558"/>
        <v>0</v>
      </c>
      <c r="TX1618" s="55">
        <f t="shared" si="558"/>
        <v>0</v>
      </c>
      <c r="TY1618" s="55">
        <f t="shared" si="558"/>
        <v>0</v>
      </c>
      <c r="TZ1618" s="55">
        <f t="shared" si="558"/>
        <v>0</v>
      </c>
      <c r="UA1618" s="55">
        <f t="shared" si="558"/>
        <v>0</v>
      </c>
      <c r="UB1618" s="55">
        <f t="shared" si="558"/>
        <v>0</v>
      </c>
      <c r="UC1618" s="55">
        <f t="shared" si="558"/>
        <v>0</v>
      </c>
      <c r="UD1618" s="55">
        <f t="shared" si="558"/>
        <v>0</v>
      </c>
      <c r="UE1618" s="55">
        <f t="shared" si="558"/>
        <v>0</v>
      </c>
      <c r="UF1618" s="55">
        <f t="shared" si="558"/>
        <v>0</v>
      </c>
      <c r="UG1618" s="55">
        <f t="shared" si="558"/>
        <v>0</v>
      </c>
      <c r="UH1618" s="55">
        <f t="shared" si="558"/>
        <v>0</v>
      </c>
      <c r="UI1618" s="55">
        <f t="shared" si="558"/>
        <v>0</v>
      </c>
      <c r="UJ1618" s="55">
        <f t="shared" si="558"/>
        <v>0</v>
      </c>
      <c r="UK1618" s="55">
        <f t="shared" si="558"/>
        <v>0</v>
      </c>
      <c r="UL1618" s="55">
        <f t="shared" si="558"/>
        <v>0</v>
      </c>
      <c r="UM1618" s="55">
        <f t="shared" si="558"/>
        <v>0</v>
      </c>
      <c r="UN1618" s="55">
        <f t="shared" si="558"/>
        <v>0</v>
      </c>
      <c r="UO1618" s="55">
        <f t="shared" si="558"/>
        <v>0</v>
      </c>
      <c r="UP1618" s="55">
        <f t="shared" si="558"/>
        <v>0</v>
      </c>
      <c r="UQ1618" s="55">
        <f t="shared" si="558"/>
        <v>0</v>
      </c>
      <c r="UR1618" s="55">
        <f t="shared" si="558"/>
        <v>0</v>
      </c>
      <c r="US1618" s="55">
        <f t="shared" si="558"/>
        <v>0</v>
      </c>
      <c r="UT1618" s="55">
        <f t="shared" si="558"/>
        <v>0</v>
      </c>
      <c r="UU1618" s="55">
        <f t="shared" si="558"/>
        <v>0</v>
      </c>
      <c r="UV1618" s="55">
        <f t="shared" si="558"/>
        <v>0</v>
      </c>
      <c r="UW1618" s="55">
        <f t="shared" si="558"/>
        <v>0</v>
      </c>
      <c r="UX1618" s="55">
        <f t="shared" si="558"/>
        <v>0</v>
      </c>
      <c r="UY1618" s="55">
        <f t="shared" si="558"/>
        <v>0</v>
      </c>
      <c r="UZ1618" s="55">
        <f t="shared" si="558"/>
        <v>0</v>
      </c>
      <c r="VA1618" s="55">
        <f t="shared" si="558"/>
        <v>0</v>
      </c>
      <c r="VB1618" s="55">
        <f t="shared" si="558"/>
        <v>0</v>
      </c>
      <c r="VC1618" s="55">
        <f t="shared" si="558"/>
        <v>0</v>
      </c>
      <c r="VD1618" s="55">
        <f t="shared" si="558"/>
        <v>0</v>
      </c>
      <c r="VE1618" s="55">
        <f t="shared" si="558"/>
        <v>0</v>
      </c>
      <c r="VF1618" s="55">
        <f t="shared" si="558"/>
        <v>0</v>
      </c>
      <c r="VG1618" s="55">
        <f t="shared" si="558"/>
        <v>0</v>
      </c>
      <c r="VH1618" s="55">
        <f t="shared" si="558"/>
        <v>0</v>
      </c>
      <c r="VI1618" s="55">
        <f t="shared" si="558"/>
        <v>0</v>
      </c>
      <c r="VJ1618" s="55">
        <f t="shared" si="558"/>
        <v>0</v>
      </c>
      <c r="VK1618" s="55">
        <f t="shared" si="558"/>
        <v>0</v>
      </c>
      <c r="VL1618" s="55">
        <f t="shared" si="558"/>
        <v>0</v>
      </c>
      <c r="VM1618" s="55">
        <f t="shared" si="558"/>
        <v>0</v>
      </c>
      <c r="VN1618" s="55">
        <f t="shared" si="558"/>
        <v>0</v>
      </c>
      <c r="VO1618" s="55">
        <f t="shared" si="558"/>
        <v>0</v>
      </c>
      <c r="VP1618" s="55">
        <f t="shared" ref="VP1618:YA1618" si="559">+(VP1627+VP1608)*1.18*1.1</f>
        <v>0</v>
      </c>
      <c r="VQ1618" s="55">
        <f t="shared" si="559"/>
        <v>0</v>
      </c>
      <c r="VR1618" s="55">
        <f t="shared" si="559"/>
        <v>0</v>
      </c>
      <c r="VS1618" s="55">
        <f t="shared" si="559"/>
        <v>0</v>
      </c>
      <c r="VT1618" s="55">
        <f t="shared" si="559"/>
        <v>0</v>
      </c>
      <c r="VU1618" s="55">
        <f t="shared" si="559"/>
        <v>0</v>
      </c>
      <c r="VV1618" s="55">
        <f t="shared" si="559"/>
        <v>0</v>
      </c>
      <c r="VW1618" s="55">
        <f t="shared" si="559"/>
        <v>0</v>
      </c>
      <c r="VX1618" s="55">
        <f t="shared" si="559"/>
        <v>0</v>
      </c>
      <c r="VY1618" s="55">
        <f t="shared" si="559"/>
        <v>0</v>
      </c>
      <c r="VZ1618" s="55">
        <f t="shared" si="559"/>
        <v>0</v>
      </c>
      <c r="WA1618" s="55">
        <f t="shared" si="559"/>
        <v>0</v>
      </c>
      <c r="WB1618" s="55">
        <f t="shared" si="559"/>
        <v>0</v>
      </c>
      <c r="WC1618" s="55">
        <f t="shared" si="559"/>
        <v>0</v>
      </c>
      <c r="WD1618" s="55">
        <f t="shared" si="559"/>
        <v>0</v>
      </c>
      <c r="WE1618" s="55">
        <f t="shared" si="559"/>
        <v>0</v>
      </c>
      <c r="WF1618" s="55">
        <f t="shared" si="559"/>
        <v>0</v>
      </c>
      <c r="WG1618" s="55">
        <f t="shared" si="559"/>
        <v>0</v>
      </c>
      <c r="WH1618" s="55">
        <f t="shared" si="559"/>
        <v>0</v>
      </c>
      <c r="WI1618" s="55">
        <f t="shared" si="559"/>
        <v>0</v>
      </c>
      <c r="WJ1618" s="55">
        <f t="shared" si="559"/>
        <v>0</v>
      </c>
      <c r="WK1618" s="55">
        <f t="shared" si="559"/>
        <v>0</v>
      </c>
      <c r="WL1618" s="55">
        <f t="shared" si="559"/>
        <v>0</v>
      </c>
      <c r="WM1618" s="55">
        <f t="shared" si="559"/>
        <v>0</v>
      </c>
      <c r="WN1618" s="55">
        <f t="shared" si="559"/>
        <v>0</v>
      </c>
      <c r="WO1618" s="55">
        <f t="shared" si="559"/>
        <v>0</v>
      </c>
      <c r="WP1618" s="55">
        <f t="shared" si="559"/>
        <v>0</v>
      </c>
      <c r="WQ1618" s="55">
        <f t="shared" si="559"/>
        <v>0</v>
      </c>
      <c r="WR1618" s="55">
        <f t="shared" si="559"/>
        <v>0</v>
      </c>
      <c r="WS1618" s="55">
        <f t="shared" si="559"/>
        <v>0</v>
      </c>
      <c r="WT1618" s="55">
        <f t="shared" si="559"/>
        <v>0</v>
      </c>
      <c r="WU1618" s="55">
        <f t="shared" si="559"/>
        <v>0</v>
      </c>
      <c r="WV1618" s="55">
        <f t="shared" si="559"/>
        <v>0</v>
      </c>
      <c r="WW1618" s="55">
        <f t="shared" si="559"/>
        <v>0</v>
      </c>
      <c r="WX1618" s="55">
        <f t="shared" si="559"/>
        <v>0</v>
      </c>
      <c r="WY1618" s="55">
        <f t="shared" si="559"/>
        <v>0</v>
      </c>
      <c r="WZ1618" s="55">
        <f t="shared" si="559"/>
        <v>0</v>
      </c>
      <c r="XA1618" s="55">
        <f t="shared" si="559"/>
        <v>0</v>
      </c>
      <c r="XB1618" s="55">
        <f t="shared" si="559"/>
        <v>0</v>
      </c>
      <c r="XC1618" s="55">
        <f t="shared" si="559"/>
        <v>0</v>
      </c>
      <c r="XD1618" s="55">
        <f t="shared" si="559"/>
        <v>0</v>
      </c>
      <c r="XE1618" s="55">
        <f t="shared" si="559"/>
        <v>0</v>
      </c>
      <c r="XF1618" s="55">
        <f t="shared" si="559"/>
        <v>0</v>
      </c>
      <c r="XG1618" s="55">
        <f t="shared" si="559"/>
        <v>0</v>
      </c>
      <c r="XH1618" s="55">
        <f t="shared" si="559"/>
        <v>0</v>
      </c>
      <c r="XI1618" s="55">
        <f t="shared" si="559"/>
        <v>0</v>
      </c>
      <c r="XJ1618" s="55">
        <f t="shared" si="559"/>
        <v>0</v>
      </c>
      <c r="XK1618" s="55">
        <f t="shared" si="559"/>
        <v>0</v>
      </c>
      <c r="XL1618" s="55">
        <f t="shared" si="559"/>
        <v>0</v>
      </c>
      <c r="XM1618" s="55">
        <f t="shared" si="559"/>
        <v>0</v>
      </c>
      <c r="XN1618" s="55">
        <f t="shared" si="559"/>
        <v>0</v>
      </c>
      <c r="XO1618" s="55">
        <f t="shared" si="559"/>
        <v>0</v>
      </c>
      <c r="XP1618" s="55">
        <f t="shared" si="559"/>
        <v>0</v>
      </c>
      <c r="XQ1618" s="55">
        <f t="shared" si="559"/>
        <v>0</v>
      </c>
      <c r="XR1618" s="55">
        <f t="shared" si="559"/>
        <v>0</v>
      </c>
      <c r="XS1618" s="55">
        <f t="shared" si="559"/>
        <v>0</v>
      </c>
      <c r="XT1618" s="55">
        <f t="shared" si="559"/>
        <v>0</v>
      </c>
      <c r="XU1618" s="55">
        <f t="shared" si="559"/>
        <v>0</v>
      </c>
      <c r="XV1618" s="55">
        <f t="shared" si="559"/>
        <v>0</v>
      </c>
      <c r="XW1618" s="55">
        <f t="shared" si="559"/>
        <v>0</v>
      </c>
      <c r="XX1618" s="55">
        <f t="shared" si="559"/>
        <v>0</v>
      </c>
      <c r="XY1618" s="55">
        <f t="shared" si="559"/>
        <v>0</v>
      </c>
      <c r="XZ1618" s="55">
        <f t="shared" si="559"/>
        <v>0</v>
      </c>
      <c r="YA1618" s="55">
        <f t="shared" si="559"/>
        <v>0</v>
      </c>
      <c r="YB1618" s="55">
        <f t="shared" ref="YB1618:AAM1618" si="560">+(YB1627+YB1608)*1.18*1.1</f>
        <v>0</v>
      </c>
      <c r="YC1618" s="55">
        <f t="shared" si="560"/>
        <v>0</v>
      </c>
      <c r="YD1618" s="55">
        <f t="shared" si="560"/>
        <v>0</v>
      </c>
      <c r="YE1618" s="55">
        <f t="shared" si="560"/>
        <v>0</v>
      </c>
      <c r="YF1618" s="55">
        <f t="shared" si="560"/>
        <v>0</v>
      </c>
      <c r="YG1618" s="55">
        <f t="shared" si="560"/>
        <v>0</v>
      </c>
      <c r="YH1618" s="55">
        <f t="shared" si="560"/>
        <v>0</v>
      </c>
      <c r="YI1618" s="55">
        <f t="shared" si="560"/>
        <v>0</v>
      </c>
      <c r="YJ1618" s="55">
        <f t="shared" si="560"/>
        <v>0</v>
      </c>
      <c r="YK1618" s="55">
        <f t="shared" si="560"/>
        <v>0</v>
      </c>
      <c r="YL1618" s="55">
        <f t="shared" si="560"/>
        <v>0</v>
      </c>
      <c r="YM1618" s="55">
        <f t="shared" si="560"/>
        <v>0</v>
      </c>
      <c r="YN1618" s="55">
        <f t="shared" si="560"/>
        <v>0</v>
      </c>
      <c r="YO1618" s="55">
        <f t="shared" si="560"/>
        <v>0</v>
      </c>
      <c r="YP1618" s="55">
        <f t="shared" si="560"/>
        <v>0</v>
      </c>
      <c r="YQ1618" s="55">
        <f t="shared" si="560"/>
        <v>0</v>
      </c>
      <c r="YR1618" s="55">
        <f t="shared" si="560"/>
        <v>0</v>
      </c>
      <c r="YS1618" s="55">
        <f t="shared" si="560"/>
        <v>0</v>
      </c>
      <c r="YT1618" s="55">
        <f t="shared" si="560"/>
        <v>0</v>
      </c>
      <c r="YU1618" s="55">
        <f t="shared" si="560"/>
        <v>0</v>
      </c>
      <c r="YV1618" s="55">
        <f t="shared" si="560"/>
        <v>0</v>
      </c>
      <c r="YW1618" s="55">
        <f t="shared" si="560"/>
        <v>0</v>
      </c>
      <c r="YX1618" s="55">
        <f t="shared" si="560"/>
        <v>0</v>
      </c>
      <c r="YY1618" s="55">
        <f t="shared" si="560"/>
        <v>0</v>
      </c>
      <c r="YZ1618" s="55">
        <f t="shared" si="560"/>
        <v>0</v>
      </c>
      <c r="ZA1618" s="55">
        <f t="shared" si="560"/>
        <v>0</v>
      </c>
      <c r="ZB1618" s="55">
        <f t="shared" si="560"/>
        <v>0</v>
      </c>
      <c r="ZC1618" s="55">
        <f t="shared" si="560"/>
        <v>0</v>
      </c>
      <c r="ZD1618" s="55">
        <f t="shared" si="560"/>
        <v>0</v>
      </c>
      <c r="ZE1618" s="55">
        <f t="shared" si="560"/>
        <v>0</v>
      </c>
      <c r="ZF1618" s="55">
        <f t="shared" si="560"/>
        <v>0</v>
      </c>
      <c r="ZG1618" s="55">
        <f t="shared" si="560"/>
        <v>0</v>
      </c>
      <c r="ZH1618" s="55">
        <f t="shared" si="560"/>
        <v>0</v>
      </c>
      <c r="ZI1618" s="55">
        <f t="shared" si="560"/>
        <v>0</v>
      </c>
      <c r="ZJ1618" s="55">
        <f t="shared" si="560"/>
        <v>0</v>
      </c>
      <c r="ZK1618" s="55">
        <f t="shared" si="560"/>
        <v>0</v>
      </c>
      <c r="ZL1618" s="55">
        <f t="shared" si="560"/>
        <v>0</v>
      </c>
      <c r="ZM1618" s="55">
        <f t="shared" si="560"/>
        <v>0</v>
      </c>
      <c r="ZN1618" s="55">
        <f t="shared" si="560"/>
        <v>0</v>
      </c>
      <c r="ZO1618" s="55">
        <f t="shared" si="560"/>
        <v>0</v>
      </c>
      <c r="ZP1618" s="55">
        <f t="shared" si="560"/>
        <v>0</v>
      </c>
      <c r="ZQ1618" s="55">
        <f t="shared" si="560"/>
        <v>0</v>
      </c>
      <c r="ZR1618" s="55">
        <f t="shared" si="560"/>
        <v>0</v>
      </c>
      <c r="ZS1618" s="55">
        <f t="shared" si="560"/>
        <v>0</v>
      </c>
      <c r="ZT1618" s="55">
        <f t="shared" si="560"/>
        <v>0</v>
      </c>
      <c r="ZU1618" s="55">
        <f t="shared" si="560"/>
        <v>0</v>
      </c>
      <c r="ZV1618" s="55">
        <f t="shared" si="560"/>
        <v>0</v>
      </c>
      <c r="ZW1618" s="55">
        <f t="shared" si="560"/>
        <v>0</v>
      </c>
      <c r="ZX1618" s="55">
        <f t="shared" si="560"/>
        <v>0</v>
      </c>
      <c r="ZY1618" s="55">
        <f t="shared" si="560"/>
        <v>0</v>
      </c>
      <c r="ZZ1618" s="55">
        <f t="shared" si="560"/>
        <v>0</v>
      </c>
      <c r="AAA1618" s="55">
        <f t="shared" si="560"/>
        <v>0</v>
      </c>
      <c r="AAB1618" s="55">
        <f t="shared" si="560"/>
        <v>0</v>
      </c>
      <c r="AAC1618" s="55">
        <f t="shared" si="560"/>
        <v>0</v>
      </c>
      <c r="AAD1618" s="55">
        <f t="shared" si="560"/>
        <v>0</v>
      </c>
      <c r="AAE1618" s="55">
        <f t="shared" si="560"/>
        <v>0</v>
      </c>
      <c r="AAF1618" s="55">
        <f t="shared" si="560"/>
        <v>0</v>
      </c>
      <c r="AAG1618" s="55">
        <f t="shared" si="560"/>
        <v>0</v>
      </c>
      <c r="AAH1618" s="55">
        <f t="shared" si="560"/>
        <v>0</v>
      </c>
      <c r="AAI1618" s="55">
        <f t="shared" si="560"/>
        <v>0</v>
      </c>
      <c r="AAJ1618" s="55">
        <f t="shared" si="560"/>
        <v>0</v>
      </c>
      <c r="AAK1618" s="55">
        <f t="shared" si="560"/>
        <v>0</v>
      </c>
      <c r="AAL1618" s="55">
        <f t="shared" si="560"/>
        <v>0</v>
      </c>
      <c r="AAM1618" s="55">
        <f t="shared" si="560"/>
        <v>0</v>
      </c>
      <c r="AAN1618" s="55">
        <f t="shared" ref="AAN1618:ACY1618" si="561">+(AAN1627+AAN1608)*1.18*1.1</f>
        <v>0</v>
      </c>
      <c r="AAO1618" s="55">
        <f t="shared" si="561"/>
        <v>0</v>
      </c>
      <c r="AAP1618" s="55">
        <f t="shared" si="561"/>
        <v>0</v>
      </c>
      <c r="AAQ1618" s="55">
        <f t="shared" si="561"/>
        <v>0</v>
      </c>
      <c r="AAR1618" s="55">
        <f t="shared" si="561"/>
        <v>0</v>
      </c>
      <c r="AAS1618" s="55">
        <f t="shared" si="561"/>
        <v>0</v>
      </c>
      <c r="AAT1618" s="55">
        <f t="shared" si="561"/>
        <v>0</v>
      </c>
      <c r="AAU1618" s="55">
        <f t="shared" si="561"/>
        <v>0</v>
      </c>
      <c r="AAV1618" s="55">
        <f t="shared" si="561"/>
        <v>0</v>
      </c>
      <c r="AAW1618" s="55">
        <f t="shared" si="561"/>
        <v>0</v>
      </c>
      <c r="AAX1618" s="55">
        <f t="shared" si="561"/>
        <v>0</v>
      </c>
      <c r="AAY1618" s="55">
        <f t="shared" si="561"/>
        <v>0</v>
      </c>
      <c r="AAZ1618" s="55">
        <f t="shared" si="561"/>
        <v>0</v>
      </c>
      <c r="ABA1618" s="55">
        <f t="shared" si="561"/>
        <v>0</v>
      </c>
      <c r="ABB1618" s="55">
        <f t="shared" si="561"/>
        <v>0</v>
      </c>
      <c r="ABC1618" s="55">
        <f t="shared" si="561"/>
        <v>0</v>
      </c>
      <c r="ABD1618" s="55">
        <f t="shared" si="561"/>
        <v>0</v>
      </c>
      <c r="ABE1618" s="55">
        <f t="shared" si="561"/>
        <v>0</v>
      </c>
      <c r="ABF1618" s="55">
        <f t="shared" si="561"/>
        <v>0</v>
      </c>
      <c r="ABG1618" s="55">
        <f t="shared" si="561"/>
        <v>0</v>
      </c>
      <c r="ABH1618" s="55">
        <f t="shared" si="561"/>
        <v>0</v>
      </c>
      <c r="ABI1618" s="55">
        <f t="shared" si="561"/>
        <v>0</v>
      </c>
      <c r="ABJ1618" s="55">
        <f t="shared" si="561"/>
        <v>0</v>
      </c>
      <c r="ABK1618" s="55">
        <f t="shared" si="561"/>
        <v>0</v>
      </c>
      <c r="ABL1618" s="55">
        <f t="shared" si="561"/>
        <v>0</v>
      </c>
      <c r="ABM1618" s="55">
        <f t="shared" si="561"/>
        <v>0</v>
      </c>
      <c r="ABN1618" s="55">
        <f t="shared" si="561"/>
        <v>0</v>
      </c>
      <c r="ABO1618" s="55">
        <f t="shared" si="561"/>
        <v>0</v>
      </c>
      <c r="ABP1618" s="55">
        <f t="shared" si="561"/>
        <v>0</v>
      </c>
      <c r="ABQ1618" s="55">
        <f t="shared" si="561"/>
        <v>0</v>
      </c>
      <c r="ABR1618" s="55">
        <f t="shared" si="561"/>
        <v>0</v>
      </c>
      <c r="ABS1618" s="55">
        <f t="shared" si="561"/>
        <v>0</v>
      </c>
      <c r="ABT1618" s="55">
        <f t="shared" si="561"/>
        <v>0</v>
      </c>
      <c r="ABU1618" s="55">
        <f t="shared" si="561"/>
        <v>0</v>
      </c>
      <c r="ABV1618" s="55">
        <f t="shared" si="561"/>
        <v>0</v>
      </c>
      <c r="ABW1618" s="55">
        <f t="shared" si="561"/>
        <v>0</v>
      </c>
      <c r="ABX1618" s="55">
        <f t="shared" si="561"/>
        <v>0</v>
      </c>
      <c r="ABY1618" s="55">
        <f t="shared" si="561"/>
        <v>0</v>
      </c>
      <c r="ABZ1618" s="55">
        <f t="shared" si="561"/>
        <v>0</v>
      </c>
      <c r="ACA1618" s="55">
        <f t="shared" si="561"/>
        <v>0</v>
      </c>
      <c r="ACB1618" s="55">
        <f t="shared" si="561"/>
        <v>0</v>
      </c>
      <c r="ACC1618" s="55">
        <f t="shared" si="561"/>
        <v>0</v>
      </c>
      <c r="ACD1618" s="55">
        <f t="shared" si="561"/>
        <v>0</v>
      </c>
      <c r="ACE1618" s="55">
        <f t="shared" si="561"/>
        <v>0</v>
      </c>
      <c r="ACF1618" s="55">
        <f t="shared" si="561"/>
        <v>0</v>
      </c>
      <c r="ACG1618" s="55">
        <f t="shared" si="561"/>
        <v>0</v>
      </c>
      <c r="ACH1618" s="55">
        <f t="shared" si="561"/>
        <v>0</v>
      </c>
      <c r="ACI1618" s="55">
        <f t="shared" si="561"/>
        <v>0</v>
      </c>
      <c r="ACJ1618" s="55">
        <f t="shared" si="561"/>
        <v>0</v>
      </c>
      <c r="ACK1618" s="55">
        <f t="shared" si="561"/>
        <v>0</v>
      </c>
      <c r="ACL1618" s="55">
        <f t="shared" si="561"/>
        <v>0</v>
      </c>
      <c r="ACM1618" s="55">
        <f t="shared" si="561"/>
        <v>0</v>
      </c>
      <c r="ACN1618" s="55">
        <f t="shared" si="561"/>
        <v>0</v>
      </c>
      <c r="ACO1618" s="55">
        <f t="shared" si="561"/>
        <v>0</v>
      </c>
      <c r="ACP1618" s="55">
        <f t="shared" si="561"/>
        <v>0</v>
      </c>
      <c r="ACQ1618" s="55">
        <f t="shared" si="561"/>
        <v>0</v>
      </c>
      <c r="ACR1618" s="55">
        <f t="shared" si="561"/>
        <v>0</v>
      </c>
      <c r="ACS1618" s="55">
        <f t="shared" si="561"/>
        <v>0</v>
      </c>
      <c r="ACT1618" s="55">
        <f t="shared" si="561"/>
        <v>0</v>
      </c>
      <c r="ACU1618" s="55">
        <f t="shared" si="561"/>
        <v>0</v>
      </c>
      <c r="ACV1618" s="55">
        <f t="shared" si="561"/>
        <v>0</v>
      </c>
      <c r="ACW1618" s="55">
        <f t="shared" si="561"/>
        <v>0</v>
      </c>
      <c r="ACX1618" s="55">
        <f t="shared" si="561"/>
        <v>0</v>
      </c>
      <c r="ACY1618" s="55">
        <f t="shared" si="561"/>
        <v>0</v>
      </c>
      <c r="ACZ1618" s="55">
        <f t="shared" ref="ACZ1618:AFK1618" si="562">+(ACZ1627+ACZ1608)*1.18*1.1</f>
        <v>0</v>
      </c>
      <c r="ADA1618" s="55">
        <f t="shared" si="562"/>
        <v>0</v>
      </c>
      <c r="ADB1618" s="55">
        <f t="shared" si="562"/>
        <v>0</v>
      </c>
      <c r="ADC1618" s="55">
        <f t="shared" si="562"/>
        <v>0</v>
      </c>
      <c r="ADD1618" s="55">
        <f t="shared" si="562"/>
        <v>0</v>
      </c>
      <c r="ADE1618" s="55">
        <f t="shared" si="562"/>
        <v>0</v>
      </c>
      <c r="ADF1618" s="55">
        <f t="shared" si="562"/>
        <v>0</v>
      </c>
      <c r="ADG1618" s="55">
        <f t="shared" si="562"/>
        <v>0</v>
      </c>
      <c r="ADH1618" s="55">
        <f t="shared" si="562"/>
        <v>0</v>
      </c>
      <c r="ADI1618" s="55">
        <f t="shared" si="562"/>
        <v>0</v>
      </c>
      <c r="ADJ1618" s="55">
        <f t="shared" si="562"/>
        <v>0</v>
      </c>
      <c r="ADK1618" s="55">
        <f t="shared" si="562"/>
        <v>0</v>
      </c>
      <c r="ADL1618" s="55">
        <f t="shared" si="562"/>
        <v>0</v>
      </c>
      <c r="ADM1618" s="55">
        <f t="shared" si="562"/>
        <v>0</v>
      </c>
      <c r="ADN1618" s="55">
        <f t="shared" si="562"/>
        <v>0</v>
      </c>
      <c r="ADO1618" s="55">
        <f t="shared" si="562"/>
        <v>0</v>
      </c>
      <c r="ADP1618" s="55">
        <f t="shared" si="562"/>
        <v>0</v>
      </c>
      <c r="ADQ1618" s="55">
        <f t="shared" si="562"/>
        <v>0</v>
      </c>
      <c r="ADR1618" s="55">
        <f t="shared" si="562"/>
        <v>0</v>
      </c>
      <c r="ADS1618" s="55">
        <f t="shared" si="562"/>
        <v>0</v>
      </c>
      <c r="ADT1618" s="55">
        <f t="shared" si="562"/>
        <v>0</v>
      </c>
      <c r="ADU1618" s="55">
        <f t="shared" si="562"/>
        <v>0</v>
      </c>
      <c r="ADV1618" s="55">
        <f t="shared" si="562"/>
        <v>0</v>
      </c>
      <c r="ADW1618" s="55">
        <f t="shared" si="562"/>
        <v>0</v>
      </c>
      <c r="ADX1618" s="55">
        <f t="shared" si="562"/>
        <v>0</v>
      </c>
      <c r="ADY1618" s="55">
        <f t="shared" si="562"/>
        <v>0</v>
      </c>
      <c r="ADZ1618" s="55">
        <f t="shared" si="562"/>
        <v>0</v>
      </c>
      <c r="AEA1618" s="55">
        <f t="shared" si="562"/>
        <v>0</v>
      </c>
      <c r="AEB1618" s="55">
        <f t="shared" si="562"/>
        <v>0</v>
      </c>
      <c r="AEC1618" s="55">
        <f t="shared" si="562"/>
        <v>0</v>
      </c>
      <c r="AED1618" s="55">
        <f t="shared" si="562"/>
        <v>0</v>
      </c>
      <c r="AEE1618" s="55">
        <f t="shared" si="562"/>
        <v>0</v>
      </c>
      <c r="AEF1618" s="55">
        <f t="shared" si="562"/>
        <v>0</v>
      </c>
      <c r="AEG1618" s="55">
        <f t="shared" si="562"/>
        <v>0</v>
      </c>
      <c r="AEH1618" s="55">
        <f t="shared" si="562"/>
        <v>0</v>
      </c>
      <c r="AEI1618" s="55">
        <f t="shared" si="562"/>
        <v>0</v>
      </c>
      <c r="AEJ1618" s="55">
        <f t="shared" si="562"/>
        <v>0</v>
      </c>
      <c r="AEK1618" s="55">
        <f t="shared" si="562"/>
        <v>0</v>
      </c>
      <c r="AEL1618" s="55">
        <f t="shared" si="562"/>
        <v>0</v>
      </c>
      <c r="AEM1618" s="55">
        <f t="shared" si="562"/>
        <v>0</v>
      </c>
      <c r="AEN1618" s="55">
        <f t="shared" si="562"/>
        <v>0</v>
      </c>
      <c r="AEO1618" s="55">
        <f t="shared" si="562"/>
        <v>0</v>
      </c>
      <c r="AEP1618" s="55">
        <f t="shared" si="562"/>
        <v>0</v>
      </c>
      <c r="AEQ1618" s="55">
        <f t="shared" si="562"/>
        <v>0</v>
      </c>
      <c r="AER1618" s="55">
        <f t="shared" si="562"/>
        <v>0</v>
      </c>
      <c r="AES1618" s="55">
        <f t="shared" si="562"/>
        <v>0</v>
      </c>
      <c r="AET1618" s="55">
        <f t="shared" si="562"/>
        <v>0</v>
      </c>
      <c r="AEU1618" s="55">
        <f t="shared" si="562"/>
        <v>0</v>
      </c>
      <c r="AEV1618" s="55">
        <f t="shared" si="562"/>
        <v>0</v>
      </c>
      <c r="AEW1618" s="55">
        <f t="shared" si="562"/>
        <v>0</v>
      </c>
      <c r="AEX1618" s="55">
        <f t="shared" si="562"/>
        <v>0</v>
      </c>
      <c r="AEY1618" s="55">
        <f t="shared" si="562"/>
        <v>0</v>
      </c>
      <c r="AEZ1618" s="55">
        <f t="shared" si="562"/>
        <v>0</v>
      </c>
      <c r="AFA1618" s="55">
        <f t="shared" si="562"/>
        <v>0</v>
      </c>
      <c r="AFB1618" s="55">
        <f t="shared" si="562"/>
        <v>0</v>
      </c>
      <c r="AFC1618" s="55">
        <f t="shared" si="562"/>
        <v>0</v>
      </c>
      <c r="AFD1618" s="55">
        <f t="shared" si="562"/>
        <v>0</v>
      </c>
      <c r="AFE1618" s="55">
        <f t="shared" si="562"/>
        <v>0</v>
      </c>
      <c r="AFF1618" s="55">
        <f t="shared" si="562"/>
        <v>0</v>
      </c>
      <c r="AFG1618" s="55">
        <f t="shared" si="562"/>
        <v>0</v>
      </c>
      <c r="AFH1618" s="55">
        <f t="shared" si="562"/>
        <v>0</v>
      </c>
      <c r="AFI1618" s="55">
        <f t="shared" si="562"/>
        <v>0</v>
      </c>
      <c r="AFJ1618" s="55">
        <f t="shared" si="562"/>
        <v>0</v>
      </c>
      <c r="AFK1618" s="55">
        <f t="shared" si="562"/>
        <v>0</v>
      </c>
      <c r="AFL1618" s="55">
        <f t="shared" ref="AFL1618:AHW1618" si="563">+(AFL1627+AFL1608)*1.18*1.1</f>
        <v>0</v>
      </c>
      <c r="AFM1618" s="55">
        <f t="shared" si="563"/>
        <v>0</v>
      </c>
      <c r="AFN1618" s="55">
        <f t="shared" si="563"/>
        <v>0</v>
      </c>
      <c r="AFO1618" s="55">
        <f t="shared" si="563"/>
        <v>0</v>
      </c>
      <c r="AFP1618" s="55">
        <f t="shared" si="563"/>
        <v>0</v>
      </c>
      <c r="AFQ1618" s="55">
        <f t="shared" si="563"/>
        <v>0</v>
      </c>
      <c r="AFR1618" s="55">
        <f t="shared" si="563"/>
        <v>0</v>
      </c>
      <c r="AFS1618" s="55">
        <f t="shared" si="563"/>
        <v>0</v>
      </c>
      <c r="AFT1618" s="55">
        <f t="shared" si="563"/>
        <v>0</v>
      </c>
      <c r="AFU1618" s="55">
        <f t="shared" si="563"/>
        <v>0</v>
      </c>
      <c r="AFV1618" s="55">
        <f t="shared" si="563"/>
        <v>0</v>
      </c>
      <c r="AFW1618" s="55">
        <f t="shared" si="563"/>
        <v>0</v>
      </c>
      <c r="AFX1618" s="55">
        <f t="shared" si="563"/>
        <v>0</v>
      </c>
      <c r="AFY1618" s="55">
        <f t="shared" si="563"/>
        <v>0</v>
      </c>
      <c r="AFZ1618" s="55">
        <f t="shared" si="563"/>
        <v>0</v>
      </c>
      <c r="AGA1618" s="55">
        <f t="shared" si="563"/>
        <v>0</v>
      </c>
      <c r="AGB1618" s="55">
        <f t="shared" si="563"/>
        <v>0</v>
      </c>
      <c r="AGC1618" s="55">
        <f t="shared" si="563"/>
        <v>0</v>
      </c>
      <c r="AGD1618" s="55">
        <f t="shared" si="563"/>
        <v>0</v>
      </c>
      <c r="AGE1618" s="55">
        <f t="shared" si="563"/>
        <v>0</v>
      </c>
      <c r="AGF1618" s="55">
        <f t="shared" si="563"/>
        <v>0</v>
      </c>
      <c r="AGG1618" s="55">
        <f t="shared" si="563"/>
        <v>0</v>
      </c>
      <c r="AGH1618" s="55">
        <f t="shared" si="563"/>
        <v>0</v>
      </c>
      <c r="AGI1618" s="55">
        <f t="shared" si="563"/>
        <v>0</v>
      </c>
      <c r="AGJ1618" s="55">
        <f t="shared" si="563"/>
        <v>0</v>
      </c>
      <c r="AGK1618" s="55">
        <f t="shared" si="563"/>
        <v>0</v>
      </c>
      <c r="AGL1618" s="55">
        <f t="shared" si="563"/>
        <v>0</v>
      </c>
      <c r="AGM1618" s="55">
        <f t="shared" si="563"/>
        <v>0</v>
      </c>
      <c r="AGN1618" s="55">
        <f t="shared" si="563"/>
        <v>0</v>
      </c>
      <c r="AGO1618" s="55">
        <f t="shared" si="563"/>
        <v>0</v>
      </c>
      <c r="AGP1618" s="55">
        <f t="shared" si="563"/>
        <v>0</v>
      </c>
      <c r="AGQ1618" s="55">
        <f t="shared" si="563"/>
        <v>0</v>
      </c>
      <c r="AGR1618" s="55">
        <f t="shared" si="563"/>
        <v>0</v>
      </c>
      <c r="AGS1618" s="55">
        <f t="shared" si="563"/>
        <v>0</v>
      </c>
      <c r="AGT1618" s="55">
        <f t="shared" si="563"/>
        <v>0</v>
      </c>
      <c r="AGU1618" s="55">
        <f t="shared" si="563"/>
        <v>0</v>
      </c>
      <c r="AGV1618" s="55">
        <f t="shared" si="563"/>
        <v>0</v>
      </c>
      <c r="AGW1618" s="55">
        <f t="shared" si="563"/>
        <v>0</v>
      </c>
      <c r="AGX1618" s="55">
        <f t="shared" si="563"/>
        <v>0</v>
      </c>
      <c r="AGY1618" s="55">
        <f t="shared" si="563"/>
        <v>0</v>
      </c>
      <c r="AGZ1618" s="55">
        <f t="shared" si="563"/>
        <v>0</v>
      </c>
      <c r="AHA1618" s="55">
        <f t="shared" si="563"/>
        <v>0</v>
      </c>
      <c r="AHB1618" s="55">
        <f t="shared" si="563"/>
        <v>0</v>
      </c>
      <c r="AHC1618" s="55">
        <f t="shared" si="563"/>
        <v>0</v>
      </c>
      <c r="AHD1618" s="55">
        <f t="shared" si="563"/>
        <v>0</v>
      </c>
      <c r="AHE1618" s="55">
        <f t="shared" si="563"/>
        <v>0</v>
      </c>
      <c r="AHF1618" s="55">
        <f t="shared" si="563"/>
        <v>0</v>
      </c>
      <c r="AHG1618" s="55">
        <f t="shared" si="563"/>
        <v>0</v>
      </c>
      <c r="AHH1618" s="55">
        <f t="shared" si="563"/>
        <v>0</v>
      </c>
      <c r="AHI1618" s="55">
        <f t="shared" si="563"/>
        <v>0</v>
      </c>
      <c r="AHJ1618" s="55">
        <f t="shared" si="563"/>
        <v>0</v>
      </c>
      <c r="AHK1618" s="55">
        <f t="shared" si="563"/>
        <v>0</v>
      </c>
      <c r="AHL1618" s="55">
        <f t="shared" si="563"/>
        <v>0</v>
      </c>
      <c r="AHM1618" s="55">
        <f t="shared" si="563"/>
        <v>0</v>
      </c>
      <c r="AHN1618" s="55">
        <f t="shared" si="563"/>
        <v>0</v>
      </c>
      <c r="AHO1618" s="55">
        <f t="shared" si="563"/>
        <v>0</v>
      </c>
      <c r="AHP1618" s="55">
        <f t="shared" si="563"/>
        <v>0</v>
      </c>
      <c r="AHQ1618" s="55">
        <f t="shared" si="563"/>
        <v>0</v>
      </c>
      <c r="AHR1618" s="55">
        <f t="shared" si="563"/>
        <v>0</v>
      </c>
      <c r="AHS1618" s="55">
        <f t="shared" si="563"/>
        <v>0</v>
      </c>
      <c r="AHT1618" s="55">
        <f t="shared" si="563"/>
        <v>0</v>
      </c>
      <c r="AHU1618" s="55">
        <f t="shared" si="563"/>
        <v>0</v>
      </c>
      <c r="AHV1618" s="55">
        <f t="shared" si="563"/>
        <v>0</v>
      </c>
      <c r="AHW1618" s="55">
        <f t="shared" si="563"/>
        <v>0</v>
      </c>
      <c r="AHX1618" s="55">
        <f t="shared" ref="AHX1618:AKI1618" si="564">+(AHX1627+AHX1608)*1.18*1.1</f>
        <v>0</v>
      </c>
      <c r="AHY1618" s="55">
        <f t="shared" si="564"/>
        <v>0</v>
      </c>
      <c r="AHZ1618" s="55">
        <f t="shared" si="564"/>
        <v>0</v>
      </c>
      <c r="AIA1618" s="55">
        <f t="shared" si="564"/>
        <v>0</v>
      </c>
      <c r="AIB1618" s="55">
        <f t="shared" si="564"/>
        <v>0</v>
      </c>
      <c r="AIC1618" s="55">
        <f t="shared" si="564"/>
        <v>0</v>
      </c>
      <c r="AID1618" s="55">
        <f t="shared" si="564"/>
        <v>0</v>
      </c>
      <c r="AIE1618" s="55">
        <f t="shared" si="564"/>
        <v>0</v>
      </c>
      <c r="AIF1618" s="55">
        <f t="shared" si="564"/>
        <v>0</v>
      </c>
      <c r="AIG1618" s="55">
        <f t="shared" si="564"/>
        <v>0</v>
      </c>
      <c r="AIH1618" s="55">
        <f t="shared" si="564"/>
        <v>0</v>
      </c>
      <c r="AII1618" s="55">
        <f t="shared" si="564"/>
        <v>0</v>
      </c>
      <c r="AIJ1618" s="55">
        <f t="shared" si="564"/>
        <v>0</v>
      </c>
      <c r="AIK1618" s="55">
        <f t="shared" si="564"/>
        <v>0</v>
      </c>
      <c r="AIL1618" s="55">
        <f t="shared" si="564"/>
        <v>0</v>
      </c>
      <c r="AIM1618" s="55">
        <f t="shared" si="564"/>
        <v>0</v>
      </c>
      <c r="AIN1618" s="55">
        <f t="shared" si="564"/>
        <v>0</v>
      </c>
      <c r="AIO1618" s="55">
        <f t="shared" si="564"/>
        <v>0</v>
      </c>
      <c r="AIP1618" s="55">
        <f t="shared" si="564"/>
        <v>0</v>
      </c>
      <c r="AIQ1618" s="55">
        <f t="shared" si="564"/>
        <v>0</v>
      </c>
      <c r="AIR1618" s="55">
        <f t="shared" si="564"/>
        <v>0</v>
      </c>
      <c r="AIS1618" s="55">
        <f t="shared" si="564"/>
        <v>0</v>
      </c>
      <c r="AIT1618" s="55">
        <f t="shared" si="564"/>
        <v>0</v>
      </c>
      <c r="AIU1618" s="55">
        <f t="shared" si="564"/>
        <v>0</v>
      </c>
      <c r="AIV1618" s="55">
        <f t="shared" si="564"/>
        <v>0</v>
      </c>
      <c r="AIW1618" s="55">
        <f t="shared" si="564"/>
        <v>0</v>
      </c>
      <c r="AIX1618" s="55">
        <f t="shared" si="564"/>
        <v>0</v>
      </c>
      <c r="AIY1618" s="55">
        <f t="shared" si="564"/>
        <v>0</v>
      </c>
      <c r="AIZ1618" s="55">
        <f t="shared" si="564"/>
        <v>0</v>
      </c>
      <c r="AJA1618" s="55">
        <f t="shared" si="564"/>
        <v>0</v>
      </c>
      <c r="AJB1618" s="55">
        <f t="shared" si="564"/>
        <v>0</v>
      </c>
      <c r="AJC1618" s="55">
        <f t="shared" si="564"/>
        <v>0</v>
      </c>
      <c r="AJD1618" s="55">
        <f t="shared" si="564"/>
        <v>0</v>
      </c>
      <c r="AJE1618" s="55">
        <f t="shared" si="564"/>
        <v>0</v>
      </c>
      <c r="AJF1618" s="55">
        <f t="shared" si="564"/>
        <v>0</v>
      </c>
      <c r="AJG1618" s="55">
        <f t="shared" si="564"/>
        <v>0</v>
      </c>
      <c r="AJH1618" s="55">
        <f t="shared" si="564"/>
        <v>0</v>
      </c>
      <c r="AJI1618" s="55">
        <f t="shared" si="564"/>
        <v>0</v>
      </c>
      <c r="AJJ1618" s="55">
        <f t="shared" si="564"/>
        <v>0</v>
      </c>
      <c r="AJK1618" s="55">
        <f t="shared" si="564"/>
        <v>0</v>
      </c>
      <c r="AJL1618" s="55">
        <f t="shared" si="564"/>
        <v>0</v>
      </c>
      <c r="AJM1618" s="55">
        <f t="shared" si="564"/>
        <v>0</v>
      </c>
      <c r="AJN1618" s="55">
        <f t="shared" si="564"/>
        <v>0</v>
      </c>
      <c r="AJO1618" s="55">
        <f t="shared" si="564"/>
        <v>0</v>
      </c>
      <c r="AJP1618" s="55">
        <f t="shared" si="564"/>
        <v>0</v>
      </c>
      <c r="AJQ1618" s="55">
        <f t="shared" si="564"/>
        <v>0</v>
      </c>
      <c r="AJR1618" s="55">
        <f t="shared" si="564"/>
        <v>0</v>
      </c>
      <c r="AJS1618" s="55">
        <f t="shared" si="564"/>
        <v>0</v>
      </c>
      <c r="AJT1618" s="55">
        <f t="shared" si="564"/>
        <v>0</v>
      </c>
      <c r="AJU1618" s="55">
        <f t="shared" si="564"/>
        <v>0</v>
      </c>
      <c r="AJV1618" s="55">
        <f t="shared" si="564"/>
        <v>0</v>
      </c>
      <c r="AJW1618" s="55">
        <f t="shared" si="564"/>
        <v>0</v>
      </c>
      <c r="AJX1618" s="55">
        <f t="shared" si="564"/>
        <v>0</v>
      </c>
      <c r="AJY1618" s="55">
        <f t="shared" si="564"/>
        <v>0</v>
      </c>
      <c r="AJZ1618" s="55">
        <f t="shared" si="564"/>
        <v>0</v>
      </c>
      <c r="AKA1618" s="55">
        <f t="shared" si="564"/>
        <v>0</v>
      </c>
      <c r="AKB1618" s="55">
        <f t="shared" si="564"/>
        <v>0</v>
      </c>
      <c r="AKC1618" s="55">
        <f t="shared" si="564"/>
        <v>0</v>
      </c>
      <c r="AKD1618" s="55">
        <f t="shared" si="564"/>
        <v>0</v>
      </c>
      <c r="AKE1618" s="55">
        <f t="shared" si="564"/>
        <v>0</v>
      </c>
      <c r="AKF1618" s="55">
        <f t="shared" si="564"/>
        <v>0</v>
      </c>
      <c r="AKG1618" s="55">
        <f t="shared" si="564"/>
        <v>0</v>
      </c>
      <c r="AKH1618" s="55">
        <f t="shared" si="564"/>
        <v>0</v>
      </c>
      <c r="AKI1618" s="55">
        <f t="shared" si="564"/>
        <v>0</v>
      </c>
      <c r="AKJ1618" s="55">
        <f t="shared" ref="AKJ1618:AMU1618" si="565">+(AKJ1627+AKJ1608)*1.18*1.1</f>
        <v>0</v>
      </c>
      <c r="AKK1618" s="55">
        <f t="shared" si="565"/>
        <v>0</v>
      </c>
      <c r="AKL1618" s="55">
        <f t="shared" si="565"/>
        <v>0</v>
      </c>
      <c r="AKM1618" s="55">
        <f t="shared" si="565"/>
        <v>0</v>
      </c>
      <c r="AKN1618" s="55">
        <f t="shared" si="565"/>
        <v>0</v>
      </c>
      <c r="AKO1618" s="55">
        <f t="shared" si="565"/>
        <v>0</v>
      </c>
      <c r="AKP1618" s="55">
        <f t="shared" si="565"/>
        <v>0</v>
      </c>
      <c r="AKQ1618" s="55">
        <f t="shared" si="565"/>
        <v>0</v>
      </c>
      <c r="AKR1618" s="55">
        <f t="shared" si="565"/>
        <v>0</v>
      </c>
      <c r="AKS1618" s="55">
        <f t="shared" si="565"/>
        <v>0</v>
      </c>
      <c r="AKT1618" s="55">
        <f t="shared" si="565"/>
        <v>0</v>
      </c>
      <c r="AKU1618" s="55">
        <f t="shared" si="565"/>
        <v>0</v>
      </c>
      <c r="AKV1618" s="55">
        <f t="shared" si="565"/>
        <v>0</v>
      </c>
      <c r="AKW1618" s="55">
        <f t="shared" si="565"/>
        <v>0</v>
      </c>
      <c r="AKX1618" s="55">
        <f t="shared" si="565"/>
        <v>0</v>
      </c>
      <c r="AKY1618" s="55">
        <f t="shared" si="565"/>
        <v>0</v>
      </c>
      <c r="AKZ1618" s="55">
        <f t="shared" si="565"/>
        <v>0</v>
      </c>
      <c r="ALA1618" s="55">
        <f t="shared" si="565"/>
        <v>0</v>
      </c>
      <c r="ALB1618" s="55">
        <f t="shared" si="565"/>
        <v>0</v>
      </c>
      <c r="ALC1618" s="55">
        <f t="shared" si="565"/>
        <v>0</v>
      </c>
      <c r="ALD1618" s="55">
        <f t="shared" si="565"/>
        <v>0</v>
      </c>
      <c r="ALE1618" s="55">
        <f t="shared" si="565"/>
        <v>0</v>
      </c>
      <c r="ALF1618" s="55">
        <f t="shared" si="565"/>
        <v>0</v>
      </c>
      <c r="ALG1618" s="55">
        <f t="shared" si="565"/>
        <v>0</v>
      </c>
      <c r="ALH1618" s="55">
        <f t="shared" si="565"/>
        <v>0</v>
      </c>
      <c r="ALI1618" s="55">
        <f t="shared" si="565"/>
        <v>0</v>
      </c>
      <c r="ALJ1618" s="55">
        <f t="shared" si="565"/>
        <v>0</v>
      </c>
      <c r="ALK1618" s="55">
        <f t="shared" si="565"/>
        <v>0</v>
      </c>
      <c r="ALL1618" s="55">
        <f t="shared" si="565"/>
        <v>0</v>
      </c>
      <c r="ALM1618" s="55">
        <f t="shared" si="565"/>
        <v>0</v>
      </c>
      <c r="ALN1618" s="55">
        <f t="shared" si="565"/>
        <v>0</v>
      </c>
      <c r="ALO1618" s="55">
        <f t="shared" si="565"/>
        <v>0</v>
      </c>
      <c r="ALP1618" s="55">
        <f t="shared" si="565"/>
        <v>0</v>
      </c>
      <c r="ALQ1618" s="55">
        <f t="shared" si="565"/>
        <v>0</v>
      </c>
      <c r="ALR1618" s="55">
        <f t="shared" si="565"/>
        <v>0</v>
      </c>
      <c r="ALS1618" s="55">
        <f t="shared" si="565"/>
        <v>0</v>
      </c>
      <c r="ALT1618" s="55">
        <f t="shared" si="565"/>
        <v>0</v>
      </c>
      <c r="ALU1618" s="55">
        <f t="shared" si="565"/>
        <v>0</v>
      </c>
      <c r="ALV1618" s="55">
        <f t="shared" si="565"/>
        <v>0</v>
      </c>
      <c r="ALW1618" s="55">
        <f t="shared" si="565"/>
        <v>0</v>
      </c>
      <c r="ALX1618" s="55">
        <f t="shared" si="565"/>
        <v>0</v>
      </c>
      <c r="ALY1618" s="55">
        <f t="shared" si="565"/>
        <v>0</v>
      </c>
      <c r="ALZ1618" s="55">
        <f t="shared" si="565"/>
        <v>0</v>
      </c>
      <c r="AMA1618" s="55">
        <f t="shared" si="565"/>
        <v>0</v>
      </c>
      <c r="AMB1618" s="55">
        <f t="shared" si="565"/>
        <v>0</v>
      </c>
      <c r="AMC1618" s="55">
        <f t="shared" si="565"/>
        <v>0</v>
      </c>
      <c r="AMD1618" s="55">
        <f t="shared" si="565"/>
        <v>0</v>
      </c>
      <c r="AME1618" s="55">
        <f t="shared" si="565"/>
        <v>0</v>
      </c>
      <c r="AMF1618" s="55">
        <f t="shared" si="565"/>
        <v>0</v>
      </c>
      <c r="AMG1618" s="55">
        <f t="shared" si="565"/>
        <v>0</v>
      </c>
      <c r="AMH1618" s="55">
        <f t="shared" si="565"/>
        <v>0</v>
      </c>
      <c r="AMI1618" s="55">
        <f t="shared" si="565"/>
        <v>0</v>
      </c>
      <c r="AMJ1618" s="55">
        <f t="shared" si="565"/>
        <v>0</v>
      </c>
      <c r="AMK1618" s="55">
        <f t="shared" si="565"/>
        <v>0</v>
      </c>
      <c r="AML1618" s="55">
        <f t="shared" si="565"/>
        <v>0</v>
      </c>
      <c r="AMM1618" s="55">
        <f t="shared" si="565"/>
        <v>0</v>
      </c>
      <c r="AMN1618" s="55">
        <f t="shared" si="565"/>
        <v>0</v>
      </c>
      <c r="AMO1618" s="55">
        <f t="shared" si="565"/>
        <v>0</v>
      </c>
      <c r="AMP1618" s="55">
        <f t="shared" si="565"/>
        <v>0</v>
      </c>
      <c r="AMQ1618" s="55">
        <f t="shared" si="565"/>
        <v>0</v>
      </c>
      <c r="AMR1618" s="55">
        <f t="shared" si="565"/>
        <v>0</v>
      </c>
      <c r="AMS1618" s="55">
        <f t="shared" si="565"/>
        <v>0</v>
      </c>
      <c r="AMT1618" s="55">
        <f t="shared" si="565"/>
        <v>0</v>
      </c>
      <c r="AMU1618" s="55">
        <f t="shared" si="565"/>
        <v>0</v>
      </c>
      <c r="AMV1618" s="55">
        <f t="shared" ref="AMV1618:APG1618" si="566">+(AMV1627+AMV1608)*1.18*1.1</f>
        <v>0</v>
      </c>
      <c r="AMW1618" s="55">
        <f t="shared" si="566"/>
        <v>0</v>
      </c>
      <c r="AMX1618" s="55">
        <f t="shared" si="566"/>
        <v>0</v>
      </c>
      <c r="AMY1618" s="55">
        <f t="shared" si="566"/>
        <v>0</v>
      </c>
      <c r="AMZ1618" s="55">
        <f t="shared" si="566"/>
        <v>0</v>
      </c>
      <c r="ANA1618" s="55">
        <f t="shared" si="566"/>
        <v>0</v>
      </c>
      <c r="ANB1618" s="55">
        <f t="shared" si="566"/>
        <v>0</v>
      </c>
      <c r="ANC1618" s="55">
        <f t="shared" si="566"/>
        <v>0</v>
      </c>
      <c r="AND1618" s="55">
        <f t="shared" si="566"/>
        <v>0</v>
      </c>
      <c r="ANE1618" s="55">
        <f t="shared" si="566"/>
        <v>0</v>
      </c>
      <c r="ANF1618" s="55">
        <f t="shared" si="566"/>
        <v>0</v>
      </c>
      <c r="ANG1618" s="55">
        <f t="shared" si="566"/>
        <v>0</v>
      </c>
      <c r="ANH1618" s="55">
        <f t="shared" si="566"/>
        <v>0</v>
      </c>
      <c r="ANI1618" s="55">
        <f t="shared" si="566"/>
        <v>0</v>
      </c>
      <c r="ANJ1618" s="55">
        <f t="shared" si="566"/>
        <v>0</v>
      </c>
      <c r="ANK1618" s="55">
        <f t="shared" si="566"/>
        <v>0</v>
      </c>
      <c r="ANL1618" s="55">
        <f t="shared" si="566"/>
        <v>0</v>
      </c>
      <c r="ANM1618" s="55">
        <f t="shared" si="566"/>
        <v>0</v>
      </c>
      <c r="ANN1618" s="55">
        <f t="shared" si="566"/>
        <v>0</v>
      </c>
      <c r="ANO1618" s="55">
        <f t="shared" si="566"/>
        <v>0</v>
      </c>
      <c r="ANP1618" s="55">
        <f t="shared" si="566"/>
        <v>0</v>
      </c>
      <c r="ANQ1618" s="55">
        <f t="shared" si="566"/>
        <v>0</v>
      </c>
      <c r="ANR1618" s="55">
        <f t="shared" si="566"/>
        <v>0</v>
      </c>
      <c r="ANS1618" s="55">
        <f t="shared" si="566"/>
        <v>0</v>
      </c>
      <c r="ANT1618" s="55">
        <f t="shared" si="566"/>
        <v>0</v>
      </c>
      <c r="ANU1618" s="55">
        <f t="shared" si="566"/>
        <v>0</v>
      </c>
      <c r="ANV1618" s="55">
        <f t="shared" si="566"/>
        <v>0</v>
      </c>
      <c r="ANW1618" s="55">
        <f t="shared" si="566"/>
        <v>0</v>
      </c>
      <c r="ANX1618" s="55">
        <f t="shared" si="566"/>
        <v>0</v>
      </c>
      <c r="ANY1618" s="55">
        <f t="shared" si="566"/>
        <v>0</v>
      </c>
      <c r="ANZ1618" s="55">
        <f t="shared" si="566"/>
        <v>0</v>
      </c>
      <c r="AOA1618" s="55">
        <f t="shared" si="566"/>
        <v>0</v>
      </c>
      <c r="AOB1618" s="55">
        <f t="shared" si="566"/>
        <v>0</v>
      </c>
      <c r="AOC1618" s="55">
        <f t="shared" si="566"/>
        <v>0</v>
      </c>
      <c r="AOD1618" s="55">
        <f t="shared" si="566"/>
        <v>0</v>
      </c>
      <c r="AOE1618" s="55">
        <f t="shared" si="566"/>
        <v>0</v>
      </c>
      <c r="AOF1618" s="55">
        <f t="shared" si="566"/>
        <v>0</v>
      </c>
      <c r="AOG1618" s="55">
        <f t="shared" si="566"/>
        <v>0</v>
      </c>
      <c r="AOH1618" s="55">
        <f t="shared" si="566"/>
        <v>0</v>
      </c>
      <c r="AOI1618" s="55">
        <f t="shared" si="566"/>
        <v>0</v>
      </c>
      <c r="AOJ1618" s="55">
        <f t="shared" si="566"/>
        <v>0</v>
      </c>
      <c r="AOK1618" s="55">
        <f t="shared" si="566"/>
        <v>0</v>
      </c>
      <c r="AOL1618" s="55">
        <f t="shared" si="566"/>
        <v>0</v>
      </c>
      <c r="AOM1618" s="55">
        <f t="shared" si="566"/>
        <v>0</v>
      </c>
      <c r="AON1618" s="55">
        <f t="shared" si="566"/>
        <v>0</v>
      </c>
      <c r="AOO1618" s="55">
        <f t="shared" si="566"/>
        <v>0</v>
      </c>
      <c r="AOP1618" s="55">
        <f t="shared" si="566"/>
        <v>0</v>
      </c>
      <c r="AOQ1618" s="55">
        <f t="shared" si="566"/>
        <v>0</v>
      </c>
      <c r="AOR1618" s="55">
        <f t="shared" si="566"/>
        <v>0</v>
      </c>
      <c r="AOS1618" s="55">
        <f t="shared" si="566"/>
        <v>0</v>
      </c>
      <c r="AOT1618" s="55">
        <f t="shared" si="566"/>
        <v>0</v>
      </c>
      <c r="AOU1618" s="55">
        <f t="shared" si="566"/>
        <v>0</v>
      </c>
      <c r="AOV1618" s="55">
        <f t="shared" si="566"/>
        <v>0</v>
      </c>
      <c r="AOW1618" s="55">
        <f t="shared" si="566"/>
        <v>0</v>
      </c>
      <c r="AOX1618" s="55">
        <f t="shared" si="566"/>
        <v>0</v>
      </c>
      <c r="AOY1618" s="55">
        <f t="shared" si="566"/>
        <v>0</v>
      </c>
      <c r="AOZ1618" s="55">
        <f t="shared" si="566"/>
        <v>0</v>
      </c>
      <c r="APA1618" s="55">
        <f t="shared" si="566"/>
        <v>0</v>
      </c>
      <c r="APB1618" s="55">
        <f t="shared" si="566"/>
        <v>0</v>
      </c>
      <c r="APC1618" s="55">
        <f t="shared" si="566"/>
        <v>0</v>
      </c>
      <c r="APD1618" s="55">
        <f t="shared" si="566"/>
        <v>0</v>
      </c>
      <c r="APE1618" s="55">
        <f t="shared" si="566"/>
        <v>0</v>
      </c>
      <c r="APF1618" s="55">
        <f t="shared" si="566"/>
        <v>0</v>
      </c>
      <c r="APG1618" s="55">
        <f t="shared" si="566"/>
        <v>0</v>
      </c>
      <c r="APH1618" s="55">
        <f t="shared" ref="APH1618:ARS1618" si="567">+(APH1627+APH1608)*1.18*1.1</f>
        <v>0</v>
      </c>
      <c r="API1618" s="55">
        <f t="shared" si="567"/>
        <v>0</v>
      </c>
      <c r="APJ1618" s="55">
        <f t="shared" si="567"/>
        <v>0</v>
      </c>
      <c r="APK1618" s="55">
        <f t="shared" si="567"/>
        <v>0</v>
      </c>
      <c r="APL1618" s="55">
        <f t="shared" si="567"/>
        <v>0</v>
      </c>
      <c r="APM1618" s="55">
        <f t="shared" si="567"/>
        <v>0</v>
      </c>
      <c r="APN1618" s="55">
        <f t="shared" si="567"/>
        <v>0</v>
      </c>
      <c r="APO1618" s="55">
        <f t="shared" si="567"/>
        <v>0</v>
      </c>
      <c r="APP1618" s="55">
        <f t="shared" si="567"/>
        <v>0</v>
      </c>
      <c r="APQ1618" s="55">
        <f t="shared" si="567"/>
        <v>0</v>
      </c>
      <c r="APR1618" s="55">
        <f t="shared" si="567"/>
        <v>0</v>
      </c>
      <c r="APS1618" s="55">
        <f t="shared" si="567"/>
        <v>0</v>
      </c>
      <c r="APT1618" s="55">
        <f t="shared" si="567"/>
        <v>0</v>
      </c>
      <c r="APU1618" s="55">
        <f t="shared" si="567"/>
        <v>0</v>
      </c>
      <c r="APV1618" s="55">
        <f t="shared" si="567"/>
        <v>0</v>
      </c>
      <c r="APW1618" s="55">
        <f t="shared" si="567"/>
        <v>0</v>
      </c>
      <c r="APX1618" s="55">
        <f t="shared" si="567"/>
        <v>0</v>
      </c>
      <c r="APY1618" s="55">
        <f t="shared" si="567"/>
        <v>0</v>
      </c>
      <c r="APZ1618" s="55">
        <f t="shared" si="567"/>
        <v>0</v>
      </c>
      <c r="AQA1618" s="55">
        <f t="shared" si="567"/>
        <v>0</v>
      </c>
      <c r="AQB1618" s="55">
        <f t="shared" si="567"/>
        <v>0</v>
      </c>
      <c r="AQC1618" s="55">
        <f t="shared" si="567"/>
        <v>0</v>
      </c>
      <c r="AQD1618" s="55">
        <f t="shared" si="567"/>
        <v>0</v>
      </c>
      <c r="AQE1618" s="55">
        <f t="shared" si="567"/>
        <v>0</v>
      </c>
      <c r="AQF1618" s="55">
        <f t="shared" si="567"/>
        <v>0</v>
      </c>
      <c r="AQG1618" s="55">
        <f t="shared" si="567"/>
        <v>0</v>
      </c>
      <c r="AQH1618" s="55">
        <f t="shared" si="567"/>
        <v>0</v>
      </c>
      <c r="AQI1618" s="55">
        <f t="shared" si="567"/>
        <v>0</v>
      </c>
      <c r="AQJ1618" s="55">
        <f t="shared" si="567"/>
        <v>0</v>
      </c>
      <c r="AQK1618" s="55">
        <f t="shared" si="567"/>
        <v>0</v>
      </c>
      <c r="AQL1618" s="55">
        <f t="shared" si="567"/>
        <v>0</v>
      </c>
      <c r="AQM1618" s="55">
        <f t="shared" si="567"/>
        <v>0</v>
      </c>
      <c r="AQN1618" s="55">
        <f t="shared" si="567"/>
        <v>0</v>
      </c>
      <c r="AQO1618" s="55">
        <f t="shared" si="567"/>
        <v>0</v>
      </c>
      <c r="AQP1618" s="55">
        <f t="shared" si="567"/>
        <v>0</v>
      </c>
      <c r="AQQ1618" s="55">
        <f t="shared" si="567"/>
        <v>0</v>
      </c>
      <c r="AQR1618" s="55">
        <f t="shared" si="567"/>
        <v>0</v>
      </c>
      <c r="AQS1618" s="55">
        <f t="shared" si="567"/>
        <v>0</v>
      </c>
      <c r="AQT1618" s="55">
        <f t="shared" si="567"/>
        <v>0</v>
      </c>
      <c r="AQU1618" s="55">
        <f t="shared" si="567"/>
        <v>0</v>
      </c>
      <c r="AQV1618" s="55">
        <f t="shared" si="567"/>
        <v>0</v>
      </c>
      <c r="AQW1618" s="55">
        <f t="shared" si="567"/>
        <v>0</v>
      </c>
      <c r="AQX1618" s="55">
        <f t="shared" si="567"/>
        <v>0</v>
      </c>
      <c r="AQY1618" s="55">
        <f t="shared" si="567"/>
        <v>0</v>
      </c>
      <c r="AQZ1618" s="55">
        <f t="shared" si="567"/>
        <v>0</v>
      </c>
      <c r="ARA1618" s="55">
        <f t="shared" si="567"/>
        <v>0</v>
      </c>
      <c r="ARB1618" s="55">
        <f t="shared" si="567"/>
        <v>0</v>
      </c>
      <c r="ARC1618" s="55">
        <f t="shared" si="567"/>
        <v>0</v>
      </c>
      <c r="ARD1618" s="55">
        <f t="shared" si="567"/>
        <v>0</v>
      </c>
      <c r="ARE1618" s="55">
        <f t="shared" si="567"/>
        <v>0</v>
      </c>
      <c r="ARF1618" s="55">
        <f t="shared" si="567"/>
        <v>0</v>
      </c>
      <c r="ARG1618" s="55">
        <f t="shared" si="567"/>
        <v>0</v>
      </c>
      <c r="ARH1618" s="55">
        <f t="shared" si="567"/>
        <v>0</v>
      </c>
      <c r="ARI1618" s="55">
        <f t="shared" si="567"/>
        <v>0</v>
      </c>
      <c r="ARJ1618" s="55">
        <f t="shared" si="567"/>
        <v>0</v>
      </c>
      <c r="ARK1618" s="55">
        <f t="shared" si="567"/>
        <v>0</v>
      </c>
      <c r="ARL1618" s="55">
        <f t="shared" si="567"/>
        <v>0</v>
      </c>
      <c r="ARM1618" s="55">
        <f t="shared" si="567"/>
        <v>0</v>
      </c>
      <c r="ARN1618" s="55">
        <f t="shared" si="567"/>
        <v>0</v>
      </c>
      <c r="ARO1618" s="55">
        <f t="shared" si="567"/>
        <v>0</v>
      </c>
      <c r="ARP1618" s="55">
        <f t="shared" si="567"/>
        <v>0</v>
      </c>
      <c r="ARQ1618" s="55">
        <f t="shared" si="567"/>
        <v>0</v>
      </c>
      <c r="ARR1618" s="55">
        <f t="shared" si="567"/>
        <v>0</v>
      </c>
      <c r="ARS1618" s="55">
        <f t="shared" si="567"/>
        <v>0</v>
      </c>
      <c r="ART1618" s="55">
        <f t="shared" ref="ART1618:AUE1618" si="568">+(ART1627+ART1608)*1.18*1.1</f>
        <v>0</v>
      </c>
      <c r="ARU1618" s="55">
        <f t="shared" si="568"/>
        <v>0</v>
      </c>
      <c r="ARV1618" s="55">
        <f t="shared" si="568"/>
        <v>0</v>
      </c>
      <c r="ARW1618" s="55">
        <f t="shared" si="568"/>
        <v>0</v>
      </c>
      <c r="ARX1618" s="55">
        <f t="shared" si="568"/>
        <v>0</v>
      </c>
      <c r="ARY1618" s="55">
        <f t="shared" si="568"/>
        <v>0</v>
      </c>
      <c r="ARZ1618" s="55">
        <f t="shared" si="568"/>
        <v>0</v>
      </c>
      <c r="ASA1618" s="55">
        <f t="shared" si="568"/>
        <v>0</v>
      </c>
      <c r="ASB1618" s="55">
        <f t="shared" si="568"/>
        <v>0</v>
      </c>
      <c r="ASC1618" s="55">
        <f t="shared" si="568"/>
        <v>0</v>
      </c>
      <c r="ASD1618" s="55">
        <f t="shared" si="568"/>
        <v>0</v>
      </c>
      <c r="ASE1618" s="55">
        <f t="shared" si="568"/>
        <v>0</v>
      </c>
      <c r="ASF1618" s="55">
        <f t="shared" si="568"/>
        <v>0</v>
      </c>
      <c r="ASG1618" s="55">
        <f t="shared" si="568"/>
        <v>0</v>
      </c>
      <c r="ASH1618" s="55">
        <f t="shared" si="568"/>
        <v>0</v>
      </c>
      <c r="ASI1618" s="55">
        <f t="shared" si="568"/>
        <v>0</v>
      </c>
      <c r="ASJ1618" s="55">
        <f t="shared" si="568"/>
        <v>0</v>
      </c>
      <c r="ASK1618" s="55">
        <f t="shared" si="568"/>
        <v>0</v>
      </c>
      <c r="ASL1618" s="55">
        <f t="shared" si="568"/>
        <v>0</v>
      </c>
      <c r="ASM1618" s="55">
        <f t="shared" si="568"/>
        <v>0</v>
      </c>
      <c r="ASN1618" s="55">
        <f t="shared" si="568"/>
        <v>0</v>
      </c>
      <c r="ASO1618" s="55">
        <f t="shared" si="568"/>
        <v>0</v>
      </c>
      <c r="ASP1618" s="55">
        <f t="shared" si="568"/>
        <v>0</v>
      </c>
      <c r="ASQ1618" s="55">
        <f t="shared" si="568"/>
        <v>0</v>
      </c>
      <c r="ASR1618" s="55">
        <f t="shared" si="568"/>
        <v>0</v>
      </c>
      <c r="ASS1618" s="55">
        <f t="shared" si="568"/>
        <v>0</v>
      </c>
      <c r="AST1618" s="55">
        <f t="shared" si="568"/>
        <v>0</v>
      </c>
      <c r="ASU1618" s="55">
        <f t="shared" si="568"/>
        <v>0</v>
      </c>
      <c r="ASV1618" s="55">
        <f t="shared" si="568"/>
        <v>0</v>
      </c>
      <c r="ASW1618" s="55">
        <f t="shared" si="568"/>
        <v>0</v>
      </c>
      <c r="ASX1618" s="55">
        <f t="shared" si="568"/>
        <v>0</v>
      </c>
      <c r="ASY1618" s="55">
        <f t="shared" si="568"/>
        <v>0</v>
      </c>
      <c r="ASZ1618" s="55">
        <f t="shared" si="568"/>
        <v>0</v>
      </c>
      <c r="ATA1618" s="55">
        <f t="shared" si="568"/>
        <v>0</v>
      </c>
      <c r="ATB1618" s="55">
        <f t="shared" si="568"/>
        <v>0</v>
      </c>
      <c r="ATC1618" s="55">
        <f t="shared" si="568"/>
        <v>0</v>
      </c>
      <c r="ATD1618" s="55">
        <f t="shared" si="568"/>
        <v>0</v>
      </c>
      <c r="ATE1618" s="55">
        <f t="shared" si="568"/>
        <v>0</v>
      </c>
      <c r="ATF1618" s="55">
        <f t="shared" si="568"/>
        <v>0</v>
      </c>
      <c r="ATG1618" s="55">
        <f t="shared" si="568"/>
        <v>0</v>
      </c>
      <c r="ATH1618" s="55">
        <f t="shared" si="568"/>
        <v>0</v>
      </c>
      <c r="ATI1618" s="55">
        <f t="shared" si="568"/>
        <v>0</v>
      </c>
      <c r="ATJ1618" s="55">
        <f t="shared" si="568"/>
        <v>0</v>
      </c>
      <c r="ATK1618" s="55">
        <f t="shared" si="568"/>
        <v>0</v>
      </c>
      <c r="ATL1618" s="55">
        <f t="shared" si="568"/>
        <v>0</v>
      </c>
      <c r="ATM1618" s="55">
        <f t="shared" si="568"/>
        <v>0</v>
      </c>
      <c r="ATN1618" s="55">
        <f t="shared" si="568"/>
        <v>0</v>
      </c>
      <c r="ATO1618" s="55">
        <f t="shared" si="568"/>
        <v>0</v>
      </c>
      <c r="ATP1618" s="55">
        <f t="shared" si="568"/>
        <v>0</v>
      </c>
      <c r="ATQ1618" s="55">
        <f t="shared" si="568"/>
        <v>0</v>
      </c>
      <c r="ATR1618" s="55">
        <f t="shared" si="568"/>
        <v>0</v>
      </c>
      <c r="ATS1618" s="55">
        <f t="shared" si="568"/>
        <v>0</v>
      </c>
      <c r="ATT1618" s="55">
        <f t="shared" si="568"/>
        <v>0</v>
      </c>
      <c r="ATU1618" s="55">
        <f t="shared" si="568"/>
        <v>0</v>
      </c>
      <c r="ATV1618" s="55">
        <f t="shared" si="568"/>
        <v>0</v>
      </c>
      <c r="ATW1618" s="55">
        <f t="shared" si="568"/>
        <v>0</v>
      </c>
      <c r="ATX1618" s="55">
        <f t="shared" si="568"/>
        <v>0</v>
      </c>
      <c r="ATY1618" s="55">
        <f t="shared" si="568"/>
        <v>0</v>
      </c>
      <c r="ATZ1618" s="55">
        <f t="shared" si="568"/>
        <v>0</v>
      </c>
      <c r="AUA1618" s="55">
        <f t="shared" si="568"/>
        <v>0</v>
      </c>
      <c r="AUB1618" s="55">
        <f t="shared" si="568"/>
        <v>0</v>
      </c>
      <c r="AUC1618" s="55">
        <f t="shared" si="568"/>
        <v>0</v>
      </c>
      <c r="AUD1618" s="55">
        <f t="shared" si="568"/>
        <v>0</v>
      </c>
      <c r="AUE1618" s="55">
        <f t="shared" si="568"/>
        <v>0</v>
      </c>
      <c r="AUF1618" s="55">
        <f t="shared" ref="AUF1618:AWQ1618" si="569">+(AUF1627+AUF1608)*1.18*1.1</f>
        <v>0</v>
      </c>
      <c r="AUG1618" s="55">
        <f t="shared" si="569"/>
        <v>0</v>
      </c>
      <c r="AUH1618" s="55">
        <f t="shared" si="569"/>
        <v>0</v>
      </c>
      <c r="AUI1618" s="55">
        <f t="shared" si="569"/>
        <v>0</v>
      </c>
      <c r="AUJ1618" s="55">
        <f t="shared" si="569"/>
        <v>0</v>
      </c>
      <c r="AUK1618" s="55">
        <f t="shared" si="569"/>
        <v>0</v>
      </c>
      <c r="AUL1618" s="55">
        <f t="shared" si="569"/>
        <v>0</v>
      </c>
      <c r="AUM1618" s="55">
        <f t="shared" si="569"/>
        <v>0</v>
      </c>
      <c r="AUN1618" s="55">
        <f t="shared" si="569"/>
        <v>0</v>
      </c>
      <c r="AUO1618" s="55">
        <f t="shared" si="569"/>
        <v>0</v>
      </c>
      <c r="AUP1618" s="55">
        <f t="shared" si="569"/>
        <v>0</v>
      </c>
      <c r="AUQ1618" s="55">
        <f t="shared" si="569"/>
        <v>0</v>
      </c>
      <c r="AUR1618" s="55">
        <f t="shared" si="569"/>
        <v>0</v>
      </c>
      <c r="AUS1618" s="55">
        <f t="shared" si="569"/>
        <v>0</v>
      </c>
      <c r="AUT1618" s="55">
        <f t="shared" si="569"/>
        <v>0</v>
      </c>
      <c r="AUU1618" s="55">
        <f t="shared" si="569"/>
        <v>0</v>
      </c>
      <c r="AUV1618" s="55">
        <f t="shared" si="569"/>
        <v>0</v>
      </c>
      <c r="AUW1618" s="55">
        <f t="shared" si="569"/>
        <v>0</v>
      </c>
      <c r="AUX1618" s="55">
        <f t="shared" si="569"/>
        <v>0</v>
      </c>
      <c r="AUY1618" s="55">
        <f t="shared" si="569"/>
        <v>0</v>
      </c>
      <c r="AUZ1618" s="55">
        <f t="shared" si="569"/>
        <v>0</v>
      </c>
      <c r="AVA1618" s="55">
        <f t="shared" si="569"/>
        <v>0</v>
      </c>
      <c r="AVB1618" s="55">
        <f t="shared" si="569"/>
        <v>0</v>
      </c>
      <c r="AVC1618" s="55">
        <f t="shared" si="569"/>
        <v>0</v>
      </c>
      <c r="AVD1618" s="55">
        <f t="shared" si="569"/>
        <v>0</v>
      </c>
      <c r="AVE1618" s="55">
        <f t="shared" si="569"/>
        <v>0</v>
      </c>
      <c r="AVF1618" s="55">
        <f t="shared" si="569"/>
        <v>0</v>
      </c>
      <c r="AVG1618" s="55">
        <f t="shared" si="569"/>
        <v>0</v>
      </c>
      <c r="AVH1618" s="55">
        <f t="shared" si="569"/>
        <v>0</v>
      </c>
      <c r="AVI1618" s="55">
        <f t="shared" si="569"/>
        <v>0</v>
      </c>
      <c r="AVJ1618" s="55">
        <f t="shared" si="569"/>
        <v>0</v>
      </c>
      <c r="AVK1618" s="55">
        <f t="shared" si="569"/>
        <v>0</v>
      </c>
      <c r="AVL1618" s="55">
        <f t="shared" si="569"/>
        <v>0</v>
      </c>
      <c r="AVM1618" s="55">
        <f t="shared" si="569"/>
        <v>0</v>
      </c>
      <c r="AVN1618" s="55">
        <f t="shared" si="569"/>
        <v>0</v>
      </c>
      <c r="AVO1618" s="55">
        <f t="shared" si="569"/>
        <v>0</v>
      </c>
      <c r="AVP1618" s="55">
        <f t="shared" si="569"/>
        <v>0</v>
      </c>
      <c r="AVQ1618" s="55">
        <f t="shared" si="569"/>
        <v>0</v>
      </c>
      <c r="AVR1618" s="55">
        <f t="shared" si="569"/>
        <v>0</v>
      </c>
      <c r="AVS1618" s="55">
        <f t="shared" si="569"/>
        <v>0</v>
      </c>
      <c r="AVT1618" s="55">
        <f t="shared" si="569"/>
        <v>0</v>
      </c>
      <c r="AVU1618" s="55">
        <f t="shared" si="569"/>
        <v>0</v>
      </c>
      <c r="AVV1618" s="55">
        <f t="shared" si="569"/>
        <v>0</v>
      </c>
      <c r="AVW1618" s="55">
        <f t="shared" si="569"/>
        <v>0</v>
      </c>
      <c r="AVX1618" s="55">
        <f t="shared" si="569"/>
        <v>0</v>
      </c>
      <c r="AVY1618" s="55">
        <f t="shared" si="569"/>
        <v>0</v>
      </c>
      <c r="AVZ1618" s="55">
        <f t="shared" si="569"/>
        <v>0</v>
      </c>
      <c r="AWA1618" s="55">
        <f t="shared" si="569"/>
        <v>0</v>
      </c>
      <c r="AWB1618" s="55">
        <f t="shared" si="569"/>
        <v>0</v>
      </c>
      <c r="AWC1618" s="55">
        <f t="shared" si="569"/>
        <v>0</v>
      </c>
      <c r="AWD1618" s="55">
        <f t="shared" si="569"/>
        <v>0</v>
      </c>
      <c r="AWE1618" s="55">
        <f t="shared" si="569"/>
        <v>0</v>
      </c>
      <c r="AWF1618" s="55">
        <f t="shared" si="569"/>
        <v>0</v>
      </c>
      <c r="AWG1618" s="55">
        <f t="shared" si="569"/>
        <v>0</v>
      </c>
      <c r="AWH1618" s="55">
        <f t="shared" si="569"/>
        <v>0</v>
      </c>
      <c r="AWI1618" s="55">
        <f t="shared" si="569"/>
        <v>0</v>
      </c>
      <c r="AWJ1618" s="55">
        <f t="shared" si="569"/>
        <v>0</v>
      </c>
      <c r="AWK1618" s="55">
        <f t="shared" si="569"/>
        <v>0</v>
      </c>
      <c r="AWL1618" s="55">
        <f t="shared" si="569"/>
        <v>0</v>
      </c>
      <c r="AWM1618" s="55">
        <f t="shared" si="569"/>
        <v>0</v>
      </c>
      <c r="AWN1618" s="55">
        <f t="shared" si="569"/>
        <v>0</v>
      </c>
      <c r="AWO1618" s="55">
        <f t="shared" si="569"/>
        <v>0</v>
      </c>
      <c r="AWP1618" s="55">
        <f t="shared" si="569"/>
        <v>0</v>
      </c>
      <c r="AWQ1618" s="55">
        <f t="shared" si="569"/>
        <v>0</v>
      </c>
      <c r="AWR1618" s="55">
        <f t="shared" ref="AWR1618:AZC1618" si="570">+(AWR1627+AWR1608)*1.18*1.1</f>
        <v>0</v>
      </c>
      <c r="AWS1618" s="55">
        <f t="shared" si="570"/>
        <v>0</v>
      </c>
      <c r="AWT1618" s="55">
        <f t="shared" si="570"/>
        <v>0</v>
      </c>
      <c r="AWU1618" s="55">
        <f t="shared" si="570"/>
        <v>0</v>
      </c>
      <c r="AWV1618" s="55">
        <f t="shared" si="570"/>
        <v>0</v>
      </c>
      <c r="AWW1618" s="55">
        <f t="shared" si="570"/>
        <v>0</v>
      </c>
      <c r="AWX1618" s="55">
        <f t="shared" si="570"/>
        <v>0</v>
      </c>
      <c r="AWY1618" s="55">
        <f t="shared" si="570"/>
        <v>0</v>
      </c>
      <c r="AWZ1618" s="55">
        <f t="shared" si="570"/>
        <v>0</v>
      </c>
      <c r="AXA1618" s="55">
        <f t="shared" si="570"/>
        <v>0</v>
      </c>
      <c r="AXB1618" s="55">
        <f t="shared" si="570"/>
        <v>0</v>
      </c>
      <c r="AXC1618" s="55">
        <f t="shared" si="570"/>
        <v>0</v>
      </c>
      <c r="AXD1618" s="55">
        <f t="shared" si="570"/>
        <v>0</v>
      </c>
      <c r="AXE1618" s="55">
        <f t="shared" si="570"/>
        <v>0</v>
      </c>
      <c r="AXF1618" s="55">
        <f t="shared" si="570"/>
        <v>0</v>
      </c>
      <c r="AXG1618" s="55">
        <f t="shared" si="570"/>
        <v>0</v>
      </c>
      <c r="AXH1618" s="55">
        <f t="shared" si="570"/>
        <v>0</v>
      </c>
      <c r="AXI1618" s="55">
        <f t="shared" si="570"/>
        <v>0</v>
      </c>
      <c r="AXJ1618" s="55">
        <f t="shared" si="570"/>
        <v>0</v>
      </c>
      <c r="AXK1618" s="55">
        <f t="shared" si="570"/>
        <v>0</v>
      </c>
      <c r="AXL1618" s="55">
        <f t="shared" si="570"/>
        <v>0</v>
      </c>
      <c r="AXM1618" s="55">
        <f t="shared" si="570"/>
        <v>0</v>
      </c>
      <c r="AXN1618" s="55">
        <f t="shared" si="570"/>
        <v>0</v>
      </c>
      <c r="AXO1618" s="55">
        <f t="shared" si="570"/>
        <v>0</v>
      </c>
      <c r="AXP1618" s="55">
        <f t="shared" si="570"/>
        <v>0</v>
      </c>
      <c r="AXQ1618" s="55">
        <f t="shared" si="570"/>
        <v>0</v>
      </c>
      <c r="AXR1618" s="55">
        <f t="shared" si="570"/>
        <v>0</v>
      </c>
      <c r="AXS1618" s="55">
        <f t="shared" si="570"/>
        <v>0</v>
      </c>
      <c r="AXT1618" s="55">
        <f t="shared" si="570"/>
        <v>0</v>
      </c>
      <c r="AXU1618" s="55">
        <f t="shared" si="570"/>
        <v>0</v>
      </c>
      <c r="AXV1618" s="55">
        <f t="shared" si="570"/>
        <v>0</v>
      </c>
      <c r="AXW1618" s="55">
        <f t="shared" si="570"/>
        <v>0</v>
      </c>
      <c r="AXX1618" s="55">
        <f t="shared" si="570"/>
        <v>0</v>
      </c>
      <c r="AXY1618" s="55">
        <f t="shared" si="570"/>
        <v>0</v>
      </c>
      <c r="AXZ1618" s="55">
        <f t="shared" si="570"/>
        <v>0</v>
      </c>
      <c r="AYA1618" s="55">
        <f t="shared" si="570"/>
        <v>0</v>
      </c>
      <c r="AYB1618" s="55">
        <f t="shared" si="570"/>
        <v>0</v>
      </c>
      <c r="AYC1618" s="55">
        <f t="shared" si="570"/>
        <v>0</v>
      </c>
      <c r="AYD1618" s="55">
        <f t="shared" si="570"/>
        <v>0</v>
      </c>
      <c r="AYE1618" s="55">
        <f t="shared" si="570"/>
        <v>0</v>
      </c>
      <c r="AYF1618" s="55">
        <f t="shared" si="570"/>
        <v>0</v>
      </c>
      <c r="AYG1618" s="55">
        <f t="shared" si="570"/>
        <v>0</v>
      </c>
      <c r="AYH1618" s="55">
        <f t="shared" si="570"/>
        <v>0</v>
      </c>
      <c r="AYI1618" s="55">
        <f t="shared" si="570"/>
        <v>0</v>
      </c>
      <c r="AYJ1618" s="55">
        <f t="shared" si="570"/>
        <v>0</v>
      </c>
      <c r="AYK1618" s="55">
        <f t="shared" si="570"/>
        <v>0</v>
      </c>
      <c r="AYL1618" s="55">
        <f t="shared" si="570"/>
        <v>0</v>
      </c>
      <c r="AYM1618" s="55">
        <f t="shared" si="570"/>
        <v>0</v>
      </c>
      <c r="AYN1618" s="55">
        <f t="shared" si="570"/>
        <v>0</v>
      </c>
      <c r="AYO1618" s="55">
        <f t="shared" si="570"/>
        <v>0</v>
      </c>
      <c r="AYP1618" s="55">
        <f t="shared" si="570"/>
        <v>0</v>
      </c>
      <c r="AYQ1618" s="55">
        <f t="shared" si="570"/>
        <v>0</v>
      </c>
      <c r="AYR1618" s="55">
        <f t="shared" si="570"/>
        <v>0</v>
      </c>
      <c r="AYS1618" s="55">
        <f t="shared" si="570"/>
        <v>0</v>
      </c>
      <c r="AYT1618" s="55">
        <f t="shared" si="570"/>
        <v>0</v>
      </c>
      <c r="AYU1618" s="55">
        <f t="shared" si="570"/>
        <v>0</v>
      </c>
      <c r="AYV1618" s="55">
        <f t="shared" si="570"/>
        <v>0</v>
      </c>
      <c r="AYW1618" s="55">
        <f t="shared" si="570"/>
        <v>0</v>
      </c>
      <c r="AYX1618" s="55">
        <f t="shared" si="570"/>
        <v>0</v>
      </c>
      <c r="AYY1618" s="55">
        <f t="shared" si="570"/>
        <v>0</v>
      </c>
      <c r="AYZ1618" s="55">
        <f t="shared" si="570"/>
        <v>0</v>
      </c>
      <c r="AZA1618" s="55">
        <f t="shared" si="570"/>
        <v>0</v>
      </c>
      <c r="AZB1618" s="55">
        <f t="shared" si="570"/>
        <v>0</v>
      </c>
      <c r="AZC1618" s="55">
        <f t="shared" si="570"/>
        <v>0</v>
      </c>
      <c r="AZD1618" s="55">
        <f t="shared" ref="AZD1618:BBO1618" si="571">+(AZD1627+AZD1608)*1.18*1.1</f>
        <v>0</v>
      </c>
      <c r="AZE1618" s="55">
        <f t="shared" si="571"/>
        <v>0</v>
      </c>
      <c r="AZF1618" s="55">
        <f t="shared" si="571"/>
        <v>0</v>
      </c>
      <c r="AZG1618" s="55">
        <f t="shared" si="571"/>
        <v>0</v>
      </c>
      <c r="AZH1618" s="55">
        <f t="shared" si="571"/>
        <v>0</v>
      </c>
      <c r="AZI1618" s="55">
        <f t="shared" si="571"/>
        <v>0</v>
      </c>
      <c r="AZJ1618" s="55">
        <f t="shared" si="571"/>
        <v>0</v>
      </c>
      <c r="AZK1618" s="55">
        <f t="shared" si="571"/>
        <v>0</v>
      </c>
      <c r="AZL1618" s="55">
        <f t="shared" si="571"/>
        <v>0</v>
      </c>
      <c r="AZM1618" s="55">
        <f t="shared" si="571"/>
        <v>0</v>
      </c>
      <c r="AZN1618" s="55">
        <f t="shared" si="571"/>
        <v>0</v>
      </c>
      <c r="AZO1618" s="55">
        <f t="shared" si="571"/>
        <v>0</v>
      </c>
      <c r="AZP1618" s="55">
        <f t="shared" si="571"/>
        <v>0</v>
      </c>
      <c r="AZQ1618" s="55">
        <f t="shared" si="571"/>
        <v>0</v>
      </c>
      <c r="AZR1618" s="55">
        <f t="shared" si="571"/>
        <v>0</v>
      </c>
      <c r="AZS1618" s="55">
        <f t="shared" si="571"/>
        <v>0</v>
      </c>
      <c r="AZT1618" s="55">
        <f t="shared" si="571"/>
        <v>0</v>
      </c>
      <c r="AZU1618" s="55">
        <f t="shared" si="571"/>
        <v>0</v>
      </c>
      <c r="AZV1618" s="55">
        <f t="shared" si="571"/>
        <v>0</v>
      </c>
      <c r="AZW1618" s="55">
        <f t="shared" si="571"/>
        <v>0</v>
      </c>
      <c r="AZX1618" s="55">
        <f t="shared" si="571"/>
        <v>0</v>
      </c>
      <c r="AZY1618" s="55">
        <f t="shared" si="571"/>
        <v>0</v>
      </c>
      <c r="AZZ1618" s="55">
        <f t="shared" si="571"/>
        <v>0</v>
      </c>
      <c r="BAA1618" s="55">
        <f t="shared" si="571"/>
        <v>0</v>
      </c>
      <c r="BAB1618" s="55">
        <f t="shared" si="571"/>
        <v>0</v>
      </c>
      <c r="BAC1618" s="55">
        <f t="shared" si="571"/>
        <v>0</v>
      </c>
      <c r="BAD1618" s="55">
        <f t="shared" si="571"/>
        <v>0</v>
      </c>
      <c r="BAE1618" s="55">
        <f t="shared" si="571"/>
        <v>0</v>
      </c>
      <c r="BAF1618" s="55">
        <f t="shared" si="571"/>
        <v>0</v>
      </c>
      <c r="BAG1618" s="55">
        <f t="shared" si="571"/>
        <v>0</v>
      </c>
      <c r="BAH1618" s="55">
        <f t="shared" si="571"/>
        <v>0</v>
      </c>
      <c r="BAI1618" s="55">
        <f t="shared" si="571"/>
        <v>0</v>
      </c>
      <c r="BAJ1618" s="55">
        <f t="shared" si="571"/>
        <v>0</v>
      </c>
      <c r="BAK1618" s="55">
        <f t="shared" si="571"/>
        <v>0</v>
      </c>
      <c r="BAL1618" s="55">
        <f t="shared" si="571"/>
        <v>0</v>
      </c>
      <c r="BAM1618" s="55">
        <f t="shared" si="571"/>
        <v>0</v>
      </c>
      <c r="BAN1618" s="55">
        <f t="shared" si="571"/>
        <v>0</v>
      </c>
      <c r="BAO1618" s="55">
        <f t="shared" si="571"/>
        <v>0</v>
      </c>
      <c r="BAP1618" s="55">
        <f t="shared" si="571"/>
        <v>0</v>
      </c>
      <c r="BAQ1618" s="55">
        <f t="shared" si="571"/>
        <v>0</v>
      </c>
      <c r="BAR1618" s="55">
        <f t="shared" si="571"/>
        <v>0</v>
      </c>
      <c r="BAS1618" s="55">
        <f t="shared" si="571"/>
        <v>0</v>
      </c>
      <c r="BAT1618" s="55">
        <f t="shared" si="571"/>
        <v>0</v>
      </c>
      <c r="BAU1618" s="55">
        <f t="shared" si="571"/>
        <v>0</v>
      </c>
      <c r="BAV1618" s="55">
        <f t="shared" si="571"/>
        <v>0</v>
      </c>
      <c r="BAW1618" s="55">
        <f t="shared" si="571"/>
        <v>0</v>
      </c>
      <c r="BAX1618" s="55">
        <f t="shared" si="571"/>
        <v>0</v>
      </c>
      <c r="BAY1618" s="55">
        <f t="shared" si="571"/>
        <v>0</v>
      </c>
      <c r="BAZ1618" s="55">
        <f t="shared" si="571"/>
        <v>0</v>
      </c>
      <c r="BBA1618" s="55">
        <f t="shared" si="571"/>
        <v>0</v>
      </c>
      <c r="BBB1618" s="55">
        <f t="shared" si="571"/>
        <v>0</v>
      </c>
      <c r="BBC1618" s="55">
        <f t="shared" si="571"/>
        <v>0</v>
      </c>
      <c r="BBD1618" s="55">
        <f t="shared" si="571"/>
        <v>0</v>
      </c>
      <c r="BBE1618" s="55">
        <f t="shared" si="571"/>
        <v>0</v>
      </c>
      <c r="BBF1618" s="55">
        <f t="shared" si="571"/>
        <v>0</v>
      </c>
      <c r="BBG1618" s="55">
        <f t="shared" si="571"/>
        <v>0</v>
      </c>
      <c r="BBH1618" s="55">
        <f t="shared" si="571"/>
        <v>0</v>
      </c>
      <c r="BBI1618" s="55">
        <f t="shared" si="571"/>
        <v>0</v>
      </c>
      <c r="BBJ1618" s="55">
        <f t="shared" si="571"/>
        <v>0</v>
      </c>
      <c r="BBK1618" s="55">
        <f t="shared" si="571"/>
        <v>0</v>
      </c>
      <c r="BBL1618" s="55">
        <f t="shared" si="571"/>
        <v>0</v>
      </c>
      <c r="BBM1618" s="55">
        <f t="shared" si="571"/>
        <v>0</v>
      </c>
      <c r="BBN1618" s="55">
        <f t="shared" si="571"/>
        <v>0</v>
      </c>
      <c r="BBO1618" s="55">
        <f t="shared" si="571"/>
        <v>0</v>
      </c>
      <c r="BBP1618" s="55">
        <f t="shared" ref="BBP1618:BEA1618" si="572">+(BBP1627+BBP1608)*1.18*1.1</f>
        <v>0</v>
      </c>
      <c r="BBQ1618" s="55">
        <f t="shared" si="572"/>
        <v>0</v>
      </c>
      <c r="BBR1618" s="55">
        <f t="shared" si="572"/>
        <v>0</v>
      </c>
      <c r="BBS1618" s="55">
        <f t="shared" si="572"/>
        <v>0</v>
      </c>
      <c r="BBT1618" s="55">
        <f t="shared" si="572"/>
        <v>0</v>
      </c>
      <c r="BBU1618" s="55">
        <f t="shared" si="572"/>
        <v>0</v>
      </c>
      <c r="BBV1618" s="55">
        <f t="shared" si="572"/>
        <v>0</v>
      </c>
      <c r="BBW1618" s="55">
        <f t="shared" si="572"/>
        <v>0</v>
      </c>
      <c r="BBX1618" s="55">
        <f t="shared" si="572"/>
        <v>0</v>
      </c>
      <c r="BBY1618" s="55">
        <f t="shared" si="572"/>
        <v>0</v>
      </c>
      <c r="BBZ1618" s="55">
        <f t="shared" si="572"/>
        <v>0</v>
      </c>
      <c r="BCA1618" s="55">
        <f t="shared" si="572"/>
        <v>0</v>
      </c>
      <c r="BCB1618" s="55">
        <f t="shared" si="572"/>
        <v>0</v>
      </c>
      <c r="BCC1618" s="55">
        <f t="shared" si="572"/>
        <v>0</v>
      </c>
      <c r="BCD1618" s="55">
        <f t="shared" si="572"/>
        <v>0</v>
      </c>
      <c r="BCE1618" s="55">
        <f t="shared" si="572"/>
        <v>0</v>
      </c>
      <c r="BCF1618" s="55">
        <f t="shared" si="572"/>
        <v>0</v>
      </c>
      <c r="BCG1618" s="55">
        <f t="shared" si="572"/>
        <v>0</v>
      </c>
      <c r="BCH1618" s="55">
        <f t="shared" si="572"/>
        <v>0</v>
      </c>
      <c r="BCI1618" s="55">
        <f t="shared" si="572"/>
        <v>0</v>
      </c>
      <c r="BCJ1618" s="55">
        <f t="shared" si="572"/>
        <v>0</v>
      </c>
      <c r="BCK1618" s="55">
        <f t="shared" si="572"/>
        <v>0</v>
      </c>
      <c r="BCL1618" s="55">
        <f t="shared" si="572"/>
        <v>0</v>
      </c>
      <c r="BCM1618" s="55">
        <f t="shared" si="572"/>
        <v>0</v>
      </c>
      <c r="BCN1618" s="55">
        <f t="shared" si="572"/>
        <v>0</v>
      </c>
      <c r="BCO1618" s="55">
        <f t="shared" si="572"/>
        <v>0</v>
      </c>
      <c r="BCP1618" s="55">
        <f t="shared" si="572"/>
        <v>0</v>
      </c>
      <c r="BCQ1618" s="55">
        <f t="shared" si="572"/>
        <v>0</v>
      </c>
      <c r="BCR1618" s="55">
        <f t="shared" si="572"/>
        <v>0</v>
      </c>
      <c r="BCS1618" s="55">
        <f t="shared" si="572"/>
        <v>0</v>
      </c>
      <c r="BCT1618" s="55">
        <f t="shared" si="572"/>
        <v>0</v>
      </c>
      <c r="BCU1618" s="55">
        <f t="shared" si="572"/>
        <v>0</v>
      </c>
      <c r="BCV1618" s="55">
        <f t="shared" si="572"/>
        <v>0</v>
      </c>
      <c r="BCW1618" s="55">
        <f t="shared" si="572"/>
        <v>0</v>
      </c>
      <c r="BCX1618" s="55">
        <f t="shared" si="572"/>
        <v>0</v>
      </c>
      <c r="BCY1618" s="55">
        <f t="shared" si="572"/>
        <v>0</v>
      </c>
      <c r="BCZ1618" s="55">
        <f t="shared" si="572"/>
        <v>0</v>
      </c>
      <c r="BDA1618" s="55">
        <f t="shared" si="572"/>
        <v>0</v>
      </c>
      <c r="BDB1618" s="55">
        <f t="shared" si="572"/>
        <v>0</v>
      </c>
      <c r="BDC1618" s="55">
        <f t="shared" si="572"/>
        <v>0</v>
      </c>
      <c r="BDD1618" s="55">
        <f t="shared" si="572"/>
        <v>0</v>
      </c>
      <c r="BDE1618" s="55">
        <f t="shared" si="572"/>
        <v>0</v>
      </c>
      <c r="BDF1618" s="55">
        <f t="shared" si="572"/>
        <v>0</v>
      </c>
      <c r="BDG1618" s="55">
        <f t="shared" si="572"/>
        <v>0</v>
      </c>
      <c r="BDH1618" s="55">
        <f t="shared" si="572"/>
        <v>0</v>
      </c>
      <c r="BDI1618" s="55">
        <f t="shared" si="572"/>
        <v>0</v>
      </c>
      <c r="BDJ1618" s="55">
        <f t="shared" si="572"/>
        <v>0</v>
      </c>
      <c r="BDK1618" s="55">
        <f t="shared" si="572"/>
        <v>0</v>
      </c>
      <c r="BDL1618" s="55">
        <f t="shared" si="572"/>
        <v>0</v>
      </c>
      <c r="BDM1618" s="55">
        <f t="shared" si="572"/>
        <v>0</v>
      </c>
      <c r="BDN1618" s="55">
        <f t="shared" si="572"/>
        <v>0</v>
      </c>
      <c r="BDO1618" s="55">
        <f t="shared" si="572"/>
        <v>0</v>
      </c>
      <c r="BDP1618" s="55">
        <f t="shared" si="572"/>
        <v>0</v>
      </c>
      <c r="BDQ1618" s="55">
        <f t="shared" si="572"/>
        <v>0</v>
      </c>
      <c r="BDR1618" s="55">
        <f t="shared" si="572"/>
        <v>0</v>
      </c>
      <c r="BDS1618" s="55">
        <f t="shared" si="572"/>
        <v>0</v>
      </c>
      <c r="BDT1618" s="55">
        <f t="shared" si="572"/>
        <v>0</v>
      </c>
      <c r="BDU1618" s="55">
        <f t="shared" si="572"/>
        <v>0</v>
      </c>
      <c r="BDV1618" s="55">
        <f t="shared" si="572"/>
        <v>0</v>
      </c>
      <c r="BDW1618" s="55">
        <f t="shared" si="572"/>
        <v>0</v>
      </c>
      <c r="BDX1618" s="55">
        <f t="shared" si="572"/>
        <v>0</v>
      </c>
      <c r="BDY1618" s="55">
        <f t="shared" si="572"/>
        <v>0</v>
      </c>
      <c r="BDZ1618" s="55">
        <f t="shared" si="572"/>
        <v>0</v>
      </c>
      <c r="BEA1618" s="55">
        <f t="shared" si="572"/>
        <v>0</v>
      </c>
      <c r="BEB1618" s="55">
        <f t="shared" ref="BEB1618:BGM1618" si="573">+(BEB1627+BEB1608)*1.18*1.1</f>
        <v>0</v>
      </c>
      <c r="BEC1618" s="55">
        <f t="shared" si="573"/>
        <v>0</v>
      </c>
      <c r="BED1618" s="55">
        <f t="shared" si="573"/>
        <v>0</v>
      </c>
      <c r="BEE1618" s="55">
        <f t="shared" si="573"/>
        <v>0</v>
      </c>
      <c r="BEF1618" s="55">
        <f t="shared" si="573"/>
        <v>0</v>
      </c>
      <c r="BEG1618" s="55">
        <f t="shared" si="573"/>
        <v>0</v>
      </c>
      <c r="BEH1618" s="55">
        <f t="shared" si="573"/>
        <v>0</v>
      </c>
      <c r="BEI1618" s="55">
        <f t="shared" si="573"/>
        <v>0</v>
      </c>
      <c r="BEJ1618" s="55">
        <f t="shared" si="573"/>
        <v>0</v>
      </c>
      <c r="BEK1618" s="55">
        <f t="shared" si="573"/>
        <v>0</v>
      </c>
      <c r="BEL1618" s="55">
        <f t="shared" si="573"/>
        <v>0</v>
      </c>
      <c r="BEM1618" s="55">
        <f t="shared" si="573"/>
        <v>0</v>
      </c>
      <c r="BEN1618" s="55">
        <f t="shared" si="573"/>
        <v>0</v>
      </c>
      <c r="BEO1618" s="55">
        <f t="shared" si="573"/>
        <v>0</v>
      </c>
      <c r="BEP1618" s="55">
        <f t="shared" si="573"/>
        <v>0</v>
      </c>
      <c r="BEQ1618" s="55">
        <f t="shared" si="573"/>
        <v>0</v>
      </c>
      <c r="BER1618" s="55">
        <f t="shared" si="573"/>
        <v>0</v>
      </c>
      <c r="BES1618" s="55">
        <f t="shared" si="573"/>
        <v>0</v>
      </c>
      <c r="BET1618" s="55">
        <f t="shared" si="573"/>
        <v>0</v>
      </c>
      <c r="BEU1618" s="55">
        <f t="shared" si="573"/>
        <v>0</v>
      </c>
      <c r="BEV1618" s="55">
        <f t="shared" si="573"/>
        <v>0</v>
      </c>
      <c r="BEW1618" s="55">
        <f t="shared" si="573"/>
        <v>0</v>
      </c>
      <c r="BEX1618" s="55">
        <f t="shared" si="573"/>
        <v>0</v>
      </c>
      <c r="BEY1618" s="55">
        <f t="shared" si="573"/>
        <v>0</v>
      </c>
      <c r="BEZ1618" s="55">
        <f t="shared" si="573"/>
        <v>0</v>
      </c>
      <c r="BFA1618" s="55">
        <f t="shared" si="573"/>
        <v>0</v>
      </c>
      <c r="BFB1618" s="55">
        <f t="shared" si="573"/>
        <v>0</v>
      </c>
      <c r="BFC1618" s="55">
        <f t="shared" si="573"/>
        <v>0</v>
      </c>
      <c r="BFD1618" s="55">
        <f t="shared" si="573"/>
        <v>0</v>
      </c>
      <c r="BFE1618" s="55">
        <f t="shared" si="573"/>
        <v>0</v>
      </c>
      <c r="BFF1618" s="55">
        <f t="shared" si="573"/>
        <v>0</v>
      </c>
      <c r="BFG1618" s="55">
        <f t="shared" si="573"/>
        <v>0</v>
      </c>
      <c r="BFH1618" s="55">
        <f t="shared" si="573"/>
        <v>0</v>
      </c>
      <c r="BFI1618" s="55">
        <f t="shared" si="573"/>
        <v>0</v>
      </c>
      <c r="BFJ1618" s="55">
        <f t="shared" si="573"/>
        <v>0</v>
      </c>
      <c r="BFK1618" s="55">
        <f t="shared" si="573"/>
        <v>0</v>
      </c>
      <c r="BFL1618" s="55">
        <f t="shared" si="573"/>
        <v>0</v>
      </c>
      <c r="BFM1618" s="55">
        <f t="shared" si="573"/>
        <v>0</v>
      </c>
      <c r="BFN1618" s="55">
        <f t="shared" si="573"/>
        <v>0</v>
      </c>
      <c r="BFO1618" s="55">
        <f t="shared" si="573"/>
        <v>0</v>
      </c>
      <c r="BFP1618" s="55">
        <f t="shared" si="573"/>
        <v>0</v>
      </c>
      <c r="BFQ1618" s="55">
        <f t="shared" si="573"/>
        <v>0</v>
      </c>
      <c r="BFR1618" s="55">
        <f t="shared" si="573"/>
        <v>0</v>
      </c>
      <c r="BFS1618" s="55">
        <f t="shared" si="573"/>
        <v>0</v>
      </c>
      <c r="BFT1618" s="55">
        <f t="shared" si="573"/>
        <v>0</v>
      </c>
      <c r="BFU1618" s="55">
        <f t="shared" si="573"/>
        <v>0</v>
      </c>
      <c r="BFV1618" s="55">
        <f t="shared" si="573"/>
        <v>0</v>
      </c>
      <c r="BFW1618" s="55">
        <f t="shared" si="573"/>
        <v>0</v>
      </c>
      <c r="BFX1618" s="55">
        <f t="shared" si="573"/>
        <v>0</v>
      </c>
      <c r="BFY1618" s="55">
        <f t="shared" si="573"/>
        <v>0</v>
      </c>
      <c r="BFZ1618" s="55">
        <f t="shared" si="573"/>
        <v>0</v>
      </c>
      <c r="BGA1618" s="55">
        <f t="shared" si="573"/>
        <v>0</v>
      </c>
      <c r="BGB1618" s="55">
        <f t="shared" si="573"/>
        <v>0</v>
      </c>
      <c r="BGC1618" s="55">
        <f t="shared" si="573"/>
        <v>0</v>
      </c>
      <c r="BGD1618" s="55">
        <f t="shared" si="573"/>
        <v>0</v>
      </c>
      <c r="BGE1618" s="55">
        <f t="shared" si="573"/>
        <v>0</v>
      </c>
      <c r="BGF1618" s="55">
        <f t="shared" si="573"/>
        <v>0</v>
      </c>
      <c r="BGG1618" s="55">
        <f t="shared" si="573"/>
        <v>0</v>
      </c>
      <c r="BGH1618" s="55">
        <f t="shared" si="573"/>
        <v>0</v>
      </c>
      <c r="BGI1618" s="55">
        <f t="shared" si="573"/>
        <v>0</v>
      </c>
      <c r="BGJ1618" s="55">
        <f t="shared" si="573"/>
        <v>0</v>
      </c>
      <c r="BGK1618" s="55">
        <f t="shared" si="573"/>
        <v>0</v>
      </c>
      <c r="BGL1618" s="55">
        <f t="shared" si="573"/>
        <v>0</v>
      </c>
      <c r="BGM1618" s="55">
        <f t="shared" si="573"/>
        <v>0</v>
      </c>
      <c r="BGN1618" s="55">
        <f t="shared" ref="BGN1618:BIY1618" si="574">+(BGN1627+BGN1608)*1.18*1.1</f>
        <v>0</v>
      </c>
      <c r="BGO1618" s="55">
        <f t="shared" si="574"/>
        <v>0</v>
      </c>
      <c r="BGP1618" s="55">
        <f t="shared" si="574"/>
        <v>0</v>
      </c>
      <c r="BGQ1618" s="55">
        <f t="shared" si="574"/>
        <v>0</v>
      </c>
      <c r="BGR1618" s="55">
        <f t="shared" si="574"/>
        <v>0</v>
      </c>
      <c r="BGS1618" s="55">
        <f t="shared" si="574"/>
        <v>0</v>
      </c>
      <c r="BGT1618" s="55">
        <f t="shared" si="574"/>
        <v>0</v>
      </c>
      <c r="BGU1618" s="55">
        <f t="shared" si="574"/>
        <v>0</v>
      </c>
      <c r="BGV1618" s="55">
        <f t="shared" si="574"/>
        <v>0</v>
      </c>
      <c r="BGW1618" s="55">
        <f t="shared" si="574"/>
        <v>0</v>
      </c>
      <c r="BGX1618" s="55">
        <f t="shared" si="574"/>
        <v>0</v>
      </c>
      <c r="BGY1618" s="55">
        <f t="shared" si="574"/>
        <v>0</v>
      </c>
      <c r="BGZ1618" s="55">
        <f t="shared" si="574"/>
        <v>0</v>
      </c>
      <c r="BHA1618" s="55">
        <f t="shared" si="574"/>
        <v>0</v>
      </c>
      <c r="BHB1618" s="55">
        <f t="shared" si="574"/>
        <v>0</v>
      </c>
      <c r="BHC1618" s="55">
        <f t="shared" si="574"/>
        <v>0</v>
      </c>
      <c r="BHD1618" s="55">
        <f t="shared" si="574"/>
        <v>0</v>
      </c>
      <c r="BHE1618" s="55">
        <f t="shared" si="574"/>
        <v>0</v>
      </c>
      <c r="BHF1618" s="55">
        <f t="shared" si="574"/>
        <v>0</v>
      </c>
      <c r="BHG1618" s="55">
        <f t="shared" si="574"/>
        <v>0</v>
      </c>
      <c r="BHH1618" s="55">
        <f t="shared" si="574"/>
        <v>0</v>
      </c>
      <c r="BHI1618" s="55">
        <f t="shared" si="574"/>
        <v>0</v>
      </c>
      <c r="BHJ1618" s="55">
        <f t="shared" si="574"/>
        <v>0</v>
      </c>
      <c r="BHK1618" s="55">
        <f t="shared" si="574"/>
        <v>0</v>
      </c>
      <c r="BHL1618" s="55">
        <f t="shared" si="574"/>
        <v>0</v>
      </c>
      <c r="BHM1618" s="55">
        <f t="shared" si="574"/>
        <v>0</v>
      </c>
      <c r="BHN1618" s="55">
        <f t="shared" si="574"/>
        <v>0</v>
      </c>
      <c r="BHO1618" s="55">
        <f t="shared" si="574"/>
        <v>0</v>
      </c>
      <c r="BHP1618" s="55">
        <f t="shared" si="574"/>
        <v>0</v>
      </c>
      <c r="BHQ1618" s="55">
        <f t="shared" si="574"/>
        <v>0</v>
      </c>
      <c r="BHR1618" s="55">
        <f t="shared" si="574"/>
        <v>0</v>
      </c>
      <c r="BHS1618" s="55">
        <f t="shared" si="574"/>
        <v>0</v>
      </c>
      <c r="BHT1618" s="55">
        <f t="shared" si="574"/>
        <v>0</v>
      </c>
      <c r="BHU1618" s="55">
        <f t="shared" si="574"/>
        <v>0</v>
      </c>
      <c r="BHV1618" s="55">
        <f t="shared" si="574"/>
        <v>0</v>
      </c>
      <c r="BHW1618" s="55">
        <f t="shared" si="574"/>
        <v>0</v>
      </c>
      <c r="BHX1618" s="55">
        <f t="shared" si="574"/>
        <v>0</v>
      </c>
      <c r="BHY1618" s="55">
        <f t="shared" si="574"/>
        <v>0</v>
      </c>
      <c r="BHZ1618" s="55">
        <f t="shared" si="574"/>
        <v>0</v>
      </c>
      <c r="BIA1618" s="55">
        <f t="shared" si="574"/>
        <v>0</v>
      </c>
      <c r="BIB1618" s="55">
        <f t="shared" si="574"/>
        <v>0</v>
      </c>
      <c r="BIC1618" s="55">
        <f t="shared" si="574"/>
        <v>0</v>
      </c>
      <c r="BID1618" s="55">
        <f t="shared" si="574"/>
        <v>0</v>
      </c>
      <c r="BIE1618" s="55">
        <f t="shared" si="574"/>
        <v>0</v>
      </c>
      <c r="BIF1618" s="55">
        <f t="shared" si="574"/>
        <v>0</v>
      </c>
      <c r="BIG1618" s="55">
        <f t="shared" si="574"/>
        <v>0</v>
      </c>
      <c r="BIH1618" s="55">
        <f t="shared" si="574"/>
        <v>0</v>
      </c>
      <c r="BII1618" s="55">
        <f t="shared" si="574"/>
        <v>0</v>
      </c>
      <c r="BIJ1618" s="55">
        <f t="shared" si="574"/>
        <v>0</v>
      </c>
      <c r="BIK1618" s="55">
        <f t="shared" si="574"/>
        <v>0</v>
      </c>
      <c r="BIL1618" s="55">
        <f t="shared" si="574"/>
        <v>0</v>
      </c>
      <c r="BIM1618" s="55">
        <f t="shared" si="574"/>
        <v>0</v>
      </c>
      <c r="BIN1618" s="55">
        <f t="shared" si="574"/>
        <v>0</v>
      </c>
      <c r="BIO1618" s="55">
        <f t="shared" si="574"/>
        <v>0</v>
      </c>
      <c r="BIP1618" s="55">
        <f t="shared" si="574"/>
        <v>0</v>
      </c>
      <c r="BIQ1618" s="55">
        <f t="shared" si="574"/>
        <v>0</v>
      </c>
      <c r="BIR1618" s="55">
        <f t="shared" si="574"/>
        <v>0</v>
      </c>
      <c r="BIS1618" s="55">
        <f t="shared" si="574"/>
        <v>0</v>
      </c>
      <c r="BIT1618" s="55">
        <f t="shared" si="574"/>
        <v>0</v>
      </c>
      <c r="BIU1618" s="55">
        <f t="shared" si="574"/>
        <v>0</v>
      </c>
      <c r="BIV1618" s="55">
        <f t="shared" si="574"/>
        <v>0</v>
      </c>
      <c r="BIW1618" s="55">
        <f t="shared" si="574"/>
        <v>0</v>
      </c>
      <c r="BIX1618" s="55">
        <f t="shared" si="574"/>
        <v>0</v>
      </c>
      <c r="BIY1618" s="55">
        <f t="shared" si="574"/>
        <v>0</v>
      </c>
      <c r="BIZ1618" s="55">
        <f t="shared" ref="BIZ1618:BLK1618" si="575">+(BIZ1627+BIZ1608)*1.18*1.1</f>
        <v>0</v>
      </c>
      <c r="BJA1618" s="55">
        <f t="shared" si="575"/>
        <v>0</v>
      </c>
      <c r="BJB1618" s="55">
        <f t="shared" si="575"/>
        <v>0</v>
      </c>
      <c r="BJC1618" s="55">
        <f t="shared" si="575"/>
        <v>0</v>
      </c>
      <c r="BJD1618" s="55">
        <f t="shared" si="575"/>
        <v>0</v>
      </c>
      <c r="BJE1618" s="55">
        <f t="shared" si="575"/>
        <v>0</v>
      </c>
      <c r="BJF1618" s="55">
        <f t="shared" si="575"/>
        <v>0</v>
      </c>
      <c r="BJG1618" s="55">
        <f t="shared" si="575"/>
        <v>0</v>
      </c>
      <c r="BJH1618" s="55">
        <f t="shared" si="575"/>
        <v>0</v>
      </c>
      <c r="BJI1618" s="55">
        <f t="shared" si="575"/>
        <v>0</v>
      </c>
      <c r="BJJ1618" s="55">
        <f t="shared" si="575"/>
        <v>0</v>
      </c>
      <c r="BJK1618" s="55">
        <f t="shared" si="575"/>
        <v>0</v>
      </c>
      <c r="BJL1618" s="55">
        <f t="shared" si="575"/>
        <v>0</v>
      </c>
      <c r="BJM1618" s="55">
        <f t="shared" si="575"/>
        <v>0</v>
      </c>
      <c r="BJN1618" s="55">
        <f t="shared" si="575"/>
        <v>0</v>
      </c>
      <c r="BJO1618" s="55">
        <f t="shared" si="575"/>
        <v>0</v>
      </c>
      <c r="BJP1618" s="55">
        <f t="shared" si="575"/>
        <v>0</v>
      </c>
      <c r="BJQ1618" s="55">
        <f t="shared" si="575"/>
        <v>0</v>
      </c>
      <c r="BJR1618" s="55">
        <f t="shared" si="575"/>
        <v>0</v>
      </c>
      <c r="BJS1618" s="55">
        <f t="shared" si="575"/>
        <v>0</v>
      </c>
      <c r="BJT1618" s="55">
        <f t="shared" si="575"/>
        <v>0</v>
      </c>
      <c r="BJU1618" s="55">
        <f t="shared" si="575"/>
        <v>0</v>
      </c>
      <c r="BJV1618" s="55">
        <f t="shared" si="575"/>
        <v>0</v>
      </c>
      <c r="BJW1618" s="55">
        <f t="shared" si="575"/>
        <v>0</v>
      </c>
      <c r="BJX1618" s="55">
        <f t="shared" si="575"/>
        <v>0</v>
      </c>
      <c r="BJY1618" s="55">
        <f t="shared" si="575"/>
        <v>0</v>
      </c>
      <c r="BJZ1618" s="55">
        <f t="shared" si="575"/>
        <v>0</v>
      </c>
      <c r="BKA1618" s="55">
        <f t="shared" si="575"/>
        <v>0</v>
      </c>
      <c r="BKB1618" s="55">
        <f t="shared" si="575"/>
        <v>0</v>
      </c>
      <c r="BKC1618" s="55">
        <f t="shared" si="575"/>
        <v>0</v>
      </c>
      <c r="BKD1618" s="55">
        <f t="shared" si="575"/>
        <v>0</v>
      </c>
      <c r="BKE1618" s="55">
        <f t="shared" si="575"/>
        <v>0</v>
      </c>
      <c r="BKF1618" s="55">
        <f t="shared" si="575"/>
        <v>0</v>
      </c>
      <c r="BKG1618" s="55">
        <f t="shared" si="575"/>
        <v>0</v>
      </c>
      <c r="BKH1618" s="55">
        <f t="shared" si="575"/>
        <v>0</v>
      </c>
      <c r="BKI1618" s="55">
        <f t="shared" si="575"/>
        <v>0</v>
      </c>
      <c r="BKJ1618" s="55">
        <f t="shared" si="575"/>
        <v>0</v>
      </c>
      <c r="BKK1618" s="55">
        <f t="shared" si="575"/>
        <v>0</v>
      </c>
      <c r="BKL1618" s="55">
        <f t="shared" si="575"/>
        <v>0</v>
      </c>
      <c r="BKM1618" s="55">
        <f t="shared" si="575"/>
        <v>0</v>
      </c>
      <c r="BKN1618" s="55">
        <f t="shared" si="575"/>
        <v>0</v>
      </c>
      <c r="BKO1618" s="55">
        <f t="shared" si="575"/>
        <v>0</v>
      </c>
      <c r="BKP1618" s="55">
        <f t="shared" si="575"/>
        <v>0</v>
      </c>
      <c r="BKQ1618" s="55">
        <f t="shared" si="575"/>
        <v>0</v>
      </c>
      <c r="BKR1618" s="55">
        <f t="shared" si="575"/>
        <v>0</v>
      </c>
      <c r="BKS1618" s="55">
        <f t="shared" si="575"/>
        <v>0</v>
      </c>
      <c r="BKT1618" s="55">
        <f t="shared" si="575"/>
        <v>0</v>
      </c>
      <c r="BKU1618" s="55">
        <f t="shared" si="575"/>
        <v>0</v>
      </c>
      <c r="BKV1618" s="55">
        <f t="shared" si="575"/>
        <v>0</v>
      </c>
      <c r="BKW1618" s="55">
        <f t="shared" si="575"/>
        <v>0</v>
      </c>
      <c r="BKX1618" s="55">
        <f t="shared" si="575"/>
        <v>0</v>
      </c>
      <c r="BKY1618" s="55">
        <f t="shared" si="575"/>
        <v>0</v>
      </c>
      <c r="BKZ1618" s="55">
        <f t="shared" si="575"/>
        <v>0</v>
      </c>
      <c r="BLA1618" s="55">
        <f t="shared" si="575"/>
        <v>0</v>
      </c>
      <c r="BLB1618" s="55">
        <f t="shared" si="575"/>
        <v>0</v>
      </c>
      <c r="BLC1618" s="55">
        <f t="shared" si="575"/>
        <v>0</v>
      </c>
      <c r="BLD1618" s="55">
        <f t="shared" si="575"/>
        <v>0</v>
      </c>
      <c r="BLE1618" s="55">
        <f t="shared" si="575"/>
        <v>0</v>
      </c>
      <c r="BLF1618" s="55">
        <f t="shared" si="575"/>
        <v>0</v>
      </c>
      <c r="BLG1618" s="55">
        <f t="shared" si="575"/>
        <v>0</v>
      </c>
      <c r="BLH1618" s="55">
        <f t="shared" si="575"/>
        <v>0</v>
      </c>
      <c r="BLI1618" s="55">
        <f t="shared" si="575"/>
        <v>0</v>
      </c>
      <c r="BLJ1618" s="55">
        <f t="shared" si="575"/>
        <v>0</v>
      </c>
      <c r="BLK1618" s="55">
        <f t="shared" si="575"/>
        <v>0</v>
      </c>
      <c r="BLL1618" s="55">
        <f t="shared" ref="BLL1618:BNW1618" si="576">+(BLL1627+BLL1608)*1.18*1.1</f>
        <v>0</v>
      </c>
      <c r="BLM1618" s="55">
        <f t="shared" si="576"/>
        <v>0</v>
      </c>
      <c r="BLN1618" s="55">
        <f t="shared" si="576"/>
        <v>0</v>
      </c>
      <c r="BLO1618" s="55">
        <f t="shared" si="576"/>
        <v>0</v>
      </c>
      <c r="BLP1618" s="55">
        <f t="shared" si="576"/>
        <v>0</v>
      </c>
      <c r="BLQ1618" s="55">
        <f t="shared" si="576"/>
        <v>0</v>
      </c>
      <c r="BLR1618" s="55">
        <f t="shared" si="576"/>
        <v>0</v>
      </c>
      <c r="BLS1618" s="55">
        <f t="shared" si="576"/>
        <v>0</v>
      </c>
      <c r="BLT1618" s="55">
        <f t="shared" si="576"/>
        <v>0</v>
      </c>
      <c r="BLU1618" s="55">
        <f t="shared" si="576"/>
        <v>0</v>
      </c>
      <c r="BLV1618" s="55">
        <f t="shared" si="576"/>
        <v>0</v>
      </c>
      <c r="BLW1618" s="55">
        <f t="shared" si="576"/>
        <v>0</v>
      </c>
      <c r="BLX1618" s="55">
        <f t="shared" si="576"/>
        <v>0</v>
      </c>
      <c r="BLY1618" s="55">
        <f t="shared" si="576"/>
        <v>0</v>
      </c>
      <c r="BLZ1618" s="55">
        <f t="shared" si="576"/>
        <v>0</v>
      </c>
      <c r="BMA1618" s="55">
        <f t="shared" si="576"/>
        <v>0</v>
      </c>
      <c r="BMB1618" s="55">
        <f t="shared" si="576"/>
        <v>0</v>
      </c>
      <c r="BMC1618" s="55">
        <f t="shared" si="576"/>
        <v>0</v>
      </c>
      <c r="BMD1618" s="55">
        <f t="shared" si="576"/>
        <v>0</v>
      </c>
      <c r="BME1618" s="55">
        <f t="shared" si="576"/>
        <v>0</v>
      </c>
      <c r="BMF1618" s="55">
        <f t="shared" si="576"/>
        <v>0</v>
      </c>
      <c r="BMG1618" s="55">
        <f t="shared" si="576"/>
        <v>0</v>
      </c>
      <c r="BMH1618" s="55">
        <f t="shared" si="576"/>
        <v>0</v>
      </c>
      <c r="BMI1618" s="55">
        <f t="shared" si="576"/>
        <v>0</v>
      </c>
      <c r="BMJ1618" s="55">
        <f t="shared" si="576"/>
        <v>0</v>
      </c>
      <c r="BMK1618" s="55">
        <f t="shared" si="576"/>
        <v>0</v>
      </c>
      <c r="BML1618" s="55">
        <f t="shared" si="576"/>
        <v>0</v>
      </c>
      <c r="BMM1618" s="55">
        <f t="shared" si="576"/>
        <v>0</v>
      </c>
      <c r="BMN1618" s="55">
        <f t="shared" si="576"/>
        <v>0</v>
      </c>
      <c r="BMO1618" s="55">
        <f t="shared" si="576"/>
        <v>0</v>
      </c>
      <c r="BMP1618" s="55">
        <f t="shared" si="576"/>
        <v>0</v>
      </c>
      <c r="BMQ1618" s="55">
        <f t="shared" si="576"/>
        <v>0</v>
      </c>
      <c r="BMR1618" s="55">
        <f t="shared" si="576"/>
        <v>0</v>
      </c>
      <c r="BMS1618" s="55">
        <f t="shared" si="576"/>
        <v>0</v>
      </c>
      <c r="BMT1618" s="55">
        <f t="shared" si="576"/>
        <v>0</v>
      </c>
      <c r="BMU1618" s="55">
        <f t="shared" si="576"/>
        <v>0</v>
      </c>
      <c r="BMV1618" s="55">
        <f t="shared" si="576"/>
        <v>0</v>
      </c>
      <c r="BMW1618" s="55">
        <f t="shared" si="576"/>
        <v>0</v>
      </c>
      <c r="BMX1618" s="55">
        <f t="shared" si="576"/>
        <v>0</v>
      </c>
      <c r="BMY1618" s="55">
        <f t="shared" si="576"/>
        <v>0</v>
      </c>
      <c r="BMZ1618" s="55">
        <f t="shared" si="576"/>
        <v>0</v>
      </c>
      <c r="BNA1618" s="55">
        <f t="shared" si="576"/>
        <v>0</v>
      </c>
      <c r="BNB1618" s="55">
        <f t="shared" si="576"/>
        <v>0</v>
      </c>
      <c r="BNC1618" s="55">
        <f t="shared" si="576"/>
        <v>0</v>
      </c>
      <c r="BND1618" s="55">
        <f t="shared" si="576"/>
        <v>0</v>
      </c>
      <c r="BNE1618" s="55">
        <f t="shared" si="576"/>
        <v>0</v>
      </c>
      <c r="BNF1618" s="55">
        <f t="shared" si="576"/>
        <v>0</v>
      </c>
      <c r="BNG1618" s="55">
        <f t="shared" si="576"/>
        <v>0</v>
      </c>
      <c r="BNH1618" s="55">
        <f t="shared" si="576"/>
        <v>0</v>
      </c>
      <c r="BNI1618" s="55">
        <f t="shared" si="576"/>
        <v>0</v>
      </c>
      <c r="BNJ1618" s="55">
        <f t="shared" si="576"/>
        <v>0</v>
      </c>
      <c r="BNK1618" s="55">
        <f t="shared" si="576"/>
        <v>0</v>
      </c>
      <c r="BNL1618" s="55">
        <f t="shared" si="576"/>
        <v>0</v>
      </c>
      <c r="BNM1618" s="55">
        <f t="shared" si="576"/>
        <v>0</v>
      </c>
      <c r="BNN1618" s="55">
        <f t="shared" si="576"/>
        <v>0</v>
      </c>
      <c r="BNO1618" s="55">
        <f t="shared" si="576"/>
        <v>0</v>
      </c>
      <c r="BNP1618" s="55">
        <f t="shared" si="576"/>
        <v>0</v>
      </c>
      <c r="BNQ1618" s="55">
        <f t="shared" si="576"/>
        <v>0</v>
      </c>
      <c r="BNR1618" s="55">
        <f t="shared" si="576"/>
        <v>0</v>
      </c>
      <c r="BNS1618" s="55">
        <f t="shared" si="576"/>
        <v>0</v>
      </c>
      <c r="BNT1618" s="55">
        <f t="shared" si="576"/>
        <v>0</v>
      </c>
      <c r="BNU1618" s="55">
        <f t="shared" si="576"/>
        <v>0</v>
      </c>
      <c r="BNV1618" s="55">
        <f t="shared" si="576"/>
        <v>0</v>
      </c>
      <c r="BNW1618" s="55">
        <f t="shared" si="576"/>
        <v>0</v>
      </c>
      <c r="BNX1618" s="55">
        <f t="shared" ref="BNX1618:BQI1618" si="577">+(BNX1627+BNX1608)*1.18*1.1</f>
        <v>0</v>
      </c>
      <c r="BNY1618" s="55">
        <f t="shared" si="577"/>
        <v>0</v>
      </c>
      <c r="BNZ1618" s="55">
        <f t="shared" si="577"/>
        <v>0</v>
      </c>
      <c r="BOA1618" s="55">
        <f t="shared" si="577"/>
        <v>0</v>
      </c>
      <c r="BOB1618" s="55">
        <f t="shared" si="577"/>
        <v>0</v>
      </c>
      <c r="BOC1618" s="55">
        <f t="shared" si="577"/>
        <v>0</v>
      </c>
      <c r="BOD1618" s="55">
        <f t="shared" si="577"/>
        <v>0</v>
      </c>
      <c r="BOE1618" s="55">
        <f t="shared" si="577"/>
        <v>0</v>
      </c>
      <c r="BOF1618" s="55">
        <f t="shared" si="577"/>
        <v>0</v>
      </c>
      <c r="BOG1618" s="55">
        <f t="shared" si="577"/>
        <v>0</v>
      </c>
      <c r="BOH1618" s="55">
        <f t="shared" si="577"/>
        <v>0</v>
      </c>
      <c r="BOI1618" s="55">
        <f t="shared" si="577"/>
        <v>0</v>
      </c>
      <c r="BOJ1618" s="55">
        <f t="shared" si="577"/>
        <v>0</v>
      </c>
      <c r="BOK1618" s="55">
        <f t="shared" si="577"/>
        <v>0</v>
      </c>
      <c r="BOL1618" s="55">
        <f t="shared" si="577"/>
        <v>0</v>
      </c>
      <c r="BOM1618" s="55">
        <f t="shared" si="577"/>
        <v>0</v>
      </c>
      <c r="BON1618" s="55">
        <f t="shared" si="577"/>
        <v>0</v>
      </c>
      <c r="BOO1618" s="55">
        <f t="shared" si="577"/>
        <v>0</v>
      </c>
      <c r="BOP1618" s="55">
        <f t="shared" si="577"/>
        <v>0</v>
      </c>
      <c r="BOQ1618" s="55">
        <f t="shared" si="577"/>
        <v>0</v>
      </c>
      <c r="BOR1618" s="55">
        <f t="shared" si="577"/>
        <v>0</v>
      </c>
      <c r="BOS1618" s="55">
        <f t="shared" si="577"/>
        <v>0</v>
      </c>
      <c r="BOT1618" s="55">
        <f t="shared" si="577"/>
        <v>0</v>
      </c>
      <c r="BOU1618" s="55">
        <f t="shared" si="577"/>
        <v>0</v>
      </c>
      <c r="BOV1618" s="55">
        <f t="shared" si="577"/>
        <v>0</v>
      </c>
      <c r="BOW1618" s="55">
        <f t="shared" si="577"/>
        <v>0</v>
      </c>
      <c r="BOX1618" s="55">
        <f t="shared" si="577"/>
        <v>0</v>
      </c>
      <c r="BOY1618" s="55">
        <f t="shared" si="577"/>
        <v>0</v>
      </c>
      <c r="BOZ1618" s="55">
        <f t="shared" si="577"/>
        <v>0</v>
      </c>
      <c r="BPA1618" s="55">
        <f t="shared" si="577"/>
        <v>0</v>
      </c>
      <c r="BPB1618" s="55">
        <f t="shared" si="577"/>
        <v>0</v>
      </c>
      <c r="BPC1618" s="55">
        <f t="shared" si="577"/>
        <v>0</v>
      </c>
      <c r="BPD1618" s="55">
        <f t="shared" si="577"/>
        <v>0</v>
      </c>
      <c r="BPE1618" s="55">
        <f t="shared" si="577"/>
        <v>0</v>
      </c>
      <c r="BPF1618" s="55">
        <f t="shared" si="577"/>
        <v>0</v>
      </c>
      <c r="BPG1618" s="55">
        <f t="shared" si="577"/>
        <v>0</v>
      </c>
      <c r="BPH1618" s="55">
        <f t="shared" si="577"/>
        <v>0</v>
      </c>
      <c r="BPI1618" s="55">
        <f t="shared" si="577"/>
        <v>0</v>
      </c>
      <c r="BPJ1618" s="55">
        <f t="shared" si="577"/>
        <v>0</v>
      </c>
      <c r="BPK1618" s="55">
        <f t="shared" si="577"/>
        <v>0</v>
      </c>
      <c r="BPL1618" s="55">
        <f t="shared" si="577"/>
        <v>0</v>
      </c>
      <c r="BPM1618" s="55">
        <f t="shared" si="577"/>
        <v>0</v>
      </c>
      <c r="BPN1618" s="55">
        <f t="shared" si="577"/>
        <v>0</v>
      </c>
      <c r="BPO1618" s="55">
        <f t="shared" si="577"/>
        <v>0</v>
      </c>
      <c r="BPP1618" s="55">
        <f t="shared" si="577"/>
        <v>0</v>
      </c>
      <c r="BPQ1618" s="55">
        <f t="shared" si="577"/>
        <v>0</v>
      </c>
      <c r="BPR1618" s="55">
        <f t="shared" si="577"/>
        <v>0</v>
      </c>
      <c r="BPS1618" s="55">
        <f t="shared" si="577"/>
        <v>0</v>
      </c>
      <c r="BPT1618" s="55">
        <f t="shared" si="577"/>
        <v>0</v>
      </c>
      <c r="BPU1618" s="55">
        <f t="shared" si="577"/>
        <v>0</v>
      </c>
      <c r="BPV1618" s="55">
        <f t="shared" si="577"/>
        <v>0</v>
      </c>
      <c r="BPW1618" s="55">
        <f t="shared" si="577"/>
        <v>0</v>
      </c>
      <c r="BPX1618" s="55">
        <f t="shared" si="577"/>
        <v>0</v>
      </c>
      <c r="BPY1618" s="55">
        <f t="shared" si="577"/>
        <v>0</v>
      </c>
      <c r="BPZ1618" s="55">
        <f t="shared" si="577"/>
        <v>0</v>
      </c>
      <c r="BQA1618" s="55">
        <f t="shared" si="577"/>
        <v>0</v>
      </c>
      <c r="BQB1618" s="55">
        <f t="shared" si="577"/>
        <v>0</v>
      </c>
      <c r="BQC1618" s="55">
        <f t="shared" si="577"/>
        <v>0</v>
      </c>
      <c r="BQD1618" s="55">
        <f t="shared" si="577"/>
        <v>0</v>
      </c>
      <c r="BQE1618" s="55">
        <f t="shared" si="577"/>
        <v>0</v>
      </c>
      <c r="BQF1618" s="55">
        <f t="shared" si="577"/>
        <v>0</v>
      </c>
      <c r="BQG1618" s="55">
        <f t="shared" si="577"/>
        <v>0</v>
      </c>
      <c r="BQH1618" s="55">
        <f t="shared" si="577"/>
        <v>0</v>
      </c>
      <c r="BQI1618" s="55">
        <f t="shared" si="577"/>
        <v>0</v>
      </c>
      <c r="BQJ1618" s="55">
        <f t="shared" ref="BQJ1618:BSU1618" si="578">+(BQJ1627+BQJ1608)*1.18*1.1</f>
        <v>0</v>
      </c>
      <c r="BQK1618" s="55">
        <f t="shared" si="578"/>
        <v>0</v>
      </c>
      <c r="BQL1618" s="55">
        <f t="shared" si="578"/>
        <v>0</v>
      </c>
      <c r="BQM1618" s="55">
        <f t="shared" si="578"/>
        <v>0</v>
      </c>
      <c r="BQN1618" s="55">
        <f t="shared" si="578"/>
        <v>0</v>
      </c>
      <c r="BQO1618" s="55">
        <f t="shared" si="578"/>
        <v>0</v>
      </c>
      <c r="BQP1618" s="55">
        <f t="shared" si="578"/>
        <v>0</v>
      </c>
      <c r="BQQ1618" s="55">
        <f t="shared" si="578"/>
        <v>0</v>
      </c>
      <c r="BQR1618" s="55">
        <f t="shared" si="578"/>
        <v>0</v>
      </c>
      <c r="BQS1618" s="55">
        <f t="shared" si="578"/>
        <v>0</v>
      </c>
      <c r="BQT1618" s="55">
        <f t="shared" si="578"/>
        <v>0</v>
      </c>
      <c r="BQU1618" s="55">
        <f t="shared" si="578"/>
        <v>0</v>
      </c>
      <c r="BQV1618" s="55">
        <f t="shared" si="578"/>
        <v>0</v>
      </c>
      <c r="BQW1618" s="55">
        <f t="shared" si="578"/>
        <v>0</v>
      </c>
      <c r="BQX1618" s="55">
        <f t="shared" si="578"/>
        <v>0</v>
      </c>
      <c r="BQY1618" s="55">
        <f t="shared" si="578"/>
        <v>0</v>
      </c>
      <c r="BQZ1618" s="55">
        <f t="shared" si="578"/>
        <v>0</v>
      </c>
      <c r="BRA1618" s="55">
        <f t="shared" si="578"/>
        <v>0</v>
      </c>
      <c r="BRB1618" s="55">
        <f t="shared" si="578"/>
        <v>0</v>
      </c>
      <c r="BRC1618" s="55">
        <f t="shared" si="578"/>
        <v>0</v>
      </c>
      <c r="BRD1618" s="55">
        <f t="shared" si="578"/>
        <v>0</v>
      </c>
      <c r="BRE1618" s="55">
        <f t="shared" si="578"/>
        <v>0</v>
      </c>
      <c r="BRF1618" s="55">
        <f t="shared" si="578"/>
        <v>0</v>
      </c>
      <c r="BRG1618" s="55">
        <f t="shared" si="578"/>
        <v>0</v>
      </c>
      <c r="BRH1618" s="55">
        <f t="shared" si="578"/>
        <v>0</v>
      </c>
      <c r="BRI1618" s="55">
        <f t="shared" si="578"/>
        <v>0</v>
      </c>
      <c r="BRJ1618" s="55">
        <f t="shared" si="578"/>
        <v>0</v>
      </c>
      <c r="BRK1618" s="55">
        <f t="shared" si="578"/>
        <v>0</v>
      </c>
      <c r="BRL1618" s="55">
        <f t="shared" si="578"/>
        <v>0</v>
      </c>
      <c r="BRM1618" s="55">
        <f t="shared" si="578"/>
        <v>0</v>
      </c>
      <c r="BRN1618" s="55">
        <f t="shared" si="578"/>
        <v>0</v>
      </c>
      <c r="BRO1618" s="55">
        <f t="shared" si="578"/>
        <v>0</v>
      </c>
      <c r="BRP1618" s="55">
        <f t="shared" si="578"/>
        <v>0</v>
      </c>
      <c r="BRQ1618" s="55">
        <f t="shared" si="578"/>
        <v>0</v>
      </c>
      <c r="BRR1618" s="55">
        <f t="shared" si="578"/>
        <v>0</v>
      </c>
      <c r="BRS1618" s="55">
        <f t="shared" si="578"/>
        <v>0</v>
      </c>
      <c r="BRT1618" s="55">
        <f t="shared" si="578"/>
        <v>0</v>
      </c>
      <c r="BRU1618" s="55">
        <f t="shared" si="578"/>
        <v>0</v>
      </c>
      <c r="BRV1618" s="55">
        <f t="shared" si="578"/>
        <v>0</v>
      </c>
      <c r="BRW1618" s="55">
        <f t="shared" si="578"/>
        <v>0</v>
      </c>
      <c r="BRX1618" s="55">
        <f t="shared" si="578"/>
        <v>0</v>
      </c>
      <c r="BRY1618" s="55">
        <f t="shared" si="578"/>
        <v>0</v>
      </c>
      <c r="BRZ1618" s="55">
        <f t="shared" si="578"/>
        <v>0</v>
      </c>
      <c r="BSA1618" s="55">
        <f t="shared" si="578"/>
        <v>0</v>
      </c>
      <c r="BSB1618" s="55">
        <f t="shared" si="578"/>
        <v>0</v>
      </c>
      <c r="BSC1618" s="55">
        <f t="shared" si="578"/>
        <v>0</v>
      </c>
      <c r="BSD1618" s="55">
        <f t="shared" si="578"/>
        <v>0</v>
      </c>
      <c r="BSE1618" s="55">
        <f t="shared" si="578"/>
        <v>0</v>
      </c>
      <c r="BSF1618" s="55">
        <f t="shared" si="578"/>
        <v>0</v>
      </c>
      <c r="BSG1618" s="55">
        <f t="shared" si="578"/>
        <v>0</v>
      </c>
      <c r="BSH1618" s="55">
        <f t="shared" si="578"/>
        <v>0</v>
      </c>
      <c r="BSI1618" s="55">
        <f t="shared" si="578"/>
        <v>0</v>
      </c>
      <c r="BSJ1618" s="55">
        <f t="shared" si="578"/>
        <v>0</v>
      </c>
      <c r="BSK1618" s="55">
        <f t="shared" si="578"/>
        <v>0</v>
      </c>
      <c r="BSL1618" s="55">
        <f t="shared" si="578"/>
        <v>0</v>
      </c>
      <c r="BSM1618" s="55">
        <f t="shared" si="578"/>
        <v>0</v>
      </c>
      <c r="BSN1618" s="55">
        <f t="shared" si="578"/>
        <v>0</v>
      </c>
      <c r="BSO1618" s="55">
        <f t="shared" si="578"/>
        <v>0</v>
      </c>
      <c r="BSP1618" s="55">
        <f t="shared" si="578"/>
        <v>0</v>
      </c>
      <c r="BSQ1618" s="55">
        <f t="shared" si="578"/>
        <v>0</v>
      </c>
      <c r="BSR1618" s="55">
        <f t="shared" si="578"/>
        <v>0</v>
      </c>
      <c r="BSS1618" s="55">
        <f t="shared" si="578"/>
        <v>0</v>
      </c>
      <c r="BST1618" s="55">
        <f t="shared" si="578"/>
        <v>0</v>
      </c>
      <c r="BSU1618" s="55">
        <f t="shared" si="578"/>
        <v>0</v>
      </c>
      <c r="BSV1618" s="55">
        <f t="shared" ref="BSV1618:BVG1618" si="579">+(BSV1627+BSV1608)*1.18*1.1</f>
        <v>0</v>
      </c>
      <c r="BSW1618" s="55">
        <f t="shared" si="579"/>
        <v>0</v>
      </c>
      <c r="BSX1618" s="55">
        <f t="shared" si="579"/>
        <v>0</v>
      </c>
      <c r="BSY1618" s="55">
        <f t="shared" si="579"/>
        <v>0</v>
      </c>
      <c r="BSZ1618" s="55">
        <f t="shared" si="579"/>
        <v>0</v>
      </c>
      <c r="BTA1618" s="55">
        <f t="shared" si="579"/>
        <v>0</v>
      </c>
      <c r="BTB1618" s="55">
        <f t="shared" si="579"/>
        <v>0</v>
      </c>
      <c r="BTC1618" s="55">
        <f t="shared" si="579"/>
        <v>0</v>
      </c>
      <c r="BTD1618" s="55">
        <f t="shared" si="579"/>
        <v>0</v>
      </c>
      <c r="BTE1618" s="55">
        <f t="shared" si="579"/>
        <v>0</v>
      </c>
      <c r="BTF1618" s="55">
        <f t="shared" si="579"/>
        <v>0</v>
      </c>
      <c r="BTG1618" s="55">
        <f t="shared" si="579"/>
        <v>0</v>
      </c>
      <c r="BTH1618" s="55">
        <f t="shared" si="579"/>
        <v>0</v>
      </c>
      <c r="BTI1618" s="55">
        <f t="shared" si="579"/>
        <v>0</v>
      </c>
      <c r="BTJ1618" s="55">
        <f t="shared" si="579"/>
        <v>0</v>
      </c>
      <c r="BTK1618" s="55">
        <f t="shared" si="579"/>
        <v>0</v>
      </c>
      <c r="BTL1618" s="55">
        <f t="shared" si="579"/>
        <v>0</v>
      </c>
      <c r="BTM1618" s="55">
        <f t="shared" si="579"/>
        <v>0</v>
      </c>
      <c r="BTN1618" s="55">
        <f t="shared" si="579"/>
        <v>0</v>
      </c>
      <c r="BTO1618" s="55">
        <f t="shared" si="579"/>
        <v>0</v>
      </c>
      <c r="BTP1618" s="55">
        <f t="shared" si="579"/>
        <v>0</v>
      </c>
      <c r="BTQ1618" s="55">
        <f t="shared" si="579"/>
        <v>0</v>
      </c>
      <c r="BTR1618" s="55">
        <f t="shared" si="579"/>
        <v>0</v>
      </c>
      <c r="BTS1618" s="55">
        <f t="shared" si="579"/>
        <v>0</v>
      </c>
      <c r="BTT1618" s="55">
        <f t="shared" si="579"/>
        <v>0</v>
      </c>
      <c r="BTU1618" s="55">
        <f t="shared" si="579"/>
        <v>0</v>
      </c>
      <c r="BTV1618" s="55">
        <f t="shared" si="579"/>
        <v>0</v>
      </c>
      <c r="BTW1618" s="55">
        <f t="shared" si="579"/>
        <v>0</v>
      </c>
      <c r="BTX1618" s="55">
        <f t="shared" si="579"/>
        <v>0</v>
      </c>
      <c r="BTY1618" s="55">
        <f t="shared" si="579"/>
        <v>0</v>
      </c>
      <c r="BTZ1618" s="55">
        <f t="shared" si="579"/>
        <v>0</v>
      </c>
      <c r="BUA1618" s="55">
        <f t="shared" si="579"/>
        <v>0</v>
      </c>
      <c r="BUB1618" s="55">
        <f t="shared" si="579"/>
        <v>0</v>
      </c>
      <c r="BUC1618" s="55">
        <f t="shared" si="579"/>
        <v>0</v>
      </c>
      <c r="BUD1618" s="55">
        <f t="shared" si="579"/>
        <v>0</v>
      </c>
      <c r="BUE1618" s="55">
        <f t="shared" si="579"/>
        <v>0</v>
      </c>
      <c r="BUF1618" s="55">
        <f t="shared" si="579"/>
        <v>0</v>
      </c>
      <c r="BUG1618" s="55">
        <f t="shared" si="579"/>
        <v>0</v>
      </c>
      <c r="BUH1618" s="55">
        <f t="shared" si="579"/>
        <v>0</v>
      </c>
      <c r="BUI1618" s="55">
        <f t="shared" si="579"/>
        <v>0</v>
      </c>
      <c r="BUJ1618" s="55">
        <f t="shared" si="579"/>
        <v>0</v>
      </c>
      <c r="BUK1618" s="55">
        <f t="shared" si="579"/>
        <v>0</v>
      </c>
      <c r="BUL1618" s="55">
        <f t="shared" si="579"/>
        <v>0</v>
      </c>
      <c r="BUM1618" s="55">
        <f t="shared" si="579"/>
        <v>0</v>
      </c>
      <c r="BUN1618" s="55">
        <f t="shared" si="579"/>
        <v>0</v>
      </c>
      <c r="BUO1618" s="55">
        <f t="shared" si="579"/>
        <v>0</v>
      </c>
      <c r="BUP1618" s="55">
        <f t="shared" si="579"/>
        <v>0</v>
      </c>
      <c r="BUQ1618" s="55">
        <f t="shared" si="579"/>
        <v>0</v>
      </c>
      <c r="BUR1618" s="55">
        <f t="shared" si="579"/>
        <v>0</v>
      </c>
      <c r="BUS1618" s="55">
        <f t="shared" si="579"/>
        <v>0</v>
      </c>
      <c r="BUT1618" s="55">
        <f t="shared" si="579"/>
        <v>0</v>
      </c>
      <c r="BUU1618" s="55">
        <f t="shared" si="579"/>
        <v>0</v>
      </c>
      <c r="BUV1618" s="55">
        <f t="shared" si="579"/>
        <v>0</v>
      </c>
      <c r="BUW1618" s="55">
        <f t="shared" si="579"/>
        <v>0</v>
      </c>
      <c r="BUX1618" s="55">
        <f t="shared" si="579"/>
        <v>0</v>
      </c>
      <c r="BUY1618" s="55">
        <f t="shared" si="579"/>
        <v>0</v>
      </c>
      <c r="BUZ1618" s="55">
        <f t="shared" si="579"/>
        <v>0</v>
      </c>
      <c r="BVA1618" s="55">
        <f t="shared" si="579"/>
        <v>0</v>
      </c>
      <c r="BVB1618" s="55">
        <f t="shared" si="579"/>
        <v>0</v>
      </c>
      <c r="BVC1618" s="55">
        <f t="shared" si="579"/>
        <v>0</v>
      </c>
      <c r="BVD1618" s="55">
        <f t="shared" si="579"/>
        <v>0</v>
      </c>
      <c r="BVE1618" s="55">
        <f t="shared" si="579"/>
        <v>0</v>
      </c>
      <c r="BVF1618" s="55">
        <f t="shared" si="579"/>
        <v>0</v>
      </c>
      <c r="BVG1618" s="55">
        <f t="shared" si="579"/>
        <v>0</v>
      </c>
      <c r="BVH1618" s="55">
        <f t="shared" ref="BVH1618:BXS1618" si="580">+(BVH1627+BVH1608)*1.18*1.1</f>
        <v>0</v>
      </c>
      <c r="BVI1618" s="55">
        <f t="shared" si="580"/>
        <v>0</v>
      </c>
      <c r="BVJ1618" s="55">
        <f t="shared" si="580"/>
        <v>0</v>
      </c>
      <c r="BVK1618" s="55">
        <f t="shared" si="580"/>
        <v>0</v>
      </c>
      <c r="BVL1618" s="55">
        <f t="shared" si="580"/>
        <v>0</v>
      </c>
      <c r="BVM1618" s="55">
        <f t="shared" si="580"/>
        <v>0</v>
      </c>
      <c r="BVN1618" s="55">
        <f t="shared" si="580"/>
        <v>0</v>
      </c>
      <c r="BVO1618" s="55">
        <f t="shared" si="580"/>
        <v>0</v>
      </c>
      <c r="BVP1618" s="55">
        <f t="shared" si="580"/>
        <v>0</v>
      </c>
      <c r="BVQ1618" s="55">
        <f t="shared" si="580"/>
        <v>0</v>
      </c>
      <c r="BVR1618" s="55">
        <f t="shared" si="580"/>
        <v>0</v>
      </c>
      <c r="BVS1618" s="55">
        <f t="shared" si="580"/>
        <v>0</v>
      </c>
      <c r="BVT1618" s="55">
        <f t="shared" si="580"/>
        <v>0</v>
      </c>
      <c r="BVU1618" s="55">
        <f t="shared" si="580"/>
        <v>0</v>
      </c>
      <c r="BVV1618" s="55">
        <f t="shared" si="580"/>
        <v>0</v>
      </c>
      <c r="BVW1618" s="55">
        <f t="shared" si="580"/>
        <v>0</v>
      </c>
      <c r="BVX1618" s="55">
        <f t="shared" si="580"/>
        <v>0</v>
      </c>
      <c r="BVY1618" s="55">
        <f t="shared" si="580"/>
        <v>0</v>
      </c>
      <c r="BVZ1618" s="55">
        <f t="shared" si="580"/>
        <v>0</v>
      </c>
      <c r="BWA1618" s="55">
        <f t="shared" si="580"/>
        <v>0</v>
      </c>
      <c r="BWB1618" s="55">
        <f t="shared" si="580"/>
        <v>0</v>
      </c>
      <c r="BWC1618" s="55">
        <f t="shared" si="580"/>
        <v>0</v>
      </c>
      <c r="BWD1618" s="55">
        <f t="shared" si="580"/>
        <v>0</v>
      </c>
      <c r="BWE1618" s="55">
        <f t="shared" si="580"/>
        <v>0</v>
      </c>
      <c r="BWF1618" s="55">
        <f t="shared" si="580"/>
        <v>0</v>
      </c>
      <c r="BWG1618" s="55">
        <f t="shared" si="580"/>
        <v>0</v>
      </c>
      <c r="BWH1618" s="55">
        <f t="shared" si="580"/>
        <v>0</v>
      </c>
      <c r="BWI1618" s="55">
        <f t="shared" si="580"/>
        <v>0</v>
      </c>
      <c r="BWJ1618" s="55">
        <f t="shared" si="580"/>
        <v>0</v>
      </c>
      <c r="BWK1618" s="55">
        <f t="shared" si="580"/>
        <v>0</v>
      </c>
      <c r="BWL1618" s="55">
        <f t="shared" si="580"/>
        <v>0</v>
      </c>
      <c r="BWM1618" s="55">
        <f t="shared" si="580"/>
        <v>0</v>
      </c>
      <c r="BWN1618" s="55">
        <f t="shared" si="580"/>
        <v>0</v>
      </c>
      <c r="BWO1618" s="55">
        <f t="shared" si="580"/>
        <v>0</v>
      </c>
      <c r="BWP1618" s="55">
        <f t="shared" si="580"/>
        <v>0</v>
      </c>
      <c r="BWQ1618" s="55">
        <f t="shared" si="580"/>
        <v>0</v>
      </c>
      <c r="BWR1618" s="55">
        <f t="shared" si="580"/>
        <v>0</v>
      </c>
      <c r="BWS1618" s="55">
        <f t="shared" si="580"/>
        <v>0</v>
      </c>
      <c r="BWT1618" s="55">
        <f t="shared" si="580"/>
        <v>0</v>
      </c>
      <c r="BWU1618" s="55">
        <f t="shared" si="580"/>
        <v>0</v>
      </c>
      <c r="BWV1618" s="55">
        <f t="shared" si="580"/>
        <v>0</v>
      </c>
      <c r="BWW1618" s="55">
        <f t="shared" si="580"/>
        <v>0</v>
      </c>
      <c r="BWX1618" s="55">
        <f t="shared" si="580"/>
        <v>0</v>
      </c>
      <c r="BWY1618" s="55">
        <f t="shared" si="580"/>
        <v>0</v>
      </c>
      <c r="BWZ1618" s="55">
        <f t="shared" si="580"/>
        <v>0</v>
      </c>
      <c r="BXA1618" s="55">
        <f t="shared" si="580"/>
        <v>0</v>
      </c>
      <c r="BXB1618" s="55">
        <f t="shared" si="580"/>
        <v>0</v>
      </c>
      <c r="BXC1618" s="55">
        <f t="shared" si="580"/>
        <v>0</v>
      </c>
      <c r="BXD1618" s="55">
        <f t="shared" si="580"/>
        <v>0</v>
      </c>
      <c r="BXE1618" s="55">
        <f t="shared" si="580"/>
        <v>0</v>
      </c>
      <c r="BXF1618" s="55">
        <f t="shared" si="580"/>
        <v>0</v>
      </c>
      <c r="BXG1618" s="55">
        <f t="shared" si="580"/>
        <v>0</v>
      </c>
      <c r="BXH1618" s="55">
        <f t="shared" si="580"/>
        <v>0</v>
      </c>
      <c r="BXI1618" s="55">
        <f t="shared" si="580"/>
        <v>0</v>
      </c>
      <c r="BXJ1618" s="55">
        <f t="shared" si="580"/>
        <v>0</v>
      </c>
      <c r="BXK1618" s="55">
        <f t="shared" si="580"/>
        <v>0</v>
      </c>
      <c r="BXL1618" s="55">
        <f t="shared" si="580"/>
        <v>0</v>
      </c>
      <c r="BXM1618" s="55">
        <f t="shared" si="580"/>
        <v>0</v>
      </c>
      <c r="BXN1618" s="55">
        <f t="shared" si="580"/>
        <v>0</v>
      </c>
      <c r="BXO1618" s="55">
        <f t="shared" si="580"/>
        <v>0</v>
      </c>
      <c r="BXP1618" s="55">
        <f t="shared" si="580"/>
        <v>0</v>
      </c>
      <c r="BXQ1618" s="55">
        <f t="shared" si="580"/>
        <v>0</v>
      </c>
      <c r="BXR1618" s="55">
        <f t="shared" si="580"/>
        <v>0</v>
      </c>
      <c r="BXS1618" s="55">
        <f t="shared" si="580"/>
        <v>0</v>
      </c>
      <c r="BXT1618" s="55">
        <f t="shared" ref="BXT1618:CAE1618" si="581">+(BXT1627+BXT1608)*1.18*1.1</f>
        <v>0</v>
      </c>
      <c r="BXU1618" s="55">
        <f t="shared" si="581"/>
        <v>0</v>
      </c>
      <c r="BXV1618" s="55">
        <f t="shared" si="581"/>
        <v>0</v>
      </c>
      <c r="BXW1618" s="55">
        <f t="shared" si="581"/>
        <v>0</v>
      </c>
      <c r="BXX1618" s="55">
        <f t="shared" si="581"/>
        <v>0</v>
      </c>
      <c r="BXY1618" s="55">
        <f t="shared" si="581"/>
        <v>0</v>
      </c>
      <c r="BXZ1618" s="55">
        <f t="shared" si="581"/>
        <v>0</v>
      </c>
      <c r="BYA1618" s="55">
        <f t="shared" si="581"/>
        <v>0</v>
      </c>
      <c r="BYB1618" s="55">
        <f t="shared" si="581"/>
        <v>0</v>
      </c>
      <c r="BYC1618" s="55">
        <f t="shared" si="581"/>
        <v>0</v>
      </c>
      <c r="BYD1618" s="55">
        <f t="shared" si="581"/>
        <v>0</v>
      </c>
      <c r="BYE1618" s="55">
        <f t="shared" si="581"/>
        <v>0</v>
      </c>
      <c r="BYF1618" s="55">
        <f t="shared" si="581"/>
        <v>0</v>
      </c>
      <c r="BYG1618" s="55">
        <f t="shared" si="581"/>
        <v>0</v>
      </c>
      <c r="BYH1618" s="55">
        <f t="shared" si="581"/>
        <v>0</v>
      </c>
      <c r="BYI1618" s="55">
        <f t="shared" si="581"/>
        <v>0</v>
      </c>
      <c r="BYJ1618" s="55">
        <f t="shared" si="581"/>
        <v>0</v>
      </c>
      <c r="BYK1618" s="55">
        <f t="shared" si="581"/>
        <v>0</v>
      </c>
      <c r="BYL1618" s="55">
        <f t="shared" si="581"/>
        <v>0</v>
      </c>
      <c r="BYM1618" s="55">
        <f t="shared" si="581"/>
        <v>0</v>
      </c>
      <c r="BYN1618" s="55">
        <f t="shared" si="581"/>
        <v>0</v>
      </c>
      <c r="BYO1618" s="55">
        <f t="shared" si="581"/>
        <v>0</v>
      </c>
      <c r="BYP1618" s="55">
        <f t="shared" si="581"/>
        <v>0</v>
      </c>
      <c r="BYQ1618" s="55">
        <f t="shared" si="581"/>
        <v>0</v>
      </c>
      <c r="BYR1618" s="55">
        <f t="shared" si="581"/>
        <v>0</v>
      </c>
      <c r="BYS1618" s="55">
        <f t="shared" si="581"/>
        <v>0</v>
      </c>
      <c r="BYT1618" s="55">
        <f t="shared" si="581"/>
        <v>0</v>
      </c>
      <c r="BYU1618" s="55">
        <f t="shared" si="581"/>
        <v>0</v>
      </c>
      <c r="BYV1618" s="55">
        <f t="shared" si="581"/>
        <v>0</v>
      </c>
      <c r="BYW1618" s="55">
        <f t="shared" si="581"/>
        <v>0</v>
      </c>
      <c r="BYX1618" s="55">
        <f t="shared" si="581"/>
        <v>0</v>
      </c>
      <c r="BYY1618" s="55">
        <f t="shared" si="581"/>
        <v>0</v>
      </c>
      <c r="BYZ1618" s="55">
        <f t="shared" si="581"/>
        <v>0</v>
      </c>
      <c r="BZA1618" s="55">
        <f t="shared" si="581"/>
        <v>0</v>
      </c>
      <c r="BZB1618" s="55">
        <f t="shared" si="581"/>
        <v>0</v>
      </c>
      <c r="BZC1618" s="55">
        <f t="shared" si="581"/>
        <v>0</v>
      </c>
      <c r="BZD1618" s="55">
        <f t="shared" si="581"/>
        <v>0</v>
      </c>
      <c r="BZE1618" s="55">
        <f t="shared" si="581"/>
        <v>0</v>
      </c>
      <c r="BZF1618" s="55">
        <f t="shared" si="581"/>
        <v>0</v>
      </c>
      <c r="BZG1618" s="55">
        <f t="shared" si="581"/>
        <v>0</v>
      </c>
      <c r="BZH1618" s="55">
        <f t="shared" si="581"/>
        <v>0</v>
      </c>
      <c r="BZI1618" s="55">
        <f t="shared" si="581"/>
        <v>0</v>
      </c>
      <c r="BZJ1618" s="55">
        <f t="shared" si="581"/>
        <v>0</v>
      </c>
      <c r="BZK1618" s="55">
        <f t="shared" si="581"/>
        <v>0</v>
      </c>
      <c r="BZL1618" s="55">
        <f t="shared" si="581"/>
        <v>0</v>
      </c>
      <c r="BZM1618" s="55">
        <f t="shared" si="581"/>
        <v>0</v>
      </c>
      <c r="BZN1618" s="55">
        <f t="shared" si="581"/>
        <v>0</v>
      </c>
      <c r="BZO1618" s="55">
        <f t="shared" si="581"/>
        <v>0</v>
      </c>
      <c r="BZP1618" s="55">
        <f t="shared" si="581"/>
        <v>0</v>
      </c>
      <c r="BZQ1618" s="55">
        <f t="shared" si="581"/>
        <v>0</v>
      </c>
      <c r="BZR1618" s="55">
        <f t="shared" si="581"/>
        <v>0</v>
      </c>
      <c r="BZS1618" s="55">
        <f t="shared" si="581"/>
        <v>0</v>
      </c>
      <c r="BZT1618" s="55">
        <f t="shared" si="581"/>
        <v>0</v>
      </c>
      <c r="BZU1618" s="55">
        <f t="shared" si="581"/>
        <v>0</v>
      </c>
      <c r="BZV1618" s="55">
        <f t="shared" si="581"/>
        <v>0</v>
      </c>
      <c r="BZW1618" s="55">
        <f t="shared" si="581"/>
        <v>0</v>
      </c>
      <c r="BZX1618" s="55">
        <f t="shared" si="581"/>
        <v>0</v>
      </c>
      <c r="BZY1618" s="55">
        <f t="shared" si="581"/>
        <v>0</v>
      </c>
      <c r="BZZ1618" s="55">
        <f t="shared" si="581"/>
        <v>0</v>
      </c>
      <c r="CAA1618" s="55">
        <f t="shared" si="581"/>
        <v>0</v>
      </c>
      <c r="CAB1618" s="55">
        <f t="shared" si="581"/>
        <v>0</v>
      </c>
      <c r="CAC1618" s="55">
        <f t="shared" si="581"/>
        <v>0</v>
      </c>
      <c r="CAD1618" s="55">
        <f t="shared" si="581"/>
        <v>0</v>
      </c>
      <c r="CAE1618" s="55">
        <f t="shared" si="581"/>
        <v>0</v>
      </c>
      <c r="CAF1618" s="55">
        <f t="shared" ref="CAF1618:CCQ1618" si="582">+(CAF1627+CAF1608)*1.18*1.1</f>
        <v>0</v>
      </c>
      <c r="CAG1618" s="55">
        <f t="shared" si="582"/>
        <v>0</v>
      </c>
      <c r="CAH1618" s="55">
        <f t="shared" si="582"/>
        <v>0</v>
      </c>
      <c r="CAI1618" s="55">
        <f t="shared" si="582"/>
        <v>0</v>
      </c>
      <c r="CAJ1618" s="55">
        <f t="shared" si="582"/>
        <v>0</v>
      </c>
      <c r="CAK1618" s="55">
        <f t="shared" si="582"/>
        <v>0</v>
      </c>
      <c r="CAL1618" s="55">
        <f t="shared" si="582"/>
        <v>0</v>
      </c>
      <c r="CAM1618" s="55">
        <f t="shared" si="582"/>
        <v>0</v>
      </c>
      <c r="CAN1618" s="55">
        <f t="shared" si="582"/>
        <v>0</v>
      </c>
      <c r="CAO1618" s="55">
        <f t="shared" si="582"/>
        <v>0</v>
      </c>
      <c r="CAP1618" s="55">
        <f t="shared" si="582"/>
        <v>0</v>
      </c>
      <c r="CAQ1618" s="55">
        <f t="shared" si="582"/>
        <v>0</v>
      </c>
      <c r="CAR1618" s="55">
        <f t="shared" si="582"/>
        <v>0</v>
      </c>
      <c r="CAS1618" s="55">
        <f t="shared" si="582"/>
        <v>0</v>
      </c>
      <c r="CAT1618" s="55">
        <f t="shared" si="582"/>
        <v>0</v>
      </c>
      <c r="CAU1618" s="55">
        <f t="shared" si="582"/>
        <v>0</v>
      </c>
      <c r="CAV1618" s="55">
        <f t="shared" si="582"/>
        <v>0</v>
      </c>
      <c r="CAW1618" s="55">
        <f t="shared" si="582"/>
        <v>0</v>
      </c>
      <c r="CAX1618" s="55">
        <f t="shared" si="582"/>
        <v>0</v>
      </c>
      <c r="CAY1618" s="55">
        <f t="shared" si="582"/>
        <v>0</v>
      </c>
      <c r="CAZ1618" s="55">
        <f t="shared" si="582"/>
        <v>0</v>
      </c>
      <c r="CBA1618" s="55">
        <f t="shared" si="582"/>
        <v>0</v>
      </c>
      <c r="CBB1618" s="55">
        <f t="shared" si="582"/>
        <v>0</v>
      </c>
      <c r="CBC1618" s="55">
        <f t="shared" si="582"/>
        <v>0</v>
      </c>
      <c r="CBD1618" s="55">
        <f t="shared" si="582"/>
        <v>0</v>
      </c>
      <c r="CBE1618" s="55">
        <f t="shared" si="582"/>
        <v>0</v>
      </c>
      <c r="CBF1618" s="55">
        <f t="shared" si="582"/>
        <v>0</v>
      </c>
      <c r="CBG1618" s="55">
        <f t="shared" si="582"/>
        <v>0</v>
      </c>
      <c r="CBH1618" s="55">
        <f t="shared" si="582"/>
        <v>0</v>
      </c>
      <c r="CBI1618" s="55">
        <f t="shared" si="582"/>
        <v>0</v>
      </c>
      <c r="CBJ1618" s="55">
        <f t="shared" si="582"/>
        <v>0</v>
      </c>
      <c r="CBK1618" s="55">
        <f t="shared" si="582"/>
        <v>0</v>
      </c>
      <c r="CBL1618" s="55">
        <f t="shared" si="582"/>
        <v>0</v>
      </c>
      <c r="CBM1618" s="55">
        <f t="shared" si="582"/>
        <v>0</v>
      </c>
      <c r="CBN1618" s="55">
        <f t="shared" si="582"/>
        <v>0</v>
      </c>
      <c r="CBO1618" s="55">
        <f t="shared" si="582"/>
        <v>0</v>
      </c>
      <c r="CBP1618" s="55">
        <f t="shared" si="582"/>
        <v>0</v>
      </c>
      <c r="CBQ1618" s="55">
        <f t="shared" si="582"/>
        <v>0</v>
      </c>
      <c r="CBR1618" s="55">
        <f t="shared" si="582"/>
        <v>0</v>
      </c>
      <c r="CBS1618" s="55">
        <f t="shared" si="582"/>
        <v>0</v>
      </c>
      <c r="CBT1618" s="55">
        <f t="shared" si="582"/>
        <v>0</v>
      </c>
      <c r="CBU1618" s="55">
        <f t="shared" si="582"/>
        <v>0</v>
      </c>
      <c r="CBV1618" s="55">
        <f t="shared" si="582"/>
        <v>0</v>
      </c>
      <c r="CBW1618" s="55">
        <f t="shared" si="582"/>
        <v>0</v>
      </c>
      <c r="CBX1618" s="55">
        <f t="shared" si="582"/>
        <v>0</v>
      </c>
      <c r="CBY1618" s="55">
        <f t="shared" si="582"/>
        <v>0</v>
      </c>
      <c r="CBZ1618" s="55">
        <f t="shared" si="582"/>
        <v>0</v>
      </c>
      <c r="CCA1618" s="55">
        <f t="shared" si="582"/>
        <v>0</v>
      </c>
      <c r="CCB1618" s="55">
        <f t="shared" si="582"/>
        <v>0</v>
      </c>
      <c r="CCC1618" s="55">
        <f t="shared" si="582"/>
        <v>0</v>
      </c>
      <c r="CCD1618" s="55">
        <f t="shared" si="582"/>
        <v>0</v>
      </c>
      <c r="CCE1618" s="55">
        <f t="shared" si="582"/>
        <v>0</v>
      </c>
      <c r="CCF1618" s="55">
        <f t="shared" si="582"/>
        <v>0</v>
      </c>
      <c r="CCG1618" s="55">
        <f t="shared" si="582"/>
        <v>0</v>
      </c>
      <c r="CCH1618" s="55">
        <f t="shared" si="582"/>
        <v>0</v>
      </c>
      <c r="CCI1618" s="55">
        <f t="shared" si="582"/>
        <v>0</v>
      </c>
      <c r="CCJ1618" s="55">
        <f t="shared" si="582"/>
        <v>0</v>
      </c>
      <c r="CCK1618" s="55">
        <f t="shared" si="582"/>
        <v>0</v>
      </c>
      <c r="CCL1618" s="55">
        <f t="shared" si="582"/>
        <v>0</v>
      </c>
      <c r="CCM1618" s="55">
        <f t="shared" si="582"/>
        <v>0</v>
      </c>
      <c r="CCN1618" s="55">
        <f t="shared" si="582"/>
        <v>0</v>
      </c>
      <c r="CCO1618" s="55">
        <f t="shared" si="582"/>
        <v>0</v>
      </c>
      <c r="CCP1618" s="55">
        <f t="shared" si="582"/>
        <v>0</v>
      </c>
      <c r="CCQ1618" s="55">
        <f t="shared" si="582"/>
        <v>0</v>
      </c>
      <c r="CCR1618" s="55">
        <f t="shared" ref="CCR1618:CFC1618" si="583">+(CCR1627+CCR1608)*1.18*1.1</f>
        <v>0</v>
      </c>
      <c r="CCS1618" s="55">
        <f t="shared" si="583"/>
        <v>0</v>
      </c>
      <c r="CCT1618" s="55">
        <f t="shared" si="583"/>
        <v>0</v>
      </c>
      <c r="CCU1618" s="55">
        <f t="shared" si="583"/>
        <v>0</v>
      </c>
      <c r="CCV1618" s="55">
        <f t="shared" si="583"/>
        <v>0</v>
      </c>
      <c r="CCW1618" s="55">
        <f t="shared" si="583"/>
        <v>0</v>
      </c>
      <c r="CCX1618" s="55">
        <f t="shared" si="583"/>
        <v>0</v>
      </c>
      <c r="CCY1618" s="55">
        <f t="shared" si="583"/>
        <v>0</v>
      </c>
      <c r="CCZ1618" s="55">
        <f t="shared" si="583"/>
        <v>0</v>
      </c>
      <c r="CDA1618" s="55">
        <f t="shared" si="583"/>
        <v>0</v>
      </c>
      <c r="CDB1618" s="55">
        <f t="shared" si="583"/>
        <v>0</v>
      </c>
      <c r="CDC1618" s="55">
        <f t="shared" si="583"/>
        <v>0</v>
      </c>
      <c r="CDD1618" s="55">
        <f t="shared" si="583"/>
        <v>0</v>
      </c>
      <c r="CDE1618" s="55">
        <f t="shared" si="583"/>
        <v>0</v>
      </c>
      <c r="CDF1618" s="55">
        <f t="shared" si="583"/>
        <v>0</v>
      </c>
      <c r="CDG1618" s="55">
        <f t="shared" si="583"/>
        <v>0</v>
      </c>
      <c r="CDH1618" s="55">
        <f t="shared" si="583"/>
        <v>0</v>
      </c>
      <c r="CDI1618" s="55">
        <f t="shared" si="583"/>
        <v>0</v>
      </c>
      <c r="CDJ1618" s="55">
        <f t="shared" si="583"/>
        <v>0</v>
      </c>
      <c r="CDK1618" s="55">
        <f t="shared" si="583"/>
        <v>0</v>
      </c>
      <c r="CDL1618" s="55">
        <f t="shared" si="583"/>
        <v>0</v>
      </c>
      <c r="CDM1618" s="55">
        <f t="shared" si="583"/>
        <v>0</v>
      </c>
      <c r="CDN1618" s="55">
        <f t="shared" si="583"/>
        <v>0</v>
      </c>
      <c r="CDO1618" s="55">
        <f t="shared" si="583"/>
        <v>0</v>
      </c>
      <c r="CDP1618" s="55">
        <f t="shared" si="583"/>
        <v>0</v>
      </c>
      <c r="CDQ1618" s="55">
        <f t="shared" si="583"/>
        <v>0</v>
      </c>
      <c r="CDR1618" s="55">
        <f t="shared" si="583"/>
        <v>0</v>
      </c>
      <c r="CDS1618" s="55">
        <f t="shared" si="583"/>
        <v>0</v>
      </c>
      <c r="CDT1618" s="55">
        <f t="shared" si="583"/>
        <v>0</v>
      </c>
      <c r="CDU1618" s="55">
        <f t="shared" si="583"/>
        <v>0</v>
      </c>
      <c r="CDV1618" s="55">
        <f t="shared" si="583"/>
        <v>0</v>
      </c>
      <c r="CDW1618" s="55">
        <f t="shared" si="583"/>
        <v>0</v>
      </c>
      <c r="CDX1618" s="55">
        <f t="shared" si="583"/>
        <v>0</v>
      </c>
      <c r="CDY1618" s="55">
        <f t="shared" si="583"/>
        <v>0</v>
      </c>
      <c r="CDZ1618" s="55">
        <f t="shared" si="583"/>
        <v>0</v>
      </c>
      <c r="CEA1618" s="55">
        <f t="shared" si="583"/>
        <v>0</v>
      </c>
      <c r="CEB1618" s="55">
        <f t="shared" si="583"/>
        <v>0</v>
      </c>
      <c r="CEC1618" s="55">
        <f t="shared" si="583"/>
        <v>0</v>
      </c>
      <c r="CED1618" s="55">
        <f t="shared" si="583"/>
        <v>0</v>
      </c>
      <c r="CEE1618" s="55">
        <f t="shared" si="583"/>
        <v>0</v>
      </c>
      <c r="CEF1618" s="55">
        <f t="shared" si="583"/>
        <v>0</v>
      </c>
      <c r="CEG1618" s="55">
        <f t="shared" si="583"/>
        <v>0</v>
      </c>
      <c r="CEH1618" s="55">
        <f t="shared" si="583"/>
        <v>0</v>
      </c>
      <c r="CEI1618" s="55">
        <f t="shared" si="583"/>
        <v>0</v>
      </c>
      <c r="CEJ1618" s="55">
        <f t="shared" si="583"/>
        <v>0</v>
      </c>
      <c r="CEK1618" s="55">
        <f t="shared" si="583"/>
        <v>0</v>
      </c>
      <c r="CEL1618" s="55">
        <f t="shared" si="583"/>
        <v>0</v>
      </c>
      <c r="CEM1618" s="55">
        <f t="shared" si="583"/>
        <v>0</v>
      </c>
      <c r="CEN1618" s="55">
        <f t="shared" si="583"/>
        <v>0</v>
      </c>
      <c r="CEO1618" s="55">
        <f t="shared" si="583"/>
        <v>0</v>
      </c>
      <c r="CEP1618" s="55">
        <f t="shared" si="583"/>
        <v>0</v>
      </c>
      <c r="CEQ1618" s="55">
        <f t="shared" si="583"/>
        <v>0</v>
      </c>
      <c r="CER1618" s="55">
        <f t="shared" si="583"/>
        <v>0</v>
      </c>
      <c r="CES1618" s="55">
        <f t="shared" si="583"/>
        <v>0</v>
      </c>
      <c r="CET1618" s="55">
        <f t="shared" si="583"/>
        <v>0</v>
      </c>
      <c r="CEU1618" s="55">
        <f t="shared" si="583"/>
        <v>0</v>
      </c>
      <c r="CEV1618" s="55">
        <f t="shared" si="583"/>
        <v>0</v>
      </c>
      <c r="CEW1618" s="55">
        <f t="shared" si="583"/>
        <v>0</v>
      </c>
      <c r="CEX1618" s="55">
        <f t="shared" si="583"/>
        <v>0</v>
      </c>
      <c r="CEY1618" s="55">
        <f t="shared" si="583"/>
        <v>0</v>
      </c>
      <c r="CEZ1618" s="55">
        <f t="shared" si="583"/>
        <v>0</v>
      </c>
      <c r="CFA1618" s="55">
        <f t="shared" si="583"/>
        <v>0</v>
      </c>
      <c r="CFB1618" s="55">
        <f t="shared" si="583"/>
        <v>0</v>
      </c>
      <c r="CFC1618" s="55">
        <f t="shared" si="583"/>
        <v>0</v>
      </c>
      <c r="CFD1618" s="55">
        <f t="shared" ref="CFD1618:CHO1618" si="584">+(CFD1627+CFD1608)*1.18*1.1</f>
        <v>0</v>
      </c>
      <c r="CFE1618" s="55">
        <f t="shared" si="584"/>
        <v>0</v>
      </c>
      <c r="CFF1618" s="55">
        <f t="shared" si="584"/>
        <v>0</v>
      </c>
      <c r="CFG1618" s="55">
        <f t="shared" si="584"/>
        <v>0</v>
      </c>
      <c r="CFH1618" s="55">
        <f t="shared" si="584"/>
        <v>0</v>
      </c>
      <c r="CFI1618" s="55">
        <f t="shared" si="584"/>
        <v>0</v>
      </c>
      <c r="CFJ1618" s="55">
        <f t="shared" si="584"/>
        <v>0</v>
      </c>
      <c r="CFK1618" s="55">
        <f t="shared" si="584"/>
        <v>0</v>
      </c>
      <c r="CFL1618" s="55">
        <f t="shared" si="584"/>
        <v>0</v>
      </c>
      <c r="CFM1618" s="55">
        <f t="shared" si="584"/>
        <v>0</v>
      </c>
      <c r="CFN1618" s="55">
        <f t="shared" si="584"/>
        <v>0</v>
      </c>
      <c r="CFO1618" s="55">
        <f t="shared" si="584"/>
        <v>0</v>
      </c>
      <c r="CFP1618" s="55">
        <f t="shared" si="584"/>
        <v>0</v>
      </c>
      <c r="CFQ1618" s="55">
        <f t="shared" si="584"/>
        <v>0</v>
      </c>
      <c r="CFR1618" s="55">
        <f t="shared" si="584"/>
        <v>0</v>
      </c>
      <c r="CFS1618" s="55">
        <f t="shared" si="584"/>
        <v>0</v>
      </c>
      <c r="CFT1618" s="55">
        <f t="shared" si="584"/>
        <v>0</v>
      </c>
      <c r="CFU1618" s="55">
        <f t="shared" si="584"/>
        <v>0</v>
      </c>
      <c r="CFV1618" s="55">
        <f t="shared" si="584"/>
        <v>0</v>
      </c>
      <c r="CFW1618" s="55">
        <f t="shared" si="584"/>
        <v>0</v>
      </c>
      <c r="CFX1618" s="55">
        <f t="shared" si="584"/>
        <v>0</v>
      </c>
      <c r="CFY1618" s="55">
        <f t="shared" si="584"/>
        <v>0</v>
      </c>
      <c r="CFZ1618" s="55">
        <f t="shared" si="584"/>
        <v>0</v>
      </c>
      <c r="CGA1618" s="55">
        <f t="shared" si="584"/>
        <v>0</v>
      </c>
      <c r="CGB1618" s="55">
        <f t="shared" si="584"/>
        <v>0</v>
      </c>
      <c r="CGC1618" s="55">
        <f t="shared" si="584"/>
        <v>0</v>
      </c>
      <c r="CGD1618" s="55">
        <f t="shared" si="584"/>
        <v>0</v>
      </c>
      <c r="CGE1618" s="55">
        <f t="shared" si="584"/>
        <v>0</v>
      </c>
      <c r="CGF1618" s="55">
        <f t="shared" si="584"/>
        <v>0</v>
      </c>
      <c r="CGG1618" s="55">
        <f t="shared" si="584"/>
        <v>0</v>
      </c>
      <c r="CGH1618" s="55">
        <f t="shared" si="584"/>
        <v>0</v>
      </c>
      <c r="CGI1618" s="55">
        <f t="shared" si="584"/>
        <v>0</v>
      </c>
      <c r="CGJ1618" s="55">
        <f t="shared" si="584"/>
        <v>0</v>
      </c>
      <c r="CGK1618" s="55">
        <f t="shared" si="584"/>
        <v>0</v>
      </c>
      <c r="CGL1618" s="55">
        <f t="shared" si="584"/>
        <v>0</v>
      </c>
      <c r="CGM1618" s="55">
        <f t="shared" si="584"/>
        <v>0</v>
      </c>
      <c r="CGN1618" s="55">
        <f t="shared" si="584"/>
        <v>0</v>
      </c>
      <c r="CGO1618" s="55">
        <f t="shared" si="584"/>
        <v>0</v>
      </c>
      <c r="CGP1618" s="55">
        <f t="shared" si="584"/>
        <v>0</v>
      </c>
      <c r="CGQ1618" s="55">
        <f t="shared" si="584"/>
        <v>0</v>
      </c>
      <c r="CGR1618" s="55">
        <f t="shared" si="584"/>
        <v>0</v>
      </c>
      <c r="CGS1618" s="55">
        <f t="shared" si="584"/>
        <v>0</v>
      </c>
      <c r="CGT1618" s="55">
        <f t="shared" si="584"/>
        <v>0</v>
      </c>
      <c r="CGU1618" s="55">
        <f t="shared" si="584"/>
        <v>0</v>
      </c>
      <c r="CGV1618" s="55">
        <f t="shared" si="584"/>
        <v>0</v>
      </c>
      <c r="CGW1618" s="55">
        <f t="shared" si="584"/>
        <v>0</v>
      </c>
      <c r="CGX1618" s="55">
        <f t="shared" si="584"/>
        <v>0</v>
      </c>
      <c r="CGY1618" s="55">
        <f t="shared" si="584"/>
        <v>0</v>
      </c>
      <c r="CGZ1618" s="55">
        <f t="shared" si="584"/>
        <v>0</v>
      </c>
      <c r="CHA1618" s="55">
        <f t="shared" si="584"/>
        <v>0</v>
      </c>
      <c r="CHB1618" s="55">
        <f t="shared" si="584"/>
        <v>0</v>
      </c>
      <c r="CHC1618" s="55">
        <f t="shared" si="584"/>
        <v>0</v>
      </c>
      <c r="CHD1618" s="55">
        <f t="shared" si="584"/>
        <v>0</v>
      </c>
      <c r="CHE1618" s="55">
        <f t="shared" si="584"/>
        <v>0</v>
      </c>
      <c r="CHF1618" s="55">
        <f t="shared" si="584"/>
        <v>0</v>
      </c>
      <c r="CHG1618" s="55">
        <f t="shared" si="584"/>
        <v>0</v>
      </c>
      <c r="CHH1618" s="55">
        <f t="shared" si="584"/>
        <v>0</v>
      </c>
      <c r="CHI1618" s="55">
        <f t="shared" si="584"/>
        <v>0</v>
      </c>
      <c r="CHJ1618" s="55">
        <f t="shared" si="584"/>
        <v>0</v>
      </c>
      <c r="CHK1618" s="55">
        <f t="shared" si="584"/>
        <v>0</v>
      </c>
      <c r="CHL1618" s="55">
        <f t="shared" si="584"/>
        <v>0</v>
      </c>
      <c r="CHM1618" s="55">
        <f t="shared" si="584"/>
        <v>0</v>
      </c>
      <c r="CHN1618" s="55">
        <f t="shared" si="584"/>
        <v>0</v>
      </c>
      <c r="CHO1618" s="55">
        <f t="shared" si="584"/>
        <v>0</v>
      </c>
      <c r="CHP1618" s="55">
        <f t="shared" ref="CHP1618:CKA1618" si="585">+(CHP1627+CHP1608)*1.18*1.1</f>
        <v>0</v>
      </c>
      <c r="CHQ1618" s="55">
        <f t="shared" si="585"/>
        <v>0</v>
      </c>
      <c r="CHR1618" s="55">
        <f t="shared" si="585"/>
        <v>0</v>
      </c>
      <c r="CHS1618" s="55">
        <f t="shared" si="585"/>
        <v>0</v>
      </c>
      <c r="CHT1618" s="55">
        <f t="shared" si="585"/>
        <v>0</v>
      </c>
      <c r="CHU1618" s="55">
        <f t="shared" si="585"/>
        <v>0</v>
      </c>
      <c r="CHV1618" s="55">
        <f t="shared" si="585"/>
        <v>0</v>
      </c>
      <c r="CHW1618" s="55">
        <f t="shared" si="585"/>
        <v>0</v>
      </c>
      <c r="CHX1618" s="55">
        <f t="shared" si="585"/>
        <v>0</v>
      </c>
      <c r="CHY1618" s="55">
        <f t="shared" si="585"/>
        <v>0</v>
      </c>
      <c r="CHZ1618" s="55">
        <f t="shared" si="585"/>
        <v>0</v>
      </c>
      <c r="CIA1618" s="55">
        <f t="shared" si="585"/>
        <v>0</v>
      </c>
      <c r="CIB1618" s="55">
        <f t="shared" si="585"/>
        <v>0</v>
      </c>
      <c r="CIC1618" s="55">
        <f t="shared" si="585"/>
        <v>0</v>
      </c>
      <c r="CID1618" s="55">
        <f t="shared" si="585"/>
        <v>0</v>
      </c>
      <c r="CIE1618" s="55">
        <f t="shared" si="585"/>
        <v>0</v>
      </c>
      <c r="CIF1618" s="55">
        <f t="shared" si="585"/>
        <v>0</v>
      </c>
      <c r="CIG1618" s="55">
        <f t="shared" si="585"/>
        <v>0</v>
      </c>
      <c r="CIH1618" s="55">
        <f t="shared" si="585"/>
        <v>0</v>
      </c>
      <c r="CII1618" s="55">
        <f t="shared" si="585"/>
        <v>0</v>
      </c>
      <c r="CIJ1618" s="55">
        <f t="shared" si="585"/>
        <v>0</v>
      </c>
      <c r="CIK1618" s="55">
        <f t="shared" si="585"/>
        <v>0</v>
      </c>
      <c r="CIL1618" s="55">
        <f t="shared" si="585"/>
        <v>0</v>
      </c>
      <c r="CIM1618" s="55">
        <f t="shared" si="585"/>
        <v>0</v>
      </c>
      <c r="CIN1618" s="55">
        <f t="shared" si="585"/>
        <v>0</v>
      </c>
      <c r="CIO1618" s="55">
        <f t="shared" si="585"/>
        <v>0</v>
      </c>
      <c r="CIP1618" s="55">
        <f t="shared" si="585"/>
        <v>0</v>
      </c>
      <c r="CIQ1618" s="55">
        <f t="shared" si="585"/>
        <v>0</v>
      </c>
      <c r="CIR1618" s="55">
        <f t="shared" si="585"/>
        <v>0</v>
      </c>
      <c r="CIS1618" s="55">
        <f t="shared" si="585"/>
        <v>0</v>
      </c>
      <c r="CIT1618" s="55">
        <f t="shared" si="585"/>
        <v>0</v>
      </c>
      <c r="CIU1618" s="55">
        <f t="shared" si="585"/>
        <v>0</v>
      </c>
      <c r="CIV1618" s="55">
        <f t="shared" si="585"/>
        <v>0</v>
      </c>
      <c r="CIW1618" s="55">
        <f t="shared" si="585"/>
        <v>0</v>
      </c>
      <c r="CIX1618" s="55">
        <f t="shared" si="585"/>
        <v>0</v>
      </c>
      <c r="CIY1618" s="55">
        <f t="shared" si="585"/>
        <v>0</v>
      </c>
      <c r="CIZ1618" s="55">
        <f t="shared" si="585"/>
        <v>0</v>
      </c>
      <c r="CJA1618" s="55">
        <f t="shared" si="585"/>
        <v>0</v>
      </c>
      <c r="CJB1618" s="55">
        <f t="shared" si="585"/>
        <v>0</v>
      </c>
      <c r="CJC1618" s="55">
        <f t="shared" si="585"/>
        <v>0</v>
      </c>
      <c r="CJD1618" s="55">
        <f t="shared" si="585"/>
        <v>0</v>
      </c>
      <c r="CJE1618" s="55">
        <f t="shared" si="585"/>
        <v>0</v>
      </c>
      <c r="CJF1618" s="55">
        <f t="shared" si="585"/>
        <v>0</v>
      </c>
      <c r="CJG1618" s="55">
        <f t="shared" si="585"/>
        <v>0</v>
      </c>
      <c r="CJH1618" s="55">
        <f t="shared" si="585"/>
        <v>0</v>
      </c>
      <c r="CJI1618" s="55">
        <f t="shared" si="585"/>
        <v>0</v>
      </c>
      <c r="CJJ1618" s="55">
        <f t="shared" si="585"/>
        <v>0</v>
      </c>
      <c r="CJK1618" s="55">
        <f t="shared" si="585"/>
        <v>0</v>
      </c>
      <c r="CJL1618" s="55">
        <f t="shared" si="585"/>
        <v>0</v>
      </c>
      <c r="CJM1618" s="55">
        <f t="shared" si="585"/>
        <v>0</v>
      </c>
      <c r="CJN1618" s="55">
        <f t="shared" si="585"/>
        <v>0</v>
      </c>
      <c r="CJO1618" s="55">
        <f t="shared" si="585"/>
        <v>0</v>
      </c>
      <c r="CJP1618" s="55">
        <f t="shared" si="585"/>
        <v>0</v>
      </c>
      <c r="CJQ1618" s="55">
        <f t="shared" si="585"/>
        <v>0</v>
      </c>
      <c r="CJR1618" s="55">
        <f t="shared" si="585"/>
        <v>0</v>
      </c>
      <c r="CJS1618" s="55">
        <f t="shared" si="585"/>
        <v>0</v>
      </c>
      <c r="CJT1618" s="55">
        <f t="shared" si="585"/>
        <v>0</v>
      </c>
      <c r="CJU1618" s="55">
        <f t="shared" si="585"/>
        <v>0</v>
      </c>
      <c r="CJV1618" s="55">
        <f t="shared" si="585"/>
        <v>0</v>
      </c>
      <c r="CJW1618" s="55">
        <f t="shared" si="585"/>
        <v>0</v>
      </c>
      <c r="CJX1618" s="55">
        <f t="shared" si="585"/>
        <v>0</v>
      </c>
      <c r="CJY1618" s="55">
        <f t="shared" si="585"/>
        <v>0</v>
      </c>
      <c r="CJZ1618" s="55">
        <f t="shared" si="585"/>
        <v>0</v>
      </c>
      <c r="CKA1618" s="55">
        <f t="shared" si="585"/>
        <v>0</v>
      </c>
      <c r="CKB1618" s="55">
        <f t="shared" ref="CKB1618:CMM1618" si="586">+(CKB1627+CKB1608)*1.18*1.1</f>
        <v>0</v>
      </c>
      <c r="CKC1618" s="55">
        <f t="shared" si="586"/>
        <v>0</v>
      </c>
      <c r="CKD1618" s="55">
        <f t="shared" si="586"/>
        <v>0</v>
      </c>
      <c r="CKE1618" s="55">
        <f t="shared" si="586"/>
        <v>0</v>
      </c>
      <c r="CKF1618" s="55">
        <f t="shared" si="586"/>
        <v>0</v>
      </c>
      <c r="CKG1618" s="55">
        <f t="shared" si="586"/>
        <v>0</v>
      </c>
      <c r="CKH1618" s="55">
        <f t="shared" si="586"/>
        <v>0</v>
      </c>
      <c r="CKI1618" s="55">
        <f t="shared" si="586"/>
        <v>0</v>
      </c>
      <c r="CKJ1618" s="55">
        <f t="shared" si="586"/>
        <v>0</v>
      </c>
      <c r="CKK1618" s="55">
        <f t="shared" si="586"/>
        <v>0</v>
      </c>
      <c r="CKL1618" s="55">
        <f t="shared" si="586"/>
        <v>0</v>
      </c>
      <c r="CKM1618" s="55">
        <f t="shared" si="586"/>
        <v>0</v>
      </c>
      <c r="CKN1618" s="55">
        <f t="shared" si="586"/>
        <v>0</v>
      </c>
      <c r="CKO1618" s="55">
        <f t="shared" si="586"/>
        <v>0</v>
      </c>
      <c r="CKP1618" s="55">
        <f t="shared" si="586"/>
        <v>0</v>
      </c>
      <c r="CKQ1618" s="55">
        <f t="shared" si="586"/>
        <v>0</v>
      </c>
      <c r="CKR1618" s="55">
        <f t="shared" si="586"/>
        <v>0</v>
      </c>
      <c r="CKS1618" s="55">
        <f t="shared" si="586"/>
        <v>0</v>
      </c>
      <c r="CKT1618" s="55">
        <f t="shared" si="586"/>
        <v>0</v>
      </c>
      <c r="CKU1618" s="55">
        <f t="shared" si="586"/>
        <v>0</v>
      </c>
      <c r="CKV1618" s="55">
        <f t="shared" si="586"/>
        <v>0</v>
      </c>
      <c r="CKW1618" s="55">
        <f t="shared" si="586"/>
        <v>0</v>
      </c>
      <c r="CKX1618" s="55">
        <f t="shared" si="586"/>
        <v>0</v>
      </c>
      <c r="CKY1618" s="55">
        <f t="shared" si="586"/>
        <v>0</v>
      </c>
      <c r="CKZ1618" s="55">
        <f t="shared" si="586"/>
        <v>0</v>
      </c>
      <c r="CLA1618" s="55">
        <f t="shared" si="586"/>
        <v>0</v>
      </c>
      <c r="CLB1618" s="55">
        <f t="shared" si="586"/>
        <v>0</v>
      </c>
      <c r="CLC1618" s="55">
        <f t="shared" si="586"/>
        <v>0</v>
      </c>
      <c r="CLD1618" s="55">
        <f t="shared" si="586"/>
        <v>0</v>
      </c>
      <c r="CLE1618" s="55">
        <f t="shared" si="586"/>
        <v>0</v>
      </c>
      <c r="CLF1618" s="55">
        <f t="shared" si="586"/>
        <v>0</v>
      </c>
      <c r="CLG1618" s="55">
        <f t="shared" si="586"/>
        <v>0</v>
      </c>
      <c r="CLH1618" s="55">
        <f t="shared" si="586"/>
        <v>0</v>
      </c>
      <c r="CLI1618" s="55">
        <f t="shared" si="586"/>
        <v>0</v>
      </c>
      <c r="CLJ1618" s="55">
        <f t="shared" si="586"/>
        <v>0</v>
      </c>
      <c r="CLK1618" s="55">
        <f t="shared" si="586"/>
        <v>0</v>
      </c>
      <c r="CLL1618" s="55">
        <f t="shared" si="586"/>
        <v>0</v>
      </c>
      <c r="CLM1618" s="55">
        <f t="shared" si="586"/>
        <v>0</v>
      </c>
      <c r="CLN1618" s="55">
        <f t="shared" si="586"/>
        <v>0</v>
      </c>
      <c r="CLO1618" s="55">
        <f t="shared" si="586"/>
        <v>0</v>
      </c>
      <c r="CLP1618" s="55">
        <f t="shared" si="586"/>
        <v>0</v>
      </c>
      <c r="CLQ1618" s="55">
        <f t="shared" si="586"/>
        <v>0</v>
      </c>
      <c r="CLR1618" s="55">
        <f t="shared" si="586"/>
        <v>0</v>
      </c>
      <c r="CLS1618" s="55">
        <f t="shared" si="586"/>
        <v>0</v>
      </c>
      <c r="CLT1618" s="55">
        <f t="shared" si="586"/>
        <v>0</v>
      </c>
      <c r="CLU1618" s="55">
        <f t="shared" si="586"/>
        <v>0</v>
      </c>
      <c r="CLV1618" s="55">
        <f t="shared" si="586"/>
        <v>0</v>
      </c>
      <c r="CLW1618" s="55">
        <f t="shared" si="586"/>
        <v>0</v>
      </c>
      <c r="CLX1618" s="55">
        <f t="shared" si="586"/>
        <v>0</v>
      </c>
      <c r="CLY1618" s="55">
        <f t="shared" si="586"/>
        <v>0</v>
      </c>
      <c r="CLZ1618" s="55">
        <f t="shared" si="586"/>
        <v>0</v>
      </c>
      <c r="CMA1618" s="55">
        <f t="shared" si="586"/>
        <v>0</v>
      </c>
      <c r="CMB1618" s="55">
        <f t="shared" si="586"/>
        <v>0</v>
      </c>
      <c r="CMC1618" s="55">
        <f t="shared" si="586"/>
        <v>0</v>
      </c>
      <c r="CMD1618" s="55">
        <f t="shared" si="586"/>
        <v>0</v>
      </c>
      <c r="CME1618" s="55">
        <f t="shared" si="586"/>
        <v>0</v>
      </c>
      <c r="CMF1618" s="55">
        <f t="shared" si="586"/>
        <v>0</v>
      </c>
      <c r="CMG1618" s="55">
        <f t="shared" si="586"/>
        <v>0</v>
      </c>
      <c r="CMH1618" s="55">
        <f t="shared" si="586"/>
        <v>0</v>
      </c>
      <c r="CMI1618" s="55">
        <f t="shared" si="586"/>
        <v>0</v>
      </c>
      <c r="CMJ1618" s="55">
        <f t="shared" si="586"/>
        <v>0</v>
      </c>
      <c r="CMK1618" s="55">
        <f t="shared" si="586"/>
        <v>0</v>
      </c>
      <c r="CML1618" s="55">
        <f t="shared" si="586"/>
        <v>0</v>
      </c>
      <c r="CMM1618" s="55">
        <f t="shared" si="586"/>
        <v>0</v>
      </c>
      <c r="CMN1618" s="55">
        <f t="shared" ref="CMN1618:COY1618" si="587">+(CMN1627+CMN1608)*1.18*1.1</f>
        <v>0</v>
      </c>
      <c r="CMO1618" s="55">
        <f t="shared" si="587"/>
        <v>0</v>
      </c>
      <c r="CMP1618" s="55">
        <f t="shared" si="587"/>
        <v>0</v>
      </c>
      <c r="CMQ1618" s="55">
        <f t="shared" si="587"/>
        <v>0</v>
      </c>
      <c r="CMR1618" s="55">
        <f t="shared" si="587"/>
        <v>0</v>
      </c>
      <c r="CMS1618" s="55">
        <f t="shared" si="587"/>
        <v>0</v>
      </c>
      <c r="CMT1618" s="55">
        <f t="shared" si="587"/>
        <v>0</v>
      </c>
      <c r="CMU1618" s="55">
        <f t="shared" si="587"/>
        <v>0</v>
      </c>
      <c r="CMV1618" s="55">
        <f t="shared" si="587"/>
        <v>0</v>
      </c>
      <c r="CMW1618" s="55">
        <f t="shared" si="587"/>
        <v>0</v>
      </c>
      <c r="CMX1618" s="55">
        <f t="shared" si="587"/>
        <v>0</v>
      </c>
      <c r="CMY1618" s="55">
        <f t="shared" si="587"/>
        <v>0</v>
      </c>
      <c r="CMZ1618" s="55">
        <f t="shared" si="587"/>
        <v>0</v>
      </c>
      <c r="CNA1618" s="55">
        <f t="shared" si="587"/>
        <v>0</v>
      </c>
      <c r="CNB1618" s="55">
        <f t="shared" si="587"/>
        <v>0</v>
      </c>
      <c r="CNC1618" s="55">
        <f t="shared" si="587"/>
        <v>0</v>
      </c>
      <c r="CND1618" s="55">
        <f t="shared" si="587"/>
        <v>0</v>
      </c>
      <c r="CNE1618" s="55">
        <f t="shared" si="587"/>
        <v>0</v>
      </c>
      <c r="CNF1618" s="55">
        <f t="shared" si="587"/>
        <v>0</v>
      </c>
      <c r="CNG1618" s="55">
        <f t="shared" si="587"/>
        <v>0</v>
      </c>
      <c r="CNH1618" s="55">
        <f t="shared" si="587"/>
        <v>0</v>
      </c>
      <c r="CNI1618" s="55">
        <f t="shared" si="587"/>
        <v>0</v>
      </c>
      <c r="CNJ1618" s="55">
        <f t="shared" si="587"/>
        <v>0</v>
      </c>
      <c r="CNK1618" s="55">
        <f t="shared" si="587"/>
        <v>0</v>
      </c>
      <c r="CNL1618" s="55">
        <f t="shared" si="587"/>
        <v>0</v>
      </c>
      <c r="CNM1618" s="55">
        <f t="shared" si="587"/>
        <v>0</v>
      </c>
      <c r="CNN1618" s="55">
        <f t="shared" si="587"/>
        <v>0</v>
      </c>
      <c r="CNO1618" s="55">
        <f t="shared" si="587"/>
        <v>0</v>
      </c>
      <c r="CNP1618" s="55">
        <f t="shared" si="587"/>
        <v>0</v>
      </c>
      <c r="CNQ1618" s="55">
        <f t="shared" si="587"/>
        <v>0</v>
      </c>
      <c r="CNR1618" s="55">
        <f t="shared" si="587"/>
        <v>0</v>
      </c>
      <c r="CNS1618" s="55">
        <f t="shared" si="587"/>
        <v>0</v>
      </c>
      <c r="CNT1618" s="55">
        <f t="shared" si="587"/>
        <v>0</v>
      </c>
      <c r="CNU1618" s="55">
        <f t="shared" si="587"/>
        <v>0</v>
      </c>
      <c r="CNV1618" s="55">
        <f t="shared" si="587"/>
        <v>0</v>
      </c>
      <c r="CNW1618" s="55">
        <f t="shared" si="587"/>
        <v>0</v>
      </c>
      <c r="CNX1618" s="55">
        <f t="shared" si="587"/>
        <v>0</v>
      </c>
      <c r="CNY1618" s="55">
        <f t="shared" si="587"/>
        <v>0</v>
      </c>
      <c r="CNZ1618" s="55">
        <f t="shared" si="587"/>
        <v>0</v>
      </c>
      <c r="COA1618" s="55">
        <f t="shared" si="587"/>
        <v>0</v>
      </c>
      <c r="COB1618" s="55">
        <f t="shared" si="587"/>
        <v>0</v>
      </c>
      <c r="COC1618" s="55">
        <f t="shared" si="587"/>
        <v>0</v>
      </c>
      <c r="COD1618" s="55">
        <f t="shared" si="587"/>
        <v>0</v>
      </c>
      <c r="COE1618" s="55">
        <f t="shared" si="587"/>
        <v>0</v>
      </c>
      <c r="COF1618" s="55">
        <f t="shared" si="587"/>
        <v>0</v>
      </c>
      <c r="COG1618" s="55">
        <f t="shared" si="587"/>
        <v>0</v>
      </c>
      <c r="COH1618" s="55">
        <f t="shared" si="587"/>
        <v>0</v>
      </c>
      <c r="COI1618" s="55">
        <f t="shared" si="587"/>
        <v>0</v>
      </c>
      <c r="COJ1618" s="55">
        <f t="shared" si="587"/>
        <v>0</v>
      </c>
      <c r="COK1618" s="55">
        <f t="shared" si="587"/>
        <v>0</v>
      </c>
      <c r="COL1618" s="55">
        <f t="shared" si="587"/>
        <v>0</v>
      </c>
      <c r="COM1618" s="55">
        <f t="shared" si="587"/>
        <v>0</v>
      </c>
      <c r="CON1618" s="55">
        <f t="shared" si="587"/>
        <v>0</v>
      </c>
      <c r="COO1618" s="55">
        <f t="shared" si="587"/>
        <v>0</v>
      </c>
      <c r="COP1618" s="55">
        <f t="shared" si="587"/>
        <v>0</v>
      </c>
      <c r="COQ1618" s="55">
        <f t="shared" si="587"/>
        <v>0</v>
      </c>
      <c r="COR1618" s="55">
        <f t="shared" si="587"/>
        <v>0</v>
      </c>
      <c r="COS1618" s="55">
        <f t="shared" si="587"/>
        <v>0</v>
      </c>
      <c r="COT1618" s="55">
        <f t="shared" si="587"/>
        <v>0</v>
      </c>
      <c r="COU1618" s="55">
        <f t="shared" si="587"/>
        <v>0</v>
      </c>
      <c r="COV1618" s="55">
        <f t="shared" si="587"/>
        <v>0</v>
      </c>
      <c r="COW1618" s="55">
        <f t="shared" si="587"/>
        <v>0</v>
      </c>
      <c r="COX1618" s="55">
        <f t="shared" si="587"/>
        <v>0</v>
      </c>
      <c r="COY1618" s="55">
        <f t="shared" si="587"/>
        <v>0</v>
      </c>
      <c r="COZ1618" s="55">
        <f t="shared" ref="COZ1618:CRK1618" si="588">+(COZ1627+COZ1608)*1.18*1.1</f>
        <v>0</v>
      </c>
      <c r="CPA1618" s="55">
        <f t="shared" si="588"/>
        <v>0</v>
      </c>
      <c r="CPB1618" s="55">
        <f t="shared" si="588"/>
        <v>0</v>
      </c>
      <c r="CPC1618" s="55">
        <f t="shared" si="588"/>
        <v>0</v>
      </c>
      <c r="CPD1618" s="55">
        <f t="shared" si="588"/>
        <v>0</v>
      </c>
      <c r="CPE1618" s="55">
        <f t="shared" si="588"/>
        <v>0</v>
      </c>
      <c r="CPF1618" s="55">
        <f t="shared" si="588"/>
        <v>0</v>
      </c>
      <c r="CPG1618" s="55">
        <f t="shared" si="588"/>
        <v>0</v>
      </c>
      <c r="CPH1618" s="55">
        <f t="shared" si="588"/>
        <v>0</v>
      </c>
      <c r="CPI1618" s="55">
        <f t="shared" si="588"/>
        <v>0</v>
      </c>
      <c r="CPJ1618" s="55">
        <f t="shared" si="588"/>
        <v>0</v>
      </c>
      <c r="CPK1618" s="55">
        <f t="shared" si="588"/>
        <v>0</v>
      </c>
      <c r="CPL1618" s="55">
        <f t="shared" si="588"/>
        <v>0</v>
      </c>
      <c r="CPM1618" s="55">
        <f t="shared" si="588"/>
        <v>0</v>
      </c>
      <c r="CPN1618" s="55">
        <f t="shared" si="588"/>
        <v>0</v>
      </c>
      <c r="CPO1618" s="55">
        <f t="shared" si="588"/>
        <v>0</v>
      </c>
      <c r="CPP1618" s="55">
        <f t="shared" si="588"/>
        <v>0</v>
      </c>
      <c r="CPQ1618" s="55">
        <f t="shared" si="588"/>
        <v>0</v>
      </c>
      <c r="CPR1618" s="55">
        <f t="shared" si="588"/>
        <v>0</v>
      </c>
      <c r="CPS1618" s="55">
        <f t="shared" si="588"/>
        <v>0</v>
      </c>
      <c r="CPT1618" s="55">
        <f t="shared" si="588"/>
        <v>0</v>
      </c>
      <c r="CPU1618" s="55">
        <f t="shared" si="588"/>
        <v>0</v>
      </c>
      <c r="CPV1618" s="55">
        <f t="shared" si="588"/>
        <v>0</v>
      </c>
      <c r="CPW1618" s="55">
        <f t="shared" si="588"/>
        <v>0</v>
      </c>
      <c r="CPX1618" s="55">
        <f t="shared" si="588"/>
        <v>0</v>
      </c>
      <c r="CPY1618" s="55">
        <f t="shared" si="588"/>
        <v>0</v>
      </c>
      <c r="CPZ1618" s="55">
        <f t="shared" si="588"/>
        <v>0</v>
      </c>
      <c r="CQA1618" s="55">
        <f t="shared" si="588"/>
        <v>0</v>
      </c>
      <c r="CQB1618" s="55">
        <f t="shared" si="588"/>
        <v>0</v>
      </c>
      <c r="CQC1618" s="55">
        <f t="shared" si="588"/>
        <v>0</v>
      </c>
      <c r="CQD1618" s="55">
        <f t="shared" si="588"/>
        <v>0</v>
      </c>
      <c r="CQE1618" s="55">
        <f t="shared" si="588"/>
        <v>0</v>
      </c>
      <c r="CQF1618" s="55">
        <f t="shared" si="588"/>
        <v>0</v>
      </c>
      <c r="CQG1618" s="55">
        <f t="shared" si="588"/>
        <v>0</v>
      </c>
      <c r="CQH1618" s="55">
        <f t="shared" si="588"/>
        <v>0</v>
      </c>
      <c r="CQI1618" s="55">
        <f t="shared" si="588"/>
        <v>0</v>
      </c>
      <c r="CQJ1618" s="55">
        <f t="shared" si="588"/>
        <v>0</v>
      </c>
      <c r="CQK1618" s="55">
        <f t="shared" si="588"/>
        <v>0</v>
      </c>
      <c r="CQL1618" s="55">
        <f t="shared" si="588"/>
        <v>0</v>
      </c>
      <c r="CQM1618" s="55">
        <f t="shared" si="588"/>
        <v>0</v>
      </c>
      <c r="CQN1618" s="55">
        <f t="shared" si="588"/>
        <v>0</v>
      </c>
      <c r="CQO1618" s="55">
        <f t="shared" si="588"/>
        <v>0</v>
      </c>
      <c r="CQP1618" s="55">
        <f t="shared" si="588"/>
        <v>0</v>
      </c>
      <c r="CQQ1618" s="55">
        <f t="shared" si="588"/>
        <v>0</v>
      </c>
      <c r="CQR1618" s="55">
        <f t="shared" si="588"/>
        <v>0</v>
      </c>
      <c r="CQS1618" s="55">
        <f t="shared" si="588"/>
        <v>0</v>
      </c>
      <c r="CQT1618" s="55">
        <f t="shared" si="588"/>
        <v>0</v>
      </c>
      <c r="CQU1618" s="55">
        <f t="shared" si="588"/>
        <v>0</v>
      </c>
      <c r="CQV1618" s="55">
        <f t="shared" si="588"/>
        <v>0</v>
      </c>
      <c r="CQW1618" s="55">
        <f t="shared" si="588"/>
        <v>0</v>
      </c>
      <c r="CQX1618" s="55">
        <f t="shared" si="588"/>
        <v>0</v>
      </c>
      <c r="CQY1618" s="55">
        <f t="shared" si="588"/>
        <v>0</v>
      </c>
      <c r="CQZ1618" s="55">
        <f t="shared" si="588"/>
        <v>0</v>
      </c>
      <c r="CRA1618" s="55">
        <f t="shared" si="588"/>
        <v>0</v>
      </c>
      <c r="CRB1618" s="55">
        <f t="shared" si="588"/>
        <v>0</v>
      </c>
      <c r="CRC1618" s="55">
        <f t="shared" si="588"/>
        <v>0</v>
      </c>
      <c r="CRD1618" s="55">
        <f t="shared" si="588"/>
        <v>0</v>
      </c>
      <c r="CRE1618" s="55">
        <f t="shared" si="588"/>
        <v>0</v>
      </c>
      <c r="CRF1618" s="55">
        <f t="shared" si="588"/>
        <v>0</v>
      </c>
      <c r="CRG1618" s="55">
        <f t="shared" si="588"/>
        <v>0</v>
      </c>
      <c r="CRH1618" s="55">
        <f t="shared" si="588"/>
        <v>0</v>
      </c>
      <c r="CRI1618" s="55">
        <f t="shared" si="588"/>
        <v>0</v>
      </c>
      <c r="CRJ1618" s="55">
        <f t="shared" si="588"/>
        <v>0</v>
      </c>
      <c r="CRK1618" s="55">
        <f t="shared" si="588"/>
        <v>0</v>
      </c>
      <c r="CRL1618" s="55">
        <f t="shared" ref="CRL1618:CTW1618" si="589">+(CRL1627+CRL1608)*1.18*1.1</f>
        <v>0</v>
      </c>
      <c r="CRM1618" s="55">
        <f t="shared" si="589"/>
        <v>0</v>
      </c>
      <c r="CRN1618" s="55">
        <f t="shared" si="589"/>
        <v>0</v>
      </c>
      <c r="CRO1618" s="55">
        <f t="shared" si="589"/>
        <v>0</v>
      </c>
      <c r="CRP1618" s="55">
        <f t="shared" si="589"/>
        <v>0</v>
      </c>
      <c r="CRQ1618" s="55">
        <f t="shared" si="589"/>
        <v>0</v>
      </c>
      <c r="CRR1618" s="55">
        <f t="shared" si="589"/>
        <v>0</v>
      </c>
      <c r="CRS1618" s="55">
        <f t="shared" si="589"/>
        <v>0</v>
      </c>
      <c r="CRT1618" s="55">
        <f t="shared" si="589"/>
        <v>0</v>
      </c>
      <c r="CRU1618" s="55">
        <f t="shared" si="589"/>
        <v>0</v>
      </c>
      <c r="CRV1618" s="55">
        <f t="shared" si="589"/>
        <v>0</v>
      </c>
      <c r="CRW1618" s="55">
        <f t="shared" si="589"/>
        <v>0</v>
      </c>
      <c r="CRX1618" s="55">
        <f t="shared" si="589"/>
        <v>0</v>
      </c>
      <c r="CRY1618" s="55">
        <f t="shared" si="589"/>
        <v>0</v>
      </c>
      <c r="CRZ1618" s="55">
        <f t="shared" si="589"/>
        <v>0</v>
      </c>
      <c r="CSA1618" s="55">
        <f t="shared" si="589"/>
        <v>0</v>
      </c>
      <c r="CSB1618" s="55">
        <f t="shared" si="589"/>
        <v>0</v>
      </c>
      <c r="CSC1618" s="55">
        <f t="shared" si="589"/>
        <v>0</v>
      </c>
      <c r="CSD1618" s="55">
        <f t="shared" si="589"/>
        <v>0</v>
      </c>
      <c r="CSE1618" s="55">
        <f t="shared" si="589"/>
        <v>0</v>
      </c>
      <c r="CSF1618" s="55">
        <f t="shared" si="589"/>
        <v>0</v>
      </c>
      <c r="CSG1618" s="55">
        <f t="shared" si="589"/>
        <v>0</v>
      </c>
      <c r="CSH1618" s="55">
        <f t="shared" si="589"/>
        <v>0</v>
      </c>
      <c r="CSI1618" s="55">
        <f t="shared" si="589"/>
        <v>0</v>
      </c>
      <c r="CSJ1618" s="55">
        <f t="shared" si="589"/>
        <v>0</v>
      </c>
      <c r="CSK1618" s="55">
        <f t="shared" si="589"/>
        <v>0</v>
      </c>
      <c r="CSL1618" s="55">
        <f t="shared" si="589"/>
        <v>0</v>
      </c>
      <c r="CSM1618" s="55">
        <f t="shared" si="589"/>
        <v>0</v>
      </c>
      <c r="CSN1618" s="55">
        <f t="shared" si="589"/>
        <v>0</v>
      </c>
      <c r="CSO1618" s="55">
        <f t="shared" si="589"/>
        <v>0</v>
      </c>
      <c r="CSP1618" s="55">
        <f t="shared" si="589"/>
        <v>0</v>
      </c>
      <c r="CSQ1618" s="55">
        <f t="shared" si="589"/>
        <v>0</v>
      </c>
      <c r="CSR1618" s="55">
        <f t="shared" si="589"/>
        <v>0</v>
      </c>
      <c r="CSS1618" s="55">
        <f t="shared" si="589"/>
        <v>0</v>
      </c>
      <c r="CST1618" s="55">
        <f t="shared" si="589"/>
        <v>0</v>
      </c>
      <c r="CSU1618" s="55">
        <f t="shared" si="589"/>
        <v>0</v>
      </c>
      <c r="CSV1618" s="55">
        <f t="shared" si="589"/>
        <v>0</v>
      </c>
      <c r="CSW1618" s="55">
        <f t="shared" si="589"/>
        <v>0</v>
      </c>
      <c r="CSX1618" s="55">
        <f t="shared" si="589"/>
        <v>0</v>
      </c>
      <c r="CSY1618" s="55">
        <f t="shared" si="589"/>
        <v>0</v>
      </c>
      <c r="CSZ1618" s="55">
        <f t="shared" si="589"/>
        <v>0</v>
      </c>
      <c r="CTA1618" s="55">
        <f t="shared" si="589"/>
        <v>0</v>
      </c>
      <c r="CTB1618" s="55">
        <f t="shared" si="589"/>
        <v>0</v>
      </c>
      <c r="CTC1618" s="55">
        <f t="shared" si="589"/>
        <v>0</v>
      </c>
      <c r="CTD1618" s="55">
        <f t="shared" si="589"/>
        <v>0</v>
      </c>
      <c r="CTE1618" s="55">
        <f t="shared" si="589"/>
        <v>0</v>
      </c>
      <c r="CTF1618" s="55">
        <f t="shared" si="589"/>
        <v>0</v>
      </c>
      <c r="CTG1618" s="55">
        <f t="shared" si="589"/>
        <v>0</v>
      </c>
      <c r="CTH1618" s="55">
        <f t="shared" si="589"/>
        <v>0</v>
      </c>
      <c r="CTI1618" s="55">
        <f t="shared" si="589"/>
        <v>0</v>
      </c>
      <c r="CTJ1618" s="55">
        <f t="shared" si="589"/>
        <v>0</v>
      </c>
      <c r="CTK1618" s="55">
        <f t="shared" si="589"/>
        <v>0</v>
      </c>
      <c r="CTL1618" s="55">
        <f t="shared" si="589"/>
        <v>0</v>
      </c>
      <c r="CTM1618" s="55">
        <f t="shared" si="589"/>
        <v>0</v>
      </c>
      <c r="CTN1618" s="55">
        <f t="shared" si="589"/>
        <v>0</v>
      </c>
      <c r="CTO1618" s="55">
        <f t="shared" si="589"/>
        <v>0</v>
      </c>
      <c r="CTP1618" s="55">
        <f t="shared" si="589"/>
        <v>0</v>
      </c>
      <c r="CTQ1618" s="55">
        <f t="shared" si="589"/>
        <v>0</v>
      </c>
      <c r="CTR1618" s="55">
        <f t="shared" si="589"/>
        <v>0</v>
      </c>
      <c r="CTS1618" s="55">
        <f t="shared" si="589"/>
        <v>0</v>
      </c>
      <c r="CTT1618" s="55">
        <f t="shared" si="589"/>
        <v>0</v>
      </c>
      <c r="CTU1618" s="55">
        <f t="shared" si="589"/>
        <v>0</v>
      </c>
      <c r="CTV1618" s="55">
        <f t="shared" si="589"/>
        <v>0</v>
      </c>
      <c r="CTW1618" s="55">
        <f t="shared" si="589"/>
        <v>0</v>
      </c>
      <c r="CTX1618" s="55">
        <f t="shared" ref="CTX1618:CWI1618" si="590">+(CTX1627+CTX1608)*1.18*1.1</f>
        <v>0</v>
      </c>
      <c r="CTY1618" s="55">
        <f t="shared" si="590"/>
        <v>0</v>
      </c>
      <c r="CTZ1618" s="55">
        <f t="shared" si="590"/>
        <v>0</v>
      </c>
      <c r="CUA1618" s="55">
        <f t="shared" si="590"/>
        <v>0</v>
      </c>
      <c r="CUB1618" s="55">
        <f t="shared" si="590"/>
        <v>0</v>
      </c>
      <c r="CUC1618" s="55">
        <f t="shared" si="590"/>
        <v>0</v>
      </c>
      <c r="CUD1618" s="55">
        <f t="shared" si="590"/>
        <v>0</v>
      </c>
      <c r="CUE1618" s="55">
        <f t="shared" si="590"/>
        <v>0</v>
      </c>
      <c r="CUF1618" s="55">
        <f t="shared" si="590"/>
        <v>0</v>
      </c>
      <c r="CUG1618" s="55">
        <f t="shared" si="590"/>
        <v>0</v>
      </c>
      <c r="CUH1618" s="55">
        <f t="shared" si="590"/>
        <v>0</v>
      </c>
      <c r="CUI1618" s="55">
        <f t="shared" si="590"/>
        <v>0</v>
      </c>
      <c r="CUJ1618" s="55">
        <f t="shared" si="590"/>
        <v>0</v>
      </c>
      <c r="CUK1618" s="55">
        <f t="shared" si="590"/>
        <v>0</v>
      </c>
      <c r="CUL1618" s="55">
        <f t="shared" si="590"/>
        <v>0</v>
      </c>
      <c r="CUM1618" s="55">
        <f t="shared" si="590"/>
        <v>0</v>
      </c>
      <c r="CUN1618" s="55">
        <f t="shared" si="590"/>
        <v>0</v>
      </c>
      <c r="CUO1618" s="55">
        <f t="shared" si="590"/>
        <v>0</v>
      </c>
      <c r="CUP1618" s="55">
        <f t="shared" si="590"/>
        <v>0</v>
      </c>
      <c r="CUQ1618" s="55">
        <f t="shared" si="590"/>
        <v>0</v>
      </c>
      <c r="CUR1618" s="55">
        <f t="shared" si="590"/>
        <v>0</v>
      </c>
      <c r="CUS1618" s="55">
        <f t="shared" si="590"/>
        <v>0</v>
      </c>
      <c r="CUT1618" s="55">
        <f t="shared" si="590"/>
        <v>0</v>
      </c>
      <c r="CUU1618" s="55">
        <f t="shared" si="590"/>
        <v>0</v>
      </c>
      <c r="CUV1618" s="55">
        <f t="shared" si="590"/>
        <v>0</v>
      </c>
      <c r="CUW1618" s="55">
        <f t="shared" si="590"/>
        <v>0</v>
      </c>
      <c r="CUX1618" s="55">
        <f t="shared" si="590"/>
        <v>0</v>
      </c>
      <c r="CUY1618" s="55">
        <f t="shared" si="590"/>
        <v>0</v>
      </c>
      <c r="CUZ1618" s="55">
        <f t="shared" si="590"/>
        <v>0</v>
      </c>
      <c r="CVA1618" s="55">
        <f t="shared" si="590"/>
        <v>0</v>
      </c>
      <c r="CVB1618" s="55">
        <f t="shared" si="590"/>
        <v>0</v>
      </c>
      <c r="CVC1618" s="55">
        <f t="shared" si="590"/>
        <v>0</v>
      </c>
      <c r="CVD1618" s="55">
        <f t="shared" si="590"/>
        <v>0</v>
      </c>
      <c r="CVE1618" s="55">
        <f t="shared" si="590"/>
        <v>0</v>
      </c>
      <c r="CVF1618" s="55">
        <f t="shared" si="590"/>
        <v>0</v>
      </c>
      <c r="CVG1618" s="55">
        <f t="shared" si="590"/>
        <v>0</v>
      </c>
      <c r="CVH1618" s="55">
        <f t="shared" si="590"/>
        <v>0</v>
      </c>
      <c r="CVI1618" s="55">
        <f t="shared" si="590"/>
        <v>0</v>
      </c>
      <c r="CVJ1618" s="55">
        <f t="shared" si="590"/>
        <v>0</v>
      </c>
      <c r="CVK1618" s="55">
        <f t="shared" si="590"/>
        <v>0</v>
      </c>
      <c r="CVL1618" s="55">
        <f t="shared" si="590"/>
        <v>0</v>
      </c>
      <c r="CVM1618" s="55">
        <f t="shared" si="590"/>
        <v>0</v>
      </c>
      <c r="CVN1618" s="55">
        <f t="shared" si="590"/>
        <v>0</v>
      </c>
      <c r="CVO1618" s="55">
        <f t="shared" si="590"/>
        <v>0</v>
      </c>
      <c r="CVP1618" s="55">
        <f t="shared" si="590"/>
        <v>0</v>
      </c>
      <c r="CVQ1618" s="55">
        <f t="shared" si="590"/>
        <v>0</v>
      </c>
      <c r="CVR1618" s="55">
        <f t="shared" si="590"/>
        <v>0</v>
      </c>
      <c r="CVS1618" s="55">
        <f t="shared" si="590"/>
        <v>0</v>
      </c>
      <c r="CVT1618" s="55">
        <f t="shared" si="590"/>
        <v>0</v>
      </c>
      <c r="CVU1618" s="55">
        <f t="shared" si="590"/>
        <v>0</v>
      </c>
      <c r="CVV1618" s="55">
        <f t="shared" si="590"/>
        <v>0</v>
      </c>
      <c r="CVW1618" s="55">
        <f t="shared" si="590"/>
        <v>0</v>
      </c>
      <c r="CVX1618" s="55">
        <f t="shared" si="590"/>
        <v>0</v>
      </c>
      <c r="CVY1618" s="55">
        <f t="shared" si="590"/>
        <v>0</v>
      </c>
      <c r="CVZ1618" s="55">
        <f t="shared" si="590"/>
        <v>0</v>
      </c>
      <c r="CWA1618" s="55">
        <f t="shared" si="590"/>
        <v>0</v>
      </c>
      <c r="CWB1618" s="55">
        <f t="shared" si="590"/>
        <v>0</v>
      </c>
      <c r="CWC1618" s="55">
        <f t="shared" si="590"/>
        <v>0</v>
      </c>
      <c r="CWD1618" s="55">
        <f t="shared" si="590"/>
        <v>0</v>
      </c>
      <c r="CWE1618" s="55">
        <f t="shared" si="590"/>
        <v>0</v>
      </c>
      <c r="CWF1618" s="55">
        <f t="shared" si="590"/>
        <v>0</v>
      </c>
      <c r="CWG1618" s="55">
        <f t="shared" si="590"/>
        <v>0</v>
      </c>
      <c r="CWH1618" s="55">
        <f t="shared" si="590"/>
        <v>0</v>
      </c>
      <c r="CWI1618" s="55">
        <f t="shared" si="590"/>
        <v>0</v>
      </c>
      <c r="CWJ1618" s="55">
        <f t="shared" ref="CWJ1618:CYU1618" si="591">+(CWJ1627+CWJ1608)*1.18*1.1</f>
        <v>0</v>
      </c>
      <c r="CWK1618" s="55">
        <f t="shared" si="591"/>
        <v>0</v>
      </c>
      <c r="CWL1618" s="55">
        <f t="shared" si="591"/>
        <v>0</v>
      </c>
      <c r="CWM1618" s="55">
        <f t="shared" si="591"/>
        <v>0</v>
      </c>
      <c r="CWN1618" s="55">
        <f t="shared" si="591"/>
        <v>0</v>
      </c>
      <c r="CWO1618" s="55">
        <f t="shared" si="591"/>
        <v>0</v>
      </c>
      <c r="CWP1618" s="55">
        <f t="shared" si="591"/>
        <v>0</v>
      </c>
      <c r="CWQ1618" s="55">
        <f t="shared" si="591"/>
        <v>0</v>
      </c>
      <c r="CWR1618" s="55">
        <f t="shared" si="591"/>
        <v>0</v>
      </c>
      <c r="CWS1618" s="55">
        <f t="shared" si="591"/>
        <v>0</v>
      </c>
      <c r="CWT1618" s="55">
        <f t="shared" si="591"/>
        <v>0</v>
      </c>
      <c r="CWU1618" s="55">
        <f t="shared" si="591"/>
        <v>0</v>
      </c>
      <c r="CWV1618" s="55">
        <f t="shared" si="591"/>
        <v>0</v>
      </c>
      <c r="CWW1618" s="55">
        <f t="shared" si="591"/>
        <v>0</v>
      </c>
      <c r="CWX1618" s="55">
        <f t="shared" si="591"/>
        <v>0</v>
      </c>
      <c r="CWY1618" s="55">
        <f t="shared" si="591"/>
        <v>0</v>
      </c>
      <c r="CWZ1618" s="55">
        <f t="shared" si="591"/>
        <v>0</v>
      </c>
      <c r="CXA1618" s="55">
        <f t="shared" si="591"/>
        <v>0</v>
      </c>
      <c r="CXB1618" s="55">
        <f t="shared" si="591"/>
        <v>0</v>
      </c>
      <c r="CXC1618" s="55">
        <f t="shared" si="591"/>
        <v>0</v>
      </c>
      <c r="CXD1618" s="55">
        <f t="shared" si="591"/>
        <v>0</v>
      </c>
      <c r="CXE1618" s="55">
        <f t="shared" si="591"/>
        <v>0</v>
      </c>
      <c r="CXF1618" s="55">
        <f t="shared" si="591"/>
        <v>0</v>
      </c>
      <c r="CXG1618" s="55">
        <f t="shared" si="591"/>
        <v>0</v>
      </c>
      <c r="CXH1618" s="55">
        <f t="shared" si="591"/>
        <v>0</v>
      </c>
      <c r="CXI1618" s="55">
        <f t="shared" si="591"/>
        <v>0</v>
      </c>
      <c r="CXJ1618" s="55">
        <f t="shared" si="591"/>
        <v>0</v>
      </c>
      <c r="CXK1618" s="55">
        <f t="shared" si="591"/>
        <v>0</v>
      </c>
      <c r="CXL1618" s="55">
        <f t="shared" si="591"/>
        <v>0</v>
      </c>
      <c r="CXM1618" s="55">
        <f t="shared" si="591"/>
        <v>0</v>
      </c>
      <c r="CXN1618" s="55">
        <f t="shared" si="591"/>
        <v>0</v>
      </c>
      <c r="CXO1618" s="55">
        <f t="shared" si="591"/>
        <v>0</v>
      </c>
      <c r="CXP1618" s="55">
        <f t="shared" si="591"/>
        <v>0</v>
      </c>
      <c r="CXQ1618" s="55">
        <f t="shared" si="591"/>
        <v>0</v>
      </c>
      <c r="CXR1618" s="55">
        <f t="shared" si="591"/>
        <v>0</v>
      </c>
      <c r="CXS1618" s="55">
        <f t="shared" si="591"/>
        <v>0</v>
      </c>
      <c r="CXT1618" s="55">
        <f t="shared" si="591"/>
        <v>0</v>
      </c>
      <c r="CXU1618" s="55">
        <f t="shared" si="591"/>
        <v>0</v>
      </c>
      <c r="CXV1618" s="55">
        <f t="shared" si="591"/>
        <v>0</v>
      </c>
      <c r="CXW1618" s="55">
        <f t="shared" si="591"/>
        <v>0</v>
      </c>
      <c r="CXX1618" s="55">
        <f t="shared" si="591"/>
        <v>0</v>
      </c>
      <c r="CXY1618" s="55">
        <f t="shared" si="591"/>
        <v>0</v>
      </c>
      <c r="CXZ1618" s="55">
        <f t="shared" si="591"/>
        <v>0</v>
      </c>
      <c r="CYA1618" s="55">
        <f t="shared" si="591"/>
        <v>0</v>
      </c>
      <c r="CYB1618" s="55">
        <f t="shared" si="591"/>
        <v>0</v>
      </c>
      <c r="CYC1618" s="55">
        <f t="shared" si="591"/>
        <v>0</v>
      </c>
      <c r="CYD1618" s="55">
        <f t="shared" si="591"/>
        <v>0</v>
      </c>
      <c r="CYE1618" s="55">
        <f t="shared" si="591"/>
        <v>0</v>
      </c>
      <c r="CYF1618" s="55">
        <f t="shared" si="591"/>
        <v>0</v>
      </c>
      <c r="CYG1618" s="55">
        <f t="shared" si="591"/>
        <v>0</v>
      </c>
      <c r="CYH1618" s="55">
        <f t="shared" si="591"/>
        <v>0</v>
      </c>
      <c r="CYI1618" s="55">
        <f t="shared" si="591"/>
        <v>0</v>
      </c>
      <c r="CYJ1618" s="55">
        <f t="shared" si="591"/>
        <v>0</v>
      </c>
      <c r="CYK1618" s="55">
        <f t="shared" si="591"/>
        <v>0</v>
      </c>
      <c r="CYL1618" s="55">
        <f t="shared" si="591"/>
        <v>0</v>
      </c>
      <c r="CYM1618" s="55">
        <f t="shared" si="591"/>
        <v>0</v>
      </c>
      <c r="CYN1618" s="55">
        <f t="shared" si="591"/>
        <v>0</v>
      </c>
      <c r="CYO1618" s="55">
        <f t="shared" si="591"/>
        <v>0</v>
      </c>
      <c r="CYP1618" s="55">
        <f t="shared" si="591"/>
        <v>0</v>
      </c>
      <c r="CYQ1618" s="55">
        <f t="shared" si="591"/>
        <v>0</v>
      </c>
      <c r="CYR1618" s="55">
        <f t="shared" si="591"/>
        <v>0</v>
      </c>
      <c r="CYS1618" s="55">
        <f t="shared" si="591"/>
        <v>0</v>
      </c>
      <c r="CYT1618" s="55">
        <f t="shared" si="591"/>
        <v>0</v>
      </c>
      <c r="CYU1618" s="55">
        <f t="shared" si="591"/>
        <v>0</v>
      </c>
      <c r="CYV1618" s="55">
        <f t="shared" ref="CYV1618:DBG1618" si="592">+(CYV1627+CYV1608)*1.18*1.1</f>
        <v>0</v>
      </c>
      <c r="CYW1618" s="55">
        <f t="shared" si="592"/>
        <v>0</v>
      </c>
      <c r="CYX1618" s="55">
        <f t="shared" si="592"/>
        <v>0</v>
      </c>
      <c r="CYY1618" s="55">
        <f t="shared" si="592"/>
        <v>0</v>
      </c>
      <c r="CYZ1618" s="55">
        <f t="shared" si="592"/>
        <v>0</v>
      </c>
      <c r="CZA1618" s="55">
        <f t="shared" si="592"/>
        <v>0</v>
      </c>
      <c r="CZB1618" s="55">
        <f t="shared" si="592"/>
        <v>0</v>
      </c>
      <c r="CZC1618" s="55">
        <f t="shared" si="592"/>
        <v>0</v>
      </c>
      <c r="CZD1618" s="55">
        <f t="shared" si="592"/>
        <v>0</v>
      </c>
      <c r="CZE1618" s="55">
        <f t="shared" si="592"/>
        <v>0</v>
      </c>
      <c r="CZF1618" s="55">
        <f t="shared" si="592"/>
        <v>0</v>
      </c>
      <c r="CZG1618" s="55">
        <f t="shared" si="592"/>
        <v>0</v>
      </c>
      <c r="CZH1618" s="55">
        <f t="shared" si="592"/>
        <v>0</v>
      </c>
      <c r="CZI1618" s="55">
        <f t="shared" si="592"/>
        <v>0</v>
      </c>
      <c r="CZJ1618" s="55">
        <f t="shared" si="592"/>
        <v>0</v>
      </c>
      <c r="CZK1618" s="55">
        <f t="shared" si="592"/>
        <v>0</v>
      </c>
      <c r="CZL1618" s="55">
        <f t="shared" si="592"/>
        <v>0</v>
      </c>
      <c r="CZM1618" s="55">
        <f t="shared" si="592"/>
        <v>0</v>
      </c>
      <c r="CZN1618" s="55">
        <f t="shared" si="592"/>
        <v>0</v>
      </c>
      <c r="CZO1618" s="55">
        <f t="shared" si="592"/>
        <v>0</v>
      </c>
      <c r="CZP1618" s="55">
        <f t="shared" si="592"/>
        <v>0</v>
      </c>
      <c r="CZQ1618" s="55">
        <f t="shared" si="592"/>
        <v>0</v>
      </c>
      <c r="CZR1618" s="55">
        <f t="shared" si="592"/>
        <v>0</v>
      </c>
      <c r="CZS1618" s="55">
        <f t="shared" si="592"/>
        <v>0</v>
      </c>
      <c r="CZT1618" s="55">
        <f t="shared" si="592"/>
        <v>0</v>
      </c>
      <c r="CZU1618" s="55">
        <f t="shared" si="592"/>
        <v>0</v>
      </c>
      <c r="CZV1618" s="55">
        <f t="shared" si="592"/>
        <v>0</v>
      </c>
      <c r="CZW1618" s="55">
        <f t="shared" si="592"/>
        <v>0</v>
      </c>
      <c r="CZX1618" s="55">
        <f t="shared" si="592"/>
        <v>0</v>
      </c>
      <c r="CZY1618" s="55">
        <f t="shared" si="592"/>
        <v>0</v>
      </c>
      <c r="CZZ1618" s="55">
        <f t="shared" si="592"/>
        <v>0</v>
      </c>
      <c r="DAA1618" s="55">
        <f t="shared" si="592"/>
        <v>0</v>
      </c>
      <c r="DAB1618" s="55">
        <f t="shared" si="592"/>
        <v>0</v>
      </c>
      <c r="DAC1618" s="55">
        <f t="shared" si="592"/>
        <v>0</v>
      </c>
      <c r="DAD1618" s="55">
        <f t="shared" si="592"/>
        <v>0</v>
      </c>
      <c r="DAE1618" s="55">
        <f t="shared" si="592"/>
        <v>0</v>
      </c>
      <c r="DAF1618" s="55">
        <f t="shared" si="592"/>
        <v>0</v>
      </c>
      <c r="DAG1618" s="55">
        <f t="shared" si="592"/>
        <v>0</v>
      </c>
      <c r="DAH1618" s="55">
        <f t="shared" si="592"/>
        <v>0</v>
      </c>
      <c r="DAI1618" s="55">
        <f t="shared" si="592"/>
        <v>0</v>
      </c>
      <c r="DAJ1618" s="55">
        <f t="shared" si="592"/>
        <v>0</v>
      </c>
      <c r="DAK1618" s="55">
        <f t="shared" si="592"/>
        <v>0</v>
      </c>
      <c r="DAL1618" s="55">
        <f t="shared" si="592"/>
        <v>0</v>
      </c>
      <c r="DAM1618" s="55">
        <f t="shared" si="592"/>
        <v>0</v>
      </c>
      <c r="DAN1618" s="55">
        <f t="shared" si="592"/>
        <v>0</v>
      </c>
      <c r="DAO1618" s="55">
        <f t="shared" si="592"/>
        <v>0</v>
      </c>
      <c r="DAP1618" s="55">
        <f t="shared" si="592"/>
        <v>0</v>
      </c>
      <c r="DAQ1618" s="55">
        <f t="shared" si="592"/>
        <v>0</v>
      </c>
      <c r="DAR1618" s="55">
        <f t="shared" si="592"/>
        <v>0</v>
      </c>
      <c r="DAS1618" s="55">
        <f t="shared" si="592"/>
        <v>0</v>
      </c>
      <c r="DAT1618" s="55">
        <f t="shared" si="592"/>
        <v>0</v>
      </c>
      <c r="DAU1618" s="55">
        <f t="shared" si="592"/>
        <v>0</v>
      </c>
      <c r="DAV1618" s="55">
        <f t="shared" si="592"/>
        <v>0</v>
      </c>
      <c r="DAW1618" s="55">
        <f t="shared" si="592"/>
        <v>0</v>
      </c>
      <c r="DAX1618" s="55">
        <f t="shared" si="592"/>
        <v>0</v>
      </c>
      <c r="DAY1618" s="55">
        <f t="shared" si="592"/>
        <v>0</v>
      </c>
      <c r="DAZ1618" s="55">
        <f t="shared" si="592"/>
        <v>0</v>
      </c>
      <c r="DBA1618" s="55">
        <f t="shared" si="592"/>
        <v>0</v>
      </c>
      <c r="DBB1618" s="55">
        <f t="shared" si="592"/>
        <v>0</v>
      </c>
      <c r="DBC1618" s="55">
        <f t="shared" si="592"/>
        <v>0</v>
      </c>
      <c r="DBD1618" s="55">
        <f t="shared" si="592"/>
        <v>0</v>
      </c>
      <c r="DBE1618" s="55">
        <f t="shared" si="592"/>
        <v>0</v>
      </c>
      <c r="DBF1618" s="55">
        <f t="shared" si="592"/>
        <v>0</v>
      </c>
      <c r="DBG1618" s="55">
        <f t="shared" si="592"/>
        <v>0</v>
      </c>
      <c r="DBH1618" s="55">
        <f t="shared" ref="DBH1618:DDS1618" si="593">+(DBH1627+DBH1608)*1.18*1.1</f>
        <v>0</v>
      </c>
      <c r="DBI1618" s="55">
        <f t="shared" si="593"/>
        <v>0</v>
      </c>
      <c r="DBJ1618" s="55">
        <f t="shared" si="593"/>
        <v>0</v>
      </c>
      <c r="DBK1618" s="55">
        <f t="shared" si="593"/>
        <v>0</v>
      </c>
      <c r="DBL1618" s="55">
        <f t="shared" si="593"/>
        <v>0</v>
      </c>
      <c r="DBM1618" s="55">
        <f t="shared" si="593"/>
        <v>0</v>
      </c>
      <c r="DBN1618" s="55">
        <f t="shared" si="593"/>
        <v>0</v>
      </c>
      <c r="DBO1618" s="55">
        <f t="shared" si="593"/>
        <v>0</v>
      </c>
      <c r="DBP1618" s="55">
        <f t="shared" si="593"/>
        <v>0</v>
      </c>
      <c r="DBQ1618" s="55">
        <f t="shared" si="593"/>
        <v>0</v>
      </c>
      <c r="DBR1618" s="55">
        <f t="shared" si="593"/>
        <v>0</v>
      </c>
      <c r="DBS1618" s="55">
        <f t="shared" si="593"/>
        <v>0</v>
      </c>
      <c r="DBT1618" s="55">
        <f t="shared" si="593"/>
        <v>0</v>
      </c>
      <c r="DBU1618" s="55">
        <f t="shared" si="593"/>
        <v>0</v>
      </c>
      <c r="DBV1618" s="55">
        <f t="shared" si="593"/>
        <v>0</v>
      </c>
      <c r="DBW1618" s="55">
        <f t="shared" si="593"/>
        <v>0</v>
      </c>
      <c r="DBX1618" s="55">
        <f t="shared" si="593"/>
        <v>0</v>
      </c>
      <c r="DBY1618" s="55">
        <f t="shared" si="593"/>
        <v>0</v>
      </c>
      <c r="DBZ1618" s="55">
        <f t="shared" si="593"/>
        <v>0</v>
      </c>
      <c r="DCA1618" s="55">
        <f t="shared" si="593"/>
        <v>0</v>
      </c>
      <c r="DCB1618" s="55">
        <f t="shared" si="593"/>
        <v>0</v>
      </c>
      <c r="DCC1618" s="55">
        <f t="shared" si="593"/>
        <v>0</v>
      </c>
      <c r="DCD1618" s="55">
        <f t="shared" si="593"/>
        <v>0</v>
      </c>
      <c r="DCE1618" s="55">
        <f t="shared" si="593"/>
        <v>0</v>
      </c>
      <c r="DCF1618" s="55">
        <f t="shared" si="593"/>
        <v>0</v>
      </c>
      <c r="DCG1618" s="55">
        <f t="shared" si="593"/>
        <v>0</v>
      </c>
      <c r="DCH1618" s="55">
        <f t="shared" si="593"/>
        <v>0</v>
      </c>
      <c r="DCI1618" s="55">
        <f t="shared" si="593"/>
        <v>0</v>
      </c>
      <c r="DCJ1618" s="55">
        <f t="shared" si="593"/>
        <v>0</v>
      </c>
      <c r="DCK1618" s="55">
        <f t="shared" si="593"/>
        <v>0</v>
      </c>
      <c r="DCL1618" s="55">
        <f t="shared" si="593"/>
        <v>0</v>
      </c>
      <c r="DCM1618" s="55">
        <f t="shared" si="593"/>
        <v>0</v>
      </c>
      <c r="DCN1618" s="55">
        <f t="shared" si="593"/>
        <v>0</v>
      </c>
      <c r="DCO1618" s="55">
        <f t="shared" si="593"/>
        <v>0</v>
      </c>
      <c r="DCP1618" s="55">
        <f t="shared" si="593"/>
        <v>0</v>
      </c>
      <c r="DCQ1618" s="55">
        <f t="shared" si="593"/>
        <v>0</v>
      </c>
      <c r="DCR1618" s="55">
        <f t="shared" si="593"/>
        <v>0</v>
      </c>
      <c r="DCS1618" s="55">
        <f t="shared" si="593"/>
        <v>0</v>
      </c>
      <c r="DCT1618" s="55">
        <f t="shared" si="593"/>
        <v>0</v>
      </c>
      <c r="DCU1618" s="55">
        <f t="shared" si="593"/>
        <v>0</v>
      </c>
      <c r="DCV1618" s="55">
        <f t="shared" si="593"/>
        <v>0</v>
      </c>
      <c r="DCW1618" s="55">
        <f t="shared" si="593"/>
        <v>0</v>
      </c>
      <c r="DCX1618" s="55">
        <f t="shared" si="593"/>
        <v>0</v>
      </c>
      <c r="DCY1618" s="55">
        <f t="shared" si="593"/>
        <v>0</v>
      </c>
      <c r="DCZ1618" s="55">
        <f t="shared" si="593"/>
        <v>0</v>
      </c>
      <c r="DDA1618" s="55">
        <f t="shared" si="593"/>
        <v>0</v>
      </c>
      <c r="DDB1618" s="55">
        <f t="shared" si="593"/>
        <v>0</v>
      </c>
      <c r="DDC1618" s="55">
        <f t="shared" si="593"/>
        <v>0</v>
      </c>
      <c r="DDD1618" s="55">
        <f t="shared" si="593"/>
        <v>0</v>
      </c>
      <c r="DDE1618" s="55">
        <f t="shared" si="593"/>
        <v>0</v>
      </c>
      <c r="DDF1618" s="55">
        <f t="shared" si="593"/>
        <v>0</v>
      </c>
      <c r="DDG1618" s="55">
        <f t="shared" si="593"/>
        <v>0</v>
      </c>
      <c r="DDH1618" s="55">
        <f t="shared" si="593"/>
        <v>0</v>
      </c>
      <c r="DDI1618" s="55">
        <f t="shared" si="593"/>
        <v>0</v>
      </c>
      <c r="DDJ1618" s="55">
        <f t="shared" si="593"/>
        <v>0</v>
      </c>
      <c r="DDK1618" s="55">
        <f t="shared" si="593"/>
        <v>0</v>
      </c>
      <c r="DDL1618" s="55">
        <f t="shared" si="593"/>
        <v>0</v>
      </c>
      <c r="DDM1618" s="55">
        <f t="shared" si="593"/>
        <v>0</v>
      </c>
      <c r="DDN1618" s="55">
        <f t="shared" si="593"/>
        <v>0</v>
      </c>
      <c r="DDO1618" s="55">
        <f t="shared" si="593"/>
        <v>0</v>
      </c>
      <c r="DDP1618" s="55">
        <f t="shared" si="593"/>
        <v>0</v>
      </c>
      <c r="DDQ1618" s="55">
        <f t="shared" si="593"/>
        <v>0</v>
      </c>
      <c r="DDR1618" s="55">
        <f t="shared" si="593"/>
        <v>0</v>
      </c>
      <c r="DDS1618" s="55">
        <f t="shared" si="593"/>
        <v>0</v>
      </c>
      <c r="DDT1618" s="55">
        <f t="shared" ref="DDT1618:DGE1618" si="594">+(DDT1627+DDT1608)*1.18*1.1</f>
        <v>0</v>
      </c>
      <c r="DDU1618" s="55">
        <f t="shared" si="594"/>
        <v>0</v>
      </c>
      <c r="DDV1618" s="55">
        <f t="shared" si="594"/>
        <v>0</v>
      </c>
      <c r="DDW1618" s="55">
        <f t="shared" si="594"/>
        <v>0</v>
      </c>
      <c r="DDX1618" s="55">
        <f t="shared" si="594"/>
        <v>0</v>
      </c>
      <c r="DDY1618" s="55">
        <f t="shared" si="594"/>
        <v>0</v>
      </c>
      <c r="DDZ1618" s="55">
        <f t="shared" si="594"/>
        <v>0</v>
      </c>
      <c r="DEA1618" s="55">
        <f t="shared" si="594"/>
        <v>0</v>
      </c>
      <c r="DEB1618" s="55">
        <f t="shared" si="594"/>
        <v>0</v>
      </c>
      <c r="DEC1618" s="55">
        <f t="shared" si="594"/>
        <v>0</v>
      </c>
      <c r="DED1618" s="55">
        <f t="shared" si="594"/>
        <v>0</v>
      </c>
      <c r="DEE1618" s="55">
        <f t="shared" si="594"/>
        <v>0</v>
      </c>
      <c r="DEF1618" s="55">
        <f t="shared" si="594"/>
        <v>0</v>
      </c>
      <c r="DEG1618" s="55">
        <f t="shared" si="594"/>
        <v>0</v>
      </c>
      <c r="DEH1618" s="55">
        <f t="shared" si="594"/>
        <v>0</v>
      </c>
      <c r="DEI1618" s="55">
        <f t="shared" si="594"/>
        <v>0</v>
      </c>
      <c r="DEJ1618" s="55">
        <f t="shared" si="594"/>
        <v>0</v>
      </c>
      <c r="DEK1618" s="55">
        <f t="shared" si="594"/>
        <v>0</v>
      </c>
      <c r="DEL1618" s="55">
        <f t="shared" si="594"/>
        <v>0</v>
      </c>
      <c r="DEM1618" s="55">
        <f t="shared" si="594"/>
        <v>0</v>
      </c>
      <c r="DEN1618" s="55">
        <f t="shared" si="594"/>
        <v>0</v>
      </c>
      <c r="DEO1618" s="55">
        <f t="shared" si="594"/>
        <v>0</v>
      </c>
      <c r="DEP1618" s="55">
        <f t="shared" si="594"/>
        <v>0</v>
      </c>
      <c r="DEQ1618" s="55">
        <f t="shared" si="594"/>
        <v>0</v>
      </c>
      <c r="DER1618" s="55">
        <f t="shared" si="594"/>
        <v>0</v>
      </c>
      <c r="DES1618" s="55">
        <f t="shared" si="594"/>
        <v>0</v>
      </c>
      <c r="DET1618" s="55">
        <f t="shared" si="594"/>
        <v>0</v>
      </c>
      <c r="DEU1618" s="55">
        <f t="shared" si="594"/>
        <v>0</v>
      </c>
      <c r="DEV1618" s="55">
        <f t="shared" si="594"/>
        <v>0</v>
      </c>
      <c r="DEW1618" s="55">
        <f t="shared" si="594"/>
        <v>0</v>
      </c>
      <c r="DEX1618" s="55">
        <f t="shared" si="594"/>
        <v>0</v>
      </c>
      <c r="DEY1618" s="55">
        <f t="shared" si="594"/>
        <v>0</v>
      </c>
      <c r="DEZ1618" s="55">
        <f t="shared" si="594"/>
        <v>0</v>
      </c>
      <c r="DFA1618" s="55">
        <f t="shared" si="594"/>
        <v>0</v>
      </c>
      <c r="DFB1618" s="55">
        <f t="shared" si="594"/>
        <v>0</v>
      </c>
      <c r="DFC1618" s="55">
        <f t="shared" si="594"/>
        <v>0</v>
      </c>
      <c r="DFD1618" s="55">
        <f t="shared" si="594"/>
        <v>0</v>
      </c>
      <c r="DFE1618" s="55">
        <f t="shared" si="594"/>
        <v>0</v>
      </c>
      <c r="DFF1618" s="55">
        <f t="shared" si="594"/>
        <v>0</v>
      </c>
      <c r="DFG1618" s="55">
        <f t="shared" si="594"/>
        <v>0</v>
      </c>
      <c r="DFH1618" s="55">
        <f t="shared" si="594"/>
        <v>0</v>
      </c>
      <c r="DFI1618" s="55">
        <f t="shared" si="594"/>
        <v>0</v>
      </c>
      <c r="DFJ1618" s="55">
        <f t="shared" si="594"/>
        <v>0</v>
      </c>
      <c r="DFK1618" s="55">
        <f t="shared" si="594"/>
        <v>0</v>
      </c>
      <c r="DFL1618" s="55">
        <f t="shared" si="594"/>
        <v>0</v>
      </c>
      <c r="DFM1618" s="55">
        <f t="shared" si="594"/>
        <v>0</v>
      </c>
      <c r="DFN1618" s="55">
        <f t="shared" si="594"/>
        <v>0</v>
      </c>
      <c r="DFO1618" s="55">
        <f t="shared" si="594"/>
        <v>0</v>
      </c>
      <c r="DFP1618" s="55">
        <f t="shared" si="594"/>
        <v>0</v>
      </c>
      <c r="DFQ1618" s="55">
        <f t="shared" si="594"/>
        <v>0</v>
      </c>
      <c r="DFR1618" s="55">
        <f t="shared" si="594"/>
        <v>0</v>
      </c>
      <c r="DFS1618" s="55">
        <f t="shared" si="594"/>
        <v>0</v>
      </c>
      <c r="DFT1618" s="55">
        <f t="shared" si="594"/>
        <v>0</v>
      </c>
      <c r="DFU1618" s="55">
        <f t="shared" si="594"/>
        <v>0</v>
      </c>
      <c r="DFV1618" s="55">
        <f t="shared" si="594"/>
        <v>0</v>
      </c>
      <c r="DFW1618" s="55">
        <f t="shared" si="594"/>
        <v>0</v>
      </c>
      <c r="DFX1618" s="55">
        <f t="shared" si="594"/>
        <v>0</v>
      </c>
      <c r="DFY1618" s="55">
        <f t="shared" si="594"/>
        <v>0</v>
      </c>
      <c r="DFZ1618" s="55">
        <f t="shared" si="594"/>
        <v>0</v>
      </c>
      <c r="DGA1618" s="55">
        <f t="shared" si="594"/>
        <v>0</v>
      </c>
      <c r="DGB1618" s="55">
        <f t="shared" si="594"/>
        <v>0</v>
      </c>
      <c r="DGC1618" s="55">
        <f t="shared" si="594"/>
        <v>0</v>
      </c>
      <c r="DGD1618" s="55">
        <f t="shared" si="594"/>
        <v>0</v>
      </c>
      <c r="DGE1618" s="55">
        <f t="shared" si="594"/>
        <v>0</v>
      </c>
      <c r="DGF1618" s="55">
        <f t="shared" ref="DGF1618:DIQ1618" si="595">+(DGF1627+DGF1608)*1.18*1.1</f>
        <v>0</v>
      </c>
      <c r="DGG1618" s="55">
        <f t="shared" si="595"/>
        <v>0</v>
      </c>
      <c r="DGH1618" s="55">
        <f t="shared" si="595"/>
        <v>0</v>
      </c>
      <c r="DGI1618" s="55">
        <f t="shared" si="595"/>
        <v>0</v>
      </c>
      <c r="DGJ1618" s="55">
        <f t="shared" si="595"/>
        <v>0</v>
      </c>
      <c r="DGK1618" s="55">
        <f t="shared" si="595"/>
        <v>0</v>
      </c>
      <c r="DGL1618" s="55">
        <f t="shared" si="595"/>
        <v>0</v>
      </c>
      <c r="DGM1618" s="55">
        <f t="shared" si="595"/>
        <v>0</v>
      </c>
      <c r="DGN1618" s="55">
        <f t="shared" si="595"/>
        <v>0</v>
      </c>
      <c r="DGO1618" s="55">
        <f t="shared" si="595"/>
        <v>0</v>
      </c>
      <c r="DGP1618" s="55">
        <f t="shared" si="595"/>
        <v>0</v>
      </c>
      <c r="DGQ1618" s="55">
        <f t="shared" si="595"/>
        <v>0</v>
      </c>
      <c r="DGR1618" s="55">
        <f t="shared" si="595"/>
        <v>0</v>
      </c>
      <c r="DGS1618" s="55">
        <f t="shared" si="595"/>
        <v>0</v>
      </c>
      <c r="DGT1618" s="55">
        <f t="shared" si="595"/>
        <v>0</v>
      </c>
      <c r="DGU1618" s="55">
        <f t="shared" si="595"/>
        <v>0</v>
      </c>
      <c r="DGV1618" s="55">
        <f t="shared" si="595"/>
        <v>0</v>
      </c>
      <c r="DGW1618" s="55">
        <f t="shared" si="595"/>
        <v>0</v>
      </c>
      <c r="DGX1618" s="55">
        <f t="shared" si="595"/>
        <v>0</v>
      </c>
      <c r="DGY1618" s="55">
        <f t="shared" si="595"/>
        <v>0</v>
      </c>
      <c r="DGZ1618" s="55">
        <f t="shared" si="595"/>
        <v>0</v>
      </c>
      <c r="DHA1618" s="55">
        <f t="shared" si="595"/>
        <v>0</v>
      </c>
      <c r="DHB1618" s="55">
        <f t="shared" si="595"/>
        <v>0</v>
      </c>
      <c r="DHC1618" s="55">
        <f t="shared" si="595"/>
        <v>0</v>
      </c>
      <c r="DHD1618" s="55">
        <f t="shared" si="595"/>
        <v>0</v>
      </c>
      <c r="DHE1618" s="55">
        <f t="shared" si="595"/>
        <v>0</v>
      </c>
      <c r="DHF1618" s="55">
        <f t="shared" si="595"/>
        <v>0</v>
      </c>
      <c r="DHG1618" s="55">
        <f t="shared" si="595"/>
        <v>0</v>
      </c>
      <c r="DHH1618" s="55">
        <f t="shared" si="595"/>
        <v>0</v>
      </c>
      <c r="DHI1618" s="55">
        <f t="shared" si="595"/>
        <v>0</v>
      </c>
      <c r="DHJ1618" s="55">
        <f t="shared" si="595"/>
        <v>0</v>
      </c>
      <c r="DHK1618" s="55">
        <f t="shared" si="595"/>
        <v>0</v>
      </c>
      <c r="DHL1618" s="55">
        <f t="shared" si="595"/>
        <v>0</v>
      </c>
      <c r="DHM1618" s="55">
        <f t="shared" si="595"/>
        <v>0</v>
      </c>
      <c r="DHN1618" s="55">
        <f t="shared" si="595"/>
        <v>0</v>
      </c>
      <c r="DHO1618" s="55">
        <f t="shared" si="595"/>
        <v>0</v>
      </c>
      <c r="DHP1618" s="55">
        <f t="shared" si="595"/>
        <v>0</v>
      </c>
      <c r="DHQ1618" s="55">
        <f t="shared" si="595"/>
        <v>0</v>
      </c>
      <c r="DHR1618" s="55">
        <f t="shared" si="595"/>
        <v>0</v>
      </c>
      <c r="DHS1618" s="55">
        <f t="shared" si="595"/>
        <v>0</v>
      </c>
      <c r="DHT1618" s="55">
        <f t="shared" si="595"/>
        <v>0</v>
      </c>
      <c r="DHU1618" s="55">
        <f t="shared" si="595"/>
        <v>0</v>
      </c>
      <c r="DHV1618" s="55">
        <f t="shared" si="595"/>
        <v>0</v>
      </c>
      <c r="DHW1618" s="55">
        <f t="shared" si="595"/>
        <v>0</v>
      </c>
      <c r="DHX1618" s="55">
        <f t="shared" si="595"/>
        <v>0</v>
      </c>
      <c r="DHY1618" s="55">
        <f t="shared" si="595"/>
        <v>0</v>
      </c>
      <c r="DHZ1618" s="55">
        <f t="shared" si="595"/>
        <v>0</v>
      </c>
      <c r="DIA1618" s="55">
        <f t="shared" si="595"/>
        <v>0</v>
      </c>
      <c r="DIB1618" s="55">
        <f t="shared" si="595"/>
        <v>0</v>
      </c>
      <c r="DIC1618" s="55">
        <f t="shared" si="595"/>
        <v>0</v>
      </c>
      <c r="DID1618" s="55">
        <f t="shared" si="595"/>
        <v>0</v>
      </c>
      <c r="DIE1618" s="55">
        <f t="shared" si="595"/>
        <v>0</v>
      </c>
      <c r="DIF1618" s="55">
        <f t="shared" si="595"/>
        <v>0</v>
      </c>
      <c r="DIG1618" s="55">
        <f t="shared" si="595"/>
        <v>0</v>
      </c>
      <c r="DIH1618" s="55">
        <f t="shared" si="595"/>
        <v>0</v>
      </c>
      <c r="DII1618" s="55">
        <f t="shared" si="595"/>
        <v>0</v>
      </c>
      <c r="DIJ1618" s="55">
        <f t="shared" si="595"/>
        <v>0</v>
      </c>
      <c r="DIK1618" s="55">
        <f t="shared" si="595"/>
        <v>0</v>
      </c>
      <c r="DIL1618" s="55">
        <f t="shared" si="595"/>
        <v>0</v>
      </c>
      <c r="DIM1618" s="55">
        <f t="shared" si="595"/>
        <v>0</v>
      </c>
      <c r="DIN1618" s="55">
        <f t="shared" si="595"/>
        <v>0</v>
      </c>
      <c r="DIO1618" s="55">
        <f t="shared" si="595"/>
        <v>0</v>
      </c>
      <c r="DIP1618" s="55">
        <f t="shared" si="595"/>
        <v>0</v>
      </c>
      <c r="DIQ1618" s="55">
        <f t="shared" si="595"/>
        <v>0</v>
      </c>
      <c r="DIR1618" s="55">
        <f t="shared" ref="DIR1618:DLC1618" si="596">+(DIR1627+DIR1608)*1.18*1.1</f>
        <v>0</v>
      </c>
      <c r="DIS1618" s="55">
        <f t="shared" si="596"/>
        <v>0</v>
      </c>
      <c r="DIT1618" s="55">
        <f t="shared" si="596"/>
        <v>0</v>
      </c>
      <c r="DIU1618" s="55">
        <f t="shared" si="596"/>
        <v>0</v>
      </c>
      <c r="DIV1618" s="55">
        <f t="shared" si="596"/>
        <v>0</v>
      </c>
      <c r="DIW1618" s="55">
        <f t="shared" si="596"/>
        <v>0</v>
      </c>
      <c r="DIX1618" s="55">
        <f t="shared" si="596"/>
        <v>0</v>
      </c>
      <c r="DIY1618" s="55">
        <f t="shared" si="596"/>
        <v>0</v>
      </c>
      <c r="DIZ1618" s="55">
        <f t="shared" si="596"/>
        <v>0</v>
      </c>
      <c r="DJA1618" s="55">
        <f t="shared" si="596"/>
        <v>0</v>
      </c>
      <c r="DJB1618" s="55">
        <f t="shared" si="596"/>
        <v>0</v>
      </c>
      <c r="DJC1618" s="55">
        <f t="shared" si="596"/>
        <v>0</v>
      </c>
      <c r="DJD1618" s="55">
        <f t="shared" si="596"/>
        <v>0</v>
      </c>
      <c r="DJE1618" s="55">
        <f t="shared" si="596"/>
        <v>0</v>
      </c>
      <c r="DJF1618" s="55">
        <f t="shared" si="596"/>
        <v>0</v>
      </c>
      <c r="DJG1618" s="55">
        <f t="shared" si="596"/>
        <v>0</v>
      </c>
      <c r="DJH1618" s="55">
        <f t="shared" si="596"/>
        <v>0</v>
      </c>
      <c r="DJI1618" s="55">
        <f t="shared" si="596"/>
        <v>0</v>
      </c>
      <c r="DJJ1618" s="55">
        <f t="shared" si="596"/>
        <v>0</v>
      </c>
      <c r="DJK1618" s="55">
        <f t="shared" si="596"/>
        <v>0</v>
      </c>
      <c r="DJL1618" s="55">
        <f t="shared" si="596"/>
        <v>0</v>
      </c>
      <c r="DJM1618" s="55">
        <f t="shared" si="596"/>
        <v>0</v>
      </c>
      <c r="DJN1618" s="55">
        <f t="shared" si="596"/>
        <v>0</v>
      </c>
      <c r="DJO1618" s="55">
        <f t="shared" si="596"/>
        <v>0</v>
      </c>
      <c r="DJP1618" s="55">
        <f t="shared" si="596"/>
        <v>0</v>
      </c>
      <c r="DJQ1618" s="55">
        <f t="shared" si="596"/>
        <v>0</v>
      </c>
      <c r="DJR1618" s="55">
        <f t="shared" si="596"/>
        <v>0</v>
      </c>
      <c r="DJS1618" s="55">
        <f t="shared" si="596"/>
        <v>0</v>
      </c>
      <c r="DJT1618" s="55">
        <f t="shared" si="596"/>
        <v>0</v>
      </c>
      <c r="DJU1618" s="55">
        <f t="shared" si="596"/>
        <v>0</v>
      </c>
      <c r="DJV1618" s="55">
        <f t="shared" si="596"/>
        <v>0</v>
      </c>
      <c r="DJW1618" s="55">
        <f t="shared" si="596"/>
        <v>0</v>
      </c>
      <c r="DJX1618" s="55">
        <f t="shared" si="596"/>
        <v>0</v>
      </c>
      <c r="DJY1618" s="55">
        <f t="shared" si="596"/>
        <v>0</v>
      </c>
      <c r="DJZ1618" s="55">
        <f t="shared" si="596"/>
        <v>0</v>
      </c>
      <c r="DKA1618" s="55">
        <f t="shared" si="596"/>
        <v>0</v>
      </c>
      <c r="DKB1618" s="55">
        <f t="shared" si="596"/>
        <v>0</v>
      </c>
      <c r="DKC1618" s="55">
        <f t="shared" si="596"/>
        <v>0</v>
      </c>
      <c r="DKD1618" s="55">
        <f t="shared" si="596"/>
        <v>0</v>
      </c>
      <c r="DKE1618" s="55">
        <f t="shared" si="596"/>
        <v>0</v>
      </c>
      <c r="DKF1618" s="55">
        <f t="shared" si="596"/>
        <v>0</v>
      </c>
      <c r="DKG1618" s="55">
        <f t="shared" si="596"/>
        <v>0</v>
      </c>
      <c r="DKH1618" s="55">
        <f t="shared" si="596"/>
        <v>0</v>
      </c>
      <c r="DKI1618" s="55">
        <f t="shared" si="596"/>
        <v>0</v>
      </c>
      <c r="DKJ1618" s="55">
        <f t="shared" si="596"/>
        <v>0</v>
      </c>
      <c r="DKK1618" s="55">
        <f t="shared" si="596"/>
        <v>0</v>
      </c>
      <c r="DKL1618" s="55">
        <f t="shared" si="596"/>
        <v>0</v>
      </c>
      <c r="DKM1618" s="55">
        <f t="shared" si="596"/>
        <v>0</v>
      </c>
      <c r="DKN1618" s="55">
        <f t="shared" si="596"/>
        <v>0</v>
      </c>
      <c r="DKO1618" s="55">
        <f t="shared" si="596"/>
        <v>0</v>
      </c>
      <c r="DKP1618" s="55">
        <f t="shared" si="596"/>
        <v>0</v>
      </c>
      <c r="DKQ1618" s="55">
        <f t="shared" si="596"/>
        <v>0</v>
      </c>
      <c r="DKR1618" s="55">
        <f t="shared" si="596"/>
        <v>0</v>
      </c>
      <c r="DKS1618" s="55">
        <f t="shared" si="596"/>
        <v>0</v>
      </c>
      <c r="DKT1618" s="55">
        <f t="shared" si="596"/>
        <v>0</v>
      </c>
      <c r="DKU1618" s="55">
        <f t="shared" si="596"/>
        <v>0</v>
      </c>
      <c r="DKV1618" s="55">
        <f t="shared" si="596"/>
        <v>0</v>
      </c>
      <c r="DKW1618" s="55">
        <f t="shared" si="596"/>
        <v>0</v>
      </c>
      <c r="DKX1618" s="55">
        <f t="shared" si="596"/>
        <v>0</v>
      </c>
      <c r="DKY1618" s="55">
        <f t="shared" si="596"/>
        <v>0</v>
      </c>
      <c r="DKZ1618" s="55">
        <f t="shared" si="596"/>
        <v>0</v>
      </c>
      <c r="DLA1618" s="55">
        <f t="shared" si="596"/>
        <v>0</v>
      </c>
      <c r="DLB1618" s="55">
        <f t="shared" si="596"/>
        <v>0</v>
      </c>
      <c r="DLC1618" s="55">
        <f t="shared" si="596"/>
        <v>0</v>
      </c>
      <c r="DLD1618" s="55">
        <f t="shared" ref="DLD1618:DNO1618" si="597">+(DLD1627+DLD1608)*1.18*1.1</f>
        <v>0</v>
      </c>
      <c r="DLE1618" s="55">
        <f t="shared" si="597"/>
        <v>0</v>
      </c>
      <c r="DLF1618" s="55">
        <f t="shared" si="597"/>
        <v>0</v>
      </c>
      <c r="DLG1618" s="55">
        <f t="shared" si="597"/>
        <v>0</v>
      </c>
      <c r="DLH1618" s="55">
        <f t="shared" si="597"/>
        <v>0</v>
      </c>
      <c r="DLI1618" s="55">
        <f t="shared" si="597"/>
        <v>0</v>
      </c>
      <c r="DLJ1618" s="55">
        <f t="shared" si="597"/>
        <v>0</v>
      </c>
      <c r="DLK1618" s="55">
        <f t="shared" si="597"/>
        <v>0</v>
      </c>
      <c r="DLL1618" s="55">
        <f t="shared" si="597"/>
        <v>0</v>
      </c>
      <c r="DLM1618" s="55">
        <f t="shared" si="597"/>
        <v>0</v>
      </c>
      <c r="DLN1618" s="55">
        <f t="shared" si="597"/>
        <v>0</v>
      </c>
      <c r="DLO1618" s="55">
        <f t="shared" si="597"/>
        <v>0</v>
      </c>
      <c r="DLP1618" s="55">
        <f t="shared" si="597"/>
        <v>0</v>
      </c>
      <c r="DLQ1618" s="55">
        <f t="shared" si="597"/>
        <v>0</v>
      </c>
      <c r="DLR1618" s="55">
        <f t="shared" si="597"/>
        <v>0</v>
      </c>
      <c r="DLS1618" s="55">
        <f t="shared" si="597"/>
        <v>0</v>
      </c>
      <c r="DLT1618" s="55">
        <f t="shared" si="597"/>
        <v>0</v>
      </c>
      <c r="DLU1618" s="55">
        <f t="shared" si="597"/>
        <v>0</v>
      </c>
      <c r="DLV1618" s="55">
        <f t="shared" si="597"/>
        <v>0</v>
      </c>
      <c r="DLW1618" s="55">
        <f t="shared" si="597"/>
        <v>0</v>
      </c>
      <c r="DLX1618" s="55">
        <f t="shared" si="597"/>
        <v>0</v>
      </c>
      <c r="DLY1618" s="55">
        <f t="shared" si="597"/>
        <v>0</v>
      </c>
      <c r="DLZ1618" s="55">
        <f t="shared" si="597"/>
        <v>0</v>
      </c>
      <c r="DMA1618" s="55">
        <f t="shared" si="597"/>
        <v>0</v>
      </c>
      <c r="DMB1618" s="55">
        <f t="shared" si="597"/>
        <v>0</v>
      </c>
      <c r="DMC1618" s="55">
        <f t="shared" si="597"/>
        <v>0</v>
      </c>
      <c r="DMD1618" s="55">
        <f t="shared" si="597"/>
        <v>0</v>
      </c>
      <c r="DME1618" s="55">
        <f t="shared" si="597"/>
        <v>0</v>
      </c>
      <c r="DMF1618" s="55">
        <f t="shared" si="597"/>
        <v>0</v>
      </c>
      <c r="DMG1618" s="55">
        <f t="shared" si="597"/>
        <v>0</v>
      </c>
      <c r="DMH1618" s="55">
        <f t="shared" si="597"/>
        <v>0</v>
      </c>
      <c r="DMI1618" s="55">
        <f t="shared" si="597"/>
        <v>0</v>
      </c>
      <c r="DMJ1618" s="55">
        <f t="shared" si="597"/>
        <v>0</v>
      </c>
      <c r="DMK1618" s="55">
        <f t="shared" si="597"/>
        <v>0</v>
      </c>
      <c r="DML1618" s="55">
        <f t="shared" si="597"/>
        <v>0</v>
      </c>
      <c r="DMM1618" s="55">
        <f t="shared" si="597"/>
        <v>0</v>
      </c>
      <c r="DMN1618" s="55">
        <f t="shared" si="597"/>
        <v>0</v>
      </c>
      <c r="DMO1618" s="55">
        <f t="shared" si="597"/>
        <v>0</v>
      </c>
      <c r="DMP1618" s="55">
        <f t="shared" si="597"/>
        <v>0</v>
      </c>
      <c r="DMQ1618" s="55">
        <f t="shared" si="597"/>
        <v>0</v>
      </c>
      <c r="DMR1618" s="55">
        <f t="shared" si="597"/>
        <v>0</v>
      </c>
      <c r="DMS1618" s="55">
        <f t="shared" si="597"/>
        <v>0</v>
      </c>
      <c r="DMT1618" s="55">
        <f t="shared" si="597"/>
        <v>0</v>
      </c>
      <c r="DMU1618" s="55">
        <f t="shared" si="597"/>
        <v>0</v>
      </c>
      <c r="DMV1618" s="55">
        <f t="shared" si="597"/>
        <v>0</v>
      </c>
      <c r="DMW1618" s="55">
        <f t="shared" si="597"/>
        <v>0</v>
      </c>
      <c r="DMX1618" s="55">
        <f t="shared" si="597"/>
        <v>0</v>
      </c>
      <c r="DMY1618" s="55">
        <f t="shared" si="597"/>
        <v>0</v>
      </c>
      <c r="DMZ1618" s="55">
        <f t="shared" si="597"/>
        <v>0</v>
      </c>
      <c r="DNA1618" s="55">
        <f t="shared" si="597"/>
        <v>0</v>
      </c>
      <c r="DNB1618" s="55">
        <f t="shared" si="597"/>
        <v>0</v>
      </c>
      <c r="DNC1618" s="55">
        <f t="shared" si="597"/>
        <v>0</v>
      </c>
      <c r="DND1618" s="55">
        <f t="shared" si="597"/>
        <v>0</v>
      </c>
      <c r="DNE1618" s="55">
        <f t="shared" si="597"/>
        <v>0</v>
      </c>
      <c r="DNF1618" s="55">
        <f t="shared" si="597"/>
        <v>0</v>
      </c>
      <c r="DNG1618" s="55">
        <f t="shared" si="597"/>
        <v>0</v>
      </c>
      <c r="DNH1618" s="55">
        <f t="shared" si="597"/>
        <v>0</v>
      </c>
      <c r="DNI1618" s="55">
        <f t="shared" si="597"/>
        <v>0</v>
      </c>
      <c r="DNJ1618" s="55">
        <f t="shared" si="597"/>
        <v>0</v>
      </c>
      <c r="DNK1618" s="55">
        <f t="shared" si="597"/>
        <v>0</v>
      </c>
      <c r="DNL1618" s="55">
        <f t="shared" si="597"/>
        <v>0</v>
      </c>
      <c r="DNM1618" s="55">
        <f t="shared" si="597"/>
        <v>0</v>
      </c>
      <c r="DNN1618" s="55">
        <f t="shared" si="597"/>
        <v>0</v>
      </c>
      <c r="DNO1618" s="55">
        <f t="shared" si="597"/>
        <v>0</v>
      </c>
      <c r="DNP1618" s="55">
        <f t="shared" ref="DNP1618:DQA1618" si="598">+(DNP1627+DNP1608)*1.18*1.1</f>
        <v>0</v>
      </c>
      <c r="DNQ1618" s="55">
        <f t="shared" si="598"/>
        <v>0</v>
      </c>
      <c r="DNR1618" s="55">
        <f t="shared" si="598"/>
        <v>0</v>
      </c>
      <c r="DNS1618" s="55">
        <f t="shared" si="598"/>
        <v>0</v>
      </c>
      <c r="DNT1618" s="55">
        <f t="shared" si="598"/>
        <v>0</v>
      </c>
      <c r="DNU1618" s="55">
        <f t="shared" si="598"/>
        <v>0</v>
      </c>
      <c r="DNV1618" s="55">
        <f t="shared" si="598"/>
        <v>0</v>
      </c>
      <c r="DNW1618" s="55">
        <f t="shared" si="598"/>
        <v>0</v>
      </c>
      <c r="DNX1618" s="55">
        <f t="shared" si="598"/>
        <v>0</v>
      </c>
      <c r="DNY1618" s="55">
        <f t="shared" si="598"/>
        <v>0</v>
      </c>
      <c r="DNZ1618" s="55">
        <f t="shared" si="598"/>
        <v>0</v>
      </c>
      <c r="DOA1618" s="55">
        <f t="shared" si="598"/>
        <v>0</v>
      </c>
      <c r="DOB1618" s="55">
        <f t="shared" si="598"/>
        <v>0</v>
      </c>
      <c r="DOC1618" s="55">
        <f t="shared" si="598"/>
        <v>0</v>
      </c>
      <c r="DOD1618" s="55">
        <f t="shared" si="598"/>
        <v>0</v>
      </c>
      <c r="DOE1618" s="55">
        <f t="shared" si="598"/>
        <v>0</v>
      </c>
      <c r="DOF1618" s="55">
        <f t="shared" si="598"/>
        <v>0</v>
      </c>
      <c r="DOG1618" s="55">
        <f t="shared" si="598"/>
        <v>0</v>
      </c>
      <c r="DOH1618" s="55">
        <f t="shared" si="598"/>
        <v>0</v>
      </c>
      <c r="DOI1618" s="55">
        <f t="shared" si="598"/>
        <v>0</v>
      </c>
      <c r="DOJ1618" s="55">
        <f t="shared" si="598"/>
        <v>0</v>
      </c>
      <c r="DOK1618" s="55">
        <f t="shared" si="598"/>
        <v>0</v>
      </c>
      <c r="DOL1618" s="55">
        <f t="shared" si="598"/>
        <v>0</v>
      </c>
      <c r="DOM1618" s="55">
        <f t="shared" si="598"/>
        <v>0</v>
      </c>
      <c r="DON1618" s="55">
        <f t="shared" si="598"/>
        <v>0</v>
      </c>
      <c r="DOO1618" s="55">
        <f t="shared" si="598"/>
        <v>0</v>
      </c>
      <c r="DOP1618" s="55">
        <f t="shared" si="598"/>
        <v>0</v>
      </c>
      <c r="DOQ1618" s="55">
        <f t="shared" si="598"/>
        <v>0</v>
      </c>
      <c r="DOR1618" s="55">
        <f t="shared" si="598"/>
        <v>0</v>
      </c>
      <c r="DOS1618" s="55">
        <f t="shared" si="598"/>
        <v>0</v>
      </c>
      <c r="DOT1618" s="55">
        <f t="shared" si="598"/>
        <v>0</v>
      </c>
      <c r="DOU1618" s="55">
        <f t="shared" si="598"/>
        <v>0</v>
      </c>
      <c r="DOV1618" s="55">
        <f t="shared" si="598"/>
        <v>0</v>
      </c>
      <c r="DOW1618" s="55">
        <f t="shared" si="598"/>
        <v>0</v>
      </c>
      <c r="DOX1618" s="55">
        <f t="shared" si="598"/>
        <v>0</v>
      </c>
      <c r="DOY1618" s="55">
        <f t="shared" si="598"/>
        <v>0</v>
      </c>
      <c r="DOZ1618" s="55">
        <f t="shared" si="598"/>
        <v>0</v>
      </c>
      <c r="DPA1618" s="55">
        <f t="shared" si="598"/>
        <v>0</v>
      </c>
      <c r="DPB1618" s="55">
        <f t="shared" si="598"/>
        <v>0</v>
      </c>
      <c r="DPC1618" s="55">
        <f t="shared" si="598"/>
        <v>0</v>
      </c>
      <c r="DPD1618" s="55">
        <f t="shared" si="598"/>
        <v>0</v>
      </c>
      <c r="DPE1618" s="55">
        <f t="shared" si="598"/>
        <v>0</v>
      </c>
      <c r="DPF1618" s="55">
        <f t="shared" si="598"/>
        <v>0</v>
      </c>
      <c r="DPG1618" s="55">
        <f t="shared" si="598"/>
        <v>0</v>
      </c>
      <c r="DPH1618" s="55">
        <f t="shared" si="598"/>
        <v>0</v>
      </c>
      <c r="DPI1618" s="55">
        <f t="shared" si="598"/>
        <v>0</v>
      </c>
      <c r="DPJ1618" s="55">
        <f t="shared" si="598"/>
        <v>0</v>
      </c>
      <c r="DPK1618" s="55">
        <f t="shared" si="598"/>
        <v>0</v>
      </c>
      <c r="DPL1618" s="55">
        <f t="shared" si="598"/>
        <v>0</v>
      </c>
      <c r="DPM1618" s="55">
        <f t="shared" si="598"/>
        <v>0</v>
      </c>
      <c r="DPN1618" s="55">
        <f t="shared" si="598"/>
        <v>0</v>
      </c>
      <c r="DPO1618" s="55">
        <f t="shared" si="598"/>
        <v>0</v>
      </c>
      <c r="DPP1618" s="55">
        <f t="shared" si="598"/>
        <v>0</v>
      </c>
      <c r="DPQ1618" s="55">
        <f t="shared" si="598"/>
        <v>0</v>
      </c>
      <c r="DPR1618" s="55">
        <f t="shared" si="598"/>
        <v>0</v>
      </c>
      <c r="DPS1618" s="55">
        <f t="shared" si="598"/>
        <v>0</v>
      </c>
      <c r="DPT1618" s="55">
        <f t="shared" si="598"/>
        <v>0</v>
      </c>
      <c r="DPU1618" s="55">
        <f t="shared" si="598"/>
        <v>0</v>
      </c>
      <c r="DPV1618" s="55">
        <f t="shared" si="598"/>
        <v>0</v>
      </c>
      <c r="DPW1618" s="55">
        <f t="shared" si="598"/>
        <v>0</v>
      </c>
      <c r="DPX1618" s="55">
        <f t="shared" si="598"/>
        <v>0</v>
      </c>
      <c r="DPY1618" s="55">
        <f t="shared" si="598"/>
        <v>0</v>
      </c>
      <c r="DPZ1618" s="55">
        <f t="shared" si="598"/>
        <v>0</v>
      </c>
      <c r="DQA1618" s="55">
        <f t="shared" si="598"/>
        <v>0</v>
      </c>
      <c r="DQB1618" s="55">
        <f t="shared" ref="DQB1618:DSM1618" si="599">+(DQB1627+DQB1608)*1.18*1.1</f>
        <v>0</v>
      </c>
      <c r="DQC1618" s="55">
        <f t="shared" si="599"/>
        <v>0</v>
      </c>
      <c r="DQD1618" s="55">
        <f t="shared" si="599"/>
        <v>0</v>
      </c>
      <c r="DQE1618" s="55">
        <f t="shared" si="599"/>
        <v>0</v>
      </c>
      <c r="DQF1618" s="55">
        <f t="shared" si="599"/>
        <v>0</v>
      </c>
      <c r="DQG1618" s="55">
        <f t="shared" si="599"/>
        <v>0</v>
      </c>
      <c r="DQH1618" s="55">
        <f t="shared" si="599"/>
        <v>0</v>
      </c>
      <c r="DQI1618" s="55">
        <f t="shared" si="599"/>
        <v>0</v>
      </c>
      <c r="DQJ1618" s="55">
        <f t="shared" si="599"/>
        <v>0</v>
      </c>
      <c r="DQK1618" s="55">
        <f t="shared" si="599"/>
        <v>0</v>
      </c>
      <c r="DQL1618" s="55">
        <f t="shared" si="599"/>
        <v>0</v>
      </c>
      <c r="DQM1618" s="55">
        <f t="shared" si="599"/>
        <v>0</v>
      </c>
      <c r="DQN1618" s="55">
        <f t="shared" si="599"/>
        <v>0</v>
      </c>
      <c r="DQO1618" s="55">
        <f t="shared" si="599"/>
        <v>0</v>
      </c>
      <c r="DQP1618" s="55">
        <f t="shared" si="599"/>
        <v>0</v>
      </c>
      <c r="DQQ1618" s="55">
        <f t="shared" si="599"/>
        <v>0</v>
      </c>
      <c r="DQR1618" s="55">
        <f t="shared" si="599"/>
        <v>0</v>
      </c>
      <c r="DQS1618" s="55">
        <f t="shared" si="599"/>
        <v>0</v>
      </c>
      <c r="DQT1618" s="55">
        <f t="shared" si="599"/>
        <v>0</v>
      </c>
      <c r="DQU1618" s="55">
        <f t="shared" si="599"/>
        <v>0</v>
      </c>
      <c r="DQV1618" s="55">
        <f t="shared" si="599"/>
        <v>0</v>
      </c>
      <c r="DQW1618" s="55">
        <f t="shared" si="599"/>
        <v>0</v>
      </c>
      <c r="DQX1618" s="55">
        <f t="shared" si="599"/>
        <v>0</v>
      </c>
      <c r="DQY1618" s="55">
        <f t="shared" si="599"/>
        <v>0</v>
      </c>
      <c r="DQZ1618" s="55">
        <f t="shared" si="599"/>
        <v>0</v>
      </c>
      <c r="DRA1618" s="55">
        <f t="shared" si="599"/>
        <v>0</v>
      </c>
      <c r="DRB1618" s="55">
        <f t="shared" si="599"/>
        <v>0</v>
      </c>
      <c r="DRC1618" s="55">
        <f t="shared" si="599"/>
        <v>0</v>
      </c>
      <c r="DRD1618" s="55">
        <f t="shared" si="599"/>
        <v>0</v>
      </c>
      <c r="DRE1618" s="55">
        <f t="shared" si="599"/>
        <v>0</v>
      </c>
      <c r="DRF1618" s="55">
        <f t="shared" si="599"/>
        <v>0</v>
      </c>
      <c r="DRG1618" s="55">
        <f t="shared" si="599"/>
        <v>0</v>
      </c>
      <c r="DRH1618" s="55">
        <f t="shared" si="599"/>
        <v>0</v>
      </c>
      <c r="DRI1618" s="55">
        <f t="shared" si="599"/>
        <v>0</v>
      </c>
      <c r="DRJ1618" s="55">
        <f t="shared" si="599"/>
        <v>0</v>
      </c>
      <c r="DRK1618" s="55">
        <f t="shared" si="599"/>
        <v>0</v>
      </c>
      <c r="DRL1618" s="55">
        <f t="shared" si="599"/>
        <v>0</v>
      </c>
      <c r="DRM1618" s="55">
        <f t="shared" si="599"/>
        <v>0</v>
      </c>
      <c r="DRN1618" s="55">
        <f t="shared" si="599"/>
        <v>0</v>
      </c>
      <c r="DRO1618" s="55">
        <f t="shared" si="599"/>
        <v>0</v>
      </c>
      <c r="DRP1618" s="55">
        <f t="shared" si="599"/>
        <v>0</v>
      </c>
      <c r="DRQ1618" s="55">
        <f t="shared" si="599"/>
        <v>0</v>
      </c>
      <c r="DRR1618" s="55">
        <f t="shared" si="599"/>
        <v>0</v>
      </c>
      <c r="DRS1618" s="55">
        <f t="shared" si="599"/>
        <v>0</v>
      </c>
      <c r="DRT1618" s="55">
        <f t="shared" si="599"/>
        <v>0</v>
      </c>
      <c r="DRU1618" s="55">
        <f t="shared" si="599"/>
        <v>0</v>
      </c>
      <c r="DRV1618" s="55">
        <f t="shared" si="599"/>
        <v>0</v>
      </c>
      <c r="DRW1618" s="55">
        <f t="shared" si="599"/>
        <v>0</v>
      </c>
      <c r="DRX1618" s="55">
        <f t="shared" si="599"/>
        <v>0</v>
      </c>
      <c r="DRY1618" s="55">
        <f t="shared" si="599"/>
        <v>0</v>
      </c>
      <c r="DRZ1618" s="55">
        <f t="shared" si="599"/>
        <v>0</v>
      </c>
      <c r="DSA1618" s="55">
        <f t="shared" si="599"/>
        <v>0</v>
      </c>
      <c r="DSB1618" s="55">
        <f t="shared" si="599"/>
        <v>0</v>
      </c>
      <c r="DSC1618" s="55">
        <f t="shared" si="599"/>
        <v>0</v>
      </c>
      <c r="DSD1618" s="55">
        <f t="shared" si="599"/>
        <v>0</v>
      </c>
      <c r="DSE1618" s="55">
        <f t="shared" si="599"/>
        <v>0</v>
      </c>
      <c r="DSF1618" s="55">
        <f t="shared" si="599"/>
        <v>0</v>
      </c>
      <c r="DSG1618" s="55">
        <f t="shared" si="599"/>
        <v>0</v>
      </c>
      <c r="DSH1618" s="55">
        <f t="shared" si="599"/>
        <v>0</v>
      </c>
      <c r="DSI1618" s="55">
        <f t="shared" si="599"/>
        <v>0</v>
      </c>
      <c r="DSJ1618" s="55">
        <f t="shared" si="599"/>
        <v>0</v>
      </c>
      <c r="DSK1618" s="55">
        <f t="shared" si="599"/>
        <v>0</v>
      </c>
      <c r="DSL1618" s="55">
        <f t="shared" si="599"/>
        <v>0</v>
      </c>
      <c r="DSM1618" s="55">
        <f t="shared" si="599"/>
        <v>0</v>
      </c>
      <c r="DSN1618" s="55">
        <f t="shared" ref="DSN1618:DUY1618" si="600">+(DSN1627+DSN1608)*1.18*1.1</f>
        <v>0</v>
      </c>
      <c r="DSO1618" s="55">
        <f t="shared" si="600"/>
        <v>0</v>
      </c>
      <c r="DSP1618" s="55">
        <f t="shared" si="600"/>
        <v>0</v>
      </c>
      <c r="DSQ1618" s="55">
        <f t="shared" si="600"/>
        <v>0</v>
      </c>
      <c r="DSR1618" s="55">
        <f t="shared" si="600"/>
        <v>0</v>
      </c>
      <c r="DSS1618" s="55">
        <f t="shared" si="600"/>
        <v>0</v>
      </c>
      <c r="DST1618" s="55">
        <f t="shared" si="600"/>
        <v>0</v>
      </c>
      <c r="DSU1618" s="55">
        <f t="shared" si="600"/>
        <v>0</v>
      </c>
      <c r="DSV1618" s="55">
        <f t="shared" si="600"/>
        <v>0</v>
      </c>
      <c r="DSW1618" s="55">
        <f t="shared" si="600"/>
        <v>0</v>
      </c>
      <c r="DSX1618" s="55">
        <f t="shared" si="600"/>
        <v>0</v>
      </c>
      <c r="DSY1618" s="55">
        <f t="shared" si="600"/>
        <v>0</v>
      </c>
      <c r="DSZ1618" s="55">
        <f t="shared" si="600"/>
        <v>0</v>
      </c>
      <c r="DTA1618" s="55">
        <f t="shared" si="600"/>
        <v>0</v>
      </c>
      <c r="DTB1618" s="55">
        <f t="shared" si="600"/>
        <v>0</v>
      </c>
      <c r="DTC1618" s="55">
        <f t="shared" si="600"/>
        <v>0</v>
      </c>
      <c r="DTD1618" s="55">
        <f t="shared" si="600"/>
        <v>0</v>
      </c>
      <c r="DTE1618" s="55">
        <f t="shared" si="600"/>
        <v>0</v>
      </c>
      <c r="DTF1618" s="55">
        <f t="shared" si="600"/>
        <v>0</v>
      </c>
      <c r="DTG1618" s="55">
        <f t="shared" si="600"/>
        <v>0</v>
      </c>
      <c r="DTH1618" s="55">
        <f t="shared" si="600"/>
        <v>0</v>
      </c>
      <c r="DTI1618" s="55">
        <f t="shared" si="600"/>
        <v>0</v>
      </c>
      <c r="DTJ1618" s="55">
        <f t="shared" si="600"/>
        <v>0</v>
      </c>
      <c r="DTK1618" s="55">
        <f t="shared" si="600"/>
        <v>0</v>
      </c>
      <c r="DTL1618" s="55">
        <f t="shared" si="600"/>
        <v>0</v>
      </c>
      <c r="DTM1618" s="55">
        <f t="shared" si="600"/>
        <v>0</v>
      </c>
      <c r="DTN1618" s="55">
        <f t="shared" si="600"/>
        <v>0</v>
      </c>
      <c r="DTO1618" s="55">
        <f t="shared" si="600"/>
        <v>0</v>
      </c>
      <c r="DTP1618" s="55">
        <f t="shared" si="600"/>
        <v>0</v>
      </c>
      <c r="DTQ1618" s="55">
        <f t="shared" si="600"/>
        <v>0</v>
      </c>
      <c r="DTR1618" s="55">
        <f t="shared" si="600"/>
        <v>0</v>
      </c>
      <c r="DTS1618" s="55">
        <f t="shared" si="600"/>
        <v>0</v>
      </c>
      <c r="DTT1618" s="55">
        <f t="shared" si="600"/>
        <v>0</v>
      </c>
      <c r="DTU1618" s="55">
        <f t="shared" si="600"/>
        <v>0</v>
      </c>
      <c r="DTV1618" s="55">
        <f t="shared" si="600"/>
        <v>0</v>
      </c>
      <c r="DTW1618" s="55">
        <f t="shared" si="600"/>
        <v>0</v>
      </c>
      <c r="DTX1618" s="55">
        <f t="shared" si="600"/>
        <v>0</v>
      </c>
      <c r="DTY1618" s="55">
        <f t="shared" si="600"/>
        <v>0</v>
      </c>
      <c r="DTZ1618" s="55">
        <f t="shared" si="600"/>
        <v>0</v>
      </c>
      <c r="DUA1618" s="55">
        <f t="shared" si="600"/>
        <v>0</v>
      </c>
      <c r="DUB1618" s="55">
        <f t="shared" si="600"/>
        <v>0</v>
      </c>
      <c r="DUC1618" s="55">
        <f t="shared" si="600"/>
        <v>0</v>
      </c>
      <c r="DUD1618" s="55">
        <f t="shared" si="600"/>
        <v>0</v>
      </c>
      <c r="DUE1618" s="55">
        <f t="shared" si="600"/>
        <v>0</v>
      </c>
      <c r="DUF1618" s="55">
        <f t="shared" si="600"/>
        <v>0</v>
      </c>
      <c r="DUG1618" s="55">
        <f t="shared" si="600"/>
        <v>0</v>
      </c>
      <c r="DUH1618" s="55">
        <f t="shared" si="600"/>
        <v>0</v>
      </c>
      <c r="DUI1618" s="55">
        <f t="shared" si="600"/>
        <v>0</v>
      </c>
      <c r="DUJ1618" s="55">
        <f t="shared" si="600"/>
        <v>0</v>
      </c>
      <c r="DUK1618" s="55">
        <f t="shared" si="600"/>
        <v>0</v>
      </c>
      <c r="DUL1618" s="55">
        <f t="shared" si="600"/>
        <v>0</v>
      </c>
      <c r="DUM1618" s="55">
        <f t="shared" si="600"/>
        <v>0</v>
      </c>
      <c r="DUN1618" s="55">
        <f t="shared" si="600"/>
        <v>0</v>
      </c>
      <c r="DUO1618" s="55">
        <f t="shared" si="600"/>
        <v>0</v>
      </c>
      <c r="DUP1618" s="55">
        <f t="shared" si="600"/>
        <v>0</v>
      </c>
      <c r="DUQ1618" s="55">
        <f t="shared" si="600"/>
        <v>0</v>
      </c>
      <c r="DUR1618" s="55">
        <f t="shared" si="600"/>
        <v>0</v>
      </c>
      <c r="DUS1618" s="55">
        <f t="shared" si="600"/>
        <v>0</v>
      </c>
      <c r="DUT1618" s="55">
        <f t="shared" si="600"/>
        <v>0</v>
      </c>
      <c r="DUU1618" s="55">
        <f t="shared" si="600"/>
        <v>0</v>
      </c>
      <c r="DUV1618" s="55">
        <f t="shared" si="600"/>
        <v>0</v>
      </c>
      <c r="DUW1618" s="55">
        <f t="shared" si="600"/>
        <v>0</v>
      </c>
      <c r="DUX1618" s="55">
        <f t="shared" si="600"/>
        <v>0</v>
      </c>
      <c r="DUY1618" s="55">
        <f t="shared" si="600"/>
        <v>0</v>
      </c>
      <c r="DUZ1618" s="55">
        <f t="shared" ref="DUZ1618:DXK1618" si="601">+(DUZ1627+DUZ1608)*1.18*1.1</f>
        <v>0</v>
      </c>
      <c r="DVA1618" s="55">
        <f t="shared" si="601"/>
        <v>0</v>
      </c>
      <c r="DVB1618" s="55">
        <f t="shared" si="601"/>
        <v>0</v>
      </c>
      <c r="DVC1618" s="55">
        <f t="shared" si="601"/>
        <v>0</v>
      </c>
      <c r="DVD1618" s="55">
        <f t="shared" si="601"/>
        <v>0</v>
      </c>
      <c r="DVE1618" s="55">
        <f t="shared" si="601"/>
        <v>0</v>
      </c>
      <c r="DVF1618" s="55">
        <f t="shared" si="601"/>
        <v>0</v>
      </c>
      <c r="DVG1618" s="55">
        <f t="shared" si="601"/>
        <v>0</v>
      </c>
      <c r="DVH1618" s="55">
        <f t="shared" si="601"/>
        <v>0</v>
      </c>
      <c r="DVI1618" s="55">
        <f t="shared" si="601"/>
        <v>0</v>
      </c>
      <c r="DVJ1618" s="55">
        <f t="shared" si="601"/>
        <v>0</v>
      </c>
      <c r="DVK1618" s="55">
        <f t="shared" si="601"/>
        <v>0</v>
      </c>
      <c r="DVL1618" s="55">
        <f t="shared" si="601"/>
        <v>0</v>
      </c>
      <c r="DVM1618" s="55">
        <f t="shared" si="601"/>
        <v>0</v>
      </c>
      <c r="DVN1618" s="55">
        <f t="shared" si="601"/>
        <v>0</v>
      </c>
      <c r="DVO1618" s="55">
        <f t="shared" si="601"/>
        <v>0</v>
      </c>
      <c r="DVP1618" s="55">
        <f t="shared" si="601"/>
        <v>0</v>
      </c>
      <c r="DVQ1618" s="55">
        <f t="shared" si="601"/>
        <v>0</v>
      </c>
      <c r="DVR1618" s="55">
        <f t="shared" si="601"/>
        <v>0</v>
      </c>
      <c r="DVS1618" s="55">
        <f t="shared" si="601"/>
        <v>0</v>
      </c>
      <c r="DVT1618" s="55">
        <f t="shared" si="601"/>
        <v>0</v>
      </c>
      <c r="DVU1618" s="55">
        <f t="shared" si="601"/>
        <v>0</v>
      </c>
      <c r="DVV1618" s="55">
        <f t="shared" si="601"/>
        <v>0</v>
      </c>
      <c r="DVW1618" s="55">
        <f t="shared" si="601"/>
        <v>0</v>
      </c>
      <c r="DVX1618" s="55">
        <f t="shared" si="601"/>
        <v>0</v>
      </c>
      <c r="DVY1618" s="55">
        <f t="shared" si="601"/>
        <v>0</v>
      </c>
      <c r="DVZ1618" s="55">
        <f t="shared" si="601"/>
        <v>0</v>
      </c>
      <c r="DWA1618" s="55">
        <f t="shared" si="601"/>
        <v>0</v>
      </c>
      <c r="DWB1618" s="55">
        <f t="shared" si="601"/>
        <v>0</v>
      </c>
      <c r="DWC1618" s="55">
        <f t="shared" si="601"/>
        <v>0</v>
      </c>
      <c r="DWD1618" s="55">
        <f t="shared" si="601"/>
        <v>0</v>
      </c>
      <c r="DWE1618" s="55">
        <f t="shared" si="601"/>
        <v>0</v>
      </c>
      <c r="DWF1618" s="55">
        <f t="shared" si="601"/>
        <v>0</v>
      </c>
      <c r="DWG1618" s="55">
        <f t="shared" si="601"/>
        <v>0</v>
      </c>
      <c r="DWH1618" s="55">
        <f t="shared" si="601"/>
        <v>0</v>
      </c>
      <c r="DWI1618" s="55">
        <f t="shared" si="601"/>
        <v>0</v>
      </c>
      <c r="DWJ1618" s="55">
        <f t="shared" si="601"/>
        <v>0</v>
      </c>
      <c r="DWK1618" s="55">
        <f t="shared" si="601"/>
        <v>0</v>
      </c>
      <c r="DWL1618" s="55">
        <f t="shared" si="601"/>
        <v>0</v>
      </c>
      <c r="DWM1618" s="55">
        <f t="shared" si="601"/>
        <v>0</v>
      </c>
      <c r="DWN1618" s="55">
        <f t="shared" si="601"/>
        <v>0</v>
      </c>
      <c r="DWO1618" s="55">
        <f t="shared" si="601"/>
        <v>0</v>
      </c>
      <c r="DWP1618" s="55">
        <f t="shared" si="601"/>
        <v>0</v>
      </c>
      <c r="DWQ1618" s="55">
        <f t="shared" si="601"/>
        <v>0</v>
      </c>
      <c r="DWR1618" s="55">
        <f t="shared" si="601"/>
        <v>0</v>
      </c>
      <c r="DWS1618" s="55">
        <f t="shared" si="601"/>
        <v>0</v>
      </c>
      <c r="DWT1618" s="55">
        <f t="shared" si="601"/>
        <v>0</v>
      </c>
      <c r="DWU1618" s="55">
        <f t="shared" si="601"/>
        <v>0</v>
      </c>
      <c r="DWV1618" s="55">
        <f t="shared" si="601"/>
        <v>0</v>
      </c>
      <c r="DWW1618" s="55">
        <f t="shared" si="601"/>
        <v>0</v>
      </c>
      <c r="DWX1618" s="55">
        <f t="shared" si="601"/>
        <v>0</v>
      </c>
      <c r="DWY1618" s="55">
        <f t="shared" si="601"/>
        <v>0</v>
      </c>
      <c r="DWZ1618" s="55">
        <f t="shared" si="601"/>
        <v>0</v>
      </c>
      <c r="DXA1618" s="55">
        <f t="shared" si="601"/>
        <v>0</v>
      </c>
      <c r="DXB1618" s="55">
        <f t="shared" si="601"/>
        <v>0</v>
      </c>
      <c r="DXC1618" s="55">
        <f t="shared" si="601"/>
        <v>0</v>
      </c>
      <c r="DXD1618" s="55">
        <f t="shared" si="601"/>
        <v>0</v>
      </c>
      <c r="DXE1618" s="55">
        <f t="shared" si="601"/>
        <v>0</v>
      </c>
      <c r="DXF1618" s="55">
        <f t="shared" si="601"/>
        <v>0</v>
      </c>
      <c r="DXG1618" s="55">
        <f t="shared" si="601"/>
        <v>0</v>
      </c>
      <c r="DXH1618" s="55">
        <f t="shared" si="601"/>
        <v>0</v>
      </c>
      <c r="DXI1618" s="55">
        <f t="shared" si="601"/>
        <v>0</v>
      </c>
      <c r="DXJ1618" s="55">
        <f t="shared" si="601"/>
        <v>0</v>
      </c>
      <c r="DXK1618" s="55">
        <f t="shared" si="601"/>
        <v>0</v>
      </c>
      <c r="DXL1618" s="55">
        <f t="shared" ref="DXL1618:DZW1618" si="602">+(DXL1627+DXL1608)*1.18*1.1</f>
        <v>0</v>
      </c>
      <c r="DXM1618" s="55">
        <f t="shared" si="602"/>
        <v>0</v>
      </c>
      <c r="DXN1618" s="55">
        <f t="shared" si="602"/>
        <v>0</v>
      </c>
      <c r="DXO1618" s="55">
        <f t="shared" si="602"/>
        <v>0</v>
      </c>
      <c r="DXP1618" s="55">
        <f t="shared" si="602"/>
        <v>0</v>
      </c>
      <c r="DXQ1618" s="55">
        <f t="shared" si="602"/>
        <v>0</v>
      </c>
      <c r="DXR1618" s="55">
        <f t="shared" si="602"/>
        <v>0</v>
      </c>
      <c r="DXS1618" s="55">
        <f t="shared" si="602"/>
        <v>0</v>
      </c>
      <c r="DXT1618" s="55">
        <f t="shared" si="602"/>
        <v>0</v>
      </c>
      <c r="DXU1618" s="55">
        <f t="shared" si="602"/>
        <v>0</v>
      </c>
      <c r="DXV1618" s="55">
        <f t="shared" si="602"/>
        <v>0</v>
      </c>
      <c r="DXW1618" s="55">
        <f t="shared" si="602"/>
        <v>0</v>
      </c>
      <c r="DXX1618" s="55">
        <f t="shared" si="602"/>
        <v>0</v>
      </c>
      <c r="DXY1618" s="55">
        <f t="shared" si="602"/>
        <v>0</v>
      </c>
      <c r="DXZ1618" s="55">
        <f t="shared" si="602"/>
        <v>0</v>
      </c>
      <c r="DYA1618" s="55">
        <f t="shared" si="602"/>
        <v>0</v>
      </c>
      <c r="DYB1618" s="55">
        <f t="shared" si="602"/>
        <v>0</v>
      </c>
      <c r="DYC1618" s="55">
        <f t="shared" si="602"/>
        <v>0</v>
      </c>
      <c r="DYD1618" s="55">
        <f t="shared" si="602"/>
        <v>0</v>
      </c>
      <c r="DYE1618" s="55">
        <f t="shared" si="602"/>
        <v>0</v>
      </c>
      <c r="DYF1618" s="55">
        <f t="shared" si="602"/>
        <v>0</v>
      </c>
      <c r="DYG1618" s="55">
        <f t="shared" si="602"/>
        <v>0</v>
      </c>
      <c r="DYH1618" s="55">
        <f t="shared" si="602"/>
        <v>0</v>
      </c>
      <c r="DYI1618" s="55">
        <f t="shared" si="602"/>
        <v>0</v>
      </c>
      <c r="DYJ1618" s="55">
        <f t="shared" si="602"/>
        <v>0</v>
      </c>
      <c r="DYK1618" s="55">
        <f t="shared" si="602"/>
        <v>0</v>
      </c>
      <c r="DYL1618" s="55">
        <f t="shared" si="602"/>
        <v>0</v>
      </c>
      <c r="DYM1618" s="55">
        <f t="shared" si="602"/>
        <v>0</v>
      </c>
      <c r="DYN1618" s="55">
        <f t="shared" si="602"/>
        <v>0</v>
      </c>
      <c r="DYO1618" s="55">
        <f t="shared" si="602"/>
        <v>0</v>
      </c>
      <c r="DYP1618" s="55">
        <f t="shared" si="602"/>
        <v>0</v>
      </c>
      <c r="DYQ1618" s="55">
        <f t="shared" si="602"/>
        <v>0</v>
      </c>
      <c r="DYR1618" s="55">
        <f t="shared" si="602"/>
        <v>0</v>
      </c>
      <c r="DYS1618" s="55">
        <f t="shared" si="602"/>
        <v>0</v>
      </c>
      <c r="DYT1618" s="55">
        <f t="shared" si="602"/>
        <v>0</v>
      </c>
      <c r="DYU1618" s="55">
        <f t="shared" si="602"/>
        <v>0</v>
      </c>
      <c r="DYV1618" s="55">
        <f t="shared" si="602"/>
        <v>0</v>
      </c>
      <c r="DYW1618" s="55">
        <f t="shared" si="602"/>
        <v>0</v>
      </c>
      <c r="DYX1618" s="55">
        <f t="shared" si="602"/>
        <v>0</v>
      </c>
      <c r="DYY1618" s="55">
        <f t="shared" si="602"/>
        <v>0</v>
      </c>
      <c r="DYZ1618" s="55">
        <f t="shared" si="602"/>
        <v>0</v>
      </c>
      <c r="DZA1618" s="55">
        <f t="shared" si="602"/>
        <v>0</v>
      </c>
      <c r="DZB1618" s="55">
        <f t="shared" si="602"/>
        <v>0</v>
      </c>
      <c r="DZC1618" s="55">
        <f t="shared" si="602"/>
        <v>0</v>
      </c>
      <c r="DZD1618" s="55">
        <f t="shared" si="602"/>
        <v>0</v>
      </c>
      <c r="DZE1618" s="55">
        <f t="shared" si="602"/>
        <v>0</v>
      </c>
      <c r="DZF1618" s="55">
        <f t="shared" si="602"/>
        <v>0</v>
      </c>
      <c r="DZG1618" s="55">
        <f t="shared" si="602"/>
        <v>0</v>
      </c>
      <c r="DZH1618" s="55">
        <f t="shared" si="602"/>
        <v>0</v>
      </c>
      <c r="DZI1618" s="55">
        <f t="shared" si="602"/>
        <v>0</v>
      </c>
      <c r="DZJ1618" s="55">
        <f t="shared" si="602"/>
        <v>0</v>
      </c>
      <c r="DZK1618" s="55">
        <f t="shared" si="602"/>
        <v>0</v>
      </c>
      <c r="DZL1618" s="55">
        <f t="shared" si="602"/>
        <v>0</v>
      </c>
      <c r="DZM1618" s="55">
        <f t="shared" si="602"/>
        <v>0</v>
      </c>
      <c r="DZN1618" s="55">
        <f t="shared" si="602"/>
        <v>0</v>
      </c>
      <c r="DZO1618" s="55">
        <f t="shared" si="602"/>
        <v>0</v>
      </c>
      <c r="DZP1618" s="55">
        <f t="shared" si="602"/>
        <v>0</v>
      </c>
      <c r="DZQ1618" s="55">
        <f t="shared" si="602"/>
        <v>0</v>
      </c>
      <c r="DZR1618" s="55">
        <f t="shared" si="602"/>
        <v>0</v>
      </c>
      <c r="DZS1618" s="55">
        <f t="shared" si="602"/>
        <v>0</v>
      </c>
      <c r="DZT1618" s="55">
        <f t="shared" si="602"/>
        <v>0</v>
      </c>
      <c r="DZU1618" s="55">
        <f t="shared" si="602"/>
        <v>0</v>
      </c>
      <c r="DZV1618" s="55">
        <f t="shared" si="602"/>
        <v>0</v>
      </c>
      <c r="DZW1618" s="55">
        <f t="shared" si="602"/>
        <v>0</v>
      </c>
      <c r="DZX1618" s="55">
        <f t="shared" ref="DZX1618:ECI1618" si="603">+(DZX1627+DZX1608)*1.18*1.1</f>
        <v>0</v>
      </c>
      <c r="DZY1618" s="55">
        <f t="shared" si="603"/>
        <v>0</v>
      </c>
      <c r="DZZ1618" s="55">
        <f t="shared" si="603"/>
        <v>0</v>
      </c>
      <c r="EAA1618" s="55">
        <f t="shared" si="603"/>
        <v>0</v>
      </c>
      <c r="EAB1618" s="55">
        <f t="shared" si="603"/>
        <v>0</v>
      </c>
      <c r="EAC1618" s="55">
        <f t="shared" si="603"/>
        <v>0</v>
      </c>
      <c r="EAD1618" s="55">
        <f t="shared" si="603"/>
        <v>0</v>
      </c>
      <c r="EAE1618" s="55">
        <f t="shared" si="603"/>
        <v>0</v>
      </c>
      <c r="EAF1618" s="55">
        <f t="shared" si="603"/>
        <v>0</v>
      </c>
      <c r="EAG1618" s="55">
        <f t="shared" si="603"/>
        <v>0</v>
      </c>
      <c r="EAH1618" s="55">
        <f t="shared" si="603"/>
        <v>0</v>
      </c>
      <c r="EAI1618" s="55">
        <f t="shared" si="603"/>
        <v>0</v>
      </c>
      <c r="EAJ1618" s="55">
        <f t="shared" si="603"/>
        <v>0</v>
      </c>
      <c r="EAK1618" s="55">
        <f t="shared" si="603"/>
        <v>0</v>
      </c>
      <c r="EAL1618" s="55">
        <f t="shared" si="603"/>
        <v>0</v>
      </c>
      <c r="EAM1618" s="55">
        <f t="shared" si="603"/>
        <v>0</v>
      </c>
      <c r="EAN1618" s="55">
        <f t="shared" si="603"/>
        <v>0</v>
      </c>
      <c r="EAO1618" s="55">
        <f t="shared" si="603"/>
        <v>0</v>
      </c>
      <c r="EAP1618" s="55">
        <f t="shared" si="603"/>
        <v>0</v>
      </c>
      <c r="EAQ1618" s="55">
        <f t="shared" si="603"/>
        <v>0</v>
      </c>
      <c r="EAR1618" s="55">
        <f t="shared" si="603"/>
        <v>0</v>
      </c>
      <c r="EAS1618" s="55">
        <f t="shared" si="603"/>
        <v>0</v>
      </c>
      <c r="EAT1618" s="55">
        <f t="shared" si="603"/>
        <v>0</v>
      </c>
      <c r="EAU1618" s="55">
        <f t="shared" si="603"/>
        <v>0</v>
      </c>
      <c r="EAV1618" s="55">
        <f t="shared" si="603"/>
        <v>0</v>
      </c>
      <c r="EAW1618" s="55">
        <f t="shared" si="603"/>
        <v>0</v>
      </c>
      <c r="EAX1618" s="55">
        <f t="shared" si="603"/>
        <v>0</v>
      </c>
      <c r="EAY1618" s="55">
        <f t="shared" si="603"/>
        <v>0</v>
      </c>
      <c r="EAZ1618" s="55">
        <f t="shared" si="603"/>
        <v>0</v>
      </c>
      <c r="EBA1618" s="55">
        <f t="shared" si="603"/>
        <v>0</v>
      </c>
      <c r="EBB1618" s="55">
        <f t="shared" si="603"/>
        <v>0</v>
      </c>
      <c r="EBC1618" s="55">
        <f t="shared" si="603"/>
        <v>0</v>
      </c>
      <c r="EBD1618" s="55">
        <f t="shared" si="603"/>
        <v>0</v>
      </c>
      <c r="EBE1618" s="55">
        <f t="shared" si="603"/>
        <v>0</v>
      </c>
      <c r="EBF1618" s="55">
        <f t="shared" si="603"/>
        <v>0</v>
      </c>
      <c r="EBG1618" s="55">
        <f t="shared" si="603"/>
        <v>0</v>
      </c>
      <c r="EBH1618" s="55">
        <f t="shared" si="603"/>
        <v>0</v>
      </c>
      <c r="EBI1618" s="55">
        <f t="shared" si="603"/>
        <v>0</v>
      </c>
      <c r="EBJ1618" s="55">
        <f t="shared" si="603"/>
        <v>0</v>
      </c>
      <c r="EBK1618" s="55">
        <f t="shared" si="603"/>
        <v>0</v>
      </c>
      <c r="EBL1618" s="55">
        <f t="shared" si="603"/>
        <v>0</v>
      </c>
      <c r="EBM1618" s="55">
        <f t="shared" si="603"/>
        <v>0</v>
      </c>
      <c r="EBN1618" s="55">
        <f t="shared" si="603"/>
        <v>0</v>
      </c>
      <c r="EBO1618" s="55">
        <f t="shared" si="603"/>
        <v>0</v>
      </c>
      <c r="EBP1618" s="55">
        <f t="shared" si="603"/>
        <v>0</v>
      </c>
      <c r="EBQ1618" s="55">
        <f t="shared" si="603"/>
        <v>0</v>
      </c>
      <c r="EBR1618" s="55">
        <f t="shared" si="603"/>
        <v>0</v>
      </c>
      <c r="EBS1618" s="55">
        <f t="shared" si="603"/>
        <v>0</v>
      </c>
      <c r="EBT1618" s="55">
        <f t="shared" si="603"/>
        <v>0</v>
      </c>
      <c r="EBU1618" s="55">
        <f t="shared" si="603"/>
        <v>0</v>
      </c>
      <c r="EBV1618" s="55">
        <f t="shared" si="603"/>
        <v>0</v>
      </c>
      <c r="EBW1618" s="55">
        <f t="shared" si="603"/>
        <v>0</v>
      </c>
      <c r="EBX1618" s="55">
        <f t="shared" si="603"/>
        <v>0</v>
      </c>
      <c r="EBY1618" s="55">
        <f t="shared" si="603"/>
        <v>0</v>
      </c>
      <c r="EBZ1618" s="55">
        <f t="shared" si="603"/>
        <v>0</v>
      </c>
      <c r="ECA1618" s="55">
        <f t="shared" si="603"/>
        <v>0</v>
      </c>
      <c r="ECB1618" s="55">
        <f t="shared" si="603"/>
        <v>0</v>
      </c>
      <c r="ECC1618" s="55">
        <f t="shared" si="603"/>
        <v>0</v>
      </c>
      <c r="ECD1618" s="55">
        <f t="shared" si="603"/>
        <v>0</v>
      </c>
      <c r="ECE1618" s="55">
        <f t="shared" si="603"/>
        <v>0</v>
      </c>
      <c r="ECF1618" s="55">
        <f t="shared" si="603"/>
        <v>0</v>
      </c>
      <c r="ECG1618" s="55">
        <f t="shared" si="603"/>
        <v>0</v>
      </c>
      <c r="ECH1618" s="55">
        <f t="shared" si="603"/>
        <v>0</v>
      </c>
      <c r="ECI1618" s="55">
        <f t="shared" si="603"/>
        <v>0</v>
      </c>
      <c r="ECJ1618" s="55">
        <f t="shared" ref="ECJ1618:EEU1618" si="604">+(ECJ1627+ECJ1608)*1.18*1.1</f>
        <v>0</v>
      </c>
      <c r="ECK1618" s="55">
        <f t="shared" si="604"/>
        <v>0</v>
      </c>
      <c r="ECL1618" s="55">
        <f t="shared" si="604"/>
        <v>0</v>
      </c>
      <c r="ECM1618" s="55">
        <f t="shared" si="604"/>
        <v>0</v>
      </c>
      <c r="ECN1618" s="55">
        <f t="shared" si="604"/>
        <v>0</v>
      </c>
      <c r="ECO1618" s="55">
        <f t="shared" si="604"/>
        <v>0</v>
      </c>
      <c r="ECP1618" s="55">
        <f t="shared" si="604"/>
        <v>0</v>
      </c>
      <c r="ECQ1618" s="55">
        <f t="shared" si="604"/>
        <v>0</v>
      </c>
      <c r="ECR1618" s="55">
        <f t="shared" si="604"/>
        <v>0</v>
      </c>
      <c r="ECS1618" s="55">
        <f t="shared" si="604"/>
        <v>0</v>
      </c>
      <c r="ECT1618" s="55">
        <f t="shared" si="604"/>
        <v>0</v>
      </c>
      <c r="ECU1618" s="55">
        <f t="shared" si="604"/>
        <v>0</v>
      </c>
      <c r="ECV1618" s="55">
        <f t="shared" si="604"/>
        <v>0</v>
      </c>
      <c r="ECW1618" s="55">
        <f t="shared" si="604"/>
        <v>0</v>
      </c>
      <c r="ECX1618" s="55">
        <f t="shared" si="604"/>
        <v>0</v>
      </c>
      <c r="ECY1618" s="55">
        <f t="shared" si="604"/>
        <v>0</v>
      </c>
      <c r="ECZ1618" s="55">
        <f t="shared" si="604"/>
        <v>0</v>
      </c>
      <c r="EDA1618" s="55">
        <f t="shared" si="604"/>
        <v>0</v>
      </c>
      <c r="EDB1618" s="55">
        <f t="shared" si="604"/>
        <v>0</v>
      </c>
      <c r="EDC1618" s="55">
        <f t="shared" si="604"/>
        <v>0</v>
      </c>
      <c r="EDD1618" s="55">
        <f t="shared" si="604"/>
        <v>0</v>
      </c>
      <c r="EDE1618" s="55">
        <f t="shared" si="604"/>
        <v>0</v>
      </c>
      <c r="EDF1618" s="55">
        <f t="shared" si="604"/>
        <v>0</v>
      </c>
      <c r="EDG1618" s="55">
        <f t="shared" si="604"/>
        <v>0</v>
      </c>
      <c r="EDH1618" s="55">
        <f t="shared" si="604"/>
        <v>0</v>
      </c>
      <c r="EDI1618" s="55">
        <f t="shared" si="604"/>
        <v>0</v>
      </c>
      <c r="EDJ1618" s="55">
        <f t="shared" si="604"/>
        <v>0</v>
      </c>
      <c r="EDK1618" s="55">
        <f t="shared" si="604"/>
        <v>0</v>
      </c>
      <c r="EDL1618" s="55">
        <f t="shared" si="604"/>
        <v>0</v>
      </c>
      <c r="EDM1618" s="55">
        <f t="shared" si="604"/>
        <v>0</v>
      </c>
      <c r="EDN1618" s="55">
        <f t="shared" si="604"/>
        <v>0</v>
      </c>
      <c r="EDO1618" s="55">
        <f t="shared" si="604"/>
        <v>0</v>
      </c>
      <c r="EDP1618" s="55">
        <f t="shared" si="604"/>
        <v>0</v>
      </c>
      <c r="EDQ1618" s="55">
        <f t="shared" si="604"/>
        <v>0</v>
      </c>
      <c r="EDR1618" s="55">
        <f t="shared" si="604"/>
        <v>0</v>
      </c>
      <c r="EDS1618" s="55">
        <f t="shared" si="604"/>
        <v>0</v>
      </c>
      <c r="EDT1618" s="55">
        <f t="shared" si="604"/>
        <v>0</v>
      </c>
      <c r="EDU1618" s="55">
        <f t="shared" si="604"/>
        <v>0</v>
      </c>
      <c r="EDV1618" s="55">
        <f t="shared" si="604"/>
        <v>0</v>
      </c>
      <c r="EDW1618" s="55">
        <f t="shared" si="604"/>
        <v>0</v>
      </c>
      <c r="EDX1618" s="55">
        <f t="shared" si="604"/>
        <v>0</v>
      </c>
      <c r="EDY1618" s="55">
        <f t="shared" si="604"/>
        <v>0</v>
      </c>
      <c r="EDZ1618" s="55">
        <f t="shared" si="604"/>
        <v>0</v>
      </c>
      <c r="EEA1618" s="55">
        <f t="shared" si="604"/>
        <v>0</v>
      </c>
      <c r="EEB1618" s="55">
        <f t="shared" si="604"/>
        <v>0</v>
      </c>
      <c r="EEC1618" s="55">
        <f t="shared" si="604"/>
        <v>0</v>
      </c>
      <c r="EED1618" s="55">
        <f t="shared" si="604"/>
        <v>0</v>
      </c>
      <c r="EEE1618" s="55">
        <f t="shared" si="604"/>
        <v>0</v>
      </c>
      <c r="EEF1618" s="55">
        <f t="shared" si="604"/>
        <v>0</v>
      </c>
      <c r="EEG1618" s="55">
        <f t="shared" si="604"/>
        <v>0</v>
      </c>
      <c r="EEH1618" s="55">
        <f t="shared" si="604"/>
        <v>0</v>
      </c>
      <c r="EEI1618" s="55">
        <f t="shared" si="604"/>
        <v>0</v>
      </c>
      <c r="EEJ1618" s="55">
        <f t="shared" si="604"/>
        <v>0</v>
      </c>
      <c r="EEK1618" s="55">
        <f t="shared" si="604"/>
        <v>0</v>
      </c>
      <c r="EEL1618" s="55">
        <f t="shared" si="604"/>
        <v>0</v>
      </c>
      <c r="EEM1618" s="55">
        <f t="shared" si="604"/>
        <v>0</v>
      </c>
      <c r="EEN1618" s="55">
        <f t="shared" si="604"/>
        <v>0</v>
      </c>
      <c r="EEO1618" s="55">
        <f t="shared" si="604"/>
        <v>0</v>
      </c>
      <c r="EEP1618" s="55">
        <f t="shared" si="604"/>
        <v>0</v>
      </c>
      <c r="EEQ1618" s="55">
        <f t="shared" si="604"/>
        <v>0</v>
      </c>
      <c r="EER1618" s="55">
        <f t="shared" si="604"/>
        <v>0</v>
      </c>
      <c r="EES1618" s="55">
        <f t="shared" si="604"/>
        <v>0</v>
      </c>
      <c r="EET1618" s="55">
        <f t="shared" si="604"/>
        <v>0</v>
      </c>
      <c r="EEU1618" s="55">
        <f t="shared" si="604"/>
        <v>0</v>
      </c>
      <c r="EEV1618" s="55">
        <f t="shared" ref="EEV1618:EHG1618" si="605">+(EEV1627+EEV1608)*1.18*1.1</f>
        <v>0</v>
      </c>
      <c r="EEW1618" s="55">
        <f t="shared" si="605"/>
        <v>0</v>
      </c>
      <c r="EEX1618" s="55">
        <f t="shared" si="605"/>
        <v>0</v>
      </c>
      <c r="EEY1618" s="55">
        <f t="shared" si="605"/>
        <v>0</v>
      </c>
      <c r="EEZ1618" s="55">
        <f t="shared" si="605"/>
        <v>0</v>
      </c>
      <c r="EFA1618" s="55">
        <f t="shared" si="605"/>
        <v>0</v>
      </c>
      <c r="EFB1618" s="55">
        <f t="shared" si="605"/>
        <v>0</v>
      </c>
      <c r="EFC1618" s="55">
        <f t="shared" si="605"/>
        <v>0</v>
      </c>
      <c r="EFD1618" s="55">
        <f t="shared" si="605"/>
        <v>0</v>
      </c>
      <c r="EFE1618" s="55">
        <f t="shared" si="605"/>
        <v>0</v>
      </c>
      <c r="EFF1618" s="55">
        <f t="shared" si="605"/>
        <v>0</v>
      </c>
      <c r="EFG1618" s="55">
        <f t="shared" si="605"/>
        <v>0</v>
      </c>
      <c r="EFH1618" s="55">
        <f t="shared" si="605"/>
        <v>0</v>
      </c>
      <c r="EFI1618" s="55">
        <f t="shared" si="605"/>
        <v>0</v>
      </c>
      <c r="EFJ1618" s="55">
        <f t="shared" si="605"/>
        <v>0</v>
      </c>
      <c r="EFK1618" s="55">
        <f t="shared" si="605"/>
        <v>0</v>
      </c>
      <c r="EFL1618" s="55">
        <f t="shared" si="605"/>
        <v>0</v>
      </c>
      <c r="EFM1618" s="55">
        <f t="shared" si="605"/>
        <v>0</v>
      </c>
      <c r="EFN1618" s="55">
        <f t="shared" si="605"/>
        <v>0</v>
      </c>
      <c r="EFO1618" s="55">
        <f t="shared" si="605"/>
        <v>0</v>
      </c>
      <c r="EFP1618" s="55">
        <f t="shared" si="605"/>
        <v>0</v>
      </c>
      <c r="EFQ1618" s="55">
        <f t="shared" si="605"/>
        <v>0</v>
      </c>
      <c r="EFR1618" s="55">
        <f t="shared" si="605"/>
        <v>0</v>
      </c>
      <c r="EFS1618" s="55">
        <f t="shared" si="605"/>
        <v>0</v>
      </c>
      <c r="EFT1618" s="55">
        <f t="shared" si="605"/>
        <v>0</v>
      </c>
      <c r="EFU1618" s="55">
        <f t="shared" si="605"/>
        <v>0</v>
      </c>
      <c r="EFV1618" s="55">
        <f t="shared" si="605"/>
        <v>0</v>
      </c>
      <c r="EFW1618" s="55">
        <f t="shared" si="605"/>
        <v>0</v>
      </c>
      <c r="EFX1618" s="55">
        <f t="shared" si="605"/>
        <v>0</v>
      </c>
      <c r="EFY1618" s="55">
        <f t="shared" si="605"/>
        <v>0</v>
      </c>
      <c r="EFZ1618" s="55">
        <f t="shared" si="605"/>
        <v>0</v>
      </c>
      <c r="EGA1618" s="55">
        <f t="shared" si="605"/>
        <v>0</v>
      </c>
      <c r="EGB1618" s="55">
        <f t="shared" si="605"/>
        <v>0</v>
      </c>
      <c r="EGC1618" s="55">
        <f t="shared" si="605"/>
        <v>0</v>
      </c>
      <c r="EGD1618" s="55">
        <f t="shared" si="605"/>
        <v>0</v>
      </c>
      <c r="EGE1618" s="55">
        <f t="shared" si="605"/>
        <v>0</v>
      </c>
      <c r="EGF1618" s="55">
        <f t="shared" si="605"/>
        <v>0</v>
      </c>
      <c r="EGG1618" s="55">
        <f t="shared" si="605"/>
        <v>0</v>
      </c>
      <c r="EGH1618" s="55">
        <f t="shared" si="605"/>
        <v>0</v>
      </c>
      <c r="EGI1618" s="55">
        <f t="shared" si="605"/>
        <v>0</v>
      </c>
      <c r="EGJ1618" s="55">
        <f t="shared" si="605"/>
        <v>0</v>
      </c>
      <c r="EGK1618" s="55">
        <f t="shared" si="605"/>
        <v>0</v>
      </c>
      <c r="EGL1618" s="55">
        <f t="shared" si="605"/>
        <v>0</v>
      </c>
      <c r="EGM1618" s="55">
        <f t="shared" si="605"/>
        <v>0</v>
      </c>
      <c r="EGN1618" s="55">
        <f t="shared" si="605"/>
        <v>0</v>
      </c>
      <c r="EGO1618" s="55">
        <f t="shared" si="605"/>
        <v>0</v>
      </c>
      <c r="EGP1618" s="55">
        <f t="shared" si="605"/>
        <v>0</v>
      </c>
      <c r="EGQ1618" s="55">
        <f t="shared" si="605"/>
        <v>0</v>
      </c>
      <c r="EGR1618" s="55">
        <f t="shared" si="605"/>
        <v>0</v>
      </c>
      <c r="EGS1618" s="55">
        <f t="shared" si="605"/>
        <v>0</v>
      </c>
      <c r="EGT1618" s="55">
        <f t="shared" si="605"/>
        <v>0</v>
      </c>
      <c r="EGU1618" s="55">
        <f t="shared" si="605"/>
        <v>0</v>
      </c>
      <c r="EGV1618" s="55">
        <f t="shared" si="605"/>
        <v>0</v>
      </c>
      <c r="EGW1618" s="55">
        <f t="shared" si="605"/>
        <v>0</v>
      </c>
      <c r="EGX1618" s="55">
        <f t="shared" si="605"/>
        <v>0</v>
      </c>
      <c r="EGY1618" s="55">
        <f t="shared" si="605"/>
        <v>0</v>
      </c>
      <c r="EGZ1618" s="55">
        <f t="shared" si="605"/>
        <v>0</v>
      </c>
      <c r="EHA1618" s="55">
        <f t="shared" si="605"/>
        <v>0</v>
      </c>
      <c r="EHB1618" s="55">
        <f t="shared" si="605"/>
        <v>0</v>
      </c>
      <c r="EHC1618" s="55">
        <f t="shared" si="605"/>
        <v>0</v>
      </c>
      <c r="EHD1618" s="55">
        <f t="shared" si="605"/>
        <v>0</v>
      </c>
      <c r="EHE1618" s="55">
        <f t="shared" si="605"/>
        <v>0</v>
      </c>
      <c r="EHF1618" s="55">
        <f t="shared" si="605"/>
        <v>0</v>
      </c>
      <c r="EHG1618" s="55">
        <f t="shared" si="605"/>
        <v>0</v>
      </c>
      <c r="EHH1618" s="55">
        <f t="shared" ref="EHH1618:EJS1618" si="606">+(EHH1627+EHH1608)*1.18*1.1</f>
        <v>0</v>
      </c>
      <c r="EHI1618" s="55">
        <f t="shared" si="606"/>
        <v>0</v>
      </c>
      <c r="EHJ1618" s="55">
        <f t="shared" si="606"/>
        <v>0</v>
      </c>
      <c r="EHK1618" s="55">
        <f t="shared" si="606"/>
        <v>0</v>
      </c>
      <c r="EHL1618" s="55">
        <f t="shared" si="606"/>
        <v>0</v>
      </c>
      <c r="EHM1618" s="55">
        <f t="shared" si="606"/>
        <v>0</v>
      </c>
      <c r="EHN1618" s="55">
        <f t="shared" si="606"/>
        <v>0</v>
      </c>
      <c r="EHO1618" s="55">
        <f t="shared" si="606"/>
        <v>0</v>
      </c>
      <c r="EHP1618" s="55">
        <f t="shared" si="606"/>
        <v>0</v>
      </c>
      <c r="EHQ1618" s="55">
        <f t="shared" si="606"/>
        <v>0</v>
      </c>
      <c r="EHR1618" s="55">
        <f t="shared" si="606"/>
        <v>0</v>
      </c>
      <c r="EHS1618" s="55">
        <f t="shared" si="606"/>
        <v>0</v>
      </c>
      <c r="EHT1618" s="55">
        <f t="shared" si="606"/>
        <v>0</v>
      </c>
      <c r="EHU1618" s="55">
        <f t="shared" si="606"/>
        <v>0</v>
      </c>
      <c r="EHV1618" s="55">
        <f t="shared" si="606"/>
        <v>0</v>
      </c>
      <c r="EHW1618" s="55">
        <f t="shared" si="606"/>
        <v>0</v>
      </c>
      <c r="EHX1618" s="55">
        <f t="shared" si="606"/>
        <v>0</v>
      </c>
      <c r="EHY1618" s="55">
        <f t="shared" si="606"/>
        <v>0</v>
      </c>
      <c r="EHZ1618" s="55">
        <f t="shared" si="606"/>
        <v>0</v>
      </c>
      <c r="EIA1618" s="55">
        <f t="shared" si="606"/>
        <v>0</v>
      </c>
      <c r="EIB1618" s="55">
        <f t="shared" si="606"/>
        <v>0</v>
      </c>
      <c r="EIC1618" s="55">
        <f t="shared" si="606"/>
        <v>0</v>
      </c>
      <c r="EID1618" s="55">
        <f t="shared" si="606"/>
        <v>0</v>
      </c>
      <c r="EIE1618" s="55">
        <f t="shared" si="606"/>
        <v>0</v>
      </c>
      <c r="EIF1618" s="55">
        <f t="shared" si="606"/>
        <v>0</v>
      </c>
      <c r="EIG1618" s="55">
        <f t="shared" si="606"/>
        <v>0</v>
      </c>
      <c r="EIH1618" s="55">
        <f t="shared" si="606"/>
        <v>0</v>
      </c>
      <c r="EII1618" s="55">
        <f t="shared" si="606"/>
        <v>0</v>
      </c>
      <c r="EIJ1618" s="55">
        <f t="shared" si="606"/>
        <v>0</v>
      </c>
      <c r="EIK1618" s="55">
        <f t="shared" si="606"/>
        <v>0</v>
      </c>
      <c r="EIL1618" s="55">
        <f t="shared" si="606"/>
        <v>0</v>
      </c>
      <c r="EIM1618" s="55">
        <f t="shared" si="606"/>
        <v>0</v>
      </c>
      <c r="EIN1618" s="55">
        <f t="shared" si="606"/>
        <v>0</v>
      </c>
      <c r="EIO1618" s="55">
        <f t="shared" si="606"/>
        <v>0</v>
      </c>
      <c r="EIP1618" s="55">
        <f t="shared" si="606"/>
        <v>0</v>
      </c>
      <c r="EIQ1618" s="55">
        <f t="shared" si="606"/>
        <v>0</v>
      </c>
      <c r="EIR1618" s="55">
        <f t="shared" si="606"/>
        <v>0</v>
      </c>
      <c r="EIS1618" s="55">
        <f t="shared" si="606"/>
        <v>0</v>
      </c>
      <c r="EIT1618" s="55">
        <f t="shared" si="606"/>
        <v>0</v>
      </c>
      <c r="EIU1618" s="55">
        <f t="shared" si="606"/>
        <v>0</v>
      </c>
      <c r="EIV1618" s="55">
        <f t="shared" si="606"/>
        <v>0</v>
      </c>
      <c r="EIW1618" s="55">
        <f t="shared" si="606"/>
        <v>0</v>
      </c>
      <c r="EIX1618" s="55">
        <f t="shared" si="606"/>
        <v>0</v>
      </c>
      <c r="EIY1618" s="55">
        <f t="shared" si="606"/>
        <v>0</v>
      </c>
      <c r="EIZ1618" s="55">
        <f t="shared" si="606"/>
        <v>0</v>
      </c>
      <c r="EJA1618" s="55">
        <f t="shared" si="606"/>
        <v>0</v>
      </c>
      <c r="EJB1618" s="55">
        <f t="shared" si="606"/>
        <v>0</v>
      </c>
      <c r="EJC1618" s="55">
        <f t="shared" si="606"/>
        <v>0</v>
      </c>
      <c r="EJD1618" s="55">
        <f t="shared" si="606"/>
        <v>0</v>
      </c>
      <c r="EJE1618" s="55">
        <f t="shared" si="606"/>
        <v>0</v>
      </c>
      <c r="EJF1618" s="55">
        <f t="shared" si="606"/>
        <v>0</v>
      </c>
      <c r="EJG1618" s="55">
        <f t="shared" si="606"/>
        <v>0</v>
      </c>
      <c r="EJH1618" s="55">
        <f t="shared" si="606"/>
        <v>0</v>
      </c>
      <c r="EJI1618" s="55">
        <f t="shared" si="606"/>
        <v>0</v>
      </c>
      <c r="EJJ1618" s="55">
        <f t="shared" si="606"/>
        <v>0</v>
      </c>
      <c r="EJK1618" s="55">
        <f t="shared" si="606"/>
        <v>0</v>
      </c>
      <c r="EJL1618" s="55">
        <f t="shared" si="606"/>
        <v>0</v>
      </c>
      <c r="EJM1618" s="55">
        <f t="shared" si="606"/>
        <v>0</v>
      </c>
      <c r="EJN1618" s="55">
        <f t="shared" si="606"/>
        <v>0</v>
      </c>
      <c r="EJO1618" s="55">
        <f t="shared" si="606"/>
        <v>0</v>
      </c>
      <c r="EJP1618" s="55">
        <f t="shared" si="606"/>
        <v>0</v>
      </c>
      <c r="EJQ1618" s="55">
        <f t="shared" si="606"/>
        <v>0</v>
      </c>
      <c r="EJR1618" s="55">
        <f t="shared" si="606"/>
        <v>0</v>
      </c>
      <c r="EJS1618" s="55">
        <f t="shared" si="606"/>
        <v>0</v>
      </c>
      <c r="EJT1618" s="55">
        <f t="shared" ref="EJT1618:EME1618" si="607">+(EJT1627+EJT1608)*1.18*1.1</f>
        <v>0</v>
      </c>
      <c r="EJU1618" s="55">
        <f t="shared" si="607"/>
        <v>0</v>
      </c>
      <c r="EJV1618" s="55">
        <f t="shared" si="607"/>
        <v>0</v>
      </c>
      <c r="EJW1618" s="55">
        <f t="shared" si="607"/>
        <v>0</v>
      </c>
      <c r="EJX1618" s="55">
        <f t="shared" si="607"/>
        <v>0</v>
      </c>
      <c r="EJY1618" s="55">
        <f t="shared" si="607"/>
        <v>0</v>
      </c>
      <c r="EJZ1618" s="55">
        <f t="shared" si="607"/>
        <v>0</v>
      </c>
      <c r="EKA1618" s="55">
        <f t="shared" si="607"/>
        <v>0</v>
      </c>
      <c r="EKB1618" s="55">
        <f t="shared" si="607"/>
        <v>0</v>
      </c>
      <c r="EKC1618" s="55">
        <f t="shared" si="607"/>
        <v>0</v>
      </c>
      <c r="EKD1618" s="55">
        <f t="shared" si="607"/>
        <v>0</v>
      </c>
      <c r="EKE1618" s="55">
        <f t="shared" si="607"/>
        <v>0</v>
      </c>
      <c r="EKF1618" s="55">
        <f t="shared" si="607"/>
        <v>0</v>
      </c>
      <c r="EKG1618" s="55">
        <f t="shared" si="607"/>
        <v>0</v>
      </c>
      <c r="EKH1618" s="55">
        <f t="shared" si="607"/>
        <v>0</v>
      </c>
      <c r="EKI1618" s="55">
        <f t="shared" si="607"/>
        <v>0</v>
      </c>
      <c r="EKJ1618" s="55">
        <f t="shared" si="607"/>
        <v>0</v>
      </c>
      <c r="EKK1618" s="55">
        <f t="shared" si="607"/>
        <v>0</v>
      </c>
      <c r="EKL1618" s="55">
        <f t="shared" si="607"/>
        <v>0</v>
      </c>
      <c r="EKM1618" s="55">
        <f t="shared" si="607"/>
        <v>0</v>
      </c>
      <c r="EKN1618" s="55">
        <f t="shared" si="607"/>
        <v>0</v>
      </c>
      <c r="EKO1618" s="55">
        <f t="shared" si="607"/>
        <v>0</v>
      </c>
      <c r="EKP1618" s="55">
        <f t="shared" si="607"/>
        <v>0</v>
      </c>
      <c r="EKQ1618" s="55">
        <f t="shared" si="607"/>
        <v>0</v>
      </c>
      <c r="EKR1618" s="55">
        <f t="shared" si="607"/>
        <v>0</v>
      </c>
      <c r="EKS1618" s="55">
        <f t="shared" si="607"/>
        <v>0</v>
      </c>
      <c r="EKT1618" s="55">
        <f t="shared" si="607"/>
        <v>0</v>
      </c>
      <c r="EKU1618" s="55">
        <f t="shared" si="607"/>
        <v>0</v>
      </c>
      <c r="EKV1618" s="55">
        <f t="shared" si="607"/>
        <v>0</v>
      </c>
      <c r="EKW1618" s="55">
        <f t="shared" si="607"/>
        <v>0</v>
      </c>
      <c r="EKX1618" s="55">
        <f t="shared" si="607"/>
        <v>0</v>
      </c>
      <c r="EKY1618" s="55">
        <f t="shared" si="607"/>
        <v>0</v>
      </c>
      <c r="EKZ1618" s="55">
        <f t="shared" si="607"/>
        <v>0</v>
      </c>
      <c r="ELA1618" s="55">
        <f t="shared" si="607"/>
        <v>0</v>
      </c>
      <c r="ELB1618" s="55">
        <f t="shared" si="607"/>
        <v>0</v>
      </c>
      <c r="ELC1618" s="55">
        <f t="shared" si="607"/>
        <v>0</v>
      </c>
      <c r="ELD1618" s="55">
        <f t="shared" si="607"/>
        <v>0</v>
      </c>
      <c r="ELE1618" s="55">
        <f t="shared" si="607"/>
        <v>0</v>
      </c>
      <c r="ELF1618" s="55">
        <f t="shared" si="607"/>
        <v>0</v>
      </c>
      <c r="ELG1618" s="55">
        <f t="shared" si="607"/>
        <v>0</v>
      </c>
      <c r="ELH1618" s="55">
        <f t="shared" si="607"/>
        <v>0</v>
      </c>
      <c r="ELI1618" s="55">
        <f t="shared" si="607"/>
        <v>0</v>
      </c>
      <c r="ELJ1618" s="55">
        <f t="shared" si="607"/>
        <v>0</v>
      </c>
      <c r="ELK1618" s="55">
        <f t="shared" si="607"/>
        <v>0</v>
      </c>
      <c r="ELL1618" s="55">
        <f t="shared" si="607"/>
        <v>0</v>
      </c>
      <c r="ELM1618" s="55">
        <f t="shared" si="607"/>
        <v>0</v>
      </c>
      <c r="ELN1618" s="55">
        <f t="shared" si="607"/>
        <v>0</v>
      </c>
      <c r="ELO1618" s="55">
        <f t="shared" si="607"/>
        <v>0</v>
      </c>
      <c r="ELP1618" s="55">
        <f t="shared" si="607"/>
        <v>0</v>
      </c>
      <c r="ELQ1618" s="55">
        <f t="shared" si="607"/>
        <v>0</v>
      </c>
      <c r="ELR1618" s="55">
        <f t="shared" si="607"/>
        <v>0</v>
      </c>
      <c r="ELS1618" s="55">
        <f t="shared" si="607"/>
        <v>0</v>
      </c>
      <c r="ELT1618" s="55">
        <f t="shared" si="607"/>
        <v>0</v>
      </c>
      <c r="ELU1618" s="55">
        <f t="shared" si="607"/>
        <v>0</v>
      </c>
      <c r="ELV1618" s="55">
        <f t="shared" si="607"/>
        <v>0</v>
      </c>
      <c r="ELW1618" s="55">
        <f t="shared" si="607"/>
        <v>0</v>
      </c>
      <c r="ELX1618" s="55">
        <f t="shared" si="607"/>
        <v>0</v>
      </c>
      <c r="ELY1618" s="55">
        <f t="shared" si="607"/>
        <v>0</v>
      </c>
      <c r="ELZ1618" s="55">
        <f t="shared" si="607"/>
        <v>0</v>
      </c>
      <c r="EMA1618" s="55">
        <f t="shared" si="607"/>
        <v>0</v>
      </c>
      <c r="EMB1618" s="55">
        <f t="shared" si="607"/>
        <v>0</v>
      </c>
      <c r="EMC1618" s="55">
        <f t="shared" si="607"/>
        <v>0</v>
      </c>
      <c r="EMD1618" s="55">
        <f t="shared" si="607"/>
        <v>0</v>
      </c>
      <c r="EME1618" s="55">
        <f t="shared" si="607"/>
        <v>0</v>
      </c>
      <c r="EMF1618" s="55">
        <f t="shared" ref="EMF1618:EOQ1618" si="608">+(EMF1627+EMF1608)*1.18*1.1</f>
        <v>0</v>
      </c>
      <c r="EMG1618" s="55">
        <f t="shared" si="608"/>
        <v>0</v>
      </c>
      <c r="EMH1618" s="55">
        <f t="shared" si="608"/>
        <v>0</v>
      </c>
      <c r="EMI1618" s="55">
        <f t="shared" si="608"/>
        <v>0</v>
      </c>
      <c r="EMJ1618" s="55">
        <f t="shared" si="608"/>
        <v>0</v>
      </c>
      <c r="EMK1618" s="55">
        <f t="shared" si="608"/>
        <v>0</v>
      </c>
      <c r="EML1618" s="55">
        <f t="shared" si="608"/>
        <v>0</v>
      </c>
      <c r="EMM1618" s="55">
        <f t="shared" si="608"/>
        <v>0</v>
      </c>
      <c r="EMN1618" s="55">
        <f t="shared" si="608"/>
        <v>0</v>
      </c>
      <c r="EMO1618" s="55">
        <f t="shared" si="608"/>
        <v>0</v>
      </c>
      <c r="EMP1618" s="55">
        <f t="shared" si="608"/>
        <v>0</v>
      </c>
      <c r="EMQ1618" s="55">
        <f t="shared" si="608"/>
        <v>0</v>
      </c>
      <c r="EMR1618" s="55">
        <f t="shared" si="608"/>
        <v>0</v>
      </c>
      <c r="EMS1618" s="55">
        <f t="shared" si="608"/>
        <v>0</v>
      </c>
      <c r="EMT1618" s="55">
        <f t="shared" si="608"/>
        <v>0</v>
      </c>
      <c r="EMU1618" s="55">
        <f t="shared" si="608"/>
        <v>0</v>
      </c>
      <c r="EMV1618" s="55">
        <f t="shared" si="608"/>
        <v>0</v>
      </c>
      <c r="EMW1618" s="55">
        <f t="shared" si="608"/>
        <v>0</v>
      </c>
      <c r="EMX1618" s="55">
        <f t="shared" si="608"/>
        <v>0</v>
      </c>
      <c r="EMY1618" s="55">
        <f t="shared" si="608"/>
        <v>0</v>
      </c>
      <c r="EMZ1618" s="55">
        <f t="shared" si="608"/>
        <v>0</v>
      </c>
      <c r="ENA1618" s="55">
        <f t="shared" si="608"/>
        <v>0</v>
      </c>
      <c r="ENB1618" s="55">
        <f t="shared" si="608"/>
        <v>0</v>
      </c>
      <c r="ENC1618" s="55">
        <f t="shared" si="608"/>
        <v>0</v>
      </c>
      <c r="END1618" s="55">
        <f t="shared" si="608"/>
        <v>0</v>
      </c>
      <c r="ENE1618" s="55">
        <f t="shared" si="608"/>
        <v>0</v>
      </c>
      <c r="ENF1618" s="55">
        <f t="shared" si="608"/>
        <v>0</v>
      </c>
      <c r="ENG1618" s="55">
        <f t="shared" si="608"/>
        <v>0</v>
      </c>
      <c r="ENH1618" s="55">
        <f t="shared" si="608"/>
        <v>0</v>
      </c>
      <c r="ENI1618" s="55">
        <f t="shared" si="608"/>
        <v>0</v>
      </c>
      <c r="ENJ1618" s="55">
        <f t="shared" si="608"/>
        <v>0</v>
      </c>
      <c r="ENK1618" s="55">
        <f t="shared" si="608"/>
        <v>0</v>
      </c>
      <c r="ENL1618" s="55">
        <f t="shared" si="608"/>
        <v>0</v>
      </c>
      <c r="ENM1618" s="55">
        <f t="shared" si="608"/>
        <v>0</v>
      </c>
      <c r="ENN1618" s="55">
        <f t="shared" si="608"/>
        <v>0</v>
      </c>
      <c r="ENO1618" s="55">
        <f t="shared" si="608"/>
        <v>0</v>
      </c>
      <c r="ENP1618" s="55">
        <f t="shared" si="608"/>
        <v>0</v>
      </c>
      <c r="ENQ1618" s="55">
        <f t="shared" si="608"/>
        <v>0</v>
      </c>
      <c r="ENR1618" s="55">
        <f t="shared" si="608"/>
        <v>0</v>
      </c>
      <c r="ENS1618" s="55">
        <f t="shared" si="608"/>
        <v>0</v>
      </c>
      <c r="ENT1618" s="55">
        <f t="shared" si="608"/>
        <v>0</v>
      </c>
      <c r="ENU1618" s="55">
        <f t="shared" si="608"/>
        <v>0</v>
      </c>
      <c r="ENV1618" s="55">
        <f t="shared" si="608"/>
        <v>0</v>
      </c>
      <c r="ENW1618" s="55">
        <f t="shared" si="608"/>
        <v>0</v>
      </c>
      <c r="ENX1618" s="55">
        <f t="shared" si="608"/>
        <v>0</v>
      </c>
      <c r="ENY1618" s="55">
        <f t="shared" si="608"/>
        <v>0</v>
      </c>
      <c r="ENZ1618" s="55">
        <f t="shared" si="608"/>
        <v>0</v>
      </c>
      <c r="EOA1618" s="55">
        <f t="shared" si="608"/>
        <v>0</v>
      </c>
      <c r="EOB1618" s="55">
        <f t="shared" si="608"/>
        <v>0</v>
      </c>
      <c r="EOC1618" s="55">
        <f t="shared" si="608"/>
        <v>0</v>
      </c>
      <c r="EOD1618" s="55">
        <f t="shared" si="608"/>
        <v>0</v>
      </c>
      <c r="EOE1618" s="55">
        <f t="shared" si="608"/>
        <v>0</v>
      </c>
      <c r="EOF1618" s="55">
        <f t="shared" si="608"/>
        <v>0</v>
      </c>
      <c r="EOG1618" s="55">
        <f t="shared" si="608"/>
        <v>0</v>
      </c>
      <c r="EOH1618" s="55">
        <f t="shared" si="608"/>
        <v>0</v>
      </c>
      <c r="EOI1618" s="55">
        <f t="shared" si="608"/>
        <v>0</v>
      </c>
      <c r="EOJ1618" s="55">
        <f t="shared" si="608"/>
        <v>0</v>
      </c>
      <c r="EOK1618" s="55">
        <f t="shared" si="608"/>
        <v>0</v>
      </c>
      <c r="EOL1618" s="55">
        <f t="shared" si="608"/>
        <v>0</v>
      </c>
      <c r="EOM1618" s="55">
        <f t="shared" si="608"/>
        <v>0</v>
      </c>
      <c r="EON1618" s="55">
        <f t="shared" si="608"/>
        <v>0</v>
      </c>
      <c r="EOO1618" s="55">
        <f t="shared" si="608"/>
        <v>0</v>
      </c>
      <c r="EOP1618" s="55">
        <f t="shared" si="608"/>
        <v>0</v>
      </c>
      <c r="EOQ1618" s="55">
        <f t="shared" si="608"/>
        <v>0</v>
      </c>
      <c r="EOR1618" s="55">
        <f t="shared" ref="EOR1618:ERC1618" si="609">+(EOR1627+EOR1608)*1.18*1.1</f>
        <v>0</v>
      </c>
      <c r="EOS1618" s="55">
        <f t="shared" si="609"/>
        <v>0</v>
      </c>
      <c r="EOT1618" s="55">
        <f t="shared" si="609"/>
        <v>0</v>
      </c>
      <c r="EOU1618" s="55">
        <f t="shared" si="609"/>
        <v>0</v>
      </c>
      <c r="EOV1618" s="55">
        <f t="shared" si="609"/>
        <v>0</v>
      </c>
      <c r="EOW1618" s="55">
        <f t="shared" si="609"/>
        <v>0</v>
      </c>
      <c r="EOX1618" s="55">
        <f t="shared" si="609"/>
        <v>0</v>
      </c>
      <c r="EOY1618" s="55">
        <f t="shared" si="609"/>
        <v>0</v>
      </c>
      <c r="EOZ1618" s="55">
        <f t="shared" si="609"/>
        <v>0</v>
      </c>
      <c r="EPA1618" s="55">
        <f t="shared" si="609"/>
        <v>0</v>
      </c>
      <c r="EPB1618" s="55">
        <f t="shared" si="609"/>
        <v>0</v>
      </c>
      <c r="EPC1618" s="55">
        <f t="shared" si="609"/>
        <v>0</v>
      </c>
      <c r="EPD1618" s="55">
        <f t="shared" si="609"/>
        <v>0</v>
      </c>
      <c r="EPE1618" s="55">
        <f t="shared" si="609"/>
        <v>0</v>
      </c>
      <c r="EPF1618" s="55">
        <f t="shared" si="609"/>
        <v>0</v>
      </c>
      <c r="EPG1618" s="55">
        <f t="shared" si="609"/>
        <v>0</v>
      </c>
      <c r="EPH1618" s="55">
        <f t="shared" si="609"/>
        <v>0</v>
      </c>
      <c r="EPI1618" s="55">
        <f t="shared" si="609"/>
        <v>0</v>
      </c>
      <c r="EPJ1618" s="55">
        <f t="shared" si="609"/>
        <v>0</v>
      </c>
      <c r="EPK1618" s="55">
        <f t="shared" si="609"/>
        <v>0</v>
      </c>
      <c r="EPL1618" s="55">
        <f t="shared" si="609"/>
        <v>0</v>
      </c>
      <c r="EPM1618" s="55">
        <f t="shared" si="609"/>
        <v>0</v>
      </c>
      <c r="EPN1618" s="55">
        <f t="shared" si="609"/>
        <v>0</v>
      </c>
      <c r="EPO1618" s="55">
        <f t="shared" si="609"/>
        <v>0</v>
      </c>
      <c r="EPP1618" s="55">
        <f t="shared" si="609"/>
        <v>0</v>
      </c>
      <c r="EPQ1618" s="55">
        <f t="shared" si="609"/>
        <v>0</v>
      </c>
      <c r="EPR1618" s="55">
        <f t="shared" si="609"/>
        <v>0</v>
      </c>
      <c r="EPS1618" s="55">
        <f t="shared" si="609"/>
        <v>0</v>
      </c>
      <c r="EPT1618" s="55">
        <f t="shared" si="609"/>
        <v>0</v>
      </c>
      <c r="EPU1618" s="55">
        <f t="shared" si="609"/>
        <v>0</v>
      </c>
      <c r="EPV1618" s="55">
        <f t="shared" si="609"/>
        <v>0</v>
      </c>
      <c r="EPW1618" s="55">
        <f t="shared" si="609"/>
        <v>0</v>
      </c>
      <c r="EPX1618" s="55">
        <f t="shared" si="609"/>
        <v>0</v>
      </c>
      <c r="EPY1618" s="55">
        <f t="shared" si="609"/>
        <v>0</v>
      </c>
      <c r="EPZ1618" s="55">
        <f t="shared" si="609"/>
        <v>0</v>
      </c>
      <c r="EQA1618" s="55">
        <f t="shared" si="609"/>
        <v>0</v>
      </c>
      <c r="EQB1618" s="55">
        <f t="shared" si="609"/>
        <v>0</v>
      </c>
      <c r="EQC1618" s="55">
        <f t="shared" si="609"/>
        <v>0</v>
      </c>
      <c r="EQD1618" s="55">
        <f t="shared" si="609"/>
        <v>0</v>
      </c>
      <c r="EQE1618" s="55">
        <f t="shared" si="609"/>
        <v>0</v>
      </c>
      <c r="EQF1618" s="55">
        <f t="shared" si="609"/>
        <v>0</v>
      </c>
      <c r="EQG1618" s="55">
        <f t="shared" si="609"/>
        <v>0</v>
      </c>
      <c r="EQH1618" s="55">
        <f t="shared" si="609"/>
        <v>0</v>
      </c>
      <c r="EQI1618" s="55">
        <f t="shared" si="609"/>
        <v>0</v>
      </c>
      <c r="EQJ1618" s="55">
        <f t="shared" si="609"/>
        <v>0</v>
      </c>
      <c r="EQK1618" s="55">
        <f t="shared" si="609"/>
        <v>0</v>
      </c>
      <c r="EQL1618" s="55">
        <f t="shared" si="609"/>
        <v>0</v>
      </c>
      <c r="EQM1618" s="55">
        <f t="shared" si="609"/>
        <v>0</v>
      </c>
      <c r="EQN1618" s="55">
        <f t="shared" si="609"/>
        <v>0</v>
      </c>
      <c r="EQO1618" s="55">
        <f t="shared" si="609"/>
        <v>0</v>
      </c>
      <c r="EQP1618" s="55">
        <f t="shared" si="609"/>
        <v>0</v>
      </c>
      <c r="EQQ1618" s="55">
        <f t="shared" si="609"/>
        <v>0</v>
      </c>
      <c r="EQR1618" s="55">
        <f t="shared" si="609"/>
        <v>0</v>
      </c>
      <c r="EQS1618" s="55">
        <f t="shared" si="609"/>
        <v>0</v>
      </c>
      <c r="EQT1618" s="55">
        <f t="shared" si="609"/>
        <v>0</v>
      </c>
      <c r="EQU1618" s="55">
        <f t="shared" si="609"/>
        <v>0</v>
      </c>
      <c r="EQV1618" s="55">
        <f t="shared" si="609"/>
        <v>0</v>
      </c>
      <c r="EQW1618" s="55">
        <f t="shared" si="609"/>
        <v>0</v>
      </c>
      <c r="EQX1618" s="55">
        <f t="shared" si="609"/>
        <v>0</v>
      </c>
      <c r="EQY1618" s="55">
        <f t="shared" si="609"/>
        <v>0</v>
      </c>
      <c r="EQZ1618" s="55">
        <f t="shared" si="609"/>
        <v>0</v>
      </c>
      <c r="ERA1618" s="55">
        <f t="shared" si="609"/>
        <v>0</v>
      </c>
      <c r="ERB1618" s="55">
        <f t="shared" si="609"/>
        <v>0</v>
      </c>
      <c r="ERC1618" s="55">
        <f t="shared" si="609"/>
        <v>0</v>
      </c>
      <c r="ERD1618" s="55">
        <f t="shared" ref="ERD1618:ETO1618" si="610">+(ERD1627+ERD1608)*1.18*1.1</f>
        <v>0</v>
      </c>
      <c r="ERE1618" s="55">
        <f t="shared" si="610"/>
        <v>0</v>
      </c>
      <c r="ERF1618" s="55">
        <f t="shared" si="610"/>
        <v>0</v>
      </c>
      <c r="ERG1618" s="55">
        <f t="shared" si="610"/>
        <v>0</v>
      </c>
      <c r="ERH1618" s="55">
        <f t="shared" si="610"/>
        <v>0</v>
      </c>
      <c r="ERI1618" s="55">
        <f t="shared" si="610"/>
        <v>0</v>
      </c>
      <c r="ERJ1618" s="55">
        <f t="shared" si="610"/>
        <v>0</v>
      </c>
      <c r="ERK1618" s="55">
        <f t="shared" si="610"/>
        <v>0</v>
      </c>
      <c r="ERL1618" s="55">
        <f t="shared" si="610"/>
        <v>0</v>
      </c>
      <c r="ERM1618" s="55">
        <f t="shared" si="610"/>
        <v>0</v>
      </c>
      <c r="ERN1618" s="55">
        <f t="shared" si="610"/>
        <v>0</v>
      </c>
      <c r="ERO1618" s="55">
        <f t="shared" si="610"/>
        <v>0</v>
      </c>
      <c r="ERP1618" s="55">
        <f t="shared" si="610"/>
        <v>0</v>
      </c>
      <c r="ERQ1618" s="55">
        <f t="shared" si="610"/>
        <v>0</v>
      </c>
      <c r="ERR1618" s="55">
        <f t="shared" si="610"/>
        <v>0</v>
      </c>
      <c r="ERS1618" s="55">
        <f t="shared" si="610"/>
        <v>0</v>
      </c>
      <c r="ERT1618" s="55">
        <f t="shared" si="610"/>
        <v>0</v>
      </c>
      <c r="ERU1618" s="55">
        <f t="shared" si="610"/>
        <v>0</v>
      </c>
      <c r="ERV1618" s="55">
        <f t="shared" si="610"/>
        <v>0</v>
      </c>
      <c r="ERW1618" s="55">
        <f t="shared" si="610"/>
        <v>0</v>
      </c>
      <c r="ERX1618" s="55">
        <f t="shared" si="610"/>
        <v>0</v>
      </c>
      <c r="ERY1618" s="55">
        <f t="shared" si="610"/>
        <v>0</v>
      </c>
      <c r="ERZ1618" s="55">
        <f t="shared" si="610"/>
        <v>0</v>
      </c>
      <c r="ESA1618" s="55">
        <f t="shared" si="610"/>
        <v>0</v>
      </c>
      <c r="ESB1618" s="55">
        <f t="shared" si="610"/>
        <v>0</v>
      </c>
      <c r="ESC1618" s="55">
        <f t="shared" si="610"/>
        <v>0</v>
      </c>
      <c r="ESD1618" s="55">
        <f t="shared" si="610"/>
        <v>0</v>
      </c>
      <c r="ESE1618" s="55">
        <f t="shared" si="610"/>
        <v>0</v>
      </c>
      <c r="ESF1618" s="55">
        <f t="shared" si="610"/>
        <v>0</v>
      </c>
      <c r="ESG1618" s="55">
        <f t="shared" si="610"/>
        <v>0</v>
      </c>
      <c r="ESH1618" s="55">
        <f t="shared" si="610"/>
        <v>0</v>
      </c>
      <c r="ESI1618" s="55">
        <f t="shared" si="610"/>
        <v>0</v>
      </c>
      <c r="ESJ1618" s="55">
        <f t="shared" si="610"/>
        <v>0</v>
      </c>
      <c r="ESK1618" s="55">
        <f t="shared" si="610"/>
        <v>0</v>
      </c>
      <c r="ESL1618" s="55">
        <f t="shared" si="610"/>
        <v>0</v>
      </c>
      <c r="ESM1618" s="55">
        <f t="shared" si="610"/>
        <v>0</v>
      </c>
      <c r="ESN1618" s="55">
        <f t="shared" si="610"/>
        <v>0</v>
      </c>
      <c r="ESO1618" s="55">
        <f t="shared" si="610"/>
        <v>0</v>
      </c>
      <c r="ESP1618" s="55">
        <f t="shared" si="610"/>
        <v>0</v>
      </c>
      <c r="ESQ1618" s="55">
        <f t="shared" si="610"/>
        <v>0</v>
      </c>
      <c r="ESR1618" s="55">
        <f t="shared" si="610"/>
        <v>0</v>
      </c>
      <c r="ESS1618" s="55">
        <f t="shared" si="610"/>
        <v>0</v>
      </c>
      <c r="EST1618" s="55">
        <f t="shared" si="610"/>
        <v>0</v>
      </c>
      <c r="ESU1618" s="55">
        <f t="shared" si="610"/>
        <v>0</v>
      </c>
      <c r="ESV1618" s="55">
        <f t="shared" si="610"/>
        <v>0</v>
      </c>
      <c r="ESW1618" s="55">
        <f t="shared" si="610"/>
        <v>0</v>
      </c>
      <c r="ESX1618" s="55">
        <f t="shared" si="610"/>
        <v>0</v>
      </c>
      <c r="ESY1618" s="55">
        <f t="shared" si="610"/>
        <v>0</v>
      </c>
      <c r="ESZ1618" s="55">
        <f t="shared" si="610"/>
        <v>0</v>
      </c>
      <c r="ETA1618" s="55">
        <f t="shared" si="610"/>
        <v>0</v>
      </c>
      <c r="ETB1618" s="55">
        <f t="shared" si="610"/>
        <v>0</v>
      </c>
      <c r="ETC1618" s="55">
        <f t="shared" si="610"/>
        <v>0</v>
      </c>
      <c r="ETD1618" s="55">
        <f t="shared" si="610"/>
        <v>0</v>
      </c>
      <c r="ETE1618" s="55">
        <f t="shared" si="610"/>
        <v>0</v>
      </c>
      <c r="ETF1618" s="55">
        <f t="shared" si="610"/>
        <v>0</v>
      </c>
      <c r="ETG1618" s="55">
        <f t="shared" si="610"/>
        <v>0</v>
      </c>
      <c r="ETH1618" s="55">
        <f t="shared" si="610"/>
        <v>0</v>
      </c>
      <c r="ETI1618" s="55">
        <f t="shared" si="610"/>
        <v>0</v>
      </c>
      <c r="ETJ1618" s="55">
        <f t="shared" si="610"/>
        <v>0</v>
      </c>
      <c r="ETK1618" s="55">
        <f t="shared" si="610"/>
        <v>0</v>
      </c>
      <c r="ETL1618" s="55">
        <f t="shared" si="610"/>
        <v>0</v>
      </c>
      <c r="ETM1618" s="55">
        <f t="shared" si="610"/>
        <v>0</v>
      </c>
      <c r="ETN1618" s="55">
        <f t="shared" si="610"/>
        <v>0</v>
      </c>
      <c r="ETO1618" s="55">
        <f t="shared" si="610"/>
        <v>0</v>
      </c>
      <c r="ETP1618" s="55">
        <f t="shared" ref="ETP1618:EWA1618" si="611">+(ETP1627+ETP1608)*1.18*1.1</f>
        <v>0</v>
      </c>
      <c r="ETQ1618" s="55">
        <f t="shared" si="611"/>
        <v>0</v>
      </c>
      <c r="ETR1618" s="55">
        <f t="shared" si="611"/>
        <v>0</v>
      </c>
      <c r="ETS1618" s="55">
        <f t="shared" si="611"/>
        <v>0</v>
      </c>
      <c r="ETT1618" s="55">
        <f t="shared" si="611"/>
        <v>0</v>
      </c>
      <c r="ETU1618" s="55">
        <f t="shared" si="611"/>
        <v>0</v>
      </c>
      <c r="ETV1618" s="55">
        <f t="shared" si="611"/>
        <v>0</v>
      </c>
      <c r="ETW1618" s="55">
        <f t="shared" si="611"/>
        <v>0</v>
      </c>
      <c r="ETX1618" s="55">
        <f t="shared" si="611"/>
        <v>0</v>
      </c>
      <c r="ETY1618" s="55">
        <f t="shared" si="611"/>
        <v>0</v>
      </c>
      <c r="ETZ1618" s="55">
        <f t="shared" si="611"/>
        <v>0</v>
      </c>
      <c r="EUA1618" s="55">
        <f t="shared" si="611"/>
        <v>0</v>
      </c>
      <c r="EUB1618" s="55">
        <f t="shared" si="611"/>
        <v>0</v>
      </c>
      <c r="EUC1618" s="55">
        <f t="shared" si="611"/>
        <v>0</v>
      </c>
      <c r="EUD1618" s="55">
        <f t="shared" si="611"/>
        <v>0</v>
      </c>
      <c r="EUE1618" s="55">
        <f t="shared" si="611"/>
        <v>0</v>
      </c>
      <c r="EUF1618" s="55">
        <f t="shared" si="611"/>
        <v>0</v>
      </c>
      <c r="EUG1618" s="55">
        <f t="shared" si="611"/>
        <v>0</v>
      </c>
      <c r="EUH1618" s="55">
        <f t="shared" si="611"/>
        <v>0</v>
      </c>
      <c r="EUI1618" s="55">
        <f t="shared" si="611"/>
        <v>0</v>
      </c>
      <c r="EUJ1618" s="55">
        <f t="shared" si="611"/>
        <v>0</v>
      </c>
      <c r="EUK1618" s="55">
        <f t="shared" si="611"/>
        <v>0</v>
      </c>
      <c r="EUL1618" s="55">
        <f t="shared" si="611"/>
        <v>0</v>
      </c>
      <c r="EUM1618" s="55">
        <f t="shared" si="611"/>
        <v>0</v>
      </c>
      <c r="EUN1618" s="55">
        <f t="shared" si="611"/>
        <v>0</v>
      </c>
      <c r="EUO1618" s="55">
        <f t="shared" si="611"/>
        <v>0</v>
      </c>
      <c r="EUP1618" s="55">
        <f t="shared" si="611"/>
        <v>0</v>
      </c>
      <c r="EUQ1618" s="55">
        <f t="shared" si="611"/>
        <v>0</v>
      </c>
      <c r="EUR1618" s="55">
        <f t="shared" si="611"/>
        <v>0</v>
      </c>
      <c r="EUS1618" s="55">
        <f t="shared" si="611"/>
        <v>0</v>
      </c>
      <c r="EUT1618" s="55">
        <f t="shared" si="611"/>
        <v>0</v>
      </c>
      <c r="EUU1618" s="55">
        <f t="shared" si="611"/>
        <v>0</v>
      </c>
      <c r="EUV1618" s="55">
        <f t="shared" si="611"/>
        <v>0</v>
      </c>
      <c r="EUW1618" s="55">
        <f t="shared" si="611"/>
        <v>0</v>
      </c>
      <c r="EUX1618" s="55">
        <f t="shared" si="611"/>
        <v>0</v>
      </c>
      <c r="EUY1618" s="55">
        <f t="shared" si="611"/>
        <v>0</v>
      </c>
      <c r="EUZ1618" s="55">
        <f t="shared" si="611"/>
        <v>0</v>
      </c>
      <c r="EVA1618" s="55">
        <f t="shared" si="611"/>
        <v>0</v>
      </c>
      <c r="EVB1618" s="55">
        <f t="shared" si="611"/>
        <v>0</v>
      </c>
      <c r="EVC1618" s="55">
        <f t="shared" si="611"/>
        <v>0</v>
      </c>
      <c r="EVD1618" s="55">
        <f t="shared" si="611"/>
        <v>0</v>
      </c>
      <c r="EVE1618" s="55">
        <f t="shared" si="611"/>
        <v>0</v>
      </c>
      <c r="EVF1618" s="55">
        <f t="shared" si="611"/>
        <v>0</v>
      </c>
      <c r="EVG1618" s="55">
        <f t="shared" si="611"/>
        <v>0</v>
      </c>
      <c r="EVH1618" s="55">
        <f t="shared" si="611"/>
        <v>0</v>
      </c>
      <c r="EVI1618" s="55">
        <f t="shared" si="611"/>
        <v>0</v>
      </c>
      <c r="EVJ1618" s="55">
        <f t="shared" si="611"/>
        <v>0</v>
      </c>
      <c r="EVK1618" s="55">
        <f t="shared" si="611"/>
        <v>0</v>
      </c>
      <c r="EVL1618" s="55">
        <f t="shared" si="611"/>
        <v>0</v>
      </c>
      <c r="EVM1618" s="55">
        <f t="shared" si="611"/>
        <v>0</v>
      </c>
      <c r="EVN1618" s="55">
        <f t="shared" si="611"/>
        <v>0</v>
      </c>
      <c r="EVO1618" s="55">
        <f t="shared" si="611"/>
        <v>0</v>
      </c>
      <c r="EVP1618" s="55">
        <f t="shared" si="611"/>
        <v>0</v>
      </c>
      <c r="EVQ1618" s="55">
        <f t="shared" si="611"/>
        <v>0</v>
      </c>
      <c r="EVR1618" s="55">
        <f t="shared" si="611"/>
        <v>0</v>
      </c>
      <c r="EVS1618" s="55">
        <f t="shared" si="611"/>
        <v>0</v>
      </c>
      <c r="EVT1618" s="55">
        <f t="shared" si="611"/>
        <v>0</v>
      </c>
      <c r="EVU1618" s="55">
        <f t="shared" si="611"/>
        <v>0</v>
      </c>
      <c r="EVV1618" s="55">
        <f t="shared" si="611"/>
        <v>0</v>
      </c>
      <c r="EVW1618" s="55">
        <f t="shared" si="611"/>
        <v>0</v>
      </c>
      <c r="EVX1618" s="55">
        <f t="shared" si="611"/>
        <v>0</v>
      </c>
      <c r="EVY1618" s="55">
        <f t="shared" si="611"/>
        <v>0</v>
      </c>
      <c r="EVZ1618" s="55">
        <f t="shared" si="611"/>
        <v>0</v>
      </c>
      <c r="EWA1618" s="55">
        <f t="shared" si="611"/>
        <v>0</v>
      </c>
      <c r="EWB1618" s="55">
        <f t="shared" ref="EWB1618:EYM1618" si="612">+(EWB1627+EWB1608)*1.18*1.1</f>
        <v>0</v>
      </c>
      <c r="EWC1618" s="55">
        <f t="shared" si="612"/>
        <v>0</v>
      </c>
      <c r="EWD1618" s="55">
        <f t="shared" si="612"/>
        <v>0</v>
      </c>
      <c r="EWE1618" s="55">
        <f t="shared" si="612"/>
        <v>0</v>
      </c>
      <c r="EWF1618" s="55">
        <f t="shared" si="612"/>
        <v>0</v>
      </c>
      <c r="EWG1618" s="55">
        <f t="shared" si="612"/>
        <v>0</v>
      </c>
      <c r="EWH1618" s="55">
        <f t="shared" si="612"/>
        <v>0</v>
      </c>
      <c r="EWI1618" s="55">
        <f t="shared" si="612"/>
        <v>0</v>
      </c>
      <c r="EWJ1618" s="55">
        <f t="shared" si="612"/>
        <v>0</v>
      </c>
      <c r="EWK1618" s="55">
        <f t="shared" si="612"/>
        <v>0</v>
      </c>
      <c r="EWL1618" s="55">
        <f t="shared" si="612"/>
        <v>0</v>
      </c>
      <c r="EWM1618" s="55">
        <f t="shared" si="612"/>
        <v>0</v>
      </c>
      <c r="EWN1618" s="55">
        <f t="shared" si="612"/>
        <v>0</v>
      </c>
      <c r="EWO1618" s="55">
        <f t="shared" si="612"/>
        <v>0</v>
      </c>
      <c r="EWP1618" s="55">
        <f t="shared" si="612"/>
        <v>0</v>
      </c>
      <c r="EWQ1618" s="55">
        <f t="shared" si="612"/>
        <v>0</v>
      </c>
      <c r="EWR1618" s="55">
        <f t="shared" si="612"/>
        <v>0</v>
      </c>
      <c r="EWS1618" s="55">
        <f t="shared" si="612"/>
        <v>0</v>
      </c>
      <c r="EWT1618" s="55">
        <f t="shared" si="612"/>
        <v>0</v>
      </c>
      <c r="EWU1618" s="55">
        <f t="shared" si="612"/>
        <v>0</v>
      </c>
      <c r="EWV1618" s="55">
        <f t="shared" si="612"/>
        <v>0</v>
      </c>
      <c r="EWW1618" s="55">
        <f t="shared" si="612"/>
        <v>0</v>
      </c>
      <c r="EWX1618" s="55">
        <f t="shared" si="612"/>
        <v>0</v>
      </c>
      <c r="EWY1618" s="55">
        <f t="shared" si="612"/>
        <v>0</v>
      </c>
      <c r="EWZ1618" s="55">
        <f t="shared" si="612"/>
        <v>0</v>
      </c>
      <c r="EXA1618" s="55">
        <f t="shared" si="612"/>
        <v>0</v>
      </c>
      <c r="EXB1618" s="55">
        <f t="shared" si="612"/>
        <v>0</v>
      </c>
      <c r="EXC1618" s="55">
        <f t="shared" si="612"/>
        <v>0</v>
      </c>
      <c r="EXD1618" s="55">
        <f t="shared" si="612"/>
        <v>0</v>
      </c>
      <c r="EXE1618" s="55">
        <f t="shared" si="612"/>
        <v>0</v>
      </c>
      <c r="EXF1618" s="55">
        <f t="shared" si="612"/>
        <v>0</v>
      </c>
      <c r="EXG1618" s="55">
        <f t="shared" si="612"/>
        <v>0</v>
      </c>
      <c r="EXH1618" s="55">
        <f t="shared" si="612"/>
        <v>0</v>
      </c>
      <c r="EXI1618" s="55">
        <f t="shared" si="612"/>
        <v>0</v>
      </c>
      <c r="EXJ1618" s="55">
        <f t="shared" si="612"/>
        <v>0</v>
      </c>
      <c r="EXK1618" s="55">
        <f t="shared" si="612"/>
        <v>0</v>
      </c>
      <c r="EXL1618" s="55">
        <f t="shared" si="612"/>
        <v>0</v>
      </c>
      <c r="EXM1618" s="55">
        <f t="shared" si="612"/>
        <v>0</v>
      </c>
      <c r="EXN1618" s="55">
        <f t="shared" si="612"/>
        <v>0</v>
      </c>
      <c r="EXO1618" s="55">
        <f t="shared" si="612"/>
        <v>0</v>
      </c>
      <c r="EXP1618" s="55">
        <f t="shared" si="612"/>
        <v>0</v>
      </c>
      <c r="EXQ1618" s="55">
        <f t="shared" si="612"/>
        <v>0</v>
      </c>
      <c r="EXR1618" s="55">
        <f t="shared" si="612"/>
        <v>0</v>
      </c>
      <c r="EXS1618" s="55">
        <f t="shared" si="612"/>
        <v>0</v>
      </c>
      <c r="EXT1618" s="55">
        <f t="shared" si="612"/>
        <v>0</v>
      </c>
      <c r="EXU1618" s="55">
        <f t="shared" si="612"/>
        <v>0</v>
      </c>
      <c r="EXV1618" s="55">
        <f t="shared" si="612"/>
        <v>0</v>
      </c>
      <c r="EXW1618" s="55">
        <f t="shared" si="612"/>
        <v>0</v>
      </c>
      <c r="EXX1618" s="55">
        <f t="shared" si="612"/>
        <v>0</v>
      </c>
      <c r="EXY1618" s="55">
        <f t="shared" si="612"/>
        <v>0</v>
      </c>
      <c r="EXZ1618" s="55">
        <f t="shared" si="612"/>
        <v>0</v>
      </c>
      <c r="EYA1618" s="55">
        <f t="shared" si="612"/>
        <v>0</v>
      </c>
      <c r="EYB1618" s="55">
        <f t="shared" si="612"/>
        <v>0</v>
      </c>
      <c r="EYC1618" s="55">
        <f t="shared" si="612"/>
        <v>0</v>
      </c>
      <c r="EYD1618" s="55">
        <f t="shared" si="612"/>
        <v>0</v>
      </c>
      <c r="EYE1618" s="55">
        <f t="shared" si="612"/>
        <v>0</v>
      </c>
      <c r="EYF1618" s="55">
        <f t="shared" si="612"/>
        <v>0</v>
      </c>
      <c r="EYG1618" s="55">
        <f t="shared" si="612"/>
        <v>0</v>
      </c>
      <c r="EYH1618" s="55">
        <f t="shared" si="612"/>
        <v>0</v>
      </c>
      <c r="EYI1618" s="55">
        <f t="shared" si="612"/>
        <v>0</v>
      </c>
      <c r="EYJ1618" s="55">
        <f t="shared" si="612"/>
        <v>0</v>
      </c>
      <c r="EYK1618" s="55">
        <f t="shared" si="612"/>
        <v>0</v>
      </c>
      <c r="EYL1618" s="55">
        <f t="shared" si="612"/>
        <v>0</v>
      </c>
      <c r="EYM1618" s="55">
        <f t="shared" si="612"/>
        <v>0</v>
      </c>
      <c r="EYN1618" s="55">
        <f t="shared" ref="EYN1618:FAY1618" si="613">+(EYN1627+EYN1608)*1.18*1.1</f>
        <v>0</v>
      </c>
      <c r="EYO1618" s="55">
        <f t="shared" si="613"/>
        <v>0</v>
      </c>
      <c r="EYP1618" s="55">
        <f t="shared" si="613"/>
        <v>0</v>
      </c>
      <c r="EYQ1618" s="55">
        <f t="shared" si="613"/>
        <v>0</v>
      </c>
      <c r="EYR1618" s="55">
        <f t="shared" si="613"/>
        <v>0</v>
      </c>
      <c r="EYS1618" s="55">
        <f t="shared" si="613"/>
        <v>0</v>
      </c>
      <c r="EYT1618" s="55">
        <f t="shared" si="613"/>
        <v>0</v>
      </c>
      <c r="EYU1618" s="55">
        <f t="shared" si="613"/>
        <v>0</v>
      </c>
      <c r="EYV1618" s="55">
        <f t="shared" si="613"/>
        <v>0</v>
      </c>
      <c r="EYW1618" s="55">
        <f t="shared" si="613"/>
        <v>0</v>
      </c>
      <c r="EYX1618" s="55">
        <f t="shared" si="613"/>
        <v>0</v>
      </c>
      <c r="EYY1618" s="55">
        <f t="shared" si="613"/>
        <v>0</v>
      </c>
      <c r="EYZ1618" s="55">
        <f t="shared" si="613"/>
        <v>0</v>
      </c>
      <c r="EZA1618" s="55">
        <f t="shared" si="613"/>
        <v>0</v>
      </c>
      <c r="EZB1618" s="55">
        <f t="shared" si="613"/>
        <v>0</v>
      </c>
      <c r="EZC1618" s="55">
        <f t="shared" si="613"/>
        <v>0</v>
      </c>
      <c r="EZD1618" s="55">
        <f t="shared" si="613"/>
        <v>0</v>
      </c>
      <c r="EZE1618" s="55">
        <f t="shared" si="613"/>
        <v>0</v>
      </c>
      <c r="EZF1618" s="55">
        <f t="shared" si="613"/>
        <v>0</v>
      </c>
      <c r="EZG1618" s="55">
        <f t="shared" si="613"/>
        <v>0</v>
      </c>
      <c r="EZH1618" s="55">
        <f t="shared" si="613"/>
        <v>0</v>
      </c>
      <c r="EZI1618" s="55">
        <f t="shared" si="613"/>
        <v>0</v>
      </c>
      <c r="EZJ1618" s="55">
        <f t="shared" si="613"/>
        <v>0</v>
      </c>
      <c r="EZK1618" s="55">
        <f t="shared" si="613"/>
        <v>0</v>
      </c>
      <c r="EZL1618" s="55">
        <f t="shared" si="613"/>
        <v>0</v>
      </c>
      <c r="EZM1618" s="55">
        <f t="shared" si="613"/>
        <v>0</v>
      </c>
      <c r="EZN1618" s="55">
        <f t="shared" si="613"/>
        <v>0</v>
      </c>
      <c r="EZO1618" s="55">
        <f t="shared" si="613"/>
        <v>0</v>
      </c>
      <c r="EZP1618" s="55">
        <f t="shared" si="613"/>
        <v>0</v>
      </c>
      <c r="EZQ1618" s="55">
        <f t="shared" si="613"/>
        <v>0</v>
      </c>
      <c r="EZR1618" s="55">
        <f t="shared" si="613"/>
        <v>0</v>
      </c>
      <c r="EZS1618" s="55">
        <f t="shared" si="613"/>
        <v>0</v>
      </c>
      <c r="EZT1618" s="55">
        <f t="shared" si="613"/>
        <v>0</v>
      </c>
      <c r="EZU1618" s="55">
        <f t="shared" si="613"/>
        <v>0</v>
      </c>
      <c r="EZV1618" s="55">
        <f t="shared" si="613"/>
        <v>0</v>
      </c>
      <c r="EZW1618" s="55">
        <f t="shared" si="613"/>
        <v>0</v>
      </c>
      <c r="EZX1618" s="55">
        <f t="shared" si="613"/>
        <v>0</v>
      </c>
      <c r="EZY1618" s="55">
        <f t="shared" si="613"/>
        <v>0</v>
      </c>
      <c r="EZZ1618" s="55">
        <f t="shared" si="613"/>
        <v>0</v>
      </c>
      <c r="FAA1618" s="55">
        <f t="shared" si="613"/>
        <v>0</v>
      </c>
      <c r="FAB1618" s="55">
        <f t="shared" si="613"/>
        <v>0</v>
      </c>
      <c r="FAC1618" s="55">
        <f t="shared" si="613"/>
        <v>0</v>
      </c>
      <c r="FAD1618" s="55">
        <f t="shared" si="613"/>
        <v>0</v>
      </c>
      <c r="FAE1618" s="55">
        <f t="shared" si="613"/>
        <v>0</v>
      </c>
      <c r="FAF1618" s="55">
        <f t="shared" si="613"/>
        <v>0</v>
      </c>
      <c r="FAG1618" s="55">
        <f t="shared" si="613"/>
        <v>0</v>
      </c>
      <c r="FAH1618" s="55">
        <f t="shared" si="613"/>
        <v>0</v>
      </c>
      <c r="FAI1618" s="55">
        <f t="shared" si="613"/>
        <v>0</v>
      </c>
      <c r="FAJ1618" s="55">
        <f t="shared" si="613"/>
        <v>0</v>
      </c>
      <c r="FAK1618" s="55">
        <f t="shared" si="613"/>
        <v>0</v>
      </c>
      <c r="FAL1618" s="55">
        <f t="shared" si="613"/>
        <v>0</v>
      </c>
      <c r="FAM1618" s="55">
        <f t="shared" si="613"/>
        <v>0</v>
      </c>
      <c r="FAN1618" s="55">
        <f t="shared" si="613"/>
        <v>0</v>
      </c>
      <c r="FAO1618" s="55">
        <f t="shared" si="613"/>
        <v>0</v>
      </c>
      <c r="FAP1618" s="55">
        <f t="shared" si="613"/>
        <v>0</v>
      </c>
      <c r="FAQ1618" s="55">
        <f t="shared" si="613"/>
        <v>0</v>
      </c>
      <c r="FAR1618" s="55">
        <f t="shared" si="613"/>
        <v>0</v>
      </c>
      <c r="FAS1618" s="55">
        <f t="shared" si="613"/>
        <v>0</v>
      </c>
      <c r="FAT1618" s="55">
        <f t="shared" si="613"/>
        <v>0</v>
      </c>
      <c r="FAU1618" s="55">
        <f t="shared" si="613"/>
        <v>0</v>
      </c>
      <c r="FAV1618" s="55">
        <f t="shared" si="613"/>
        <v>0</v>
      </c>
      <c r="FAW1618" s="55">
        <f t="shared" si="613"/>
        <v>0</v>
      </c>
      <c r="FAX1618" s="55">
        <f t="shared" si="613"/>
        <v>0</v>
      </c>
      <c r="FAY1618" s="55">
        <f t="shared" si="613"/>
        <v>0</v>
      </c>
      <c r="FAZ1618" s="55">
        <f t="shared" ref="FAZ1618:FDK1618" si="614">+(FAZ1627+FAZ1608)*1.18*1.1</f>
        <v>0</v>
      </c>
      <c r="FBA1618" s="55">
        <f t="shared" si="614"/>
        <v>0</v>
      </c>
      <c r="FBB1618" s="55">
        <f t="shared" si="614"/>
        <v>0</v>
      </c>
      <c r="FBC1618" s="55">
        <f t="shared" si="614"/>
        <v>0</v>
      </c>
      <c r="FBD1618" s="55">
        <f t="shared" si="614"/>
        <v>0</v>
      </c>
      <c r="FBE1618" s="55">
        <f t="shared" si="614"/>
        <v>0</v>
      </c>
      <c r="FBF1618" s="55">
        <f t="shared" si="614"/>
        <v>0</v>
      </c>
      <c r="FBG1618" s="55">
        <f t="shared" si="614"/>
        <v>0</v>
      </c>
      <c r="FBH1618" s="55">
        <f t="shared" si="614"/>
        <v>0</v>
      </c>
      <c r="FBI1618" s="55">
        <f t="shared" si="614"/>
        <v>0</v>
      </c>
      <c r="FBJ1618" s="55">
        <f t="shared" si="614"/>
        <v>0</v>
      </c>
      <c r="FBK1618" s="55">
        <f t="shared" si="614"/>
        <v>0</v>
      </c>
      <c r="FBL1618" s="55">
        <f t="shared" si="614"/>
        <v>0</v>
      </c>
      <c r="FBM1618" s="55">
        <f t="shared" si="614"/>
        <v>0</v>
      </c>
      <c r="FBN1618" s="55">
        <f t="shared" si="614"/>
        <v>0</v>
      </c>
      <c r="FBO1618" s="55">
        <f t="shared" si="614"/>
        <v>0</v>
      </c>
      <c r="FBP1618" s="55">
        <f t="shared" si="614"/>
        <v>0</v>
      </c>
      <c r="FBQ1618" s="55">
        <f t="shared" si="614"/>
        <v>0</v>
      </c>
      <c r="FBR1618" s="55">
        <f t="shared" si="614"/>
        <v>0</v>
      </c>
      <c r="FBS1618" s="55">
        <f t="shared" si="614"/>
        <v>0</v>
      </c>
      <c r="FBT1618" s="55">
        <f t="shared" si="614"/>
        <v>0</v>
      </c>
      <c r="FBU1618" s="55">
        <f t="shared" si="614"/>
        <v>0</v>
      </c>
      <c r="FBV1618" s="55">
        <f t="shared" si="614"/>
        <v>0</v>
      </c>
      <c r="FBW1618" s="55">
        <f t="shared" si="614"/>
        <v>0</v>
      </c>
      <c r="FBX1618" s="55">
        <f t="shared" si="614"/>
        <v>0</v>
      </c>
      <c r="FBY1618" s="55">
        <f t="shared" si="614"/>
        <v>0</v>
      </c>
      <c r="FBZ1618" s="55">
        <f t="shared" si="614"/>
        <v>0</v>
      </c>
      <c r="FCA1618" s="55">
        <f t="shared" si="614"/>
        <v>0</v>
      </c>
      <c r="FCB1618" s="55">
        <f t="shared" si="614"/>
        <v>0</v>
      </c>
      <c r="FCC1618" s="55">
        <f t="shared" si="614"/>
        <v>0</v>
      </c>
      <c r="FCD1618" s="55">
        <f t="shared" si="614"/>
        <v>0</v>
      </c>
      <c r="FCE1618" s="55">
        <f t="shared" si="614"/>
        <v>0</v>
      </c>
      <c r="FCF1618" s="55">
        <f t="shared" si="614"/>
        <v>0</v>
      </c>
      <c r="FCG1618" s="55">
        <f t="shared" si="614"/>
        <v>0</v>
      </c>
      <c r="FCH1618" s="55">
        <f t="shared" si="614"/>
        <v>0</v>
      </c>
      <c r="FCI1618" s="55">
        <f t="shared" si="614"/>
        <v>0</v>
      </c>
      <c r="FCJ1618" s="55">
        <f t="shared" si="614"/>
        <v>0</v>
      </c>
      <c r="FCK1618" s="55">
        <f t="shared" si="614"/>
        <v>0</v>
      </c>
      <c r="FCL1618" s="55">
        <f t="shared" si="614"/>
        <v>0</v>
      </c>
      <c r="FCM1618" s="55">
        <f t="shared" si="614"/>
        <v>0</v>
      </c>
      <c r="FCN1618" s="55">
        <f t="shared" si="614"/>
        <v>0</v>
      </c>
      <c r="FCO1618" s="55">
        <f t="shared" si="614"/>
        <v>0</v>
      </c>
      <c r="FCP1618" s="55">
        <f t="shared" si="614"/>
        <v>0</v>
      </c>
      <c r="FCQ1618" s="55">
        <f t="shared" si="614"/>
        <v>0</v>
      </c>
      <c r="FCR1618" s="55">
        <f t="shared" si="614"/>
        <v>0</v>
      </c>
      <c r="FCS1618" s="55">
        <f t="shared" si="614"/>
        <v>0</v>
      </c>
      <c r="FCT1618" s="55">
        <f t="shared" si="614"/>
        <v>0</v>
      </c>
      <c r="FCU1618" s="55">
        <f t="shared" si="614"/>
        <v>0</v>
      </c>
      <c r="FCV1618" s="55">
        <f t="shared" si="614"/>
        <v>0</v>
      </c>
      <c r="FCW1618" s="55">
        <f t="shared" si="614"/>
        <v>0</v>
      </c>
      <c r="FCX1618" s="55">
        <f t="shared" si="614"/>
        <v>0</v>
      </c>
      <c r="FCY1618" s="55">
        <f t="shared" si="614"/>
        <v>0</v>
      </c>
      <c r="FCZ1618" s="55">
        <f t="shared" si="614"/>
        <v>0</v>
      </c>
      <c r="FDA1618" s="55">
        <f t="shared" si="614"/>
        <v>0</v>
      </c>
      <c r="FDB1618" s="55">
        <f t="shared" si="614"/>
        <v>0</v>
      </c>
      <c r="FDC1618" s="55">
        <f t="shared" si="614"/>
        <v>0</v>
      </c>
      <c r="FDD1618" s="55">
        <f t="shared" si="614"/>
        <v>0</v>
      </c>
      <c r="FDE1618" s="55">
        <f t="shared" si="614"/>
        <v>0</v>
      </c>
      <c r="FDF1618" s="55">
        <f t="shared" si="614"/>
        <v>0</v>
      </c>
      <c r="FDG1618" s="55">
        <f t="shared" si="614"/>
        <v>0</v>
      </c>
      <c r="FDH1618" s="55">
        <f t="shared" si="614"/>
        <v>0</v>
      </c>
      <c r="FDI1618" s="55">
        <f t="shared" si="614"/>
        <v>0</v>
      </c>
      <c r="FDJ1618" s="55">
        <f t="shared" si="614"/>
        <v>0</v>
      </c>
      <c r="FDK1618" s="55">
        <f t="shared" si="614"/>
        <v>0</v>
      </c>
      <c r="FDL1618" s="55">
        <f t="shared" ref="FDL1618:FFW1618" si="615">+(FDL1627+FDL1608)*1.18*1.1</f>
        <v>0</v>
      </c>
      <c r="FDM1618" s="55">
        <f t="shared" si="615"/>
        <v>0</v>
      </c>
      <c r="FDN1618" s="55">
        <f t="shared" si="615"/>
        <v>0</v>
      </c>
      <c r="FDO1618" s="55">
        <f t="shared" si="615"/>
        <v>0</v>
      </c>
      <c r="FDP1618" s="55">
        <f t="shared" si="615"/>
        <v>0</v>
      </c>
      <c r="FDQ1618" s="55">
        <f t="shared" si="615"/>
        <v>0</v>
      </c>
      <c r="FDR1618" s="55">
        <f t="shared" si="615"/>
        <v>0</v>
      </c>
      <c r="FDS1618" s="55">
        <f t="shared" si="615"/>
        <v>0</v>
      </c>
      <c r="FDT1618" s="55">
        <f t="shared" si="615"/>
        <v>0</v>
      </c>
      <c r="FDU1618" s="55">
        <f t="shared" si="615"/>
        <v>0</v>
      </c>
      <c r="FDV1618" s="55">
        <f t="shared" si="615"/>
        <v>0</v>
      </c>
      <c r="FDW1618" s="55">
        <f t="shared" si="615"/>
        <v>0</v>
      </c>
      <c r="FDX1618" s="55">
        <f t="shared" si="615"/>
        <v>0</v>
      </c>
      <c r="FDY1618" s="55">
        <f t="shared" si="615"/>
        <v>0</v>
      </c>
      <c r="FDZ1618" s="55">
        <f t="shared" si="615"/>
        <v>0</v>
      </c>
      <c r="FEA1618" s="55">
        <f t="shared" si="615"/>
        <v>0</v>
      </c>
      <c r="FEB1618" s="55">
        <f t="shared" si="615"/>
        <v>0</v>
      </c>
      <c r="FEC1618" s="55">
        <f t="shared" si="615"/>
        <v>0</v>
      </c>
      <c r="FED1618" s="55">
        <f t="shared" si="615"/>
        <v>0</v>
      </c>
      <c r="FEE1618" s="55">
        <f t="shared" si="615"/>
        <v>0</v>
      </c>
      <c r="FEF1618" s="55">
        <f t="shared" si="615"/>
        <v>0</v>
      </c>
      <c r="FEG1618" s="55">
        <f t="shared" si="615"/>
        <v>0</v>
      </c>
      <c r="FEH1618" s="55">
        <f t="shared" si="615"/>
        <v>0</v>
      </c>
      <c r="FEI1618" s="55">
        <f t="shared" si="615"/>
        <v>0</v>
      </c>
      <c r="FEJ1618" s="55">
        <f t="shared" si="615"/>
        <v>0</v>
      </c>
      <c r="FEK1618" s="55">
        <f t="shared" si="615"/>
        <v>0</v>
      </c>
      <c r="FEL1618" s="55">
        <f t="shared" si="615"/>
        <v>0</v>
      </c>
      <c r="FEM1618" s="55">
        <f t="shared" si="615"/>
        <v>0</v>
      </c>
      <c r="FEN1618" s="55">
        <f t="shared" si="615"/>
        <v>0</v>
      </c>
      <c r="FEO1618" s="55">
        <f t="shared" si="615"/>
        <v>0</v>
      </c>
      <c r="FEP1618" s="55">
        <f t="shared" si="615"/>
        <v>0</v>
      </c>
      <c r="FEQ1618" s="55">
        <f t="shared" si="615"/>
        <v>0</v>
      </c>
      <c r="FER1618" s="55">
        <f t="shared" si="615"/>
        <v>0</v>
      </c>
      <c r="FES1618" s="55">
        <f t="shared" si="615"/>
        <v>0</v>
      </c>
      <c r="FET1618" s="55">
        <f t="shared" si="615"/>
        <v>0</v>
      </c>
      <c r="FEU1618" s="55">
        <f t="shared" si="615"/>
        <v>0</v>
      </c>
      <c r="FEV1618" s="55">
        <f t="shared" si="615"/>
        <v>0</v>
      </c>
      <c r="FEW1618" s="55">
        <f t="shared" si="615"/>
        <v>0</v>
      </c>
      <c r="FEX1618" s="55">
        <f t="shared" si="615"/>
        <v>0</v>
      </c>
      <c r="FEY1618" s="55">
        <f t="shared" si="615"/>
        <v>0</v>
      </c>
      <c r="FEZ1618" s="55">
        <f t="shared" si="615"/>
        <v>0</v>
      </c>
      <c r="FFA1618" s="55">
        <f t="shared" si="615"/>
        <v>0</v>
      </c>
      <c r="FFB1618" s="55">
        <f t="shared" si="615"/>
        <v>0</v>
      </c>
      <c r="FFC1618" s="55">
        <f t="shared" si="615"/>
        <v>0</v>
      </c>
      <c r="FFD1618" s="55">
        <f t="shared" si="615"/>
        <v>0</v>
      </c>
      <c r="FFE1618" s="55">
        <f t="shared" si="615"/>
        <v>0</v>
      </c>
      <c r="FFF1618" s="55">
        <f t="shared" si="615"/>
        <v>0</v>
      </c>
      <c r="FFG1618" s="55">
        <f t="shared" si="615"/>
        <v>0</v>
      </c>
      <c r="FFH1618" s="55">
        <f t="shared" si="615"/>
        <v>0</v>
      </c>
      <c r="FFI1618" s="55">
        <f t="shared" si="615"/>
        <v>0</v>
      </c>
      <c r="FFJ1618" s="55">
        <f t="shared" si="615"/>
        <v>0</v>
      </c>
      <c r="FFK1618" s="55">
        <f t="shared" si="615"/>
        <v>0</v>
      </c>
      <c r="FFL1618" s="55">
        <f t="shared" si="615"/>
        <v>0</v>
      </c>
      <c r="FFM1618" s="55">
        <f t="shared" si="615"/>
        <v>0</v>
      </c>
      <c r="FFN1618" s="55">
        <f t="shared" si="615"/>
        <v>0</v>
      </c>
      <c r="FFO1618" s="55">
        <f t="shared" si="615"/>
        <v>0</v>
      </c>
      <c r="FFP1618" s="55">
        <f t="shared" si="615"/>
        <v>0</v>
      </c>
      <c r="FFQ1618" s="55">
        <f t="shared" si="615"/>
        <v>0</v>
      </c>
      <c r="FFR1618" s="55">
        <f t="shared" si="615"/>
        <v>0</v>
      </c>
      <c r="FFS1618" s="55">
        <f t="shared" si="615"/>
        <v>0</v>
      </c>
      <c r="FFT1618" s="55">
        <f t="shared" si="615"/>
        <v>0</v>
      </c>
      <c r="FFU1618" s="55">
        <f t="shared" si="615"/>
        <v>0</v>
      </c>
      <c r="FFV1618" s="55">
        <f t="shared" si="615"/>
        <v>0</v>
      </c>
      <c r="FFW1618" s="55">
        <f t="shared" si="615"/>
        <v>0</v>
      </c>
      <c r="FFX1618" s="55">
        <f t="shared" ref="FFX1618:FII1618" si="616">+(FFX1627+FFX1608)*1.18*1.1</f>
        <v>0</v>
      </c>
      <c r="FFY1618" s="55">
        <f t="shared" si="616"/>
        <v>0</v>
      </c>
      <c r="FFZ1618" s="55">
        <f t="shared" si="616"/>
        <v>0</v>
      </c>
      <c r="FGA1618" s="55">
        <f t="shared" si="616"/>
        <v>0</v>
      </c>
      <c r="FGB1618" s="55">
        <f t="shared" si="616"/>
        <v>0</v>
      </c>
      <c r="FGC1618" s="55">
        <f t="shared" si="616"/>
        <v>0</v>
      </c>
      <c r="FGD1618" s="55">
        <f t="shared" si="616"/>
        <v>0</v>
      </c>
      <c r="FGE1618" s="55">
        <f t="shared" si="616"/>
        <v>0</v>
      </c>
      <c r="FGF1618" s="55">
        <f t="shared" si="616"/>
        <v>0</v>
      </c>
      <c r="FGG1618" s="55">
        <f t="shared" si="616"/>
        <v>0</v>
      </c>
      <c r="FGH1618" s="55">
        <f t="shared" si="616"/>
        <v>0</v>
      </c>
      <c r="FGI1618" s="55">
        <f t="shared" si="616"/>
        <v>0</v>
      </c>
      <c r="FGJ1618" s="55">
        <f t="shared" si="616"/>
        <v>0</v>
      </c>
      <c r="FGK1618" s="55">
        <f t="shared" si="616"/>
        <v>0</v>
      </c>
      <c r="FGL1618" s="55">
        <f t="shared" si="616"/>
        <v>0</v>
      </c>
      <c r="FGM1618" s="55">
        <f t="shared" si="616"/>
        <v>0</v>
      </c>
      <c r="FGN1618" s="55">
        <f t="shared" si="616"/>
        <v>0</v>
      </c>
      <c r="FGO1618" s="55">
        <f t="shared" si="616"/>
        <v>0</v>
      </c>
      <c r="FGP1618" s="55">
        <f t="shared" si="616"/>
        <v>0</v>
      </c>
      <c r="FGQ1618" s="55">
        <f t="shared" si="616"/>
        <v>0</v>
      </c>
      <c r="FGR1618" s="55">
        <f t="shared" si="616"/>
        <v>0</v>
      </c>
      <c r="FGS1618" s="55">
        <f t="shared" si="616"/>
        <v>0</v>
      </c>
      <c r="FGT1618" s="55">
        <f t="shared" si="616"/>
        <v>0</v>
      </c>
      <c r="FGU1618" s="55">
        <f t="shared" si="616"/>
        <v>0</v>
      </c>
      <c r="FGV1618" s="55">
        <f t="shared" si="616"/>
        <v>0</v>
      </c>
      <c r="FGW1618" s="55">
        <f t="shared" si="616"/>
        <v>0</v>
      </c>
      <c r="FGX1618" s="55">
        <f t="shared" si="616"/>
        <v>0</v>
      </c>
      <c r="FGY1618" s="55">
        <f t="shared" si="616"/>
        <v>0</v>
      </c>
      <c r="FGZ1618" s="55">
        <f t="shared" si="616"/>
        <v>0</v>
      </c>
      <c r="FHA1618" s="55">
        <f t="shared" si="616"/>
        <v>0</v>
      </c>
      <c r="FHB1618" s="55">
        <f t="shared" si="616"/>
        <v>0</v>
      </c>
      <c r="FHC1618" s="55">
        <f t="shared" si="616"/>
        <v>0</v>
      </c>
      <c r="FHD1618" s="55">
        <f t="shared" si="616"/>
        <v>0</v>
      </c>
      <c r="FHE1618" s="55">
        <f t="shared" si="616"/>
        <v>0</v>
      </c>
      <c r="FHF1618" s="55">
        <f t="shared" si="616"/>
        <v>0</v>
      </c>
      <c r="FHG1618" s="55">
        <f t="shared" si="616"/>
        <v>0</v>
      </c>
      <c r="FHH1618" s="55">
        <f t="shared" si="616"/>
        <v>0</v>
      </c>
      <c r="FHI1618" s="55">
        <f t="shared" si="616"/>
        <v>0</v>
      </c>
      <c r="FHJ1618" s="55">
        <f t="shared" si="616"/>
        <v>0</v>
      </c>
      <c r="FHK1618" s="55">
        <f t="shared" si="616"/>
        <v>0</v>
      </c>
      <c r="FHL1618" s="55">
        <f t="shared" si="616"/>
        <v>0</v>
      </c>
      <c r="FHM1618" s="55">
        <f t="shared" si="616"/>
        <v>0</v>
      </c>
      <c r="FHN1618" s="55">
        <f t="shared" si="616"/>
        <v>0</v>
      </c>
      <c r="FHO1618" s="55">
        <f t="shared" si="616"/>
        <v>0</v>
      </c>
      <c r="FHP1618" s="55">
        <f t="shared" si="616"/>
        <v>0</v>
      </c>
      <c r="FHQ1618" s="55">
        <f t="shared" si="616"/>
        <v>0</v>
      </c>
      <c r="FHR1618" s="55">
        <f t="shared" si="616"/>
        <v>0</v>
      </c>
      <c r="FHS1618" s="55">
        <f t="shared" si="616"/>
        <v>0</v>
      </c>
      <c r="FHT1618" s="55">
        <f t="shared" si="616"/>
        <v>0</v>
      </c>
      <c r="FHU1618" s="55">
        <f t="shared" si="616"/>
        <v>0</v>
      </c>
      <c r="FHV1618" s="55">
        <f t="shared" si="616"/>
        <v>0</v>
      </c>
      <c r="FHW1618" s="55">
        <f t="shared" si="616"/>
        <v>0</v>
      </c>
      <c r="FHX1618" s="55">
        <f t="shared" si="616"/>
        <v>0</v>
      </c>
      <c r="FHY1618" s="55">
        <f t="shared" si="616"/>
        <v>0</v>
      </c>
      <c r="FHZ1618" s="55">
        <f t="shared" si="616"/>
        <v>0</v>
      </c>
      <c r="FIA1618" s="55">
        <f t="shared" si="616"/>
        <v>0</v>
      </c>
      <c r="FIB1618" s="55">
        <f t="shared" si="616"/>
        <v>0</v>
      </c>
      <c r="FIC1618" s="55">
        <f t="shared" si="616"/>
        <v>0</v>
      </c>
      <c r="FID1618" s="55">
        <f t="shared" si="616"/>
        <v>0</v>
      </c>
      <c r="FIE1618" s="55">
        <f t="shared" si="616"/>
        <v>0</v>
      </c>
      <c r="FIF1618" s="55">
        <f t="shared" si="616"/>
        <v>0</v>
      </c>
      <c r="FIG1618" s="55">
        <f t="shared" si="616"/>
        <v>0</v>
      </c>
      <c r="FIH1618" s="55">
        <f t="shared" si="616"/>
        <v>0</v>
      </c>
      <c r="FII1618" s="55">
        <f t="shared" si="616"/>
        <v>0</v>
      </c>
      <c r="FIJ1618" s="55">
        <f t="shared" ref="FIJ1618:FKU1618" si="617">+(FIJ1627+FIJ1608)*1.18*1.1</f>
        <v>0</v>
      </c>
      <c r="FIK1618" s="55">
        <f t="shared" si="617"/>
        <v>0</v>
      </c>
      <c r="FIL1618" s="55">
        <f t="shared" si="617"/>
        <v>0</v>
      </c>
      <c r="FIM1618" s="55">
        <f t="shared" si="617"/>
        <v>0</v>
      </c>
      <c r="FIN1618" s="55">
        <f t="shared" si="617"/>
        <v>0</v>
      </c>
      <c r="FIO1618" s="55">
        <f t="shared" si="617"/>
        <v>0</v>
      </c>
      <c r="FIP1618" s="55">
        <f t="shared" si="617"/>
        <v>0</v>
      </c>
      <c r="FIQ1618" s="55">
        <f t="shared" si="617"/>
        <v>0</v>
      </c>
      <c r="FIR1618" s="55">
        <f t="shared" si="617"/>
        <v>0</v>
      </c>
      <c r="FIS1618" s="55">
        <f t="shared" si="617"/>
        <v>0</v>
      </c>
      <c r="FIT1618" s="55">
        <f t="shared" si="617"/>
        <v>0</v>
      </c>
      <c r="FIU1618" s="55">
        <f t="shared" si="617"/>
        <v>0</v>
      </c>
      <c r="FIV1618" s="55">
        <f t="shared" si="617"/>
        <v>0</v>
      </c>
      <c r="FIW1618" s="55">
        <f t="shared" si="617"/>
        <v>0</v>
      </c>
      <c r="FIX1618" s="55">
        <f t="shared" si="617"/>
        <v>0</v>
      </c>
      <c r="FIY1618" s="55">
        <f t="shared" si="617"/>
        <v>0</v>
      </c>
      <c r="FIZ1618" s="55">
        <f t="shared" si="617"/>
        <v>0</v>
      </c>
      <c r="FJA1618" s="55">
        <f t="shared" si="617"/>
        <v>0</v>
      </c>
      <c r="FJB1618" s="55">
        <f t="shared" si="617"/>
        <v>0</v>
      </c>
      <c r="FJC1618" s="55">
        <f t="shared" si="617"/>
        <v>0</v>
      </c>
      <c r="FJD1618" s="55">
        <f t="shared" si="617"/>
        <v>0</v>
      </c>
      <c r="FJE1618" s="55">
        <f t="shared" si="617"/>
        <v>0</v>
      </c>
      <c r="FJF1618" s="55">
        <f t="shared" si="617"/>
        <v>0</v>
      </c>
      <c r="FJG1618" s="55">
        <f t="shared" si="617"/>
        <v>0</v>
      </c>
      <c r="FJH1618" s="55">
        <f t="shared" si="617"/>
        <v>0</v>
      </c>
      <c r="FJI1618" s="55">
        <f t="shared" si="617"/>
        <v>0</v>
      </c>
      <c r="FJJ1618" s="55">
        <f t="shared" si="617"/>
        <v>0</v>
      </c>
      <c r="FJK1618" s="55">
        <f t="shared" si="617"/>
        <v>0</v>
      </c>
      <c r="FJL1618" s="55">
        <f t="shared" si="617"/>
        <v>0</v>
      </c>
      <c r="FJM1618" s="55">
        <f t="shared" si="617"/>
        <v>0</v>
      </c>
      <c r="FJN1618" s="55">
        <f t="shared" si="617"/>
        <v>0</v>
      </c>
      <c r="FJO1618" s="55">
        <f t="shared" si="617"/>
        <v>0</v>
      </c>
      <c r="FJP1618" s="55">
        <f t="shared" si="617"/>
        <v>0</v>
      </c>
      <c r="FJQ1618" s="55">
        <f t="shared" si="617"/>
        <v>0</v>
      </c>
      <c r="FJR1618" s="55">
        <f t="shared" si="617"/>
        <v>0</v>
      </c>
      <c r="FJS1618" s="55">
        <f t="shared" si="617"/>
        <v>0</v>
      </c>
      <c r="FJT1618" s="55">
        <f t="shared" si="617"/>
        <v>0</v>
      </c>
      <c r="FJU1618" s="55">
        <f t="shared" si="617"/>
        <v>0</v>
      </c>
      <c r="FJV1618" s="55">
        <f t="shared" si="617"/>
        <v>0</v>
      </c>
      <c r="FJW1618" s="55">
        <f t="shared" si="617"/>
        <v>0</v>
      </c>
      <c r="FJX1618" s="55">
        <f t="shared" si="617"/>
        <v>0</v>
      </c>
      <c r="FJY1618" s="55">
        <f t="shared" si="617"/>
        <v>0</v>
      </c>
      <c r="FJZ1618" s="55">
        <f t="shared" si="617"/>
        <v>0</v>
      </c>
      <c r="FKA1618" s="55">
        <f t="shared" si="617"/>
        <v>0</v>
      </c>
      <c r="FKB1618" s="55">
        <f t="shared" si="617"/>
        <v>0</v>
      </c>
      <c r="FKC1618" s="55">
        <f t="shared" si="617"/>
        <v>0</v>
      </c>
      <c r="FKD1618" s="55">
        <f t="shared" si="617"/>
        <v>0</v>
      </c>
      <c r="FKE1618" s="55">
        <f t="shared" si="617"/>
        <v>0</v>
      </c>
      <c r="FKF1618" s="55">
        <f t="shared" si="617"/>
        <v>0</v>
      </c>
      <c r="FKG1618" s="55">
        <f t="shared" si="617"/>
        <v>0</v>
      </c>
      <c r="FKH1618" s="55">
        <f t="shared" si="617"/>
        <v>0</v>
      </c>
      <c r="FKI1618" s="55">
        <f t="shared" si="617"/>
        <v>0</v>
      </c>
      <c r="FKJ1618" s="55">
        <f t="shared" si="617"/>
        <v>0</v>
      </c>
      <c r="FKK1618" s="55">
        <f t="shared" si="617"/>
        <v>0</v>
      </c>
      <c r="FKL1618" s="55">
        <f t="shared" si="617"/>
        <v>0</v>
      </c>
      <c r="FKM1618" s="55">
        <f t="shared" si="617"/>
        <v>0</v>
      </c>
      <c r="FKN1618" s="55">
        <f t="shared" si="617"/>
        <v>0</v>
      </c>
      <c r="FKO1618" s="55">
        <f t="shared" si="617"/>
        <v>0</v>
      </c>
      <c r="FKP1618" s="55">
        <f t="shared" si="617"/>
        <v>0</v>
      </c>
      <c r="FKQ1618" s="55">
        <f t="shared" si="617"/>
        <v>0</v>
      </c>
      <c r="FKR1618" s="55">
        <f t="shared" si="617"/>
        <v>0</v>
      </c>
      <c r="FKS1618" s="55">
        <f t="shared" si="617"/>
        <v>0</v>
      </c>
      <c r="FKT1618" s="55">
        <f t="shared" si="617"/>
        <v>0</v>
      </c>
      <c r="FKU1618" s="55">
        <f t="shared" si="617"/>
        <v>0</v>
      </c>
      <c r="FKV1618" s="55">
        <f t="shared" ref="FKV1618:FNG1618" si="618">+(FKV1627+FKV1608)*1.18*1.1</f>
        <v>0</v>
      </c>
      <c r="FKW1618" s="55">
        <f t="shared" si="618"/>
        <v>0</v>
      </c>
      <c r="FKX1618" s="55">
        <f t="shared" si="618"/>
        <v>0</v>
      </c>
      <c r="FKY1618" s="55">
        <f t="shared" si="618"/>
        <v>0</v>
      </c>
      <c r="FKZ1618" s="55">
        <f t="shared" si="618"/>
        <v>0</v>
      </c>
      <c r="FLA1618" s="55">
        <f t="shared" si="618"/>
        <v>0</v>
      </c>
      <c r="FLB1618" s="55">
        <f t="shared" si="618"/>
        <v>0</v>
      </c>
      <c r="FLC1618" s="55">
        <f t="shared" si="618"/>
        <v>0</v>
      </c>
      <c r="FLD1618" s="55">
        <f t="shared" si="618"/>
        <v>0</v>
      </c>
      <c r="FLE1618" s="55">
        <f t="shared" si="618"/>
        <v>0</v>
      </c>
      <c r="FLF1618" s="55">
        <f t="shared" si="618"/>
        <v>0</v>
      </c>
      <c r="FLG1618" s="55">
        <f t="shared" si="618"/>
        <v>0</v>
      </c>
      <c r="FLH1618" s="55">
        <f t="shared" si="618"/>
        <v>0</v>
      </c>
      <c r="FLI1618" s="55">
        <f t="shared" si="618"/>
        <v>0</v>
      </c>
      <c r="FLJ1618" s="55">
        <f t="shared" si="618"/>
        <v>0</v>
      </c>
      <c r="FLK1618" s="55">
        <f t="shared" si="618"/>
        <v>0</v>
      </c>
      <c r="FLL1618" s="55">
        <f t="shared" si="618"/>
        <v>0</v>
      </c>
      <c r="FLM1618" s="55">
        <f t="shared" si="618"/>
        <v>0</v>
      </c>
      <c r="FLN1618" s="55">
        <f t="shared" si="618"/>
        <v>0</v>
      </c>
      <c r="FLO1618" s="55">
        <f t="shared" si="618"/>
        <v>0</v>
      </c>
      <c r="FLP1618" s="55">
        <f t="shared" si="618"/>
        <v>0</v>
      </c>
      <c r="FLQ1618" s="55">
        <f t="shared" si="618"/>
        <v>0</v>
      </c>
      <c r="FLR1618" s="55">
        <f t="shared" si="618"/>
        <v>0</v>
      </c>
      <c r="FLS1618" s="55">
        <f t="shared" si="618"/>
        <v>0</v>
      </c>
      <c r="FLT1618" s="55">
        <f t="shared" si="618"/>
        <v>0</v>
      </c>
      <c r="FLU1618" s="55">
        <f t="shared" si="618"/>
        <v>0</v>
      </c>
      <c r="FLV1618" s="55">
        <f t="shared" si="618"/>
        <v>0</v>
      </c>
      <c r="FLW1618" s="55">
        <f t="shared" si="618"/>
        <v>0</v>
      </c>
      <c r="FLX1618" s="55">
        <f t="shared" si="618"/>
        <v>0</v>
      </c>
      <c r="FLY1618" s="55">
        <f t="shared" si="618"/>
        <v>0</v>
      </c>
      <c r="FLZ1618" s="55">
        <f t="shared" si="618"/>
        <v>0</v>
      </c>
      <c r="FMA1618" s="55">
        <f t="shared" si="618"/>
        <v>0</v>
      </c>
      <c r="FMB1618" s="55">
        <f t="shared" si="618"/>
        <v>0</v>
      </c>
      <c r="FMC1618" s="55">
        <f t="shared" si="618"/>
        <v>0</v>
      </c>
      <c r="FMD1618" s="55">
        <f t="shared" si="618"/>
        <v>0</v>
      </c>
      <c r="FME1618" s="55">
        <f t="shared" si="618"/>
        <v>0</v>
      </c>
      <c r="FMF1618" s="55">
        <f t="shared" si="618"/>
        <v>0</v>
      </c>
      <c r="FMG1618" s="55">
        <f t="shared" si="618"/>
        <v>0</v>
      </c>
      <c r="FMH1618" s="55">
        <f t="shared" si="618"/>
        <v>0</v>
      </c>
      <c r="FMI1618" s="55">
        <f t="shared" si="618"/>
        <v>0</v>
      </c>
      <c r="FMJ1618" s="55">
        <f t="shared" si="618"/>
        <v>0</v>
      </c>
      <c r="FMK1618" s="55">
        <f t="shared" si="618"/>
        <v>0</v>
      </c>
      <c r="FML1618" s="55">
        <f t="shared" si="618"/>
        <v>0</v>
      </c>
      <c r="FMM1618" s="55">
        <f t="shared" si="618"/>
        <v>0</v>
      </c>
      <c r="FMN1618" s="55">
        <f t="shared" si="618"/>
        <v>0</v>
      </c>
      <c r="FMO1618" s="55">
        <f t="shared" si="618"/>
        <v>0</v>
      </c>
      <c r="FMP1618" s="55">
        <f t="shared" si="618"/>
        <v>0</v>
      </c>
      <c r="FMQ1618" s="55">
        <f t="shared" si="618"/>
        <v>0</v>
      </c>
      <c r="FMR1618" s="55">
        <f t="shared" si="618"/>
        <v>0</v>
      </c>
      <c r="FMS1618" s="55">
        <f t="shared" si="618"/>
        <v>0</v>
      </c>
      <c r="FMT1618" s="55">
        <f t="shared" si="618"/>
        <v>0</v>
      </c>
      <c r="FMU1618" s="55">
        <f t="shared" si="618"/>
        <v>0</v>
      </c>
      <c r="FMV1618" s="55">
        <f t="shared" si="618"/>
        <v>0</v>
      </c>
      <c r="FMW1618" s="55">
        <f t="shared" si="618"/>
        <v>0</v>
      </c>
      <c r="FMX1618" s="55">
        <f t="shared" si="618"/>
        <v>0</v>
      </c>
      <c r="FMY1618" s="55">
        <f t="shared" si="618"/>
        <v>0</v>
      </c>
      <c r="FMZ1618" s="55">
        <f t="shared" si="618"/>
        <v>0</v>
      </c>
      <c r="FNA1618" s="55">
        <f t="shared" si="618"/>
        <v>0</v>
      </c>
      <c r="FNB1618" s="55">
        <f t="shared" si="618"/>
        <v>0</v>
      </c>
      <c r="FNC1618" s="55">
        <f t="shared" si="618"/>
        <v>0</v>
      </c>
      <c r="FND1618" s="55">
        <f t="shared" si="618"/>
        <v>0</v>
      </c>
      <c r="FNE1618" s="55">
        <f t="shared" si="618"/>
        <v>0</v>
      </c>
      <c r="FNF1618" s="55">
        <f t="shared" si="618"/>
        <v>0</v>
      </c>
      <c r="FNG1618" s="55">
        <f t="shared" si="618"/>
        <v>0</v>
      </c>
      <c r="FNH1618" s="55">
        <f t="shared" ref="FNH1618:FPS1618" si="619">+(FNH1627+FNH1608)*1.18*1.1</f>
        <v>0</v>
      </c>
      <c r="FNI1618" s="55">
        <f t="shared" si="619"/>
        <v>0</v>
      </c>
      <c r="FNJ1618" s="55">
        <f t="shared" si="619"/>
        <v>0</v>
      </c>
      <c r="FNK1618" s="55">
        <f t="shared" si="619"/>
        <v>0</v>
      </c>
      <c r="FNL1618" s="55">
        <f t="shared" si="619"/>
        <v>0</v>
      </c>
      <c r="FNM1618" s="55">
        <f t="shared" si="619"/>
        <v>0</v>
      </c>
      <c r="FNN1618" s="55">
        <f t="shared" si="619"/>
        <v>0</v>
      </c>
      <c r="FNO1618" s="55">
        <f t="shared" si="619"/>
        <v>0</v>
      </c>
      <c r="FNP1618" s="55">
        <f t="shared" si="619"/>
        <v>0</v>
      </c>
      <c r="FNQ1618" s="55">
        <f t="shared" si="619"/>
        <v>0</v>
      </c>
      <c r="FNR1618" s="55">
        <f t="shared" si="619"/>
        <v>0</v>
      </c>
      <c r="FNS1618" s="55">
        <f t="shared" si="619"/>
        <v>0</v>
      </c>
      <c r="FNT1618" s="55">
        <f t="shared" si="619"/>
        <v>0</v>
      </c>
      <c r="FNU1618" s="55">
        <f t="shared" si="619"/>
        <v>0</v>
      </c>
      <c r="FNV1618" s="55">
        <f t="shared" si="619"/>
        <v>0</v>
      </c>
      <c r="FNW1618" s="55">
        <f t="shared" si="619"/>
        <v>0</v>
      </c>
      <c r="FNX1618" s="55">
        <f t="shared" si="619"/>
        <v>0</v>
      </c>
      <c r="FNY1618" s="55">
        <f t="shared" si="619"/>
        <v>0</v>
      </c>
      <c r="FNZ1618" s="55">
        <f t="shared" si="619"/>
        <v>0</v>
      </c>
      <c r="FOA1618" s="55">
        <f t="shared" si="619"/>
        <v>0</v>
      </c>
      <c r="FOB1618" s="55">
        <f t="shared" si="619"/>
        <v>0</v>
      </c>
      <c r="FOC1618" s="55">
        <f t="shared" si="619"/>
        <v>0</v>
      </c>
      <c r="FOD1618" s="55">
        <f t="shared" si="619"/>
        <v>0</v>
      </c>
      <c r="FOE1618" s="55">
        <f t="shared" si="619"/>
        <v>0</v>
      </c>
      <c r="FOF1618" s="55">
        <f t="shared" si="619"/>
        <v>0</v>
      </c>
      <c r="FOG1618" s="55">
        <f t="shared" si="619"/>
        <v>0</v>
      </c>
      <c r="FOH1618" s="55">
        <f t="shared" si="619"/>
        <v>0</v>
      </c>
      <c r="FOI1618" s="55">
        <f t="shared" si="619"/>
        <v>0</v>
      </c>
      <c r="FOJ1618" s="55">
        <f t="shared" si="619"/>
        <v>0</v>
      </c>
      <c r="FOK1618" s="55">
        <f t="shared" si="619"/>
        <v>0</v>
      </c>
      <c r="FOL1618" s="55">
        <f t="shared" si="619"/>
        <v>0</v>
      </c>
      <c r="FOM1618" s="55">
        <f t="shared" si="619"/>
        <v>0</v>
      </c>
      <c r="FON1618" s="55">
        <f t="shared" si="619"/>
        <v>0</v>
      </c>
      <c r="FOO1618" s="55">
        <f t="shared" si="619"/>
        <v>0</v>
      </c>
      <c r="FOP1618" s="55">
        <f t="shared" si="619"/>
        <v>0</v>
      </c>
      <c r="FOQ1618" s="55">
        <f t="shared" si="619"/>
        <v>0</v>
      </c>
      <c r="FOR1618" s="55">
        <f t="shared" si="619"/>
        <v>0</v>
      </c>
      <c r="FOS1618" s="55">
        <f t="shared" si="619"/>
        <v>0</v>
      </c>
      <c r="FOT1618" s="55">
        <f t="shared" si="619"/>
        <v>0</v>
      </c>
      <c r="FOU1618" s="55">
        <f t="shared" si="619"/>
        <v>0</v>
      </c>
      <c r="FOV1618" s="55">
        <f t="shared" si="619"/>
        <v>0</v>
      </c>
      <c r="FOW1618" s="55">
        <f t="shared" si="619"/>
        <v>0</v>
      </c>
      <c r="FOX1618" s="55">
        <f t="shared" si="619"/>
        <v>0</v>
      </c>
      <c r="FOY1618" s="55">
        <f t="shared" si="619"/>
        <v>0</v>
      </c>
      <c r="FOZ1618" s="55">
        <f t="shared" si="619"/>
        <v>0</v>
      </c>
      <c r="FPA1618" s="55">
        <f t="shared" si="619"/>
        <v>0</v>
      </c>
      <c r="FPB1618" s="55">
        <f t="shared" si="619"/>
        <v>0</v>
      </c>
      <c r="FPC1618" s="55">
        <f t="shared" si="619"/>
        <v>0</v>
      </c>
      <c r="FPD1618" s="55">
        <f t="shared" si="619"/>
        <v>0</v>
      </c>
      <c r="FPE1618" s="55">
        <f t="shared" si="619"/>
        <v>0</v>
      </c>
      <c r="FPF1618" s="55">
        <f t="shared" si="619"/>
        <v>0</v>
      </c>
      <c r="FPG1618" s="55">
        <f t="shared" si="619"/>
        <v>0</v>
      </c>
      <c r="FPH1618" s="55">
        <f t="shared" si="619"/>
        <v>0</v>
      </c>
      <c r="FPI1618" s="55">
        <f t="shared" si="619"/>
        <v>0</v>
      </c>
      <c r="FPJ1618" s="55">
        <f t="shared" si="619"/>
        <v>0</v>
      </c>
      <c r="FPK1618" s="55">
        <f t="shared" si="619"/>
        <v>0</v>
      </c>
      <c r="FPL1618" s="55">
        <f t="shared" si="619"/>
        <v>0</v>
      </c>
      <c r="FPM1618" s="55">
        <f t="shared" si="619"/>
        <v>0</v>
      </c>
      <c r="FPN1618" s="55">
        <f t="shared" si="619"/>
        <v>0</v>
      </c>
      <c r="FPO1618" s="55">
        <f t="shared" si="619"/>
        <v>0</v>
      </c>
      <c r="FPP1618" s="55">
        <f t="shared" si="619"/>
        <v>0</v>
      </c>
      <c r="FPQ1618" s="55">
        <f t="shared" si="619"/>
        <v>0</v>
      </c>
      <c r="FPR1618" s="55">
        <f t="shared" si="619"/>
        <v>0</v>
      </c>
      <c r="FPS1618" s="55">
        <f t="shared" si="619"/>
        <v>0</v>
      </c>
      <c r="FPT1618" s="55">
        <f t="shared" ref="FPT1618:FSE1618" si="620">+(FPT1627+FPT1608)*1.18*1.1</f>
        <v>0</v>
      </c>
      <c r="FPU1618" s="55">
        <f t="shared" si="620"/>
        <v>0</v>
      </c>
      <c r="FPV1618" s="55">
        <f t="shared" si="620"/>
        <v>0</v>
      </c>
      <c r="FPW1618" s="55">
        <f t="shared" si="620"/>
        <v>0</v>
      </c>
      <c r="FPX1618" s="55">
        <f t="shared" si="620"/>
        <v>0</v>
      </c>
      <c r="FPY1618" s="55">
        <f t="shared" si="620"/>
        <v>0</v>
      </c>
      <c r="FPZ1618" s="55">
        <f t="shared" si="620"/>
        <v>0</v>
      </c>
      <c r="FQA1618" s="55">
        <f t="shared" si="620"/>
        <v>0</v>
      </c>
      <c r="FQB1618" s="55">
        <f t="shared" si="620"/>
        <v>0</v>
      </c>
      <c r="FQC1618" s="55">
        <f t="shared" si="620"/>
        <v>0</v>
      </c>
      <c r="FQD1618" s="55">
        <f t="shared" si="620"/>
        <v>0</v>
      </c>
      <c r="FQE1618" s="55">
        <f t="shared" si="620"/>
        <v>0</v>
      </c>
      <c r="FQF1618" s="55">
        <f t="shared" si="620"/>
        <v>0</v>
      </c>
      <c r="FQG1618" s="55">
        <f t="shared" si="620"/>
        <v>0</v>
      </c>
      <c r="FQH1618" s="55">
        <f t="shared" si="620"/>
        <v>0</v>
      </c>
      <c r="FQI1618" s="55">
        <f t="shared" si="620"/>
        <v>0</v>
      </c>
      <c r="FQJ1618" s="55">
        <f t="shared" si="620"/>
        <v>0</v>
      </c>
      <c r="FQK1618" s="55">
        <f t="shared" si="620"/>
        <v>0</v>
      </c>
      <c r="FQL1618" s="55">
        <f t="shared" si="620"/>
        <v>0</v>
      </c>
      <c r="FQM1618" s="55">
        <f t="shared" si="620"/>
        <v>0</v>
      </c>
      <c r="FQN1618" s="55">
        <f t="shared" si="620"/>
        <v>0</v>
      </c>
      <c r="FQO1618" s="55">
        <f t="shared" si="620"/>
        <v>0</v>
      </c>
      <c r="FQP1618" s="55">
        <f t="shared" si="620"/>
        <v>0</v>
      </c>
      <c r="FQQ1618" s="55">
        <f t="shared" si="620"/>
        <v>0</v>
      </c>
      <c r="FQR1618" s="55">
        <f t="shared" si="620"/>
        <v>0</v>
      </c>
      <c r="FQS1618" s="55">
        <f t="shared" si="620"/>
        <v>0</v>
      </c>
      <c r="FQT1618" s="55">
        <f t="shared" si="620"/>
        <v>0</v>
      </c>
      <c r="FQU1618" s="55">
        <f t="shared" si="620"/>
        <v>0</v>
      </c>
      <c r="FQV1618" s="55">
        <f t="shared" si="620"/>
        <v>0</v>
      </c>
      <c r="FQW1618" s="55">
        <f t="shared" si="620"/>
        <v>0</v>
      </c>
      <c r="FQX1618" s="55">
        <f t="shared" si="620"/>
        <v>0</v>
      </c>
      <c r="FQY1618" s="55">
        <f t="shared" si="620"/>
        <v>0</v>
      </c>
      <c r="FQZ1618" s="55">
        <f t="shared" si="620"/>
        <v>0</v>
      </c>
      <c r="FRA1618" s="55">
        <f t="shared" si="620"/>
        <v>0</v>
      </c>
      <c r="FRB1618" s="55">
        <f t="shared" si="620"/>
        <v>0</v>
      </c>
      <c r="FRC1618" s="55">
        <f t="shared" si="620"/>
        <v>0</v>
      </c>
      <c r="FRD1618" s="55">
        <f t="shared" si="620"/>
        <v>0</v>
      </c>
      <c r="FRE1618" s="55">
        <f t="shared" si="620"/>
        <v>0</v>
      </c>
      <c r="FRF1618" s="55">
        <f t="shared" si="620"/>
        <v>0</v>
      </c>
      <c r="FRG1618" s="55">
        <f t="shared" si="620"/>
        <v>0</v>
      </c>
      <c r="FRH1618" s="55">
        <f t="shared" si="620"/>
        <v>0</v>
      </c>
      <c r="FRI1618" s="55">
        <f t="shared" si="620"/>
        <v>0</v>
      </c>
      <c r="FRJ1618" s="55">
        <f t="shared" si="620"/>
        <v>0</v>
      </c>
      <c r="FRK1618" s="55">
        <f t="shared" si="620"/>
        <v>0</v>
      </c>
      <c r="FRL1618" s="55">
        <f t="shared" si="620"/>
        <v>0</v>
      </c>
      <c r="FRM1618" s="55">
        <f t="shared" si="620"/>
        <v>0</v>
      </c>
      <c r="FRN1618" s="55">
        <f t="shared" si="620"/>
        <v>0</v>
      </c>
      <c r="FRO1618" s="55">
        <f t="shared" si="620"/>
        <v>0</v>
      </c>
      <c r="FRP1618" s="55">
        <f t="shared" si="620"/>
        <v>0</v>
      </c>
      <c r="FRQ1618" s="55">
        <f t="shared" si="620"/>
        <v>0</v>
      </c>
      <c r="FRR1618" s="55">
        <f t="shared" si="620"/>
        <v>0</v>
      </c>
      <c r="FRS1618" s="55">
        <f t="shared" si="620"/>
        <v>0</v>
      </c>
      <c r="FRT1618" s="55">
        <f t="shared" si="620"/>
        <v>0</v>
      </c>
      <c r="FRU1618" s="55">
        <f t="shared" si="620"/>
        <v>0</v>
      </c>
      <c r="FRV1618" s="55">
        <f t="shared" si="620"/>
        <v>0</v>
      </c>
      <c r="FRW1618" s="55">
        <f t="shared" si="620"/>
        <v>0</v>
      </c>
      <c r="FRX1618" s="55">
        <f t="shared" si="620"/>
        <v>0</v>
      </c>
      <c r="FRY1618" s="55">
        <f t="shared" si="620"/>
        <v>0</v>
      </c>
      <c r="FRZ1618" s="55">
        <f t="shared" si="620"/>
        <v>0</v>
      </c>
      <c r="FSA1618" s="55">
        <f t="shared" si="620"/>
        <v>0</v>
      </c>
      <c r="FSB1618" s="55">
        <f t="shared" si="620"/>
        <v>0</v>
      </c>
      <c r="FSC1618" s="55">
        <f t="shared" si="620"/>
        <v>0</v>
      </c>
      <c r="FSD1618" s="55">
        <f t="shared" si="620"/>
        <v>0</v>
      </c>
      <c r="FSE1618" s="55">
        <f t="shared" si="620"/>
        <v>0</v>
      </c>
      <c r="FSF1618" s="55">
        <f t="shared" ref="FSF1618:FUQ1618" si="621">+(FSF1627+FSF1608)*1.18*1.1</f>
        <v>0</v>
      </c>
      <c r="FSG1618" s="55">
        <f t="shared" si="621"/>
        <v>0</v>
      </c>
      <c r="FSH1618" s="55">
        <f t="shared" si="621"/>
        <v>0</v>
      </c>
      <c r="FSI1618" s="55">
        <f t="shared" si="621"/>
        <v>0</v>
      </c>
      <c r="FSJ1618" s="55">
        <f t="shared" si="621"/>
        <v>0</v>
      </c>
      <c r="FSK1618" s="55">
        <f t="shared" si="621"/>
        <v>0</v>
      </c>
      <c r="FSL1618" s="55">
        <f t="shared" si="621"/>
        <v>0</v>
      </c>
      <c r="FSM1618" s="55">
        <f t="shared" si="621"/>
        <v>0</v>
      </c>
      <c r="FSN1618" s="55">
        <f t="shared" si="621"/>
        <v>0</v>
      </c>
      <c r="FSO1618" s="55">
        <f t="shared" si="621"/>
        <v>0</v>
      </c>
      <c r="FSP1618" s="55">
        <f t="shared" si="621"/>
        <v>0</v>
      </c>
      <c r="FSQ1618" s="55">
        <f t="shared" si="621"/>
        <v>0</v>
      </c>
      <c r="FSR1618" s="55">
        <f t="shared" si="621"/>
        <v>0</v>
      </c>
      <c r="FSS1618" s="55">
        <f t="shared" si="621"/>
        <v>0</v>
      </c>
      <c r="FST1618" s="55">
        <f t="shared" si="621"/>
        <v>0</v>
      </c>
      <c r="FSU1618" s="55">
        <f t="shared" si="621"/>
        <v>0</v>
      </c>
      <c r="FSV1618" s="55">
        <f t="shared" si="621"/>
        <v>0</v>
      </c>
      <c r="FSW1618" s="55">
        <f t="shared" si="621"/>
        <v>0</v>
      </c>
      <c r="FSX1618" s="55">
        <f t="shared" si="621"/>
        <v>0</v>
      </c>
      <c r="FSY1618" s="55">
        <f t="shared" si="621"/>
        <v>0</v>
      </c>
      <c r="FSZ1618" s="55">
        <f t="shared" si="621"/>
        <v>0</v>
      </c>
      <c r="FTA1618" s="55">
        <f t="shared" si="621"/>
        <v>0</v>
      </c>
      <c r="FTB1618" s="55">
        <f t="shared" si="621"/>
        <v>0</v>
      </c>
      <c r="FTC1618" s="55">
        <f t="shared" si="621"/>
        <v>0</v>
      </c>
      <c r="FTD1618" s="55">
        <f t="shared" si="621"/>
        <v>0</v>
      </c>
      <c r="FTE1618" s="55">
        <f t="shared" si="621"/>
        <v>0</v>
      </c>
      <c r="FTF1618" s="55">
        <f t="shared" si="621"/>
        <v>0</v>
      </c>
      <c r="FTG1618" s="55">
        <f t="shared" si="621"/>
        <v>0</v>
      </c>
      <c r="FTH1618" s="55">
        <f t="shared" si="621"/>
        <v>0</v>
      </c>
      <c r="FTI1618" s="55">
        <f t="shared" si="621"/>
        <v>0</v>
      </c>
      <c r="FTJ1618" s="55">
        <f t="shared" si="621"/>
        <v>0</v>
      </c>
      <c r="FTK1618" s="55">
        <f t="shared" si="621"/>
        <v>0</v>
      </c>
      <c r="FTL1618" s="55">
        <f t="shared" si="621"/>
        <v>0</v>
      </c>
      <c r="FTM1618" s="55">
        <f t="shared" si="621"/>
        <v>0</v>
      </c>
      <c r="FTN1618" s="55">
        <f t="shared" si="621"/>
        <v>0</v>
      </c>
      <c r="FTO1618" s="55">
        <f t="shared" si="621"/>
        <v>0</v>
      </c>
      <c r="FTP1618" s="55">
        <f t="shared" si="621"/>
        <v>0</v>
      </c>
      <c r="FTQ1618" s="55">
        <f t="shared" si="621"/>
        <v>0</v>
      </c>
      <c r="FTR1618" s="55">
        <f t="shared" si="621"/>
        <v>0</v>
      </c>
      <c r="FTS1618" s="55">
        <f t="shared" si="621"/>
        <v>0</v>
      </c>
      <c r="FTT1618" s="55">
        <f t="shared" si="621"/>
        <v>0</v>
      </c>
      <c r="FTU1618" s="55">
        <f t="shared" si="621"/>
        <v>0</v>
      </c>
      <c r="FTV1618" s="55">
        <f t="shared" si="621"/>
        <v>0</v>
      </c>
      <c r="FTW1618" s="55">
        <f t="shared" si="621"/>
        <v>0</v>
      </c>
      <c r="FTX1618" s="55">
        <f t="shared" si="621"/>
        <v>0</v>
      </c>
      <c r="FTY1618" s="55">
        <f t="shared" si="621"/>
        <v>0</v>
      </c>
      <c r="FTZ1618" s="55">
        <f t="shared" si="621"/>
        <v>0</v>
      </c>
      <c r="FUA1618" s="55">
        <f t="shared" si="621"/>
        <v>0</v>
      </c>
      <c r="FUB1618" s="55">
        <f t="shared" si="621"/>
        <v>0</v>
      </c>
      <c r="FUC1618" s="55">
        <f t="shared" si="621"/>
        <v>0</v>
      </c>
      <c r="FUD1618" s="55">
        <f t="shared" si="621"/>
        <v>0</v>
      </c>
      <c r="FUE1618" s="55">
        <f t="shared" si="621"/>
        <v>0</v>
      </c>
      <c r="FUF1618" s="55">
        <f t="shared" si="621"/>
        <v>0</v>
      </c>
      <c r="FUG1618" s="55">
        <f t="shared" si="621"/>
        <v>0</v>
      </c>
      <c r="FUH1618" s="55">
        <f t="shared" si="621"/>
        <v>0</v>
      </c>
      <c r="FUI1618" s="55">
        <f t="shared" si="621"/>
        <v>0</v>
      </c>
      <c r="FUJ1618" s="55">
        <f t="shared" si="621"/>
        <v>0</v>
      </c>
      <c r="FUK1618" s="55">
        <f t="shared" si="621"/>
        <v>0</v>
      </c>
      <c r="FUL1618" s="55">
        <f t="shared" si="621"/>
        <v>0</v>
      </c>
      <c r="FUM1618" s="55">
        <f t="shared" si="621"/>
        <v>0</v>
      </c>
      <c r="FUN1618" s="55">
        <f t="shared" si="621"/>
        <v>0</v>
      </c>
      <c r="FUO1618" s="55">
        <f t="shared" si="621"/>
        <v>0</v>
      </c>
      <c r="FUP1618" s="55">
        <f t="shared" si="621"/>
        <v>0</v>
      </c>
      <c r="FUQ1618" s="55">
        <f t="shared" si="621"/>
        <v>0</v>
      </c>
      <c r="FUR1618" s="55">
        <f t="shared" ref="FUR1618:FXC1618" si="622">+(FUR1627+FUR1608)*1.18*1.1</f>
        <v>0</v>
      </c>
      <c r="FUS1618" s="55">
        <f t="shared" si="622"/>
        <v>0</v>
      </c>
      <c r="FUT1618" s="55">
        <f t="shared" si="622"/>
        <v>0</v>
      </c>
      <c r="FUU1618" s="55">
        <f t="shared" si="622"/>
        <v>0</v>
      </c>
      <c r="FUV1618" s="55">
        <f t="shared" si="622"/>
        <v>0</v>
      </c>
      <c r="FUW1618" s="55">
        <f t="shared" si="622"/>
        <v>0</v>
      </c>
      <c r="FUX1618" s="55">
        <f t="shared" si="622"/>
        <v>0</v>
      </c>
      <c r="FUY1618" s="55">
        <f t="shared" si="622"/>
        <v>0</v>
      </c>
      <c r="FUZ1618" s="55">
        <f t="shared" si="622"/>
        <v>0</v>
      </c>
      <c r="FVA1618" s="55">
        <f t="shared" si="622"/>
        <v>0</v>
      </c>
      <c r="FVB1618" s="55">
        <f t="shared" si="622"/>
        <v>0</v>
      </c>
      <c r="FVC1618" s="55">
        <f t="shared" si="622"/>
        <v>0</v>
      </c>
      <c r="FVD1618" s="55">
        <f t="shared" si="622"/>
        <v>0</v>
      </c>
      <c r="FVE1618" s="55">
        <f t="shared" si="622"/>
        <v>0</v>
      </c>
      <c r="FVF1618" s="55">
        <f t="shared" si="622"/>
        <v>0</v>
      </c>
      <c r="FVG1618" s="55">
        <f t="shared" si="622"/>
        <v>0</v>
      </c>
      <c r="FVH1618" s="55">
        <f t="shared" si="622"/>
        <v>0</v>
      </c>
      <c r="FVI1618" s="55">
        <f t="shared" si="622"/>
        <v>0</v>
      </c>
      <c r="FVJ1618" s="55">
        <f t="shared" si="622"/>
        <v>0</v>
      </c>
      <c r="FVK1618" s="55">
        <f t="shared" si="622"/>
        <v>0</v>
      </c>
      <c r="FVL1618" s="55">
        <f t="shared" si="622"/>
        <v>0</v>
      </c>
      <c r="FVM1618" s="55">
        <f t="shared" si="622"/>
        <v>0</v>
      </c>
      <c r="FVN1618" s="55">
        <f t="shared" si="622"/>
        <v>0</v>
      </c>
      <c r="FVO1618" s="55">
        <f t="shared" si="622"/>
        <v>0</v>
      </c>
      <c r="FVP1618" s="55">
        <f t="shared" si="622"/>
        <v>0</v>
      </c>
      <c r="FVQ1618" s="55">
        <f t="shared" si="622"/>
        <v>0</v>
      </c>
      <c r="FVR1618" s="55">
        <f t="shared" si="622"/>
        <v>0</v>
      </c>
      <c r="FVS1618" s="55">
        <f t="shared" si="622"/>
        <v>0</v>
      </c>
      <c r="FVT1618" s="55">
        <f t="shared" si="622"/>
        <v>0</v>
      </c>
      <c r="FVU1618" s="55">
        <f t="shared" si="622"/>
        <v>0</v>
      </c>
      <c r="FVV1618" s="55">
        <f t="shared" si="622"/>
        <v>0</v>
      </c>
      <c r="FVW1618" s="55">
        <f t="shared" si="622"/>
        <v>0</v>
      </c>
      <c r="FVX1618" s="55">
        <f t="shared" si="622"/>
        <v>0</v>
      </c>
      <c r="FVY1618" s="55">
        <f t="shared" si="622"/>
        <v>0</v>
      </c>
      <c r="FVZ1618" s="55">
        <f t="shared" si="622"/>
        <v>0</v>
      </c>
      <c r="FWA1618" s="55">
        <f t="shared" si="622"/>
        <v>0</v>
      </c>
      <c r="FWB1618" s="55">
        <f t="shared" si="622"/>
        <v>0</v>
      </c>
      <c r="FWC1618" s="55">
        <f t="shared" si="622"/>
        <v>0</v>
      </c>
      <c r="FWD1618" s="55">
        <f t="shared" si="622"/>
        <v>0</v>
      </c>
      <c r="FWE1618" s="55">
        <f t="shared" si="622"/>
        <v>0</v>
      </c>
      <c r="FWF1618" s="55">
        <f t="shared" si="622"/>
        <v>0</v>
      </c>
      <c r="FWG1618" s="55">
        <f t="shared" si="622"/>
        <v>0</v>
      </c>
      <c r="FWH1618" s="55">
        <f t="shared" si="622"/>
        <v>0</v>
      </c>
      <c r="FWI1618" s="55">
        <f t="shared" si="622"/>
        <v>0</v>
      </c>
      <c r="FWJ1618" s="55">
        <f t="shared" si="622"/>
        <v>0</v>
      </c>
      <c r="FWK1618" s="55">
        <f t="shared" si="622"/>
        <v>0</v>
      </c>
      <c r="FWL1618" s="55">
        <f t="shared" si="622"/>
        <v>0</v>
      </c>
      <c r="FWM1618" s="55">
        <f t="shared" si="622"/>
        <v>0</v>
      </c>
      <c r="FWN1618" s="55">
        <f t="shared" si="622"/>
        <v>0</v>
      </c>
      <c r="FWO1618" s="55">
        <f t="shared" si="622"/>
        <v>0</v>
      </c>
      <c r="FWP1618" s="55">
        <f t="shared" si="622"/>
        <v>0</v>
      </c>
      <c r="FWQ1618" s="55">
        <f t="shared" si="622"/>
        <v>0</v>
      </c>
      <c r="FWR1618" s="55">
        <f t="shared" si="622"/>
        <v>0</v>
      </c>
      <c r="FWS1618" s="55">
        <f t="shared" si="622"/>
        <v>0</v>
      </c>
      <c r="FWT1618" s="55">
        <f t="shared" si="622"/>
        <v>0</v>
      </c>
      <c r="FWU1618" s="55">
        <f t="shared" si="622"/>
        <v>0</v>
      </c>
      <c r="FWV1618" s="55">
        <f t="shared" si="622"/>
        <v>0</v>
      </c>
      <c r="FWW1618" s="55">
        <f t="shared" si="622"/>
        <v>0</v>
      </c>
      <c r="FWX1618" s="55">
        <f t="shared" si="622"/>
        <v>0</v>
      </c>
      <c r="FWY1618" s="55">
        <f t="shared" si="622"/>
        <v>0</v>
      </c>
      <c r="FWZ1618" s="55">
        <f t="shared" si="622"/>
        <v>0</v>
      </c>
      <c r="FXA1618" s="55">
        <f t="shared" si="622"/>
        <v>0</v>
      </c>
      <c r="FXB1618" s="55">
        <f t="shared" si="622"/>
        <v>0</v>
      </c>
      <c r="FXC1618" s="55">
        <f t="shared" si="622"/>
        <v>0</v>
      </c>
      <c r="FXD1618" s="55">
        <f t="shared" ref="FXD1618:FZO1618" si="623">+(FXD1627+FXD1608)*1.18*1.1</f>
        <v>0</v>
      </c>
      <c r="FXE1618" s="55">
        <f t="shared" si="623"/>
        <v>0</v>
      </c>
      <c r="FXF1618" s="55">
        <f t="shared" si="623"/>
        <v>0</v>
      </c>
      <c r="FXG1618" s="55">
        <f t="shared" si="623"/>
        <v>0</v>
      </c>
      <c r="FXH1618" s="55">
        <f t="shared" si="623"/>
        <v>0</v>
      </c>
      <c r="FXI1618" s="55">
        <f t="shared" si="623"/>
        <v>0</v>
      </c>
      <c r="FXJ1618" s="55">
        <f t="shared" si="623"/>
        <v>0</v>
      </c>
      <c r="FXK1618" s="55">
        <f t="shared" si="623"/>
        <v>0</v>
      </c>
      <c r="FXL1618" s="55">
        <f t="shared" si="623"/>
        <v>0</v>
      </c>
      <c r="FXM1618" s="55">
        <f t="shared" si="623"/>
        <v>0</v>
      </c>
      <c r="FXN1618" s="55">
        <f t="shared" si="623"/>
        <v>0</v>
      </c>
      <c r="FXO1618" s="55">
        <f t="shared" si="623"/>
        <v>0</v>
      </c>
      <c r="FXP1618" s="55">
        <f t="shared" si="623"/>
        <v>0</v>
      </c>
      <c r="FXQ1618" s="55">
        <f t="shared" si="623"/>
        <v>0</v>
      </c>
      <c r="FXR1618" s="55">
        <f t="shared" si="623"/>
        <v>0</v>
      </c>
      <c r="FXS1618" s="55">
        <f t="shared" si="623"/>
        <v>0</v>
      </c>
      <c r="FXT1618" s="55">
        <f t="shared" si="623"/>
        <v>0</v>
      </c>
      <c r="FXU1618" s="55">
        <f t="shared" si="623"/>
        <v>0</v>
      </c>
      <c r="FXV1618" s="55">
        <f t="shared" si="623"/>
        <v>0</v>
      </c>
      <c r="FXW1618" s="55">
        <f t="shared" si="623"/>
        <v>0</v>
      </c>
      <c r="FXX1618" s="55">
        <f t="shared" si="623"/>
        <v>0</v>
      </c>
      <c r="FXY1618" s="55">
        <f t="shared" si="623"/>
        <v>0</v>
      </c>
      <c r="FXZ1618" s="55">
        <f t="shared" si="623"/>
        <v>0</v>
      </c>
      <c r="FYA1618" s="55">
        <f t="shared" si="623"/>
        <v>0</v>
      </c>
      <c r="FYB1618" s="55">
        <f t="shared" si="623"/>
        <v>0</v>
      </c>
      <c r="FYC1618" s="55">
        <f t="shared" si="623"/>
        <v>0</v>
      </c>
      <c r="FYD1618" s="55">
        <f t="shared" si="623"/>
        <v>0</v>
      </c>
      <c r="FYE1618" s="55">
        <f t="shared" si="623"/>
        <v>0</v>
      </c>
      <c r="FYF1618" s="55">
        <f t="shared" si="623"/>
        <v>0</v>
      </c>
      <c r="FYG1618" s="55">
        <f t="shared" si="623"/>
        <v>0</v>
      </c>
      <c r="FYH1618" s="55">
        <f t="shared" si="623"/>
        <v>0</v>
      </c>
      <c r="FYI1618" s="55">
        <f t="shared" si="623"/>
        <v>0</v>
      </c>
      <c r="FYJ1618" s="55">
        <f t="shared" si="623"/>
        <v>0</v>
      </c>
      <c r="FYK1618" s="55">
        <f t="shared" si="623"/>
        <v>0</v>
      </c>
      <c r="FYL1618" s="55">
        <f t="shared" si="623"/>
        <v>0</v>
      </c>
      <c r="FYM1618" s="55">
        <f t="shared" si="623"/>
        <v>0</v>
      </c>
      <c r="FYN1618" s="55">
        <f t="shared" si="623"/>
        <v>0</v>
      </c>
      <c r="FYO1618" s="55">
        <f t="shared" si="623"/>
        <v>0</v>
      </c>
      <c r="FYP1618" s="55">
        <f t="shared" si="623"/>
        <v>0</v>
      </c>
      <c r="FYQ1618" s="55">
        <f t="shared" si="623"/>
        <v>0</v>
      </c>
      <c r="FYR1618" s="55">
        <f t="shared" si="623"/>
        <v>0</v>
      </c>
      <c r="FYS1618" s="55">
        <f t="shared" si="623"/>
        <v>0</v>
      </c>
      <c r="FYT1618" s="55">
        <f t="shared" si="623"/>
        <v>0</v>
      </c>
      <c r="FYU1618" s="55">
        <f t="shared" si="623"/>
        <v>0</v>
      </c>
      <c r="FYV1618" s="55">
        <f t="shared" si="623"/>
        <v>0</v>
      </c>
      <c r="FYW1618" s="55">
        <f t="shared" si="623"/>
        <v>0</v>
      </c>
      <c r="FYX1618" s="55">
        <f t="shared" si="623"/>
        <v>0</v>
      </c>
      <c r="FYY1618" s="55">
        <f t="shared" si="623"/>
        <v>0</v>
      </c>
      <c r="FYZ1618" s="55">
        <f t="shared" si="623"/>
        <v>0</v>
      </c>
      <c r="FZA1618" s="55">
        <f t="shared" si="623"/>
        <v>0</v>
      </c>
      <c r="FZB1618" s="55">
        <f t="shared" si="623"/>
        <v>0</v>
      </c>
      <c r="FZC1618" s="55">
        <f t="shared" si="623"/>
        <v>0</v>
      </c>
      <c r="FZD1618" s="55">
        <f t="shared" si="623"/>
        <v>0</v>
      </c>
      <c r="FZE1618" s="55">
        <f t="shared" si="623"/>
        <v>0</v>
      </c>
      <c r="FZF1618" s="55">
        <f t="shared" si="623"/>
        <v>0</v>
      </c>
      <c r="FZG1618" s="55">
        <f t="shared" si="623"/>
        <v>0</v>
      </c>
      <c r="FZH1618" s="55">
        <f t="shared" si="623"/>
        <v>0</v>
      </c>
      <c r="FZI1618" s="55">
        <f t="shared" si="623"/>
        <v>0</v>
      </c>
      <c r="FZJ1618" s="55">
        <f t="shared" si="623"/>
        <v>0</v>
      </c>
      <c r="FZK1618" s="55">
        <f t="shared" si="623"/>
        <v>0</v>
      </c>
      <c r="FZL1618" s="55">
        <f t="shared" si="623"/>
        <v>0</v>
      </c>
      <c r="FZM1618" s="55">
        <f t="shared" si="623"/>
        <v>0</v>
      </c>
      <c r="FZN1618" s="55">
        <f t="shared" si="623"/>
        <v>0</v>
      </c>
      <c r="FZO1618" s="55">
        <f t="shared" si="623"/>
        <v>0</v>
      </c>
      <c r="FZP1618" s="55">
        <f t="shared" ref="FZP1618:GCA1618" si="624">+(FZP1627+FZP1608)*1.18*1.1</f>
        <v>0</v>
      </c>
      <c r="FZQ1618" s="55">
        <f t="shared" si="624"/>
        <v>0</v>
      </c>
      <c r="FZR1618" s="55">
        <f t="shared" si="624"/>
        <v>0</v>
      </c>
      <c r="FZS1618" s="55">
        <f t="shared" si="624"/>
        <v>0</v>
      </c>
      <c r="FZT1618" s="55">
        <f t="shared" si="624"/>
        <v>0</v>
      </c>
      <c r="FZU1618" s="55">
        <f t="shared" si="624"/>
        <v>0</v>
      </c>
      <c r="FZV1618" s="55">
        <f t="shared" si="624"/>
        <v>0</v>
      </c>
      <c r="FZW1618" s="55">
        <f t="shared" si="624"/>
        <v>0</v>
      </c>
      <c r="FZX1618" s="55">
        <f t="shared" si="624"/>
        <v>0</v>
      </c>
      <c r="FZY1618" s="55">
        <f t="shared" si="624"/>
        <v>0</v>
      </c>
      <c r="FZZ1618" s="55">
        <f t="shared" si="624"/>
        <v>0</v>
      </c>
      <c r="GAA1618" s="55">
        <f t="shared" si="624"/>
        <v>0</v>
      </c>
      <c r="GAB1618" s="55">
        <f t="shared" si="624"/>
        <v>0</v>
      </c>
      <c r="GAC1618" s="55">
        <f t="shared" si="624"/>
        <v>0</v>
      </c>
      <c r="GAD1618" s="55">
        <f t="shared" si="624"/>
        <v>0</v>
      </c>
      <c r="GAE1618" s="55">
        <f t="shared" si="624"/>
        <v>0</v>
      </c>
      <c r="GAF1618" s="55">
        <f t="shared" si="624"/>
        <v>0</v>
      </c>
      <c r="GAG1618" s="55">
        <f t="shared" si="624"/>
        <v>0</v>
      </c>
      <c r="GAH1618" s="55">
        <f t="shared" si="624"/>
        <v>0</v>
      </c>
      <c r="GAI1618" s="55">
        <f t="shared" si="624"/>
        <v>0</v>
      </c>
      <c r="GAJ1618" s="55">
        <f t="shared" si="624"/>
        <v>0</v>
      </c>
      <c r="GAK1618" s="55">
        <f t="shared" si="624"/>
        <v>0</v>
      </c>
      <c r="GAL1618" s="55">
        <f t="shared" si="624"/>
        <v>0</v>
      </c>
      <c r="GAM1618" s="55">
        <f t="shared" si="624"/>
        <v>0</v>
      </c>
      <c r="GAN1618" s="55">
        <f t="shared" si="624"/>
        <v>0</v>
      </c>
      <c r="GAO1618" s="55">
        <f t="shared" si="624"/>
        <v>0</v>
      </c>
      <c r="GAP1618" s="55">
        <f t="shared" si="624"/>
        <v>0</v>
      </c>
      <c r="GAQ1618" s="55">
        <f t="shared" si="624"/>
        <v>0</v>
      </c>
      <c r="GAR1618" s="55">
        <f t="shared" si="624"/>
        <v>0</v>
      </c>
      <c r="GAS1618" s="55">
        <f t="shared" si="624"/>
        <v>0</v>
      </c>
      <c r="GAT1618" s="55">
        <f t="shared" si="624"/>
        <v>0</v>
      </c>
      <c r="GAU1618" s="55">
        <f t="shared" si="624"/>
        <v>0</v>
      </c>
      <c r="GAV1618" s="55">
        <f t="shared" si="624"/>
        <v>0</v>
      </c>
      <c r="GAW1618" s="55">
        <f t="shared" si="624"/>
        <v>0</v>
      </c>
      <c r="GAX1618" s="55">
        <f t="shared" si="624"/>
        <v>0</v>
      </c>
      <c r="GAY1618" s="55">
        <f t="shared" si="624"/>
        <v>0</v>
      </c>
      <c r="GAZ1618" s="55">
        <f t="shared" si="624"/>
        <v>0</v>
      </c>
      <c r="GBA1618" s="55">
        <f t="shared" si="624"/>
        <v>0</v>
      </c>
      <c r="GBB1618" s="55">
        <f t="shared" si="624"/>
        <v>0</v>
      </c>
      <c r="GBC1618" s="55">
        <f t="shared" si="624"/>
        <v>0</v>
      </c>
      <c r="GBD1618" s="55">
        <f t="shared" si="624"/>
        <v>0</v>
      </c>
      <c r="GBE1618" s="55">
        <f t="shared" si="624"/>
        <v>0</v>
      </c>
      <c r="GBF1618" s="55">
        <f t="shared" si="624"/>
        <v>0</v>
      </c>
      <c r="GBG1618" s="55">
        <f t="shared" si="624"/>
        <v>0</v>
      </c>
      <c r="GBH1618" s="55">
        <f t="shared" si="624"/>
        <v>0</v>
      </c>
      <c r="GBI1618" s="55">
        <f t="shared" si="624"/>
        <v>0</v>
      </c>
      <c r="GBJ1618" s="55">
        <f t="shared" si="624"/>
        <v>0</v>
      </c>
      <c r="GBK1618" s="55">
        <f t="shared" si="624"/>
        <v>0</v>
      </c>
      <c r="GBL1618" s="55">
        <f t="shared" si="624"/>
        <v>0</v>
      </c>
      <c r="GBM1618" s="55">
        <f t="shared" si="624"/>
        <v>0</v>
      </c>
      <c r="GBN1618" s="55">
        <f t="shared" si="624"/>
        <v>0</v>
      </c>
      <c r="GBO1618" s="55">
        <f t="shared" si="624"/>
        <v>0</v>
      </c>
      <c r="GBP1618" s="55">
        <f t="shared" si="624"/>
        <v>0</v>
      </c>
      <c r="GBQ1618" s="55">
        <f t="shared" si="624"/>
        <v>0</v>
      </c>
      <c r="GBR1618" s="55">
        <f t="shared" si="624"/>
        <v>0</v>
      </c>
      <c r="GBS1618" s="55">
        <f t="shared" si="624"/>
        <v>0</v>
      </c>
      <c r="GBT1618" s="55">
        <f t="shared" si="624"/>
        <v>0</v>
      </c>
      <c r="GBU1618" s="55">
        <f t="shared" si="624"/>
        <v>0</v>
      </c>
      <c r="GBV1618" s="55">
        <f t="shared" si="624"/>
        <v>0</v>
      </c>
      <c r="GBW1618" s="55">
        <f t="shared" si="624"/>
        <v>0</v>
      </c>
      <c r="GBX1618" s="55">
        <f t="shared" si="624"/>
        <v>0</v>
      </c>
      <c r="GBY1618" s="55">
        <f t="shared" si="624"/>
        <v>0</v>
      </c>
      <c r="GBZ1618" s="55">
        <f t="shared" si="624"/>
        <v>0</v>
      </c>
      <c r="GCA1618" s="55">
        <f t="shared" si="624"/>
        <v>0</v>
      </c>
      <c r="GCB1618" s="55">
        <f t="shared" ref="GCB1618:GEM1618" si="625">+(GCB1627+GCB1608)*1.18*1.1</f>
        <v>0</v>
      </c>
      <c r="GCC1618" s="55">
        <f t="shared" si="625"/>
        <v>0</v>
      </c>
      <c r="GCD1618" s="55">
        <f t="shared" si="625"/>
        <v>0</v>
      </c>
      <c r="GCE1618" s="55">
        <f t="shared" si="625"/>
        <v>0</v>
      </c>
      <c r="GCF1618" s="55">
        <f t="shared" si="625"/>
        <v>0</v>
      </c>
      <c r="GCG1618" s="55">
        <f t="shared" si="625"/>
        <v>0</v>
      </c>
      <c r="GCH1618" s="55">
        <f t="shared" si="625"/>
        <v>0</v>
      </c>
      <c r="GCI1618" s="55">
        <f t="shared" si="625"/>
        <v>0</v>
      </c>
      <c r="GCJ1618" s="55">
        <f t="shared" si="625"/>
        <v>0</v>
      </c>
      <c r="GCK1618" s="55">
        <f t="shared" si="625"/>
        <v>0</v>
      </c>
      <c r="GCL1618" s="55">
        <f t="shared" si="625"/>
        <v>0</v>
      </c>
      <c r="GCM1618" s="55">
        <f t="shared" si="625"/>
        <v>0</v>
      </c>
      <c r="GCN1618" s="55">
        <f t="shared" si="625"/>
        <v>0</v>
      </c>
      <c r="GCO1618" s="55">
        <f t="shared" si="625"/>
        <v>0</v>
      </c>
      <c r="GCP1618" s="55">
        <f t="shared" si="625"/>
        <v>0</v>
      </c>
      <c r="GCQ1618" s="55">
        <f t="shared" si="625"/>
        <v>0</v>
      </c>
      <c r="GCR1618" s="55">
        <f t="shared" si="625"/>
        <v>0</v>
      </c>
      <c r="GCS1618" s="55">
        <f t="shared" si="625"/>
        <v>0</v>
      </c>
      <c r="GCT1618" s="55">
        <f t="shared" si="625"/>
        <v>0</v>
      </c>
      <c r="GCU1618" s="55">
        <f t="shared" si="625"/>
        <v>0</v>
      </c>
      <c r="GCV1618" s="55">
        <f t="shared" si="625"/>
        <v>0</v>
      </c>
      <c r="GCW1618" s="55">
        <f t="shared" si="625"/>
        <v>0</v>
      </c>
      <c r="GCX1618" s="55">
        <f t="shared" si="625"/>
        <v>0</v>
      </c>
      <c r="GCY1618" s="55">
        <f t="shared" si="625"/>
        <v>0</v>
      </c>
      <c r="GCZ1618" s="55">
        <f t="shared" si="625"/>
        <v>0</v>
      </c>
      <c r="GDA1618" s="55">
        <f t="shared" si="625"/>
        <v>0</v>
      </c>
      <c r="GDB1618" s="55">
        <f t="shared" si="625"/>
        <v>0</v>
      </c>
      <c r="GDC1618" s="55">
        <f t="shared" si="625"/>
        <v>0</v>
      </c>
      <c r="GDD1618" s="55">
        <f t="shared" si="625"/>
        <v>0</v>
      </c>
      <c r="GDE1618" s="55">
        <f t="shared" si="625"/>
        <v>0</v>
      </c>
      <c r="GDF1618" s="55">
        <f t="shared" si="625"/>
        <v>0</v>
      </c>
      <c r="GDG1618" s="55">
        <f t="shared" si="625"/>
        <v>0</v>
      </c>
      <c r="GDH1618" s="55">
        <f t="shared" si="625"/>
        <v>0</v>
      </c>
      <c r="GDI1618" s="55">
        <f t="shared" si="625"/>
        <v>0</v>
      </c>
      <c r="GDJ1618" s="55">
        <f t="shared" si="625"/>
        <v>0</v>
      </c>
      <c r="GDK1618" s="55">
        <f t="shared" si="625"/>
        <v>0</v>
      </c>
      <c r="GDL1618" s="55">
        <f t="shared" si="625"/>
        <v>0</v>
      </c>
      <c r="GDM1618" s="55">
        <f t="shared" si="625"/>
        <v>0</v>
      </c>
      <c r="GDN1618" s="55">
        <f t="shared" si="625"/>
        <v>0</v>
      </c>
      <c r="GDO1618" s="55">
        <f t="shared" si="625"/>
        <v>0</v>
      </c>
      <c r="GDP1618" s="55">
        <f t="shared" si="625"/>
        <v>0</v>
      </c>
      <c r="GDQ1618" s="55">
        <f t="shared" si="625"/>
        <v>0</v>
      </c>
      <c r="GDR1618" s="55">
        <f t="shared" si="625"/>
        <v>0</v>
      </c>
      <c r="GDS1618" s="55">
        <f t="shared" si="625"/>
        <v>0</v>
      </c>
      <c r="GDT1618" s="55">
        <f t="shared" si="625"/>
        <v>0</v>
      </c>
      <c r="GDU1618" s="55">
        <f t="shared" si="625"/>
        <v>0</v>
      </c>
      <c r="GDV1618" s="55">
        <f t="shared" si="625"/>
        <v>0</v>
      </c>
      <c r="GDW1618" s="55">
        <f t="shared" si="625"/>
        <v>0</v>
      </c>
      <c r="GDX1618" s="55">
        <f t="shared" si="625"/>
        <v>0</v>
      </c>
      <c r="GDY1618" s="55">
        <f t="shared" si="625"/>
        <v>0</v>
      </c>
      <c r="GDZ1618" s="55">
        <f t="shared" si="625"/>
        <v>0</v>
      </c>
      <c r="GEA1618" s="55">
        <f t="shared" si="625"/>
        <v>0</v>
      </c>
      <c r="GEB1618" s="55">
        <f t="shared" si="625"/>
        <v>0</v>
      </c>
      <c r="GEC1618" s="55">
        <f t="shared" si="625"/>
        <v>0</v>
      </c>
      <c r="GED1618" s="55">
        <f t="shared" si="625"/>
        <v>0</v>
      </c>
      <c r="GEE1618" s="55">
        <f t="shared" si="625"/>
        <v>0</v>
      </c>
      <c r="GEF1618" s="55">
        <f t="shared" si="625"/>
        <v>0</v>
      </c>
      <c r="GEG1618" s="55">
        <f t="shared" si="625"/>
        <v>0</v>
      </c>
      <c r="GEH1618" s="55">
        <f t="shared" si="625"/>
        <v>0</v>
      </c>
      <c r="GEI1618" s="55">
        <f t="shared" si="625"/>
        <v>0</v>
      </c>
      <c r="GEJ1618" s="55">
        <f t="shared" si="625"/>
        <v>0</v>
      </c>
      <c r="GEK1618" s="55">
        <f t="shared" si="625"/>
        <v>0</v>
      </c>
      <c r="GEL1618" s="55">
        <f t="shared" si="625"/>
        <v>0</v>
      </c>
      <c r="GEM1618" s="55">
        <f t="shared" si="625"/>
        <v>0</v>
      </c>
      <c r="GEN1618" s="55">
        <f t="shared" ref="GEN1618:GGY1618" si="626">+(GEN1627+GEN1608)*1.18*1.1</f>
        <v>0</v>
      </c>
      <c r="GEO1618" s="55">
        <f t="shared" si="626"/>
        <v>0</v>
      </c>
      <c r="GEP1618" s="55">
        <f t="shared" si="626"/>
        <v>0</v>
      </c>
      <c r="GEQ1618" s="55">
        <f t="shared" si="626"/>
        <v>0</v>
      </c>
      <c r="GER1618" s="55">
        <f t="shared" si="626"/>
        <v>0</v>
      </c>
      <c r="GES1618" s="55">
        <f t="shared" si="626"/>
        <v>0</v>
      </c>
      <c r="GET1618" s="55">
        <f t="shared" si="626"/>
        <v>0</v>
      </c>
      <c r="GEU1618" s="55">
        <f t="shared" si="626"/>
        <v>0</v>
      </c>
      <c r="GEV1618" s="55">
        <f t="shared" si="626"/>
        <v>0</v>
      </c>
      <c r="GEW1618" s="55">
        <f t="shared" si="626"/>
        <v>0</v>
      </c>
      <c r="GEX1618" s="55">
        <f t="shared" si="626"/>
        <v>0</v>
      </c>
      <c r="GEY1618" s="55">
        <f t="shared" si="626"/>
        <v>0</v>
      </c>
      <c r="GEZ1618" s="55">
        <f t="shared" si="626"/>
        <v>0</v>
      </c>
      <c r="GFA1618" s="55">
        <f t="shared" si="626"/>
        <v>0</v>
      </c>
      <c r="GFB1618" s="55">
        <f t="shared" si="626"/>
        <v>0</v>
      </c>
      <c r="GFC1618" s="55">
        <f t="shared" si="626"/>
        <v>0</v>
      </c>
      <c r="GFD1618" s="55">
        <f t="shared" si="626"/>
        <v>0</v>
      </c>
      <c r="GFE1618" s="55">
        <f t="shared" si="626"/>
        <v>0</v>
      </c>
      <c r="GFF1618" s="55">
        <f t="shared" si="626"/>
        <v>0</v>
      </c>
      <c r="GFG1618" s="55">
        <f t="shared" si="626"/>
        <v>0</v>
      </c>
      <c r="GFH1618" s="55">
        <f t="shared" si="626"/>
        <v>0</v>
      </c>
      <c r="GFI1618" s="55">
        <f t="shared" si="626"/>
        <v>0</v>
      </c>
      <c r="GFJ1618" s="55">
        <f t="shared" si="626"/>
        <v>0</v>
      </c>
      <c r="GFK1618" s="55">
        <f t="shared" si="626"/>
        <v>0</v>
      </c>
      <c r="GFL1618" s="55">
        <f t="shared" si="626"/>
        <v>0</v>
      </c>
      <c r="GFM1618" s="55">
        <f t="shared" si="626"/>
        <v>0</v>
      </c>
      <c r="GFN1618" s="55">
        <f t="shared" si="626"/>
        <v>0</v>
      </c>
      <c r="GFO1618" s="55">
        <f t="shared" si="626"/>
        <v>0</v>
      </c>
      <c r="GFP1618" s="55">
        <f t="shared" si="626"/>
        <v>0</v>
      </c>
      <c r="GFQ1618" s="55">
        <f t="shared" si="626"/>
        <v>0</v>
      </c>
      <c r="GFR1618" s="55">
        <f t="shared" si="626"/>
        <v>0</v>
      </c>
      <c r="GFS1618" s="55">
        <f t="shared" si="626"/>
        <v>0</v>
      </c>
      <c r="GFT1618" s="55">
        <f t="shared" si="626"/>
        <v>0</v>
      </c>
      <c r="GFU1618" s="55">
        <f t="shared" si="626"/>
        <v>0</v>
      </c>
      <c r="GFV1618" s="55">
        <f t="shared" si="626"/>
        <v>0</v>
      </c>
      <c r="GFW1618" s="55">
        <f t="shared" si="626"/>
        <v>0</v>
      </c>
      <c r="GFX1618" s="55">
        <f t="shared" si="626"/>
        <v>0</v>
      </c>
      <c r="GFY1618" s="55">
        <f t="shared" si="626"/>
        <v>0</v>
      </c>
      <c r="GFZ1618" s="55">
        <f t="shared" si="626"/>
        <v>0</v>
      </c>
      <c r="GGA1618" s="55">
        <f t="shared" si="626"/>
        <v>0</v>
      </c>
      <c r="GGB1618" s="55">
        <f t="shared" si="626"/>
        <v>0</v>
      </c>
      <c r="GGC1618" s="55">
        <f t="shared" si="626"/>
        <v>0</v>
      </c>
      <c r="GGD1618" s="55">
        <f t="shared" si="626"/>
        <v>0</v>
      </c>
      <c r="GGE1618" s="55">
        <f t="shared" si="626"/>
        <v>0</v>
      </c>
      <c r="GGF1618" s="55">
        <f t="shared" si="626"/>
        <v>0</v>
      </c>
      <c r="GGG1618" s="55">
        <f t="shared" si="626"/>
        <v>0</v>
      </c>
      <c r="GGH1618" s="55">
        <f t="shared" si="626"/>
        <v>0</v>
      </c>
      <c r="GGI1618" s="55">
        <f t="shared" si="626"/>
        <v>0</v>
      </c>
      <c r="GGJ1618" s="55">
        <f t="shared" si="626"/>
        <v>0</v>
      </c>
      <c r="GGK1618" s="55">
        <f t="shared" si="626"/>
        <v>0</v>
      </c>
      <c r="GGL1618" s="55">
        <f t="shared" si="626"/>
        <v>0</v>
      </c>
      <c r="GGM1618" s="55">
        <f t="shared" si="626"/>
        <v>0</v>
      </c>
      <c r="GGN1618" s="55">
        <f t="shared" si="626"/>
        <v>0</v>
      </c>
      <c r="GGO1618" s="55">
        <f t="shared" si="626"/>
        <v>0</v>
      </c>
      <c r="GGP1618" s="55">
        <f t="shared" si="626"/>
        <v>0</v>
      </c>
      <c r="GGQ1618" s="55">
        <f t="shared" si="626"/>
        <v>0</v>
      </c>
      <c r="GGR1618" s="55">
        <f t="shared" si="626"/>
        <v>0</v>
      </c>
      <c r="GGS1618" s="55">
        <f t="shared" si="626"/>
        <v>0</v>
      </c>
      <c r="GGT1618" s="55">
        <f t="shared" si="626"/>
        <v>0</v>
      </c>
      <c r="GGU1618" s="55">
        <f t="shared" si="626"/>
        <v>0</v>
      </c>
      <c r="GGV1618" s="55">
        <f t="shared" si="626"/>
        <v>0</v>
      </c>
      <c r="GGW1618" s="55">
        <f t="shared" si="626"/>
        <v>0</v>
      </c>
      <c r="GGX1618" s="55">
        <f t="shared" si="626"/>
        <v>0</v>
      </c>
      <c r="GGY1618" s="55">
        <f t="shared" si="626"/>
        <v>0</v>
      </c>
      <c r="GGZ1618" s="55">
        <f t="shared" ref="GGZ1618:GJK1618" si="627">+(GGZ1627+GGZ1608)*1.18*1.1</f>
        <v>0</v>
      </c>
      <c r="GHA1618" s="55">
        <f t="shared" si="627"/>
        <v>0</v>
      </c>
      <c r="GHB1618" s="55">
        <f t="shared" si="627"/>
        <v>0</v>
      </c>
      <c r="GHC1618" s="55">
        <f t="shared" si="627"/>
        <v>0</v>
      </c>
      <c r="GHD1618" s="55">
        <f t="shared" si="627"/>
        <v>0</v>
      </c>
      <c r="GHE1618" s="55">
        <f t="shared" si="627"/>
        <v>0</v>
      </c>
      <c r="GHF1618" s="55">
        <f t="shared" si="627"/>
        <v>0</v>
      </c>
      <c r="GHG1618" s="55">
        <f t="shared" si="627"/>
        <v>0</v>
      </c>
      <c r="GHH1618" s="55">
        <f t="shared" si="627"/>
        <v>0</v>
      </c>
      <c r="GHI1618" s="55">
        <f t="shared" si="627"/>
        <v>0</v>
      </c>
      <c r="GHJ1618" s="55">
        <f t="shared" si="627"/>
        <v>0</v>
      </c>
      <c r="GHK1618" s="55">
        <f t="shared" si="627"/>
        <v>0</v>
      </c>
      <c r="GHL1618" s="55">
        <f t="shared" si="627"/>
        <v>0</v>
      </c>
      <c r="GHM1618" s="55">
        <f t="shared" si="627"/>
        <v>0</v>
      </c>
      <c r="GHN1618" s="55">
        <f t="shared" si="627"/>
        <v>0</v>
      </c>
      <c r="GHO1618" s="55">
        <f t="shared" si="627"/>
        <v>0</v>
      </c>
      <c r="GHP1618" s="55">
        <f t="shared" si="627"/>
        <v>0</v>
      </c>
      <c r="GHQ1618" s="55">
        <f t="shared" si="627"/>
        <v>0</v>
      </c>
      <c r="GHR1618" s="55">
        <f t="shared" si="627"/>
        <v>0</v>
      </c>
      <c r="GHS1618" s="55">
        <f t="shared" si="627"/>
        <v>0</v>
      </c>
      <c r="GHT1618" s="55">
        <f t="shared" si="627"/>
        <v>0</v>
      </c>
      <c r="GHU1618" s="55">
        <f t="shared" si="627"/>
        <v>0</v>
      </c>
      <c r="GHV1618" s="55">
        <f t="shared" si="627"/>
        <v>0</v>
      </c>
      <c r="GHW1618" s="55">
        <f t="shared" si="627"/>
        <v>0</v>
      </c>
      <c r="GHX1618" s="55">
        <f t="shared" si="627"/>
        <v>0</v>
      </c>
      <c r="GHY1618" s="55">
        <f t="shared" si="627"/>
        <v>0</v>
      </c>
      <c r="GHZ1618" s="55">
        <f t="shared" si="627"/>
        <v>0</v>
      </c>
      <c r="GIA1618" s="55">
        <f t="shared" si="627"/>
        <v>0</v>
      </c>
      <c r="GIB1618" s="55">
        <f t="shared" si="627"/>
        <v>0</v>
      </c>
      <c r="GIC1618" s="55">
        <f t="shared" si="627"/>
        <v>0</v>
      </c>
      <c r="GID1618" s="55">
        <f t="shared" si="627"/>
        <v>0</v>
      </c>
      <c r="GIE1618" s="55">
        <f t="shared" si="627"/>
        <v>0</v>
      </c>
      <c r="GIF1618" s="55">
        <f t="shared" si="627"/>
        <v>0</v>
      </c>
      <c r="GIG1618" s="55">
        <f t="shared" si="627"/>
        <v>0</v>
      </c>
      <c r="GIH1618" s="55">
        <f t="shared" si="627"/>
        <v>0</v>
      </c>
      <c r="GII1618" s="55">
        <f t="shared" si="627"/>
        <v>0</v>
      </c>
      <c r="GIJ1618" s="55">
        <f t="shared" si="627"/>
        <v>0</v>
      </c>
      <c r="GIK1618" s="55">
        <f t="shared" si="627"/>
        <v>0</v>
      </c>
      <c r="GIL1618" s="55">
        <f t="shared" si="627"/>
        <v>0</v>
      </c>
      <c r="GIM1618" s="55">
        <f t="shared" si="627"/>
        <v>0</v>
      </c>
      <c r="GIN1618" s="55">
        <f t="shared" si="627"/>
        <v>0</v>
      </c>
      <c r="GIO1618" s="55">
        <f t="shared" si="627"/>
        <v>0</v>
      </c>
      <c r="GIP1618" s="55">
        <f t="shared" si="627"/>
        <v>0</v>
      </c>
      <c r="GIQ1618" s="55">
        <f t="shared" si="627"/>
        <v>0</v>
      </c>
      <c r="GIR1618" s="55">
        <f t="shared" si="627"/>
        <v>0</v>
      </c>
      <c r="GIS1618" s="55">
        <f t="shared" si="627"/>
        <v>0</v>
      </c>
      <c r="GIT1618" s="55">
        <f t="shared" si="627"/>
        <v>0</v>
      </c>
      <c r="GIU1618" s="55">
        <f t="shared" si="627"/>
        <v>0</v>
      </c>
      <c r="GIV1618" s="55">
        <f t="shared" si="627"/>
        <v>0</v>
      </c>
      <c r="GIW1618" s="55">
        <f t="shared" si="627"/>
        <v>0</v>
      </c>
      <c r="GIX1618" s="55">
        <f t="shared" si="627"/>
        <v>0</v>
      </c>
      <c r="GIY1618" s="55">
        <f t="shared" si="627"/>
        <v>0</v>
      </c>
      <c r="GIZ1618" s="55">
        <f t="shared" si="627"/>
        <v>0</v>
      </c>
      <c r="GJA1618" s="55">
        <f t="shared" si="627"/>
        <v>0</v>
      </c>
      <c r="GJB1618" s="55">
        <f t="shared" si="627"/>
        <v>0</v>
      </c>
      <c r="GJC1618" s="55">
        <f t="shared" si="627"/>
        <v>0</v>
      </c>
      <c r="GJD1618" s="55">
        <f t="shared" si="627"/>
        <v>0</v>
      </c>
      <c r="GJE1618" s="55">
        <f t="shared" si="627"/>
        <v>0</v>
      </c>
      <c r="GJF1618" s="55">
        <f t="shared" si="627"/>
        <v>0</v>
      </c>
      <c r="GJG1618" s="55">
        <f t="shared" si="627"/>
        <v>0</v>
      </c>
      <c r="GJH1618" s="55">
        <f t="shared" si="627"/>
        <v>0</v>
      </c>
      <c r="GJI1618" s="55">
        <f t="shared" si="627"/>
        <v>0</v>
      </c>
      <c r="GJJ1618" s="55">
        <f t="shared" si="627"/>
        <v>0</v>
      </c>
      <c r="GJK1618" s="55">
        <f t="shared" si="627"/>
        <v>0</v>
      </c>
      <c r="GJL1618" s="55">
        <f t="shared" ref="GJL1618:GLW1618" si="628">+(GJL1627+GJL1608)*1.18*1.1</f>
        <v>0</v>
      </c>
      <c r="GJM1618" s="55">
        <f t="shared" si="628"/>
        <v>0</v>
      </c>
      <c r="GJN1618" s="55">
        <f t="shared" si="628"/>
        <v>0</v>
      </c>
      <c r="GJO1618" s="55">
        <f t="shared" si="628"/>
        <v>0</v>
      </c>
      <c r="GJP1618" s="55">
        <f t="shared" si="628"/>
        <v>0</v>
      </c>
      <c r="GJQ1618" s="55">
        <f t="shared" si="628"/>
        <v>0</v>
      </c>
      <c r="GJR1618" s="55">
        <f t="shared" si="628"/>
        <v>0</v>
      </c>
      <c r="GJS1618" s="55">
        <f t="shared" si="628"/>
        <v>0</v>
      </c>
      <c r="GJT1618" s="55">
        <f t="shared" si="628"/>
        <v>0</v>
      </c>
      <c r="GJU1618" s="55">
        <f t="shared" si="628"/>
        <v>0</v>
      </c>
      <c r="GJV1618" s="55">
        <f t="shared" si="628"/>
        <v>0</v>
      </c>
      <c r="GJW1618" s="55">
        <f t="shared" si="628"/>
        <v>0</v>
      </c>
      <c r="GJX1618" s="55">
        <f t="shared" si="628"/>
        <v>0</v>
      </c>
      <c r="GJY1618" s="55">
        <f t="shared" si="628"/>
        <v>0</v>
      </c>
      <c r="GJZ1618" s="55">
        <f t="shared" si="628"/>
        <v>0</v>
      </c>
      <c r="GKA1618" s="55">
        <f t="shared" si="628"/>
        <v>0</v>
      </c>
      <c r="GKB1618" s="55">
        <f t="shared" si="628"/>
        <v>0</v>
      </c>
      <c r="GKC1618" s="55">
        <f t="shared" si="628"/>
        <v>0</v>
      </c>
      <c r="GKD1618" s="55">
        <f t="shared" si="628"/>
        <v>0</v>
      </c>
      <c r="GKE1618" s="55">
        <f t="shared" si="628"/>
        <v>0</v>
      </c>
      <c r="GKF1618" s="55">
        <f t="shared" si="628"/>
        <v>0</v>
      </c>
      <c r="GKG1618" s="55">
        <f t="shared" si="628"/>
        <v>0</v>
      </c>
      <c r="GKH1618" s="55">
        <f t="shared" si="628"/>
        <v>0</v>
      </c>
      <c r="GKI1618" s="55">
        <f t="shared" si="628"/>
        <v>0</v>
      </c>
      <c r="GKJ1618" s="55">
        <f t="shared" si="628"/>
        <v>0</v>
      </c>
      <c r="GKK1618" s="55">
        <f t="shared" si="628"/>
        <v>0</v>
      </c>
      <c r="GKL1618" s="55">
        <f t="shared" si="628"/>
        <v>0</v>
      </c>
      <c r="GKM1618" s="55">
        <f t="shared" si="628"/>
        <v>0</v>
      </c>
      <c r="GKN1618" s="55">
        <f t="shared" si="628"/>
        <v>0</v>
      </c>
      <c r="GKO1618" s="55">
        <f t="shared" si="628"/>
        <v>0</v>
      </c>
      <c r="GKP1618" s="55">
        <f t="shared" si="628"/>
        <v>0</v>
      </c>
      <c r="GKQ1618" s="55">
        <f t="shared" si="628"/>
        <v>0</v>
      </c>
      <c r="GKR1618" s="55">
        <f t="shared" si="628"/>
        <v>0</v>
      </c>
      <c r="GKS1618" s="55">
        <f t="shared" si="628"/>
        <v>0</v>
      </c>
      <c r="GKT1618" s="55">
        <f t="shared" si="628"/>
        <v>0</v>
      </c>
      <c r="GKU1618" s="55">
        <f t="shared" si="628"/>
        <v>0</v>
      </c>
      <c r="GKV1618" s="55">
        <f t="shared" si="628"/>
        <v>0</v>
      </c>
      <c r="GKW1618" s="55">
        <f t="shared" si="628"/>
        <v>0</v>
      </c>
      <c r="GKX1618" s="55">
        <f t="shared" si="628"/>
        <v>0</v>
      </c>
      <c r="GKY1618" s="55">
        <f t="shared" si="628"/>
        <v>0</v>
      </c>
      <c r="GKZ1618" s="55">
        <f t="shared" si="628"/>
        <v>0</v>
      </c>
      <c r="GLA1618" s="55">
        <f t="shared" si="628"/>
        <v>0</v>
      </c>
      <c r="GLB1618" s="55">
        <f t="shared" si="628"/>
        <v>0</v>
      </c>
      <c r="GLC1618" s="55">
        <f t="shared" si="628"/>
        <v>0</v>
      </c>
      <c r="GLD1618" s="55">
        <f t="shared" si="628"/>
        <v>0</v>
      </c>
      <c r="GLE1618" s="55">
        <f t="shared" si="628"/>
        <v>0</v>
      </c>
      <c r="GLF1618" s="55">
        <f t="shared" si="628"/>
        <v>0</v>
      </c>
      <c r="GLG1618" s="55">
        <f t="shared" si="628"/>
        <v>0</v>
      </c>
      <c r="GLH1618" s="55">
        <f t="shared" si="628"/>
        <v>0</v>
      </c>
      <c r="GLI1618" s="55">
        <f t="shared" si="628"/>
        <v>0</v>
      </c>
      <c r="GLJ1618" s="55">
        <f t="shared" si="628"/>
        <v>0</v>
      </c>
      <c r="GLK1618" s="55">
        <f t="shared" si="628"/>
        <v>0</v>
      </c>
      <c r="GLL1618" s="55">
        <f t="shared" si="628"/>
        <v>0</v>
      </c>
      <c r="GLM1618" s="55">
        <f t="shared" si="628"/>
        <v>0</v>
      </c>
      <c r="GLN1618" s="55">
        <f t="shared" si="628"/>
        <v>0</v>
      </c>
      <c r="GLO1618" s="55">
        <f t="shared" si="628"/>
        <v>0</v>
      </c>
      <c r="GLP1618" s="55">
        <f t="shared" si="628"/>
        <v>0</v>
      </c>
      <c r="GLQ1618" s="55">
        <f t="shared" si="628"/>
        <v>0</v>
      </c>
      <c r="GLR1618" s="55">
        <f t="shared" si="628"/>
        <v>0</v>
      </c>
      <c r="GLS1618" s="55">
        <f t="shared" si="628"/>
        <v>0</v>
      </c>
      <c r="GLT1618" s="55">
        <f t="shared" si="628"/>
        <v>0</v>
      </c>
      <c r="GLU1618" s="55">
        <f t="shared" si="628"/>
        <v>0</v>
      </c>
      <c r="GLV1618" s="55">
        <f t="shared" si="628"/>
        <v>0</v>
      </c>
      <c r="GLW1618" s="55">
        <f t="shared" si="628"/>
        <v>0</v>
      </c>
      <c r="GLX1618" s="55">
        <f t="shared" ref="GLX1618:GOI1618" si="629">+(GLX1627+GLX1608)*1.18*1.1</f>
        <v>0</v>
      </c>
      <c r="GLY1618" s="55">
        <f t="shared" si="629"/>
        <v>0</v>
      </c>
      <c r="GLZ1618" s="55">
        <f t="shared" si="629"/>
        <v>0</v>
      </c>
      <c r="GMA1618" s="55">
        <f t="shared" si="629"/>
        <v>0</v>
      </c>
      <c r="GMB1618" s="55">
        <f t="shared" si="629"/>
        <v>0</v>
      </c>
      <c r="GMC1618" s="55">
        <f t="shared" si="629"/>
        <v>0</v>
      </c>
      <c r="GMD1618" s="55">
        <f t="shared" si="629"/>
        <v>0</v>
      </c>
      <c r="GME1618" s="55">
        <f t="shared" si="629"/>
        <v>0</v>
      </c>
      <c r="GMF1618" s="55">
        <f t="shared" si="629"/>
        <v>0</v>
      </c>
      <c r="GMG1618" s="55">
        <f t="shared" si="629"/>
        <v>0</v>
      </c>
      <c r="GMH1618" s="55">
        <f t="shared" si="629"/>
        <v>0</v>
      </c>
      <c r="GMI1618" s="55">
        <f t="shared" si="629"/>
        <v>0</v>
      </c>
      <c r="GMJ1618" s="55">
        <f t="shared" si="629"/>
        <v>0</v>
      </c>
      <c r="GMK1618" s="55">
        <f t="shared" si="629"/>
        <v>0</v>
      </c>
      <c r="GML1618" s="55">
        <f t="shared" si="629"/>
        <v>0</v>
      </c>
      <c r="GMM1618" s="55">
        <f t="shared" si="629"/>
        <v>0</v>
      </c>
      <c r="GMN1618" s="55">
        <f t="shared" si="629"/>
        <v>0</v>
      </c>
      <c r="GMO1618" s="55">
        <f t="shared" si="629"/>
        <v>0</v>
      </c>
      <c r="GMP1618" s="55">
        <f t="shared" si="629"/>
        <v>0</v>
      </c>
      <c r="GMQ1618" s="55">
        <f t="shared" si="629"/>
        <v>0</v>
      </c>
      <c r="GMR1618" s="55">
        <f t="shared" si="629"/>
        <v>0</v>
      </c>
      <c r="GMS1618" s="55">
        <f t="shared" si="629"/>
        <v>0</v>
      </c>
      <c r="GMT1618" s="55">
        <f t="shared" si="629"/>
        <v>0</v>
      </c>
      <c r="GMU1618" s="55">
        <f t="shared" si="629"/>
        <v>0</v>
      </c>
      <c r="GMV1618" s="55">
        <f t="shared" si="629"/>
        <v>0</v>
      </c>
      <c r="GMW1618" s="55">
        <f t="shared" si="629"/>
        <v>0</v>
      </c>
      <c r="GMX1618" s="55">
        <f t="shared" si="629"/>
        <v>0</v>
      </c>
      <c r="GMY1618" s="55">
        <f t="shared" si="629"/>
        <v>0</v>
      </c>
      <c r="GMZ1618" s="55">
        <f t="shared" si="629"/>
        <v>0</v>
      </c>
      <c r="GNA1618" s="55">
        <f t="shared" si="629"/>
        <v>0</v>
      </c>
      <c r="GNB1618" s="55">
        <f t="shared" si="629"/>
        <v>0</v>
      </c>
      <c r="GNC1618" s="55">
        <f t="shared" si="629"/>
        <v>0</v>
      </c>
      <c r="GND1618" s="55">
        <f t="shared" si="629"/>
        <v>0</v>
      </c>
      <c r="GNE1618" s="55">
        <f t="shared" si="629"/>
        <v>0</v>
      </c>
      <c r="GNF1618" s="55">
        <f t="shared" si="629"/>
        <v>0</v>
      </c>
      <c r="GNG1618" s="55">
        <f t="shared" si="629"/>
        <v>0</v>
      </c>
      <c r="GNH1618" s="55">
        <f t="shared" si="629"/>
        <v>0</v>
      </c>
      <c r="GNI1618" s="55">
        <f t="shared" si="629"/>
        <v>0</v>
      </c>
      <c r="GNJ1618" s="55">
        <f t="shared" si="629"/>
        <v>0</v>
      </c>
      <c r="GNK1618" s="55">
        <f t="shared" si="629"/>
        <v>0</v>
      </c>
      <c r="GNL1618" s="55">
        <f t="shared" si="629"/>
        <v>0</v>
      </c>
      <c r="GNM1618" s="55">
        <f t="shared" si="629"/>
        <v>0</v>
      </c>
      <c r="GNN1618" s="55">
        <f t="shared" si="629"/>
        <v>0</v>
      </c>
      <c r="GNO1618" s="55">
        <f t="shared" si="629"/>
        <v>0</v>
      </c>
      <c r="GNP1618" s="55">
        <f t="shared" si="629"/>
        <v>0</v>
      </c>
      <c r="GNQ1618" s="55">
        <f t="shared" si="629"/>
        <v>0</v>
      </c>
      <c r="GNR1618" s="55">
        <f t="shared" si="629"/>
        <v>0</v>
      </c>
      <c r="GNS1618" s="55">
        <f t="shared" si="629"/>
        <v>0</v>
      </c>
      <c r="GNT1618" s="55">
        <f t="shared" si="629"/>
        <v>0</v>
      </c>
      <c r="GNU1618" s="55">
        <f t="shared" si="629"/>
        <v>0</v>
      </c>
      <c r="GNV1618" s="55">
        <f t="shared" si="629"/>
        <v>0</v>
      </c>
      <c r="GNW1618" s="55">
        <f t="shared" si="629"/>
        <v>0</v>
      </c>
      <c r="GNX1618" s="55">
        <f t="shared" si="629"/>
        <v>0</v>
      </c>
      <c r="GNY1618" s="55">
        <f t="shared" si="629"/>
        <v>0</v>
      </c>
      <c r="GNZ1618" s="55">
        <f t="shared" si="629"/>
        <v>0</v>
      </c>
      <c r="GOA1618" s="55">
        <f t="shared" si="629"/>
        <v>0</v>
      </c>
      <c r="GOB1618" s="55">
        <f t="shared" si="629"/>
        <v>0</v>
      </c>
      <c r="GOC1618" s="55">
        <f t="shared" si="629"/>
        <v>0</v>
      </c>
      <c r="GOD1618" s="55">
        <f t="shared" si="629"/>
        <v>0</v>
      </c>
      <c r="GOE1618" s="55">
        <f t="shared" si="629"/>
        <v>0</v>
      </c>
      <c r="GOF1618" s="55">
        <f t="shared" si="629"/>
        <v>0</v>
      </c>
      <c r="GOG1618" s="55">
        <f t="shared" si="629"/>
        <v>0</v>
      </c>
      <c r="GOH1618" s="55">
        <f t="shared" si="629"/>
        <v>0</v>
      </c>
      <c r="GOI1618" s="55">
        <f t="shared" si="629"/>
        <v>0</v>
      </c>
      <c r="GOJ1618" s="55">
        <f t="shared" ref="GOJ1618:GQU1618" si="630">+(GOJ1627+GOJ1608)*1.18*1.1</f>
        <v>0</v>
      </c>
      <c r="GOK1618" s="55">
        <f t="shared" si="630"/>
        <v>0</v>
      </c>
      <c r="GOL1618" s="55">
        <f t="shared" si="630"/>
        <v>0</v>
      </c>
      <c r="GOM1618" s="55">
        <f t="shared" si="630"/>
        <v>0</v>
      </c>
      <c r="GON1618" s="55">
        <f t="shared" si="630"/>
        <v>0</v>
      </c>
      <c r="GOO1618" s="55">
        <f t="shared" si="630"/>
        <v>0</v>
      </c>
      <c r="GOP1618" s="55">
        <f t="shared" si="630"/>
        <v>0</v>
      </c>
      <c r="GOQ1618" s="55">
        <f t="shared" si="630"/>
        <v>0</v>
      </c>
      <c r="GOR1618" s="55">
        <f t="shared" si="630"/>
        <v>0</v>
      </c>
      <c r="GOS1618" s="55">
        <f t="shared" si="630"/>
        <v>0</v>
      </c>
      <c r="GOT1618" s="55">
        <f t="shared" si="630"/>
        <v>0</v>
      </c>
      <c r="GOU1618" s="55">
        <f t="shared" si="630"/>
        <v>0</v>
      </c>
      <c r="GOV1618" s="55">
        <f t="shared" si="630"/>
        <v>0</v>
      </c>
      <c r="GOW1618" s="55">
        <f t="shared" si="630"/>
        <v>0</v>
      </c>
      <c r="GOX1618" s="55">
        <f t="shared" si="630"/>
        <v>0</v>
      </c>
      <c r="GOY1618" s="55">
        <f t="shared" si="630"/>
        <v>0</v>
      </c>
      <c r="GOZ1618" s="55">
        <f t="shared" si="630"/>
        <v>0</v>
      </c>
      <c r="GPA1618" s="55">
        <f t="shared" si="630"/>
        <v>0</v>
      </c>
      <c r="GPB1618" s="55">
        <f t="shared" si="630"/>
        <v>0</v>
      </c>
      <c r="GPC1618" s="55">
        <f t="shared" si="630"/>
        <v>0</v>
      </c>
      <c r="GPD1618" s="55">
        <f t="shared" si="630"/>
        <v>0</v>
      </c>
      <c r="GPE1618" s="55">
        <f t="shared" si="630"/>
        <v>0</v>
      </c>
      <c r="GPF1618" s="55">
        <f t="shared" si="630"/>
        <v>0</v>
      </c>
      <c r="GPG1618" s="55">
        <f t="shared" si="630"/>
        <v>0</v>
      </c>
      <c r="GPH1618" s="55">
        <f t="shared" si="630"/>
        <v>0</v>
      </c>
      <c r="GPI1618" s="55">
        <f t="shared" si="630"/>
        <v>0</v>
      </c>
      <c r="GPJ1618" s="55">
        <f t="shared" si="630"/>
        <v>0</v>
      </c>
      <c r="GPK1618" s="55">
        <f t="shared" si="630"/>
        <v>0</v>
      </c>
      <c r="GPL1618" s="55">
        <f t="shared" si="630"/>
        <v>0</v>
      </c>
      <c r="GPM1618" s="55">
        <f t="shared" si="630"/>
        <v>0</v>
      </c>
      <c r="GPN1618" s="55">
        <f t="shared" si="630"/>
        <v>0</v>
      </c>
      <c r="GPO1618" s="55">
        <f t="shared" si="630"/>
        <v>0</v>
      </c>
      <c r="GPP1618" s="55">
        <f t="shared" si="630"/>
        <v>0</v>
      </c>
      <c r="GPQ1618" s="55">
        <f t="shared" si="630"/>
        <v>0</v>
      </c>
      <c r="GPR1618" s="55">
        <f t="shared" si="630"/>
        <v>0</v>
      </c>
      <c r="GPS1618" s="55">
        <f t="shared" si="630"/>
        <v>0</v>
      </c>
      <c r="GPT1618" s="55">
        <f t="shared" si="630"/>
        <v>0</v>
      </c>
      <c r="GPU1618" s="55">
        <f t="shared" si="630"/>
        <v>0</v>
      </c>
      <c r="GPV1618" s="55">
        <f t="shared" si="630"/>
        <v>0</v>
      </c>
      <c r="GPW1618" s="55">
        <f t="shared" si="630"/>
        <v>0</v>
      </c>
      <c r="GPX1618" s="55">
        <f t="shared" si="630"/>
        <v>0</v>
      </c>
      <c r="GPY1618" s="55">
        <f t="shared" si="630"/>
        <v>0</v>
      </c>
      <c r="GPZ1618" s="55">
        <f t="shared" si="630"/>
        <v>0</v>
      </c>
      <c r="GQA1618" s="55">
        <f t="shared" si="630"/>
        <v>0</v>
      </c>
      <c r="GQB1618" s="55">
        <f t="shared" si="630"/>
        <v>0</v>
      </c>
      <c r="GQC1618" s="55">
        <f t="shared" si="630"/>
        <v>0</v>
      </c>
      <c r="GQD1618" s="55">
        <f t="shared" si="630"/>
        <v>0</v>
      </c>
      <c r="GQE1618" s="55">
        <f t="shared" si="630"/>
        <v>0</v>
      </c>
      <c r="GQF1618" s="55">
        <f t="shared" si="630"/>
        <v>0</v>
      </c>
      <c r="GQG1618" s="55">
        <f t="shared" si="630"/>
        <v>0</v>
      </c>
      <c r="GQH1618" s="55">
        <f t="shared" si="630"/>
        <v>0</v>
      </c>
      <c r="GQI1618" s="55">
        <f t="shared" si="630"/>
        <v>0</v>
      </c>
      <c r="GQJ1618" s="55">
        <f t="shared" si="630"/>
        <v>0</v>
      </c>
      <c r="GQK1618" s="55">
        <f t="shared" si="630"/>
        <v>0</v>
      </c>
      <c r="GQL1618" s="55">
        <f t="shared" si="630"/>
        <v>0</v>
      </c>
      <c r="GQM1618" s="55">
        <f t="shared" si="630"/>
        <v>0</v>
      </c>
      <c r="GQN1618" s="55">
        <f t="shared" si="630"/>
        <v>0</v>
      </c>
      <c r="GQO1618" s="55">
        <f t="shared" si="630"/>
        <v>0</v>
      </c>
      <c r="GQP1618" s="55">
        <f t="shared" si="630"/>
        <v>0</v>
      </c>
      <c r="GQQ1618" s="55">
        <f t="shared" si="630"/>
        <v>0</v>
      </c>
      <c r="GQR1618" s="55">
        <f t="shared" si="630"/>
        <v>0</v>
      </c>
      <c r="GQS1618" s="55">
        <f t="shared" si="630"/>
        <v>0</v>
      </c>
      <c r="GQT1618" s="55">
        <f t="shared" si="630"/>
        <v>0</v>
      </c>
      <c r="GQU1618" s="55">
        <f t="shared" si="630"/>
        <v>0</v>
      </c>
      <c r="GQV1618" s="55">
        <f t="shared" ref="GQV1618:GTG1618" si="631">+(GQV1627+GQV1608)*1.18*1.1</f>
        <v>0</v>
      </c>
      <c r="GQW1618" s="55">
        <f t="shared" si="631"/>
        <v>0</v>
      </c>
      <c r="GQX1618" s="55">
        <f t="shared" si="631"/>
        <v>0</v>
      </c>
      <c r="GQY1618" s="55">
        <f t="shared" si="631"/>
        <v>0</v>
      </c>
      <c r="GQZ1618" s="55">
        <f t="shared" si="631"/>
        <v>0</v>
      </c>
      <c r="GRA1618" s="55">
        <f t="shared" si="631"/>
        <v>0</v>
      </c>
      <c r="GRB1618" s="55">
        <f t="shared" si="631"/>
        <v>0</v>
      </c>
      <c r="GRC1618" s="55">
        <f t="shared" si="631"/>
        <v>0</v>
      </c>
      <c r="GRD1618" s="55">
        <f t="shared" si="631"/>
        <v>0</v>
      </c>
      <c r="GRE1618" s="55">
        <f t="shared" si="631"/>
        <v>0</v>
      </c>
      <c r="GRF1618" s="55">
        <f t="shared" si="631"/>
        <v>0</v>
      </c>
      <c r="GRG1618" s="55">
        <f t="shared" si="631"/>
        <v>0</v>
      </c>
      <c r="GRH1618" s="55">
        <f t="shared" si="631"/>
        <v>0</v>
      </c>
      <c r="GRI1618" s="55">
        <f t="shared" si="631"/>
        <v>0</v>
      </c>
      <c r="GRJ1618" s="55">
        <f t="shared" si="631"/>
        <v>0</v>
      </c>
      <c r="GRK1618" s="55">
        <f t="shared" si="631"/>
        <v>0</v>
      </c>
      <c r="GRL1618" s="55">
        <f t="shared" si="631"/>
        <v>0</v>
      </c>
      <c r="GRM1618" s="55">
        <f t="shared" si="631"/>
        <v>0</v>
      </c>
      <c r="GRN1618" s="55">
        <f t="shared" si="631"/>
        <v>0</v>
      </c>
      <c r="GRO1618" s="55">
        <f t="shared" si="631"/>
        <v>0</v>
      </c>
      <c r="GRP1618" s="55">
        <f t="shared" si="631"/>
        <v>0</v>
      </c>
      <c r="GRQ1618" s="55">
        <f t="shared" si="631"/>
        <v>0</v>
      </c>
      <c r="GRR1618" s="55">
        <f t="shared" si="631"/>
        <v>0</v>
      </c>
      <c r="GRS1618" s="55">
        <f t="shared" si="631"/>
        <v>0</v>
      </c>
      <c r="GRT1618" s="55">
        <f t="shared" si="631"/>
        <v>0</v>
      </c>
      <c r="GRU1618" s="55">
        <f t="shared" si="631"/>
        <v>0</v>
      </c>
      <c r="GRV1618" s="55">
        <f t="shared" si="631"/>
        <v>0</v>
      </c>
      <c r="GRW1618" s="55">
        <f t="shared" si="631"/>
        <v>0</v>
      </c>
      <c r="GRX1618" s="55">
        <f t="shared" si="631"/>
        <v>0</v>
      </c>
      <c r="GRY1618" s="55">
        <f t="shared" si="631"/>
        <v>0</v>
      </c>
      <c r="GRZ1618" s="55">
        <f t="shared" si="631"/>
        <v>0</v>
      </c>
      <c r="GSA1618" s="55">
        <f t="shared" si="631"/>
        <v>0</v>
      </c>
      <c r="GSB1618" s="55">
        <f t="shared" si="631"/>
        <v>0</v>
      </c>
      <c r="GSC1618" s="55">
        <f t="shared" si="631"/>
        <v>0</v>
      </c>
      <c r="GSD1618" s="55">
        <f t="shared" si="631"/>
        <v>0</v>
      </c>
      <c r="GSE1618" s="55">
        <f t="shared" si="631"/>
        <v>0</v>
      </c>
      <c r="GSF1618" s="55">
        <f t="shared" si="631"/>
        <v>0</v>
      </c>
      <c r="GSG1618" s="55">
        <f t="shared" si="631"/>
        <v>0</v>
      </c>
      <c r="GSH1618" s="55">
        <f t="shared" si="631"/>
        <v>0</v>
      </c>
      <c r="GSI1618" s="55">
        <f t="shared" si="631"/>
        <v>0</v>
      </c>
      <c r="GSJ1618" s="55">
        <f t="shared" si="631"/>
        <v>0</v>
      </c>
      <c r="GSK1618" s="55">
        <f t="shared" si="631"/>
        <v>0</v>
      </c>
      <c r="GSL1618" s="55">
        <f t="shared" si="631"/>
        <v>0</v>
      </c>
      <c r="GSM1618" s="55">
        <f t="shared" si="631"/>
        <v>0</v>
      </c>
      <c r="GSN1618" s="55">
        <f t="shared" si="631"/>
        <v>0</v>
      </c>
      <c r="GSO1618" s="55">
        <f t="shared" si="631"/>
        <v>0</v>
      </c>
      <c r="GSP1618" s="55">
        <f t="shared" si="631"/>
        <v>0</v>
      </c>
      <c r="GSQ1618" s="55">
        <f t="shared" si="631"/>
        <v>0</v>
      </c>
      <c r="GSR1618" s="55">
        <f t="shared" si="631"/>
        <v>0</v>
      </c>
      <c r="GSS1618" s="55">
        <f t="shared" si="631"/>
        <v>0</v>
      </c>
      <c r="GST1618" s="55">
        <f t="shared" si="631"/>
        <v>0</v>
      </c>
      <c r="GSU1618" s="55">
        <f t="shared" si="631"/>
        <v>0</v>
      </c>
      <c r="GSV1618" s="55">
        <f t="shared" si="631"/>
        <v>0</v>
      </c>
      <c r="GSW1618" s="55">
        <f t="shared" si="631"/>
        <v>0</v>
      </c>
      <c r="GSX1618" s="55">
        <f t="shared" si="631"/>
        <v>0</v>
      </c>
      <c r="GSY1618" s="55">
        <f t="shared" si="631"/>
        <v>0</v>
      </c>
      <c r="GSZ1618" s="55">
        <f t="shared" si="631"/>
        <v>0</v>
      </c>
      <c r="GTA1618" s="55">
        <f t="shared" si="631"/>
        <v>0</v>
      </c>
      <c r="GTB1618" s="55">
        <f t="shared" si="631"/>
        <v>0</v>
      </c>
      <c r="GTC1618" s="55">
        <f t="shared" si="631"/>
        <v>0</v>
      </c>
      <c r="GTD1618" s="55">
        <f t="shared" si="631"/>
        <v>0</v>
      </c>
      <c r="GTE1618" s="55">
        <f t="shared" si="631"/>
        <v>0</v>
      </c>
      <c r="GTF1618" s="55">
        <f t="shared" si="631"/>
        <v>0</v>
      </c>
      <c r="GTG1618" s="55">
        <f t="shared" si="631"/>
        <v>0</v>
      </c>
      <c r="GTH1618" s="55">
        <f t="shared" ref="GTH1618:GVS1618" si="632">+(GTH1627+GTH1608)*1.18*1.1</f>
        <v>0</v>
      </c>
      <c r="GTI1618" s="55">
        <f t="shared" si="632"/>
        <v>0</v>
      </c>
      <c r="GTJ1618" s="55">
        <f t="shared" si="632"/>
        <v>0</v>
      </c>
      <c r="GTK1618" s="55">
        <f t="shared" si="632"/>
        <v>0</v>
      </c>
      <c r="GTL1618" s="55">
        <f t="shared" si="632"/>
        <v>0</v>
      </c>
      <c r="GTM1618" s="55">
        <f t="shared" si="632"/>
        <v>0</v>
      </c>
      <c r="GTN1618" s="55">
        <f t="shared" si="632"/>
        <v>0</v>
      </c>
      <c r="GTO1618" s="55">
        <f t="shared" si="632"/>
        <v>0</v>
      </c>
      <c r="GTP1618" s="55">
        <f t="shared" si="632"/>
        <v>0</v>
      </c>
      <c r="GTQ1618" s="55">
        <f t="shared" si="632"/>
        <v>0</v>
      </c>
      <c r="GTR1618" s="55">
        <f t="shared" si="632"/>
        <v>0</v>
      </c>
      <c r="GTS1618" s="55">
        <f t="shared" si="632"/>
        <v>0</v>
      </c>
      <c r="GTT1618" s="55">
        <f t="shared" si="632"/>
        <v>0</v>
      </c>
      <c r="GTU1618" s="55">
        <f t="shared" si="632"/>
        <v>0</v>
      </c>
      <c r="GTV1618" s="55">
        <f t="shared" si="632"/>
        <v>0</v>
      </c>
      <c r="GTW1618" s="55">
        <f t="shared" si="632"/>
        <v>0</v>
      </c>
      <c r="GTX1618" s="55">
        <f t="shared" si="632"/>
        <v>0</v>
      </c>
      <c r="GTY1618" s="55">
        <f t="shared" si="632"/>
        <v>0</v>
      </c>
      <c r="GTZ1618" s="55">
        <f t="shared" si="632"/>
        <v>0</v>
      </c>
      <c r="GUA1618" s="55">
        <f t="shared" si="632"/>
        <v>0</v>
      </c>
      <c r="GUB1618" s="55">
        <f t="shared" si="632"/>
        <v>0</v>
      </c>
      <c r="GUC1618" s="55">
        <f t="shared" si="632"/>
        <v>0</v>
      </c>
      <c r="GUD1618" s="55">
        <f t="shared" si="632"/>
        <v>0</v>
      </c>
      <c r="GUE1618" s="55">
        <f t="shared" si="632"/>
        <v>0</v>
      </c>
      <c r="GUF1618" s="55">
        <f t="shared" si="632"/>
        <v>0</v>
      </c>
      <c r="GUG1618" s="55">
        <f t="shared" si="632"/>
        <v>0</v>
      </c>
      <c r="GUH1618" s="55">
        <f t="shared" si="632"/>
        <v>0</v>
      </c>
      <c r="GUI1618" s="55">
        <f t="shared" si="632"/>
        <v>0</v>
      </c>
      <c r="GUJ1618" s="55">
        <f t="shared" si="632"/>
        <v>0</v>
      </c>
      <c r="GUK1618" s="55">
        <f t="shared" si="632"/>
        <v>0</v>
      </c>
      <c r="GUL1618" s="55">
        <f t="shared" si="632"/>
        <v>0</v>
      </c>
      <c r="GUM1618" s="55">
        <f t="shared" si="632"/>
        <v>0</v>
      </c>
      <c r="GUN1618" s="55">
        <f t="shared" si="632"/>
        <v>0</v>
      </c>
      <c r="GUO1618" s="55">
        <f t="shared" si="632"/>
        <v>0</v>
      </c>
      <c r="GUP1618" s="55">
        <f t="shared" si="632"/>
        <v>0</v>
      </c>
      <c r="GUQ1618" s="55">
        <f t="shared" si="632"/>
        <v>0</v>
      </c>
      <c r="GUR1618" s="55">
        <f t="shared" si="632"/>
        <v>0</v>
      </c>
      <c r="GUS1618" s="55">
        <f t="shared" si="632"/>
        <v>0</v>
      </c>
      <c r="GUT1618" s="55">
        <f t="shared" si="632"/>
        <v>0</v>
      </c>
      <c r="GUU1618" s="55">
        <f t="shared" si="632"/>
        <v>0</v>
      </c>
      <c r="GUV1618" s="55">
        <f t="shared" si="632"/>
        <v>0</v>
      </c>
      <c r="GUW1618" s="55">
        <f t="shared" si="632"/>
        <v>0</v>
      </c>
      <c r="GUX1618" s="55">
        <f t="shared" si="632"/>
        <v>0</v>
      </c>
      <c r="GUY1618" s="55">
        <f t="shared" si="632"/>
        <v>0</v>
      </c>
      <c r="GUZ1618" s="55">
        <f t="shared" si="632"/>
        <v>0</v>
      </c>
      <c r="GVA1618" s="55">
        <f t="shared" si="632"/>
        <v>0</v>
      </c>
      <c r="GVB1618" s="55">
        <f t="shared" si="632"/>
        <v>0</v>
      </c>
      <c r="GVC1618" s="55">
        <f t="shared" si="632"/>
        <v>0</v>
      </c>
      <c r="GVD1618" s="55">
        <f t="shared" si="632"/>
        <v>0</v>
      </c>
      <c r="GVE1618" s="55">
        <f t="shared" si="632"/>
        <v>0</v>
      </c>
      <c r="GVF1618" s="55">
        <f t="shared" si="632"/>
        <v>0</v>
      </c>
      <c r="GVG1618" s="55">
        <f t="shared" si="632"/>
        <v>0</v>
      </c>
      <c r="GVH1618" s="55">
        <f t="shared" si="632"/>
        <v>0</v>
      </c>
      <c r="GVI1618" s="55">
        <f t="shared" si="632"/>
        <v>0</v>
      </c>
      <c r="GVJ1618" s="55">
        <f t="shared" si="632"/>
        <v>0</v>
      </c>
      <c r="GVK1618" s="55">
        <f t="shared" si="632"/>
        <v>0</v>
      </c>
      <c r="GVL1618" s="55">
        <f t="shared" si="632"/>
        <v>0</v>
      </c>
      <c r="GVM1618" s="55">
        <f t="shared" si="632"/>
        <v>0</v>
      </c>
      <c r="GVN1618" s="55">
        <f t="shared" si="632"/>
        <v>0</v>
      </c>
      <c r="GVO1618" s="55">
        <f t="shared" si="632"/>
        <v>0</v>
      </c>
      <c r="GVP1618" s="55">
        <f t="shared" si="632"/>
        <v>0</v>
      </c>
      <c r="GVQ1618" s="55">
        <f t="shared" si="632"/>
        <v>0</v>
      </c>
      <c r="GVR1618" s="55">
        <f t="shared" si="632"/>
        <v>0</v>
      </c>
      <c r="GVS1618" s="55">
        <f t="shared" si="632"/>
        <v>0</v>
      </c>
      <c r="GVT1618" s="55">
        <f t="shared" ref="GVT1618:GYE1618" si="633">+(GVT1627+GVT1608)*1.18*1.1</f>
        <v>0</v>
      </c>
      <c r="GVU1618" s="55">
        <f t="shared" si="633"/>
        <v>0</v>
      </c>
      <c r="GVV1618" s="55">
        <f t="shared" si="633"/>
        <v>0</v>
      </c>
      <c r="GVW1618" s="55">
        <f t="shared" si="633"/>
        <v>0</v>
      </c>
      <c r="GVX1618" s="55">
        <f t="shared" si="633"/>
        <v>0</v>
      </c>
      <c r="GVY1618" s="55">
        <f t="shared" si="633"/>
        <v>0</v>
      </c>
      <c r="GVZ1618" s="55">
        <f t="shared" si="633"/>
        <v>0</v>
      </c>
      <c r="GWA1618" s="55">
        <f t="shared" si="633"/>
        <v>0</v>
      </c>
      <c r="GWB1618" s="55">
        <f t="shared" si="633"/>
        <v>0</v>
      </c>
      <c r="GWC1618" s="55">
        <f t="shared" si="633"/>
        <v>0</v>
      </c>
      <c r="GWD1618" s="55">
        <f t="shared" si="633"/>
        <v>0</v>
      </c>
      <c r="GWE1618" s="55">
        <f t="shared" si="633"/>
        <v>0</v>
      </c>
      <c r="GWF1618" s="55">
        <f t="shared" si="633"/>
        <v>0</v>
      </c>
      <c r="GWG1618" s="55">
        <f t="shared" si="633"/>
        <v>0</v>
      </c>
      <c r="GWH1618" s="55">
        <f t="shared" si="633"/>
        <v>0</v>
      </c>
      <c r="GWI1618" s="55">
        <f t="shared" si="633"/>
        <v>0</v>
      </c>
      <c r="GWJ1618" s="55">
        <f t="shared" si="633"/>
        <v>0</v>
      </c>
      <c r="GWK1618" s="55">
        <f t="shared" si="633"/>
        <v>0</v>
      </c>
      <c r="GWL1618" s="55">
        <f t="shared" si="633"/>
        <v>0</v>
      </c>
      <c r="GWM1618" s="55">
        <f t="shared" si="633"/>
        <v>0</v>
      </c>
      <c r="GWN1618" s="55">
        <f t="shared" si="633"/>
        <v>0</v>
      </c>
      <c r="GWO1618" s="55">
        <f t="shared" si="633"/>
        <v>0</v>
      </c>
      <c r="GWP1618" s="55">
        <f t="shared" si="633"/>
        <v>0</v>
      </c>
      <c r="GWQ1618" s="55">
        <f t="shared" si="633"/>
        <v>0</v>
      </c>
      <c r="GWR1618" s="55">
        <f t="shared" si="633"/>
        <v>0</v>
      </c>
      <c r="GWS1618" s="55">
        <f t="shared" si="633"/>
        <v>0</v>
      </c>
      <c r="GWT1618" s="55">
        <f t="shared" si="633"/>
        <v>0</v>
      </c>
      <c r="GWU1618" s="55">
        <f t="shared" si="633"/>
        <v>0</v>
      </c>
      <c r="GWV1618" s="55">
        <f t="shared" si="633"/>
        <v>0</v>
      </c>
      <c r="GWW1618" s="55">
        <f t="shared" si="633"/>
        <v>0</v>
      </c>
      <c r="GWX1618" s="55">
        <f t="shared" si="633"/>
        <v>0</v>
      </c>
      <c r="GWY1618" s="55">
        <f t="shared" si="633"/>
        <v>0</v>
      </c>
      <c r="GWZ1618" s="55">
        <f t="shared" si="633"/>
        <v>0</v>
      </c>
      <c r="GXA1618" s="55">
        <f t="shared" si="633"/>
        <v>0</v>
      </c>
      <c r="GXB1618" s="55">
        <f t="shared" si="633"/>
        <v>0</v>
      </c>
      <c r="GXC1618" s="55">
        <f t="shared" si="633"/>
        <v>0</v>
      </c>
      <c r="GXD1618" s="55">
        <f t="shared" si="633"/>
        <v>0</v>
      </c>
      <c r="GXE1618" s="55">
        <f t="shared" si="633"/>
        <v>0</v>
      </c>
      <c r="GXF1618" s="55">
        <f t="shared" si="633"/>
        <v>0</v>
      </c>
      <c r="GXG1618" s="55">
        <f t="shared" si="633"/>
        <v>0</v>
      </c>
      <c r="GXH1618" s="55">
        <f t="shared" si="633"/>
        <v>0</v>
      </c>
      <c r="GXI1618" s="55">
        <f t="shared" si="633"/>
        <v>0</v>
      </c>
      <c r="GXJ1618" s="55">
        <f t="shared" si="633"/>
        <v>0</v>
      </c>
      <c r="GXK1618" s="55">
        <f t="shared" si="633"/>
        <v>0</v>
      </c>
      <c r="GXL1618" s="55">
        <f t="shared" si="633"/>
        <v>0</v>
      </c>
      <c r="GXM1618" s="55">
        <f t="shared" si="633"/>
        <v>0</v>
      </c>
      <c r="GXN1618" s="55">
        <f t="shared" si="633"/>
        <v>0</v>
      </c>
      <c r="GXO1618" s="55">
        <f t="shared" si="633"/>
        <v>0</v>
      </c>
      <c r="GXP1618" s="55">
        <f t="shared" si="633"/>
        <v>0</v>
      </c>
      <c r="GXQ1618" s="55">
        <f t="shared" si="633"/>
        <v>0</v>
      </c>
      <c r="GXR1618" s="55">
        <f t="shared" si="633"/>
        <v>0</v>
      </c>
      <c r="GXS1618" s="55">
        <f t="shared" si="633"/>
        <v>0</v>
      </c>
      <c r="GXT1618" s="55">
        <f t="shared" si="633"/>
        <v>0</v>
      </c>
      <c r="GXU1618" s="55">
        <f t="shared" si="633"/>
        <v>0</v>
      </c>
      <c r="GXV1618" s="55">
        <f t="shared" si="633"/>
        <v>0</v>
      </c>
      <c r="GXW1618" s="55">
        <f t="shared" si="633"/>
        <v>0</v>
      </c>
      <c r="GXX1618" s="55">
        <f t="shared" si="633"/>
        <v>0</v>
      </c>
      <c r="GXY1618" s="55">
        <f t="shared" si="633"/>
        <v>0</v>
      </c>
      <c r="GXZ1618" s="55">
        <f t="shared" si="633"/>
        <v>0</v>
      </c>
      <c r="GYA1618" s="55">
        <f t="shared" si="633"/>
        <v>0</v>
      </c>
      <c r="GYB1618" s="55">
        <f t="shared" si="633"/>
        <v>0</v>
      </c>
      <c r="GYC1618" s="55">
        <f t="shared" si="633"/>
        <v>0</v>
      </c>
      <c r="GYD1618" s="55">
        <f t="shared" si="633"/>
        <v>0</v>
      </c>
      <c r="GYE1618" s="55">
        <f t="shared" si="633"/>
        <v>0</v>
      </c>
      <c r="GYF1618" s="55">
        <f t="shared" ref="GYF1618:HAQ1618" si="634">+(GYF1627+GYF1608)*1.18*1.1</f>
        <v>0</v>
      </c>
      <c r="GYG1618" s="55">
        <f t="shared" si="634"/>
        <v>0</v>
      </c>
      <c r="GYH1618" s="55">
        <f t="shared" si="634"/>
        <v>0</v>
      </c>
      <c r="GYI1618" s="55">
        <f t="shared" si="634"/>
        <v>0</v>
      </c>
      <c r="GYJ1618" s="55">
        <f t="shared" si="634"/>
        <v>0</v>
      </c>
      <c r="GYK1618" s="55">
        <f t="shared" si="634"/>
        <v>0</v>
      </c>
      <c r="GYL1618" s="55">
        <f t="shared" si="634"/>
        <v>0</v>
      </c>
      <c r="GYM1618" s="55">
        <f t="shared" si="634"/>
        <v>0</v>
      </c>
      <c r="GYN1618" s="55">
        <f t="shared" si="634"/>
        <v>0</v>
      </c>
      <c r="GYO1618" s="55">
        <f t="shared" si="634"/>
        <v>0</v>
      </c>
      <c r="GYP1618" s="55">
        <f t="shared" si="634"/>
        <v>0</v>
      </c>
      <c r="GYQ1618" s="55">
        <f t="shared" si="634"/>
        <v>0</v>
      </c>
      <c r="GYR1618" s="55">
        <f t="shared" si="634"/>
        <v>0</v>
      </c>
      <c r="GYS1618" s="55">
        <f t="shared" si="634"/>
        <v>0</v>
      </c>
      <c r="GYT1618" s="55">
        <f t="shared" si="634"/>
        <v>0</v>
      </c>
      <c r="GYU1618" s="55">
        <f t="shared" si="634"/>
        <v>0</v>
      </c>
      <c r="GYV1618" s="55">
        <f t="shared" si="634"/>
        <v>0</v>
      </c>
      <c r="GYW1618" s="55">
        <f t="shared" si="634"/>
        <v>0</v>
      </c>
      <c r="GYX1618" s="55">
        <f t="shared" si="634"/>
        <v>0</v>
      </c>
      <c r="GYY1618" s="55">
        <f t="shared" si="634"/>
        <v>0</v>
      </c>
      <c r="GYZ1618" s="55">
        <f t="shared" si="634"/>
        <v>0</v>
      </c>
      <c r="GZA1618" s="55">
        <f t="shared" si="634"/>
        <v>0</v>
      </c>
      <c r="GZB1618" s="55">
        <f t="shared" si="634"/>
        <v>0</v>
      </c>
      <c r="GZC1618" s="55">
        <f t="shared" si="634"/>
        <v>0</v>
      </c>
      <c r="GZD1618" s="55">
        <f t="shared" si="634"/>
        <v>0</v>
      </c>
      <c r="GZE1618" s="55">
        <f t="shared" si="634"/>
        <v>0</v>
      </c>
      <c r="GZF1618" s="55">
        <f t="shared" si="634"/>
        <v>0</v>
      </c>
      <c r="GZG1618" s="55">
        <f t="shared" si="634"/>
        <v>0</v>
      </c>
      <c r="GZH1618" s="55">
        <f t="shared" si="634"/>
        <v>0</v>
      </c>
      <c r="GZI1618" s="55">
        <f t="shared" si="634"/>
        <v>0</v>
      </c>
      <c r="GZJ1618" s="55">
        <f t="shared" si="634"/>
        <v>0</v>
      </c>
      <c r="GZK1618" s="55">
        <f t="shared" si="634"/>
        <v>0</v>
      </c>
      <c r="GZL1618" s="55">
        <f t="shared" si="634"/>
        <v>0</v>
      </c>
      <c r="GZM1618" s="55">
        <f t="shared" si="634"/>
        <v>0</v>
      </c>
      <c r="GZN1618" s="55">
        <f t="shared" si="634"/>
        <v>0</v>
      </c>
      <c r="GZO1618" s="55">
        <f t="shared" si="634"/>
        <v>0</v>
      </c>
      <c r="GZP1618" s="55">
        <f t="shared" si="634"/>
        <v>0</v>
      </c>
      <c r="GZQ1618" s="55">
        <f t="shared" si="634"/>
        <v>0</v>
      </c>
      <c r="GZR1618" s="55">
        <f t="shared" si="634"/>
        <v>0</v>
      </c>
      <c r="GZS1618" s="55">
        <f t="shared" si="634"/>
        <v>0</v>
      </c>
      <c r="GZT1618" s="55">
        <f t="shared" si="634"/>
        <v>0</v>
      </c>
      <c r="GZU1618" s="55">
        <f t="shared" si="634"/>
        <v>0</v>
      </c>
      <c r="GZV1618" s="55">
        <f t="shared" si="634"/>
        <v>0</v>
      </c>
      <c r="GZW1618" s="55">
        <f t="shared" si="634"/>
        <v>0</v>
      </c>
      <c r="GZX1618" s="55">
        <f t="shared" si="634"/>
        <v>0</v>
      </c>
      <c r="GZY1618" s="55">
        <f t="shared" si="634"/>
        <v>0</v>
      </c>
      <c r="GZZ1618" s="55">
        <f t="shared" si="634"/>
        <v>0</v>
      </c>
      <c r="HAA1618" s="55">
        <f t="shared" si="634"/>
        <v>0</v>
      </c>
      <c r="HAB1618" s="55">
        <f t="shared" si="634"/>
        <v>0</v>
      </c>
      <c r="HAC1618" s="55">
        <f t="shared" si="634"/>
        <v>0</v>
      </c>
      <c r="HAD1618" s="55">
        <f t="shared" si="634"/>
        <v>0</v>
      </c>
      <c r="HAE1618" s="55">
        <f t="shared" si="634"/>
        <v>0</v>
      </c>
      <c r="HAF1618" s="55">
        <f t="shared" si="634"/>
        <v>0</v>
      </c>
      <c r="HAG1618" s="55">
        <f t="shared" si="634"/>
        <v>0</v>
      </c>
      <c r="HAH1618" s="55">
        <f t="shared" si="634"/>
        <v>0</v>
      </c>
      <c r="HAI1618" s="55">
        <f t="shared" si="634"/>
        <v>0</v>
      </c>
      <c r="HAJ1618" s="55">
        <f t="shared" si="634"/>
        <v>0</v>
      </c>
      <c r="HAK1618" s="55">
        <f t="shared" si="634"/>
        <v>0</v>
      </c>
      <c r="HAL1618" s="55">
        <f t="shared" si="634"/>
        <v>0</v>
      </c>
      <c r="HAM1618" s="55">
        <f t="shared" si="634"/>
        <v>0</v>
      </c>
      <c r="HAN1618" s="55">
        <f t="shared" si="634"/>
        <v>0</v>
      </c>
      <c r="HAO1618" s="55">
        <f t="shared" si="634"/>
        <v>0</v>
      </c>
      <c r="HAP1618" s="55">
        <f t="shared" si="634"/>
        <v>0</v>
      </c>
      <c r="HAQ1618" s="55">
        <f t="shared" si="634"/>
        <v>0</v>
      </c>
      <c r="HAR1618" s="55">
        <f t="shared" ref="HAR1618:HDC1618" si="635">+(HAR1627+HAR1608)*1.18*1.1</f>
        <v>0</v>
      </c>
      <c r="HAS1618" s="55">
        <f t="shared" si="635"/>
        <v>0</v>
      </c>
      <c r="HAT1618" s="55">
        <f t="shared" si="635"/>
        <v>0</v>
      </c>
      <c r="HAU1618" s="55">
        <f t="shared" si="635"/>
        <v>0</v>
      </c>
      <c r="HAV1618" s="55">
        <f t="shared" si="635"/>
        <v>0</v>
      </c>
      <c r="HAW1618" s="55">
        <f t="shared" si="635"/>
        <v>0</v>
      </c>
      <c r="HAX1618" s="55">
        <f t="shared" si="635"/>
        <v>0</v>
      </c>
      <c r="HAY1618" s="55">
        <f t="shared" si="635"/>
        <v>0</v>
      </c>
      <c r="HAZ1618" s="55">
        <f t="shared" si="635"/>
        <v>0</v>
      </c>
      <c r="HBA1618" s="55">
        <f t="shared" si="635"/>
        <v>0</v>
      </c>
      <c r="HBB1618" s="55">
        <f t="shared" si="635"/>
        <v>0</v>
      </c>
      <c r="HBC1618" s="55">
        <f t="shared" si="635"/>
        <v>0</v>
      </c>
      <c r="HBD1618" s="55">
        <f t="shared" si="635"/>
        <v>0</v>
      </c>
      <c r="HBE1618" s="55">
        <f t="shared" si="635"/>
        <v>0</v>
      </c>
      <c r="HBF1618" s="55">
        <f t="shared" si="635"/>
        <v>0</v>
      </c>
      <c r="HBG1618" s="55">
        <f t="shared" si="635"/>
        <v>0</v>
      </c>
      <c r="HBH1618" s="55">
        <f t="shared" si="635"/>
        <v>0</v>
      </c>
      <c r="HBI1618" s="55">
        <f t="shared" si="635"/>
        <v>0</v>
      </c>
      <c r="HBJ1618" s="55">
        <f t="shared" si="635"/>
        <v>0</v>
      </c>
      <c r="HBK1618" s="55">
        <f t="shared" si="635"/>
        <v>0</v>
      </c>
      <c r="HBL1618" s="55">
        <f t="shared" si="635"/>
        <v>0</v>
      </c>
      <c r="HBM1618" s="55">
        <f t="shared" si="635"/>
        <v>0</v>
      </c>
      <c r="HBN1618" s="55">
        <f t="shared" si="635"/>
        <v>0</v>
      </c>
      <c r="HBO1618" s="55">
        <f t="shared" si="635"/>
        <v>0</v>
      </c>
      <c r="HBP1618" s="55">
        <f t="shared" si="635"/>
        <v>0</v>
      </c>
      <c r="HBQ1618" s="55">
        <f t="shared" si="635"/>
        <v>0</v>
      </c>
      <c r="HBR1618" s="55">
        <f t="shared" si="635"/>
        <v>0</v>
      </c>
      <c r="HBS1618" s="55">
        <f t="shared" si="635"/>
        <v>0</v>
      </c>
      <c r="HBT1618" s="55">
        <f t="shared" si="635"/>
        <v>0</v>
      </c>
      <c r="HBU1618" s="55">
        <f t="shared" si="635"/>
        <v>0</v>
      </c>
      <c r="HBV1618" s="55">
        <f t="shared" si="635"/>
        <v>0</v>
      </c>
      <c r="HBW1618" s="55">
        <f t="shared" si="635"/>
        <v>0</v>
      </c>
      <c r="HBX1618" s="55">
        <f t="shared" si="635"/>
        <v>0</v>
      </c>
      <c r="HBY1618" s="55">
        <f t="shared" si="635"/>
        <v>0</v>
      </c>
      <c r="HBZ1618" s="55">
        <f t="shared" si="635"/>
        <v>0</v>
      </c>
      <c r="HCA1618" s="55">
        <f t="shared" si="635"/>
        <v>0</v>
      </c>
      <c r="HCB1618" s="55">
        <f t="shared" si="635"/>
        <v>0</v>
      </c>
      <c r="HCC1618" s="55">
        <f t="shared" si="635"/>
        <v>0</v>
      </c>
      <c r="HCD1618" s="55">
        <f t="shared" si="635"/>
        <v>0</v>
      </c>
      <c r="HCE1618" s="55">
        <f t="shared" si="635"/>
        <v>0</v>
      </c>
      <c r="HCF1618" s="55">
        <f t="shared" si="635"/>
        <v>0</v>
      </c>
      <c r="HCG1618" s="55">
        <f t="shared" si="635"/>
        <v>0</v>
      </c>
      <c r="HCH1618" s="55">
        <f t="shared" si="635"/>
        <v>0</v>
      </c>
      <c r="HCI1618" s="55">
        <f t="shared" si="635"/>
        <v>0</v>
      </c>
      <c r="HCJ1618" s="55">
        <f t="shared" si="635"/>
        <v>0</v>
      </c>
      <c r="HCK1618" s="55">
        <f t="shared" si="635"/>
        <v>0</v>
      </c>
      <c r="HCL1618" s="55">
        <f t="shared" si="635"/>
        <v>0</v>
      </c>
      <c r="HCM1618" s="55">
        <f t="shared" si="635"/>
        <v>0</v>
      </c>
      <c r="HCN1618" s="55">
        <f t="shared" si="635"/>
        <v>0</v>
      </c>
      <c r="HCO1618" s="55">
        <f t="shared" si="635"/>
        <v>0</v>
      </c>
      <c r="HCP1618" s="55">
        <f t="shared" si="635"/>
        <v>0</v>
      </c>
      <c r="HCQ1618" s="55">
        <f t="shared" si="635"/>
        <v>0</v>
      </c>
      <c r="HCR1618" s="55">
        <f t="shared" si="635"/>
        <v>0</v>
      </c>
      <c r="HCS1618" s="55">
        <f t="shared" si="635"/>
        <v>0</v>
      </c>
      <c r="HCT1618" s="55">
        <f t="shared" si="635"/>
        <v>0</v>
      </c>
      <c r="HCU1618" s="55">
        <f t="shared" si="635"/>
        <v>0</v>
      </c>
      <c r="HCV1618" s="55">
        <f t="shared" si="635"/>
        <v>0</v>
      </c>
      <c r="HCW1618" s="55">
        <f t="shared" si="635"/>
        <v>0</v>
      </c>
      <c r="HCX1618" s="55">
        <f t="shared" si="635"/>
        <v>0</v>
      </c>
      <c r="HCY1618" s="55">
        <f t="shared" si="635"/>
        <v>0</v>
      </c>
      <c r="HCZ1618" s="55">
        <f t="shared" si="635"/>
        <v>0</v>
      </c>
      <c r="HDA1618" s="55">
        <f t="shared" si="635"/>
        <v>0</v>
      </c>
      <c r="HDB1618" s="55">
        <f t="shared" si="635"/>
        <v>0</v>
      </c>
      <c r="HDC1618" s="55">
        <f t="shared" si="635"/>
        <v>0</v>
      </c>
      <c r="HDD1618" s="55">
        <f t="shared" ref="HDD1618:HFO1618" si="636">+(HDD1627+HDD1608)*1.18*1.1</f>
        <v>0</v>
      </c>
      <c r="HDE1618" s="55">
        <f t="shared" si="636"/>
        <v>0</v>
      </c>
      <c r="HDF1618" s="55">
        <f t="shared" si="636"/>
        <v>0</v>
      </c>
      <c r="HDG1618" s="55">
        <f t="shared" si="636"/>
        <v>0</v>
      </c>
      <c r="HDH1618" s="55">
        <f t="shared" si="636"/>
        <v>0</v>
      </c>
      <c r="HDI1618" s="55">
        <f t="shared" si="636"/>
        <v>0</v>
      </c>
      <c r="HDJ1618" s="55">
        <f t="shared" si="636"/>
        <v>0</v>
      </c>
      <c r="HDK1618" s="55">
        <f t="shared" si="636"/>
        <v>0</v>
      </c>
      <c r="HDL1618" s="55">
        <f t="shared" si="636"/>
        <v>0</v>
      </c>
      <c r="HDM1618" s="55">
        <f t="shared" si="636"/>
        <v>0</v>
      </c>
      <c r="HDN1618" s="55">
        <f t="shared" si="636"/>
        <v>0</v>
      </c>
      <c r="HDO1618" s="55">
        <f t="shared" si="636"/>
        <v>0</v>
      </c>
      <c r="HDP1618" s="55">
        <f t="shared" si="636"/>
        <v>0</v>
      </c>
      <c r="HDQ1618" s="55">
        <f t="shared" si="636"/>
        <v>0</v>
      </c>
      <c r="HDR1618" s="55">
        <f t="shared" si="636"/>
        <v>0</v>
      </c>
      <c r="HDS1618" s="55">
        <f t="shared" si="636"/>
        <v>0</v>
      </c>
      <c r="HDT1618" s="55">
        <f t="shared" si="636"/>
        <v>0</v>
      </c>
      <c r="HDU1618" s="55">
        <f t="shared" si="636"/>
        <v>0</v>
      </c>
      <c r="HDV1618" s="55">
        <f t="shared" si="636"/>
        <v>0</v>
      </c>
      <c r="HDW1618" s="55">
        <f t="shared" si="636"/>
        <v>0</v>
      </c>
      <c r="HDX1618" s="55">
        <f t="shared" si="636"/>
        <v>0</v>
      </c>
      <c r="HDY1618" s="55">
        <f t="shared" si="636"/>
        <v>0</v>
      </c>
      <c r="HDZ1618" s="55">
        <f t="shared" si="636"/>
        <v>0</v>
      </c>
      <c r="HEA1618" s="55">
        <f t="shared" si="636"/>
        <v>0</v>
      </c>
      <c r="HEB1618" s="55">
        <f t="shared" si="636"/>
        <v>0</v>
      </c>
      <c r="HEC1618" s="55">
        <f t="shared" si="636"/>
        <v>0</v>
      </c>
      <c r="HED1618" s="55">
        <f t="shared" si="636"/>
        <v>0</v>
      </c>
      <c r="HEE1618" s="55">
        <f t="shared" si="636"/>
        <v>0</v>
      </c>
      <c r="HEF1618" s="55">
        <f t="shared" si="636"/>
        <v>0</v>
      </c>
      <c r="HEG1618" s="55">
        <f t="shared" si="636"/>
        <v>0</v>
      </c>
      <c r="HEH1618" s="55">
        <f t="shared" si="636"/>
        <v>0</v>
      </c>
      <c r="HEI1618" s="55">
        <f t="shared" si="636"/>
        <v>0</v>
      </c>
      <c r="HEJ1618" s="55">
        <f t="shared" si="636"/>
        <v>0</v>
      </c>
      <c r="HEK1618" s="55">
        <f t="shared" si="636"/>
        <v>0</v>
      </c>
      <c r="HEL1618" s="55">
        <f t="shared" si="636"/>
        <v>0</v>
      </c>
      <c r="HEM1618" s="55">
        <f t="shared" si="636"/>
        <v>0</v>
      </c>
      <c r="HEN1618" s="55">
        <f t="shared" si="636"/>
        <v>0</v>
      </c>
      <c r="HEO1618" s="55">
        <f t="shared" si="636"/>
        <v>0</v>
      </c>
      <c r="HEP1618" s="55">
        <f t="shared" si="636"/>
        <v>0</v>
      </c>
      <c r="HEQ1618" s="55">
        <f t="shared" si="636"/>
        <v>0</v>
      </c>
      <c r="HER1618" s="55">
        <f t="shared" si="636"/>
        <v>0</v>
      </c>
      <c r="HES1618" s="55">
        <f t="shared" si="636"/>
        <v>0</v>
      </c>
      <c r="HET1618" s="55">
        <f t="shared" si="636"/>
        <v>0</v>
      </c>
      <c r="HEU1618" s="55">
        <f t="shared" si="636"/>
        <v>0</v>
      </c>
      <c r="HEV1618" s="55">
        <f t="shared" si="636"/>
        <v>0</v>
      </c>
      <c r="HEW1618" s="55">
        <f t="shared" si="636"/>
        <v>0</v>
      </c>
      <c r="HEX1618" s="55">
        <f t="shared" si="636"/>
        <v>0</v>
      </c>
      <c r="HEY1618" s="55">
        <f t="shared" si="636"/>
        <v>0</v>
      </c>
      <c r="HEZ1618" s="55">
        <f t="shared" si="636"/>
        <v>0</v>
      </c>
      <c r="HFA1618" s="55">
        <f t="shared" si="636"/>
        <v>0</v>
      </c>
      <c r="HFB1618" s="55">
        <f t="shared" si="636"/>
        <v>0</v>
      </c>
      <c r="HFC1618" s="55">
        <f t="shared" si="636"/>
        <v>0</v>
      </c>
      <c r="HFD1618" s="55">
        <f t="shared" si="636"/>
        <v>0</v>
      </c>
      <c r="HFE1618" s="55">
        <f t="shared" si="636"/>
        <v>0</v>
      </c>
      <c r="HFF1618" s="55">
        <f t="shared" si="636"/>
        <v>0</v>
      </c>
      <c r="HFG1618" s="55">
        <f t="shared" si="636"/>
        <v>0</v>
      </c>
      <c r="HFH1618" s="55">
        <f t="shared" si="636"/>
        <v>0</v>
      </c>
      <c r="HFI1618" s="55">
        <f t="shared" si="636"/>
        <v>0</v>
      </c>
      <c r="HFJ1618" s="55">
        <f t="shared" si="636"/>
        <v>0</v>
      </c>
      <c r="HFK1618" s="55">
        <f t="shared" si="636"/>
        <v>0</v>
      </c>
      <c r="HFL1618" s="55">
        <f t="shared" si="636"/>
        <v>0</v>
      </c>
      <c r="HFM1618" s="55">
        <f t="shared" si="636"/>
        <v>0</v>
      </c>
      <c r="HFN1618" s="55">
        <f t="shared" si="636"/>
        <v>0</v>
      </c>
      <c r="HFO1618" s="55">
        <f t="shared" si="636"/>
        <v>0</v>
      </c>
      <c r="HFP1618" s="55">
        <f t="shared" ref="HFP1618:HIA1618" si="637">+(HFP1627+HFP1608)*1.18*1.1</f>
        <v>0</v>
      </c>
      <c r="HFQ1618" s="55">
        <f t="shared" si="637"/>
        <v>0</v>
      </c>
      <c r="HFR1618" s="55">
        <f t="shared" si="637"/>
        <v>0</v>
      </c>
      <c r="HFS1618" s="55">
        <f t="shared" si="637"/>
        <v>0</v>
      </c>
      <c r="HFT1618" s="55">
        <f t="shared" si="637"/>
        <v>0</v>
      </c>
      <c r="HFU1618" s="55">
        <f t="shared" si="637"/>
        <v>0</v>
      </c>
      <c r="HFV1618" s="55">
        <f t="shared" si="637"/>
        <v>0</v>
      </c>
      <c r="HFW1618" s="55">
        <f t="shared" si="637"/>
        <v>0</v>
      </c>
      <c r="HFX1618" s="55">
        <f t="shared" si="637"/>
        <v>0</v>
      </c>
      <c r="HFY1618" s="55">
        <f t="shared" si="637"/>
        <v>0</v>
      </c>
      <c r="HFZ1618" s="55">
        <f t="shared" si="637"/>
        <v>0</v>
      </c>
      <c r="HGA1618" s="55">
        <f t="shared" si="637"/>
        <v>0</v>
      </c>
      <c r="HGB1618" s="55">
        <f t="shared" si="637"/>
        <v>0</v>
      </c>
      <c r="HGC1618" s="55">
        <f t="shared" si="637"/>
        <v>0</v>
      </c>
      <c r="HGD1618" s="55">
        <f t="shared" si="637"/>
        <v>0</v>
      </c>
      <c r="HGE1618" s="55">
        <f t="shared" si="637"/>
        <v>0</v>
      </c>
      <c r="HGF1618" s="55">
        <f t="shared" si="637"/>
        <v>0</v>
      </c>
      <c r="HGG1618" s="55">
        <f t="shared" si="637"/>
        <v>0</v>
      </c>
      <c r="HGH1618" s="55">
        <f t="shared" si="637"/>
        <v>0</v>
      </c>
      <c r="HGI1618" s="55">
        <f t="shared" si="637"/>
        <v>0</v>
      </c>
      <c r="HGJ1618" s="55">
        <f t="shared" si="637"/>
        <v>0</v>
      </c>
      <c r="HGK1618" s="55">
        <f t="shared" si="637"/>
        <v>0</v>
      </c>
      <c r="HGL1618" s="55">
        <f t="shared" si="637"/>
        <v>0</v>
      </c>
      <c r="HGM1618" s="55">
        <f t="shared" si="637"/>
        <v>0</v>
      </c>
      <c r="HGN1618" s="55">
        <f t="shared" si="637"/>
        <v>0</v>
      </c>
      <c r="HGO1618" s="55">
        <f t="shared" si="637"/>
        <v>0</v>
      </c>
      <c r="HGP1618" s="55">
        <f t="shared" si="637"/>
        <v>0</v>
      </c>
      <c r="HGQ1618" s="55">
        <f t="shared" si="637"/>
        <v>0</v>
      </c>
      <c r="HGR1618" s="55">
        <f t="shared" si="637"/>
        <v>0</v>
      </c>
      <c r="HGS1618" s="55">
        <f t="shared" si="637"/>
        <v>0</v>
      </c>
      <c r="HGT1618" s="55">
        <f t="shared" si="637"/>
        <v>0</v>
      </c>
      <c r="HGU1618" s="55">
        <f t="shared" si="637"/>
        <v>0</v>
      </c>
      <c r="HGV1618" s="55">
        <f t="shared" si="637"/>
        <v>0</v>
      </c>
      <c r="HGW1618" s="55">
        <f t="shared" si="637"/>
        <v>0</v>
      </c>
      <c r="HGX1618" s="55">
        <f t="shared" si="637"/>
        <v>0</v>
      </c>
      <c r="HGY1618" s="55">
        <f t="shared" si="637"/>
        <v>0</v>
      </c>
      <c r="HGZ1618" s="55">
        <f t="shared" si="637"/>
        <v>0</v>
      </c>
      <c r="HHA1618" s="55">
        <f t="shared" si="637"/>
        <v>0</v>
      </c>
      <c r="HHB1618" s="55">
        <f t="shared" si="637"/>
        <v>0</v>
      </c>
      <c r="HHC1618" s="55">
        <f t="shared" si="637"/>
        <v>0</v>
      </c>
      <c r="HHD1618" s="55">
        <f t="shared" si="637"/>
        <v>0</v>
      </c>
      <c r="HHE1618" s="55">
        <f t="shared" si="637"/>
        <v>0</v>
      </c>
      <c r="HHF1618" s="55">
        <f t="shared" si="637"/>
        <v>0</v>
      </c>
      <c r="HHG1618" s="55">
        <f t="shared" si="637"/>
        <v>0</v>
      </c>
      <c r="HHH1618" s="55">
        <f t="shared" si="637"/>
        <v>0</v>
      </c>
      <c r="HHI1618" s="55">
        <f t="shared" si="637"/>
        <v>0</v>
      </c>
      <c r="HHJ1618" s="55">
        <f t="shared" si="637"/>
        <v>0</v>
      </c>
      <c r="HHK1618" s="55">
        <f t="shared" si="637"/>
        <v>0</v>
      </c>
      <c r="HHL1618" s="55">
        <f t="shared" si="637"/>
        <v>0</v>
      </c>
      <c r="HHM1618" s="55">
        <f t="shared" si="637"/>
        <v>0</v>
      </c>
      <c r="HHN1618" s="55">
        <f t="shared" si="637"/>
        <v>0</v>
      </c>
      <c r="HHO1618" s="55">
        <f t="shared" si="637"/>
        <v>0</v>
      </c>
      <c r="HHP1618" s="55">
        <f t="shared" si="637"/>
        <v>0</v>
      </c>
      <c r="HHQ1618" s="55">
        <f t="shared" si="637"/>
        <v>0</v>
      </c>
      <c r="HHR1618" s="55">
        <f t="shared" si="637"/>
        <v>0</v>
      </c>
      <c r="HHS1618" s="55">
        <f t="shared" si="637"/>
        <v>0</v>
      </c>
      <c r="HHT1618" s="55">
        <f t="shared" si="637"/>
        <v>0</v>
      </c>
      <c r="HHU1618" s="55">
        <f t="shared" si="637"/>
        <v>0</v>
      </c>
      <c r="HHV1618" s="55">
        <f t="shared" si="637"/>
        <v>0</v>
      </c>
      <c r="HHW1618" s="55">
        <f t="shared" si="637"/>
        <v>0</v>
      </c>
      <c r="HHX1618" s="55">
        <f t="shared" si="637"/>
        <v>0</v>
      </c>
      <c r="HHY1618" s="55">
        <f t="shared" si="637"/>
        <v>0</v>
      </c>
      <c r="HHZ1618" s="55">
        <f t="shared" si="637"/>
        <v>0</v>
      </c>
      <c r="HIA1618" s="55">
        <f t="shared" si="637"/>
        <v>0</v>
      </c>
      <c r="HIB1618" s="55">
        <f t="shared" ref="HIB1618:HKM1618" si="638">+(HIB1627+HIB1608)*1.18*1.1</f>
        <v>0</v>
      </c>
      <c r="HIC1618" s="55">
        <f t="shared" si="638"/>
        <v>0</v>
      </c>
      <c r="HID1618" s="55">
        <f t="shared" si="638"/>
        <v>0</v>
      </c>
      <c r="HIE1618" s="55">
        <f t="shared" si="638"/>
        <v>0</v>
      </c>
      <c r="HIF1618" s="55">
        <f t="shared" si="638"/>
        <v>0</v>
      </c>
      <c r="HIG1618" s="55">
        <f t="shared" si="638"/>
        <v>0</v>
      </c>
      <c r="HIH1618" s="55">
        <f t="shared" si="638"/>
        <v>0</v>
      </c>
      <c r="HII1618" s="55">
        <f t="shared" si="638"/>
        <v>0</v>
      </c>
      <c r="HIJ1618" s="55">
        <f t="shared" si="638"/>
        <v>0</v>
      </c>
      <c r="HIK1618" s="55">
        <f t="shared" si="638"/>
        <v>0</v>
      </c>
      <c r="HIL1618" s="55">
        <f t="shared" si="638"/>
        <v>0</v>
      </c>
      <c r="HIM1618" s="55">
        <f t="shared" si="638"/>
        <v>0</v>
      </c>
      <c r="HIN1618" s="55">
        <f t="shared" si="638"/>
        <v>0</v>
      </c>
      <c r="HIO1618" s="55">
        <f t="shared" si="638"/>
        <v>0</v>
      </c>
      <c r="HIP1618" s="55">
        <f t="shared" si="638"/>
        <v>0</v>
      </c>
      <c r="HIQ1618" s="55">
        <f t="shared" si="638"/>
        <v>0</v>
      </c>
      <c r="HIR1618" s="55">
        <f t="shared" si="638"/>
        <v>0</v>
      </c>
      <c r="HIS1618" s="55">
        <f t="shared" si="638"/>
        <v>0</v>
      </c>
      <c r="HIT1618" s="55">
        <f t="shared" si="638"/>
        <v>0</v>
      </c>
      <c r="HIU1618" s="55">
        <f t="shared" si="638"/>
        <v>0</v>
      </c>
      <c r="HIV1618" s="55">
        <f t="shared" si="638"/>
        <v>0</v>
      </c>
      <c r="HIW1618" s="55">
        <f t="shared" si="638"/>
        <v>0</v>
      </c>
      <c r="HIX1618" s="55">
        <f t="shared" si="638"/>
        <v>0</v>
      </c>
      <c r="HIY1618" s="55">
        <f t="shared" si="638"/>
        <v>0</v>
      </c>
      <c r="HIZ1618" s="55">
        <f t="shared" si="638"/>
        <v>0</v>
      </c>
      <c r="HJA1618" s="55">
        <f t="shared" si="638"/>
        <v>0</v>
      </c>
      <c r="HJB1618" s="55">
        <f t="shared" si="638"/>
        <v>0</v>
      </c>
      <c r="HJC1618" s="55">
        <f t="shared" si="638"/>
        <v>0</v>
      </c>
      <c r="HJD1618" s="55">
        <f t="shared" si="638"/>
        <v>0</v>
      </c>
      <c r="HJE1618" s="55">
        <f t="shared" si="638"/>
        <v>0</v>
      </c>
      <c r="HJF1618" s="55">
        <f t="shared" si="638"/>
        <v>0</v>
      </c>
      <c r="HJG1618" s="55">
        <f t="shared" si="638"/>
        <v>0</v>
      </c>
      <c r="HJH1618" s="55">
        <f t="shared" si="638"/>
        <v>0</v>
      </c>
      <c r="HJI1618" s="55">
        <f t="shared" si="638"/>
        <v>0</v>
      </c>
      <c r="HJJ1618" s="55">
        <f t="shared" si="638"/>
        <v>0</v>
      </c>
      <c r="HJK1618" s="55">
        <f t="shared" si="638"/>
        <v>0</v>
      </c>
      <c r="HJL1618" s="55">
        <f t="shared" si="638"/>
        <v>0</v>
      </c>
      <c r="HJM1618" s="55">
        <f t="shared" si="638"/>
        <v>0</v>
      </c>
      <c r="HJN1618" s="55">
        <f t="shared" si="638"/>
        <v>0</v>
      </c>
      <c r="HJO1618" s="55">
        <f t="shared" si="638"/>
        <v>0</v>
      </c>
      <c r="HJP1618" s="55">
        <f t="shared" si="638"/>
        <v>0</v>
      </c>
      <c r="HJQ1618" s="55">
        <f t="shared" si="638"/>
        <v>0</v>
      </c>
      <c r="HJR1618" s="55">
        <f t="shared" si="638"/>
        <v>0</v>
      </c>
      <c r="HJS1618" s="55">
        <f t="shared" si="638"/>
        <v>0</v>
      </c>
      <c r="HJT1618" s="55">
        <f t="shared" si="638"/>
        <v>0</v>
      </c>
      <c r="HJU1618" s="55">
        <f t="shared" si="638"/>
        <v>0</v>
      </c>
      <c r="HJV1618" s="55">
        <f t="shared" si="638"/>
        <v>0</v>
      </c>
      <c r="HJW1618" s="55">
        <f t="shared" si="638"/>
        <v>0</v>
      </c>
      <c r="HJX1618" s="55">
        <f t="shared" si="638"/>
        <v>0</v>
      </c>
      <c r="HJY1618" s="55">
        <f t="shared" si="638"/>
        <v>0</v>
      </c>
      <c r="HJZ1618" s="55">
        <f t="shared" si="638"/>
        <v>0</v>
      </c>
      <c r="HKA1618" s="55">
        <f t="shared" si="638"/>
        <v>0</v>
      </c>
      <c r="HKB1618" s="55">
        <f t="shared" si="638"/>
        <v>0</v>
      </c>
      <c r="HKC1618" s="55">
        <f t="shared" si="638"/>
        <v>0</v>
      </c>
      <c r="HKD1618" s="55">
        <f t="shared" si="638"/>
        <v>0</v>
      </c>
      <c r="HKE1618" s="55">
        <f t="shared" si="638"/>
        <v>0</v>
      </c>
      <c r="HKF1618" s="55">
        <f t="shared" si="638"/>
        <v>0</v>
      </c>
      <c r="HKG1618" s="55">
        <f t="shared" si="638"/>
        <v>0</v>
      </c>
      <c r="HKH1618" s="55">
        <f t="shared" si="638"/>
        <v>0</v>
      </c>
      <c r="HKI1618" s="55">
        <f t="shared" si="638"/>
        <v>0</v>
      </c>
      <c r="HKJ1618" s="55">
        <f t="shared" si="638"/>
        <v>0</v>
      </c>
      <c r="HKK1618" s="55">
        <f t="shared" si="638"/>
        <v>0</v>
      </c>
      <c r="HKL1618" s="55">
        <f t="shared" si="638"/>
        <v>0</v>
      </c>
      <c r="HKM1618" s="55">
        <f t="shared" si="638"/>
        <v>0</v>
      </c>
      <c r="HKN1618" s="55">
        <f t="shared" ref="HKN1618:HMY1618" si="639">+(HKN1627+HKN1608)*1.18*1.1</f>
        <v>0</v>
      </c>
      <c r="HKO1618" s="55">
        <f t="shared" si="639"/>
        <v>0</v>
      </c>
      <c r="HKP1618" s="55">
        <f t="shared" si="639"/>
        <v>0</v>
      </c>
      <c r="HKQ1618" s="55">
        <f t="shared" si="639"/>
        <v>0</v>
      </c>
      <c r="HKR1618" s="55">
        <f t="shared" si="639"/>
        <v>0</v>
      </c>
      <c r="HKS1618" s="55">
        <f t="shared" si="639"/>
        <v>0</v>
      </c>
      <c r="HKT1618" s="55">
        <f t="shared" si="639"/>
        <v>0</v>
      </c>
      <c r="HKU1618" s="55">
        <f t="shared" si="639"/>
        <v>0</v>
      </c>
      <c r="HKV1618" s="55">
        <f t="shared" si="639"/>
        <v>0</v>
      </c>
      <c r="HKW1618" s="55">
        <f t="shared" si="639"/>
        <v>0</v>
      </c>
      <c r="HKX1618" s="55">
        <f t="shared" si="639"/>
        <v>0</v>
      </c>
      <c r="HKY1618" s="55">
        <f t="shared" si="639"/>
        <v>0</v>
      </c>
      <c r="HKZ1618" s="55">
        <f t="shared" si="639"/>
        <v>0</v>
      </c>
      <c r="HLA1618" s="55">
        <f t="shared" si="639"/>
        <v>0</v>
      </c>
      <c r="HLB1618" s="55">
        <f t="shared" si="639"/>
        <v>0</v>
      </c>
      <c r="HLC1618" s="55">
        <f t="shared" si="639"/>
        <v>0</v>
      </c>
      <c r="HLD1618" s="55">
        <f t="shared" si="639"/>
        <v>0</v>
      </c>
      <c r="HLE1618" s="55">
        <f t="shared" si="639"/>
        <v>0</v>
      </c>
      <c r="HLF1618" s="55">
        <f t="shared" si="639"/>
        <v>0</v>
      </c>
      <c r="HLG1618" s="55">
        <f t="shared" si="639"/>
        <v>0</v>
      </c>
      <c r="HLH1618" s="55">
        <f t="shared" si="639"/>
        <v>0</v>
      </c>
      <c r="HLI1618" s="55">
        <f t="shared" si="639"/>
        <v>0</v>
      </c>
      <c r="HLJ1618" s="55">
        <f t="shared" si="639"/>
        <v>0</v>
      </c>
      <c r="HLK1618" s="55">
        <f t="shared" si="639"/>
        <v>0</v>
      </c>
      <c r="HLL1618" s="55">
        <f t="shared" si="639"/>
        <v>0</v>
      </c>
      <c r="HLM1618" s="55">
        <f t="shared" si="639"/>
        <v>0</v>
      </c>
      <c r="HLN1618" s="55">
        <f t="shared" si="639"/>
        <v>0</v>
      </c>
      <c r="HLO1618" s="55">
        <f t="shared" si="639"/>
        <v>0</v>
      </c>
      <c r="HLP1618" s="55">
        <f t="shared" si="639"/>
        <v>0</v>
      </c>
      <c r="HLQ1618" s="55">
        <f t="shared" si="639"/>
        <v>0</v>
      </c>
      <c r="HLR1618" s="55">
        <f t="shared" si="639"/>
        <v>0</v>
      </c>
      <c r="HLS1618" s="55">
        <f t="shared" si="639"/>
        <v>0</v>
      </c>
      <c r="HLT1618" s="55">
        <f t="shared" si="639"/>
        <v>0</v>
      </c>
      <c r="HLU1618" s="55">
        <f t="shared" si="639"/>
        <v>0</v>
      </c>
      <c r="HLV1618" s="55">
        <f t="shared" si="639"/>
        <v>0</v>
      </c>
      <c r="HLW1618" s="55">
        <f t="shared" si="639"/>
        <v>0</v>
      </c>
      <c r="HLX1618" s="55">
        <f t="shared" si="639"/>
        <v>0</v>
      </c>
      <c r="HLY1618" s="55">
        <f t="shared" si="639"/>
        <v>0</v>
      </c>
      <c r="HLZ1618" s="55">
        <f t="shared" si="639"/>
        <v>0</v>
      </c>
      <c r="HMA1618" s="55">
        <f t="shared" si="639"/>
        <v>0</v>
      </c>
      <c r="HMB1618" s="55">
        <f t="shared" si="639"/>
        <v>0</v>
      </c>
      <c r="HMC1618" s="55">
        <f t="shared" si="639"/>
        <v>0</v>
      </c>
      <c r="HMD1618" s="55">
        <f t="shared" si="639"/>
        <v>0</v>
      </c>
      <c r="HME1618" s="55">
        <f t="shared" si="639"/>
        <v>0</v>
      </c>
      <c r="HMF1618" s="55">
        <f t="shared" si="639"/>
        <v>0</v>
      </c>
      <c r="HMG1618" s="55">
        <f t="shared" si="639"/>
        <v>0</v>
      </c>
      <c r="HMH1618" s="55">
        <f t="shared" si="639"/>
        <v>0</v>
      </c>
      <c r="HMI1618" s="55">
        <f t="shared" si="639"/>
        <v>0</v>
      </c>
      <c r="HMJ1618" s="55">
        <f t="shared" si="639"/>
        <v>0</v>
      </c>
      <c r="HMK1618" s="55">
        <f t="shared" si="639"/>
        <v>0</v>
      </c>
      <c r="HML1618" s="55">
        <f t="shared" si="639"/>
        <v>0</v>
      </c>
      <c r="HMM1618" s="55">
        <f t="shared" si="639"/>
        <v>0</v>
      </c>
      <c r="HMN1618" s="55">
        <f t="shared" si="639"/>
        <v>0</v>
      </c>
      <c r="HMO1618" s="55">
        <f t="shared" si="639"/>
        <v>0</v>
      </c>
      <c r="HMP1618" s="55">
        <f t="shared" si="639"/>
        <v>0</v>
      </c>
      <c r="HMQ1618" s="55">
        <f t="shared" si="639"/>
        <v>0</v>
      </c>
      <c r="HMR1618" s="55">
        <f t="shared" si="639"/>
        <v>0</v>
      </c>
      <c r="HMS1618" s="55">
        <f t="shared" si="639"/>
        <v>0</v>
      </c>
      <c r="HMT1618" s="55">
        <f t="shared" si="639"/>
        <v>0</v>
      </c>
      <c r="HMU1618" s="55">
        <f t="shared" si="639"/>
        <v>0</v>
      </c>
      <c r="HMV1618" s="55">
        <f t="shared" si="639"/>
        <v>0</v>
      </c>
      <c r="HMW1618" s="55">
        <f t="shared" si="639"/>
        <v>0</v>
      </c>
      <c r="HMX1618" s="55">
        <f t="shared" si="639"/>
        <v>0</v>
      </c>
      <c r="HMY1618" s="55">
        <f t="shared" si="639"/>
        <v>0</v>
      </c>
      <c r="HMZ1618" s="55">
        <f t="shared" ref="HMZ1618:HPK1618" si="640">+(HMZ1627+HMZ1608)*1.18*1.1</f>
        <v>0</v>
      </c>
      <c r="HNA1618" s="55">
        <f t="shared" si="640"/>
        <v>0</v>
      </c>
      <c r="HNB1618" s="55">
        <f t="shared" si="640"/>
        <v>0</v>
      </c>
      <c r="HNC1618" s="55">
        <f t="shared" si="640"/>
        <v>0</v>
      </c>
      <c r="HND1618" s="55">
        <f t="shared" si="640"/>
        <v>0</v>
      </c>
      <c r="HNE1618" s="55">
        <f t="shared" si="640"/>
        <v>0</v>
      </c>
      <c r="HNF1618" s="55">
        <f t="shared" si="640"/>
        <v>0</v>
      </c>
      <c r="HNG1618" s="55">
        <f t="shared" si="640"/>
        <v>0</v>
      </c>
      <c r="HNH1618" s="55">
        <f t="shared" si="640"/>
        <v>0</v>
      </c>
      <c r="HNI1618" s="55">
        <f t="shared" si="640"/>
        <v>0</v>
      </c>
      <c r="HNJ1618" s="55">
        <f t="shared" si="640"/>
        <v>0</v>
      </c>
      <c r="HNK1618" s="55">
        <f t="shared" si="640"/>
        <v>0</v>
      </c>
      <c r="HNL1618" s="55">
        <f t="shared" si="640"/>
        <v>0</v>
      </c>
      <c r="HNM1618" s="55">
        <f t="shared" si="640"/>
        <v>0</v>
      </c>
      <c r="HNN1618" s="55">
        <f t="shared" si="640"/>
        <v>0</v>
      </c>
      <c r="HNO1618" s="55">
        <f t="shared" si="640"/>
        <v>0</v>
      </c>
      <c r="HNP1618" s="55">
        <f t="shared" si="640"/>
        <v>0</v>
      </c>
      <c r="HNQ1618" s="55">
        <f t="shared" si="640"/>
        <v>0</v>
      </c>
      <c r="HNR1618" s="55">
        <f t="shared" si="640"/>
        <v>0</v>
      </c>
      <c r="HNS1618" s="55">
        <f t="shared" si="640"/>
        <v>0</v>
      </c>
      <c r="HNT1618" s="55">
        <f t="shared" si="640"/>
        <v>0</v>
      </c>
      <c r="HNU1618" s="55">
        <f t="shared" si="640"/>
        <v>0</v>
      </c>
      <c r="HNV1618" s="55">
        <f t="shared" si="640"/>
        <v>0</v>
      </c>
      <c r="HNW1618" s="55">
        <f t="shared" si="640"/>
        <v>0</v>
      </c>
      <c r="HNX1618" s="55">
        <f t="shared" si="640"/>
        <v>0</v>
      </c>
      <c r="HNY1618" s="55">
        <f t="shared" si="640"/>
        <v>0</v>
      </c>
      <c r="HNZ1618" s="55">
        <f t="shared" si="640"/>
        <v>0</v>
      </c>
      <c r="HOA1618" s="55">
        <f t="shared" si="640"/>
        <v>0</v>
      </c>
      <c r="HOB1618" s="55">
        <f t="shared" si="640"/>
        <v>0</v>
      </c>
      <c r="HOC1618" s="55">
        <f t="shared" si="640"/>
        <v>0</v>
      </c>
      <c r="HOD1618" s="55">
        <f t="shared" si="640"/>
        <v>0</v>
      </c>
      <c r="HOE1618" s="55">
        <f t="shared" si="640"/>
        <v>0</v>
      </c>
      <c r="HOF1618" s="55">
        <f t="shared" si="640"/>
        <v>0</v>
      </c>
      <c r="HOG1618" s="55">
        <f t="shared" si="640"/>
        <v>0</v>
      </c>
      <c r="HOH1618" s="55">
        <f t="shared" si="640"/>
        <v>0</v>
      </c>
      <c r="HOI1618" s="55">
        <f t="shared" si="640"/>
        <v>0</v>
      </c>
      <c r="HOJ1618" s="55">
        <f t="shared" si="640"/>
        <v>0</v>
      </c>
      <c r="HOK1618" s="55">
        <f t="shared" si="640"/>
        <v>0</v>
      </c>
      <c r="HOL1618" s="55">
        <f t="shared" si="640"/>
        <v>0</v>
      </c>
      <c r="HOM1618" s="55">
        <f t="shared" si="640"/>
        <v>0</v>
      </c>
      <c r="HON1618" s="55">
        <f t="shared" si="640"/>
        <v>0</v>
      </c>
      <c r="HOO1618" s="55">
        <f t="shared" si="640"/>
        <v>0</v>
      </c>
      <c r="HOP1618" s="55">
        <f t="shared" si="640"/>
        <v>0</v>
      </c>
      <c r="HOQ1618" s="55">
        <f t="shared" si="640"/>
        <v>0</v>
      </c>
      <c r="HOR1618" s="55">
        <f t="shared" si="640"/>
        <v>0</v>
      </c>
      <c r="HOS1618" s="55">
        <f t="shared" si="640"/>
        <v>0</v>
      </c>
      <c r="HOT1618" s="55">
        <f t="shared" si="640"/>
        <v>0</v>
      </c>
      <c r="HOU1618" s="55">
        <f t="shared" si="640"/>
        <v>0</v>
      </c>
      <c r="HOV1618" s="55">
        <f t="shared" si="640"/>
        <v>0</v>
      </c>
      <c r="HOW1618" s="55">
        <f t="shared" si="640"/>
        <v>0</v>
      </c>
      <c r="HOX1618" s="55">
        <f t="shared" si="640"/>
        <v>0</v>
      </c>
      <c r="HOY1618" s="55">
        <f t="shared" si="640"/>
        <v>0</v>
      </c>
      <c r="HOZ1618" s="55">
        <f t="shared" si="640"/>
        <v>0</v>
      </c>
      <c r="HPA1618" s="55">
        <f t="shared" si="640"/>
        <v>0</v>
      </c>
      <c r="HPB1618" s="55">
        <f t="shared" si="640"/>
        <v>0</v>
      </c>
      <c r="HPC1618" s="55">
        <f t="shared" si="640"/>
        <v>0</v>
      </c>
      <c r="HPD1618" s="55">
        <f t="shared" si="640"/>
        <v>0</v>
      </c>
      <c r="HPE1618" s="55">
        <f t="shared" si="640"/>
        <v>0</v>
      </c>
      <c r="HPF1618" s="55">
        <f t="shared" si="640"/>
        <v>0</v>
      </c>
      <c r="HPG1618" s="55">
        <f t="shared" si="640"/>
        <v>0</v>
      </c>
      <c r="HPH1618" s="55">
        <f t="shared" si="640"/>
        <v>0</v>
      </c>
      <c r="HPI1618" s="55">
        <f t="shared" si="640"/>
        <v>0</v>
      </c>
      <c r="HPJ1618" s="55">
        <f t="shared" si="640"/>
        <v>0</v>
      </c>
      <c r="HPK1618" s="55">
        <f t="shared" si="640"/>
        <v>0</v>
      </c>
      <c r="HPL1618" s="55">
        <f t="shared" ref="HPL1618:HRW1618" si="641">+(HPL1627+HPL1608)*1.18*1.1</f>
        <v>0</v>
      </c>
      <c r="HPM1618" s="55">
        <f t="shared" si="641"/>
        <v>0</v>
      </c>
      <c r="HPN1618" s="55">
        <f t="shared" si="641"/>
        <v>0</v>
      </c>
      <c r="HPO1618" s="55">
        <f t="shared" si="641"/>
        <v>0</v>
      </c>
      <c r="HPP1618" s="55">
        <f t="shared" si="641"/>
        <v>0</v>
      </c>
      <c r="HPQ1618" s="55">
        <f t="shared" si="641"/>
        <v>0</v>
      </c>
      <c r="HPR1618" s="55">
        <f t="shared" si="641"/>
        <v>0</v>
      </c>
      <c r="HPS1618" s="55">
        <f t="shared" si="641"/>
        <v>0</v>
      </c>
      <c r="HPT1618" s="55">
        <f t="shared" si="641"/>
        <v>0</v>
      </c>
      <c r="HPU1618" s="55">
        <f t="shared" si="641"/>
        <v>0</v>
      </c>
      <c r="HPV1618" s="55">
        <f t="shared" si="641"/>
        <v>0</v>
      </c>
      <c r="HPW1618" s="55">
        <f t="shared" si="641"/>
        <v>0</v>
      </c>
      <c r="HPX1618" s="55">
        <f t="shared" si="641"/>
        <v>0</v>
      </c>
      <c r="HPY1618" s="55">
        <f t="shared" si="641"/>
        <v>0</v>
      </c>
      <c r="HPZ1618" s="55">
        <f t="shared" si="641"/>
        <v>0</v>
      </c>
      <c r="HQA1618" s="55">
        <f t="shared" si="641"/>
        <v>0</v>
      </c>
      <c r="HQB1618" s="55">
        <f t="shared" si="641"/>
        <v>0</v>
      </c>
      <c r="HQC1618" s="55">
        <f t="shared" si="641"/>
        <v>0</v>
      </c>
      <c r="HQD1618" s="55">
        <f t="shared" si="641"/>
        <v>0</v>
      </c>
      <c r="HQE1618" s="55">
        <f t="shared" si="641"/>
        <v>0</v>
      </c>
      <c r="HQF1618" s="55">
        <f t="shared" si="641"/>
        <v>0</v>
      </c>
      <c r="HQG1618" s="55">
        <f t="shared" si="641"/>
        <v>0</v>
      </c>
      <c r="HQH1618" s="55">
        <f t="shared" si="641"/>
        <v>0</v>
      </c>
      <c r="HQI1618" s="55">
        <f t="shared" si="641"/>
        <v>0</v>
      </c>
      <c r="HQJ1618" s="55">
        <f t="shared" si="641"/>
        <v>0</v>
      </c>
      <c r="HQK1618" s="55">
        <f t="shared" si="641"/>
        <v>0</v>
      </c>
      <c r="HQL1618" s="55">
        <f t="shared" si="641"/>
        <v>0</v>
      </c>
      <c r="HQM1618" s="55">
        <f t="shared" si="641"/>
        <v>0</v>
      </c>
      <c r="HQN1618" s="55">
        <f t="shared" si="641"/>
        <v>0</v>
      </c>
      <c r="HQO1618" s="55">
        <f t="shared" si="641"/>
        <v>0</v>
      </c>
      <c r="HQP1618" s="55">
        <f t="shared" si="641"/>
        <v>0</v>
      </c>
      <c r="HQQ1618" s="55">
        <f t="shared" si="641"/>
        <v>0</v>
      </c>
      <c r="HQR1618" s="55">
        <f t="shared" si="641"/>
        <v>0</v>
      </c>
      <c r="HQS1618" s="55">
        <f t="shared" si="641"/>
        <v>0</v>
      </c>
      <c r="HQT1618" s="55">
        <f t="shared" si="641"/>
        <v>0</v>
      </c>
      <c r="HQU1618" s="55">
        <f t="shared" si="641"/>
        <v>0</v>
      </c>
      <c r="HQV1618" s="55">
        <f t="shared" si="641"/>
        <v>0</v>
      </c>
      <c r="HQW1618" s="55">
        <f t="shared" si="641"/>
        <v>0</v>
      </c>
      <c r="HQX1618" s="55">
        <f t="shared" si="641"/>
        <v>0</v>
      </c>
      <c r="HQY1618" s="55">
        <f t="shared" si="641"/>
        <v>0</v>
      </c>
      <c r="HQZ1618" s="55">
        <f t="shared" si="641"/>
        <v>0</v>
      </c>
      <c r="HRA1618" s="55">
        <f t="shared" si="641"/>
        <v>0</v>
      </c>
      <c r="HRB1618" s="55">
        <f t="shared" si="641"/>
        <v>0</v>
      </c>
      <c r="HRC1618" s="55">
        <f t="shared" si="641"/>
        <v>0</v>
      </c>
      <c r="HRD1618" s="55">
        <f t="shared" si="641"/>
        <v>0</v>
      </c>
      <c r="HRE1618" s="55">
        <f t="shared" si="641"/>
        <v>0</v>
      </c>
      <c r="HRF1618" s="55">
        <f t="shared" si="641"/>
        <v>0</v>
      </c>
      <c r="HRG1618" s="55">
        <f t="shared" si="641"/>
        <v>0</v>
      </c>
      <c r="HRH1618" s="55">
        <f t="shared" si="641"/>
        <v>0</v>
      </c>
      <c r="HRI1618" s="55">
        <f t="shared" si="641"/>
        <v>0</v>
      </c>
      <c r="HRJ1618" s="55">
        <f t="shared" si="641"/>
        <v>0</v>
      </c>
      <c r="HRK1618" s="55">
        <f t="shared" si="641"/>
        <v>0</v>
      </c>
      <c r="HRL1618" s="55">
        <f t="shared" si="641"/>
        <v>0</v>
      </c>
      <c r="HRM1618" s="55">
        <f t="shared" si="641"/>
        <v>0</v>
      </c>
      <c r="HRN1618" s="55">
        <f t="shared" si="641"/>
        <v>0</v>
      </c>
      <c r="HRO1618" s="55">
        <f t="shared" si="641"/>
        <v>0</v>
      </c>
      <c r="HRP1618" s="55">
        <f t="shared" si="641"/>
        <v>0</v>
      </c>
      <c r="HRQ1618" s="55">
        <f t="shared" si="641"/>
        <v>0</v>
      </c>
      <c r="HRR1618" s="55">
        <f t="shared" si="641"/>
        <v>0</v>
      </c>
      <c r="HRS1618" s="55">
        <f t="shared" si="641"/>
        <v>0</v>
      </c>
      <c r="HRT1618" s="55">
        <f t="shared" si="641"/>
        <v>0</v>
      </c>
      <c r="HRU1618" s="55">
        <f t="shared" si="641"/>
        <v>0</v>
      </c>
      <c r="HRV1618" s="55">
        <f t="shared" si="641"/>
        <v>0</v>
      </c>
      <c r="HRW1618" s="55">
        <f t="shared" si="641"/>
        <v>0</v>
      </c>
      <c r="HRX1618" s="55">
        <f t="shared" ref="HRX1618:HUI1618" si="642">+(HRX1627+HRX1608)*1.18*1.1</f>
        <v>0</v>
      </c>
      <c r="HRY1618" s="55">
        <f t="shared" si="642"/>
        <v>0</v>
      </c>
      <c r="HRZ1618" s="55">
        <f t="shared" si="642"/>
        <v>0</v>
      </c>
      <c r="HSA1618" s="55">
        <f t="shared" si="642"/>
        <v>0</v>
      </c>
      <c r="HSB1618" s="55">
        <f t="shared" si="642"/>
        <v>0</v>
      </c>
      <c r="HSC1618" s="55">
        <f t="shared" si="642"/>
        <v>0</v>
      </c>
      <c r="HSD1618" s="55">
        <f t="shared" si="642"/>
        <v>0</v>
      </c>
      <c r="HSE1618" s="55">
        <f t="shared" si="642"/>
        <v>0</v>
      </c>
      <c r="HSF1618" s="55">
        <f t="shared" si="642"/>
        <v>0</v>
      </c>
      <c r="HSG1618" s="55">
        <f t="shared" si="642"/>
        <v>0</v>
      </c>
      <c r="HSH1618" s="55">
        <f t="shared" si="642"/>
        <v>0</v>
      </c>
      <c r="HSI1618" s="55">
        <f t="shared" si="642"/>
        <v>0</v>
      </c>
      <c r="HSJ1618" s="55">
        <f t="shared" si="642"/>
        <v>0</v>
      </c>
      <c r="HSK1618" s="55">
        <f t="shared" si="642"/>
        <v>0</v>
      </c>
      <c r="HSL1618" s="55">
        <f t="shared" si="642"/>
        <v>0</v>
      </c>
      <c r="HSM1618" s="55">
        <f t="shared" si="642"/>
        <v>0</v>
      </c>
      <c r="HSN1618" s="55">
        <f t="shared" si="642"/>
        <v>0</v>
      </c>
      <c r="HSO1618" s="55">
        <f t="shared" si="642"/>
        <v>0</v>
      </c>
      <c r="HSP1618" s="55">
        <f t="shared" si="642"/>
        <v>0</v>
      </c>
      <c r="HSQ1618" s="55">
        <f t="shared" si="642"/>
        <v>0</v>
      </c>
      <c r="HSR1618" s="55">
        <f t="shared" si="642"/>
        <v>0</v>
      </c>
      <c r="HSS1618" s="55">
        <f t="shared" si="642"/>
        <v>0</v>
      </c>
      <c r="HST1618" s="55">
        <f t="shared" si="642"/>
        <v>0</v>
      </c>
      <c r="HSU1618" s="55">
        <f t="shared" si="642"/>
        <v>0</v>
      </c>
      <c r="HSV1618" s="55">
        <f t="shared" si="642"/>
        <v>0</v>
      </c>
      <c r="HSW1618" s="55">
        <f t="shared" si="642"/>
        <v>0</v>
      </c>
      <c r="HSX1618" s="55">
        <f t="shared" si="642"/>
        <v>0</v>
      </c>
      <c r="HSY1618" s="55">
        <f t="shared" si="642"/>
        <v>0</v>
      </c>
      <c r="HSZ1618" s="55">
        <f t="shared" si="642"/>
        <v>0</v>
      </c>
      <c r="HTA1618" s="55">
        <f t="shared" si="642"/>
        <v>0</v>
      </c>
      <c r="HTB1618" s="55">
        <f t="shared" si="642"/>
        <v>0</v>
      </c>
      <c r="HTC1618" s="55">
        <f t="shared" si="642"/>
        <v>0</v>
      </c>
      <c r="HTD1618" s="55">
        <f t="shared" si="642"/>
        <v>0</v>
      </c>
      <c r="HTE1618" s="55">
        <f t="shared" si="642"/>
        <v>0</v>
      </c>
      <c r="HTF1618" s="55">
        <f t="shared" si="642"/>
        <v>0</v>
      </c>
      <c r="HTG1618" s="55">
        <f t="shared" si="642"/>
        <v>0</v>
      </c>
      <c r="HTH1618" s="55">
        <f t="shared" si="642"/>
        <v>0</v>
      </c>
      <c r="HTI1618" s="55">
        <f t="shared" si="642"/>
        <v>0</v>
      </c>
      <c r="HTJ1618" s="55">
        <f t="shared" si="642"/>
        <v>0</v>
      </c>
      <c r="HTK1618" s="55">
        <f t="shared" si="642"/>
        <v>0</v>
      </c>
      <c r="HTL1618" s="55">
        <f t="shared" si="642"/>
        <v>0</v>
      </c>
      <c r="HTM1618" s="55">
        <f t="shared" si="642"/>
        <v>0</v>
      </c>
      <c r="HTN1618" s="55">
        <f t="shared" si="642"/>
        <v>0</v>
      </c>
      <c r="HTO1618" s="55">
        <f t="shared" si="642"/>
        <v>0</v>
      </c>
      <c r="HTP1618" s="55">
        <f t="shared" si="642"/>
        <v>0</v>
      </c>
      <c r="HTQ1618" s="55">
        <f t="shared" si="642"/>
        <v>0</v>
      </c>
      <c r="HTR1618" s="55">
        <f t="shared" si="642"/>
        <v>0</v>
      </c>
      <c r="HTS1618" s="55">
        <f t="shared" si="642"/>
        <v>0</v>
      </c>
      <c r="HTT1618" s="55">
        <f t="shared" si="642"/>
        <v>0</v>
      </c>
      <c r="HTU1618" s="55">
        <f t="shared" si="642"/>
        <v>0</v>
      </c>
      <c r="HTV1618" s="55">
        <f t="shared" si="642"/>
        <v>0</v>
      </c>
      <c r="HTW1618" s="55">
        <f t="shared" si="642"/>
        <v>0</v>
      </c>
      <c r="HTX1618" s="55">
        <f t="shared" si="642"/>
        <v>0</v>
      </c>
      <c r="HTY1618" s="55">
        <f t="shared" si="642"/>
        <v>0</v>
      </c>
      <c r="HTZ1618" s="55">
        <f t="shared" si="642"/>
        <v>0</v>
      </c>
      <c r="HUA1618" s="55">
        <f t="shared" si="642"/>
        <v>0</v>
      </c>
      <c r="HUB1618" s="55">
        <f t="shared" si="642"/>
        <v>0</v>
      </c>
      <c r="HUC1618" s="55">
        <f t="shared" si="642"/>
        <v>0</v>
      </c>
      <c r="HUD1618" s="55">
        <f t="shared" si="642"/>
        <v>0</v>
      </c>
      <c r="HUE1618" s="55">
        <f t="shared" si="642"/>
        <v>0</v>
      </c>
      <c r="HUF1618" s="55">
        <f t="shared" si="642"/>
        <v>0</v>
      </c>
      <c r="HUG1618" s="55">
        <f t="shared" si="642"/>
        <v>0</v>
      </c>
      <c r="HUH1618" s="55">
        <f t="shared" si="642"/>
        <v>0</v>
      </c>
      <c r="HUI1618" s="55">
        <f t="shared" si="642"/>
        <v>0</v>
      </c>
      <c r="HUJ1618" s="55">
        <f t="shared" ref="HUJ1618:HWU1618" si="643">+(HUJ1627+HUJ1608)*1.18*1.1</f>
        <v>0</v>
      </c>
      <c r="HUK1618" s="55">
        <f t="shared" si="643"/>
        <v>0</v>
      </c>
      <c r="HUL1618" s="55">
        <f t="shared" si="643"/>
        <v>0</v>
      </c>
      <c r="HUM1618" s="55">
        <f t="shared" si="643"/>
        <v>0</v>
      </c>
      <c r="HUN1618" s="55">
        <f t="shared" si="643"/>
        <v>0</v>
      </c>
      <c r="HUO1618" s="55">
        <f t="shared" si="643"/>
        <v>0</v>
      </c>
      <c r="HUP1618" s="55">
        <f t="shared" si="643"/>
        <v>0</v>
      </c>
      <c r="HUQ1618" s="55">
        <f t="shared" si="643"/>
        <v>0</v>
      </c>
      <c r="HUR1618" s="55">
        <f t="shared" si="643"/>
        <v>0</v>
      </c>
      <c r="HUS1618" s="55">
        <f t="shared" si="643"/>
        <v>0</v>
      </c>
      <c r="HUT1618" s="55">
        <f t="shared" si="643"/>
        <v>0</v>
      </c>
      <c r="HUU1618" s="55">
        <f t="shared" si="643"/>
        <v>0</v>
      </c>
      <c r="HUV1618" s="55">
        <f t="shared" si="643"/>
        <v>0</v>
      </c>
      <c r="HUW1618" s="55">
        <f t="shared" si="643"/>
        <v>0</v>
      </c>
      <c r="HUX1618" s="55">
        <f t="shared" si="643"/>
        <v>0</v>
      </c>
      <c r="HUY1618" s="55">
        <f t="shared" si="643"/>
        <v>0</v>
      </c>
      <c r="HUZ1618" s="55">
        <f t="shared" si="643"/>
        <v>0</v>
      </c>
      <c r="HVA1618" s="55">
        <f t="shared" si="643"/>
        <v>0</v>
      </c>
      <c r="HVB1618" s="55">
        <f t="shared" si="643"/>
        <v>0</v>
      </c>
      <c r="HVC1618" s="55">
        <f t="shared" si="643"/>
        <v>0</v>
      </c>
      <c r="HVD1618" s="55">
        <f t="shared" si="643"/>
        <v>0</v>
      </c>
      <c r="HVE1618" s="55">
        <f t="shared" si="643"/>
        <v>0</v>
      </c>
      <c r="HVF1618" s="55">
        <f t="shared" si="643"/>
        <v>0</v>
      </c>
      <c r="HVG1618" s="55">
        <f t="shared" si="643"/>
        <v>0</v>
      </c>
      <c r="HVH1618" s="55">
        <f t="shared" si="643"/>
        <v>0</v>
      </c>
      <c r="HVI1618" s="55">
        <f t="shared" si="643"/>
        <v>0</v>
      </c>
      <c r="HVJ1618" s="55">
        <f t="shared" si="643"/>
        <v>0</v>
      </c>
      <c r="HVK1618" s="55">
        <f t="shared" si="643"/>
        <v>0</v>
      </c>
      <c r="HVL1618" s="55">
        <f t="shared" si="643"/>
        <v>0</v>
      </c>
      <c r="HVM1618" s="55">
        <f t="shared" si="643"/>
        <v>0</v>
      </c>
      <c r="HVN1618" s="55">
        <f t="shared" si="643"/>
        <v>0</v>
      </c>
      <c r="HVO1618" s="55">
        <f t="shared" si="643"/>
        <v>0</v>
      </c>
      <c r="HVP1618" s="55">
        <f t="shared" si="643"/>
        <v>0</v>
      </c>
      <c r="HVQ1618" s="55">
        <f t="shared" si="643"/>
        <v>0</v>
      </c>
      <c r="HVR1618" s="55">
        <f t="shared" si="643"/>
        <v>0</v>
      </c>
      <c r="HVS1618" s="55">
        <f t="shared" si="643"/>
        <v>0</v>
      </c>
      <c r="HVT1618" s="55">
        <f t="shared" si="643"/>
        <v>0</v>
      </c>
      <c r="HVU1618" s="55">
        <f t="shared" si="643"/>
        <v>0</v>
      </c>
      <c r="HVV1618" s="55">
        <f t="shared" si="643"/>
        <v>0</v>
      </c>
      <c r="HVW1618" s="55">
        <f t="shared" si="643"/>
        <v>0</v>
      </c>
      <c r="HVX1618" s="55">
        <f t="shared" si="643"/>
        <v>0</v>
      </c>
      <c r="HVY1618" s="55">
        <f t="shared" si="643"/>
        <v>0</v>
      </c>
      <c r="HVZ1618" s="55">
        <f t="shared" si="643"/>
        <v>0</v>
      </c>
      <c r="HWA1618" s="55">
        <f t="shared" si="643"/>
        <v>0</v>
      </c>
      <c r="HWB1618" s="55">
        <f t="shared" si="643"/>
        <v>0</v>
      </c>
      <c r="HWC1618" s="55">
        <f t="shared" si="643"/>
        <v>0</v>
      </c>
      <c r="HWD1618" s="55">
        <f t="shared" si="643"/>
        <v>0</v>
      </c>
      <c r="HWE1618" s="55">
        <f t="shared" si="643"/>
        <v>0</v>
      </c>
      <c r="HWF1618" s="55">
        <f t="shared" si="643"/>
        <v>0</v>
      </c>
      <c r="HWG1618" s="55">
        <f t="shared" si="643"/>
        <v>0</v>
      </c>
      <c r="HWH1618" s="55">
        <f t="shared" si="643"/>
        <v>0</v>
      </c>
      <c r="HWI1618" s="55">
        <f t="shared" si="643"/>
        <v>0</v>
      </c>
      <c r="HWJ1618" s="55">
        <f t="shared" si="643"/>
        <v>0</v>
      </c>
      <c r="HWK1618" s="55">
        <f t="shared" si="643"/>
        <v>0</v>
      </c>
      <c r="HWL1618" s="55">
        <f t="shared" si="643"/>
        <v>0</v>
      </c>
      <c r="HWM1618" s="55">
        <f t="shared" si="643"/>
        <v>0</v>
      </c>
      <c r="HWN1618" s="55">
        <f t="shared" si="643"/>
        <v>0</v>
      </c>
      <c r="HWO1618" s="55">
        <f t="shared" si="643"/>
        <v>0</v>
      </c>
      <c r="HWP1618" s="55">
        <f t="shared" si="643"/>
        <v>0</v>
      </c>
      <c r="HWQ1618" s="55">
        <f t="shared" si="643"/>
        <v>0</v>
      </c>
      <c r="HWR1618" s="55">
        <f t="shared" si="643"/>
        <v>0</v>
      </c>
      <c r="HWS1618" s="55">
        <f t="shared" si="643"/>
        <v>0</v>
      </c>
      <c r="HWT1618" s="55">
        <f t="shared" si="643"/>
        <v>0</v>
      </c>
      <c r="HWU1618" s="55">
        <f t="shared" si="643"/>
        <v>0</v>
      </c>
      <c r="HWV1618" s="55">
        <f t="shared" ref="HWV1618:HZG1618" si="644">+(HWV1627+HWV1608)*1.18*1.1</f>
        <v>0</v>
      </c>
      <c r="HWW1618" s="55">
        <f t="shared" si="644"/>
        <v>0</v>
      </c>
      <c r="HWX1618" s="55">
        <f t="shared" si="644"/>
        <v>0</v>
      </c>
      <c r="HWY1618" s="55">
        <f t="shared" si="644"/>
        <v>0</v>
      </c>
      <c r="HWZ1618" s="55">
        <f t="shared" si="644"/>
        <v>0</v>
      </c>
      <c r="HXA1618" s="55">
        <f t="shared" si="644"/>
        <v>0</v>
      </c>
      <c r="HXB1618" s="55">
        <f t="shared" si="644"/>
        <v>0</v>
      </c>
      <c r="HXC1618" s="55">
        <f t="shared" si="644"/>
        <v>0</v>
      </c>
      <c r="HXD1618" s="55">
        <f t="shared" si="644"/>
        <v>0</v>
      </c>
      <c r="HXE1618" s="55">
        <f t="shared" si="644"/>
        <v>0</v>
      </c>
      <c r="HXF1618" s="55">
        <f t="shared" si="644"/>
        <v>0</v>
      </c>
      <c r="HXG1618" s="55">
        <f t="shared" si="644"/>
        <v>0</v>
      </c>
      <c r="HXH1618" s="55">
        <f t="shared" si="644"/>
        <v>0</v>
      </c>
      <c r="HXI1618" s="55">
        <f t="shared" si="644"/>
        <v>0</v>
      </c>
      <c r="HXJ1618" s="55">
        <f t="shared" si="644"/>
        <v>0</v>
      </c>
      <c r="HXK1618" s="55">
        <f t="shared" si="644"/>
        <v>0</v>
      </c>
      <c r="HXL1618" s="55">
        <f t="shared" si="644"/>
        <v>0</v>
      </c>
      <c r="HXM1618" s="55">
        <f t="shared" si="644"/>
        <v>0</v>
      </c>
      <c r="HXN1618" s="55">
        <f t="shared" si="644"/>
        <v>0</v>
      </c>
      <c r="HXO1618" s="55">
        <f t="shared" si="644"/>
        <v>0</v>
      </c>
      <c r="HXP1618" s="55">
        <f t="shared" si="644"/>
        <v>0</v>
      </c>
      <c r="HXQ1618" s="55">
        <f t="shared" si="644"/>
        <v>0</v>
      </c>
      <c r="HXR1618" s="55">
        <f t="shared" si="644"/>
        <v>0</v>
      </c>
      <c r="HXS1618" s="55">
        <f t="shared" si="644"/>
        <v>0</v>
      </c>
      <c r="HXT1618" s="55">
        <f t="shared" si="644"/>
        <v>0</v>
      </c>
      <c r="HXU1618" s="55">
        <f t="shared" si="644"/>
        <v>0</v>
      </c>
      <c r="HXV1618" s="55">
        <f t="shared" si="644"/>
        <v>0</v>
      </c>
      <c r="HXW1618" s="55">
        <f t="shared" si="644"/>
        <v>0</v>
      </c>
      <c r="HXX1618" s="55">
        <f t="shared" si="644"/>
        <v>0</v>
      </c>
      <c r="HXY1618" s="55">
        <f t="shared" si="644"/>
        <v>0</v>
      </c>
      <c r="HXZ1618" s="55">
        <f t="shared" si="644"/>
        <v>0</v>
      </c>
      <c r="HYA1618" s="55">
        <f t="shared" si="644"/>
        <v>0</v>
      </c>
      <c r="HYB1618" s="55">
        <f t="shared" si="644"/>
        <v>0</v>
      </c>
      <c r="HYC1618" s="55">
        <f t="shared" si="644"/>
        <v>0</v>
      </c>
      <c r="HYD1618" s="55">
        <f t="shared" si="644"/>
        <v>0</v>
      </c>
      <c r="HYE1618" s="55">
        <f t="shared" si="644"/>
        <v>0</v>
      </c>
      <c r="HYF1618" s="55">
        <f t="shared" si="644"/>
        <v>0</v>
      </c>
      <c r="HYG1618" s="55">
        <f t="shared" si="644"/>
        <v>0</v>
      </c>
      <c r="HYH1618" s="55">
        <f t="shared" si="644"/>
        <v>0</v>
      </c>
      <c r="HYI1618" s="55">
        <f t="shared" si="644"/>
        <v>0</v>
      </c>
      <c r="HYJ1618" s="55">
        <f t="shared" si="644"/>
        <v>0</v>
      </c>
      <c r="HYK1618" s="55">
        <f t="shared" si="644"/>
        <v>0</v>
      </c>
      <c r="HYL1618" s="55">
        <f t="shared" si="644"/>
        <v>0</v>
      </c>
      <c r="HYM1618" s="55">
        <f t="shared" si="644"/>
        <v>0</v>
      </c>
      <c r="HYN1618" s="55">
        <f t="shared" si="644"/>
        <v>0</v>
      </c>
      <c r="HYO1618" s="55">
        <f t="shared" si="644"/>
        <v>0</v>
      </c>
      <c r="HYP1618" s="55">
        <f t="shared" si="644"/>
        <v>0</v>
      </c>
      <c r="HYQ1618" s="55">
        <f t="shared" si="644"/>
        <v>0</v>
      </c>
      <c r="HYR1618" s="55">
        <f t="shared" si="644"/>
        <v>0</v>
      </c>
      <c r="HYS1618" s="55">
        <f t="shared" si="644"/>
        <v>0</v>
      </c>
      <c r="HYT1618" s="55">
        <f t="shared" si="644"/>
        <v>0</v>
      </c>
      <c r="HYU1618" s="55">
        <f t="shared" si="644"/>
        <v>0</v>
      </c>
      <c r="HYV1618" s="55">
        <f t="shared" si="644"/>
        <v>0</v>
      </c>
      <c r="HYW1618" s="55">
        <f t="shared" si="644"/>
        <v>0</v>
      </c>
      <c r="HYX1618" s="55">
        <f t="shared" si="644"/>
        <v>0</v>
      </c>
      <c r="HYY1618" s="55">
        <f t="shared" si="644"/>
        <v>0</v>
      </c>
      <c r="HYZ1618" s="55">
        <f t="shared" si="644"/>
        <v>0</v>
      </c>
      <c r="HZA1618" s="55">
        <f t="shared" si="644"/>
        <v>0</v>
      </c>
      <c r="HZB1618" s="55">
        <f t="shared" si="644"/>
        <v>0</v>
      </c>
      <c r="HZC1618" s="55">
        <f t="shared" si="644"/>
        <v>0</v>
      </c>
      <c r="HZD1618" s="55">
        <f t="shared" si="644"/>
        <v>0</v>
      </c>
      <c r="HZE1618" s="55">
        <f t="shared" si="644"/>
        <v>0</v>
      </c>
      <c r="HZF1618" s="55">
        <f t="shared" si="644"/>
        <v>0</v>
      </c>
      <c r="HZG1618" s="55">
        <f t="shared" si="644"/>
        <v>0</v>
      </c>
      <c r="HZH1618" s="55">
        <f t="shared" ref="HZH1618:IBS1618" si="645">+(HZH1627+HZH1608)*1.18*1.1</f>
        <v>0</v>
      </c>
      <c r="HZI1618" s="55">
        <f t="shared" si="645"/>
        <v>0</v>
      </c>
      <c r="HZJ1618" s="55">
        <f t="shared" si="645"/>
        <v>0</v>
      </c>
      <c r="HZK1618" s="55">
        <f t="shared" si="645"/>
        <v>0</v>
      </c>
      <c r="HZL1618" s="55">
        <f t="shared" si="645"/>
        <v>0</v>
      </c>
      <c r="HZM1618" s="55">
        <f t="shared" si="645"/>
        <v>0</v>
      </c>
      <c r="HZN1618" s="55">
        <f t="shared" si="645"/>
        <v>0</v>
      </c>
      <c r="HZO1618" s="55">
        <f t="shared" si="645"/>
        <v>0</v>
      </c>
      <c r="HZP1618" s="55">
        <f t="shared" si="645"/>
        <v>0</v>
      </c>
      <c r="HZQ1618" s="55">
        <f t="shared" si="645"/>
        <v>0</v>
      </c>
      <c r="HZR1618" s="55">
        <f t="shared" si="645"/>
        <v>0</v>
      </c>
      <c r="HZS1618" s="55">
        <f t="shared" si="645"/>
        <v>0</v>
      </c>
      <c r="HZT1618" s="55">
        <f t="shared" si="645"/>
        <v>0</v>
      </c>
      <c r="HZU1618" s="55">
        <f t="shared" si="645"/>
        <v>0</v>
      </c>
      <c r="HZV1618" s="55">
        <f t="shared" si="645"/>
        <v>0</v>
      </c>
      <c r="HZW1618" s="55">
        <f t="shared" si="645"/>
        <v>0</v>
      </c>
      <c r="HZX1618" s="55">
        <f t="shared" si="645"/>
        <v>0</v>
      </c>
      <c r="HZY1618" s="55">
        <f t="shared" si="645"/>
        <v>0</v>
      </c>
      <c r="HZZ1618" s="55">
        <f t="shared" si="645"/>
        <v>0</v>
      </c>
      <c r="IAA1618" s="55">
        <f t="shared" si="645"/>
        <v>0</v>
      </c>
      <c r="IAB1618" s="55">
        <f t="shared" si="645"/>
        <v>0</v>
      </c>
      <c r="IAC1618" s="55">
        <f t="shared" si="645"/>
        <v>0</v>
      </c>
      <c r="IAD1618" s="55">
        <f t="shared" si="645"/>
        <v>0</v>
      </c>
      <c r="IAE1618" s="55">
        <f t="shared" si="645"/>
        <v>0</v>
      </c>
      <c r="IAF1618" s="55">
        <f t="shared" si="645"/>
        <v>0</v>
      </c>
      <c r="IAG1618" s="55">
        <f t="shared" si="645"/>
        <v>0</v>
      </c>
      <c r="IAH1618" s="55">
        <f t="shared" si="645"/>
        <v>0</v>
      </c>
      <c r="IAI1618" s="55">
        <f t="shared" si="645"/>
        <v>0</v>
      </c>
      <c r="IAJ1618" s="55">
        <f t="shared" si="645"/>
        <v>0</v>
      </c>
      <c r="IAK1618" s="55">
        <f t="shared" si="645"/>
        <v>0</v>
      </c>
      <c r="IAL1618" s="55">
        <f t="shared" si="645"/>
        <v>0</v>
      </c>
      <c r="IAM1618" s="55">
        <f t="shared" si="645"/>
        <v>0</v>
      </c>
      <c r="IAN1618" s="55">
        <f t="shared" si="645"/>
        <v>0</v>
      </c>
      <c r="IAO1618" s="55">
        <f t="shared" si="645"/>
        <v>0</v>
      </c>
      <c r="IAP1618" s="55">
        <f t="shared" si="645"/>
        <v>0</v>
      </c>
      <c r="IAQ1618" s="55">
        <f t="shared" si="645"/>
        <v>0</v>
      </c>
      <c r="IAR1618" s="55">
        <f t="shared" si="645"/>
        <v>0</v>
      </c>
      <c r="IAS1618" s="55">
        <f t="shared" si="645"/>
        <v>0</v>
      </c>
      <c r="IAT1618" s="55">
        <f t="shared" si="645"/>
        <v>0</v>
      </c>
      <c r="IAU1618" s="55">
        <f t="shared" si="645"/>
        <v>0</v>
      </c>
      <c r="IAV1618" s="55">
        <f t="shared" si="645"/>
        <v>0</v>
      </c>
      <c r="IAW1618" s="55">
        <f t="shared" si="645"/>
        <v>0</v>
      </c>
      <c r="IAX1618" s="55">
        <f t="shared" si="645"/>
        <v>0</v>
      </c>
      <c r="IAY1618" s="55">
        <f t="shared" si="645"/>
        <v>0</v>
      </c>
      <c r="IAZ1618" s="55">
        <f t="shared" si="645"/>
        <v>0</v>
      </c>
      <c r="IBA1618" s="55">
        <f t="shared" si="645"/>
        <v>0</v>
      </c>
      <c r="IBB1618" s="55">
        <f t="shared" si="645"/>
        <v>0</v>
      </c>
      <c r="IBC1618" s="55">
        <f t="shared" si="645"/>
        <v>0</v>
      </c>
      <c r="IBD1618" s="55">
        <f t="shared" si="645"/>
        <v>0</v>
      </c>
      <c r="IBE1618" s="55">
        <f t="shared" si="645"/>
        <v>0</v>
      </c>
      <c r="IBF1618" s="55">
        <f t="shared" si="645"/>
        <v>0</v>
      </c>
      <c r="IBG1618" s="55">
        <f t="shared" si="645"/>
        <v>0</v>
      </c>
      <c r="IBH1618" s="55">
        <f t="shared" si="645"/>
        <v>0</v>
      </c>
      <c r="IBI1618" s="55">
        <f t="shared" si="645"/>
        <v>0</v>
      </c>
      <c r="IBJ1618" s="55">
        <f t="shared" si="645"/>
        <v>0</v>
      </c>
      <c r="IBK1618" s="55">
        <f t="shared" si="645"/>
        <v>0</v>
      </c>
      <c r="IBL1618" s="55">
        <f t="shared" si="645"/>
        <v>0</v>
      </c>
      <c r="IBM1618" s="55">
        <f t="shared" si="645"/>
        <v>0</v>
      </c>
      <c r="IBN1618" s="55">
        <f t="shared" si="645"/>
        <v>0</v>
      </c>
      <c r="IBO1618" s="55">
        <f t="shared" si="645"/>
        <v>0</v>
      </c>
      <c r="IBP1618" s="55">
        <f t="shared" si="645"/>
        <v>0</v>
      </c>
      <c r="IBQ1618" s="55">
        <f t="shared" si="645"/>
        <v>0</v>
      </c>
      <c r="IBR1618" s="55">
        <f t="shared" si="645"/>
        <v>0</v>
      </c>
      <c r="IBS1618" s="55">
        <f t="shared" si="645"/>
        <v>0</v>
      </c>
      <c r="IBT1618" s="55">
        <f t="shared" ref="IBT1618:IEE1618" si="646">+(IBT1627+IBT1608)*1.18*1.1</f>
        <v>0</v>
      </c>
      <c r="IBU1618" s="55">
        <f t="shared" si="646"/>
        <v>0</v>
      </c>
      <c r="IBV1618" s="55">
        <f t="shared" si="646"/>
        <v>0</v>
      </c>
      <c r="IBW1618" s="55">
        <f t="shared" si="646"/>
        <v>0</v>
      </c>
      <c r="IBX1618" s="55">
        <f t="shared" si="646"/>
        <v>0</v>
      </c>
      <c r="IBY1618" s="55">
        <f t="shared" si="646"/>
        <v>0</v>
      </c>
      <c r="IBZ1618" s="55">
        <f t="shared" si="646"/>
        <v>0</v>
      </c>
      <c r="ICA1618" s="55">
        <f t="shared" si="646"/>
        <v>0</v>
      </c>
      <c r="ICB1618" s="55">
        <f t="shared" si="646"/>
        <v>0</v>
      </c>
      <c r="ICC1618" s="55">
        <f t="shared" si="646"/>
        <v>0</v>
      </c>
      <c r="ICD1618" s="55">
        <f t="shared" si="646"/>
        <v>0</v>
      </c>
      <c r="ICE1618" s="55">
        <f t="shared" si="646"/>
        <v>0</v>
      </c>
      <c r="ICF1618" s="55">
        <f t="shared" si="646"/>
        <v>0</v>
      </c>
      <c r="ICG1618" s="55">
        <f t="shared" si="646"/>
        <v>0</v>
      </c>
      <c r="ICH1618" s="55">
        <f t="shared" si="646"/>
        <v>0</v>
      </c>
      <c r="ICI1618" s="55">
        <f t="shared" si="646"/>
        <v>0</v>
      </c>
      <c r="ICJ1618" s="55">
        <f t="shared" si="646"/>
        <v>0</v>
      </c>
      <c r="ICK1618" s="55">
        <f t="shared" si="646"/>
        <v>0</v>
      </c>
      <c r="ICL1618" s="55">
        <f t="shared" si="646"/>
        <v>0</v>
      </c>
      <c r="ICM1618" s="55">
        <f t="shared" si="646"/>
        <v>0</v>
      </c>
      <c r="ICN1618" s="55">
        <f t="shared" si="646"/>
        <v>0</v>
      </c>
      <c r="ICO1618" s="55">
        <f t="shared" si="646"/>
        <v>0</v>
      </c>
      <c r="ICP1618" s="55">
        <f t="shared" si="646"/>
        <v>0</v>
      </c>
      <c r="ICQ1618" s="55">
        <f t="shared" si="646"/>
        <v>0</v>
      </c>
      <c r="ICR1618" s="55">
        <f t="shared" si="646"/>
        <v>0</v>
      </c>
      <c r="ICS1618" s="55">
        <f t="shared" si="646"/>
        <v>0</v>
      </c>
      <c r="ICT1618" s="55">
        <f t="shared" si="646"/>
        <v>0</v>
      </c>
      <c r="ICU1618" s="55">
        <f t="shared" si="646"/>
        <v>0</v>
      </c>
      <c r="ICV1618" s="55">
        <f t="shared" si="646"/>
        <v>0</v>
      </c>
      <c r="ICW1618" s="55">
        <f t="shared" si="646"/>
        <v>0</v>
      </c>
      <c r="ICX1618" s="55">
        <f t="shared" si="646"/>
        <v>0</v>
      </c>
      <c r="ICY1618" s="55">
        <f t="shared" si="646"/>
        <v>0</v>
      </c>
      <c r="ICZ1618" s="55">
        <f t="shared" si="646"/>
        <v>0</v>
      </c>
      <c r="IDA1618" s="55">
        <f t="shared" si="646"/>
        <v>0</v>
      </c>
      <c r="IDB1618" s="55">
        <f t="shared" si="646"/>
        <v>0</v>
      </c>
      <c r="IDC1618" s="55">
        <f t="shared" si="646"/>
        <v>0</v>
      </c>
      <c r="IDD1618" s="55">
        <f t="shared" si="646"/>
        <v>0</v>
      </c>
      <c r="IDE1618" s="55">
        <f t="shared" si="646"/>
        <v>0</v>
      </c>
      <c r="IDF1618" s="55">
        <f t="shared" si="646"/>
        <v>0</v>
      </c>
      <c r="IDG1618" s="55">
        <f t="shared" si="646"/>
        <v>0</v>
      </c>
      <c r="IDH1618" s="55">
        <f t="shared" si="646"/>
        <v>0</v>
      </c>
      <c r="IDI1618" s="55">
        <f t="shared" si="646"/>
        <v>0</v>
      </c>
      <c r="IDJ1618" s="55">
        <f t="shared" si="646"/>
        <v>0</v>
      </c>
      <c r="IDK1618" s="55">
        <f t="shared" si="646"/>
        <v>0</v>
      </c>
      <c r="IDL1618" s="55">
        <f t="shared" si="646"/>
        <v>0</v>
      </c>
      <c r="IDM1618" s="55">
        <f t="shared" si="646"/>
        <v>0</v>
      </c>
      <c r="IDN1618" s="55">
        <f t="shared" si="646"/>
        <v>0</v>
      </c>
      <c r="IDO1618" s="55">
        <f t="shared" si="646"/>
        <v>0</v>
      </c>
      <c r="IDP1618" s="55">
        <f t="shared" si="646"/>
        <v>0</v>
      </c>
      <c r="IDQ1618" s="55">
        <f t="shared" si="646"/>
        <v>0</v>
      </c>
      <c r="IDR1618" s="55">
        <f t="shared" si="646"/>
        <v>0</v>
      </c>
      <c r="IDS1618" s="55">
        <f t="shared" si="646"/>
        <v>0</v>
      </c>
      <c r="IDT1618" s="55">
        <f t="shared" si="646"/>
        <v>0</v>
      </c>
      <c r="IDU1618" s="55">
        <f t="shared" si="646"/>
        <v>0</v>
      </c>
      <c r="IDV1618" s="55">
        <f t="shared" si="646"/>
        <v>0</v>
      </c>
      <c r="IDW1618" s="55">
        <f t="shared" si="646"/>
        <v>0</v>
      </c>
      <c r="IDX1618" s="55">
        <f t="shared" si="646"/>
        <v>0</v>
      </c>
      <c r="IDY1618" s="55">
        <f t="shared" si="646"/>
        <v>0</v>
      </c>
      <c r="IDZ1618" s="55">
        <f t="shared" si="646"/>
        <v>0</v>
      </c>
      <c r="IEA1618" s="55">
        <f t="shared" si="646"/>
        <v>0</v>
      </c>
      <c r="IEB1618" s="55">
        <f t="shared" si="646"/>
        <v>0</v>
      </c>
      <c r="IEC1618" s="55">
        <f t="shared" si="646"/>
        <v>0</v>
      </c>
      <c r="IED1618" s="55">
        <f t="shared" si="646"/>
        <v>0</v>
      </c>
      <c r="IEE1618" s="55">
        <f t="shared" si="646"/>
        <v>0</v>
      </c>
      <c r="IEF1618" s="55">
        <f t="shared" ref="IEF1618:IGQ1618" si="647">+(IEF1627+IEF1608)*1.18*1.1</f>
        <v>0</v>
      </c>
      <c r="IEG1618" s="55">
        <f t="shared" si="647"/>
        <v>0</v>
      </c>
      <c r="IEH1618" s="55">
        <f t="shared" si="647"/>
        <v>0</v>
      </c>
      <c r="IEI1618" s="55">
        <f t="shared" si="647"/>
        <v>0</v>
      </c>
      <c r="IEJ1618" s="55">
        <f t="shared" si="647"/>
        <v>0</v>
      </c>
      <c r="IEK1618" s="55">
        <f t="shared" si="647"/>
        <v>0</v>
      </c>
      <c r="IEL1618" s="55">
        <f t="shared" si="647"/>
        <v>0</v>
      </c>
      <c r="IEM1618" s="55">
        <f t="shared" si="647"/>
        <v>0</v>
      </c>
      <c r="IEN1618" s="55">
        <f t="shared" si="647"/>
        <v>0</v>
      </c>
      <c r="IEO1618" s="55">
        <f t="shared" si="647"/>
        <v>0</v>
      </c>
      <c r="IEP1618" s="55">
        <f t="shared" si="647"/>
        <v>0</v>
      </c>
      <c r="IEQ1618" s="55">
        <f t="shared" si="647"/>
        <v>0</v>
      </c>
      <c r="IER1618" s="55">
        <f t="shared" si="647"/>
        <v>0</v>
      </c>
      <c r="IES1618" s="55">
        <f t="shared" si="647"/>
        <v>0</v>
      </c>
      <c r="IET1618" s="55">
        <f t="shared" si="647"/>
        <v>0</v>
      </c>
      <c r="IEU1618" s="55">
        <f t="shared" si="647"/>
        <v>0</v>
      </c>
      <c r="IEV1618" s="55">
        <f t="shared" si="647"/>
        <v>0</v>
      </c>
      <c r="IEW1618" s="55">
        <f t="shared" si="647"/>
        <v>0</v>
      </c>
      <c r="IEX1618" s="55">
        <f t="shared" si="647"/>
        <v>0</v>
      </c>
      <c r="IEY1618" s="55">
        <f t="shared" si="647"/>
        <v>0</v>
      </c>
      <c r="IEZ1618" s="55">
        <f t="shared" si="647"/>
        <v>0</v>
      </c>
      <c r="IFA1618" s="55">
        <f t="shared" si="647"/>
        <v>0</v>
      </c>
      <c r="IFB1618" s="55">
        <f t="shared" si="647"/>
        <v>0</v>
      </c>
      <c r="IFC1618" s="55">
        <f t="shared" si="647"/>
        <v>0</v>
      </c>
      <c r="IFD1618" s="55">
        <f t="shared" si="647"/>
        <v>0</v>
      </c>
      <c r="IFE1618" s="55">
        <f t="shared" si="647"/>
        <v>0</v>
      </c>
      <c r="IFF1618" s="55">
        <f t="shared" si="647"/>
        <v>0</v>
      </c>
      <c r="IFG1618" s="55">
        <f t="shared" si="647"/>
        <v>0</v>
      </c>
      <c r="IFH1618" s="55">
        <f t="shared" si="647"/>
        <v>0</v>
      </c>
      <c r="IFI1618" s="55">
        <f t="shared" si="647"/>
        <v>0</v>
      </c>
      <c r="IFJ1618" s="55">
        <f t="shared" si="647"/>
        <v>0</v>
      </c>
      <c r="IFK1618" s="55">
        <f t="shared" si="647"/>
        <v>0</v>
      </c>
      <c r="IFL1618" s="55">
        <f t="shared" si="647"/>
        <v>0</v>
      </c>
      <c r="IFM1618" s="55">
        <f t="shared" si="647"/>
        <v>0</v>
      </c>
      <c r="IFN1618" s="55">
        <f t="shared" si="647"/>
        <v>0</v>
      </c>
      <c r="IFO1618" s="55">
        <f t="shared" si="647"/>
        <v>0</v>
      </c>
      <c r="IFP1618" s="55">
        <f t="shared" si="647"/>
        <v>0</v>
      </c>
      <c r="IFQ1618" s="55">
        <f t="shared" si="647"/>
        <v>0</v>
      </c>
      <c r="IFR1618" s="55">
        <f t="shared" si="647"/>
        <v>0</v>
      </c>
      <c r="IFS1618" s="55">
        <f t="shared" si="647"/>
        <v>0</v>
      </c>
      <c r="IFT1618" s="55">
        <f t="shared" si="647"/>
        <v>0</v>
      </c>
      <c r="IFU1618" s="55">
        <f t="shared" si="647"/>
        <v>0</v>
      </c>
      <c r="IFV1618" s="55">
        <f t="shared" si="647"/>
        <v>0</v>
      </c>
      <c r="IFW1618" s="55">
        <f t="shared" si="647"/>
        <v>0</v>
      </c>
      <c r="IFX1618" s="55">
        <f t="shared" si="647"/>
        <v>0</v>
      </c>
      <c r="IFY1618" s="55">
        <f t="shared" si="647"/>
        <v>0</v>
      </c>
      <c r="IFZ1618" s="55">
        <f t="shared" si="647"/>
        <v>0</v>
      </c>
      <c r="IGA1618" s="55">
        <f t="shared" si="647"/>
        <v>0</v>
      </c>
      <c r="IGB1618" s="55">
        <f t="shared" si="647"/>
        <v>0</v>
      </c>
      <c r="IGC1618" s="55">
        <f t="shared" si="647"/>
        <v>0</v>
      </c>
      <c r="IGD1618" s="55">
        <f t="shared" si="647"/>
        <v>0</v>
      </c>
      <c r="IGE1618" s="55">
        <f t="shared" si="647"/>
        <v>0</v>
      </c>
      <c r="IGF1618" s="55">
        <f t="shared" si="647"/>
        <v>0</v>
      </c>
      <c r="IGG1618" s="55">
        <f t="shared" si="647"/>
        <v>0</v>
      </c>
      <c r="IGH1618" s="55">
        <f t="shared" si="647"/>
        <v>0</v>
      </c>
      <c r="IGI1618" s="55">
        <f t="shared" si="647"/>
        <v>0</v>
      </c>
      <c r="IGJ1618" s="55">
        <f t="shared" si="647"/>
        <v>0</v>
      </c>
      <c r="IGK1618" s="55">
        <f t="shared" si="647"/>
        <v>0</v>
      </c>
      <c r="IGL1618" s="55">
        <f t="shared" si="647"/>
        <v>0</v>
      </c>
      <c r="IGM1618" s="55">
        <f t="shared" si="647"/>
        <v>0</v>
      </c>
      <c r="IGN1618" s="55">
        <f t="shared" si="647"/>
        <v>0</v>
      </c>
      <c r="IGO1618" s="55">
        <f t="shared" si="647"/>
        <v>0</v>
      </c>
      <c r="IGP1618" s="55">
        <f t="shared" si="647"/>
        <v>0</v>
      </c>
      <c r="IGQ1618" s="55">
        <f t="shared" si="647"/>
        <v>0</v>
      </c>
      <c r="IGR1618" s="55">
        <f t="shared" ref="IGR1618:IJC1618" si="648">+(IGR1627+IGR1608)*1.18*1.1</f>
        <v>0</v>
      </c>
      <c r="IGS1618" s="55">
        <f t="shared" si="648"/>
        <v>0</v>
      </c>
      <c r="IGT1618" s="55">
        <f t="shared" si="648"/>
        <v>0</v>
      </c>
      <c r="IGU1618" s="55">
        <f t="shared" si="648"/>
        <v>0</v>
      </c>
      <c r="IGV1618" s="55">
        <f t="shared" si="648"/>
        <v>0</v>
      </c>
      <c r="IGW1618" s="55">
        <f t="shared" si="648"/>
        <v>0</v>
      </c>
      <c r="IGX1618" s="55">
        <f t="shared" si="648"/>
        <v>0</v>
      </c>
      <c r="IGY1618" s="55">
        <f t="shared" si="648"/>
        <v>0</v>
      </c>
      <c r="IGZ1618" s="55">
        <f t="shared" si="648"/>
        <v>0</v>
      </c>
      <c r="IHA1618" s="55">
        <f t="shared" si="648"/>
        <v>0</v>
      </c>
      <c r="IHB1618" s="55">
        <f t="shared" si="648"/>
        <v>0</v>
      </c>
      <c r="IHC1618" s="55">
        <f t="shared" si="648"/>
        <v>0</v>
      </c>
      <c r="IHD1618" s="55">
        <f t="shared" si="648"/>
        <v>0</v>
      </c>
      <c r="IHE1618" s="55">
        <f t="shared" si="648"/>
        <v>0</v>
      </c>
      <c r="IHF1618" s="55">
        <f t="shared" si="648"/>
        <v>0</v>
      </c>
      <c r="IHG1618" s="55">
        <f t="shared" si="648"/>
        <v>0</v>
      </c>
      <c r="IHH1618" s="55">
        <f t="shared" si="648"/>
        <v>0</v>
      </c>
      <c r="IHI1618" s="55">
        <f t="shared" si="648"/>
        <v>0</v>
      </c>
      <c r="IHJ1618" s="55">
        <f t="shared" si="648"/>
        <v>0</v>
      </c>
      <c r="IHK1618" s="55">
        <f t="shared" si="648"/>
        <v>0</v>
      </c>
      <c r="IHL1618" s="55">
        <f t="shared" si="648"/>
        <v>0</v>
      </c>
      <c r="IHM1618" s="55">
        <f t="shared" si="648"/>
        <v>0</v>
      </c>
      <c r="IHN1618" s="55">
        <f t="shared" si="648"/>
        <v>0</v>
      </c>
      <c r="IHO1618" s="55">
        <f t="shared" si="648"/>
        <v>0</v>
      </c>
      <c r="IHP1618" s="55">
        <f t="shared" si="648"/>
        <v>0</v>
      </c>
      <c r="IHQ1618" s="55">
        <f t="shared" si="648"/>
        <v>0</v>
      </c>
      <c r="IHR1618" s="55">
        <f t="shared" si="648"/>
        <v>0</v>
      </c>
      <c r="IHS1618" s="55">
        <f t="shared" si="648"/>
        <v>0</v>
      </c>
      <c r="IHT1618" s="55">
        <f t="shared" si="648"/>
        <v>0</v>
      </c>
      <c r="IHU1618" s="55">
        <f t="shared" si="648"/>
        <v>0</v>
      </c>
      <c r="IHV1618" s="55">
        <f t="shared" si="648"/>
        <v>0</v>
      </c>
      <c r="IHW1618" s="55">
        <f t="shared" si="648"/>
        <v>0</v>
      </c>
      <c r="IHX1618" s="55">
        <f t="shared" si="648"/>
        <v>0</v>
      </c>
      <c r="IHY1618" s="55">
        <f t="shared" si="648"/>
        <v>0</v>
      </c>
      <c r="IHZ1618" s="55">
        <f t="shared" si="648"/>
        <v>0</v>
      </c>
      <c r="IIA1618" s="55">
        <f t="shared" si="648"/>
        <v>0</v>
      </c>
      <c r="IIB1618" s="55">
        <f t="shared" si="648"/>
        <v>0</v>
      </c>
      <c r="IIC1618" s="55">
        <f t="shared" si="648"/>
        <v>0</v>
      </c>
      <c r="IID1618" s="55">
        <f t="shared" si="648"/>
        <v>0</v>
      </c>
      <c r="IIE1618" s="55">
        <f t="shared" si="648"/>
        <v>0</v>
      </c>
      <c r="IIF1618" s="55">
        <f t="shared" si="648"/>
        <v>0</v>
      </c>
      <c r="IIG1618" s="55">
        <f t="shared" si="648"/>
        <v>0</v>
      </c>
      <c r="IIH1618" s="55">
        <f t="shared" si="648"/>
        <v>0</v>
      </c>
      <c r="III1618" s="55">
        <f t="shared" si="648"/>
        <v>0</v>
      </c>
      <c r="IIJ1618" s="55">
        <f t="shared" si="648"/>
        <v>0</v>
      </c>
      <c r="IIK1618" s="55">
        <f t="shared" si="648"/>
        <v>0</v>
      </c>
      <c r="IIL1618" s="55">
        <f t="shared" si="648"/>
        <v>0</v>
      </c>
      <c r="IIM1618" s="55">
        <f t="shared" si="648"/>
        <v>0</v>
      </c>
      <c r="IIN1618" s="55">
        <f t="shared" si="648"/>
        <v>0</v>
      </c>
      <c r="IIO1618" s="55">
        <f t="shared" si="648"/>
        <v>0</v>
      </c>
      <c r="IIP1618" s="55">
        <f t="shared" si="648"/>
        <v>0</v>
      </c>
      <c r="IIQ1618" s="55">
        <f t="shared" si="648"/>
        <v>0</v>
      </c>
      <c r="IIR1618" s="55">
        <f t="shared" si="648"/>
        <v>0</v>
      </c>
      <c r="IIS1618" s="55">
        <f t="shared" si="648"/>
        <v>0</v>
      </c>
      <c r="IIT1618" s="55">
        <f t="shared" si="648"/>
        <v>0</v>
      </c>
      <c r="IIU1618" s="55">
        <f t="shared" si="648"/>
        <v>0</v>
      </c>
      <c r="IIV1618" s="55">
        <f t="shared" si="648"/>
        <v>0</v>
      </c>
      <c r="IIW1618" s="55">
        <f t="shared" si="648"/>
        <v>0</v>
      </c>
      <c r="IIX1618" s="55">
        <f t="shared" si="648"/>
        <v>0</v>
      </c>
      <c r="IIY1618" s="55">
        <f t="shared" si="648"/>
        <v>0</v>
      </c>
      <c r="IIZ1618" s="55">
        <f t="shared" si="648"/>
        <v>0</v>
      </c>
      <c r="IJA1618" s="55">
        <f t="shared" si="648"/>
        <v>0</v>
      </c>
      <c r="IJB1618" s="55">
        <f t="shared" si="648"/>
        <v>0</v>
      </c>
      <c r="IJC1618" s="55">
        <f t="shared" si="648"/>
        <v>0</v>
      </c>
      <c r="IJD1618" s="55">
        <f t="shared" ref="IJD1618:ILO1618" si="649">+(IJD1627+IJD1608)*1.18*1.1</f>
        <v>0</v>
      </c>
      <c r="IJE1618" s="55">
        <f t="shared" si="649"/>
        <v>0</v>
      </c>
      <c r="IJF1618" s="55">
        <f t="shared" si="649"/>
        <v>0</v>
      </c>
      <c r="IJG1618" s="55">
        <f t="shared" si="649"/>
        <v>0</v>
      </c>
      <c r="IJH1618" s="55">
        <f t="shared" si="649"/>
        <v>0</v>
      </c>
      <c r="IJI1618" s="55">
        <f t="shared" si="649"/>
        <v>0</v>
      </c>
      <c r="IJJ1618" s="55">
        <f t="shared" si="649"/>
        <v>0</v>
      </c>
      <c r="IJK1618" s="55">
        <f t="shared" si="649"/>
        <v>0</v>
      </c>
      <c r="IJL1618" s="55">
        <f t="shared" si="649"/>
        <v>0</v>
      </c>
      <c r="IJM1618" s="55">
        <f t="shared" si="649"/>
        <v>0</v>
      </c>
      <c r="IJN1618" s="55">
        <f t="shared" si="649"/>
        <v>0</v>
      </c>
      <c r="IJO1618" s="55">
        <f t="shared" si="649"/>
        <v>0</v>
      </c>
      <c r="IJP1618" s="55">
        <f t="shared" si="649"/>
        <v>0</v>
      </c>
      <c r="IJQ1618" s="55">
        <f t="shared" si="649"/>
        <v>0</v>
      </c>
      <c r="IJR1618" s="55">
        <f t="shared" si="649"/>
        <v>0</v>
      </c>
      <c r="IJS1618" s="55">
        <f t="shared" si="649"/>
        <v>0</v>
      </c>
      <c r="IJT1618" s="55">
        <f t="shared" si="649"/>
        <v>0</v>
      </c>
      <c r="IJU1618" s="55">
        <f t="shared" si="649"/>
        <v>0</v>
      </c>
      <c r="IJV1618" s="55">
        <f t="shared" si="649"/>
        <v>0</v>
      </c>
      <c r="IJW1618" s="55">
        <f t="shared" si="649"/>
        <v>0</v>
      </c>
      <c r="IJX1618" s="55">
        <f t="shared" si="649"/>
        <v>0</v>
      </c>
      <c r="IJY1618" s="55">
        <f t="shared" si="649"/>
        <v>0</v>
      </c>
      <c r="IJZ1618" s="55">
        <f t="shared" si="649"/>
        <v>0</v>
      </c>
      <c r="IKA1618" s="55">
        <f t="shared" si="649"/>
        <v>0</v>
      </c>
      <c r="IKB1618" s="55">
        <f t="shared" si="649"/>
        <v>0</v>
      </c>
      <c r="IKC1618" s="55">
        <f t="shared" si="649"/>
        <v>0</v>
      </c>
      <c r="IKD1618" s="55">
        <f t="shared" si="649"/>
        <v>0</v>
      </c>
      <c r="IKE1618" s="55">
        <f t="shared" si="649"/>
        <v>0</v>
      </c>
      <c r="IKF1618" s="55">
        <f t="shared" si="649"/>
        <v>0</v>
      </c>
      <c r="IKG1618" s="55">
        <f t="shared" si="649"/>
        <v>0</v>
      </c>
      <c r="IKH1618" s="55">
        <f t="shared" si="649"/>
        <v>0</v>
      </c>
      <c r="IKI1618" s="55">
        <f t="shared" si="649"/>
        <v>0</v>
      </c>
      <c r="IKJ1618" s="55">
        <f t="shared" si="649"/>
        <v>0</v>
      </c>
      <c r="IKK1618" s="55">
        <f t="shared" si="649"/>
        <v>0</v>
      </c>
      <c r="IKL1618" s="55">
        <f t="shared" si="649"/>
        <v>0</v>
      </c>
      <c r="IKM1618" s="55">
        <f t="shared" si="649"/>
        <v>0</v>
      </c>
      <c r="IKN1618" s="55">
        <f t="shared" si="649"/>
        <v>0</v>
      </c>
      <c r="IKO1618" s="55">
        <f t="shared" si="649"/>
        <v>0</v>
      </c>
      <c r="IKP1618" s="55">
        <f t="shared" si="649"/>
        <v>0</v>
      </c>
      <c r="IKQ1618" s="55">
        <f t="shared" si="649"/>
        <v>0</v>
      </c>
      <c r="IKR1618" s="55">
        <f t="shared" si="649"/>
        <v>0</v>
      </c>
      <c r="IKS1618" s="55">
        <f t="shared" si="649"/>
        <v>0</v>
      </c>
      <c r="IKT1618" s="55">
        <f t="shared" si="649"/>
        <v>0</v>
      </c>
      <c r="IKU1618" s="55">
        <f t="shared" si="649"/>
        <v>0</v>
      </c>
      <c r="IKV1618" s="55">
        <f t="shared" si="649"/>
        <v>0</v>
      </c>
      <c r="IKW1618" s="55">
        <f t="shared" si="649"/>
        <v>0</v>
      </c>
      <c r="IKX1618" s="55">
        <f t="shared" si="649"/>
        <v>0</v>
      </c>
      <c r="IKY1618" s="55">
        <f t="shared" si="649"/>
        <v>0</v>
      </c>
      <c r="IKZ1618" s="55">
        <f t="shared" si="649"/>
        <v>0</v>
      </c>
      <c r="ILA1618" s="55">
        <f t="shared" si="649"/>
        <v>0</v>
      </c>
      <c r="ILB1618" s="55">
        <f t="shared" si="649"/>
        <v>0</v>
      </c>
      <c r="ILC1618" s="55">
        <f t="shared" si="649"/>
        <v>0</v>
      </c>
      <c r="ILD1618" s="55">
        <f t="shared" si="649"/>
        <v>0</v>
      </c>
      <c r="ILE1618" s="55">
        <f t="shared" si="649"/>
        <v>0</v>
      </c>
      <c r="ILF1618" s="55">
        <f t="shared" si="649"/>
        <v>0</v>
      </c>
      <c r="ILG1618" s="55">
        <f t="shared" si="649"/>
        <v>0</v>
      </c>
      <c r="ILH1618" s="55">
        <f t="shared" si="649"/>
        <v>0</v>
      </c>
      <c r="ILI1618" s="55">
        <f t="shared" si="649"/>
        <v>0</v>
      </c>
      <c r="ILJ1618" s="55">
        <f t="shared" si="649"/>
        <v>0</v>
      </c>
      <c r="ILK1618" s="55">
        <f t="shared" si="649"/>
        <v>0</v>
      </c>
      <c r="ILL1618" s="55">
        <f t="shared" si="649"/>
        <v>0</v>
      </c>
      <c r="ILM1618" s="55">
        <f t="shared" si="649"/>
        <v>0</v>
      </c>
      <c r="ILN1618" s="55">
        <f t="shared" si="649"/>
        <v>0</v>
      </c>
      <c r="ILO1618" s="55">
        <f t="shared" si="649"/>
        <v>0</v>
      </c>
      <c r="ILP1618" s="55">
        <f t="shared" ref="ILP1618:IOA1618" si="650">+(ILP1627+ILP1608)*1.18*1.1</f>
        <v>0</v>
      </c>
      <c r="ILQ1618" s="55">
        <f t="shared" si="650"/>
        <v>0</v>
      </c>
      <c r="ILR1618" s="55">
        <f t="shared" si="650"/>
        <v>0</v>
      </c>
      <c r="ILS1618" s="55">
        <f t="shared" si="650"/>
        <v>0</v>
      </c>
      <c r="ILT1618" s="55">
        <f t="shared" si="650"/>
        <v>0</v>
      </c>
      <c r="ILU1618" s="55">
        <f t="shared" si="650"/>
        <v>0</v>
      </c>
      <c r="ILV1618" s="55">
        <f t="shared" si="650"/>
        <v>0</v>
      </c>
      <c r="ILW1618" s="55">
        <f t="shared" si="650"/>
        <v>0</v>
      </c>
      <c r="ILX1618" s="55">
        <f t="shared" si="650"/>
        <v>0</v>
      </c>
      <c r="ILY1618" s="55">
        <f t="shared" si="650"/>
        <v>0</v>
      </c>
      <c r="ILZ1618" s="55">
        <f t="shared" si="650"/>
        <v>0</v>
      </c>
      <c r="IMA1618" s="55">
        <f t="shared" si="650"/>
        <v>0</v>
      </c>
      <c r="IMB1618" s="55">
        <f t="shared" si="650"/>
        <v>0</v>
      </c>
      <c r="IMC1618" s="55">
        <f t="shared" si="650"/>
        <v>0</v>
      </c>
      <c r="IMD1618" s="55">
        <f t="shared" si="650"/>
        <v>0</v>
      </c>
      <c r="IME1618" s="55">
        <f t="shared" si="650"/>
        <v>0</v>
      </c>
      <c r="IMF1618" s="55">
        <f t="shared" si="650"/>
        <v>0</v>
      </c>
      <c r="IMG1618" s="55">
        <f t="shared" si="650"/>
        <v>0</v>
      </c>
      <c r="IMH1618" s="55">
        <f t="shared" si="650"/>
        <v>0</v>
      </c>
      <c r="IMI1618" s="55">
        <f t="shared" si="650"/>
        <v>0</v>
      </c>
      <c r="IMJ1618" s="55">
        <f t="shared" si="650"/>
        <v>0</v>
      </c>
      <c r="IMK1618" s="55">
        <f t="shared" si="650"/>
        <v>0</v>
      </c>
      <c r="IML1618" s="55">
        <f t="shared" si="650"/>
        <v>0</v>
      </c>
      <c r="IMM1618" s="55">
        <f t="shared" si="650"/>
        <v>0</v>
      </c>
      <c r="IMN1618" s="55">
        <f t="shared" si="650"/>
        <v>0</v>
      </c>
      <c r="IMO1618" s="55">
        <f t="shared" si="650"/>
        <v>0</v>
      </c>
      <c r="IMP1618" s="55">
        <f t="shared" si="650"/>
        <v>0</v>
      </c>
      <c r="IMQ1618" s="55">
        <f t="shared" si="650"/>
        <v>0</v>
      </c>
      <c r="IMR1618" s="55">
        <f t="shared" si="650"/>
        <v>0</v>
      </c>
      <c r="IMS1618" s="55">
        <f t="shared" si="650"/>
        <v>0</v>
      </c>
      <c r="IMT1618" s="55">
        <f t="shared" si="650"/>
        <v>0</v>
      </c>
      <c r="IMU1618" s="55">
        <f t="shared" si="650"/>
        <v>0</v>
      </c>
      <c r="IMV1618" s="55">
        <f t="shared" si="650"/>
        <v>0</v>
      </c>
      <c r="IMW1618" s="55">
        <f t="shared" si="650"/>
        <v>0</v>
      </c>
      <c r="IMX1618" s="55">
        <f t="shared" si="650"/>
        <v>0</v>
      </c>
      <c r="IMY1618" s="55">
        <f t="shared" si="650"/>
        <v>0</v>
      </c>
      <c r="IMZ1618" s="55">
        <f t="shared" si="650"/>
        <v>0</v>
      </c>
      <c r="INA1618" s="55">
        <f t="shared" si="650"/>
        <v>0</v>
      </c>
      <c r="INB1618" s="55">
        <f t="shared" si="650"/>
        <v>0</v>
      </c>
      <c r="INC1618" s="55">
        <f t="shared" si="650"/>
        <v>0</v>
      </c>
      <c r="IND1618" s="55">
        <f t="shared" si="650"/>
        <v>0</v>
      </c>
      <c r="INE1618" s="55">
        <f t="shared" si="650"/>
        <v>0</v>
      </c>
      <c r="INF1618" s="55">
        <f t="shared" si="650"/>
        <v>0</v>
      </c>
      <c r="ING1618" s="55">
        <f t="shared" si="650"/>
        <v>0</v>
      </c>
      <c r="INH1618" s="55">
        <f t="shared" si="650"/>
        <v>0</v>
      </c>
      <c r="INI1618" s="55">
        <f t="shared" si="650"/>
        <v>0</v>
      </c>
      <c r="INJ1618" s="55">
        <f t="shared" si="650"/>
        <v>0</v>
      </c>
      <c r="INK1618" s="55">
        <f t="shared" si="650"/>
        <v>0</v>
      </c>
      <c r="INL1618" s="55">
        <f t="shared" si="650"/>
        <v>0</v>
      </c>
      <c r="INM1618" s="55">
        <f t="shared" si="650"/>
        <v>0</v>
      </c>
      <c r="INN1618" s="55">
        <f t="shared" si="650"/>
        <v>0</v>
      </c>
      <c r="INO1618" s="55">
        <f t="shared" si="650"/>
        <v>0</v>
      </c>
      <c r="INP1618" s="55">
        <f t="shared" si="650"/>
        <v>0</v>
      </c>
      <c r="INQ1618" s="55">
        <f t="shared" si="650"/>
        <v>0</v>
      </c>
      <c r="INR1618" s="55">
        <f t="shared" si="650"/>
        <v>0</v>
      </c>
      <c r="INS1618" s="55">
        <f t="shared" si="650"/>
        <v>0</v>
      </c>
      <c r="INT1618" s="55">
        <f t="shared" si="650"/>
        <v>0</v>
      </c>
      <c r="INU1618" s="55">
        <f t="shared" si="650"/>
        <v>0</v>
      </c>
      <c r="INV1618" s="55">
        <f t="shared" si="650"/>
        <v>0</v>
      </c>
      <c r="INW1618" s="55">
        <f t="shared" si="650"/>
        <v>0</v>
      </c>
      <c r="INX1618" s="55">
        <f t="shared" si="650"/>
        <v>0</v>
      </c>
      <c r="INY1618" s="55">
        <f t="shared" si="650"/>
        <v>0</v>
      </c>
      <c r="INZ1618" s="55">
        <f t="shared" si="650"/>
        <v>0</v>
      </c>
      <c r="IOA1618" s="55">
        <f t="shared" si="650"/>
        <v>0</v>
      </c>
      <c r="IOB1618" s="55">
        <f t="shared" ref="IOB1618:IQM1618" si="651">+(IOB1627+IOB1608)*1.18*1.1</f>
        <v>0</v>
      </c>
      <c r="IOC1618" s="55">
        <f t="shared" si="651"/>
        <v>0</v>
      </c>
      <c r="IOD1618" s="55">
        <f t="shared" si="651"/>
        <v>0</v>
      </c>
      <c r="IOE1618" s="55">
        <f t="shared" si="651"/>
        <v>0</v>
      </c>
      <c r="IOF1618" s="55">
        <f t="shared" si="651"/>
        <v>0</v>
      </c>
      <c r="IOG1618" s="55">
        <f t="shared" si="651"/>
        <v>0</v>
      </c>
      <c r="IOH1618" s="55">
        <f t="shared" si="651"/>
        <v>0</v>
      </c>
      <c r="IOI1618" s="55">
        <f t="shared" si="651"/>
        <v>0</v>
      </c>
      <c r="IOJ1618" s="55">
        <f t="shared" si="651"/>
        <v>0</v>
      </c>
      <c r="IOK1618" s="55">
        <f t="shared" si="651"/>
        <v>0</v>
      </c>
      <c r="IOL1618" s="55">
        <f t="shared" si="651"/>
        <v>0</v>
      </c>
      <c r="IOM1618" s="55">
        <f t="shared" si="651"/>
        <v>0</v>
      </c>
      <c r="ION1618" s="55">
        <f t="shared" si="651"/>
        <v>0</v>
      </c>
      <c r="IOO1618" s="55">
        <f t="shared" si="651"/>
        <v>0</v>
      </c>
      <c r="IOP1618" s="55">
        <f t="shared" si="651"/>
        <v>0</v>
      </c>
      <c r="IOQ1618" s="55">
        <f t="shared" si="651"/>
        <v>0</v>
      </c>
      <c r="IOR1618" s="55">
        <f t="shared" si="651"/>
        <v>0</v>
      </c>
      <c r="IOS1618" s="55">
        <f t="shared" si="651"/>
        <v>0</v>
      </c>
      <c r="IOT1618" s="55">
        <f t="shared" si="651"/>
        <v>0</v>
      </c>
      <c r="IOU1618" s="55">
        <f t="shared" si="651"/>
        <v>0</v>
      </c>
      <c r="IOV1618" s="55">
        <f t="shared" si="651"/>
        <v>0</v>
      </c>
      <c r="IOW1618" s="55">
        <f t="shared" si="651"/>
        <v>0</v>
      </c>
      <c r="IOX1618" s="55">
        <f t="shared" si="651"/>
        <v>0</v>
      </c>
      <c r="IOY1618" s="55">
        <f t="shared" si="651"/>
        <v>0</v>
      </c>
      <c r="IOZ1618" s="55">
        <f t="shared" si="651"/>
        <v>0</v>
      </c>
      <c r="IPA1618" s="55">
        <f t="shared" si="651"/>
        <v>0</v>
      </c>
      <c r="IPB1618" s="55">
        <f t="shared" si="651"/>
        <v>0</v>
      </c>
      <c r="IPC1618" s="55">
        <f t="shared" si="651"/>
        <v>0</v>
      </c>
      <c r="IPD1618" s="55">
        <f t="shared" si="651"/>
        <v>0</v>
      </c>
      <c r="IPE1618" s="55">
        <f t="shared" si="651"/>
        <v>0</v>
      </c>
      <c r="IPF1618" s="55">
        <f t="shared" si="651"/>
        <v>0</v>
      </c>
      <c r="IPG1618" s="55">
        <f t="shared" si="651"/>
        <v>0</v>
      </c>
      <c r="IPH1618" s="55">
        <f t="shared" si="651"/>
        <v>0</v>
      </c>
      <c r="IPI1618" s="55">
        <f t="shared" si="651"/>
        <v>0</v>
      </c>
      <c r="IPJ1618" s="55">
        <f t="shared" si="651"/>
        <v>0</v>
      </c>
      <c r="IPK1618" s="55">
        <f t="shared" si="651"/>
        <v>0</v>
      </c>
      <c r="IPL1618" s="55">
        <f t="shared" si="651"/>
        <v>0</v>
      </c>
      <c r="IPM1618" s="55">
        <f t="shared" si="651"/>
        <v>0</v>
      </c>
      <c r="IPN1618" s="55">
        <f t="shared" si="651"/>
        <v>0</v>
      </c>
      <c r="IPO1618" s="55">
        <f t="shared" si="651"/>
        <v>0</v>
      </c>
      <c r="IPP1618" s="55">
        <f t="shared" si="651"/>
        <v>0</v>
      </c>
      <c r="IPQ1618" s="55">
        <f t="shared" si="651"/>
        <v>0</v>
      </c>
      <c r="IPR1618" s="55">
        <f t="shared" si="651"/>
        <v>0</v>
      </c>
      <c r="IPS1618" s="55">
        <f t="shared" si="651"/>
        <v>0</v>
      </c>
      <c r="IPT1618" s="55">
        <f t="shared" si="651"/>
        <v>0</v>
      </c>
      <c r="IPU1618" s="55">
        <f t="shared" si="651"/>
        <v>0</v>
      </c>
      <c r="IPV1618" s="55">
        <f t="shared" si="651"/>
        <v>0</v>
      </c>
      <c r="IPW1618" s="55">
        <f t="shared" si="651"/>
        <v>0</v>
      </c>
      <c r="IPX1618" s="55">
        <f t="shared" si="651"/>
        <v>0</v>
      </c>
      <c r="IPY1618" s="55">
        <f t="shared" si="651"/>
        <v>0</v>
      </c>
      <c r="IPZ1618" s="55">
        <f t="shared" si="651"/>
        <v>0</v>
      </c>
      <c r="IQA1618" s="55">
        <f t="shared" si="651"/>
        <v>0</v>
      </c>
      <c r="IQB1618" s="55">
        <f t="shared" si="651"/>
        <v>0</v>
      </c>
      <c r="IQC1618" s="55">
        <f t="shared" si="651"/>
        <v>0</v>
      </c>
      <c r="IQD1618" s="55">
        <f t="shared" si="651"/>
        <v>0</v>
      </c>
      <c r="IQE1618" s="55">
        <f t="shared" si="651"/>
        <v>0</v>
      </c>
      <c r="IQF1618" s="55">
        <f t="shared" si="651"/>
        <v>0</v>
      </c>
      <c r="IQG1618" s="55">
        <f t="shared" si="651"/>
        <v>0</v>
      </c>
      <c r="IQH1618" s="55">
        <f t="shared" si="651"/>
        <v>0</v>
      </c>
      <c r="IQI1618" s="55">
        <f t="shared" si="651"/>
        <v>0</v>
      </c>
      <c r="IQJ1618" s="55">
        <f t="shared" si="651"/>
        <v>0</v>
      </c>
      <c r="IQK1618" s="55">
        <f t="shared" si="651"/>
        <v>0</v>
      </c>
      <c r="IQL1618" s="55">
        <f t="shared" si="651"/>
        <v>0</v>
      </c>
      <c r="IQM1618" s="55">
        <f t="shared" si="651"/>
        <v>0</v>
      </c>
      <c r="IQN1618" s="55">
        <f t="shared" ref="IQN1618:ISY1618" si="652">+(IQN1627+IQN1608)*1.18*1.1</f>
        <v>0</v>
      </c>
      <c r="IQO1618" s="55">
        <f t="shared" si="652"/>
        <v>0</v>
      </c>
      <c r="IQP1618" s="55">
        <f t="shared" si="652"/>
        <v>0</v>
      </c>
      <c r="IQQ1618" s="55">
        <f t="shared" si="652"/>
        <v>0</v>
      </c>
      <c r="IQR1618" s="55">
        <f t="shared" si="652"/>
        <v>0</v>
      </c>
      <c r="IQS1618" s="55">
        <f t="shared" si="652"/>
        <v>0</v>
      </c>
      <c r="IQT1618" s="55">
        <f t="shared" si="652"/>
        <v>0</v>
      </c>
      <c r="IQU1618" s="55">
        <f t="shared" si="652"/>
        <v>0</v>
      </c>
      <c r="IQV1618" s="55">
        <f t="shared" si="652"/>
        <v>0</v>
      </c>
      <c r="IQW1618" s="55">
        <f t="shared" si="652"/>
        <v>0</v>
      </c>
      <c r="IQX1618" s="55">
        <f t="shared" si="652"/>
        <v>0</v>
      </c>
      <c r="IQY1618" s="55">
        <f t="shared" si="652"/>
        <v>0</v>
      </c>
      <c r="IQZ1618" s="55">
        <f t="shared" si="652"/>
        <v>0</v>
      </c>
      <c r="IRA1618" s="55">
        <f t="shared" si="652"/>
        <v>0</v>
      </c>
      <c r="IRB1618" s="55">
        <f t="shared" si="652"/>
        <v>0</v>
      </c>
      <c r="IRC1618" s="55">
        <f t="shared" si="652"/>
        <v>0</v>
      </c>
      <c r="IRD1618" s="55">
        <f t="shared" si="652"/>
        <v>0</v>
      </c>
      <c r="IRE1618" s="55">
        <f t="shared" si="652"/>
        <v>0</v>
      </c>
      <c r="IRF1618" s="55">
        <f t="shared" si="652"/>
        <v>0</v>
      </c>
      <c r="IRG1618" s="55">
        <f t="shared" si="652"/>
        <v>0</v>
      </c>
      <c r="IRH1618" s="55">
        <f t="shared" si="652"/>
        <v>0</v>
      </c>
      <c r="IRI1618" s="55">
        <f t="shared" si="652"/>
        <v>0</v>
      </c>
      <c r="IRJ1618" s="55">
        <f t="shared" si="652"/>
        <v>0</v>
      </c>
      <c r="IRK1618" s="55">
        <f t="shared" si="652"/>
        <v>0</v>
      </c>
      <c r="IRL1618" s="55">
        <f t="shared" si="652"/>
        <v>0</v>
      </c>
      <c r="IRM1618" s="55">
        <f t="shared" si="652"/>
        <v>0</v>
      </c>
      <c r="IRN1618" s="55">
        <f t="shared" si="652"/>
        <v>0</v>
      </c>
      <c r="IRO1618" s="55">
        <f t="shared" si="652"/>
        <v>0</v>
      </c>
      <c r="IRP1618" s="55">
        <f t="shared" si="652"/>
        <v>0</v>
      </c>
      <c r="IRQ1618" s="55">
        <f t="shared" si="652"/>
        <v>0</v>
      </c>
      <c r="IRR1618" s="55">
        <f t="shared" si="652"/>
        <v>0</v>
      </c>
      <c r="IRS1618" s="55">
        <f t="shared" si="652"/>
        <v>0</v>
      </c>
      <c r="IRT1618" s="55">
        <f t="shared" si="652"/>
        <v>0</v>
      </c>
      <c r="IRU1618" s="55">
        <f t="shared" si="652"/>
        <v>0</v>
      </c>
      <c r="IRV1618" s="55">
        <f t="shared" si="652"/>
        <v>0</v>
      </c>
      <c r="IRW1618" s="55">
        <f t="shared" si="652"/>
        <v>0</v>
      </c>
      <c r="IRX1618" s="55">
        <f t="shared" si="652"/>
        <v>0</v>
      </c>
      <c r="IRY1618" s="55">
        <f t="shared" si="652"/>
        <v>0</v>
      </c>
      <c r="IRZ1618" s="55">
        <f t="shared" si="652"/>
        <v>0</v>
      </c>
      <c r="ISA1618" s="55">
        <f t="shared" si="652"/>
        <v>0</v>
      </c>
      <c r="ISB1618" s="55">
        <f t="shared" si="652"/>
        <v>0</v>
      </c>
      <c r="ISC1618" s="55">
        <f t="shared" si="652"/>
        <v>0</v>
      </c>
      <c r="ISD1618" s="55">
        <f t="shared" si="652"/>
        <v>0</v>
      </c>
      <c r="ISE1618" s="55">
        <f t="shared" si="652"/>
        <v>0</v>
      </c>
      <c r="ISF1618" s="55">
        <f t="shared" si="652"/>
        <v>0</v>
      </c>
      <c r="ISG1618" s="55">
        <f t="shared" si="652"/>
        <v>0</v>
      </c>
      <c r="ISH1618" s="55">
        <f t="shared" si="652"/>
        <v>0</v>
      </c>
      <c r="ISI1618" s="55">
        <f t="shared" si="652"/>
        <v>0</v>
      </c>
      <c r="ISJ1618" s="55">
        <f t="shared" si="652"/>
        <v>0</v>
      </c>
      <c r="ISK1618" s="55">
        <f t="shared" si="652"/>
        <v>0</v>
      </c>
      <c r="ISL1618" s="55">
        <f t="shared" si="652"/>
        <v>0</v>
      </c>
      <c r="ISM1618" s="55">
        <f t="shared" si="652"/>
        <v>0</v>
      </c>
      <c r="ISN1618" s="55">
        <f t="shared" si="652"/>
        <v>0</v>
      </c>
      <c r="ISO1618" s="55">
        <f t="shared" si="652"/>
        <v>0</v>
      </c>
      <c r="ISP1618" s="55">
        <f t="shared" si="652"/>
        <v>0</v>
      </c>
      <c r="ISQ1618" s="55">
        <f t="shared" si="652"/>
        <v>0</v>
      </c>
      <c r="ISR1618" s="55">
        <f t="shared" si="652"/>
        <v>0</v>
      </c>
      <c r="ISS1618" s="55">
        <f t="shared" si="652"/>
        <v>0</v>
      </c>
      <c r="IST1618" s="55">
        <f t="shared" si="652"/>
        <v>0</v>
      </c>
      <c r="ISU1618" s="55">
        <f t="shared" si="652"/>
        <v>0</v>
      </c>
      <c r="ISV1618" s="55">
        <f t="shared" si="652"/>
        <v>0</v>
      </c>
      <c r="ISW1618" s="55">
        <f t="shared" si="652"/>
        <v>0</v>
      </c>
      <c r="ISX1618" s="55">
        <f t="shared" si="652"/>
        <v>0</v>
      </c>
      <c r="ISY1618" s="55">
        <f t="shared" si="652"/>
        <v>0</v>
      </c>
      <c r="ISZ1618" s="55">
        <f t="shared" ref="ISZ1618:IVK1618" si="653">+(ISZ1627+ISZ1608)*1.18*1.1</f>
        <v>0</v>
      </c>
      <c r="ITA1618" s="55">
        <f t="shared" si="653"/>
        <v>0</v>
      </c>
      <c r="ITB1618" s="55">
        <f t="shared" si="653"/>
        <v>0</v>
      </c>
      <c r="ITC1618" s="55">
        <f t="shared" si="653"/>
        <v>0</v>
      </c>
      <c r="ITD1618" s="55">
        <f t="shared" si="653"/>
        <v>0</v>
      </c>
      <c r="ITE1618" s="55">
        <f t="shared" si="653"/>
        <v>0</v>
      </c>
      <c r="ITF1618" s="55">
        <f t="shared" si="653"/>
        <v>0</v>
      </c>
      <c r="ITG1618" s="55">
        <f t="shared" si="653"/>
        <v>0</v>
      </c>
      <c r="ITH1618" s="55">
        <f t="shared" si="653"/>
        <v>0</v>
      </c>
      <c r="ITI1618" s="55">
        <f t="shared" si="653"/>
        <v>0</v>
      </c>
      <c r="ITJ1618" s="55">
        <f t="shared" si="653"/>
        <v>0</v>
      </c>
      <c r="ITK1618" s="55">
        <f t="shared" si="653"/>
        <v>0</v>
      </c>
      <c r="ITL1618" s="55">
        <f t="shared" si="653"/>
        <v>0</v>
      </c>
      <c r="ITM1618" s="55">
        <f t="shared" si="653"/>
        <v>0</v>
      </c>
      <c r="ITN1618" s="55">
        <f t="shared" si="653"/>
        <v>0</v>
      </c>
      <c r="ITO1618" s="55">
        <f t="shared" si="653"/>
        <v>0</v>
      </c>
      <c r="ITP1618" s="55">
        <f t="shared" si="653"/>
        <v>0</v>
      </c>
      <c r="ITQ1618" s="55">
        <f t="shared" si="653"/>
        <v>0</v>
      </c>
      <c r="ITR1618" s="55">
        <f t="shared" si="653"/>
        <v>0</v>
      </c>
      <c r="ITS1618" s="55">
        <f t="shared" si="653"/>
        <v>0</v>
      </c>
      <c r="ITT1618" s="55">
        <f t="shared" si="653"/>
        <v>0</v>
      </c>
      <c r="ITU1618" s="55">
        <f t="shared" si="653"/>
        <v>0</v>
      </c>
      <c r="ITV1618" s="55">
        <f t="shared" si="653"/>
        <v>0</v>
      </c>
      <c r="ITW1618" s="55">
        <f t="shared" si="653"/>
        <v>0</v>
      </c>
      <c r="ITX1618" s="55">
        <f t="shared" si="653"/>
        <v>0</v>
      </c>
      <c r="ITY1618" s="55">
        <f t="shared" si="653"/>
        <v>0</v>
      </c>
      <c r="ITZ1618" s="55">
        <f t="shared" si="653"/>
        <v>0</v>
      </c>
      <c r="IUA1618" s="55">
        <f t="shared" si="653"/>
        <v>0</v>
      </c>
      <c r="IUB1618" s="55">
        <f t="shared" si="653"/>
        <v>0</v>
      </c>
      <c r="IUC1618" s="55">
        <f t="shared" si="653"/>
        <v>0</v>
      </c>
      <c r="IUD1618" s="55">
        <f t="shared" si="653"/>
        <v>0</v>
      </c>
      <c r="IUE1618" s="55">
        <f t="shared" si="653"/>
        <v>0</v>
      </c>
      <c r="IUF1618" s="55">
        <f t="shared" si="653"/>
        <v>0</v>
      </c>
      <c r="IUG1618" s="55">
        <f t="shared" si="653"/>
        <v>0</v>
      </c>
      <c r="IUH1618" s="55">
        <f t="shared" si="653"/>
        <v>0</v>
      </c>
      <c r="IUI1618" s="55">
        <f t="shared" si="653"/>
        <v>0</v>
      </c>
      <c r="IUJ1618" s="55">
        <f t="shared" si="653"/>
        <v>0</v>
      </c>
      <c r="IUK1618" s="55">
        <f t="shared" si="653"/>
        <v>0</v>
      </c>
      <c r="IUL1618" s="55">
        <f t="shared" si="653"/>
        <v>0</v>
      </c>
      <c r="IUM1618" s="55">
        <f t="shared" si="653"/>
        <v>0</v>
      </c>
      <c r="IUN1618" s="55">
        <f t="shared" si="653"/>
        <v>0</v>
      </c>
      <c r="IUO1618" s="55">
        <f t="shared" si="653"/>
        <v>0</v>
      </c>
      <c r="IUP1618" s="55">
        <f t="shared" si="653"/>
        <v>0</v>
      </c>
      <c r="IUQ1618" s="55">
        <f t="shared" si="653"/>
        <v>0</v>
      </c>
      <c r="IUR1618" s="55">
        <f t="shared" si="653"/>
        <v>0</v>
      </c>
      <c r="IUS1618" s="55">
        <f t="shared" si="653"/>
        <v>0</v>
      </c>
      <c r="IUT1618" s="55">
        <f t="shared" si="653"/>
        <v>0</v>
      </c>
      <c r="IUU1618" s="55">
        <f t="shared" si="653"/>
        <v>0</v>
      </c>
      <c r="IUV1618" s="55">
        <f t="shared" si="653"/>
        <v>0</v>
      </c>
      <c r="IUW1618" s="55">
        <f t="shared" si="653"/>
        <v>0</v>
      </c>
      <c r="IUX1618" s="55">
        <f t="shared" si="653"/>
        <v>0</v>
      </c>
      <c r="IUY1618" s="55">
        <f t="shared" si="653"/>
        <v>0</v>
      </c>
      <c r="IUZ1618" s="55">
        <f t="shared" si="653"/>
        <v>0</v>
      </c>
      <c r="IVA1618" s="55">
        <f t="shared" si="653"/>
        <v>0</v>
      </c>
      <c r="IVB1618" s="55">
        <f t="shared" si="653"/>
        <v>0</v>
      </c>
      <c r="IVC1618" s="55">
        <f t="shared" si="653"/>
        <v>0</v>
      </c>
      <c r="IVD1618" s="55">
        <f t="shared" si="653"/>
        <v>0</v>
      </c>
      <c r="IVE1618" s="55">
        <f t="shared" si="653"/>
        <v>0</v>
      </c>
      <c r="IVF1618" s="55">
        <f t="shared" si="653"/>
        <v>0</v>
      </c>
      <c r="IVG1618" s="55">
        <f t="shared" si="653"/>
        <v>0</v>
      </c>
      <c r="IVH1618" s="55">
        <f t="shared" si="653"/>
        <v>0</v>
      </c>
      <c r="IVI1618" s="55">
        <f t="shared" si="653"/>
        <v>0</v>
      </c>
      <c r="IVJ1618" s="55">
        <f t="shared" si="653"/>
        <v>0</v>
      </c>
      <c r="IVK1618" s="55">
        <f t="shared" si="653"/>
        <v>0</v>
      </c>
      <c r="IVL1618" s="55">
        <f t="shared" ref="IVL1618:IXW1618" si="654">+(IVL1627+IVL1608)*1.18*1.1</f>
        <v>0</v>
      </c>
      <c r="IVM1618" s="55">
        <f t="shared" si="654"/>
        <v>0</v>
      </c>
      <c r="IVN1618" s="55">
        <f t="shared" si="654"/>
        <v>0</v>
      </c>
      <c r="IVO1618" s="55">
        <f t="shared" si="654"/>
        <v>0</v>
      </c>
      <c r="IVP1618" s="55">
        <f t="shared" si="654"/>
        <v>0</v>
      </c>
      <c r="IVQ1618" s="55">
        <f t="shared" si="654"/>
        <v>0</v>
      </c>
      <c r="IVR1618" s="55">
        <f t="shared" si="654"/>
        <v>0</v>
      </c>
      <c r="IVS1618" s="55">
        <f t="shared" si="654"/>
        <v>0</v>
      </c>
      <c r="IVT1618" s="55">
        <f t="shared" si="654"/>
        <v>0</v>
      </c>
      <c r="IVU1618" s="55">
        <f t="shared" si="654"/>
        <v>0</v>
      </c>
      <c r="IVV1618" s="55">
        <f t="shared" si="654"/>
        <v>0</v>
      </c>
      <c r="IVW1618" s="55">
        <f t="shared" si="654"/>
        <v>0</v>
      </c>
      <c r="IVX1618" s="55">
        <f t="shared" si="654"/>
        <v>0</v>
      </c>
      <c r="IVY1618" s="55">
        <f t="shared" si="654"/>
        <v>0</v>
      </c>
      <c r="IVZ1618" s="55">
        <f t="shared" si="654"/>
        <v>0</v>
      </c>
      <c r="IWA1618" s="55">
        <f t="shared" si="654"/>
        <v>0</v>
      </c>
      <c r="IWB1618" s="55">
        <f t="shared" si="654"/>
        <v>0</v>
      </c>
      <c r="IWC1618" s="55">
        <f t="shared" si="654"/>
        <v>0</v>
      </c>
      <c r="IWD1618" s="55">
        <f t="shared" si="654"/>
        <v>0</v>
      </c>
      <c r="IWE1618" s="55">
        <f t="shared" si="654"/>
        <v>0</v>
      </c>
      <c r="IWF1618" s="55">
        <f t="shared" si="654"/>
        <v>0</v>
      </c>
      <c r="IWG1618" s="55">
        <f t="shared" si="654"/>
        <v>0</v>
      </c>
      <c r="IWH1618" s="55">
        <f t="shared" si="654"/>
        <v>0</v>
      </c>
      <c r="IWI1618" s="55">
        <f t="shared" si="654"/>
        <v>0</v>
      </c>
      <c r="IWJ1618" s="55">
        <f t="shared" si="654"/>
        <v>0</v>
      </c>
      <c r="IWK1618" s="55">
        <f t="shared" si="654"/>
        <v>0</v>
      </c>
      <c r="IWL1618" s="55">
        <f t="shared" si="654"/>
        <v>0</v>
      </c>
      <c r="IWM1618" s="55">
        <f t="shared" si="654"/>
        <v>0</v>
      </c>
      <c r="IWN1618" s="55">
        <f t="shared" si="654"/>
        <v>0</v>
      </c>
      <c r="IWO1618" s="55">
        <f t="shared" si="654"/>
        <v>0</v>
      </c>
      <c r="IWP1618" s="55">
        <f t="shared" si="654"/>
        <v>0</v>
      </c>
      <c r="IWQ1618" s="55">
        <f t="shared" si="654"/>
        <v>0</v>
      </c>
      <c r="IWR1618" s="55">
        <f t="shared" si="654"/>
        <v>0</v>
      </c>
      <c r="IWS1618" s="55">
        <f t="shared" si="654"/>
        <v>0</v>
      </c>
      <c r="IWT1618" s="55">
        <f t="shared" si="654"/>
        <v>0</v>
      </c>
      <c r="IWU1618" s="55">
        <f t="shared" si="654"/>
        <v>0</v>
      </c>
      <c r="IWV1618" s="55">
        <f t="shared" si="654"/>
        <v>0</v>
      </c>
      <c r="IWW1618" s="55">
        <f t="shared" si="654"/>
        <v>0</v>
      </c>
      <c r="IWX1618" s="55">
        <f t="shared" si="654"/>
        <v>0</v>
      </c>
      <c r="IWY1618" s="55">
        <f t="shared" si="654"/>
        <v>0</v>
      </c>
      <c r="IWZ1618" s="55">
        <f t="shared" si="654"/>
        <v>0</v>
      </c>
      <c r="IXA1618" s="55">
        <f t="shared" si="654"/>
        <v>0</v>
      </c>
      <c r="IXB1618" s="55">
        <f t="shared" si="654"/>
        <v>0</v>
      </c>
      <c r="IXC1618" s="55">
        <f t="shared" si="654"/>
        <v>0</v>
      </c>
      <c r="IXD1618" s="55">
        <f t="shared" si="654"/>
        <v>0</v>
      </c>
      <c r="IXE1618" s="55">
        <f t="shared" si="654"/>
        <v>0</v>
      </c>
      <c r="IXF1618" s="55">
        <f t="shared" si="654"/>
        <v>0</v>
      </c>
      <c r="IXG1618" s="55">
        <f t="shared" si="654"/>
        <v>0</v>
      </c>
      <c r="IXH1618" s="55">
        <f t="shared" si="654"/>
        <v>0</v>
      </c>
      <c r="IXI1618" s="55">
        <f t="shared" si="654"/>
        <v>0</v>
      </c>
      <c r="IXJ1618" s="55">
        <f t="shared" si="654"/>
        <v>0</v>
      </c>
      <c r="IXK1618" s="55">
        <f t="shared" si="654"/>
        <v>0</v>
      </c>
      <c r="IXL1618" s="55">
        <f t="shared" si="654"/>
        <v>0</v>
      </c>
      <c r="IXM1618" s="55">
        <f t="shared" si="654"/>
        <v>0</v>
      </c>
      <c r="IXN1618" s="55">
        <f t="shared" si="654"/>
        <v>0</v>
      </c>
      <c r="IXO1618" s="55">
        <f t="shared" si="654"/>
        <v>0</v>
      </c>
      <c r="IXP1618" s="55">
        <f t="shared" si="654"/>
        <v>0</v>
      </c>
      <c r="IXQ1618" s="55">
        <f t="shared" si="654"/>
        <v>0</v>
      </c>
      <c r="IXR1618" s="55">
        <f t="shared" si="654"/>
        <v>0</v>
      </c>
      <c r="IXS1618" s="55">
        <f t="shared" si="654"/>
        <v>0</v>
      </c>
      <c r="IXT1618" s="55">
        <f t="shared" si="654"/>
        <v>0</v>
      </c>
      <c r="IXU1618" s="55">
        <f t="shared" si="654"/>
        <v>0</v>
      </c>
      <c r="IXV1618" s="55">
        <f t="shared" si="654"/>
        <v>0</v>
      </c>
      <c r="IXW1618" s="55">
        <f t="shared" si="654"/>
        <v>0</v>
      </c>
      <c r="IXX1618" s="55">
        <f t="shared" ref="IXX1618:JAI1618" si="655">+(IXX1627+IXX1608)*1.18*1.1</f>
        <v>0</v>
      </c>
      <c r="IXY1618" s="55">
        <f t="shared" si="655"/>
        <v>0</v>
      </c>
      <c r="IXZ1618" s="55">
        <f t="shared" si="655"/>
        <v>0</v>
      </c>
      <c r="IYA1618" s="55">
        <f t="shared" si="655"/>
        <v>0</v>
      </c>
      <c r="IYB1618" s="55">
        <f t="shared" si="655"/>
        <v>0</v>
      </c>
      <c r="IYC1618" s="55">
        <f t="shared" si="655"/>
        <v>0</v>
      </c>
      <c r="IYD1618" s="55">
        <f t="shared" si="655"/>
        <v>0</v>
      </c>
      <c r="IYE1618" s="55">
        <f t="shared" si="655"/>
        <v>0</v>
      </c>
      <c r="IYF1618" s="55">
        <f t="shared" si="655"/>
        <v>0</v>
      </c>
      <c r="IYG1618" s="55">
        <f t="shared" si="655"/>
        <v>0</v>
      </c>
      <c r="IYH1618" s="55">
        <f t="shared" si="655"/>
        <v>0</v>
      </c>
      <c r="IYI1618" s="55">
        <f t="shared" si="655"/>
        <v>0</v>
      </c>
      <c r="IYJ1618" s="55">
        <f t="shared" si="655"/>
        <v>0</v>
      </c>
      <c r="IYK1618" s="55">
        <f t="shared" si="655"/>
        <v>0</v>
      </c>
      <c r="IYL1618" s="55">
        <f t="shared" si="655"/>
        <v>0</v>
      </c>
      <c r="IYM1618" s="55">
        <f t="shared" si="655"/>
        <v>0</v>
      </c>
      <c r="IYN1618" s="55">
        <f t="shared" si="655"/>
        <v>0</v>
      </c>
      <c r="IYO1618" s="55">
        <f t="shared" si="655"/>
        <v>0</v>
      </c>
      <c r="IYP1618" s="55">
        <f t="shared" si="655"/>
        <v>0</v>
      </c>
      <c r="IYQ1618" s="55">
        <f t="shared" si="655"/>
        <v>0</v>
      </c>
      <c r="IYR1618" s="55">
        <f t="shared" si="655"/>
        <v>0</v>
      </c>
      <c r="IYS1618" s="55">
        <f t="shared" si="655"/>
        <v>0</v>
      </c>
      <c r="IYT1618" s="55">
        <f t="shared" si="655"/>
        <v>0</v>
      </c>
      <c r="IYU1618" s="55">
        <f t="shared" si="655"/>
        <v>0</v>
      </c>
      <c r="IYV1618" s="55">
        <f t="shared" si="655"/>
        <v>0</v>
      </c>
      <c r="IYW1618" s="55">
        <f t="shared" si="655"/>
        <v>0</v>
      </c>
      <c r="IYX1618" s="55">
        <f t="shared" si="655"/>
        <v>0</v>
      </c>
      <c r="IYY1618" s="55">
        <f t="shared" si="655"/>
        <v>0</v>
      </c>
      <c r="IYZ1618" s="55">
        <f t="shared" si="655"/>
        <v>0</v>
      </c>
      <c r="IZA1618" s="55">
        <f t="shared" si="655"/>
        <v>0</v>
      </c>
      <c r="IZB1618" s="55">
        <f t="shared" si="655"/>
        <v>0</v>
      </c>
      <c r="IZC1618" s="55">
        <f t="shared" si="655"/>
        <v>0</v>
      </c>
      <c r="IZD1618" s="55">
        <f t="shared" si="655"/>
        <v>0</v>
      </c>
      <c r="IZE1618" s="55">
        <f t="shared" si="655"/>
        <v>0</v>
      </c>
      <c r="IZF1618" s="55">
        <f t="shared" si="655"/>
        <v>0</v>
      </c>
      <c r="IZG1618" s="55">
        <f t="shared" si="655"/>
        <v>0</v>
      </c>
      <c r="IZH1618" s="55">
        <f t="shared" si="655"/>
        <v>0</v>
      </c>
      <c r="IZI1618" s="55">
        <f t="shared" si="655"/>
        <v>0</v>
      </c>
      <c r="IZJ1618" s="55">
        <f t="shared" si="655"/>
        <v>0</v>
      </c>
      <c r="IZK1618" s="55">
        <f t="shared" si="655"/>
        <v>0</v>
      </c>
      <c r="IZL1618" s="55">
        <f t="shared" si="655"/>
        <v>0</v>
      </c>
      <c r="IZM1618" s="55">
        <f t="shared" si="655"/>
        <v>0</v>
      </c>
      <c r="IZN1618" s="55">
        <f t="shared" si="655"/>
        <v>0</v>
      </c>
      <c r="IZO1618" s="55">
        <f t="shared" si="655"/>
        <v>0</v>
      </c>
      <c r="IZP1618" s="55">
        <f t="shared" si="655"/>
        <v>0</v>
      </c>
      <c r="IZQ1618" s="55">
        <f t="shared" si="655"/>
        <v>0</v>
      </c>
      <c r="IZR1618" s="55">
        <f t="shared" si="655"/>
        <v>0</v>
      </c>
      <c r="IZS1618" s="55">
        <f t="shared" si="655"/>
        <v>0</v>
      </c>
      <c r="IZT1618" s="55">
        <f t="shared" si="655"/>
        <v>0</v>
      </c>
      <c r="IZU1618" s="55">
        <f t="shared" si="655"/>
        <v>0</v>
      </c>
      <c r="IZV1618" s="55">
        <f t="shared" si="655"/>
        <v>0</v>
      </c>
      <c r="IZW1618" s="55">
        <f t="shared" si="655"/>
        <v>0</v>
      </c>
      <c r="IZX1618" s="55">
        <f t="shared" si="655"/>
        <v>0</v>
      </c>
      <c r="IZY1618" s="55">
        <f t="shared" si="655"/>
        <v>0</v>
      </c>
      <c r="IZZ1618" s="55">
        <f t="shared" si="655"/>
        <v>0</v>
      </c>
      <c r="JAA1618" s="55">
        <f t="shared" si="655"/>
        <v>0</v>
      </c>
      <c r="JAB1618" s="55">
        <f t="shared" si="655"/>
        <v>0</v>
      </c>
      <c r="JAC1618" s="55">
        <f t="shared" si="655"/>
        <v>0</v>
      </c>
      <c r="JAD1618" s="55">
        <f t="shared" si="655"/>
        <v>0</v>
      </c>
      <c r="JAE1618" s="55">
        <f t="shared" si="655"/>
        <v>0</v>
      </c>
      <c r="JAF1618" s="55">
        <f t="shared" si="655"/>
        <v>0</v>
      </c>
      <c r="JAG1618" s="55">
        <f t="shared" si="655"/>
        <v>0</v>
      </c>
      <c r="JAH1618" s="55">
        <f t="shared" si="655"/>
        <v>0</v>
      </c>
      <c r="JAI1618" s="55">
        <f t="shared" si="655"/>
        <v>0</v>
      </c>
      <c r="JAJ1618" s="55">
        <f t="shared" ref="JAJ1618:JCU1618" si="656">+(JAJ1627+JAJ1608)*1.18*1.1</f>
        <v>0</v>
      </c>
      <c r="JAK1618" s="55">
        <f t="shared" si="656"/>
        <v>0</v>
      </c>
      <c r="JAL1618" s="55">
        <f t="shared" si="656"/>
        <v>0</v>
      </c>
      <c r="JAM1618" s="55">
        <f t="shared" si="656"/>
        <v>0</v>
      </c>
      <c r="JAN1618" s="55">
        <f t="shared" si="656"/>
        <v>0</v>
      </c>
      <c r="JAO1618" s="55">
        <f t="shared" si="656"/>
        <v>0</v>
      </c>
      <c r="JAP1618" s="55">
        <f t="shared" si="656"/>
        <v>0</v>
      </c>
      <c r="JAQ1618" s="55">
        <f t="shared" si="656"/>
        <v>0</v>
      </c>
      <c r="JAR1618" s="55">
        <f t="shared" si="656"/>
        <v>0</v>
      </c>
      <c r="JAS1618" s="55">
        <f t="shared" si="656"/>
        <v>0</v>
      </c>
      <c r="JAT1618" s="55">
        <f t="shared" si="656"/>
        <v>0</v>
      </c>
      <c r="JAU1618" s="55">
        <f t="shared" si="656"/>
        <v>0</v>
      </c>
      <c r="JAV1618" s="55">
        <f t="shared" si="656"/>
        <v>0</v>
      </c>
      <c r="JAW1618" s="55">
        <f t="shared" si="656"/>
        <v>0</v>
      </c>
      <c r="JAX1618" s="55">
        <f t="shared" si="656"/>
        <v>0</v>
      </c>
      <c r="JAY1618" s="55">
        <f t="shared" si="656"/>
        <v>0</v>
      </c>
      <c r="JAZ1618" s="55">
        <f t="shared" si="656"/>
        <v>0</v>
      </c>
      <c r="JBA1618" s="55">
        <f t="shared" si="656"/>
        <v>0</v>
      </c>
      <c r="JBB1618" s="55">
        <f t="shared" si="656"/>
        <v>0</v>
      </c>
      <c r="JBC1618" s="55">
        <f t="shared" si="656"/>
        <v>0</v>
      </c>
      <c r="JBD1618" s="55">
        <f t="shared" si="656"/>
        <v>0</v>
      </c>
      <c r="JBE1618" s="55">
        <f t="shared" si="656"/>
        <v>0</v>
      </c>
      <c r="JBF1618" s="55">
        <f t="shared" si="656"/>
        <v>0</v>
      </c>
      <c r="JBG1618" s="55">
        <f t="shared" si="656"/>
        <v>0</v>
      </c>
      <c r="JBH1618" s="55">
        <f t="shared" si="656"/>
        <v>0</v>
      </c>
      <c r="JBI1618" s="55">
        <f t="shared" si="656"/>
        <v>0</v>
      </c>
      <c r="JBJ1618" s="55">
        <f t="shared" si="656"/>
        <v>0</v>
      </c>
      <c r="JBK1618" s="55">
        <f t="shared" si="656"/>
        <v>0</v>
      </c>
      <c r="JBL1618" s="55">
        <f t="shared" si="656"/>
        <v>0</v>
      </c>
      <c r="JBM1618" s="55">
        <f t="shared" si="656"/>
        <v>0</v>
      </c>
      <c r="JBN1618" s="55">
        <f t="shared" si="656"/>
        <v>0</v>
      </c>
      <c r="JBO1618" s="55">
        <f t="shared" si="656"/>
        <v>0</v>
      </c>
      <c r="JBP1618" s="55">
        <f t="shared" si="656"/>
        <v>0</v>
      </c>
      <c r="JBQ1618" s="55">
        <f t="shared" si="656"/>
        <v>0</v>
      </c>
      <c r="JBR1618" s="55">
        <f t="shared" si="656"/>
        <v>0</v>
      </c>
      <c r="JBS1618" s="55">
        <f t="shared" si="656"/>
        <v>0</v>
      </c>
      <c r="JBT1618" s="55">
        <f t="shared" si="656"/>
        <v>0</v>
      </c>
      <c r="JBU1618" s="55">
        <f t="shared" si="656"/>
        <v>0</v>
      </c>
      <c r="JBV1618" s="55">
        <f t="shared" si="656"/>
        <v>0</v>
      </c>
      <c r="JBW1618" s="55">
        <f t="shared" si="656"/>
        <v>0</v>
      </c>
      <c r="JBX1618" s="55">
        <f t="shared" si="656"/>
        <v>0</v>
      </c>
      <c r="JBY1618" s="55">
        <f t="shared" si="656"/>
        <v>0</v>
      </c>
      <c r="JBZ1618" s="55">
        <f t="shared" si="656"/>
        <v>0</v>
      </c>
      <c r="JCA1618" s="55">
        <f t="shared" si="656"/>
        <v>0</v>
      </c>
      <c r="JCB1618" s="55">
        <f t="shared" si="656"/>
        <v>0</v>
      </c>
      <c r="JCC1618" s="55">
        <f t="shared" si="656"/>
        <v>0</v>
      </c>
      <c r="JCD1618" s="55">
        <f t="shared" si="656"/>
        <v>0</v>
      </c>
      <c r="JCE1618" s="55">
        <f t="shared" si="656"/>
        <v>0</v>
      </c>
      <c r="JCF1618" s="55">
        <f t="shared" si="656"/>
        <v>0</v>
      </c>
      <c r="JCG1618" s="55">
        <f t="shared" si="656"/>
        <v>0</v>
      </c>
      <c r="JCH1618" s="55">
        <f t="shared" si="656"/>
        <v>0</v>
      </c>
      <c r="JCI1618" s="55">
        <f t="shared" si="656"/>
        <v>0</v>
      </c>
      <c r="JCJ1618" s="55">
        <f t="shared" si="656"/>
        <v>0</v>
      </c>
      <c r="JCK1618" s="55">
        <f t="shared" si="656"/>
        <v>0</v>
      </c>
      <c r="JCL1618" s="55">
        <f t="shared" si="656"/>
        <v>0</v>
      </c>
      <c r="JCM1618" s="55">
        <f t="shared" si="656"/>
        <v>0</v>
      </c>
      <c r="JCN1618" s="55">
        <f t="shared" si="656"/>
        <v>0</v>
      </c>
      <c r="JCO1618" s="55">
        <f t="shared" si="656"/>
        <v>0</v>
      </c>
      <c r="JCP1618" s="55">
        <f t="shared" si="656"/>
        <v>0</v>
      </c>
      <c r="JCQ1618" s="55">
        <f t="shared" si="656"/>
        <v>0</v>
      </c>
      <c r="JCR1618" s="55">
        <f t="shared" si="656"/>
        <v>0</v>
      </c>
      <c r="JCS1618" s="55">
        <f t="shared" si="656"/>
        <v>0</v>
      </c>
      <c r="JCT1618" s="55">
        <f t="shared" si="656"/>
        <v>0</v>
      </c>
      <c r="JCU1618" s="55">
        <f t="shared" si="656"/>
        <v>0</v>
      </c>
      <c r="JCV1618" s="55">
        <f t="shared" ref="JCV1618:JFG1618" si="657">+(JCV1627+JCV1608)*1.18*1.1</f>
        <v>0</v>
      </c>
      <c r="JCW1618" s="55">
        <f t="shared" si="657"/>
        <v>0</v>
      </c>
      <c r="JCX1618" s="55">
        <f t="shared" si="657"/>
        <v>0</v>
      </c>
      <c r="JCY1618" s="55">
        <f t="shared" si="657"/>
        <v>0</v>
      </c>
      <c r="JCZ1618" s="55">
        <f t="shared" si="657"/>
        <v>0</v>
      </c>
      <c r="JDA1618" s="55">
        <f t="shared" si="657"/>
        <v>0</v>
      </c>
      <c r="JDB1618" s="55">
        <f t="shared" si="657"/>
        <v>0</v>
      </c>
      <c r="JDC1618" s="55">
        <f t="shared" si="657"/>
        <v>0</v>
      </c>
      <c r="JDD1618" s="55">
        <f t="shared" si="657"/>
        <v>0</v>
      </c>
      <c r="JDE1618" s="55">
        <f t="shared" si="657"/>
        <v>0</v>
      </c>
      <c r="JDF1618" s="55">
        <f t="shared" si="657"/>
        <v>0</v>
      </c>
      <c r="JDG1618" s="55">
        <f t="shared" si="657"/>
        <v>0</v>
      </c>
      <c r="JDH1618" s="55">
        <f t="shared" si="657"/>
        <v>0</v>
      </c>
      <c r="JDI1618" s="55">
        <f t="shared" si="657"/>
        <v>0</v>
      </c>
      <c r="JDJ1618" s="55">
        <f t="shared" si="657"/>
        <v>0</v>
      </c>
      <c r="JDK1618" s="55">
        <f t="shared" si="657"/>
        <v>0</v>
      </c>
      <c r="JDL1618" s="55">
        <f t="shared" si="657"/>
        <v>0</v>
      </c>
      <c r="JDM1618" s="55">
        <f t="shared" si="657"/>
        <v>0</v>
      </c>
      <c r="JDN1618" s="55">
        <f t="shared" si="657"/>
        <v>0</v>
      </c>
      <c r="JDO1618" s="55">
        <f t="shared" si="657"/>
        <v>0</v>
      </c>
      <c r="JDP1618" s="55">
        <f t="shared" si="657"/>
        <v>0</v>
      </c>
      <c r="JDQ1618" s="55">
        <f t="shared" si="657"/>
        <v>0</v>
      </c>
      <c r="JDR1618" s="55">
        <f t="shared" si="657"/>
        <v>0</v>
      </c>
      <c r="JDS1618" s="55">
        <f t="shared" si="657"/>
        <v>0</v>
      </c>
      <c r="JDT1618" s="55">
        <f t="shared" si="657"/>
        <v>0</v>
      </c>
      <c r="JDU1618" s="55">
        <f t="shared" si="657"/>
        <v>0</v>
      </c>
      <c r="JDV1618" s="55">
        <f t="shared" si="657"/>
        <v>0</v>
      </c>
      <c r="JDW1618" s="55">
        <f t="shared" si="657"/>
        <v>0</v>
      </c>
      <c r="JDX1618" s="55">
        <f t="shared" si="657"/>
        <v>0</v>
      </c>
      <c r="JDY1618" s="55">
        <f t="shared" si="657"/>
        <v>0</v>
      </c>
      <c r="JDZ1618" s="55">
        <f t="shared" si="657"/>
        <v>0</v>
      </c>
      <c r="JEA1618" s="55">
        <f t="shared" si="657"/>
        <v>0</v>
      </c>
      <c r="JEB1618" s="55">
        <f t="shared" si="657"/>
        <v>0</v>
      </c>
      <c r="JEC1618" s="55">
        <f t="shared" si="657"/>
        <v>0</v>
      </c>
      <c r="JED1618" s="55">
        <f t="shared" si="657"/>
        <v>0</v>
      </c>
      <c r="JEE1618" s="55">
        <f t="shared" si="657"/>
        <v>0</v>
      </c>
      <c r="JEF1618" s="55">
        <f t="shared" si="657"/>
        <v>0</v>
      </c>
      <c r="JEG1618" s="55">
        <f t="shared" si="657"/>
        <v>0</v>
      </c>
      <c r="JEH1618" s="55">
        <f t="shared" si="657"/>
        <v>0</v>
      </c>
      <c r="JEI1618" s="55">
        <f t="shared" si="657"/>
        <v>0</v>
      </c>
      <c r="JEJ1618" s="55">
        <f t="shared" si="657"/>
        <v>0</v>
      </c>
      <c r="JEK1618" s="55">
        <f t="shared" si="657"/>
        <v>0</v>
      </c>
      <c r="JEL1618" s="55">
        <f t="shared" si="657"/>
        <v>0</v>
      </c>
      <c r="JEM1618" s="55">
        <f t="shared" si="657"/>
        <v>0</v>
      </c>
      <c r="JEN1618" s="55">
        <f t="shared" si="657"/>
        <v>0</v>
      </c>
      <c r="JEO1618" s="55">
        <f t="shared" si="657"/>
        <v>0</v>
      </c>
      <c r="JEP1618" s="55">
        <f t="shared" si="657"/>
        <v>0</v>
      </c>
      <c r="JEQ1618" s="55">
        <f t="shared" si="657"/>
        <v>0</v>
      </c>
      <c r="JER1618" s="55">
        <f t="shared" si="657"/>
        <v>0</v>
      </c>
      <c r="JES1618" s="55">
        <f t="shared" si="657"/>
        <v>0</v>
      </c>
      <c r="JET1618" s="55">
        <f t="shared" si="657"/>
        <v>0</v>
      </c>
      <c r="JEU1618" s="55">
        <f t="shared" si="657"/>
        <v>0</v>
      </c>
      <c r="JEV1618" s="55">
        <f t="shared" si="657"/>
        <v>0</v>
      </c>
      <c r="JEW1618" s="55">
        <f t="shared" si="657"/>
        <v>0</v>
      </c>
      <c r="JEX1618" s="55">
        <f t="shared" si="657"/>
        <v>0</v>
      </c>
      <c r="JEY1618" s="55">
        <f t="shared" si="657"/>
        <v>0</v>
      </c>
      <c r="JEZ1618" s="55">
        <f t="shared" si="657"/>
        <v>0</v>
      </c>
      <c r="JFA1618" s="55">
        <f t="shared" si="657"/>
        <v>0</v>
      </c>
      <c r="JFB1618" s="55">
        <f t="shared" si="657"/>
        <v>0</v>
      </c>
      <c r="JFC1618" s="55">
        <f t="shared" si="657"/>
        <v>0</v>
      </c>
      <c r="JFD1618" s="55">
        <f t="shared" si="657"/>
        <v>0</v>
      </c>
      <c r="JFE1618" s="55">
        <f t="shared" si="657"/>
        <v>0</v>
      </c>
      <c r="JFF1618" s="55">
        <f t="shared" si="657"/>
        <v>0</v>
      </c>
      <c r="JFG1618" s="55">
        <f t="shared" si="657"/>
        <v>0</v>
      </c>
      <c r="JFH1618" s="55">
        <f t="shared" ref="JFH1618:JHS1618" si="658">+(JFH1627+JFH1608)*1.18*1.1</f>
        <v>0</v>
      </c>
      <c r="JFI1618" s="55">
        <f t="shared" si="658"/>
        <v>0</v>
      </c>
      <c r="JFJ1618" s="55">
        <f t="shared" si="658"/>
        <v>0</v>
      </c>
      <c r="JFK1618" s="55">
        <f t="shared" si="658"/>
        <v>0</v>
      </c>
      <c r="JFL1618" s="55">
        <f t="shared" si="658"/>
        <v>0</v>
      </c>
      <c r="JFM1618" s="55">
        <f t="shared" si="658"/>
        <v>0</v>
      </c>
      <c r="JFN1618" s="55">
        <f t="shared" si="658"/>
        <v>0</v>
      </c>
      <c r="JFO1618" s="55">
        <f t="shared" si="658"/>
        <v>0</v>
      </c>
      <c r="JFP1618" s="55">
        <f t="shared" si="658"/>
        <v>0</v>
      </c>
      <c r="JFQ1618" s="55">
        <f t="shared" si="658"/>
        <v>0</v>
      </c>
      <c r="JFR1618" s="55">
        <f t="shared" si="658"/>
        <v>0</v>
      </c>
      <c r="JFS1618" s="55">
        <f t="shared" si="658"/>
        <v>0</v>
      </c>
      <c r="JFT1618" s="55">
        <f t="shared" si="658"/>
        <v>0</v>
      </c>
      <c r="JFU1618" s="55">
        <f t="shared" si="658"/>
        <v>0</v>
      </c>
      <c r="JFV1618" s="55">
        <f t="shared" si="658"/>
        <v>0</v>
      </c>
      <c r="JFW1618" s="55">
        <f t="shared" si="658"/>
        <v>0</v>
      </c>
      <c r="JFX1618" s="55">
        <f t="shared" si="658"/>
        <v>0</v>
      </c>
      <c r="JFY1618" s="55">
        <f t="shared" si="658"/>
        <v>0</v>
      </c>
      <c r="JFZ1618" s="55">
        <f t="shared" si="658"/>
        <v>0</v>
      </c>
      <c r="JGA1618" s="55">
        <f t="shared" si="658"/>
        <v>0</v>
      </c>
      <c r="JGB1618" s="55">
        <f t="shared" si="658"/>
        <v>0</v>
      </c>
      <c r="JGC1618" s="55">
        <f t="shared" si="658"/>
        <v>0</v>
      </c>
      <c r="JGD1618" s="55">
        <f t="shared" si="658"/>
        <v>0</v>
      </c>
      <c r="JGE1618" s="55">
        <f t="shared" si="658"/>
        <v>0</v>
      </c>
      <c r="JGF1618" s="55">
        <f t="shared" si="658"/>
        <v>0</v>
      </c>
      <c r="JGG1618" s="55">
        <f t="shared" si="658"/>
        <v>0</v>
      </c>
      <c r="JGH1618" s="55">
        <f t="shared" si="658"/>
        <v>0</v>
      </c>
      <c r="JGI1618" s="55">
        <f t="shared" si="658"/>
        <v>0</v>
      </c>
      <c r="JGJ1618" s="55">
        <f t="shared" si="658"/>
        <v>0</v>
      </c>
      <c r="JGK1618" s="55">
        <f t="shared" si="658"/>
        <v>0</v>
      </c>
      <c r="JGL1618" s="55">
        <f t="shared" si="658"/>
        <v>0</v>
      </c>
      <c r="JGM1618" s="55">
        <f t="shared" si="658"/>
        <v>0</v>
      </c>
      <c r="JGN1618" s="55">
        <f t="shared" si="658"/>
        <v>0</v>
      </c>
      <c r="JGO1618" s="55">
        <f t="shared" si="658"/>
        <v>0</v>
      </c>
      <c r="JGP1618" s="55">
        <f t="shared" si="658"/>
        <v>0</v>
      </c>
      <c r="JGQ1618" s="55">
        <f t="shared" si="658"/>
        <v>0</v>
      </c>
      <c r="JGR1618" s="55">
        <f t="shared" si="658"/>
        <v>0</v>
      </c>
      <c r="JGS1618" s="55">
        <f t="shared" si="658"/>
        <v>0</v>
      </c>
      <c r="JGT1618" s="55">
        <f t="shared" si="658"/>
        <v>0</v>
      </c>
      <c r="JGU1618" s="55">
        <f t="shared" si="658"/>
        <v>0</v>
      </c>
      <c r="JGV1618" s="55">
        <f t="shared" si="658"/>
        <v>0</v>
      </c>
      <c r="JGW1618" s="55">
        <f t="shared" si="658"/>
        <v>0</v>
      </c>
      <c r="JGX1618" s="55">
        <f t="shared" si="658"/>
        <v>0</v>
      </c>
      <c r="JGY1618" s="55">
        <f t="shared" si="658"/>
        <v>0</v>
      </c>
      <c r="JGZ1618" s="55">
        <f t="shared" si="658"/>
        <v>0</v>
      </c>
      <c r="JHA1618" s="55">
        <f t="shared" si="658"/>
        <v>0</v>
      </c>
      <c r="JHB1618" s="55">
        <f t="shared" si="658"/>
        <v>0</v>
      </c>
      <c r="JHC1618" s="55">
        <f t="shared" si="658"/>
        <v>0</v>
      </c>
      <c r="JHD1618" s="55">
        <f t="shared" si="658"/>
        <v>0</v>
      </c>
      <c r="JHE1618" s="55">
        <f t="shared" si="658"/>
        <v>0</v>
      </c>
      <c r="JHF1618" s="55">
        <f t="shared" si="658"/>
        <v>0</v>
      </c>
      <c r="JHG1618" s="55">
        <f t="shared" si="658"/>
        <v>0</v>
      </c>
      <c r="JHH1618" s="55">
        <f t="shared" si="658"/>
        <v>0</v>
      </c>
      <c r="JHI1618" s="55">
        <f t="shared" si="658"/>
        <v>0</v>
      </c>
      <c r="JHJ1618" s="55">
        <f t="shared" si="658"/>
        <v>0</v>
      </c>
      <c r="JHK1618" s="55">
        <f t="shared" si="658"/>
        <v>0</v>
      </c>
      <c r="JHL1618" s="55">
        <f t="shared" si="658"/>
        <v>0</v>
      </c>
      <c r="JHM1618" s="55">
        <f t="shared" si="658"/>
        <v>0</v>
      </c>
      <c r="JHN1618" s="55">
        <f t="shared" si="658"/>
        <v>0</v>
      </c>
      <c r="JHO1618" s="55">
        <f t="shared" si="658"/>
        <v>0</v>
      </c>
      <c r="JHP1618" s="55">
        <f t="shared" si="658"/>
        <v>0</v>
      </c>
      <c r="JHQ1618" s="55">
        <f t="shared" si="658"/>
        <v>0</v>
      </c>
      <c r="JHR1618" s="55">
        <f t="shared" si="658"/>
        <v>0</v>
      </c>
      <c r="JHS1618" s="55">
        <f t="shared" si="658"/>
        <v>0</v>
      </c>
      <c r="JHT1618" s="55">
        <f t="shared" ref="JHT1618:JKE1618" si="659">+(JHT1627+JHT1608)*1.18*1.1</f>
        <v>0</v>
      </c>
      <c r="JHU1618" s="55">
        <f t="shared" si="659"/>
        <v>0</v>
      </c>
      <c r="JHV1618" s="55">
        <f t="shared" si="659"/>
        <v>0</v>
      </c>
      <c r="JHW1618" s="55">
        <f t="shared" si="659"/>
        <v>0</v>
      </c>
      <c r="JHX1618" s="55">
        <f t="shared" si="659"/>
        <v>0</v>
      </c>
      <c r="JHY1618" s="55">
        <f t="shared" si="659"/>
        <v>0</v>
      </c>
      <c r="JHZ1618" s="55">
        <f t="shared" si="659"/>
        <v>0</v>
      </c>
      <c r="JIA1618" s="55">
        <f t="shared" si="659"/>
        <v>0</v>
      </c>
      <c r="JIB1618" s="55">
        <f t="shared" si="659"/>
        <v>0</v>
      </c>
      <c r="JIC1618" s="55">
        <f t="shared" si="659"/>
        <v>0</v>
      </c>
      <c r="JID1618" s="55">
        <f t="shared" si="659"/>
        <v>0</v>
      </c>
      <c r="JIE1618" s="55">
        <f t="shared" si="659"/>
        <v>0</v>
      </c>
      <c r="JIF1618" s="55">
        <f t="shared" si="659"/>
        <v>0</v>
      </c>
      <c r="JIG1618" s="55">
        <f t="shared" si="659"/>
        <v>0</v>
      </c>
      <c r="JIH1618" s="55">
        <f t="shared" si="659"/>
        <v>0</v>
      </c>
      <c r="JII1618" s="55">
        <f t="shared" si="659"/>
        <v>0</v>
      </c>
      <c r="JIJ1618" s="55">
        <f t="shared" si="659"/>
        <v>0</v>
      </c>
      <c r="JIK1618" s="55">
        <f t="shared" si="659"/>
        <v>0</v>
      </c>
      <c r="JIL1618" s="55">
        <f t="shared" si="659"/>
        <v>0</v>
      </c>
      <c r="JIM1618" s="55">
        <f t="shared" si="659"/>
        <v>0</v>
      </c>
      <c r="JIN1618" s="55">
        <f t="shared" si="659"/>
        <v>0</v>
      </c>
      <c r="JIO1618" s="55">
        <f t="shared" si="659"/>
        <v>0</v>
      </c>
      <c r="JIP1618" s="55">
        <f t="shared" si="659"/>
        <v>0</v>
      </c>
      <c r="JIQ1618" s="55">
        <f t="shared" si="659"/>
        <v>0</v>
      </c>
      <c r="JIR1618" s="55">
        <f t="shared" si="659"/>
        <v>0</v>
      </c>
      <c r="JIS1618" s="55">
        <f t="shared" si="659"/>
        <v>0</v>
      </c>
      <c r="JIT1618" s="55">
        <f t="shared" si="659"/>
        <v>0</v>
      </c>
      <c r="JIU1618" s="55">
        <f t="shared" si="659"/>
        <v>0</v>
      </c>
      <c r="JIV1618" s="55">
        <f t="shared" si="659"/>
        <v>0</v>
      </c>
      <c r="JIW1618" s="55">
        <f t="shared" si="659"/>
        <v>0</v>
      </c>
      <c r="JIX1618" s="55">
        <f t="shared" si="659"/>
        <v>0</v>
      </c>
      <c r="JIY1618" s="55">
        <f t="shared" si="659"/>
        <v>0</v>
      </c>
      <c r="JIZ1618" s="55">
        <f t="shared" si="659"/>
        <v>0</v>
      </c>
      <c r="JJA1618" s="55">
        <f t="shared" si="659"/>
        <v>0</v>
      </c>
      <c r="JJB1618" s="55">
        <f t="shared" si="659"/>
        <v>0</v>
      </c>
      <c r="JJC1618" s="55">
        <f t="shared" si="659"/>
        <v>0</v>
      </c>
      <c r="JJD1618" s="55">
        <f t="shared" si="659"/>
        <v>0</v>
      </c>
      <c r="JJE1618" s="55">
        <f t="shared" si="659"/>
        <v>0</v>
      </c>
      <c r="JJF1618" s="55">
        <f t="shared" si="659"/>
        <v>0</v>
      </c>
      <c r="JJG1618" s="55">
        <f t="shared" si="659"/>
        <v>0</v>
      </c>
      <c r="JJH1618" s="55">
        <f t="shared" si="659"/>
        <v>0</v>
      </c>
      <c r="JJI1618" s="55">
        <f t="shared" si="659"/>
        <v>0</v>
      </c>
      <c r="JJJ1618" s="55">
        <f t="shared" si="659"/>
        <v>0</v>
      </c>
      <c r="JJK1618" s="55">
        <f t="shared" si="659"/>
        <v>0</v>
      </c>
      <c r="JJL1618" s="55">
        <f t="shared" si="659"/>
        <v>0</v>
      </c>
      <c r="JJM1618" s="55">
        <f t="shared" si="659"/>
        <v>0</v>
      </c>
      <c r="JJN1618" s="55">
        <f t="shared" si="659"/>
        <v>0</v>
      </c>
      <c r="JJO1618" s="55">
        <f t="shared" si="659"/>
        <v>0</v>
      </c>
      <c r="JJP1618" s="55">
        <f t="shared" si="659"/>
        <v>0</v>
      </c>
      <c r="JJQ1618" s="55">
        <f t="shared" si="659"/>
        <v>0</v>
      </c>
      <c r="JJR1618" s="55">
        <f t="shared" si="659"/>
        <v>0</v>
      </c>
      <c r="JJS1618" s="55">
        <f t="shared" si="659"/>
        <v>0</v>
      </c>
      <c r="JJT1618" s="55">
        <f t="shared" si="659"/>
        <v>0</v>
      </c>
      <c r="JJU1618" s="55">
        <f t="shared" si="659"/>
        <v>0</v>
      </c>
      <c r="JJV1618" s="55">
        <f t="shared" si="659"/>
        <v>0</v>
      </c>
      <c r="JJW1618" s="55">
        <f t="shared" si="659"/>
        <v>0</v>
      </c>
      <c r="JJX1618" s="55">
        <f t="shared" si="659"/>
        <v>0</v>
      </c>
      <c r="JJY1618" s="55">
        <f t="shared" si="659"/>
        <v>0</v>
      </c>
      <c r="JJZ1618" s="55">
        <f t="shared" si="659"/>
        <v>0</v>
      </c>
      <c r="JKA1618" s="55">
        <f t="shared" si="659"/>
        <v>0</v>
      </c>
      <c r="JKB1618" s="55">
        <f t="shared" si="659"/>
        <v>0</v>
      </c>
      <c r="JKC1618" s="55">
        <f t="shared" si="659"/>
        <v>0</v>
      </c>
      <c r="JKD1618" s="55">
        <f t="shared" si="659"/>
        <v>0</v>
      </c>
      <c r="JKE1618" s="55">
        <f t="shared" si="659"/>
        <v>0</v>
      </c>
      <c r="JKF1618" s="55">
        <f t="shared" ref="JKF1618:JMQ1618" si="660">+(JKF1627+JKF1608)*1.18*1.1</f>
        <v>0</v>
      </c>
      <c r="JKG1618" s="55">
        <f t="shared" si="660"/>
        <v>0</v>
      </c>
      <c r="JKH1618" s="55">
        <f t="shared" si="660"/>
        <v>0</v>
      </c>
      <c r="JKI1618" s="55">
        <f t="shared" si="660"/>
        <v>0</v>
      </c>
      <c r="JKJ1618" s="55">
        <f t="shared" si="660"/>
        <v>0</v>
      </c>
      <c r="JKK1618" s="55">
        <f t="shared" si="660"/>
        <v>0</v>
      </c>
      <c r="JKL1618" s="55">
        <f t="shared" si="660"/>
        <v>0</v>
      </c>
      <c r="JKM1618" s="55">
        <f t="shared" si="660"/>
        <v>0</v>
      </c>
      <c r="JKN1618" s="55">
        <f t="shared" si="660"/>
        <v>0</v>
      </c>
      <c r="JKO1618" s="55">
        <f t="shared" si="660"/>
        <v>0</v>
      </c>
      <c r="JKP1618" s="55">
        <f t="shared" si="660"/>
        <v>0</v>
      </c>
      <c r="JKQ1618" s="55">
        <f t="shared" si="660"/>
        <v>0</v>
      </c>
      <c r="JKR1618" s="55">
        <f t="shared" si="660"/>
        <v>0</v>
      </c>
      <c r="JKS1618" s="55">
        <f t="shared" si="660"/>
        <v>0</v>
      </c>
      <c r="JKT1618" s="55">
        <f t="shared" si="660"/>
        <v>0</v>
      </c>
      <c r="JKU1618" s="55">
        <f t="shared" si="660"/>
        <v>0</v>
      </c>
      <c r="JKV1618" s="55">
        <f t="shared" si="660"/>
        <v>0</v>
      </c>
      <c r="JKW1618" s="55">
        <f t="shared" si="660"/>
        <v>0</v>
      </c>
      <c r="JKX1618" s="55">
        <f t="shared" si="660"/>
        <v>0</v>
      </c>
      <c r="JKY1618" s="55">
        <f t="shared" si="660"/>
        <v>0</v>
      </c>
      <c r="JKZ1618" s="55">
        <f t="shared" si="660"/>
        <v>0</v>
      </c>
      <c r="JLA1618" s="55">
        <f t="shared" si="660"/>
        <v>0</v>
      </c>
      <c r="JLB1618" s="55">
        <f t="shared" si="660"/>
        <v>0</v>
      </c>
      <c r="JLC1618" s="55">
        <f t="shared" si="660"/>
        <v>0</v>
      </c>
      <c r="JLD1618" s="55">
        <f t="shared" si="660"/>
        <v>0</v>
      </c>
      <c r="JLE1618" s="55">
        <f t="shared" si="660"/>
        <v>0</v>
      </c>
      <c r="JLF1618" s="55">
        <f t="shared" si="660"/>
        <v>0</v>
      </c>
      <c r="JLG1618" s="55">
        <f t="shared" si="660"/>
        <v>0</v>
      </c>
      <c r="JLH1618" s="55">
        <f t="shared" si="660"/>
        <v>0</v>
      </c>
      <c r="JLI1618" s="55">
        <f t="shared" si="660"/>
        <v>0</v>
      </c>
      <c r="JLJ1618" s="55">
        <f t="shared" si="660"/>
        <v>0</v>
      </c>
      <c r="JLK1618" s="55">
        <f t="shared" si="660"/>
        <v>0</v>
      </c>
      <c r="JLL1618" s="55">
        <f t="shared" si="660"/>
        <v>0</v>
      </c>
      <c r="JLM1618" s="55">
        <f t="shared" si="660"/>
        <v>0</v>
      </c>
      <c r="JLN1618" s="55">
        <f t="shared" si="660"/>
        <v>0</v>
      </c>
      <c r="JLO1618" s="55">
        <f t="shared" si="660"/>
        <v>0</v>
      </c>
      <c r="JLP1618" s="55">
        <f t="shared" si="660"/>
        <v>0</v>
      </c>
      <c r="JLQ1618" s="55">
        <f t="shared" si="660"/>
        <v>0</v>
      </c>
      <c r="JLR1618" s="55">
        <f t="shared" si="660"/>
        <v>0</v>
      </c>
      <c r="JLS1618" s="55">
        <f t="shared" si="660"/>
        <v>0</v>
      </c>
      <c r="JLT1618" s="55">
        <f t="shared" si="660"/>
        <v>0</v>
      </c>
      <c r="JLU1618" s="55">
        <f t="shared" si="660"/>
        <v>0</v>
      </c>
      <c r="JLV1618" s="55">
        <f t="shared" si="660"/>
        <v>0</v>
      </c>
      <c r="JLW1618" s="55">
        <f t="shared" si="660"/>
        <v>0</v>
      </c>
      <c r="JLX1618" s="55">
        <f t="shared" si="660"/>
        <v>0</v>
      </c>
      <c r="JLY1618" s="55">
        <f t="shared" si="660"/>
        <v>0</v>
      </c>
      <c r="JLZ1618" s="55">
        <f t="shared" si="660"/>
        <v>0</v>
      </c>
      <c r="JMA1618" s="55">
        <f t="shared" si="660"/>
        <v>0</v>
      </c>
      <c r="JMB1618" s="55">
        <f t="shared" si="660"/>
        <v>0</v>
      </c>
      <c r="JMC1618" s="55">
        <f t="shared" si="660"/>
        <v>0</v>
      </c>
      <c r="JMD1618" s="55">
        <f t="shared" si="660"/>
        <v>0</v>
      </c>
      <c r="JME1618" s="55">
        <f t="shared" si="660"/>
        <v>0</v>
      </c>
      <c r="JMF1618" s="55">
        <f t="shared" si="660"/>
        <v>0</v>
      </c>
      <c r="JMG1618" s="55">
        <f t="shared" si="660"/>
        <v>0</v>
      </c>
      <c r="JMH1618" s="55">
        <f t="shared" si="660"/>
        <v>0</v>
      </c>
      <c r="JMI1618" s="55">
        <f t="shared" si="660"/>
        <v>0</v>
      </c>
      <c r="JMJ1618" s="55">
        <f t="shared" si="660"/>
        <v>0</v>
      </c>
      <c r="JMK1618" s="55">
        <f t="shared" si="660"/>
        <v>0</v>
      </c>
      <c r="JML1618" s="55">
        <f t="shared" si="660"/>
        <v>0</v>
      </c>
      <c r="JMM1618" s="55">
        <f t="shared" si="660"/>
        <v>0</v>
      </c>
      <c r="JMN1618" s="55">
        <f t="shared" si="660"/>
        <v>0</v>
      </c>
      <c r="JMO1618" s="55">
        <f t="shared" si="660"/>
        <v>0</v>
      </c>
      <c r="JMP1618" s="55">
        <f t="shared" si="660"/>
        <v>0</v>
      </c>
      <c r="JMQ1618" s="55">
        <f t="shared" si="660"/>
        <v>0</v>
      </c>
      <c r="JMR1618" s="55">
        <f t="shared" ref="JMR1618:JPC1618" si="661">+(JMR1627+JMR1608)*1.18*1.1</f>
        <v>0</v>
      </c>
      <c r="JMS1618" s="55">
        <f t="shared" si="661"/>
        <v>0</v>
      </c>
      <c r="JMT1618" s="55">
        <f t="shared" si="661"/>
        <v>0</v>
      </c>
      <c r="JMU1618" s="55">
        <f t="shared" si="661"/>
        <v>0</v>
      </c>
      <c r="JMV1618" s="55">
        <f t="shared" si="661"/>
        <v>0</v>
      </c>
      <c r="JMW1618" s="55">
        <f t="shared" si="661"/>
        <v>0</v>
      </c>
      <c r="JMX1618" s="55">
        <f t="shared" si="661"/>
        <v>0</v>
      </c>
      <c r="JMY1618" s="55">
        <f t="shared" si="661"/>
        <v>0</v>
      </c>
      <c r="JMZ1618" s="55">
        <f t="shared" si="661"/>
        <v>0</v>
      </c>
      <c r="JNA1618" s="55">
        <f t="shared" si="661"/>
        <v>0</v>
      </c>
      <c r="JNB1618" s="55">
        <f t="shared" si="661"/>
        <v>0</v>
      </c>
      <c r="JNC1618" s="55">
        <f t="shared" si="661"/>
        <v>0</v>
      </c>
      <c r="JND1618" s="55">
        <f t="shared" si="661"/>
        <v>0</v>
      </c>
      <c r="JNE1618" s="55">
        <f t="shared" si="661"/>
        <v>0</v>
      </c>
      <c r="JNF1618" s="55">
        <f t="shared" si="661"/>
        <v>0</v>
      </c>
      <c r="JNG1618" s="55">
        <f t="shared" si="661"/>
        <v>0</v>
      </c>
      <c r="JNH1618" s="55">
        <f t="shared" si="661"/>
        <v>0</v>
      </c>
      <c r="JNI1618" s="55">
        <f t="shared" si="661"/>
        <v>0</v>
      </c>
      <c r="JNJ1618" s="55">
        <f t="shared" si="661"/>
        <v>0</v>
      </c>
      <c r="JNK1618" s="55">
        <f t="shared" si="661"/>
        <v>0</v>
      </c>
      <c r="JNL1618" s="55">
        <f t="shared" si="661"/>
        <v>0</v>
      </c>
      <c r="JNM1618" s="55">
        <f t="shared" si="661"/>
        <v>0</v>
      </c>
      <c r="JNN1618" s="55">
        <f t="shared" si="661"/>
        <v>0</v>
      </c>
      <c r="JNO1618" s="55">
        <f t="shared" si="661"/>
        <v>0</v>
      </c>
      <c r="JNP1618" s="55">
        <f t="shared" si="661"/>
        <v>0</v>
      </c>
      <c r="JNQ1618" s="55">
        <f t="shared" si="661"/>
        <v>0</v>
      </c>
      <c r="JNR1618" s="55">
        <f t="shared" si="661"/>
        <v>0</v>
      </c>
      <c r="JNS1618" s="55">
        <f t="shared" si="661"/>
        <v>0</v>
      </c>
      <c r="JNT1618" s="55">
        <f t="shared" si="661"/>
        <v>0</v>
      </c>
      <c r="JNU1618" s="55">
        <f t="shared" si="661"/>
        <v>0</v>
      </c>
      <c r="JNV1618" s="55">
        <f t="shared" si="661"/>
        <v>0</v>
      </c>
      <c r="JNW1618" s="55">
        <f t="shared" si="661"/>
        <v>0</v>
      </c>
      <c r="JNX1618" s="55">
        <f t="shared" si="661"/>
        <v>0</v>
      </c>
      <c r="JNY1618" s="55">
        <f t="shared" si="661"/>
        <v>0</v>
      </c>
      <c r="JNZ1618" s="55">
        <f t="shared" si="661"/>
        <v>0</v>
      </c>
      <c r="JOA1618" s="55">
        <f t="shared" si="661"/>
        <v>0</v>
      </c>
      <c r="JOB1618" s="55">
        <f t="shared" si="661"/>
        <v>0</v>
      </c>
      <c r="JOC1618" s="55">
        <f t="shared" si="661"/>
        <v>0</v>
      </c>
      <c r="JOD1618" s="55">
        <f t="shared" si="661"/>
        <v>0</v>
      </c>
      <c r="JOE1618" s="55">
        <f t="shared" si="661"/>
        <v>0</v>
      </c>
      <c r="JOF1618" s="55">
        <f t="shared" si="661"/>
        <v>0</v>
      </c>
      <c r="JOG1618" s="55">
        <f t="shared" si="661"/>
        <v>0</v>
      </c>
      <c r="JOH1618" s="55">
        <f t="shared" si="661"/>
        <v>0</v>
      </c>
      <c r="JOI1618" s="55">
        <f t="shared" si="661"/>
        <v>0</v>
      </c>
      <c r="JOJ1618" s="55">
        <f t="shared" si="661"/>
        <v>0</v>
      </c>
      <c r="JOK1618" s="55">
        <f t="shared" si="661"/>
        <v>0</v>
      </c>
      <c r="JOL1618" s="55">
        <f t="shared" si="661"/>
        <v>0</v>
      </c>
      <c r="JOM1618" s="55">
        <f t="shared" si="661"/>
        <v>0</v>
      </c>
      <c r="JON1618" s="55">
        <f t="shared" si="661"/>
        <v>0</v>
      </c>
      <c r="JOO1618" s="55">
        <f t="shared" si="661"/>
        <v>0</v>
      </c>
      <c r="JOP1618" s="55">
        <f t="shared" si="661"/>
        <v>0</v>
      </c>
      <c r="JOQ1618" s="55">
        <f t="shared" si="661"/>
        <v>0</v>
      </c>
      <c r="JOR1618" s="55">
        <f t="shared" si="661"/>
        <v>0</v>
      </c>
      <c r="JOS1618" s="55">
        <f t="shared" si="661"/>
        <v>0</v>
      </c>
      <c r="JOT1618" s="55">
        <f t="shared" si="661"/>
        <v>0</v>
      </c>
      <c r="JOU1618" s="55">
        <f t="shared" si="661"/>
        <v>0</v>
      </c>
      <c r="JOV1618" s="55">
        <f t="shared" si="661"/>
        <v>0</v>
      </c>
      <c r="JOW1618" s="55">
        <f t="shared" si="661"/>
        <v>0</v>
      </c>
      <c r="JOX1618" s="55">
        <f t="shared" si="661"/>
        <v>0</v>
      </c>
      <c r="JOY1618" s="55">
        <f t="shared" si="661"/>
        <v>0</v>
      </c>
      <c r="JOZ1618" s="55">
        <f t="shared" si="661"/>
        <v>0</v>
      </c>
      <c r="JPA1618" s="55">
        <f t="shared" si="661"/>
        <v>0</v>
      </c>
      <c r="JPB1618" s="55">
        <f t="shared" si="661"/>
        <v>0</v>
      </c>
      <c r="JPC1618" s="55">
        <f t="shared" si="661"/>
        <v>0</v>
      </c>
      <c r="JPD1618" s="55">
        <f t="shared" ref="JPD1618:JRO1618" si="662">+(JPD1627+JPD1608)*1.18*1.1</f>
        <v>0</v>
      </c>
      <c r="JPE1618" s="55">
        <f t="shared" si="662"/>
        <v>0</v>
      </c>
      <c r="JPF1618" s="55">
        <f t="shared" si="662"/>
        <v>0</v>
      </c>
      <c r="JPG1618" s="55">
        <f t="shared" si="662"/>
        <v>0</v>
      </c>
      <c r="JPH1618" s="55">
        <f t="shared" si="662"/>
        <v>0</v>
      </c>
      <c r="JPI1618" s="55">
        <f t="shared" si="662"/>
        <v>0</v>
      </c>
      <c r="JPJ1618" s="55">
        <f t="shared" si="662"/>
        <v>0</v>
      </c>
      <c r="JPK1618" s="55">
        <f t="shared" si="662"/>
        <v>0</v>
      </c>
      <c r="JPL1618" s="55">
        <f t="shared" si="662"/>
        <v>0</v>
      </c>
      <c r="JPM1618" s="55">
        <f t="shared" si="662"/>
        <v>0</v>
      </c>
      <c r="JPN1618" s="55">
        <f t="shared" si="662"/>
        <v>0</v>
      </c>
      <c r="JPO1618" s="55">
        <f t="shared" si="662"/>
        <v>0</v>
      </c>
      <c r="JPP1618" s="55">
        <f t="shared" si="662"/>
        <v>0</v>
      </c>
      <c r="JPQ1618" s="55">
        <f t="shared" si="662"/>
        <v>0</v>
      </c>
      <c r="JPR1618" s="55">
        <f t="shared" si="662"/>
        <v>0</v>
      </c>
      <c r="JPS1618" s="55">
        <f t="shared" si="662"/>
        <v>0</v>
      </c>
      <c r="JPT1618" s="55">
        <f t="shared" si="662"/>
        <v>0</v>
      </c>
      <c r="JPU1618" s="55">
        <f t="shared" si="662"/>
        <v>0</v>
      </c>
      <c r="JPV1618" s="55">
        <f t="shared" si="662"/>
        <v>0</v>
      </c>
      <c r="JPW1618" s="55">
        <f t="shared" si="662"/>
        <v>0</v>
      </c>
      <c r="JPX1618" s="55">
        <f t="shared" si="662"/>
        <v>0</v>
      </c>
      <c r="JPY1618" s="55">
        <f t="shared" si="662"/>
        <v>0</v>
      </c>
      <c r="JPZ1618" s="55">
        <f t="shared" si="662"/>
        <v>0</v>
      </c>
      <c r="JQA1618" s="55">
        <f t="shared" si="662"/>
        <v>0</v>
      </c>
      <c r="JQB1618" s="55">
        <f t="shared" si="662"/>
        <v>0</v>
      </c>
      <c r="JQC1618" s="55">
        <f t="shared" si="662"/>
        <v>0</v>
      </c>
      <c r="JQD1618" s="55">
        <f t="shared" si="662"/>
        <v>0</v>
      </c>
      <c r="JQE1618" s="55">
        <f t="shared" si="662"/>
        <v>0</v>
      </c>
      <c r="JQF1618" s="55">
        <f t="shared" si="662"/>
        <v>0</v>
      </c>
      <c r="JQG1618" s="55">
        <f t="shared" si="662"/>
        <v>0</v>
      </c>
      <c r="JQH1618" s="55">
        <f t="shared" si="662"/>
        <v>0</v>
      </c>
      <c r="JQI1618" s="55">
        <f t="shared" si="662"/>
        <v>0</v>
      </c>
      <c r="JQJ1618" s="55">
        <f t="shared" si="662"/>
        <v>0</v>
      </c>
      <c r="JQK1618" s="55">
        <f t="shared" si="662"/>
        <v>0</v>
      </c>
      <c r="JQL1618" s="55">
        <f t="shared" si="662"/>
        <v>0</v>
      </c>
      <c r="JQM1618" s="55">
        <f t="shared" si="662"/>
        <v>0</v>
      </c>
      <c r="JQN1618" s="55">
        <f t="shared" si="662"/>
        <v>0</v>
      </c>
      <c r="JQO1618" s="55">
        <f t="shared" si="662"/>
        <v>0</v>
      </c>
      <c r="JQP1618" s="55">
        <f t="shared" si="662"/>
        <v>0</v>
      </c>
      <c r="JQQ1618" s="55">
        <f t="shared" si="662"/>
        <v>0</v>
      </c>
      <c r="JQR1618" s="55">
        <f t="shared" si="662"/>
        <v>0</v>
      </c>
      <c r="JQS1618" s="55">
        <f t="shared" si="662"/>
        <v>0</v>
      </c>
      <c r="JQT1618" s="55">
        <f t="shared" si="662"/>
        <v>0</v>
      </c>
      <c r="JQU1618" s="55">
        <f t="shared" si="662"/>
        <v>0</v>
      </c>
      <c r="JQV1618" s="55">
        <f t="shared" si="662"/>
        <v>0</v>
      </c>
      <c r="JQW1618" s="55">
        <f t="shared" si="662"/>
        <v>0</v>
      </c>
      <c r="JQX1618" s="55">
        <f t="shared" si="662"/>
        <v>0</v>
      </c>
      <c r="JQY1618" s="55">
        <f t="shared" si="662"/>
        <v>0</v>
      </c>
      <c r="JQZ1618" s="55">
        <f t="shared" si="662"/>
        <v>0</v>
      </c>
      <c r="JRA1618" s="55">
        <f t="shared" si="662"/>
        <v>0</v>
      </c>
      <c r="JRB1618" s="55">
        <f t="shared" si="662"/>
        <v>0</v>
      </c>
      <c r="JRC1618" s="55">
        <f t="shared" si="662"/>
        <v>0</v>
      </c>
      <c r="JRD1618" s="55">
        <f t="shared" si="662"/>
        <v>0</v>
      </c>
      <c r="JRE1618" s="55">
        <f t="shared" si="662"/>
        <v>0</v>
      </c>
      <c r="JRF1618" s="55">
        <f t="shared" si="662"/>
        <v>0</v>
      </c>
      <c r="JRG1618" s="55">
        <f t="shared" si="662"/>
        <v>0</v>
      </c>
      <c r="JRH1618" s="55">
        <f t="shared" si="662"/>
        <v>0</v>
      </c>
      <c r="JRI1618" s="55">
        <f t="shared" si="662"/>
        <v>0</v>
      </c>
      <c r="JRJ1618" s="55">
        <f t="shared" si="662"/>
        <v>0</v>
      </c>
      <c r="JRK1618" s="55">
        <f t="shared" si="662"/>
        <v>0</v>
      </c>
      <c r="JRL1618" s="55">
        <f t="shared" si="662"/>
        <v>0</v>
      </c>
      <c r="JRM1618" s="55">
        <f t="shared" si="662"/>
        <v>0</v>
      </c>
      <c r="JRN1618" s="55">
        <f t="shared" si="662"/>
        <v>0</v>
      </c>
      <c r="JRO1618" s="55">
        <f t="shared" si="662"/>
        <v>0</v>
      </c>
      <c r="JRP1618" s="55">
        <f t="shared" ref="JRP1618:JUA1618" si="663">+(JRP1627+JRP1608)*1.18*1.1</f>
        <v>0</v>
      </c>
      <c r="JRQ1618" s="55">
        <f t="shared" si="663"/>
        <v>0</v>
      </c>
      <c r="JRR1618" s="55">
        <f t="shared" si="663"/>
        <v>0</v>
      </c>
      <c r="JRS1618" s="55">
        <f t="shared" si="663"/>
        <v>0</v>
      </c>
      <c r="JRT1618" s="55">
        <f t="shared" si="663"/>
        <v>0</v>
      </c>
      <c r="JRU1618" s="55">
        <f t="shared" si="663"/>
        <v>0</v>
      </c>
      <c r="JRV1618" s="55">
        <f t="shared" si="663"/>
        <v>0</v>
      </c>
      <c r="JRW1618" s="55">
        <f t="shared" si="663"/>
        <v>0</v>
      </c>
      <c r="JRX1618" s="55">
        <f t="shared" si="663"/>
        <v>0</v>
      </c>
      <c r="JRY1618" s="55">
        <f t="shared" si="663"/>
        <v>0</v>
      </c>
      <c r="JRZ1618" s="55">
        <f t="shared" si="663"/>
        <v>0</v>
      </c>
      <c r="JSA1618" s="55">
        <f t="shared" si="663"/>
        <v>0</v>
      </c>
      <c r="JSB1618" s="55">
        <f t="shared" si="663"/>
        <v>0</v>
      </c>
      <c r="JSC1618" s="55">
        <f t="shared" si="663"/>
        <v>0</v>
      </c>
      <c r="JSD1618" s="55">
        <f t="shared" si="663"/>
        <v>0</v>
      </c>
      <c r="JSE1618" s="55">
        <f t="shared" si="663"/>
        <v>0</v>
      </c>
      <c r="JSF1618" s="55">
        <f t="shared" si="663"/>
        <v>0</v>
      </c>
      <c r="JSG1618" s="55">
        <f t="shared" si="663"/>
        <v>0</v>
      </c>
      <c r="JSH1618" s="55">
        <f t="shared" si="663"/>
        <v>0</v>
      </c>
      <c r="JSI1618" s="55">
        <f t="shared" si="663"/>
        <v>0</v>
      </c>
      <c r="JSJ1618" s="55">
        <f t="shared" si="663"/>
        <v>0</v>
      </c>
      <c r="JSK1618" s="55">
        <f t="shared" si="663"/>
        <v>0</v>
      </c>
      <c r="JSL1618" s="55">
        <f t="shared" si="663"/>
        <v>0</v>
      </c>
      <c r="JSM1618" s="55">
        <f t="shared" si="663"/>
        <v>0</v>
      </c>
      <c r="JSN1618" s="55">
        <f t="shared" si="663"/>
        <v>0</v>
      </c>
      <c r="JSO1618" s="55">
        <f t="shared" si="663"/>
        <v>0</v>
      </c>
      <c r="JSP1618" s="55">
        <f t="shared" si="663"/>
        <v>0</v>
      </c>
      <c r="JSQ1618" s="55">
        <f t="shared" si="663"/>
        <v>0</v>
      </c>
      <c r="JSR1618" s="55">
        <f t="shared" si="663"/>
        <v>0</v>
      </c>
      <c r="JSS1618" s="55">
        <f t="shared" si="663"/>
        <v>0</v>
      </c>
      <c r="JST1618" s="55">
        <f t="shared" si="663"/>
        <v>0</v>
      </c>
      <c r="JSU1618" s="55">
        <f t="shared" si="663"/>
        <v>0</v>
      </c>
      <c r="JSV1618" s="55">
        <f t="shared" si="663"/>
        <v>0</v>
      </c>
      <c r="JSW1618" s="55">
        <f t="shared" si="663"/>
        <v>0</v>
      </c>
      <c r="JSX1618" s="55">
        <f t="shared" si="663"/>
        <v>0</v>
      </c>
      <c r="JSY1618" s="55">
        <f t="shared" si="663"/>
        <v>0</v>
      </c>
      <c r="JSZ1618" s="55">
        <f t="shared" si="663"/>
        <v>0</v>
      </c>
      <c r="JTA1618" s="55">
        <f t="shared" si="663"/>
        <v>0</v>
      </c>
      <c r="JTB1618" s="55">
        <f t="shared" si="663"/>
        <v>0</v>
      </c>
      <c r="JTC1618" s="55">
        <f t="shared" si="663"/>
        <v>0</v>
      </c>
      <c r="JTD1618" s="55">
        <f t="shared" si="663"/>
        <v>0</v>
      </c>
      <c r="JTE1618" s="55">
        <f t="shared" si="663"/>
        <v>0</v>
      </c>
      <c r="JTF1618" s="55">
        <f t="shared" si="663"/>
        <v>0</v>
      </c>
      <c r="JTG1618" s="55">
        <f t="shared" si="663"/>
        <v>0</v>
      </c>
      <c r="JTH1618" s="55">
        <f t="shared" si="663"/>
        <v>0</v>
      </c>
      <c r="JTI1618" s="55">
        <f t="shared" si="663"/>
        <v>0</v>
      </c>
      <c r="JTJ1618" s="55">
        <f t="shared" si="663"/>
        <v>0</v>
      </c>
      <c r="JTK1618" s="55">
        <f t="shared" si="663"/>
        <v>0</v>
      </c>
      <c r="JTL1618" s="55">
        <f t="shared" si="663"/>
        <v>0</v>
      </c>
      <c r="JTM1618" s="55">
        <f t="shared" si="663"/>
        <v>0</v>
      </c>
      <c r="JTN1618" s="55">
        <f t="shared" si="663"/>
        <v>0</v>
      </c>
      <c r="JTO1618" s="55">
        <f t="shared" si="663"/>
        <v>0</v>
      </c>
      <c r="JTP1618" s="55">
        <f t="shared" si="663"/>
        <v>0</v>
      </c>
      <c r="JTQ1618" s="55">
        <f t="shared" si="663"/>
        <v>0</v>
      </c>
      <c r="JTR1618" s="55">
        <f t="shared" si="663"/>
        <v>0</v>
      </c>
      <c r="JTS1618" s="55">
        <f t="shared" si="663"/>
        <v>0</v>
      </c>
      <c r="JTT1618" s="55">
        <f t="shared" si="663"/>
        <v>0</v>
      </c>
      <c r="JTU1618" s="55">
        <f t="shared" si="663"/>
        <v>0</v>
      </c>
      <c r="JTV1618" s="55">
        <f t="shared" si="663"/>
        <v>0</v>
      </c>
      <c r="JTW1618" s="55">
        <f t="shared" si="663"/>
        <v>0</v>
      </c>
      <c r="JTX1618" s="55">
        <f t="shared" si="663"/>
        <v>0</v>
      </c>
      <c r="JTY1618" s="55">
        <f t="shared" si="663"/>
        <v>0</v>
      </c>
      <c r="JTZ1618" s="55">
        <f t="shared" si="663"/>
        <v>0</v>
      </c>
      <c r="JUA1618" s="55">
        <f t="shared" si="663"/>
        <v>0</v>
      </c>
      <c r="JUB1618" s="55">
        <f t="shared" ref="JUB1618:JWM1618" si="664">+(JUB1627+JUB1608)*1.18*1.1</f>
        <v>0</v>
      </c>
      <c r="JUC1618" s="55">
        <f t="shared" si="664"/>
        <v>0</v>
      </c>
      <c r="JUD1618" s="55">
        <f t="shared" si="664"/>
        <v>0</v>
      </c>
      <c r="JUE1618" s="55">
        <f t="shared" si="664"/>
        <v>0</v>
      </c>
      <c r="JUF1618" s="55">
        <f t="shared" si="664"/>
        <v>0</v>
      </c>
      <c r="JUG1618" s="55">
        <f t="shared" si="664"/>
        <v>0</v>
      </c>
      <c r="JUH1618" s="55">
        <f t="shared" si="664"/>
        <v>0</v>
      </c>
      <c r="JUI1618" s="55">
        <f t="shared" si="664"/>
        <v>0</v>
      </c>
      <c r="JUJ1618" s="55">
        <f t="shared" si="664"/>
        <v>0</v>
      </c>
      <c r="JUK1618" s="55">
        <f t="shared" si="664"/>
        <v>0</v>
      </c>
      <c r="JUL1618" s="55">
        <f t="shared" si="664"/>
        <v>0</v>
      </c>
      <c r="JUM1618" s="55">
        <f t="shared" si="664"/>
        <v>0</v>
      </c>
      <c r="JUN1618" s="55">
        <f t="shared" si="664"/>
        <v>0</v>
      </c>
      <c r="JUO1618" s="55">
        <f t="shared" si="664"/>
        <v>0</v>
      </c>
      <c r="JUP1618" s="55">
        <f t="shared" si="664"/>
        <v>0</v>
      </c>
      <c r="JUQ1618" s="55">
        <f t="shared" si="664"/>
        <v>0</v>
      </c>
      <c r="JUR1618" s="55">
        <f t="shared" si="664"/>
        <v>0</v>
      </c>
      <c r="JUS1618" s="55">
        <f t="shared" si="664"/>
        <v>0</v>
      </c>
      <c r="JUT1618" s="55">
        <f t="shared" si="664"/>
        <v>0</v>
      </c>
      <c r="JUU1618" s="55">
        <f t="shared" si="664"/>
        <v>0</v>
      </c>
      <c r="JUV1618" s="55">
        <f t="shared" si="664"/>
        <v>0</v>
      </c>
      <c r="JUW1618" s="55">
        <f t="shared" si="664"/>
        <v>0</v>
      </c>
      <c r="JUX1618" s="55">
        <f t="shared" si="664"/>
        <v>0</v>
      </c>
      <c r="JUY1618" s="55">
        <f t="shared" si="664"/>
        <v>0</v>
      </c>
      <c r="JUZ1618" s="55">
        <f t="shared" si="664"/>
        <v>0</v>
      </c>
      <c r="JVA1618" s="55">
        <f t="shared" si="664"/>
        <v>0</v>
      </c>
      <c r="JVB1618" s="55">
        <f t="shared" si="664"/>
        <v>0</v>
      </c>
      <c r="JVC1618" s="55">
        <f t="shared" si="664"/>
        <v>0</v>
      </c>
      <c r="JVD1618" s="55">
        <f t="shared" si="664"/>
        <v>0</v>
      </c>
      <c r="JVE1618" s="55">
        <f t="shared" si="664"/>
        <v>0</v>
      </c>
      <c r="JVF1618" s="55">
        <f t="shared" si="664"/>
        <v>0</v>
      </c>
      <c r="JVG1618" s="55">
        <f t="shared" si="664"/>
        <v>0</v>
      </c>
      <c r="JVH1618" s="55">
        <f t="shared" si="664"/>
        <v>0</v>
      </c>
      <c r="JVI1618" s="55">
        <f t="shared" si="664"/>
        <v>0</v>
      </c>
      <c r="JVJ1618" s="55">
        <f t="shared" si="664"/>
        <v>0</v>
      </c>
      <c r="JVK1618" s="55">
        <f t="shared" si="664"/>
        <v>0</v>
      </c>
      <c r="JVL1618" s="55">
        <f t="shared" si="664"/>
        <v>0</v>
      </c>
      <c r="JVM1618" s="55">
        <f t="shared" si="664"/>
        <v>0</v>
      </c>
      <c r="JVN1618" s="55">
        <f t="shared" si="664"/>
        <v>0</v>
      </c>
      <c r="JVO1618" s="55">
        <f t="shared" si="664"/>
        <v>0</v>
      </c>
      <c r="JVP1618" s="55">
        <f t="shared" si="664"/>
        <v>0</v>
      </c>
      <c r="JVQ1618" s="55">
        <f t="shared" si="664"/>
        <v>0</v>
      </c>
      <c r="JVR1618" s="55">
        <f t="shared" si="664"/>
        <v>0</v>
      </c>
      <c r="JVS1618" s="55">
        <f t="shared" si="664"/>
        <v>0</v>
      </c>
      <c r="JVT1618" s="55">
        <f t="shared" si="664"/>
        <v>0</v>
      </c>
      <c r="JVU1618" s="55">
        <f t="shared" si="664"/>
        <v>0</v>
      </c>
      <c r="JVV1618" s="55">
        <f t="shared" si="664"/>
        <v>0</v>
      </c>
      <c r="JVW1618" s="55">
        <f t="shared" si="664"/>
        <v>0</v>
      </c>
      <c r="JVX1618" s="55">
        <f t="shared" si="664"/>
        <v>0</v>
      </c>
      <c r="JVY1618" s="55">
        <f t="shared" si="664"/>
        <v>0</v>
      </c>
      <c r="JVZ1618" s="55">
        <f t="shared" si="664"/>
        <v>0</v>
      </c>
      <c r="JWA1618" s="55">
        <f t="shared" si="664"/>
        <v>0</v>
      </c>
      <c r="JWB1618" s="55">
        <f t="shared" si="664"/>
        <v>0</v>
      </c>
      <c r="JWC1618" s="55">
        <f t="shared" si="664"/>
        <v>0</v>
      </c>
      <c r="JWD1618" s="55">
        <f t="shared" si="664"/>
        <v>0</v>
      </c>
      <c r="JWE1618" s="55">
        <f t="shared" si="664"/>
        <v>0</v>
      </c>
      <c r="JWF1618" s="55">
        <f t="shared" si="664"/>
        <v>0</v>
      </c>
      <c r="JWG1618" s="55">
        <f t="shared" si="664"/>
        <v>0</v>
      </c>
      <c r="JWH1618" s="55">
        <f t="shared" si="664"/>
        <v>0</v>
      </c>
      <c r="JWI1618" s="55">
        <f t="shared" si="664"/>
        <v>0</v>
      </c>
      <c r="JWJ1618" s="55">
        <f t="shared" si="664"/>
        <v>0</v>
      </c>
      <c r="JWK1618" s="55">
        <f t="shared" si="664"/>
        <v>0</v>
      </c>
      <c r="JWL1618" s="55">
        <f t="shared" si="664"/>
        <v>0</v>
      </c>
      <c r="JWM1618" s="55">
        <f t="shared" si="664"/>
        <v>0</v>
      </c>
      <c r="JWN1618" s="55">
        <f t="shared" ref="JWN1618:JYY1618" si="665">+(JWN1627+JWN1608)*1.18*1.1</f>
        <v>0</v>
      </c>
      <c r="JWO1618" s="55">
        <f t="shared" si="665"/>
        <v>0</v>
      </c>
      <c r="JWP1618" s="55">
        <f t="shared" si="665"/>
        <v>0</v>
      </c>
      <c r="JWQ1618" s="55">
        <f t="shared" si="665"/>
        <v>0</v>
      </c>
      <c r="JWR1618" s="55">
        <f t="shared" si="665"/>
        <v>0</v>
      </c>
      <c r="JWS1618" s="55">
        <f t="shared" si="665"/>
        <v>0</v>
      </c>
      <c r="JWT1618" s="55">
        <f t="shared" si="665"/>
        <v>0</v>
      </c>
      <c r="JWU1618" s="55">
        <f t="shared" si="665"/>
        <v>0</v>
      </c>
      <c r="JWV1618" s="55">
        <f t="shared" si="665"/>
        <v>0</v>
      </c>
      <c r="JWW1618" s="55">
        <f t="shared" si="665"/>
        <v>0</v>
      </c>
      <c r="JWX1618" s="55">
        <f t="shared" si="665"/>
        <v>0</v>
      </c>
      <c r="JWY1618" s="55">
        <f t="shared" si="665"/>
        <v>0</v>
      </c>
      <c r="JWZ1618" s="55">
        <f t="shared" si="665"/>
        <v>0</v>
      </c>
      <c r="JXA1618" s="55">
        <f t="shared" si="665"/>
        <v>0</v>
      </c>
      <c r="JXB1618" s="55">
        <f t="shared" si="665"/>
        <v>0</v>
      </c>
      <c r="JXC1618" s="55">
        <f t="shared" si="665"/>
        <v>0</v>
      </c>
      <c r="JXD1618" s="55">
        <f t="shared" si="665"/>
        <v>0</v>
      </c>
      <c r="JXE1618" s="55">
        <f t="shared" si="665"/>
        <v>0</v>
      </c>
      <c r="JXF1618" s="55">
        <f t="shared" si="665"/>
        <v>0</v>
      </c>
      <c r="JXG1618" s="55">
        <f t="shared" si="665"/>
        <v>0</v>
      </c>
      <c r="JXH1618" s="55">
        <f t="shared" si="665"/>
        <v>0</v>
      </c>
      <c r="JXI1618" s="55">
        <f t="shared" si="665"/>
        <v>0</v>
      </c>
      <c r="JXJ1618" s="55">
        <f t="shared" si="665"/>
        <v>0</v>
      </c>
      <c r="JXK1618" s="55">
        <f t="shared" si="665"/>
        <v>0</v>
      </c>
      <c r="JXL1618" s="55">
        <f t="shared" si="665"/>
        <v>0</v>
      </c>
      <c r="JXM1618" s="55">
        <f t="shared" si="665"/>
        <v>0</v>
      </c>
      <c r="JXN1618" s="55">
        <f t="shared" si="665"/>
        <v>0</v>
      </c>
      <c r="JXO1618" s="55">
        <f t="shared" si="665"/>
        <v>0</v>
      </c>
      <c r="JXP1618" s="55">
        <f t="shared" si="665"/>
        <v>0</v>
      </c>
      <c r="JXQ1618" s="55">
        <f t="shared" si="665"/>
        <v>0</v>
      </c>
      <c r="JXR1618" s="55">
        <f t="shared" si="665"/>
        <v>0</v>
      </c>
      <c r="JXS1618" s="55">
        <f t="shared" si="665"/>
        <v>0</v>
      </c>
      <c r="JXT1618" s="55">
        <f t="shared" si="665"/>
        <v>0</v>
      </c>
      <c r="JXU1618" s="55">
        <f t="shared" si="665"/>
        <v>0</v>
      </c>
      <c r="JXV1618" s="55">
        <f t="shared" si="665"/>
        <v>0</v>
      </c>
      <c r="JXW1618" s="55">
        <f t="shared" si="665"/>
        <v>0</v>
      </c>
      <c r="JXX1618" s="55">
        <f t="shared" si="665"/>
        <v>0</v>
      </c>
      <c r="JXY1618" s="55">
        <f t="shared" si="665"/>
        <v>0</v>
      </c>
      <c r="JXZ1618" s="55">
        <f t="shared" si="665"/>
        <v>0</v>
      </c>
      <c r="JYA1618" s="55">
        <f t="shared" si="665"/>
        <v>0</v>
      </c>
      <c r="JYB1618" s="55">
        <f t="shared" si="665"/>
        <v>0</v>
      </c>
      <c r="JYC1618" s="55">
        <f t="shared" si="665"/>
        <v>0</v>
      </c>
      <c r="JYD1618" s="55">
        <f t="shared" si="665"/>
        <v>0</v>
      </c>
      <c r="JYE1618" s="55">
        <f t="shared" si="665"/>
        <v>0</v>
      </c>
      <c r="JYF1618" s="55">
        <f t="shared" si="665"/>
        <v>0</v>
      </c>
      <c r="JYG1618" s="55">
        <f t="shared" si="665"/>
        <v>0</v>
      </c>
      <c r="JYH1618" s="55">
        <f t="shared" si="665"/>
        <v>0</v>
      </c>
      <c r="JYI1618" s="55">
        <f t="shared" si="665"/>
        <v>0</v>
      </c>
      <c r="JYJ1618" s="55">
        <f t="shared" si="665"/>
        <v>0</v>
      </c>
      <c r="JYK1618" s="55">
        <f t="shared" si="665"/>
        <v>0</v>
      </c>
      <c r="JYL1618" s="55">
        <f t="shared" si="665"/>
        <v>0</v>
      </c>
      <c r="JYM1618" s="55">
        <f t="shared" si="665"/>
        <v>0</v>
      </c>
      <c r="JYN1618" s="55">
        <f t="shared" si="665"/>
        <v>0</v>
      </c>
      <c r="JYO1618" s="55">
        <f t="shared" si="665"/>
        <v>0</v>
      </c>
      <c r="JYP1618" s="55">
        <f t="shared" si="665"/>
        <v>0</v>
      </c>
      <c r="JYQ1618" s="55">
        <f t="shared" si="665"/>
        <v>0</v>
      </c>
      <c r="JYR1618" s="55">
        <f t="shared" si="665"/>
        <v>0</v>
      </c>
      <c r="JYS1618" s="55">
        <f t="shared" si="665"/>
        <v>0</v>
      </c>
      <c r="JYT1618" s="55">
        <f t="shared" si="665"/>
        <v>0</v>
      </c>
      <c r="JYU1618" s="55">
        <f t="shared" si="665"/>
        <v>0</v>
      </c>
      <c r="JYV1618" s="55">
        <f t="shared" si="665"/>
        <v>0</v>
      </c>
      <c r="JYW1618" s="55">
        <f t="shared" si="665"/>
        <v>0</v>
      </c>
      <c r="JYX1618" s="55">
        <f t="shared" si="665"/>
        <v>0</v>
      </c>
      <c r="JYY1618" s="55">
        <f t="shared" si="665"/>
        <v>0</v>
      </c>
      <c r="JYZ1618" s="55">
        <f t="shared" ref="JYZ1618:KBK1618" si="666">+(JYZ1627+JYZ1608)*1.18*1.1</f>
        <v>0</v>
      </c>
      <c r="JZA1618" s="55">
        <f t="shared" si="666"/>
        <v>0</v>
      </c>
      <c r="JZB1618" s="55">
        <f t="shared" si="666"/>
        <v>0</v>
      </c>
      <c r="JZC1618" s="55">
        <f t="shared" si="666"/>
        <v>0</v>
      </c>
      <c r="JZD1618" s="55">
        <f t="shared" si="666"/>
        <v>0</v>
      </c>
      <c r="JZE1618" s="55">
        <f t="shared" si="666"/>
        <v>0</v>
      </c>
      <c r="JZF1618" s="55">
        <f t="shared" si="666"/>
        <v>0</v>
      </c>
      <c r="JZG1618" s="55">
        <f t="shared" si="666"/>
        <v>0</v>
      </c>
      <c r="JZH1618" s="55">
        <f t="shared" si="666"/>
        <v>0</v>
      </c>
      <c r="JZI1618" s="55">
        <f t="shared" si="666"/>
        <v>0</v>
      </c>
      <c r="JZJ1618" s="55">
        <f t="shared" si="666"/>
        <v>0</v>
      </c>
      <c r="JZK1618" s="55">
        <f t="shared" si="666"/>
        <v>0</v>
      </c>
      <c r="JZL1618" s="55">
        <f t="shared" si="666"/>
        <v>0</v>
      </c>
      <c r="JZM1618" s="55">
        <f t="shared" si="666"/>
        <v>0</v>
      </c>
      <c r="JZN1618" s="55">
        <f t="shared" si="666"/>
        <v>0</v>
      </c>
      <c r="JZO1618" s="55">
        <f t="shared" si="666"/>
        <v>0</v>
      </c>
      <c r="JZP1618" s="55">
        <f t="shared" si="666"/>
        <v>0</v>
      </c>
      <c r="JZQ1618" s="55">
        <f t="shared" si="666"/>
        <v>0</v>
      </c>
      <c r="JZR1618" s="55">
        <f t="shared" si="666"/>
        <v>0</v>
      </c>
      <c r="JZS1618" s="55">
        <f t="shared" si="666"/>
        <v>0</v>
      </c>
      <c r="JZT1618" s="55">
        <f t="shared" si="666"/>
        <v>0</v>
      </c>
      <c r="JZU1618" s="55">
        <f t="shared" si="666"/>
        <v>0</v>
      </c>
      <c r="JZV1618" s="55">
        <f t="shared" si="666"/>
        <v>0</v>
      </c>
      <c r="JZW1618" s="55">
        <f t="shared" si="666"/>
        <v>0</v>
      </c>
      <c r="JZX1618" s="55">
        <f t="shared" si="666"/>
        <v>0</v>
      </c>
      <c r="JZY1618" s="55">
        <f t="shared" si="666"/>
        <v>0</v>
      </c>
      <c r="JZZ1618" s="55">
        <f t="shared" si="666"/>
        <v>0</v>
      </c>
      <c r="KAA1618" s="55">
        <f t="shared" si="666"/>
        <v>0</v>
      </c>
      <c r="KAB1618" s="55">
        <f t="shared" si="666"/>
        <v>0</v>
      </c>
      <c r="KAC1618" s="55">
        <f t="shared" si="666"/>
        <v>0</v>
      </c>
      <c r="KAD1618" s="55">
        <f t="shared" si="666"/>
        <v>0</v>
      </c>
      <c r="KAE1618" s="55">
        <f t="shared" si="666"/>
        <v>0</v>
      </c>
      <c r="KAF1618" s="55">
        <f t="shared" si="666"/>
        <v>0</v>
      </c>
      <c r="KAG1618" s="55">
        <f t="shared" si="666"/>
        <v>0</v>
      </c>
      <c r="KAH1618" s="55">
        <f t="shared" si="666"/>
        <v>0</v>
      </c>
      <c r="KAI1618" s="55">
        <f t="shared" si="666"/>
        <v>0</v>
      </c>
      <c r="KAJ1618" s="55">
        <f t="shared" si="666"/>
        <v>0</v>
      </c>
      <c r="KAK1618" s="55">
        <f t="shared" si="666"/>
        <v>0</v>
      </c>
      <c r="KAL1618" s="55">
        <f t="shared" si="666"/>
        <v>0</v>
      </c>
      <c r="KAM1618" s="55">
        <f t="shared" si="666"/>
        <v>0</v>
      </c>
      <c r="KAN1618" s="55">
        <f t="shared" si="666"/>
        <v>0</v>
      </c>
      <c r="KAO1618" s="55">
        <f t="shared" si="666"/>
        <v>0</v>
      </c>
      <c r="KAP1618" s="55">
        <f t="shared" si="666"/>
        <v>0</v>
      </c>
      <c r="KAQ1618" s="55">
        <f t="shared" si="666"/>
        <v>0</v>
      </c>
      <c r="KAR1618" s="55">
        <f t="shared" si="666"/>
        <v>0</v>
      </c>
      <c r="KAS1618" s="55">
        <f t="shared" si="666"/>
        <v>0</v>
      </c>
      <c r="KAT1618" s="55">
        <f t="shared" si="666"/>
        <v>0</v>
      </c>
      <c r="KAU1618" s="55">
        <f t="shared" si="666"/>
        <v>0</v>
      </c>
      <c r="KAV1618" s="55">
        <f t="shared" si="666"/>
        <v>0</v>
      </c>
      <c r="KAW1618" s="55">
        <f t="shared" si="666"/>
        <v>0</v>
      </c>
      <c r="KAX1618" s="55">
        <f t="shared" si="666"/>
        <v>0</v>
      </c>
      <c r="KAY1618" s="55">
        <f t="shared" si="666"/>
        <v>0</v>
      </c>
      <c r="KAZ1618" s="55">
        <f t="shared" si="666"/>
        <v>0</v>
      </c>
      <c r="KBA1618" s="55">
        <f t="shared" si="666"/>
        <v>0</v>
      </c>
      <c r="KBB1618" s="55">
        <f t="shared" si="666"/>
        <v>0</v>
      </c>
      <c r="KBC1618" s="55">
        <f t="shared" si="666"/>
        <v>0</v>
      </c>
      <c r="KBD1618" s="55">
        <f t="shared" si="666"/>
        <v>0</v>
      </c>
      <c r="KBE1618" s="55">
        <f t="shared" si="666"/>
        <v>0</v>
      </c>
      <c r="KBF1618" s="55">
        <f t="shared" si="666"/>
        <v>0</v>
      </c>
      <c r="KBG1618" s="55">
        <f t="shared" si="666"/>
        <v>0</v>
      </c>
      <c r="KBH1618" s="55">
        <f t="shared" si="666"/>
        <v>0</v>
      </c>
      <c r="KBI1618" s="55">
        <f t="shared" si="666"/>
        <v>0</v>
      </c>
      <c r="KBJ1618" s="55">
        <f t="shared" si="666"/>
        <v>0</v>
      </c>
      <c r="KBK1618" s="55">
        <f t="shared" si="666"/>
        <v>0</v>
      </c>
      <c r="KBL1618" s="55">
        <f t="shared" ref="KBL1618:KDW1618" si="667">+(KBL1627+KBL1608)*1.18*1.1</f>
        <v>0</v>
      </c>
      <c r="KBM1618" s="55">
        <f t="shared" si="667"/>
        <v>0</v>
      </c>
      <c r="KBN1618" s="55">
        <f t="shared" si="667"/>
        <v>0</v>
      </c>
      <c r="KBO1618" s="55">
        <f t="shared" si="667"/>
        <v>0</v>
      </c>
      <c r="KBP1618" s="55">
        <f t="shared" si="667"/>
        <v>0</v>
      </c>
      <c r="KBQ1618" s="55">
        <f t="shared" si="667"/>
        <v>0</v>
      </c>
      <c r="KBR1618" s="55">
        <f t="shared" si="667"/>
        <v>0</v>
      </c>
      <c r="KBS1618" s="55">
        <f t="shared" si="667"/>
        <v>0</v>
      </c>
      <c r="KBT1618" s="55">
        <f t="shared" si="667"/>
        <v>0</v>
      </c>
      <c r="KBU1618" s="55">
        <f t="shared" si="667"/>
        <v>0</v>
      </c>
      <c r="KBV1618" s="55">
        <f t="shared" si="667"/>
        <v>0</v>
      </c>
      <c r="KBW1618" s="55">
        <f t="shared" si="667"/>
        <v>0</v>
      </c>
      <c r="KBX1618" s="55">
        <f t="shared" si="667"/>
        <v>0</v>
      </c>
      <c r="KBY1618" s="55">
        <f t="shared" si="667"/>
        <v>0</v>
      </c>
      <c r="KBZ1618" s="55">
        <f t="shared" si="667"/>
        <v>0</v>
      </c>
      <c r="KCA1618" s="55">
        <f t="shared" si="667"/>
        <v>0</v>
      </c>
      <c r="KCB1618" s="55">
        <f t="shared" si="667"/>
        <v>0</v>
      </c>
      <c r="KCC1618" s="55">
        <f t="shared" si="667"/>
        <v>0</v>
      </c>
      <c r="KCD1618" s="55">
        <f t="shared" si="667"/>
        <v>0</v>
      </c>
      <c r="KCE1618" s="55">
        <f t="shared" si="667"/>
        <v>0</v>
      </c>
      <c r="KCF1618" s="55">
        <f t="shared" si="667"/>
        <v>0</v>
      </c>
      <c r="KCG1618" s="55">
        <f t="shared" si="667"/>
        <v>0</v>
      </c>
      <c r="KCH1618" s="55">
        <f t="shared" si="667"/>
        <v>0</v>
      </c>
      <c r="KCI1618" s="55">
        <f t="shared" si="667"/>
        <v>0</v>
      </c>
      <c r="KCJ1618" s="55">
        <f t="shared" si="667"/>
        <v>0</v>
      </c>
      <c r="KCK1618" s="55">
        <f t="shared" si="667"/>
        <v>0</v>
      </c>
      <c r="KCL1618" s="55">
        <f t="shared" si="667"/>
        <v>0</v>
      </c>
      <c r="KCM1618" s="55">
        <f t="shared" si="667"/>
        <v>0</v>
      </c>
      <c r="KCN1618" s="55">
        <f t="shared" si="667"/>
        <v>0</v>
      </c>
      <c r="KCO1618" s="55">
        <f t="shared" si="667"/>
        <v>0</v>
      </c>
      <c r="KCP1618" s="55">
        <f t="shared" si="667"/>
        <v>0</v>
      </c>
      <c r="KCQ1618" s="55">
        <f t="shared" si="667"/>
        <v>0</v>
      </c>
      <c r="KCR1618" s="55">
        <f t="shared" si="667"/>
        <v>0</v>
      </c>
      <c r="KCS1618" s="55">
        <f t="shared" si="667"/>
        <v>0</v>
      </c>
      <c r="KCT1618" s="55">
        <f t="shared" si="667"/>
        <v>0</v>
      </c>
      <c r="KCU1618" s="55">
        <f t="shared" si="667"/>
        <v>0</v>
      </c>
      <c r="KCV1618" s="55">
        <f t="shared" si="667"/>
        <v>0</v>
      </c>
      <c r="KCW1618" s="55">
        <f t="shared" si="667"/>
        <v>0</v>
      </c>
      <c r="KCX1618" s="55">
        <f t="shared" si="667"/>
        <v>0</v>
      </c>
      <c r="KCY1618" s="55">
        <f t="shared" si="667"/>
        <v>0</v>
      </c>
      <c r="KCZ1618" s="55">
        <f t="shared" si="667"/>
        <v>0</v>
      </c>
      <c r="KDA1618" s="55">
        <f t="shared" si="667"/>
        <v>0</v>
      </c>
      <c r="KDB1618" s="55">
        <f t="shared" si="667"/>
        <v>0</v>
      </c>
      <c r="KDC1618" s="55">
        <f t="shared" si="667"/>
        <v>0</v>
      </c>
      <c r="KDD1618" s="55">
        <f t="shared" si="667"/>
        <v>0</v>
      </c>
      <c r="KDE1618" s="55">
        <f t="shared" si="667"/>
        <v>0</v>
      </c>
      <c r="KDF1618" s="55">
        <f t="shared" si="667"/>
        <v>0</v>
      </c>
      <c r="KDG1618" s="55">
        <f t="shared" si="667"/>
        <v>0</v>
      </c>
      <c r="KDH1618" s="55">
        <f t="shared" si="667"/>
        <v>0</v>
      </c>
      <c r="KDI1618" s="55">
        <f t="shared" si="667"/>
        <v>0</v>
      </c>
      <c r="KDJ1618" s="55">
        <f t="shared" si="667"/>
        <v>0</v>
      </c>
      <c r="KDK1618" s="55">
        <f t="shared" si="667"/>
        <v>0</v>
      </c>
      <c r="KDL1618" s="55">
        <f t="shared" si="667"/>
        <v>0</v>
      </c>
      <c r="KDM1618" s="55">
        <f t="shared" si="667"/>
        <v>0</v>
      </c>
      <c r="KDN1618" s="55">
        <f t="shared" si="667"/>
        <v>0</v>
      </c>
      <c r="KDO1618" s="55">
        <f t="shared" si="667"/>
        <v>0</v>
      </c>
      <c r="KDP1618" s="55">
        <f t="shared" si="667"/>
        <v>0</v>
      </c>
      <c r="KDQ1618" s="55">
        <f t="shared" si="667"/>
        <v>0</v>
      </c>
      <c r="KDR1618" s="55">
        <f t="shared" si="667"/>
        <v>0</v>
      </c>
      <c r="KDS1618" s="55">
        <f t="shared" si="667"/>
        <v>0</v>
      </c>
      <c r="KDT1618" s="55">
        <f t="shared" si="667"/>
        <v>0</v>
      </c>
      <c r="KDU1618" s="55">
        <f t="shared" si="667"/>
        <v>0</v>
      </c>
      <c r="KDV1618" s="55">
        <f t="shared" si="667"/>
        <v>0</v>
      </c>
      <c r="KDW1618" s="55">
        <f t="shared" si="667"/>
        <v>0</v>
      </c>
      <c r="KDX1618" s="55">
        <f t="shared" ref="KDX1618:KGI1618" si="668">+(KDX1627+KDX1608)*1.18*1.1</f>
        <v>0</v>
      </c>
      <c r="KDY1618" s="55">
        <f t="shared" si="668"/>
        <v>0</v>
      </c>
      <c r="KDZ1618" s="55">
        <f t="shared" si="668"/>
        <v>0</v>
      </c>
      <c r="KEA1618" s="55">
        <f t="shared" si="668"/>
        <v>0</v>
      </c>
      <c r="KEB1618" s="55">
        <f t="shared" si="668"/>
        <v>0</v>
      </c>
      <c r="KEC1618" s="55">
        <f t="shared" si="668"/>
        <v>0</v>
      </c>
      <c r="KED1618" s="55">
        <f t="shared" si="668"/>
        <v>0</v>
      </c>
      <c r="KEE1618" s="55">
        <f t="shared" si="668"/>
        <v>0</v>
      </c>
      <c r="KEF1618" s="55">
        <f t="shared" si="668"/>
        <v>0</v>
      </c>
      <c r="KEG1618" s="55">
        <f t="shared" si="668"/>
        <v>0</v>
      </c>
      <c r="KEH1618" s="55">
        <f t="shared" si="668"/>
        <v>0</v>
      </c>
      <c r="KEI1618" s="55">
        <f t="shared" si="668"/>
        <v>0</v>
      </c>
      <c r="KEJ1618" s="55">
        <f t="shared" si="668"/>
        <v>0</v>
      </c>
      <c r="KEK1618" s="55">
        <f t="shared" si="668"/>
        <v>0</v>
      </c>
      <c r="KEL1618" s="55">
        <f t="shared" si="668"/>
        <v>0</v>
      </c>
      <c r="KEM1618" s="55">
        <f t="shared" si="668"/>
        <v>0</v>
      </c>
      <c r="KEN1618" s="55">
        <f t="shared" si="668"/>
        <v>0</v>
      </c>
      <c r="KEO1618" s="55">
        <f t="shared" si="668"/>
        <v>0</v>
      </c>
      <c r="KEP1618" s="55">
        <f t="shared" si="668"/>
        <v>0</v>
      </c>
      <c r="KEQ1618" s="55">
        <f t="shared" si="668"/>
        <v>0</v>
      </c>
      <c r="KER1618" s="55">
        <f t="shared" si="668"/>
        <v>0</v>
      </c>
      <c r="KES1618" s="55">
        <f t="shared" si="668"/>
        <v>0</v>
      </c>
      <c r="KET1618" s="55">
        <f t="shared" si="668"/>
        <v>0</v>
      </c>
      <c r="KEU1618" s="55">
        <f t="shared" si="668"/>
        <v>0</v>
      </c>
      <c r="KEV1618" s="55">
        <f t="shared" si="668"/>
        <v>0</v>
      </c>
      <c r="KEW1618" s="55">
        <f t="shared" si="668"/>
        <v>0</v>
      </c>
      <c r="KEX1618" s="55">
        <f t="shared" si="668"/>
        <v>0</v>
      </c>
      <c r="KEY1618" s="55">
        <f t="shared" si="668"/>
        <v>0</v>
      </c>
      <c r="KEZ1618" s="55">
        <f t="shared" si="668"/>
        <v>0</v>
      </c>
      <c r="KFA1618" s="55">
        <f t="shared" si="668"/>
        <v>0</v>
      </c>
      <c r="KFB1618" s="55">
        <f t="shared" si="668"/>
        <v>0</v>
      </c>
      <c r="KFC1618" s="55">
        <f t="shared" si="668"/>
        <v>0</v>
      </c>
      <c r="KFD1618" s="55">
        <f t="shared" si="668"/>
        <v>0</v>
      </c>
      <c r="KFE1618" s="55">
        <f t="shared" si="668"/>
        <v>0</v>
      </c>
      <c r="KFF1618" s="55">
        <f t="shared" si="668"/>
        <v>0</v>
      </c>
      <c r="KFG1618" s="55">
        <f t="shared" si="668"/>
        <v>0</v>
      </c>
      <c r="KFH1618" s="55">
        <f t="shared" si="668"/>
        <v>0</v>
      </c>
      <c r="KFI1618" s="55">
        <f t="shared" si="668"/>
        <v>0</v>
      </c>
      <c r="KFJ1618" s="55">
        <f t="shared" si="668"/>
        <v>0</v>
      </c>
      <c r="KFK1618" s="55">
        <f t="shared" si="668"/>
        <v>0</v>
      </c>
      <c r="KFL1618" s="55">
        <f t="shared" si="668"/>
        <v>0</v>
      </c>
      <c r="KFM1618" s="55">
        <f t="shared" si="668"/>
        <v>0</v>
      </c>
      <c r="KFN1618" s="55">
        <f t="shared" si="668"/>
        <v>0</v>
      </c>
      <c r="KFO1618" s="55">
        <f t="shared" si="668"/>
        <v>0</v>
      </c>
      <c r="KFP1618" s="55">
        <f t="shared" si="668"/>
        <v>0</v>
      </c>
      <c r="KFQ1618" s="55">
        <f t="shared" si="668"/>
        <v>0</v>
      </c>
      <c r="KFR1618" s="55">
        <f t="shared" si="668"/>
        <v>0</v>
      </c>
      <c r="KFS1618" s="55">
        <f t="shared" si="668"/>
        <v>0</v>
      </c>
      <c r="KFT1618" s="55">
        <f t="shared" si="668"/>
        <v>0</v>
      </c>
      <c r="KFU1618" s="55">
        <f t="shared" si="668"/>
        <v>0</v>
      </c>
      <c r="KFV1618" s="55">
        <f t="shared" si="668"/>
        <v>0</v>
      </c>
      <c r="KFW1618" s="55">
        <f t="shared" si="668"/>
        <v>0</v>
      </c>
      <c r="KFX1618" s="55">
        <f t="shared" si="668"/>
        <v>0</v>
      </c>
      <c r="KFY1618" s="55">
        <f t="shared" si="668"/>
        <v>0</v>
      </c>
      <c r="KFZ1618" s="55">
        <f t="shared" si="668"/>
        <v>0</v>
      </c>
      <c r="KGA1618" s="55">
        <f t="shared" si="668"/>
        <v>0</v>
      </c>
      <c r="KGB1618" s="55">
        <f t="shared" si="668"/>
        <v>0</v>
      </c>
      <c r="KGC1618" s="55">
        <f t="shared" si="668"/>
        <v>0</v>
      </c>
      <c r="KGD1618" s="55">
        <f t="shared" si="668"/>
        <v>0</v>
      </c>
      <c r="KGE1618" s="55">
        <f t="shared" si="668"/>
        <v>0</v>
      </c>
      <c r="KGF1618" s="55">
        <f t="shared" si="668"/>
        <v>0</v>
      </c>
      <c r="KGG1618" s="55">
        <f t="shared" si="668"/>
        <v>0</v>
      </c>
      <c r="KGH1618" s="55">
        <f t="shared" si="668"/>
        <v>0</v>
      </c>
      <c r="KGI1618" s="55">
        <f t="shared" si="668"/>
        <v>0</v>
      </c>
      <c r="KGJ1618" s="55">
        <f t="shared" ref="KGJ1618:KIU1618" si="669">+(KGJ1627+KGJ1608)*1.18*1.1</f>
        <v>0</v>
      </c>
      <c r="KGK1618" s="55">
        <f t="shared" si="669"/>
        <v>0</v>
      </c>
      <c r="KGL1618" s="55">
        <f t="shared" si="669"/>
        <v>0</v>
      </c>
      <c r="KGM1618" s="55">
        <f t="shared" si="669"/>
        <v>0</v>
      </c>
      <c r="KGN1618" s="55">
        <f t="shared" si="669"/>
        <v>0</v>
      </c>
      <c r="KGO1618" s="55">
        <f t="shared" si="669"/>
        <v>0</v>
      </c>
      <c r="KGP1618" s="55">
        <f t="shared" si="669"/>
        <v>0</v>
      </c>
      <c r="KGQ1618" s="55">
        <f t="shared" si="669"/>
        <v>0</v>
      </c>
      <c r="KGR1618" s="55">
        <f t="shared" si="669"/>
        <v>0</v>
      </c>
      <c r="KGS1618" s="55">
        <f t="shared" si="669"/>
        <v>0</v>
      </c>
      <c r="KGT1618" s="55">
        <f t="shared" si="669"/>
        <v>0</v>
      </c>
      <c r="KGU1618" s="55">
        <f t="shared" si="669"/>
        <v>0</v>
      </c>
      <c r="KGV1618" s="55">
        <f t="shared" si="669"/>
        <v>0</v>
      </c>
      <c r="KGW1618" s="55">
        <f t="shared" si="669"/>
        <v>0</v>
      </c>
      <c r="KGX1618" s="55">
        <f t="shared" si="669"/>
        <v>0</v>
      </c>
      <c r="KGY1618" s="55">
        <f t="shared" si="669"/>
        <v>0</v>
      </c>
      <c r="KGZ1618" s="55">
        <f t="shared" si="669"/>
        <v>0</v>
      </c>
      <c r="KHA1618" s="55">
        <f t="shared" si="669"/>
        <v>0</v>
      </c>
      <c r="KHB1618" s="55">
        <f t="shared" si="669"/>
        <v>0</v>
      </c>
      <c r="KHC1618" s="55">
        <f t="shared" si="669"/>
        <v>0</v>
      </c>
      <c r="KHD1618" s="55">
        <f t="shared" si="669"/>
        <v>0</v>
      </c>
      <c r="KHE1618" s="55">
        <f t="shared" si="669"/>
        <v>0</v>
      </c>
      <c r="KHF1618" s="55">
        <f t="shared" si="669"/>
        <v>0</v>
      </c>
      <c r="KHG1618" s="55">
        <f t="shared" si="669"/>
        <v>0</v>
      </c>
      <c r="KHH1618" s="55">
        <f t="shared" si="669"/>
        <v>0</v>
      </c>
      <c r="KHI1618" s="55">
        <f t="shared" si="669"/>
        <v>0</v>
      </c>
      <c r="KHJ1618" s="55">
        <f t="shared" si="669"/>
        <v>0</v>
      </c>
      <c r="KHK1618" s="55">
        <f t="shared" si="669"/>
        <v>0</v>
      </c>
      <c r="KHL1618" s="55">
        <f t="shared" si="669"/>
        <v>0</v>
      </c>
      <c r="KHM1618" s="55">
        <f t="shared" si="669"/>
        <v>0</v>
      </c>
      <c r="KHN1618" s="55">
        <f t="shared" si="669"/>
        <v>0</v>
      </c>
      <c r="KHO1618" s="55">
        <f t="shared" si="669"/>
        <v>0</v>
      </c>
      <c r="KHP1618" s="55">
        <f t="shared" si="669"/>
        <v>0</v>
      </c>
      <c r="KHQ1618" s="55">
        <f t="shared" si="669"/>
        <v>0</v>
      </c>
      <c r="KHR1618" s="55">
        <f t="shared" si="669"/>
        <v>0</v>
      </c>
      <c r="KHS1618" s="55">
        <f t="shared" si="669"/>
        <v>0</v>
      </c>
      <c r="KHT1618" s="55">
        <f t="shared" si="669"/>
        <v>0</v>
      </c>
      <c r="KHU1618" s="55">
        <f t="shared" si="669"/>
        <v>0</v>
      </c>
      <c r="KHV1618" s="55">
        <f t="shared" si="669"/>
        <v>0</v>
      </c>
      <c r="KHW1618" s="55">
        <f t="shared" si="669"/>
        <v>0</v>
      </c>
      <c r="KHX1618" s="55">
        <f t="shared" si="669"/>
        <v>0</v>
      </c>
      <c r="KHY1618" s="55">
        <f t="shared" si="669"/>
        <v>0</v>
      </c>
      <c r="KHZ1618" s="55">
        <f t="shared" si="669"/>
        <v>0</v>
      </c>
      <c r="KIA1618" s="55">
        <f t="shared" si="669"/>
        <v>0</v>
      </c>
      <c r="KIB1618" s="55">
        <f t="shared" si="669"/>
        <v>0</v>
      </c>
      <c r="KIC1618" s="55">
        <f t="shared" si="669"/>
        <v>0</v>
      </c>
      <c r="KID1618" s="55">
        <f t="shared" si="669"/>
        <v>0</v>
      </c>
      <c r="KIE1618" s="55">
        <f t="shared" si="669"/>
        <v>0</v>
      </c>
      <c r="KIF1618" s="55">
        <f t="shared" si="669"/>
        <v>0</v>
      </c>
      <c r="KIG1618" s="55">
        <f t="shared" si="669"/>
        <v>0</v>
      </c>
      <c r="KIH1618" s="55">
        <f t="shared" si="669"/>
        <v>0</v>
      </c>
      <c r="KII1618" s="55">
        <f t="shared" si="669"/>
        <v>0</v>
      </c>
      <c r="KIJ1618" s="55">
        <f t="shared" si="669"/>
        <v>0</v>
      </c>
      <c r="KIK1618" s="55">
        <f t="shared" si="669"/>
        <v>0</v>
      </c>
      <c r="KIL1618" s="55">
        <f t="shared" si="669"/>
        <v>0</v>
      </c>
      <c r="KIM1618" s="55">
        <f t="shared" si="669"/>
        <v>0</v>
      </c>
      <c r="KIN1618" s="55">
        <f t="shared" si="669"/>
        <v>0</v>
      </c>
      <c r="KIO1618" s="55">
        <f t="shared" si="669"/>
        <v>0</v>
      </c>
      <c r="KIP1618" s="55">
        <f t="shared" si="669"/>
        <v>0</v>
      </c>
      <c r="KIQ1618" s="55">
        <f t="shared" si="669"/>
        <v>0</v>
      </c>
      <c r="KIR1618" s="55">
        <f t="shared" si="669"/>
        <v>0</v>
      </c>
      <c r="KIS1618" s="55">
        <f t="shared" si="669"/>
        <v>0</v>
      </c>
      <c r="KIT1618" s="55">
        <f t="shared" si="669"/>
        <v>0</v>
      </c>
      <c r="KIU1618" s="55">
        <f t="shared" si="669"/>
        <v>0</v>
      </c>
      <c r="KIV1618" s="55">
        <f t="shared" ref="KIV1618:KLG1618" si="670">+(KIV1627+KIV1608)*1.18*1.1</f>
        <v>0</v>
      </c>
      <c r="KIW1618" s="55">
        <f t="shared" si="670"/>
        <v>0</v>
      </c>
      <c r="KIX1618" s="55">
        <f t="shared" si="670"/>
        <v>0</v>
      </c>
      <c r="KIY1618" s="55">
        <f t="shared" si="670"/>
        <v>0</v>
      </c>
      <c r="KIZ1618" s="55">
        <f t="shared" si="670"/>
        <v>0</v>
      </c>
      <c r="KJA1618" s="55">
        <f t="shared" si="670"/>
        <v>0</v>
      </c>
      <c r="KJB1618" s="55">
        <f t="shared" si="670"/>
        <v>0</v>
      </c>
      <c r="KJC1618" s="55">
        <f t="shared" si="670"/>
        <v>0</v>
      </c>
      <c r="KJD1618" s="55">
        <f t="shared" si="670"/>
        <v>0</v>
      </c>
      <c r="KJE1618" s="55">
        <f t="shared" si="670"/>
        <v>0</v>
      </c>
      <c r="KJF1618" s="55">
        <f t="shared" si="670"/>
        <v>0</v>
      </c>
      <c r="KJG1618" s="55">
        <f t="shared" si="670"/>
        <v>0</v>
      </c>
      <c r="KJH1618" s="55">
        <f t="shared" si="670"/>
        <v>0</v>
      </c>
      <c r="KJI1618" s="55">
        <f t="shared" si="670"/>
        <v>0</v>
      </c>
      <c r="KJJ1618" s="55">
        <f t="shared" si="670"/>
        <v>0</v>
      </c>
      <c r="KJK1618" s="55">
        <f t="shared" si="670"/>
        <v>0</v>
      </c>
      <c r="KJL1618" s="55">
        <f t="shared" si="670"/>
        <v>0</v>
      </c>
      <c r="KJM1618" s="55">
        <f t="shared" si="670"/>
        <v>0</v>
      </c>
      <c r="KJN1618" s="55">
        <f t="shared" si="670"/>
        <v>0</v>
      </c>
      <c r="KJO1618" s="55">
        <f t="shared" si="670"/>
        <v>0</v>
      </c>
      <c r="KJP1618" s="55">
        <f t="shared" si="670"/>
        <v>0</v>
      </c>
      <c r="KJQ1618" s="55">
        <f t="shared" si="670"/>
        <v>0</v>
      </c>
      <c r="KJR1618" s="55">
        <f t="shared" si="670"/>
        <v>0</v>
      </c>
      <c r="KJS1618" s="55">
        <f t="shared" si="670"/>
        <v>0</v>
      </c>
      <c r="KJT1618" s="55">
        <f t="shared" si="670"/>
        <v>0</v>
      </c>
      <c r="KJU1618" s="55">
        <f t="shared" si="670"/>
        <v>0</v>
      </c>
      <c r="KJV1618" s="55">
        <f t="shared" si="670"/>
        <v>0</v>
      </c>
      <c r="KJW1618" s="55">
        <f t="shared" si="670"/>
        <v>0</v>
      </c>
      <c r="KJX1618" s="55">
        <f t="shared" si="670"/>
        <v>0</v>
      </c>
      <c r="KJY1618" s="55">
        <f t="shared" si="670"/>
        <v>0</v>
      </c>
      <c r="KJZ1618" s="55">
        <f t="shared" si="670"/>
        <v>0</v>
      </c>
      <c r="KKA1618" s="55">
        <f t="shared" si="670"/>
        <v>0</v>
      </c>
      <c r="KKB1618" s="55">
        <f t="shared" si="670"/>
        <v>0</v>
      </c>
      <c r="KKC1618" s="55">
        <f t="shared" si="670"/>
        <v>0</v>
      </c>
      <c r="KKD1618" s="55">
        <f t="shared" si="670"/>
        <v>0</v>
      </c>
      <c r="KKE1618" s="55">
        <f t="shared" si="670"/>
        <v>0</v>
      </c>
      <c r="KKF1618" s="55">
        <f t="shared" si="670"/>
        <v>0</v>
      </c>
      <c r="KKG1618" s="55">
        <f t="shared" si="670"/>
        <v>0</v>
      </c>
      <c r="KKH1618" s="55">
        <f t="shared" si="670"/>
        <v>0</v>
      </c>
      <c r="KKI1618" s="55">
        <f t="shared" si="670"/>
        <v>0</v>
      </c>
      <c r="KKJ1618" s="55">
        <f t="shared" si="670"/>
        <v>0</v>
      </c>
      <c r="KKK1618" s="55">
        <f t="shared" si="670"/>
        <v>0</v>
      </c>
      <c r="KKL1618" s="55">
        <f t="shared" si="670"/>
        <v>0</v>
      </c>
      <c r="KKM1618" s="55">
        <f t="shared" si="670"/>
        <v>0</v>
      </c>
      <c r="KKN1618" s="55">
        <f t="shared" si="670"/>
        <v>0</v>
      </c>
      <c r="KKO1618" s="55">
        <f t="shared" si="670"/>
        <v>0</v>
      </c>
      <c r="KKP1618" s="55">
        <f t="shared" si="670"/>
        <v>0</v>
      </c>
      <c r="KKQ1618" s="55">
        <f t="shared" si="670"/>
        <v>0</v>
      </c>
      <c r="KKR1618" s="55">
        <f t="shared" si="670"/>
        <v>0</v>
      </c>
      <c r="KKS1618" s="55">
        <f t="shared" si="670"/>
        <v>0</v>
      </c>
      <c r="KKT1618" s="55">
        <f t="shared" si="670"/>
        <v>0</v>
      </c>
      <c r="KKU1618" s="55">
        <f t="shared" si="670"/>
        <v>0</v>
      </c>
      <c r="KKV1618" s="55">
        <f t="shared" si="670"/>
        <v>0</v>
      </c>
      <c r="KKW1618" s="55">
        <f t="shared" si="670"/>
        <v>0</v>
      </c>
      <c r="KKX1618" s="55">
        <f t="shared" si="670"/>
        <v>0</v>
      </c>
      <c r="KKY1618" s="55">
        <f t="shared" si="670"/>
        <v>0</v>
      </c>
      <c r="KKZ1618" s="55">
        <f t="shared" si="670"/>
        <v>0</v>
      </c>
      <c r="KLA1618" s="55">
        <f t="shared" si="670"/>
        <v>0</v>
      </c>
      <c r="KLB1618" s="55">
        <f t="shared" si="670"/>
        <v>0</v>
      </c>
      <c r="KLC1618" s="55">
        <f t="shared" si="670"/>
        <v>0</v>
      </c>
      <c r="KLD1618" s="55">
        <f t="shared" si="670"/>
        <v>0</v>
      </c>
      <c r="KLE1618" s="55">
        <f t="shared" si="670"/>
        <v>0</v>
      </c>
      <c r="KLF1618" s="55">
        <f t="shared" si="670"/>
        <v>0</v>
      </c>
      <c r="KLG1618" s="55">
        <f t="shared" si="670"/>
        <v>0</v>
      </c>
      <c r="KLH1618" s="55">
        <f t="shared" ref="KLH1618:KNS1618" si="671">+(KLH1627+KLH1608)*1.18*1.1</f>
        <v>0</v>
      </c>
      <c r="KLI1618" s="55">
        <f t="shared" si="671"/>
        <v>0</v>
      </c>
      <c r="KLJ1618" s="55">
        <f t="shared" si="671"/>
        <v>0</v>
      </c>
      <c r="KLK1618" s="55">
        <f t="shared" si="671"/>
        <v>0</v>
      </c>
      <c r="KLL1618" s="55">
        <f t="shared" si="671"/>
        <v>0</v>
      </c>
      <c r="KLM1618" s="55">
        <f t="shared" si="671"/>
        <v>0</v>
      </c>
      <c r="KLN1618" s="55">
        <f t="shared" si="671"/>
        <v>0</v>
      </c>
      <c r="KLO1618" s="55">
        <f t="shared" si="671"/>
        <v>0</v>
      </c>
      <c r="KLP1618" s="55">
        <f t="shared" si="671"/>
        <v>0</v>
      </c>
      <c r="KLQ1618" s="55">
        <f t="shared" si="671"/>
        <v>0</v>
      </c>
      <c r="KLR1618" s="55">
        <f t="shared" si="671"/>
        <v>0</v>
      </c>
      <c r="KLS1618" s="55">
        <f t="shared" si="671"/>
        <v>0</v>
      </c>
      <c r="KLT1618" s="55">
        <f t="shared" si="671"/>
        <v>0</v>
      </c>
      <c r="KLU1618" s="55">
        <f t="shared" si="671"/>
        <v>0</v>
      </c>
      <c r="KLV1618" s="55">
        <f t="shared" si="671"/>
        <v>0</v>
      </c>
      <c r="KLW1618" s="55">
        <f t="shared" si="671"/>
        <v>0</v>
      </c>
      <c r="KLX1618" s="55">
        <f t="shared" si="671"/>
        <v>0</v>
      </c>
      <c r="KLY1618" s="55">
        <f t="shared" si="671"/>
        <v>0</v>
      </c>
      <c r="KLZ1618" s="55">
        <f t="shared" si="671"/>
        <v>0</v>
      </c>
      <c r="KMA1618" s="55">
        <f t="shared" si="671"/>
        <v>0</v>
      </c>
      <c r="KMB1618" s="55">
        <f t="shared" si="671"/>
        <v>0</v>
      </c>
      <c r="KMC1618" s="55">
        <f t="shared" si="671"/>
        <v>0</v>
      </c>
      <c r="KMD1618" s="55">
        <f t="shared" si="671"/>
        <v>0</v>
      </c>
      <c r="KME1618" s="55">
        <f t="shared" si="671"/>
        <v>0</v>
      </c>
      <c r="KMF1618" s="55">
        <f t="shared" si="671"/>
        <v>0</v>
      </c>
      <c r="KMG1618" s="55">
        <f t="shared" si="671"/>
        <v>0</v>
      </c>
      <c r="KMH1618" s="55">
        <f t="shared" si="671"/>
        <v>0</v>
      </c>
      <c r="KMI1618" s="55">
        <f t="shared" si="671"/>
        <v>0</v>
      </c>
      <c r="KMJ1618" s="55">
        <f t="shared" si="671"/>
        <v>0</v>
      </c>
      <c r="KMK1618" s="55">
        <f t="shared" si="671"/>
        <v>0</v>
      </c>
      <c r="KML1618" s="55">
        <f t="shared" si="671"/>
        <v>0</v>
      </c>
      <c r="KMM1618" s="55">
        <f t="shared" si="671"/>
        <v>0</v>
      </c>
      <c r="KMN1618" s="55">
        <f t="shared" si="671"/>
        <v>0</v>
      </c>
      <c r="KMO1618" s="55">
        <f t="shared" si="671"/>
        <v>0</v>
      </c>
      <c r="KMP1618" s="55">
        <f t="shared" si="671"/>
        <v>0</v>
      </c>
      <c r="KMQ1618" s="55">
        <f t="shared" si="671"/>
        <v>0</v>
      </c>
      <c r="KMR1618" s="55">
        <f t="shared" si="671"/>
        <v>0</v>
      </c>
      <c r="KMS1618" s="55">
        <f t="shared" si="671"/>
        <v>0</v>
      </c>
      <c r="KMT1618" s="55">
        <f t="shared" si="671"/>
        <v>0</v>
      </c>
      <c r="KMU1618" s="55">
        <f t="shared" si="671"/>
        <v>0</v>
      </c>
      <c r="KMV1618" s="55">
        <f t="shared" si="671"/>
        <v>0</v>
      </c>
      <c r="KMW1618" s="55">
        <f t="shared" si="671"/>
        <v>0</v>
      </c>
      <c r="KMX1618" s="55">
        <f t="shared" si="671"/>
        <v>0</v>
      </c>
      <c r="KMY1618" s="55">
        <f t="shared" si="671"/>
        <v>0</v>
      </c>
      <c r="KMZ1618" s="55">
        <f t="shared" si="671"/>
        <v>0</v>
      </c>
      <c r="KNA1618" s="55">
        <f t="shared" si="671"/>
        <v>0</v>
      </c>
      <c r="KNB1618" s="55">
        <f t="shared" si="671"/>
        <v>0</v>
      </c>
      <c r="KNC1618" s="55">
        <f t="shared" si="671"/>
        <v>0</v>
      </c>
      <c r="KND1618" s="55">
        <f t="shared" si="671"/>
        <v>0</v>
      </c>
      <c r="KNE1618" s="55">
        <f t="shared" si="671"/>
        <v>0</v>
      </c>
      <c r="KNF1618" s="55">
        <f t="shared" si="671"/>
        <v>0</v>
      </c>
      <c r="KNG1618" s="55">
        <f t="shared" si="671"/>
        <v>0</v>
      </c>
      <c r="KNH1618" s="55">
        <f t="shared" si="671"/>
        <v>0</v>
      </c>
      <c r="KNI1618" s="55">
        <f t="shared" si="671"/>
        <v>0</v>
      </c>
      <c r="KNJ1618" s="55">
        <f t="shared" si="671"/>
        <v>0</v>
      </c>
      <c r="KNK1618" s="55">
        <f t="shared" si="671"/>
        <v>0</v>
      </c>
      <c r="KNL1618" s="55">
        <f t="shared" si="671"/>
        <v>0</v>
      </c>
      <c r="KNM1618" s="55">
        <f t="shared" si="671"/>
        <v>0</v>
      </c>
      <c r="KNN1618" s="55">
        <f t="shared" si="671"/>
        <v>0</v>
      </c>
      <c r="KNO1618" s="55">
        <f t="shared" si="671"/>
        <v>0</v>
      </c>
      <c r="KNP1618" s="55">
        <f t="shared" si="671"/>
        <v>0</v>
      </c>
      <c r="KNQ1618" s="55">
        <f t="shared" si="671"/>
        <v>0</v>
      </c>
      <c r="KNR1618" s="55">
        <f t="shared" si="671"/>
        <v>0</v>
      </c>
      <c r="KNS1618" s="55">
        <f t="shared" si="671"/>
        <v>0</v>
      </c>
      <c r="KNT1618" s="55">
        <f t="shared" ref="KNT1618:KQE1618" si="672">+(KNT1627+KNT1608)*1.18*1.1</f>
        <v>0</v>
      </c>
      <c r="KNU1618" s="55">
        <f t="shared" si="672"/>
        <v>0</v>
      </c>
      <c r="KNV1618" s="55">
        <f t="shared" si="672"/>
        <v>0</v>
      </c>
      <c r="KNW1618" s="55">
        <f t="shared" si="672"/>
        <v>0</v>
      </c>
      <c r="KNX1618" s="55">
        <f t="shared" si="672"/>
        <v>0</v>
      </c>
      <c r="KNY1618" s="55">
        <f t="shared" si="672"/>
        <v>0</v>
      </c>
      <c r="KNZ1618" s="55">
        <f t="shared" si="672"/>
        <v>0</v>
      </c>
      <c r="KOA1618" s="55">
        <f t="shared" si="672"/>
        <v>0</v>
      </c>
      <c r="KOB1618" s="55">
        <f t="shared" si="672"/>
        <v>0</v>
      </c>
      <c r="KOC1618" s="55">
        <f t="shared" si="672"/>
        <v>0</v>
      </c>
      <c r="KOD1618" s="55">
        <f t="shared" si="672"/>
        <v>0</v>
      </c>
      <c r="KOE1618" s="55">
        <f t="shared" si="672"/>
        <v>0</v>
      </c>
      <c r="KOF1618" s="55">
        <f t="shared" si="672"/>
        <v>0</v>
      </c>
      <c r="KOG1618" s="55">
        <f t="shared" si="672"/>
        <v>0</v>
      </c>
      <c r="KOH1618" s="55">
        <f t="shared" si="672"/>
        <v>0</v>
      </c>
      <c r="KOI1618" s="55">
        <f t="shared" si="672"/>
        <v>0</v>
      </c>
      <c r="KOJ1618" s="55">
        <f t="shared" si="672"/>
        <v>0</v>
      </c>
      <c r="KOK1618" s="55">
        <f t="shared" si="672"/>
        <v>0</v>
      </c>
      <c r="KOL1618" s="55">
        <f t="shared" si="672"/>
        <v>0</v>
      </c>
      <c r="KOM1618" s="55">
        <f t="shared" si="672"/>
        <v>0</v>
      </c>
      <c r="KON1618" s="55">
        <f t="shared" si="672"/>
        <v>0</v>
      </c>
      <c r="KOO1618" s="55">
        <f t="shared" si="672"/>
        <v>0</v>
      </c>
      <c r="KOP1618" s="55">
        <f t="shared" si="672"/>
        <v>0</v>
      </c>
      <c r="KOQ1618" s="55">
        <f t="shared" si="672"/>
        <v>0</v>
      </c>
      <c r="KOR1618" s="55">
        <f t="shared" si="672"/>
        <v>0</v>
      </c>
      <c r="KOS1618" s="55">
        <f t="shared" si="672"/>
        <v>0</v>
      </c>
      <c r="KOT1618" s="55">
        <f t="shared" si="672"/>
        <v>0</v>
      </c>
      <c r="KOU1618" s="55">
        <f t="shared" si="672"/>
        <v>0</v>
      </c>
      <c r="KOV1618" s="55">
        <f t="shared" si="672"/>
        <v>0</v>
      </c>
      <c r="KOW1618" s="55">
        <f t="shared" si="672"/>
        <v>0</v>
      </c>
      <c r="KOX1618" s="55">
        <f t="shared" si="672"/>
        <v>0</v>
      </c>
      <c r="KOY1618" s="55">
        <f t="shared" si="672"/>
        <v>0</v>
      </c>
      <c r="KOZ1618" s="55">
        <f t="shared" si="672"/>
        <v>0</v>
      </c>
      <c r="KPA1618" s="55">
        <f t="shared" si="672"/>
        <v>0</v>
      </c>
      <c r="KPB1618" s="55">
        <f t="shared" si="672"/>
        <v>0</v>
      </c>
      <c r="KPC1618" s="55">
        <f t="shared" si="672"/>
        <v>0</v>
      </c>
      <c r="KPD1618" s="55">
        <f t="shared" si="672"/>
        <v>0</v>
      </c>
      <c r="KPE1618" s="55">
        <f t="shared" si="672"/>
        <v>0</v>
      </c>
      <c r="KPF1618" s="55">
        <f t="shared" si="672"/>
        <v>0</v>
      </c>
      <c r="KPG1618" s="55">
        <f t="shared" si="672"/>
        <v>0</v>
      </c>
      <c r="KPH1618" s="55">
        <f t="shared" si="672"/>
        <v>0</v>
      </c>
      <c r="KPI1618" s="55">
        <f t="shared" si="672"/>
        <v>0</v>
      </c>
      <c r="KPJ1618" s="55">
        <f t="shared" si="672"/>
        <v>0</v>
      </c>
      <c r="KPK1618" s="55">
        <f t="shared" si="672"/>
        <v>0</v>
      </c>
      <c r="KPL1618" s="55">
        <f t="shared" si="672"/>
        <v>0</v>
      </c>
      <c r="KPM1618" s="55">
        <f t="shared" si="672"/>
        <v>0</v>
      </c>
      <c r="KPN1618" s="55">
        <f t="shared" si="672"/>
        <v>0</v>
      </c>
      <c r="KPO1618" s="55">
        <f t="shared" si="672"/>
        <v>0</v>
      </c>
      <c r="KPP1618" s="55">
        <f t="shared" si="672"/>
        <v>0</v>
      </c>
      <c r="KPQ1618" s="55">
        <f t="shared" si="672"/>
        <v>0</v>
      </c>
      <c r="KPR1618" s="55">
        <f t="shared" si="672"/>
        <v>0</v>
      </c>
      <c r="KPS1618" s="55">
        <f t="shared" si="672"/>
        <v>0</v>
      </c>
      <c r="KPT1618" s="55">
        <f t="shared" si="672"/>
        <v>0</v>
      </c>
      <c r="KPU1618" s="55">
        <f t="shared" si="672"/>
        <v>0</v>
      </c>
      <c r="KPV1618" s="55">
        <f t="shared" si="672"/>
        <v>0</v>
      </c>
      <c r="KPW1618" s="55">
        <f t="shared" si="672"/>
        <v>0</v>
      </c>
      <c r="KPX1618" s="55">
        <f t="shared" si="672"/>
        <v>0</v>
      </c>
      <c r="KPY1618" s="55">
        <f t="shared" si="672"/>
        <v>0</v>
      </c>
      <c r="KPZ1618" s="55">
        <f t="shared" si="672"/>
        <v>0</v>
      </c>
      <c r="KQA1618" s="55">
        <f t="shared" si="672"/>
        <v>0</v>
      </c>
      <c r="KQB1618" s="55">
        <f t="shared" si="672"/>
        <v>0</v>
      </c>
      <c r="KQC1618" s="55">
        <f t="shared" si="672"/>
        <v>0</v>
      </c>
      <c r="KQD1618" s="55">
        <f t="shared" si="672"/>
        <v>0</v>
      </c>
      <c r="KQE1618" s="55">
        <f t="shared" si="672"/>
        <v>0</v>
      </c>
      <c r="KQF1618" s="55">
        <f t="shared" ref="KQF1618:KSQ1618" si="673">+(KQF1627+KQF1608)*1.18*1.1</f>
        <v>0</v>
      </c>
      <c r="KQG1618" s="55">
        <f t="shared" si="673"/>
        <v>0</v>
      </c>
      <c r="KQH1618" s="55">
        <f t="shared" si="673"/>
        <v>0</v>
      </c>
      <c r="KQI1618" s="55">
        <f t="shared" si="673"/>
        <v>0</v>
      </c>
      <c r="KQJ1618" s="55">
        <f t="shared" si="673"/>
        <v>0</v>
      </c>
      <c r="KQK1618" s="55">
        <f t="shared" si="673"/>
        <v>0</v>
      </c>
      <c r="KQL1618" s="55">
        <f t="shared" si="673"/>
        <v>0</v>
      </c>
      <c r="KQM1618" s="55">
        <f t="shared" si="673"/>
        <v>0</v>
      </c>
      <c r="KQN1618" s="55">
        <f t="shared" si="673"/>
        <v>0</v>
      </c>
      <c r="KQO1618" s="55">
        <f t="shared" si="673"/>
        <v>0</v>
      </c>
      <c r="KQP1618" s="55">
        <f t="shared" si="673"/>
        <v>0</v>
      </c>
      <c r="KQQ1618" s="55">
        <f t="shared" si="673"/>
        <v>0</v>
      </c>
      <c r="KQR1618" s="55">
        <f t="shared" si="673"/>
        <v>0</v>
      </c>
      <c r="KQS1618" s="55">
        <f t="shared" si="673"/>
        <v>0</v>
      </c>
      <c r="KQT1618" s="55">
        <f t="shared" si="673"/>
        <v>0</v>
      </c>
      <c r="KQU1618" s="55">
        <f t="shared" si="673"/>
        <v>0</v>
      </c>
      <c r="KQV1618" s="55">
        <f t="shared" si="673"/>
        <v>0</v>
      </c>
      <c r="KQW1618" s="55">
        <f t="shared" si="673"/>
        <v>0</v>
      </c>
      <c r="KQX1618" s="55">
        <f t="shared" si="673"/>
        <v>0</v>
      </c>
      <c r="KQY1618" s="55">
        <f t="shared" si="673"/>
        <v>0</v>
      </c>
      <c r="KQZ1618" s="55">
        <f t="shared" si="673"/>
        <v>0</v>
      </c>
      <c r="KRA1618" s="55">
        <f t="shared" si="673"/>
        <v>0</v>
      </c>
      <c r="KRB1618" s="55">
        <f t="shared" si="673"/>
        <v>0</v>
      </c>
      <c r="KRC1618" s="55">
        <f t="shared" si="673"/>
        <v>0</v>
      </c>
      <c r="KRD1618" s="55">
        <f t="shared" si="673"/>
        <v>0</v>
      </c>
      <c r="KRE1618" s="55">
        <f t="shared" si="673"/>
        <v>0</v>
      </c>
      <c r="KRF1618" s="55">
        <f t="shared" si="673"/>
        <v>0</v>
      </c>
      <c r="KRG1618" s="55">
        <f t="shared" si="673"/>
        <v>0</v>
      </c>
      <c r="KRH1618" s="55">
        <f t="shared" si="673"/>
        <v>0</v>
      </c>
      <c r="KRI1618" s="55">
        <f t="shared" si="673"/>
        <v>0</v>
      </c>
      <c r="KRJ1618" s="55">
        <f t="shared" si="673"/>
        <v>0</v>
      </c>
      <c r="KRK1618" s="55">
        <f t="shared" si="673"/>
        <v>0</v>
      </c>
      <c r="KRL1618" s="55">
        <f t="shared" si="673"/>
        <v>0</v>
      </c>
      <c r="KRM1618" s="55">
        <f t="shared" si="673"/>
        <v>0</v>
      </c>
      <c r="KRN1618" s="55">
        <f t="shared" si="673"/>
        <v>0</v>
      </c>
      <c r="KRO1618" s="55">
        <f t="shared" si="673"/>
        <v>0</v>
      </c>
      <c r="KRP1618" s="55">
        <f t="shared" si="673"/>
        <v>0</v>
      </c>
      <c r="KRQ1618" s="55">
        <f t="shared" si="673"/>
        <v>0</v>
      </c>
      <c r="KRR1618" s="55">
        <f t="shared" si="673"/>
        <v>0</v>
      </c>
      <c r="KRS1618" s="55">
        <f t="shared" si="673"/>
        <v>0</v>
      </c>
      <c r="KRT1618" s="55">
        <f t="shared" si="673"/>
        <v>0</v>
      </c>
      <c r="KRU1618" s="55">
        <f t="shared" si="673"/>
        <v>0</v>
      </c>
      <c r="KRV1618" s="55">
        <f t="shared" si="673"/>
        <v>0</v>
      </c>
      <c r="KRW1618" s="55">
        <f t="shared" si="673"/>
        <v>0</v>
      </c>
      <c r="KRX1618" s="55">
        <f t="shared" si="673"/>
        <v>0</v>
      </c>
      <c r="KRY1618" s="55">
        <f t="shared" si="673"/>
        <v>0</v>
      </c>
      <c r="KRZ1618" s="55">
        <f t="shared" si="673"/>
        <v>0</v>
      </c>
      <c r="KSA1618" s="55">
        <f t="shared" si="673"/>
        <v>0</v>
      </c>
      <c r="KSB1618" s="55">
        <f t="shared" si="673"/>
        <v>0</v>
      </c>
      <c r="KSC1618" s="55">
        <f t="shared" si="673"/>
        <v>0</v>
      </c>
      <c r="KSD1618" s="55">
        <f t="shared" si="673"/>
        <v>0</v>
      </c>
      <c r="KSE1618" s="55">
        <f t="shared" si="673"/>
        <v>0</v>
      </c>
      <c r="KSF1618" s="55">
        <f t="shared" si="673"/>
        <v>0</v>
      </c>
      <c r="KSG1618" s="55">
        <f t="shared" si="673"/>
        <v>0</v>
      </c>
      <c r="KSH1618" s="55">
        <f t="shared" si="673"/>
        <v>0</v>
      </c>
      <c r="KSI1618" s="55">
        <f t="shared" si="673"/>
        <v>0</v>
      </c>
      <c r="KSJ1618" s="55">
        <f t="shared" si="673"/>
        <v>0</v>
      </c>
      <c r="KSK1618" s="55">
        <f t="shared" si="673"/>
        <v>0</v>
      </c>
      <c r="KSL1618" s="55">
        <f t="shared" si="673"/>
        <v>0</v>
      </c>
      <c r="KSM1618" s="55">
        <f t="shared" si="673"/>
        <v>0</v>
      </c>
      <c r="KSN1618" s="55">
        <f t="shared" si="673"/>
        <v>0</v>
      </c>
      <c r="KSO1618" s="55">
        <f t="shared" si="673"/>
        <v>0</v>
      </c>
      <c r="KSP1618" s="55">
        <f t="shared" si="673"/>
        <v>0</v>
      </c>
      <c r="KSQ1618" s="55">
        <f t="shared" si="673"/>
        <v>0</v>
      </c>
      <c r="KSR1618" s="55">
        <f t="shared" ref="KSR1618:KVC1618" si="674">+(KSR1627+KSR1608)*1.18*1.1</f>
        <v>0</v>
      </c>
      <c r="KSS1618" s="55">
        <f t="shared" si="674"/>
        <v>0</v>
      </c>
      <c r="KST1618" s="55">
        <f t="shared" si="674"/>
        <v>0</v>
      </c>
      <c r="KSU1618" s="55">
        <f t="shared" si="674"/>
        <v>0</v>
      </c>
      <c r="KSV1618" s="55">
        <f t="shared" si="674"/>
        <v>0</v>
      </c>
      <c r="KSW1618" s="55">
        <f t="shared" si="674"/>
        <v>0</v>
      </c>
      <c r="KSX1618" s="55">
        <f t="shared" si="674"/>
        <v>0</v>
      </c>
      <c r="KSY1618" s="55">
        <f t="shared" si="674"/>
        <v>0</v>
      </c>
      <c r="KSZ1618" s="55">
        <f t="shared" si="674"/>
        <v>0</v>
      </c>
      <c r="KTA1618" s="55">
        <f t="shared" si="674"/>
        <v>0</v>
      </c>
      <c r="KTB1618" s="55">
        <f t="shared" si="674"/>
        <v>0</v>
      </c>
      <c r="KTC1618" s="55">
        <f t="shared" si="674"/>
        <v>0</v>
      </c>
      <c r="KTD1618" s="55">
        <f t="shared" si="674"/>
        <v>0</v>
      </c>
      <c r="KTE1618" s="55">
        <f t="shared" si="674"/>
        <v>0</v>
      </c>
      <c r="KTF1618" s="55">
        <f t="shared" si="674"/>
        <v>0</v>
      </c>
      <c r="KTG1618" s="55">
        <f t="shared" si="674"/>
        <v>0</v>
      </c>
      <c r="KTH1618" s="55">
        <f t="shared" si="674"/>
        <v>0</v>
      </c>
      <c r="KTI1618" s="55">
        <f t="shared" si="674"/>
        <v>0</v>
      </c>
      <c r="KTJ1618" s="55">
        <f t="shared" si="674"/>
        <v>0</v>
      </c>
      <c r="KTK1618" s="55">
        <f t="shared" si="674"/>
        <v>0</v>
      </c>
      <c r="KTL1618" s="55">
        <f t="shared" si="674"/>
        <v>0</v>
      </c>
      <c r="KTM1618" s="55">
        <f t="shared" si="674"/>
        <v>0</v>
      </c>
      <c r="KTN1618" s="55">
        <f t="shared" si="674"/>
        <v>0</v>
      </c>
      <c r="KTO1618" s="55">
        <f t="shared" si="674"/>
        <v>0</v>
      </c>
      <c r="KTP1618" s="55">
        <f t="shared" si="674"/>
        <v>0</v>
      </c>
      <c r="KTQ1618" s="55">
        <f t="shared" si="674"/>
        <v>0</v>
      </c>
      <c r="KTR1618" s="55">
        <f t="shared" si="674"/>
        <v>0</v>
      </c>
      <c r="KTS1618" s="55">
        <f t="shared" si="674"/>
        <v>0</v>
      </c>
      <c r="KTT1618" s="55">
        <f t="shared" si="674"/>
        <v>0</v>
      </c>
      <c r="KTU1618" s="55">
        <f t="shared" si="674"/>
        <v>0</v>
      </c>
      <c r="KTV1618" s="55">
        <f t="shared" si="674"/>
        <v>0</v>
      </c>
      <c r="KTW1618" s="55">
        <f t="shared" si="674"/>
        <v>0</v>
      </c>
      <c r="KTX1618" s="55">
        <f t="shared" si="674"/>
        <v>0</v>
      </c>
      <c r="KTY1618" s="55">
        <f t="shared" si="674"/>
        <v>0</v>
      </c>
      <c r="KTZ1618" s="55">
        <f t="shared" si="674"/>
        <v>0</v>
      </c>
      <c r="KUA1618" s="55">
        <f t="shared" si="674"/>
        <v>0</v>
      </c>
      <c r="KUB1618" s="55">
        <f t="shared" si="674"/>
        <v>0</v>
      </c>
      <c r="KUC1618" s="55">
        <f t="shared" si="674"/>
        <v>0</v>
      </c>
      <c r="KUD1618" s="55">
        <f t="shared" si="674"/>
        <v>0</v>
      </c>
      <c r="KUE1618" s="55">
        <f t="shared" si="674"/>
        <v>0</v>
      </c>
      <c r="KUF1618" s="55">
        <f t="shared" si="674"/>
        <v>0</v>
      </c>
      <c r="KUG1618" s="55">
        <f t="shared" si="674"/>
        <v>0</v>
      </c>
      <c r="KUH1618" s="55">
        <f t="shared" si="674"/>
        <v>0</v>
      </c>
      <c r="KUI1618" s="55">
        <f t="shared" si="674"/>
        <v>0</v>
      </c>
      <c r="KUJ1618" s="55">
        <f t="shared" si="674"/>
        <v>0</v>
      </c>
      <c r="KUK1618" s="55">
        <f t="shared" si="674"/>
        <v>0</v>
      </c>
      <c r="KUL1618" s="55">
        <f t="shared" si="674"/>
        <v>0</v>
      </c>
      <c r="KUM1618" s="55">
        <f t="shared" si="674"/>
        <v>0</v>
      </c>
      <c r="KUN1618" s="55">
        <f t="shared" si="674"/>
        <v>0</v>
      </c>
      <c r="KUO1618" s="55">
        <f t="shared" si="674"/>
        <v>0</v>
      </c>
      <c r="KUP1618" s="55">
        <f t="shared" si="674"/>
        <v>0</v>
      </c>
      <c r="KUQ1618" s="55">
        <f t="shared" si="674"/>
        <v>0</v>
      </c>
      <c r="KUR1618" s="55">
        <f t="shared" si="674"/>
        <v>0</v>
      </c>
      <c r="KUS1618" s="55">
        <f t="shared" si="674"/>
        <v>0</v>
      </c>
      <c r="KUT1618" s="55">
        <f t="shared" si="674"/>
        <v>0</v>
      </c>
      <c r="KUU1618" s="55">
        <f t="shared" si="674"/>
        <v>0</v>
      </c>
      <c r="KUV1618" s="55">
        <f t="shared" si="674"/>
        <v>0</v>
      </c>
      <c r="KUW1618" s="55">
        <f t="shared" si="674"/>
        <v>0</v>
      </c>
      <c r="KUX1618" s="55">
        <f t="shared" si="674"/>
        <v>0</v>
      </c>
      <c r="KUY1618" s="55">
        <f t="shared" si="674"/>
        <v>0</v>
      </c>
      <c r="KUZ1618" s="55">
        <f t="shared" si="674"/>
        <v>0</v>
      </c>
      <c r="KVA1618" s="55">
        <f t="shared" si="674"/>
        <v>0</v>
      </c>
      <c r="KVB1618" s="55">
        <f t="shared" si="674"/>
        <v>0</v>
      </c>
      <c r="KVC1618" s="55">
        <f t="shared" si="674"/>
        <v>0</v>
      </c>
      <c r="KVD1618" s="55">
        <f t="shared" ref="KVD1618:KXO1618" si="675">+(KVD1627+KVD1608)*1.18*1.1</f>
        <v>0</v>
      </c>
      <c r="KVE1618" s="55">
        <f t="shared" si="675"/>
        <v>0</v>
      </c>
      <c r="KVF1618" s="55">
        <f t="shared" si="675"/>
        <v>0</v>
      </c>
      <c r="KVG1618" s="55">
        <f t="shared" si="675"/>
        <v>0</v>
      </c>
      <c r="KVH1618" s="55">
        <f t="shared" si="675"/>
        <v>0</v>
      </c>
      <c r="KVI1618" s="55">
        <f t="shared" si="675"/>
        <v>0</v>
      </c>
      <c r="KVJ1618" s="55">
        <f t="shared" si="675"/>
        <v>0</v>
      </c>
      <c r="KVK1618" s="55">
        <f t="shared" si="675"/>
        <v>0</v>
      </c>
      <c r="KVL1618" s="55">
        <f t="shared" si="675"/>
        <v>0</v>
      </c>
      <c r="KVM1618" s="55">
        <f t="shared" si="675"/>
        <v>0</v>
      </c>
      <c r="KVN1618" s="55">
        <f t="shared" si="675"/>
        <v>0</v>
      </c>
      <c r="KVO1618" s="55">
        <f t="shared" si="675"/>
        <v>0</v>
      </c>
      <c r="KVP1618" s="55">
        <f t="shared" si="675"/>
        <v>0</v>
      </c>
      <c r="KVQ1618" s="55">
        <f t="shared" si="675"/>
        <v>0</v>
      </c>
      <c r="KVR1618" s="55">
        <f t="shared" si="675"/>
        <v>0</v>
      </c>
      <c r="KVS1618" s="55">
        <f t="shared" si="675"/>
        <v>0</v>
      </c>
      <c r="KVT1618" s="55">
        <f t="shared" si="675"/>
        <v>0</v>
      </c>
      <c r="KVU1618" s="55">
        <f t="shared" si="675"/>
        <v>0</v>
      </c>
      <c r="KVV1618" s="55">
        <f t="shared" si="675"/>
        <v>0</v>
      </c>
      <c r="KVW1618" s="55">
        <f t="shared" si="675"/>
        <v>0</v>
      </c>
      <c r="KVX1618" s="55">
        <f t="shared" si="675"/>
        <v>0</v>
      </c>
      <c r="KVY1618" s="55">
        <f t="shared" si="675"/>
        <v>0</v>
      </c>
      <c r="KVZ1618" s="55">
        <f t="shared" si="675"/>
        <v>0</v>
      </c>
      <c r="KWA1618" s="55">
        <f t="shared" si="675"/>
        <v>0</v>
      </c>
      <c r="KWB1618" s="55">
        <f t="shared" si="675"/>
        <v>0</v>
      </c>
      <c r="KWC1618" s="55">
        <f t="shared" si="675"/>
        <v>0</v>
      </c>
      <c r="KWD1618" s="55">
        <f t="shared" si="675"/>
        <v>0</v>
      </c>
      <c r="KWE1618" s="55">
        <f t="shared" si="675"/>
        <v>0</v>
      </c>
      <c r="KWF1618" s="55">
        <f t="shared" si="675"/>
        <v>0</v>
      </c>
      <c r="KWG1618" s="55">
        <f t="shared" si="675"/>
        <v>0</v>
      </c>
      <c r="KWH1618" s="55">
        <f t="shared" si="675"/>
        <v>0</v>
      </c>
      <c r="KWI1618" s="55">
        <f t="shared" si="675"/>
        <v>0</v>
      </c>
      <c r="KWJ1618" s="55">
        <f t="shared" si="675"/>
        <v>0</v>
      </c>
      <c r="KWK1618" s="55">
        <f t="shared" si="675"/>
        <v>0</v>
      </c>
      <c r="KWL1618" s="55">
        <f t="shared" si="675"/>
        <v>0</v>
      </c>
      <c r="KWM1618" s="55">
        <f t="shared" si="675"/>
        <v>0</v>
      </c>
      <c r="KWN1618" s="55">
        <f t="shared" si="675"/>
        <v>0</v>
      </c>
      <c r="KWO1618" s="55">
        <f t="shared" si="675"/>
        <v>0</v>
      </c>
      <c r="KWP1618" s="55">
        <f t="shared" si="675"/>
        <v>0</v>
      </c>
      <c r="KWQ1618" s="55">
        <f t="shared" si="675"/>
        <v>0</v>
      </c>
      <c r="KWR1618" s="55">
        <f t="shared" si="675"/>
        <v>0</v>
      </c>
      <c r="KWS1618" s="55">
        <f t="shared" si="675"/>
        <v>0</v>
      </c>
      <c r="KWT1618" s="55">
        <f t="shared" si="675"/>
        <v>0</v>
      </c>
      <c r="KWU1618" s="55">
        <f t="shared" si="675"/>
        <v>0</v>
      </c>
      <c r="KWV1618" s="55">
        <f t="shared" si="675"/>
        <v>0</v>
      </c>
      <c r="KWW1618" s="55">
        <f t="shared" si="675"/>
        <v>0</v>
      </c>
      <c r="KWX1618" s="55">
        <f t="shared" si="675"/>
        <v>0</v>
      </c>
      <c r="KWY1618" s="55">
        <f t="shared" si="675"/>
        <v>0</v>
      </c>
      <c r="KWZ1618" s="55">
        <f t="shared" si="675"/>
        <v>0</v>
      </c>
      <c r="KXA1618" s="55">
        <f t="shared" si="675"/>
        <v>0</v>
      </c>
      <c r="KXB1618" s="55">
        <f t="shared" si="675"/>
        <v>0</v>
      </c>
      <c r="KXC1618" s="55">
        <f t="shared" si="675"/>
        <v>0</v>
      </c>
      <c r="KXD1618" s="55">
        <f t="shared" si="675"/>
        <v>0</v>
      </c>
      <c r="KXE1618" s="55">
        <f t="shared" si="675"/>
        <v>0</v>
      </c>
      <c r="KXF1618" s="55">
        <f t="shared" si="675"/>
        <v>0</v>
      </c>
      <c r="KXG1618" s="55">
        <f t="shared" si="675"/>
        <v>0</v>
      </c>
      <c r="KXH1618" s="55">
        <f t="shared" si="675"/>
        <v>0</v>
      </c>
      <c r="KXI1618" s="55">
        <f t="shared" si="675"/>
        <v>0</v>
      </c>
      <c r="KXJ1618" s="55">
        <f t="shared" si="675"/>
        <v>0</v>
      </c>
      <c r="KXK1618" s="55">
        <f t="shared" si="675"/>
        <v>0</v>
      </c>
      <c r="KXL1618" s="55">
        <f t="shared" si="675"/>
        <v>0</v>
      </c>
      <c r="KXM1618" s="55">
        <f t="shared" si="675"/>
        <v>0</v>
      </c>
      <c r="KXN1618" s="55">
        <f t="shared" si="675"/>
        <v>0</v>
      </c>
      <c r="KXO1618" s="55">
        <f t="shared" si="675"/>
        <v>0</v>
      </c>
      <c r="KXP1618" s="55">
        <f t="shared" ref="KXP1618:LAA1618" si="676">+(KXP1627+KXP1608)*1.18*1.1</f>
        <v>0</v>
      </c>
      <c r="KXQ1618" s="55">
        <f t="shared" si="676"/>
        <v>0</v>
      </c>
      <c r="KXR1618" s="55">
        <f t="shared" si="676"/>
        <v>0</v>
      </c>
      <c r="KXS1618" s="55">
        <f t="shared" si="676"/>
        <v>0</v>
      </c>
      <c r="KXT1618" s="55">
        <f t="shared" si="676"/>
        <v>0</v>
      </c>
      <c r="KXU1618" s="55">
        <f t="shared" si="676"/>
        <v>0</v>
      </c>
      <c r="KXV1618" s="55">
        <f t="shared" si="676"/>
        <v>0</v>
      </c>
      <c r="KXW1618" s="55">
        <f t="shared" si="676"/>
        <v>0</v>
      </c>
      <c r="KXX1618" s="55">
        <f t="shared" si="676"/>
        <v>0</v>
      </c>
      <c r="KXY1618" s="55">
        <f t="shared" si="676"/>
        <v>0</v>
      </c>
      <c r="KXZ1618" s="55">
        <f t="shared" si="676"/>
        <v>0</v>
      </c>
      <c r="KYA1618" s="55">
        <f t="shared" si="676"/>
        <v>0</v>
      </c>
      <c r="KYB1618" s="55">
        <f t="shared" si="676"/>
        <v>0</v>
      </c>
      <c r="KYC1618" s="55">
        <f t="shared" si="676"/>
        <v>0</v>
      </c>
      <c r="KYD1618" s="55">
        <f t="shared" si="676"/>
        <v>0</v>
      </c>
      <c r="KYE1618" s="55">
        <f t="shared" si="676"/>
        <v>0</v>
      </c>
      <c r="KYF1618" s="55">
        <f t="shared" si="676"/>
        <v>0</v>
      </c>
      <c r="KYG1618" s="55">
        <f t="shared" si="676"/>
        <v>0</v>
      </c>
      <c r="KYH1618" s="55">
        <f t="shared" si="676"/>
        <v>0</v>
      </c>
      <c r="KYI1618" s="55">
        <f t="shared" si="676"/>
        <v>0</v>
      </c>
      <c r="KYJ1618" s="55">
        <f t="shared" si="676"/>
        <v>0</v>
      </c>
      <c r="KYK1618" s="55">
        <f t="shared" si="676"/>
        <v>0</v>
      </c>
      <c r="KYL1618" s="55">
        <f t="shared" si="676"/>
        <v>0</v>
      </c>
      <c r="KYM1618" s="55">
        <f t="shared" si="676"/>
        <v>0</v>
      </c>
      <c r="KYN1618" s="55">
        <f t="shared" si="676"/>
        <v>0</v>
      </c>
      <c r="KYO1618" s="55">
        <f t="shared" si="676"/>
        <v>0</v>
      </c>
      <c r="KYP1618" s="55">
        <f t="shared" si="676"/>
        <v>0</v>
      </c>
      <c r="KYQ1618" s="55">
        <f t="shared" si="676"/>
        <v>0</v>
      </c>
      <c r="KYR1618" s="55">
        <f t="shared" si="676"/>
        <v>0</v>
      </c>
      <c r="KYS1618" s="55">
        <f t="shared" si="676"/>
        <v>0</v>
      </c>
      <c r="KYT1618" s="55">
        <f t="shared" si="676"/>
        <v>0</v>
      </c>
      <c r="KYU1618" s="55">
        <f t="shared" si="676"/>
        <v>0</v>
      </c>
      <c r="KYV1618" s="55">
        <f t="shared" si="676"/>
        <v>0</v>
      </c>
      <c r="KYW1618" s="55">
        <f t="shared" si="676"/>
        <v>0</v>
      </c>
      <c r="KYX1618" s="55">
        <f t="shared" si="676"/>
        <v>0</v>
      </c>
      <c r="KYY1618" s="55">
        <f t="shared" si="676"/>
        <v>0</v>
      </c>
      <c r="KYZ1618" s="55">
        <f t="shared" si="676"/>
        <v>0</v>
      </c>
      <c r="KZA1618" s="55">
        <f t="shared" si="676"/>
        <v>0</v>
      </c>
      <c r="KZB1618" s="55">
        <f t="shared" si="676"/>
        <v>0</v>
      </c>
      <c r="KZC1618" s="55">
        <f t="shared" si="676"/>
        <v>0</v>
      </c>
      <c r="KZD1618" s="55">
        <f t="shared" si="676"/>
        <v>0</v>
      </c>
      <c r="KZE1618" s="55">
        <f t="shared" si="676"/>
        <v>0</v>
      </c>
      <c r="KZF1618" s="55">
        <f t="shared" si="676"/>
        <v>0</v>
      </c>
      <c r="KZG1618" s="55">
        <f t="shared" si="676"/>
        <v>0</v>
      </c>
      <c r="KZH1618" s="55">
        <f t="shared" si="676"/>
        <v>0</v>
      </c>
      <c r="KZI1618" s="55">
        <f t="shared" si="676"/>
        <v>0</v>
      </c>
      <c r="KZJ1618" s="55">
        <f t="shared" si="676"/>
        <v>0</v>
      </c>
      <c r="KZK1618" s="55">
        <f t="shared" si="676"/>
        <v>0</v>
      </c>
      <c r="KZL1618" s="55">
        <f t="shared" si="676"/>
        <v>0</v>
      </c>
      <c r="KZM1618" s="55">
        <f t="shared" si="676"/>
        <v>0</v>
      </c>
      <c r="KZN1618" s="55">
        <f t="shared" si="676"/>
        <v>0</v>
      </c>
      <c r="KZO1618" s="55">
        <f t="shared" si="676"/>
        <v>0</v>
      </c>
      <c r="KZP1618" s="55">
        <f t="shared" si="676"/>
        <v>0</v>
      </c>
      <c r="KZQ1618" s="55">
        <f t="shared" si="676"/>
        <v>0</v>
      </c>
      <c r="KZR1618" s="55">
        <f t="shared" si="676"/>
        <v>0</v>
      </c>
      <c r="KZS1618" s="55">
        <f t="shared" si="676"/>
        <v>0</v>
      </c>
      <c r="KZT1618" s="55">
        <f t="shared" si="676"/>
        <v>0</v>
      </c>
      <c r="KZU1618" s="55">
        <f t="shared" si="676"/>
        <v>0</v>
      </c>
      <c r="KZV1618" s="55">
        <f t="shared" si="676"/>
        <v>0</v>
      </c>
      <c r="KZW1618" s="55">
        <f t="shared" si="676"/>
        <v>0</v>
      </c>
      <c r="KZX1618" s="55">
        <f t="shared" si="676"/>
        <v>0</v>
      </c>
      <c r="KZY1618" s="55">
        <f t="shared" si="676"/>
        <v>0</v>
      </c>
      <c r="KZZ1618" s="55">
        <f t="shared" si="676"/>
        <v>0</v>
      </c>
      <c r="LAA1618" s="55">
        <f t="shared" si="676"/>
        <v>0</v>
      </c>
      <c r="LAB1618" s="55">
        <f t="shared" ref="LAB1618:LCM1618" si="677">+(LAB1627+LAB1608)*1.18*1.1</f>
        <v>0</v>
      </c>
      <c r="LAC1618" s="55">
        <f t="shared" si="677"/>
        <v>0</v>
      </c>
      <c r="LAD1618" s="55">
        <f t="shared" si="677"/>
        <v>0</v>
      </c>
      <c r="LAE1618" s="55">
        <f t="shared" si="677"/>
        <v>0</v>
      </c>
      <c r="LAF1618" s="55">
        <f t="shared" si="677"/>
        <v>0</v>
      </c>
      <c r="LAG1618" s="55">
        <f t="shared" si="677"/>
        <v>0</v>
      </c>
      <c r="LAH1618" s="55">
        <f t="shared" si="677"/>
        <v>0</v>
      </c>
      <c r="LAI1618" s="55">
        <f t="shared" si="677"/>
        <v>0</v>
      </c>
      <c r="LAJ1618" s="55">
        <f t="shared" si="677"/>
        <v>0</v>
      </c>
      <c r="LAK1618" s="55">
        <f t="shared" si="677"/>
        <v>0</v>
      </c>
      <c r="LAL1618" s="55">
        <f t="shared" si="677"/>
        <v>0</v>
      </c>
      <c r="LAM1618" s="55">
        <f t="shared" si="677"/>
        <v>0</v>
      </c>
      <c r="LAN1618" s="55">
        <f t="shared" si="677"/>
        <v>0</v>
      </c>
      <c r="LAO1618" s="55">
        <f t="shared" si="677"/>
        <v>0</v>
      </c>
      <c r="LAP1618" s="55">
        <f t="shared" si="677"/>
        <v>0</v>
      </c>
      <c r="LAQ1618" s="55">
        <f t="shared" si="677"/>
        <v>0</v>
      </c>
      <c r="LAR1618" s="55">
        <f t="shared" si="677"/>
        <v>0</v>
      </c>
      <c r="LAS1618" s="55">
        <f t="shared" si="677"/>
        <v>0</v>
      </c>
      <c r="LAT1618" s="55">
        <f t="shared" si="677"/>
        <v>0</v>
      </c>
      <c r="LAU1618" s="55">
        <f t="shared" si="677"/>
        <v>0</v>
      </c>
      <c r="LAV1618" s="55">
        <f t="shared" si="677"/>
        <v>0</v>
      </c>
      <c r="LAW1618" s="55">
        <f t="shared" si="677"/>
        <v>0</v>
      </c>
      <c r="LAX1618" s="55">
        <f t="shared" si="677"/>
        <v>0</v>
      </c>
      <c r="LAY1618" s="55">
        <f t="shared" si="677"/>
        <v>0</v>
      </c>
      <c r="LAZ1618" s="55">
        <f t="shared" si="677"/>
        <v>0</v>
      </c>
      <c r="LBA1618" s="55">
        <f t="shared" si="677"/>
        <v>0</v>
      </c>
      <c r="LBB1618" s="55">
        <f t="shared" si="677"/>
        <v>0</v>
      </c>
      <c r="LBC1618" s="55">
        <f t="shared" si="677"/>
        <v>0</v>
      </c>
      <c r="LBD1618" s="55">
        <f t="shared" si="677"/>
        <v>0</v>
      </c>
      <c r="LBE1618" s="55">
        <f t="shared" si="677"/>
        <v>0</v>
      </c>
      <c r="LBF1618" s="55">
        <f t="shared" si="677"/>
        <v>0</v>
      </c>
      <c r="LBG1618" s="55">
        <f t="shared" si="677"/>
        <v>0</v>
      </c>
      <c r="LBH1618" s="55">
        <f t="shared" si="677"/>
        <v>0</v>
      </c>
      <c r="LBI1618" s="55">
        <f t="shared" si="677"/>
        <v>0</v>
      </c>
      <c r="LBJ1618" s="55">
        <f t="shared" si="677"/>
        <v>0</v>
      </c>
      <c r="LBK1618" s="55">
        <f t="shared" si="677"/>
        <v>0</v>
      </c>
      <c r="LBL1618" s="55">
        <f t="shared" si="677"/>
        <v>0</v>
      </c>
      <c r="LBM1618" s="55">
        <f t="shared" si="677"/>
        <v>0</v>
      </c>
      <c r="LBN1618" s="55">
        <f t="shared" si="677"/>
        <v>0</v>
      </c>
      <c r="LBO1618" s="55">
        <f t="shared" si="677"/>
        <v>0</v>
      </c>
      <c r="LBP1618" s="55">
        <f t="shared" si="677"/>
        <v>0</v>
      </c>
      <c r="LBQ1618" s="55">
        <f t="shared" si="677"/>
        <v>0</v>
      </c>
      <c r="LBR1618" s="55">
        <f t="shared" si="677"/>
        <v>0</v>
      </c>
      <c r="LBS1618" s="55">
        <f t="shared" si="677"/>
        <v>0</v>
      </c>
      <c r="LBT1618" s="55">
        <f t="shared" si="677"/>
        <v>0</v>
      </c>
      <c r="LBU1618" s="55">
        <f t="shared" si="677"/>
        <v>0</v>
      </c>
      <c r="LBV1618" s="55">
        <f t="shared" si="677"/>
        <v>0</v>
      </c>
      <c r="LBW1618" s="55">
        <f t="shared" si="677"/>
        <v>0</v>
      </c>
      <c r="LBX1618" s="55">
        <f t="shared" si="677"/>
        <v>0</v>
      </c>
      <c r="LBY1618" s="55">
        <f t="shared" si="677"/>
        <v>0</v>
      </c>
      <c r="LBZ1618" s="55">
        <f t="shared" si="677"/>
        <v>0</v>
      </c>
      <c r="LCA1618" s="55">
        <f t="shared" si="677"/>
        <v>0</v>
      </c>
      <c r="LCB1618" s="55">
        <f t="shared" si="677"/>
        <v>0</v>
      </c>
      <c r="LCC1618" s="55">
        <f t="shared" si="677"/>
        <v>0</v>
      </c>
      <c r="LCD1618" s="55">
        <f t="shared" si="677"/>
        <v>0</v>
      </c>
      <c r="LCE1618" s="55">
        <f t="shared" si="677"/>
        <v>0</v>
      </c>
      <c r="LCF1618" s="55">
        <f t="shared" si="677"/>
        <v>0</v>
      </c>
      <c r="LCG1618" s="55">
        <f t="shared" si="677"/>
        <v>0</v>
      </c>
      <c r="LCH1618" s="55">
        <f t="shared" si="677"/>
        <v>0</v>
      </c>
      <c r="LCI1618" s="55">
        <f t="shared" si="677"/>
        <v>0</v>
      </c>
      <c r="LCJ1618" s="55">
        <f t="shared" si="677"/>
        <v>0</v>
      </c>
      <c r="LCK1618" s="55">
        <f t="shared" si="677"/>
        <v>0</v>
      </c>
      <c r="LCL1618" s="55">
        <f t="shared" si="677"/>
        <v>0</v>
      </c>
      <c r="LCM1618" s="55">
        <f t="shared" si="677"/>
        <v>0</v>
      </c>
      <c r="LCN1618" s="55">
        <f t="shared" ref="LCN1618:LEY1618" si="678">+(LCN1627+LCN1608)*1.18*1.1</f>
        <v>0</v>
      </c>
      <c r="LCO1618" s="55">
        <f t="shared" si="678"/>
        <v>0</v>
      </c>
      <c r="LCP1618" s="55">
        <f t="shared" si="678"/>
        <v>0</v>
      </c>
      <c r="LCQ1618" s="55">
        <f t="shared" si="678"/>
        <v>0</v>
      </c>
      <c r="LCR1618" s="55">
        <f t="shared" si="678"/>
        <v>0</v>
      </c>
      <c r="LCS1618" s="55">
        <f t="shared" si="678"/>
        <v>0</v>
      </c>
      <c r="LCT1618" s="55">
        <f t="shared" si="678"/>
        <v>0</v>
      </c>
      <c r="LCU1618" s="55">
        <f t="shared" si="678"/>
        <v>0</v>
      </c>
      <c r="LCV1618" s="55">
        <f t="shared" si="678"/>
        <v>0</v>
      </c>
      <c r="LCW1618" s="55">
        <f t="shared" si="678"/>
        <v>0</v>
      </c>
      <c r="LCX1618" s="55">
        <f t="shared" si="678"/>
        <v>0</v>
      </c>
      <c r="LCY1618" s="55">
        <f t="shared" si="678"/>
        <v>0</v>
      </c>
      <c r="LCZ1618" s="55">
        <f t="shared" si="678"/>
        <v>0</v>
      </c>
      <c r="LDA1618" s="55">
        <f t="shared" si="678"/>
        <v>0</v>
      </c>
      <c r="LDB1618" s="55">
        <f t="shared" si="678"/>
        <v>0</v>
      </c>
      <c r="LDC1618" s="55">
        <f t="shared" si="678"/>
        <v>0</v>
      </c>
      <c r="LDD1618" s="55">
        <f t="shared" si="678"/>
        <v>0</v>
      </c>
      <c r="LDE1618" s="55">
        <f t="shared" si="678"/>
        <v>0</v>
      </c>
      <c r="LDF1618" s="55">
        <f t="shared" si="678"/>
        <v>0</v>
      </c>
      <c r="LDG1618" s="55">
        <f t="shared" si="678"/>
        <v>0</v>
      </c>
      <c r="LDH1618" s="55">
        <f t="shared" si="678"/>
        <v>0</v>
      </c>
      <c r="LDI1618" s="55">
        <f t="shared" si="678"/>
        <v>0</v>
      </c>
      <c r="LDJ1618" s="55">
        <f t="shared" si="678"/>
        <v>0</v>
      </c>
      <c r="LDK1618" s="55">
        <f t="shared" si="678"/>
        <v>0</v>
      </c>
      <c r="LDL1618" s="55">
        <f t="shared" si="678"/>
        <v>0</v>
      </c>
      <c r="LDM1618" s="55">
        <f t="shared" si="678"/>
        <v>0</v>
      </c>
      <c r="LDN1618" s="55">
        <f t="shared" si="678"/>
        <v>0</v>
      </c>
      <c r="LDO1618" s="55">
        <f t="shared" si="678"/>
        <v>0</v>
      </c>
      <c r="LDP1618" s="55">
        <f t="shared" si="678"/>
        <v>0</v>
      </c>
      <c r="LDQ1618" s="55">
        <f t="shared" si="678"/>
        <v>0</v>
      </c>
      <c r="LDR1618" s="55">
        <f t="shared" si="678"/>
        <v>0</v>
      </c>
      <c r="LDS1618" s="55">
        <f t="shared" si="678"/>
        <v>0</v>
      </c>
      <c r="LDT1618" s="55">
        <f t="shared" si="678"/>
        <v>0</v>
      </c>
      <c r="LDU1618" s="55">
        <f t="shared" si="678"/>
        <v>0</v>
      </c>
      <c r="LDV1618" s="55">
        <f t="shared" si="678"/>
        <v>0</v>
      </c>
      <c r="LDW1618" s="55">
        <f t="shared" si="678"/>
        <v>0</v>
      </c>
      <c r="LDX1618" s="55">
        <f t="shared" si="678"/>
        <v>0</v>
      </c>
      <c r="LDY1618" s="55">
        <f t="shared" si="678"/>
        <v>0</v>
      </c>
      <c r="LDZ1618" s="55">
        <f t="shared" si="678"/>
        <v>0</v>
      </c>
      <c r="LEA1618" s="55">
        <f t="shared" si="678"/>
        <v>0</v>
      </c>
      <c r="LEB1618" s="55">
        <f t="shared" si="678"/>
        <v>0</v>
      </c>
      <c r="LEC1618" s="55">
        <f t="shared" si="678"/>
        <v>0</v>
      </c>
      <c r="LED1618" s="55">
        <f t="shared" si="678"/>
        <v>0</v>
      </c>
      <c r="LEE1618" s="55">
        <f t="shared" si="678"/>
        <v>0</v>
      </c>
      <c r="LEF1618" s="55">
        <f t="shared" si="678"/>
        <v>0</v>
      </c>
      <c r="LEG1618" s="55">
        <f t="shared" si="678"/>
        <v>0</v>
      </c>
      <c r="LEH1618" s="55">
        <f t="shared" si="678"/>
        <v>0</v>
      </c>
      <c r="LEI1618" s="55">
        <f t="shared" si="678"/>
        <v>0</v>
      </c>
      <c r="LEJ1618" s="55">
        <f t="shared" si="678"/>
        <v>0</v>
      </c>
      <c r="LEK1618" s="55">
        <f t="shared" si="678"/>
        <v>0</v>
      </c>
      <c r="LEL1618" s="55">
        <f t="shared" si="678"/>
        <v>0</v>
      </c>
      <c r="LEM1618" s="55">
        <f t="shared" si="678"/>
        <v>0</v>
      </c>
      <c r="LEN1618" s="55">
        <f t="shared" si="678"/>
        <v>0</v>
      </c>
      <c r="LEO1618" s="55">
        <f t="shared" si="678"/>
        <v>0</v>
      </c>
      <c r="LEP1618" s="55">
        <f t="shared" si="678"/>
        <v>0</v>
      </c>
      <c r="LEQ1618" s="55">
        <f t="shared" si="678"/>
        <v>0</v>
      </c>
      <c r="LER1618" s="55">
        <f t="shared" si="678"/>
        <v>0</v>
      </c>
      <c r="LES1618" s="55">
        <f t="shared" si="678"/>
        <v>0</v>
      </c>
      <c r="LET1618" s="55">
        <f t="shared" si="678"/>
        <v>0</v>
      </c>
      <c r="LEU1618" s="55">
        <f t="shared" si="678"/>
        <v>0</v>
      </c>
      <c r="LEV1618" s="55">
        <f t="shared" si="678"/>
        <v>0</v>
      </c>
      <c r="LEW1618" s="55">
        <f t="shared" si="678"/>
        <v>0</v>
      </c>
      <c r="LEX1618" s="55">
        <f t="shared" si="678"/>
        <v>0</v>
      </c>
      <c r="LEY1618" s="55">
        <f t="shared" si="678"/>
        <v>0</v>
      </c>
      <c r="LEZ1618" s="55">
        <f t="shared" ref="LEZ1618:LHK1618" si="679">+(LEZ1627+LEZ1608)*1.18*1.1</f>
        <v>0</v>
      </c>
      <c r="LFA1618" s="55">
        <f t="shared" si="679"/>
        <v>0</v>
      </c>
      <c r="LFB1618" s="55">
        <f t="shared" si="679"/>
        <v>0</v>
      </c>
      <c r="LFC1618" s="55">
        <f t="shared" si="679"/>
        <v>0</v>
      </c>
      <c r="LFD1618" s="55">
        <f t="shared" si="679"/>
        <v>0</v>
      </c>
      <c r="LFE1618" s="55">
        <f t="shared" si="679"/>
        <v>0</v>
      </c>
      <c r="LFF1618" s="55">
        <f t="shared" si="679"/>
        <v>0</v>
      </c>
      <c r="LFG1618" s="55">
        <f t="shared" si="679"/>
        <v>0</v>
      </c>
      <c r="LFH1618" s="55">
        <f t="shared" si="679"/>
        <v>0</v>
      </c>
      <c r="LFI1618" s="55">
        <f t="shared" si="679"/>
        <v>0</v>
      </c>
      <c r="LFJ1618" s="55">
        <f t="shared" si="679"/>
        <v>0</v>
      </c>
      <c r="LFK1618" s="55">
        <f t="shared" si="679"/>
        <v>0</v>
      </c>
      <c r="LFL1618" s="55">
        <f t="shared" si="679"/>
        <v>0</v>
      </c>
      <c r="LFM1618" s="55">
        <f t="shared" si="679"/>
        <v>0</v>
      </c>
      <c r="LFN1618" s="55">
        <f t="shared" si="679"/>
        <v>0</v>
      </c>
      <c r="LFO1618" s="55">
        <f t="shared" si="679"/>
        <v>0</v>
      </c>
      <c r="LFP1618" s="55">
        <f t="shared" si="679"/>
        <v>0</v>
      </c>
      <c r="LFQ1618" s="55">
        <f t="shared" si="679"/>
        <v>0</v>
      </c>
      <c r="LFR1618" s="55">
        <f t="shared" si="679"/>
        <v>0</v>
      </c>
      <c r="LFS1618" s="55">
        <f t="shared" si="679"/>
        <v>0</v>
      </c>
      <c r="LFT1618" s="55">
        <f t="shared" si="679"/>
        <v>0</v>
      </c>
      <c r="LFU1618" s="55">
        <f t="shared" si="679"/>
        <v>0</v>
      </c>
      <c r="LFV1618" s="55">
        <f t="shared" si="679"/>
        <v>0</v>
      </c>
      <c r="LFW1618" s="55">
        <f t="shared" si="679"/>
        <v>0</v>
      </c>
      <c r="LFX1618" s="55">
        <f t="shared" si="679"/>
        <v>0</v>
      </c>
      <c r="LFY1618" s="55">
        <f t="shared" si="679"/>
        <v>0</v>
      </c>
      <c r="LFZ1618" s="55">
        <f t="shared" si="679"/>
        <v>0</v>
      </c>
      <c r="LGA1618" s="55">
        <f t="shared" si="679"/>
        <v>0</v>
      </c>
      <c r="LGB1618" s="55">
        <f t="shared" si="679"/>
        <v>0</v>
      </c>
      <c r="LGC1618" s="55">
        <f t="shared" si="679"/>
        <v>0</v>
      </c>
      <c r="LGD1618" s="55">
        <f t="shared" si="679"/>
        <v>0</v>
      </c>
      <c r="LGE1618" s="55">
        <f t="shared" si="679"/>
        <v>0</v>
      </c>
      <c r="LGF1618" s="55">
        <f t="shared" si="679"/>
        <v>0</v>
      </c>
      <c r="LGG1618" s="55">
        <f t="shared" si="679"/>
        <v>0</v>
      </c>
      <c r="LGH1618" s="55">
        <f t="shared" si="679"/>
        <v>0</v>
      </c>
      <c r="LGI1618" s="55">
        <f t="shared" si="679"/>
        <v>0</v>
      </c>
      <c r="LGJ1618" s="55">
        <f t="shared" si="679"/>
        <v>0</v>
      </c>
      <c r="LGK1618" s="55">
        <f t="shared" si="679"/>
        <v>0</v>
      </c>
      <c r="LGL1618" s="55">
        <f t="shared" si="679"/>
        <v>0</v>
      </c>
      <c r="LGM1618" s="55">
        <f t="shared" si="679"/>
        <v>0</v>
      </c>
      <c r="LGN1618" s="55">
        <f t="shared" si="679"/>
        <v>0</v>
      </c>
      <c r="LGO1618" s="55">
        <f t="shared" si="679"/>
        <v>0</v>
      </c>
      <c r="LGP1618" s="55">
        <f t="shared" si="679"/>
        <v>0</v>
      </c>
      <c r="LGQ1618" s="55">
        <f t="shared" si="679"/>
        <v>0</v>
      </c>
      <c r="LGR1618" s="55">
        <f t="shared" si="679"/>
        <v>0</v>
      </c>
      <c r="LGS1618" s="55">
        <f t="shared" si="679"/>
        <v>0</v>
      </c>
      <c r="LGT1618" s="55">
        <f t="shared" si="679"/>
        <v>0</v>
      </c>
      <c r="LGU1618" s="55">
        <f t="shared" si="679"/>
        <v>0</v>
      </c>
      <c r="LGV1618" s="55">
        <f t="shared" si="679"/>
        <v>0</v>
      </c>
      <c r="LGW1618" s="55">
        <f t="shared" si="679"/>
        <v>0</v>
      </c>
      <c r="LGX1618" s="55">
        <f t="shared" si="679"/>
        <v>0</v>
      </c>
      <c r="LGY1618" s="55">
        <f t="shared" si="679"/>
        <v>0</v>
      </c>
      <c r="LGZ1618" s="55">
        <f t="shared" si="679"/>
        <v>0</v>
      </c>
      <c r="LHA1618" s="55">
        <f t="shared" si="679"/>
        <v>0</v>
      </c>
      <c r="LHB1618" s="55">
        <f t="shared" si="679"/>
        <v>0</v>
      </c>
      <c r="LHC1618" s="55">
        <f t="shared" si="679"/>
        <v>0</v>
      </c>
      <c r="LHD1618" s="55">
        <f t="shared" si="679"/>
        <v>0</v>
      </c>
      <c r="LHE1618" s="55">
        <f t="shared" si="679"/>
        <v>0</v>
      </c>
      <c r="LHF1618" s="55">
        <f t="shared" si="679"/>
        <v>0</v>
      </c>
      <c r="LHG1618" s="55">
        <f t="shared" si="679"/>
        <v>0</v>
      </c>
      <c r="LHH1618" s="55">
        <f t="shared" si="679"/>
        <v>0</v>
      </c>
      <c r="LHI1618" s="55">
        <f t="shared" si="679"/>
        <v>0</v>
      </c>
      <c r="LHJ1618" s="55">
        <f t="shared" si="679"/>
        <v>0</v>
      </c>
      <c r="LHK1618" s="55">
        <f t="shared" si="679"/>
        <v>0</v>
      </c>
      <c r="LHL1618" s="55">
        <f t="shared" ref="LHL1618:LJW1618" si="680">+(LHL1627+LHL1608)*1.18*1.1</f>
        <v>0</v>
      </c>
      <c r="LHM1618" s="55">
        <f t="shared" si="680"/>
        <v>0</v>
      </c>
      <c r="LHN1618" s="55">
        <f t="shared" si="680"/>
        <v>0</v>
      </c>
      <c r="LHO1618" s="55">
        <f t="shared" si="680"/>
        <v>0</v>
      </c>
      <c r="LHP1618" s="55">
        <f t="shared" si="680"/>
        <v>0</v>
      </c>
      <c r="LHQ1618" s="55">
        <f t="shared" si="680"/>
        <v>0</v>
      </c>
      <c r="LHR1618" s="55">
        <f t="shared" si="680"/>
        <v>0</v>
      </c>
      <c r="LHS1618" s="55">
        <f t="shared" si="680"/>
        <v>0</v>
      </c>
      <c r="LHT1618" s="55">
        <f t="shared" si="680"/>
        <v>0</v>
      </c>
      <c r="LHU1618" s="55">
        <f t="shared" si="680"/>
        <v>0</v>
      </c>
      <c r="LHV1618" s="55">
        <f t="shared" si="680"/>
        <v>0</v>
      </c>
      <c r="LHW1618" s="55">
        <f t="shared" si="680"/>
        <v>0</v>
      </c>
      <c r="LHX1618" s="55">
        <f t="shared" si="680"/>
        <v>0</v>
      </c>
      <c r="LHY1618" s="55">
        <f t="shared" si="680"/>
        <v>0</v>
      </c>
      <c r="LHZ1618" s="55">
        <f t="shared" si="680"/>
        <v>0</v>
      </c>
      <c r="LIA1618" s="55">
        <f t="shared" si="680"/>
        <v>0</v>
      </c>
      <c r="LIB1618" s="55">
        <f t="shared" si="680"/>
        <v>0</v>
      </c>
      <c r="LIC1618" s="55">
        <f t="shared" si="680"/>
        <v>0</v>
      </c>
      <c r="LID1618" s="55">
        <f t="shared" si="680"/>
        <v>0</v>
      </c>
      <c r="LIE1618" s="55">
        <f t="shared" si="680"/>
        <v>0</v>
      </c>
      <c r="LIF1618" s="55">
        <f t="shared" si="680"/>
        <v>0</v>
      </c>
      <c r="LIG1618" s="55">
        <f t="shared" si="680"/>
        <v>0</v>
      </c>
      <c r="LIH1618" s="55">
        <f t="shared" si="680"/>
        <v>0</v>
      </c>
      <c r="LII1618" s="55">
        <f t="shared" si="680"/>
        <v>0</v>
      </c>
      <c r="LIJ1618" s="55">
        <f t="shared" si="680"/>
        <v>0</v>
      </c>
      <c r="LIK1618" s="55">
        <f t="shared" si="680"/>
        <v>0</v>
      </c>
      <c r="LIL1618" s="55">
        <f t="shared" si="680"/>
        <v>0</v>
      </c>
      <c r="LIM1618" s="55">
        <f t="shared" si="680"/>
        <v>0</v>
      </c>
      <c r="LIN1618" s="55">
        <f t="shared" si="680"/>
        <v>0</v>
      </c>
      <c r="LIO1618" s="55">
        <f t="shared" si="680"/>
        <v>0</v>
      </c>
      <c r="LIP1618" s="55">
        <f t="shared" si="680"/>
        <v>0</v>
      </c>
      <c r="LIQ1618" s="55">
        <f t="shared" si="680"/>
        <v>0</v>
      </c>
      <c r="LIR1618" s="55">
        <f t="shared" si="680"/>
        <v>0</v>
      </c>
      <c r="LIS1618" s="55">
        <f t="shared" si="680"/>
        <v>0</v>
      </c>
      <c r="LIT1618" s="55">
        <f t="shared" si="680"/>
        <v>0</v>
      </c>
      <c r="LIU1618" s="55">
        <f t="shared" si="680"/>
        <v>0</v>
      </c>
      <c r="LIV1618" s="55">
        <f t="shared" si="680"/>
        <v>0</v>
      </c>
      <c r="LIW1618" s="55">
        <f t="shared" si="680"/>
        <v>0</v>
      </c>
      <c r="LIX1618" s="55">
        <f t="shared" si="680"/>
        <v>0</v>
      </c>
      <c r="LIY1618" s="55">
        <f t="shared" si="680"/>
        <v>0</v>
      </c>
      <c r="LIZ1618" s="55">
        <f t="shared" si="680"/>
        <v>0</v>
      </c>
      <c r="LJA1618" s="55">
        <f t="shared" si="680"/>
        <v>0</v>
      </c>
      <c r="LJB1618" s="55">
        <f t="shared" si="680"/>
        <v>0</v>
      </c>
      <c r="LJC1618" s="55">
        <f t="shared" si="680"/>
        <v>0</v>
      </c>
      <c r="LJD1618" s="55">
        <f t="shared" si="680"/>
        <v>0</v>
      </c>
      <c r="LJE1618" s="55">
        <f t="shared" si="680"/>
        <v>0</v>
      </c>
      <c r="LJF1618" s="55">
        <f t="shared" si="680"/>
        <v>0</v>
      </c>
      <c r="LJG1618" s="55">
        <f t="shared" si="680"/>
        <v>0</v>
      </c>
      <c r="LJH1618" s="55">
        <f t="shared" si="680"/>
        <v>0</v>
      </c>
      <c r="LJI1618" s="55">
        <f t="shared" si="680"/>
        <v>0</v>
      </c>
      <c r="LJJ1618" s="55">
        <f t="shared" si="680"/>
        <v>0</v>
      </c>
      <c r="LJK1618" s="55">
        <f t="shared" si="680"/>
        <v>0</v>
      </c>
      <c r="LJL1618" s="55">
        <f t="shared" si="680"/>
        <v>0</v>
      </c>
      <c r="LJM1618" s="55">
        <f t="shared" si="680"/>
        <v>0</v>
      </c>
      <c r="LJN1618" s="55">
        <f t="shared" si="680"/>
        <v>0</v>
      </c>
      <c r="LJO1618" s="55">
        <f t="shared" si="680"/>
        <v>0</v>
      </c>
      <c r="LJP1618" s="55">
        <f t="shared" si="680"/>
        <v>0</v>
      </c>
      <c r="LJQ1618" s="55">
        <f t="shared" si="680"/>
        <v>0</v>
      </c>
      <c r="LJR1618" s="55">
        <f t="shared" si="680"/>
        <v>0</v>
      </c>
      <c r="LJS1618" s="55">
        <f t="shared" si="680"/>
        <v>0</v>
      </c>
      <c r="LJT1618" s="55">
        <f t="shared" si="680"/>
        <v>0</v>
      </c>
      <c r="LJU1618" s="55">
        <f t="shared" si="680"/>
        <v>0</v>
      </c>
      <c r="LJV1618" s="55">
        <f t="shared" si="680"/>
        <v>0</v>
      </c>
      <c r="LJW1618" s="55">
        <f t="shared" si="680"/>
        <v>0</v>
      </c>
      <c r="LJX1618" s="55">
        <f t="shared" ref="LJX1618:LMI1618" si="681">+(LJX1627+LJX1608)*1.18*1.1</f>
        <v>0</v>
      </c>
      <c r="LJY1618" s="55">
        <f t="shared" si="681"/>
        <v>0</v>
      </c>
      <c r="LJZ1618" s="55">
        <f t="shared" si="681"/>
        <v>0</v>
      </c>
      <c r="LKA1618" s="55">
        <f t="shared" si="681"/>
        <v>0</v>
      </c>
      <c r="LKB1618" s="55">
        <f t="shared" si="681"/>
        <v>0</v>
      </c>
      <c r="LKC1618" s="55">
        <f t="shared" si="681"/>
        <v>0</v>
      </c>
      <c r="LKD1618" s="55">
        <f t="shared" si="681"/>
        <v>0</v>
      </c>
      <c r="LKE1618" s="55">
        <f t="shared" si="681"/>
        <v>0</v>
      </c>
      <c r="LKF1618" s="55">
        <f t="shared" si="681"/>
        <v>0</v>
      </c>
      <c r="LKG1618" s="55">
        <f t="shared" si="681"/>
        <v>0</v>
      </c>
      <c r="LKH1618" s="55">
        <f t="shared" si="681"/>
        <v>0</v>
      </c>
      <c r="LKI1618" s="55">
        <f t="shared" si="681"/>
        <v>0</v>
      </c>
      <c r="LKJ1618" s="55">
        <f t="shared" si="681"/>
        <v>0</v>
      </c>
      <c r="LKK1618" s="55">
        <f t="shared" si="681"/>
        <v>0</v>
      </c>
      <c r="LKL1618" s="55">
        <f t="shared" si="681"/>
        <v>0</v>
      </c>
      <c r="LKM1618" s="55">
        <f t="shared" si="681"/>
        <v>0</v>
      </c>
      <c r="LKN1618" s="55">
        <f t="shared" si="681"/>
        <v>0</v>
      </c>
      <c r="LKO1618" s="55">
        <f t="shared" si="681"/>
        <v>0</v>
      </c>
      <c r="LKP1618" s="55">
        <f t="shared" si="681"/>
        <v>0</v>
      </c>
      <c r="LKQ1618" s="55">
        <f t="shared" si="681"/>
        <v>0</v>
      </c>
      <c r="LKR1618" s="55">
        <f t="shared" si="681"/>
        <v>0</v>
      </c>
      <c r="LKS1618" s="55">
        <f t="shared" si="681"/>
        <v>0</v>
      </c>
      <c r="LKT1618" s="55">
        <f t="shared" si="681"/>
        <v>0</v>
      </c>
      <c r="LKU1618" s="55">
        <f t="shared" si="681"/>
        <v>0</v>
      </c>
      <c r="LKV1618" s="55">
        <f t="shared" si="681"/>
        <v>0</v>
      </c>
      <c r="LKW1618" s="55">
        <f t="shared" si="681"/>
        <v>0</v>
      </c>
      <c r="LKX1618" s="55">
        <f t="shared" si="681"/>
        <v>0</v>
      </c>
      <c r="LKY1618" s="55">
        <f t="shared" si="681"/>
        <v>0</v>
      </c>
      <c r="LKZ1618" s="55">
        <f t="shared" si="681"/>
        <v>0</v>
      </c>
      <c r="LLA1618" s="55">
        <f t="shared" si="681"/>
        <v>0</v>
      </c>
      <c r="LLB1618" s="55">
        <f t="shared" si="681"/>
        <v>0</v>
      </c>
      <c r="LLC1618" s="55">
        <f t="shared" si="681"/>
        <v>0</v>
      </c>
      <c r="LLD1618" s="55">
        <f t="shared" si="681"/>
        <v>0</v>
      </c>
      <c r="LLE1618" s="55">
        <f t="shared" si="681"/>
        <v>0</v>
      </c>
      <c r="LLF1618" s="55">
        <f t="shared" si="681"/>
        <v>0</v>
      </c>
      <c r="LLG1618" s="55">
        <f t="shared" si="681"/>
        <v>0</v>
      </c>
      <c r="LLH1618" s="55">
        <f t="shared" si="681"/>
        <v>0</v>
      </c>
      <c r="LLI1618" s="55">
        <f t="shared" si="681"/>
        <v>0</v>
      </c>
      <c r="LLJ1618" s="55">
        <f t="shared" si="681"/>
        <v>0</v>
      </c>
      <c r="LLK1618" s="55">
        <f t="shared" si="681"/>
        <v>0</v>
      </c>
      <c r="LLL1618" s="55">
        <f t="shared" si="681"/>
        <v>0</v>
      </c>
      <c r="LLM1618" s="55">
        <f t="shared" si="681"/>
        <v>0</v>
      </c>
      <c r="LLN1618" s="55">
        <f t="shared" si="681"/>
        <v>0</v>
      </c>
      <c r="LLO1618" s="55">
        <f t="shared" si="681"/>
        <v>0</v>
      </c>
      <c r="LLP1618" s="55">
        <f t="shared" si="681"/>
        <v>0</v>
      </c>
      <c r="LLQ1618" s="55">
        <f t="shared" si="681"/>
        <v>0</v>
      </c>
      <c r="LLR1618" s="55">
        <f t="shared" si="681"/>
        <v>0</v>
      </c>
      <c r="LLS1618" s="55">
        <f t="shared" si="681"/>
        <v>0</v>
      </c>
      <c r="LLT1618" s="55">
        <f t="shared" si="681"/>
        <v>0</v>
      </c>
      <c r="LLU1618" s="55">
        <f t="shared" si="681"/>
        <v>0</v>
      </c>
      <c r="LLV1618" s="55">
        <f t="shared" si="681"/>
        <v>0</v>
      </c>
      <c r="LLW1618" s="55">
        <f t="shared" si="681"/>
        <v>0</v>
      </c>
      <c r="LLX1618" s="55">
        <f t="shared" si="681"/>
        <v>0</v>
      </c>
      <c r="LLY1618" s="55">
        <f t="shared" si="681"/>
        <v>0</v>
      </c>
      <c r="LLZ1618" s="55">
        <f t="shared" si="681"/>
        <v>0</v>
      </c>
      <c r="LMA1618" s="55">
        <f t="shared" si="681"/>
        <v>0</v>
      </c>
      <c r="LMB1618" s="55">
        <f t="shared" si="681"/>
        <v>0</v>
      </c>
      <c r="LMC1618" s="55">
        <f t="shared" si="681"/>
        <v>0</v>
      </c>
      <c r="LMD1618" s="55">
        <f t="shared" si="681"/>
        <v>0</v>
      </c>
      <c r="LME1618" s="55">
        <f t="shared" si="681"/>
        <v>0</v>
      </c>
      <c r="LMF1618" s="55">
        <f t="shared" si="681"/>
        <v>0</v>
      </c>
      <c r="LMG1618" s="55">
        <f t="shared" si="681"/>
        <v>0</v>
      </c>
      <c r="LMH1618" s="55">
        <f t="shared" si="681"/>
        <v>0</v>
      </c>
      <c r="LMI1618" s="55">
        <f t="shared" si="681"/>
        <v>0</v>
      </c>
      <c r="LMJ1618" s="55">
        <f t="shared" ref="LMJ1618:LOU1618" si="682">+(LMJ1627+LMJ1608)*1.18*1.1</f>
        <v>0</v>
      </c>
      <c r="LMK1618" s="55">
        <f t="shared" si="682"/>
        <v>0</v>
      </c>
      <c r="LML1618" s="55">
        <f t="shared" si="682"/>
        <v>0</v>
      </c>
      <c r="LMM1618" s="55">
        <f t="shared" si="682"/>
        <v>0</v>
      </c>
      <c r="LMN1618" s="55">
        <f t="shared" si="682"/>
        <v>0</v>
      </c>
      <c r="LMO1618" s="55">
        <f t="shared" si="682"/>
        <v>0</v>
      </c>
      <c r="LMP1618" s="55">
        <f t="shared" si="682"/>
        <v>0</v>
      </c>
      <c r="LMQ1618" s="55">
        <f t="shared" si="682"/>
        <v>0</v>
      </c>
      <c r="LMR1618" s="55">
        <f t="shared" si="682"/>
        <v>0</v>
      </c>
      <c r="LMS1618" s="55">
        <f t="shared" si="682"/>
        <v>0</v>
      </c>
      <c r="LMT1618" s="55">
        <f t="shared" si="682"/>
        <v>0</v>
      </c>
      <c r="LMU1618" s="55">
        <f t="shared" si="682"/>
        <v>0</v>
      </c>
      <c r="LMV1618" s="55">
        <f t="shared" si="682"/>
        <v>0</v>
      </c>
      <c r="LMW1618" s="55">
        <f t="shared" si="682"/>
        <v>0</v>
      </c>
      <c r="LMX1618" s="55">
        <f t="shared" si="682"/>
        <v>0</v>
      </c>
      <c r="LMY1618" s="55">
        <f t="shared" si="682"/>
        <v>0</v>
      </c>
      <c r="LMZ1618" s="55">
        <f t="shared" si="682"/>
        <v>0</v>
      </c>
      <c r="LNA1618" s="55">
        <f t="shared" si="682"/>
        <v>0</v>
      </c>
      <c r="LNB1618" s="55">
        <f t="shared" si="682"/>
        <v>0</v>
      </c>
      <c r="LNC1618" s="55">
        <f t="shared" si="682"/>
        <v>0</v>
      </c>
      <c r="LND1618" s="55">
        <f t="shared" si="682"/>
        <v>0</v>
      </c>
      <c r="LNE1618" s="55">
        <f t="shared" si="682"/>
        <v>0</v>
      </c>
      <c r="LNF1618" s="55">
        <f t="shared" si="682"/>
        <v>0</v>
      </c>
      <c r="LNG1618" s="55">
        <f t="shared" si="682"/>
        <v>0</v>
      </c>
      <c r="LNH1618" s="55">
        <f t="shared" si="682"/>
        <v>0</v>
      </c>
      <c r="LNI1618" s="55">
        <f t="shared" si="682"/>
        <v>0</v>
      </c>
      <c r="LNJ1618" s="55">
        <f t="shared" si="682"/>
        <v>0</v>
      </c>
      <c r="LNK1618" s="55">
        <f t="shared" si="682"/>
        <v>0</v>
      </c>
      <c r="LNL1618" s="55">
        <f t="shared" si="682"/>
        <v>0</v>
      </c>
      <c r="LNM1618" s="55">
        <f t="shared" si="682"/>
        <v>0</v>
      </c>
      <c r="LNN1618" s="55">
        <f t="shared" si="682"/>
        <v>0</v>
      </c>
      <c r="LNO1618" s="55">
        <f t="shared" si="682"/>
        <v>0</v>
      </c>
      <c r="LNP1618" s="55">
        <f t="shared" si="682"/>
        <v>0</v>
      </c>
      <c r="LNQ1618" s="55">
        <f t="shared" si="682"/>
        <v>0</v>
      </c>
      <c r="LNR1618" s="55">
        <f t="shared" si="682"/>
        <v>0</v>
      </c>
      <c r="LNS1618" s="55">
        <f t="shared" si="682"/>
        <v>0</v>
      </c>
      <c r="LNT1618" s="55">
        <f t="shared" si="682"/>
        <v>0</v>
      </c>
      <c r="LNU1618" s="55">
        <f t="shared" si="682"/>
        <v>0</v>
      </c>
      <c r="LNV1618" s="55">
        <f t="shared" si="682"/>
        <v>0</v>
      </c>
      <c r="LNW1618" s="55">
        <f t="shared" si="682"/>
        <v>0</v>
      </c>
      <c r="LNX1618" s="55">
        <f t="shared" si="682"/>
        <v>0</v>
      </c>
      <c r="LNY1618" s="55">
        <f t="shared" si="682"/>
        <v>0</v>
      </c>
      <c r="LNZ1618" s="55">
        <f t="shared" si="682"/>
        <v>0</v>
      </c>
      <c r="LOA1618" s="55">
        <f t="shared" si="682"/>
        <v>0</v>
      </c>
      <c r="LOB1618" s="55">
        <f t="shared" si="682"/>
        <v>0</v>
      </c>
      <c r="LOC1618" s="55">
        <f t="shared" si="682"/>
        <v>0</v>
      </c>
      <c r="LOD1618" s="55">
        <f t="shared" si="682"/>
        <v>0</v>
      </c>
      <c r="LOE1618" s="55">
        <f t="shared" si="682"/>
        <v>0</v>
      </c>
      <c r="LOF1618" s="55">
        <f t="shared" si="682"/>
        <v>0</v>
      </c>
      <c r="LOG1618" s="55">
        <f t="shared" si="682"/>
        <v>0</v>
      </c>
      <c r="LOH1618" s="55">
        <f t="shared" si="682"/>
        <v>0</v>
      </c>
      <c r="LOI1618" s="55">
        <f t="shared" si="682"/>
        <v>0</v>
      </c>
      <c r="LOJ1618" s="55">
        <f t="shared" si="682"/>
        <v>0</v>
      </c>
      <c r="LOK1618" s="55">
        <f t="shared" si="682"/>
        <v>0</v>
      </c>
      <c r="LOL1618" s="55">
        <f t="shared" si="682"/>
        <v>0</v>
      </c>
      <c r="LOM1618" s="55">
        <f t="shared" si="682"/>
        <v>0</v>
      </c>
      <c r="LON1618" s="55">
        <f t="shared" si="682"/>
        <v>0</v>
      </c>
      <c r="LOO1618" s="55">
        <f t="shared" si="682"/>
        <v>0</v>
      </c>
      <c r="LOP1618" s="55">
        <f t="shared" si="682"/>
        <v>0</v>
      </c>
      <c r="LOQ1618" s="55">
        <f t="shared" si="682"/>
        <v>0</v>
      </c>
      <c r="LOR1618" s="55">
        <f t="shared" si="682"/>
        <v>0</v>
      </c>
      <c r="LOS1618" s="55">
        <f t="shared" si="682"/>
        <v>0</v>
      </c>
      <c r="LOT1618" s="55">
        <f t="shared" si="682"/>
        <v>0</v>
      </c>
      <c r="LOU1618" s="55">
        <f t="shared" si="682"/>
        <v>0</v>
      </c>
      <c r="LOV1618" s="55">
        <f t="shared" ref="LOV1618:LRG1618" si="683">+(LOV1627+LOV1608)*1.18*1.1</f>
        <v>0</v>
      </c>
      <c r="LOW1618" s="55">
        <f t="shared" si="683"/>
        <v>0</v>
      </c>
      <c r="LOX1618" s="55">
        <f t="shared" si="683"/>
        <v>0</v>
      </c>
      <c r="LOY1618" s="55">
        <f t="shared" si="683"/>
        <v>0</v>
      </c>
      <c r="LOZ1618" s="55">
        <f t="shared" si="683"/>
        <v>0</v>
      </c>
      <c r="LPA1618" s="55">
        <f t="shared" si="683"/>
        <v>0</v>
      </c>
      <c r="LPB1618" s="55">
        <f t="shared" si="683"/>
        <v>0</v>
      </c>
      <c r="LPC1618" s="55">
        <f t="shared" si="683"/>
        <v>0</v>
      </c>
      <c r="LPD1618" s="55">
        <f t="shared" si="683"/>
        <v>0</v>
      </c>
      <c r="LPE1618" s="55">
        <f t="shared" si="683"/>
        <v>0</v>
      </c>
      <c r="LPF1618" s="55">
        <f t="shared" si="683"/>
        <v>0</v>
      </c>
      <c r="LPG1618" s="55">
        <f t="shared" si="683"/>
        <v>0</v>
      </c>
      <c r="LPH1618" s="55">
        <f t="shared" si="683"/>
        <v>0</v>
      </c>
      <c r="LPI1618" s="55">
        <f t="shared" si="683"/>
        <v>0</v>
      </c>
      <c r="LPJ1618" s="55">
        <f t="shared" si="683"/>
        <v>0</v>
      </c>
      <c r="LPK1618" s="55">
        <f t="shared" si="683"/>
        <v>0</v>
      </c>
      <c r="LPL1618" s="55">
        <f t="shared" si="683"/>
        <v>0</v>
      </c>
      <c r="LPM1618" s="55">
        <f t="shared" si="683"/>
        <v>0</v>
      </c>
      <c r="LPN1618" s="55">
        <f t="shared" si="683"/>
        <v>0</v>
      </c>
      <c r="LPO1618" s="55">
        <f t="shared" si="683"/>
        <v>0</v>
      </c>
      <c r="LPP1618" s="55">
        <f t="shared" si="683"/>
        <v>0</v>
      </c>
      <c r="LPQ1618" s="55">
        <f t="shared" si="683"/>
        <v>0</v>
      </c>
      <c r="LPR1618" s="55">
        <f t="shared" si="683"/>
        <v>0</v>
      </c>
      <c r="LPS1618" s="55">
        <f t="shared" si="683"/>
        <v>0</v>
      </c>
      <c r="LPT1618" s="55">
        <f t="shared" si="683"/>
        <v>0</v>
      </c>
      <c r="LPU1618" s="55">
        <f t="shared" si="683"/>
        <v>0</v>
      </c>
      <c r="LPV1618" s="55">
        <f t="shared" si="683"/>
        <v>0</v>
      </c>
      <c r="LPW1618" s="55">
        <f t="shared" si="683"/>
        <v>0</v>
      </c>
      <c r="LPX1618" s="55">
        <f t="shared" si="683"/>
        <v>0</v>
      </c>
      <c r="LPY1618" s="55">
        <f t="shared" si="683"/>
        <v>0</v>
      </c>
      <c r="LPZ1618" s="55">
        <f t="shared" si="683"/>
        <v>0</v>
      </c>
      <c r="LQA1618" s="55">
        <f t="shared" si="683"/>
        <v>0</v>
      </c>
      <c r="LQB1618" s="55">
        <f t="shared" si="683"/>
        <v>0</v>
      </c>
      <c r="LQC1618" s="55">
        <f t="shared" si="683"/>
        <v>0</v>
      </c>
      <c r="LQD1618" s="55">
        <f t="shared" si="683"/>
        <v>0</v>
      </c>
      <c r="LQE1618" s="55">
        <f t="shared" si="683"/>
        <v>0</v>
      </c>
      <c r="LQF1618" s="55">
        <f t="shared" si="683"/>
        <v>0</v>
      </c>
      <c r="LQG1618" s="55">
        <f t="shared" si="683"/>
        <v>0</v>
      </c>
      <c r="LQH1618" s="55">
        <f t="shared" si="683"/>
        <v>0</v>
      </c>
      <c r="LQI1618" s="55">
        <f t="shared" si="683"/>
        <v>0</v>
      </c>
      <c r="LQJ1618" s="55">
        <f t="shared" si="683"/>
        <v>0</v>
      </c>
      <c r="LQK1618" s="55">
        <f t="shared" si="683"/>
        <v>0</v>
      </c>
      <c r="LQL1618" s="55">
        <f t="shared" si="683"/>
        <v>0</v>
      </c>
      <c r="LQM1618" s="55">
        <f t="shared" si="683"/>
        <v>0</v>
      </c>
      <c r="LQN1618" s="55">
        <f t="shared" si="683"/>
        <v>0</v>
      </c>
      <c r="LQO1618" s="55">
        <f t="shared" si="683"/>
        <v>0</v>
      </c>
      <c r="LQP1618" s="55">
        <f t="shared" si="683"/>
        <v>0</v>
      </c>
      <c r="LQQ1618" s="55">
        <f t="shared" si="683"/>
        <v>0</v>
      </c>
      <c r="LQR1618" s="55">
        <f t="shared" si="683"/>
        <v>0</v>
      </c>
      <c r="LQS1618" s="55">
        <f t="shared" si="683"/>
        <v>0</v>
      </c>
      <c r="LQT1618" s="55">
        <f t="shared" si="683"/>
        <v>0</v>
      </c>
      <c r="LQU1618" s="55">
        <f t="shared" si="683"/>
        <v>0</v>
      </c>
      <c r="LQV1618" s="55">
        <f t="shared" si="683"/>
        <v>0</v>
      </c>
      <c r="LQW1618" s="55">
        <f t="shared" si="683"/>
        <v>0</v>
      </c>
      <c r="LQX1618" s="55">
        <f t="shared" si="683"/>
        <v>0</v>
      </c>
      <c r="LQY1618" s="55">
        <f t="shared" si="683"/>
        <v>0</v>
      </c>
      <c r="LQZ1618" s="55">
        <f t="shared" si="683"/>
        <v>0</v>
      </c>
      <c r="LRA1618" s="55">
        <f t="shared" si="683"/>
        <v>0</v>
      </c>
      <c r="LRB1618" s="55">
        <f t="shared" si="683"/>
        <v>0</v>
      </c>
      <c r="LRC1618" s="55">
        <f t="shared" si="683"/>
        <v>0</v>
      </c>
      <c r="LRD1618" s="55">
        <f t="shared" si="683"/>
        <v>0</v>
      </c>
      <c r="LRE1618" s="55">
        <f t="shared" si="683"/>
        <v>0</v>
      </c>
      <c r="LRF1618" s="55">
        <f t="shared" si="683"/>
        <v>0</v>
      </c>
      <c r="LRG1618" s="55">
        <f t="shared" si="683"/>
        <v>0</v>
      </c>
      <c r="LRH1618" s="55">
        <f t="shared" ref="LRH1618:LTS1618" si="684">+(LRH1627+LRH1608)*1.18*1.1</f>
        <v>0</v>
      </c>
      <c r="LRI1618" s="55">
        <f t="shared" si="684"/>
        <v>0</v>
      </c>
      <c r="LRJ1618" s="55">
        <f t="shared" si="684"/>
        <v>0</v>
      </c>
      <c r="LRK1618" s="55">
        <f t="shared" si="684"/>
        <v>0</v>
      </c>
      <c r="LRL1618" s="55">
        <f t="shared" si="684"/>
        <v>0</v>
      </c>
      <c r="LRM1618" s="55">
        <f t="shared" si="684"/>
        <v>0</v>
      </c>
      <c r="LRN1618" s="55">
        <f t="shared" si="684"/>
        <v>0</v>
      </c>
      <c r="LRO1618" s="55">
        <f t="shared" si="684"/>
        <v>0</v>
      </c>
      <c r="LRP1618" s="55">
        <f t="shared" si="684"/>
        <v>0</v>
      </c>
      <c r="LRQ1618" s="55">
        <f t="shared" si="684"/>
        <v>0</v>
      </c>
      <c r="LRR1618" s="55">
        <f t="shared" si="684"/>
        <v>0</v>
      </c>
      <c r="LRS1618" s="55">
        <f t="shared" si="684"/>
        <v>0</v>
      </c>
      <c r="LRT1618" s="55">
        <f t="shared" si="684"/>
        <v>0</v>
      </c>
      <c r="LRU1618" s="55">
        <f t="shared" si="684"/>
        <v>0</v>
      </c>
      <c r="LRV1618" s="55">
        <f t="shared" si="684"/>
        <v>0</v>
      </c>
      <c r="LRW1618" s="55">
        <f t="shared" si="684"/>
        <v>0</v>
      </c>
      <c r="LRX1618" s="55">
        <f t="shared" si="684"/>
        <v>0</v>
      </c>
      <c r="LRY1618" s="55">
        <f t="shared" si="684"/>
        <v>0</v>
      </c>
      <c r="LRZ1618" s="55">
        <f t="shared" si="684"/>
        <v>0</v>
      </c>
      <c r="LSA1618" s="55">
        <f t="shared" si="684"/>
        <v>0</v>
      </c>
      <c r="LSB1618" s="55">
        <f t="shared" si="684"/>
        <v>0</v>
      </c>
      <c r="LSC1618" s="55">
        <f t="shared" si="684"/>
        <v>0</v>
      </c>
      <c r="LSD1618" s="55">
        <f t="shared" si="684"/>
        <v>0</v>
      </c>
      <c r="LSE1618" s="55">
        <f t="shared" si="684"/>
        <v>0</v>
      </c>
      <c r="LSF1618" s="55">
        <f t="shared" si="684"/>
        <v>0</v>
      </c>
      <c r="LSG1618" s="55">
        <f t="shared" si="684"/>
        <v>0</v>
      </c>
      <c r="LSH1618" s="55">
        <f t="shared" si="684"/>
        <v>0</v>
      </c>
      <c r="LSI1618" s="55">
        <f t="shared" si="684"/>
        <v>0</v>
      </c>
      <c r="LSJ1618" s="55">
        <f t="shared" si="684"/>
        <v>0</v>
      </c>
      <c r="LSK1618" s="55">
        <f t="shared" si="684"/>
        <v>0</v>
      </c>
      <c r="LSL1618" s="55">
        <f t="shared" si="684"/>
        <v>0</v>
      </c>
      <c r="LSM1618" s="55">
        <f t="shared" si="684"/>
        <v>0</v>
      </c>
      <c r="LSN1618" s="55">
        <f t="shared" si="684"/>
        <v>0</v>
      </c>
      <c r="LSO1618" s="55">
        <f t="shared" si="684"/>
        <v>0</v>
      </c>
      <c r="LSP1618" s="55">
        <f t="shared" si="684"/>
        <v>0</v>
      </c>
      <c r="LSQ1618" s="55">
        <f t="shared" si="684"/>
        <v>0</v>
      </c>
      <c r="LSR1618" s="55">
        <f t="shared" si="684"/>
        <v>0</v>
      </c>
      <c r="LSS1618" s="55">
        <f t="shared" si="684"/>
        <v>0</v>
      </c>
      <c r="LST1618" s="55">
        <f t="shared" si="684"/>
        <v>0</v>
      </c>
      <c r="LSU1618" s="55">
        <f t="shared" si="684"/>
        <v>0</v>
      </c>
      <c r="LSV1618" s="55">
        <f t="shared" si="684"/>
        <v>0</v>
      </c>
      <c r="LSW1618" s="55">
        <f t="shared" si="684"/>
        <v>0</v>
      </c>
      <c r="LSX1618" s="55">
        <f t="shared" si="684"/>
        <v>0</v>
      </c>
      <c r="LSY1618" s="55">
        <f t="shared" si="684"/>
        <v>0</v>
      </c>
      <c r="LSZ1618" s="55">
        <f t="shared" si="684"/>
        <v>0</v>
      </c>
      <c r="LTA1618" s="55">
        <f t="shared" si="684"/>
        <v>0</v>
      </c>
      <c r="LTB1618" s="55">
        <f t="shared" si="684"/>
        <v>0</v>
      </c>
      <c r="LTC1618" s="55">
        <f t="shared" si="684"/>
        <v>0</v>
      </c>
      <c r="LTD1618" s="55">
        <f t="shared" si="684"/>
        <v>0</v>
      </c>
      <c r="LTE1618" s="55">
        <f t="shared" si="684"/>
        <v>0</v>
      </c>
      <c r="LTF1618" s="55">
        <f t="shared" si="684"/>
        <v>0</v>
      </c>
      <c r="LTG1618" s="55">
        <f t="shared" si="684"/>
        <v>0</v>
      </c>
      <c r="LTH1618" s="55">
        <f t="shared" si="684"/>
        <v>0</v>
      </c>
      <c r="LTI1618" s="55">
        <f t="shared" si="684"/>
        <v>0</v>
      </c>
      <c r="LTJ1618" s="55">
        <f t="shared" si="684"/>
        <v>0</v>
      </c>
      <c r="LTK1618" s="55">
        <f t="shared" si="684"/>
        <v>0</v>
      </c>
      <c r="LTL1618" s="55">
        <f t="shared" si="684"/>
        <v>0</v>
      </c>
      <c r="LTM1618" s="55">
        <f t="shared" si="684"/>
        <v>0</v>
      </c>
      <c r="LTN1618" s="55">
        <f t="shared" si="684"/>
        <v>0</v>
      </c>
      <c r="LTO1618" s="55">
        <f t="shared" si="684"/>
        <v>0</v>
      </c>
      <c r="LTP1618" s="55">
        <f t="shared" si="684"/>
        <v>0</v>
      </c>
      <c r="LTQ1618" s="55">
        <f t="shared" si="684"/>
        <v>0</v>
      </c>
      <c r="LTR1618" s="55">
        <f t="shared" si="684"/>
        <v>0</v>
      </c>
      <c r="LTS1618" s="55">
        <f t="shared" si="684"/>
        <v>0</v>
      </c>
      <c r="LTT1618" s="55">
        <f t="shared" ref="LTT1618:LWE1618" si="685">+(LTT1627+LTT1608)*1.18*1.1</f>
        <v>0</v>
      </c>
      <c r="LTU1618" s="55">
        <f t="shared" si="685"/>
        <v>0</v>
      </c>
      <c r="LTV1618" s="55">
        <f t="shared" si="685"/>
        <v>0</v>
      </c>
      <c r="LTW1618" s="55">
        <f t="shared" si="685"/>
        <v>0</v>
      </c>
      <c r="LTX1618" s="55">
        <f t="shared" si="685"/>
        <v>0</v>
      </c>
      <c r="LTY1618" s="55">
        <f t="shared" si="685"/>
        <v>0</v>
      </c>
      <c r="LTZ1618" s="55">
        <f t="shared" si="685"/>
        <v>0</v>
      </c>
      <c r="LUA1618" s="55">
        <f t="shared" si="685"/>
        <v>0</v>
      </c>
      <c r="LUB1618" s="55">
        <f t="shared" si="685"/>
        <v>0</v>
      </c>
      <c r="LUC1618" s="55">
        <f t="shared" si="685"/>
        <v>0</v>
      </c>
      <c r="LUD1618" s="55">
        <f t="shared" si="685"/>
        <v>0</v>
      </c>
      <c r="LUE1618" s="55">
        <f t="shared" si="685"/>
        <v>0</v>
      </c>
      <c r="LUF1618" s="55">
        <f t="shared" si="685"/>
        <v>0</v>
      </c>
      <c r="LUG1618" s="55">
        <f t="shared" si="685"/>
        <v>0</v>
      </c>
      <c r="LUH1618" s="55">
        <f t="shared" si="685"/>
        <v>0</v>
      </c>
      <c r="LUI1618" s="55">
        <f t="shared" si="685"/>
        <v>0</v>
      </c>
      <c r="LUJ1618" s="55">
        <f t="shared" si="685"/>
        <v>0</v>
      </c>
      <c r="LUK1618" s="55">
        <f t="shared" si="685"/>
        <v>0</v>
      </c>
      <c r="LUL1618" s="55">
        <f t="shared" si="685"/>
        <v>0</v>
      </c>
      <c r="LUM1618" s="55">
        <f t="shared" si="685"/>
        <v>0</v>
      </c>
      <c r="LUN1618" s="55">
        <f t="shared" si="685"/>
        <v>0</v>
      </c>
      <c r="LUO1618" s="55">
        <f t="shared" si="685"/>
        <v>0</v>
      </c>
      <c r="LUP1618" s="55">
        <f t="shared" si="685"/>
        <v>0</v>
      </c>
      <c r="LUQ1618" s="55">
        <f t="shared" si="685"/>
        <v>0</v>
      </c>
      <c r="LUR1618" s="55">
        <f t="shared" si="685"/>
        <v>0</v>
      </c>
      <c r="LUS1618" s="55">
        <f t="shared" si="685"/>
        <v>0</v>
      </c>
      <c r="LUT1618" s="55">
        <f t="shared" si="685"/>
        <v>0</v>
      </c>
      <c r="LUU1618" s="55">
        <f t="shared" si="685"/>
        <v>0</v>
      </c>
      <c r="LUV1618" s="55">
        <f t="shared" si="685"/>
        <v>0</v>
      </c>
      <c r="LUW1618" s="55">
        <f t="shared" si="685"/>
        <v>0</v>
      </c>
      <c r="LUX1618" s="55">
        <f t="shared" si="685"/>
        <v>0</v>
      </c>
      <c r="LUY1618" s="55">
        <f t="shared" si="685"/>
        <v>0</v>
      </c>
      <c r="LUZ1618" s="55">
        <f t="shared" si="685"/>
        <v>0</v>
      </c>
      <c r="LVA1618" s="55">
        <f t="shared" si="685"/>
        <v>0</v>
      </c>
      <c r="LVB1618" s="55">
        <f t="shared" si="685"/>
        <v>0</v>
      </c>
      <c r="LVC1618" s="55">
        <f t="shared" si="685"/>
        <v>0</v>
      </c>
      <c r="LVD1618" s="55">
        <f t="shared" si="685"/>
        <v>0</v>
      </c>
      <c r="LVE1618" s="55">
        <f t="shared" si="685"/>
        <v>0</v>
      </c>
      <c r="LVF1618" s="55">
        <f t="shared" si="685"/>
        <v>0</v>
      </c>
      <c r="LVG1618" s="55">
        <f t="shared" si="685"/>
        <v>0</v>
      </c>
      <c r="LVH1618" s="55">
        <f t="shared" si="685"/>
        <v>0</v>
      </c>
      <c r="LVI1618" s="55">
        <f t="shared" si="685"/>
        <v>0</v>
      </c>
      <c r="LVJ1618" s="55">
        <f t="shared" si="685"/>
        <v>0</v>
      </c>
      <c r="LVK1618" s="55">
        <f t="shared" si="685"/>
        <v>0</v>
      </c>
      <c r="LVL1618" s="55">
        <f t="shared" si="685"/>
        <v>0</v>
      </c>
      <c r="LVM1618" s="55">
        <f t="shared" si="685"/>
        <v>0</v>
      </c>
      <c r="LVN1618" s="55">
        <f t="shared" si="685"/>
        <v>0</v>
      </c>
      <c r="LVO1618" s="55">
        <f t="shared" si="685"/>
        <v>0</v>
      </c>
      <c r="LVP1618" s="55">
        <f t="shared" si="685"/>
        <v>0</v>
      </c>
      <c r="LVQ1618" s="55">
        <f t="shared" si="685"/>
        <v>0</v>
      </c>
      <c r="LVR1618" s="55">
        <f t="shared" si="685"/>
        <v>0</v>
      </c>
      <c r="LVS1618" s="55">
        <f t="shared" si="685"/>
        <v>0</v>
      </c>
      <c r="LVT1618" s="55">
        <f t="shared" si="685"/>
        <v>0</v>
      </c>
      <c r="LVU1618" s="55">
        <f t="shared" si="685"/>
        <v>0</v>
      </c>
      <c r="LVV1618" s="55">
        <f t="shared" si="685"/>
        <v>0</v>
      </c>
      <c r="LVW1618" s="55">
        <f t="shared" si="685"/>
        <v>0</v>
      </c>
      <c r="LVX1618" s="55">
        <f t="shared" si="685"/>
        <v>0</v>
      </c>
      <c r="LVY1618" s="55">
        <f t="shared" si="685"/>
        <v>0</v>
      </c>
      <c r="LVZ1618" s="55">
        <f t="shared" si="685"/>
        <v>0</v>
      </c>
      <c r="LWA1618" s="55">
        <f t="shared" si="685"/>
        <v>0</v>
      </c>
      <c r="LWB1618" s="55">
        <f t="shared" si="685"/>
        <v>0</v>
      </c>
      <c r="LWC1618" s="55">
        <f t="shared" si="685"/>
        <v>0</v>
      </c>
      <c r="LWD1618" s="55">
        <f t="shared" si="685"/>
        <v>0</v>
      </c>
      <c r="LWE1618" s="55">
        <f t="shared" si="685"/>
        <v>0</v>
      </c>
      <c r="LWF1618" s="55">
        <f t="shared" ref="LWF1618:LYQ1618" si="686">+(LWF1627+LWF1608)*1.18*1.1</f>
        <v>0</v>
      </c>
      <c r="LWG1618" s="55">
        <f t="shared" si="686"/>
        <v>0</v>
      </c>
      <c r="LWH1618" s="55">
        <f t="shared" si="686"/>
        <v>0</v>
      </c>
      <c r="LWI1618" s="55">
        <f t="shared" si="686"/>
        <v>0</v>
      </c>
      <c r="LWJ1618" s="55">
        <f t="shared" si="686"/>
        <v>0</v>
      </c>
      <c r="LWK1618" s="55">
        <f t="shared" si="686"/>
        <v>0</v>
      </c>
      <c r="LWL1618" s="55">
        <f t="shared" si="686"/>
        <v>0</v>
      </c>
      <c r="LWM1618" s="55">
        <f t="shared" si="686"/>
        <v>0</v>
      </c>
      <c r="LWN1618" s="55">
        <f t="shared" si="686"/>
        <v>0</v>
      </c>
      <c r="LWO1618" s="55">
        <f t="shared" si="686"/>
        <v>0</v>
      </c>
      <c r="LWP1618" s="55">
        <f t="shared" si="686"/>
        <v>0</v>
      </c>
      <c r="LWQ1618" s="55">
        <f t="shared" si="686"/>
        <v>0</v>
      </c>
      <c r="LWR1618" s="55">
        <f t="shared" si="686"/>
        <v>0</v>
      </c>
      <c r="LWS1618" s="55">
        <f t="shared" si="686"/>
        <v>0</v>
      </c>
      <c r="LWT1618" s="55">
        <f t="shared" si="686"/>
        <v>0</v>
      </c>
      <c r="LWU1618" s="55">
        <f t="shared" si="686"/>
        <v>0</v>
      </c>
      <c r="LWV1618" s="55">
        <f t="shared" si="686"/>
        <v>0</v>
      </c>
      <c r="LWW1618" s="55">
        <f t="shared" si="686"/>
        <v>0</v>
      </c>
      <c r="LWX1618" s="55">
        <f t="shared" si="686"/>
        <v>0</v>
      </c>
      <c r="LWY1618" s="55">
        <f t="shared" si="686"/>
        <v>0</v>
      </c>
      <c r="LWZ1618" s="55">
        <f t="shared" si="686"/>
        <v>0</v>
      </c>
      <c r="LXA1618" s="55">
        <f t="shared" si="686"/>
        <v>0</v>
      </c>
      <c r="LXB1618" s="55">
        <f t="shared" si="686"/>
        <v>0</v>
      </c>
      <c r="LXC1618" s="55">
        <f t="shared" si="686"/>
        <v>0</v>
      </c>
      <c r="LXD1618" s="55">
        <f t="shared" si="686"/>
        <v>0</v>
      </c>
      <c r="LXE1618" s="55">
        <f t="shared" si="686"/>
        <v>0</v>
      </c>
      <c r="LXF1618" s="55">
        <f t="shared" si="686"/>
        <v>0</v>
      </c>
      <c r="LXG1618" s="55">
        <f t="shared" si="686"/>
        <v>0</v>
      </c>
      <c r="LXH1618" s="55">
        <f t="shared" si="686"/>
        <v>0</v>
      </c>
      <c r="LXI1618" s="55">
        <f t="shared" si="686"/>
        <v>0</v>
      </c>
      <c r="LXJ1618" s="55">
        <f t="shared" si="686"/>
        <v>0</v>
      </c>
      <c r="LXK1618" s="55">
        <f t="shared" si="686"/>
        <v>0</v>
      </c>
      <c r="LXL1618" s="55">
        <f t="shared" si="686"/>
        <v>0</v>
      </c>
      <c r="LXM1618" s="55">
        <f t="shared" si="686"/>
        <v>0</v>
      </c>
      <c r="LXN1618" s="55">
        <f t="shared" si="686"/>
        <v>0</v>
      </c>
      <c r="LXO1618" s="55">
        <f t="shared" si="686"/>
        <v>0</v>
      </c>
      <c r="LXP1618" s="55">
        <f t="shared" si="686"/>
        <v>0</v>
      </c>
      <c r="LXQ1618" s="55">
        <f t="shared" si="686"/>
        <v>0</v>
      </c>
      <c r="LXR1618" s="55">
        <f t="shared" si="686"/>
        <v>0</v>
      </c>
      <c r="LXS1618" s="55">
        <f t="shared" si="686"/>
        <v>0</v>
      </c>
      <c r="LXT1618" s="55">
        <f t="shared" si="686"/>
        <v>0</v>
      </c>
      <c r="LXU1618" s="55">
        <f t="shared" si="686"/>
        <v>0</v>
      </c>
      <c r="LXV1618" s="55">
        <f t="shared" si="686"/>
        <v>0</v>
      </c>
      <c r="LXW1618" s="55">
        <f t="shared" si="686"/>
        <v>0</v>
      </c>
      <c r="LXX1618" s="55">
        <f t="shared" si="686"/>
        <v>0</v>
      </c>
      <c r="LXY1618" s="55">
        <f t="shared" si="686"/>
        <v>0</v>
      </c>
      <c r="LXZ1618" s="55">
        <f t="shared" si="686"/>
        <v>0</v>
      </c>
      <c r="LYA1618" s="55">
        <f t="shared" si="686"/>
        <v>0</v>
      </c>
      <c r="LYB1618" s="55">
        <f t="shared" si="686"/>
        <v>0</v>
      </c>
      <c r="LYC1618" s="55">
        <f t="shared" si="686"/>
        <v>0</v>
      </c>
      <c r="LYD1618" s="55">
        <f t="shared" si="686"/>
        <v>0</v>
      </c>
      <c r="LYE1618" s="55">
        <f t="shared" si="686"/>
        <v>0</v>
      </c>
      <c r="LYF1618" s="55">
        <f t="shared" si="686"/>
        <v>0</v>
      </c>
      <c r="LYG1618" s="55">
        <f t="shared" si="686"/>
        <v>0</v>
      </c>
      <c r="LYH1618" s="55">
        <f t="shared" si="686"/>
        <v>0</v>
      </c>
      <c r="LYI1618" s="55">
        <f t="shared" si="686"/>
        <v>0</v>
      </c>
      <c r="LYJ1618" s="55">
        <f t="shared" si="686"/>
        <v>0</v>
      </c>
      <c r="LYK1618" s="55">
        <f t="shared" si="686"/>
        <v>0</v>
      </c>
      <c r="LYL1618" s="55">
        <f t="shared" si="686"/>
        <v>0</v>
      </c>
      <c r="LYM1618" s="55">
        <f t="shared" si="686"/>
        <v>0</v>
      </c>
      <c r="LYN1618" s="55">
        <f t="shared" si="686"/>
        <v>0</v>
      </c>
      <c r="LYO1618" s="55">
        <f t="shared" si="686"/>
        <v>0</v>
      </c>
      <c r="LYP1618" s="55">
        <f t="shared" si="686"/>
        <v>0</v>
      </c>
      <c r="LYQ1618" s="55">
        <f t="shared" si="686"/>
        <v>0</v>
      </c>
      <c r="LYR1618" s="55">
        <f t="shared" ref="LYR1618:MBC1618" si="687">+(LYR1627+LYR1608)*1.18*1.1</f>
        <v>0</v>
      </c>
      <c r="LYS1618" s="55">
        <f t="shared" si="687"/>
        <v>0</v>
      </c>
      <c r="LYT1618" s="55">
        <f t="shared" si="687"/>
        <v>0</v>
      </c>
      <c r="LYU1618" s="55">
        <f t="shared" si="687"/>
        <v>0</v>
      </c>
      <c r="LYV1618" s="55">
        <f t="shared" si="687"/>
        <v>0</v>
      </c>
      <c r="LYW1618" s="55">
        <f t="shared" si="687"/>
        <v>0</v>
      </c>
      <c r="LYX1618" s="55">
        <f t="shared" si="687"/>
        <v>0</v>
      </c>
      <c r="LYY1618" s="55">
        <f t="shared" si="687"/>
        <v>0</v>
      </c>
      <c r="LYZ1618" s="55">
        <f t="shared" si="687"/>
        <v>0</v>
      </c>
      <c r="LZA1618" s="55">
        <f t="shared" si="687"/>
        <v>0</v>
      </c>
      <c r="LZB1618" s="55">
        <f t="shared" si="687"/>
        <v>0</v>
      </c>
      <c r="LZC1618" s="55">
        <f t="shared" si="687"/>
        <v>0</v>
      </c>
      <c r="LZD1618" s="55">
        <f t="shared" si="687"/>
        <v>0</v>
      </c>
      <c r="LZE1618" s="55">
        <f t="shared" si="687"/>
        <v>0</v>
      </c>
      <c r="LZF1618" s="55">
        <f t="shared" si="687"/>
        <v>0</v>
      </c>
      <c r="LZG1618" s="55">
        <f t="shared" si="687"/>
        <v>0</v>
      </c>
      <c r="LZH1618" s="55">
        <f t="shared" si="687"/>
        <v>0</v>
      </c>
      <c r="LZI1618" s="55">
        <f t="shared" si="687"/>
        <v>0</v>
      </c>
      <c r="LZJ1618" s="55">
        <f t="shared" si="687"/>
        <v>0</v>
      </c>
      <c r="LZK1618" s="55">
        <f t="shared" si="687"/>
        <v>0</v>
      </c>
      <c r="LZL1618" s="55">
        <f t="shared" si="687"/>
        <v>0</v>
      </c>
      <c r="LZM1618" s="55">
        <f t="shared" si="687"/>
        <v>0</v>
      </c>
      <c r="LZN1618" s="55">
        <f t="shared" si="687"/>
        <v>0</v>
      </c>
      <c r="LZO1618" s="55">
        <f t="shared" si="687"/>
        <v>0</v>
      </c>
      <c r="LZP1618" s="55">
        <f t="shared" si="687"/>
        <v>0</v>
      </c>
      <c r="LZQ1618" s="55">
        <f t="shared" si="687"/>
        <v>0</v>
      </c>
      <c r="LZR1618" s="55">
        <f t="shared" si="687"/>
        <v>0</v>
      </c>
      <c r="LZS1618" s="55">
        <f t="shared" si="687"/>
        <v>0</v>
      </c>
      <c r="LZT1618" s="55">
        <f t="shared" si="687"/>
        <v>0</v>
      </c>
      <c r="LZU1618" s="55">
        <f t="shared" si="687"/>
        <v>0</v>
      </c>
      <c r="LZV1618" s="55">
        <f t="shared" si="687"/>
        <v>0</v>
      </c>
      <c r="LZW1618" s="55">
        <f t="shared" si="687"/>
        <v>0</v>
      </c>
      <c r="LZX1618" s="55">
        <f t="shared" si="687"/>
        <v>0</v>
      </c>
      <c r="LZY1618" s="55">
        <f t="shared" si="687"/>
        <v>0</v>
      </c>
      <c r="LZZ1618" s="55">
        <f t="shared" si="687"/>
        <v>0</v>
      </c>
      <c r="MAA1618" s="55">
        <f t="shared" si="687"/>
        <v>0</v>
      </c>
      <c r="MAB1618" s="55">
        <f t="shared" si="687"/>
        <v>0</v>
      </c>
      <c r="MAC1618" s="55">
        <f t="shared" si="687"/>
        <v>0</v>
      </c>
      <c r="MAD1618" s="55">
        <f t="shared" si="687"/>
        <v>0</v>
      </c>
      <c r="MAE1618" s="55">
        <f t="shared" si="687"/>
        <v>0</v>
      </c>
      <c r="MAF1618" s="55">
        <f t="shared" si="687"/>
        <v>0</v>
      </c>
      <c r="MAG1618" s="55">
        <f t="shared" si="687"/>
        <v>0</v>
      </c>
      <c r="MAH1618" s="55">
        <f t="shared" si="687"/>
        <v>0</v>
      </c>
      <c r="MAI1618" s="55">
        <f t="shared" si="687"/>
        <v>0</v>
      </c>
      <c r="MAJ1618" s="55">
        <f t="shared" si="687"/>
        <v>0</v>
      </c>
      <c r="MAK1618" s="55">
        <f t="shared" si="687"/>
        <v>0</v>
      </c>
      <c r="MAL1618" s="55">
        <f t="shared" si="687"/>
        <v>0</v>
      </c>
      <c r="MAM1618" s="55">
        <f t="shared" si="687"/>
        <v>0</v>
      </c>
      <c r="MAN1618" s="55">
        <f t="shared" si="687"/>
        <v>0</v>
      </c>
      <c r="MAO1618" s="55">
        <f t="shared" si="687"/>
        <v>0</v>
      </c>
      <c r="MAP1618" s="55">
        <f t="shared" si="687"/>
        <v>0</v>
      </c>
      <c r="MAQ1618" s="55">
        <f t="shared" si="687"/>
        <v>0</v>
      </c>
      <c r="MAR1618" s="55">
        <f t="shared" si="687"/>
        <v>0</v>
      </c>
      <c r="MAS1618" s="55">
        <f t="shared" si="687"/>
        <v>0</v>
      </c>
      <c r="MAT1618" s="55">
        <f t="shared" si="687"/>
        <v>0</v>
      </c>
      <c r="MAU1618" s="55">
        <f t="shared" si="687"/>
        <v>0</v>
      </c>
      <c r="MAV1618" s="55">
        <f t="shared" si="687"/>
        <v>0</v>
      </c>
      <c r="MAW1618" s="55">
        <f t="shared" si="687"/>
        <v>0</v>
      </c>
      <c r="MAX1618" s="55">
        <f t="shared" si="687"/>
        <v>0</v>
      </c>
      <c r="MAY1618" s="55">
        <f t="shared" si="687"/>
        <v>0</v>
      </c>
      <c r="MAZ1618" s="55">
        <f t="shared" si="687"/>
        <v>0</v>
      </c>
      <c r="MBA1618" s="55">
        <f t="shared" si="687"/>
        <v>0</v>
      </c>
      <c r="MBB1618" s="55">
        <f t="shared" si="687"/>
        <v>0</v>
      </c>
      <c r="MBC1618" s="55">
        <f t="shared" si="687"/>
        <v>0</v>
      </c>
      <c r="MBD1618" s="55">
        <f t="shared" ref="MBD1618:MDO1618" si="688">+(MBD1627+MBD1608)*1.18*1.1</f>
        <v>0</v>
      </c>
      <c r="MBE1618" s="55">
        <f t="shared" si="688"/>
        <v>0</v>
      </c>
      <c r="MBF1618" s="55">
        <f t="shared" si="688"/>
        <v>0</v>
      </c>
      <c r="MBG1618" s="55">
        <f t="shared" si="688"/>
        <v>0</v>
      </c>
      <c r="MBH1618" s="55">
        <f t="shared" si="688"/>
        <v>0</v>
      </c>
      <c r="MBI1618" s="55">
        <f t="shared" si="688"/>
        <v>0</v>
      </c>
      <c r="MBJ1618" s="55">
        <f t="shared" si="688"/>
        <v>0</v>
      </c>
      <c r="MBK1618" s="55">
        <f t="shared" si="688"/>
        <v>0</v>
      </c>
      <c r="MBL1618" s="55">
        <f t="shared" si="688"/>
        <v>0</v>
      </c>
      <c r="MBM1618" s="55">
        <f t="shared" si="688"/>
        <v>0</v>
      </c>
      <c r="MBN1618" s="55">
        <f t="shared" si="688"/>
        <v>0</v>
      </c>
      <c r="MBO1618" s="55">
        <f t="shared" si="688"/>
        <v>0</v>
      </c>
      <c r="MBP1618" s="55">
        <f t="shared" si="688"/>
        <v>0</v>
      </c>
      <c r="MBQ1618" s="55">
        <f t="shared" si="688"/>
        <v>0</v>
      </c>
      <c r="MBR1618" s="55">
        <f t="shared" si="688"/>
        <v>0</v>
      </c>
      <c r="MBS1618" s="55">
        <f t="shared" si="688"/>
        <v>0</v>
      </c>
      <c r="MBT1618" s="55">
        <f t="shared" si="688"/>
        <v>0</v>
      </c>
      <c r="MBU1618" s="55">
        <f t="shared" si="688"/>
        <v>0</v>
      </c>
      <c r="MBV1618" s="55">
        <f t="shared" si="688"/>
        <v>0</v>
      </c>
      <c r="MBW1618" s="55">
        <f t="shared" si="688"/>
        <v>0</v>
      </c>
      <c r="MBX1618" s="55">
        <f t="shared" si="688"/>
        <v>0</v>
      </c>
      <c r="MBY1618" s="55">
        <f t="shared" si="688"/>
        <v>0</v>
      </c>
      <c r="MBZ1618" s="55">
        <f t="shared" si="688"/>
        <v>0</v>
      </c>
      <c r="MCA1618" s="55">
        <f t="shared" si="688"/>
        <v>0</v>
      </c>
      <c r="MCB1618" s="55">
        <f t="shared" si="688"/>
        <v>0</v>
      </c>
      <c r="MCC1618" s="55">
        <f t="shared" si="688"/>
        <v>0</v>
      </c>
      <c r="MCD1618" s="55">
        <f t="shared" si="688"/>
        <v>0</v>
      </c>
      <c r="MCE1618" s="55">
        <f t="shared" si="688"/>
        <v>0</v>
      </c>
      <c r="MCF1618" s="55">
        <f t="shared" si="688"/>
        <v>0</v>
      </c>
      <c r="MCG1618" s="55">
        <f t="shared" si="688"/>
        <v>0</v>
      </c>
      <c r="MCH1618" s="55">
        <f t="shared" si="688"/>
        <v>0</v>
      </c>
      <c r="MCI1618" s="55">
        <f t="shared" si="688"/>
        <v>0</v>
      </c>
      <c r="MCJ1618" s="55">
        <f t="shared" si="688"/>
        <v>0</v>
      </c>
      <c r="MCK1618" s="55">
        <f t="shared" si="688"/>
        <v>0</v>
      </c>
      <c r="MCL1618" s="55">
        <f t="shared" si="688"/>
        <v>0</v>
      </c>
      <c r="MCM1618" s="55">
        <f t="shared" si="688"/>
        <v>0</v>
      </c>
      <c r="MCN1618" s="55">
        <f t="shared" si="688"/>
        <v>0</v>
      </c>
      <c r="MCO1618" s="55">
        <f t="shared" si="688"/>
        <v>0</v>
      </c>
      <c r="MCP1618" s="55">
        <f t="shared" si="688"/>
        <v>0</v>
      </c>
      <c r="MCQ1618" s="55">
        <f t="shared" si="688"/>
        <v>0</v>
      </c>
      <c r="MCR1618" s="55">
        <f t="shared" si="688"/>
        <v>0</v>
      </c>
      <c r="MCS1618" s="55">
        <f t="shared" si="688"/>
        <v>0</v>
      </c>
      <c r="MCT1618" s="55">
        <f t="shared" si="688"/>
        <v>0</v>
      </c>
      <c r="MCU1618" s="55">
        <f t="shared" si="688"/>
        <v>0</v>
      </c>
      <c r="MCV1618" s="55">
        <f t="shared" si="688"/>
        <v>0</v>
      </c>
      <c r="MCW1618" s="55">
        <f t="shared" si="688"/>
        <v>0</v>
      </c>
      <c r="MCX1618" s="55">
        <f t="shared" si="688"/>
        <v>0</v>
      </c>
      <c r="MCY1618" s="55">
        <f t="shared" si="688"/>
        <v>0</v>
      </c>
      <c r="MCZ1618" s="55">
        <f t="shared" si="688"/>
        <v>0</v>
      </c>
      <c r="MDA1618" s="55">
        <f t="shared" si="688"/>
        <v>0</v>
      </c>
      <c r="MDB1618" s="55">
        <f t="shared" si="688"/>
        <v>0</v>
      </c>
      <c r="MDC1618" s="55">
        <f t="shared" si="688"/>
        <v>0</v>
      </c>
      <c r="MDD1618" s="55">
        <f t="shared" si="688"/>
        <v>0</v>
      </c>
      <c r="MDE1618" s="55">
        <f t="shared" si="688"/>
        <v>0</v>
      </c>
      <c r="MDF1618" s="55">
        <f t="shared" si="688"/>
        <v>0</v>
      </c>
      <c r="MDG1618" s="55">
        <f t="shared" si="688"/>
        <v>0</v>
      </c>
      <c r="MDH1618" s="55">
        <f t="shared" si="688"/>
        <v>0</v>
      </c>
      <c r="MDI1618" s="55">
        <f t="shared" si="688"/>
        <v>0</v>
      </c>
      <c r="MDJ1618" s="55">
        <f t="shared" si="688"/>
        <v>0</v>
      </c>
      <c r="MDK1618" s="55">
        <f t="shared" si="688"/>
        <v>0</v>
      </c>
      <c r="MDL1618" s="55">
        <f t="shared" si="688"/>
        <v>0</v>
      </c>
      <c r="MDM1618" s="55">
        <f t="shared" si="688"/>
        <v>0</v>
      </c>
      <c r="MDN1618" s="55">
        <f t="shared" si="688"/>
        <v>0</v>
      </c>
      <c r="MDO1618" s="55">
        <f t="shared" si="688"/>
        <v>0</v>
      </c>
      <c r="MDP1618" s="55">
        <f t="shared" ref="MDP1618:MGA1618" si="689">+(MDP1627+MDP1608)*1.18*1.1</f>
        <v>0</v>
      </c>
      <c r="MDQ1618" s="55">
        <f t="shared" si="689"/>
        <v>0</v>
      </c>
      <c r="MDR1618" s="55">
        <f t="shared" si="689"/>
        <v>0</v>
      </c>
      <c r="MDS1618" s="55">
        <f t="shared" si="689"/>
        <v>0</v>
      </c>
      <c r="MDT1618" s="55">
        <f t="shared" si="689"/>
        <v>0</v>
      </c>
      <c r="MDU1618" s="55">
        <f t="shared" si="689"/>
        <v>0</v>
      </c>
      <c r="MDV1618" s="55">
        <f t="shared" si="689"/>
        <v>0</v>
      </c>
      <c r="MDW1618" s="55">
        <f t="shared" si="689"/>
        <v>0</v>
      </c>
      <c r="MDX1618" s="55">
        <f t="shared" si="689"/>
        <v>0</v>
      </c>
      <c r="MDY1618" s="55">
        <f t="shared" si="689"/>
        <v>0</v>
      </c>
      <c r="MDZ1618" s="55">
        <f t="shared" si="689"/>
        <v>0</v>
      </c>
      <c r="MEA1618" s="55">
        <f t="shared" si="689"/>
        <v>0</v>
      </c>
      <c r="MEB1618" s="55">
        <f t="shared" si="689"/>
        <v>0</v>
      </c>
      <c r="MEC1618" s="55">
        <f t="shared" si="689"/>
        <v>0</v>
      </c>
      <c r="MED1618" s="55">
        <f t="shared" si="689"/>
        <v>0</v>
      </c>
      <c r="MEE1618" s="55">
        <f t="shared" si="689"/>
        <v>0</v>
      </c>
      <c r="MEF1618" s="55">
        <f t="shared" si="689"/>
        <v>0</v>
      </c>
      <c r="MEG1618" s="55">
        <f t="shared" si="689"/>
        <v>0</v>
      </c>
      <c r="MEH1618" s="55">
        <f t="shared" si="689"/>
        <v>0</v>
      </c>
      <c r="MEI1618" s="55">
        <f t="shared" si="689"/>
        <v>0</v>
      </c>
      <c r="MEJ1618" s="55">
        <f t="shared" si="689"/>
        <v>0</v>
      </c>
      <c r="MEK1618" s="55">
        <f t="shared" si="689"/>
        <v>0</v>
      </c>
      <c r="MEL1618" s="55">
        <f t="shared" si="689"/>
        <v>0</v>
      </c>
      <c r="MEM1618" s="55">
        <f t="shared" si="689"/>
        <v>0</v>
      </c>
      <c r="MEN1618" s="55">
        <f t="shared" si="689"/>
        <v>0</v>
      </c>
      <c r="MEO1618" s="55">
        <f t="shared" si="689"/>
        <v>0</v>
      </c>
      <c r="MEP1618" s="55">
        <f t="shared" si="689"/>
        <v>0</v>
      </c>
      <c r="MEQ1618" s="55">
        <f t="shared" si="689"/>
        <v>0</v>
      </c>
      <c r="MER1618" s="55">
        <f t="shared" si="689"/>
        <v>0</v>
      </c>
      <c r="MES1618" s="55">
        <f t="shared" si="689"/>
        <v>0</v>
      </c>
      <c r="MET1618" s="55">
        <f t="shared" si="689"/>
        <v>0</v>
      </c>
      <c r="MEU1618" s="55">
        <f t="shared" si="689"/>
        <v>0</v>
      </c>
      <c r="MEV1618" s="55">
        <f t="shared" si="689"/>
        <v>0</v>
      </c>
      <c r="MEW1618" s="55">
        <f t="shared" si="689"/>
        <v>0</v>
      </c>
      <c r="MEX1618" s="55">
        <f t="shared" si="689"/>
        <v>0</v>
      </c>
      <c r="MEY1618" s="55">
        <f t="shared" si="689"/>
        <v>0</v>
      </c>
      <c r="MEZ1618" s="55">
        <f t="shared" si="689"/>
        <v>0</v>
      </c>
      <c r="MFA1618" s="55">
        <f t="shared" si="689"/>
        <v>0</v>
      </c>
      <c r="MFB1618" s="55">
        <f t="shared" si="689"/>
        <v>0</v>
      </c>
      <c r="MFC1618" s="55">
        <f t="shared" si="689"/>
        <v>0</v>
      </c>
      <c r="MFD1618" s="55">
        <f t="shared" si="689"/>
        <v>0</v>
      </c>
      <c r="MFE1618" s="55">
        <f t="shared" si="689"/>
        <v>0</v>
      </c>
      <c r="MFF1618" s="55">
        <f t="shared" si="689"/>
        <v>0</v>
      </c>
      <c r="MFG1618" s="55">
        <f t="shared" si="689"/>
        <v>0</v>
      </c>
      <c r="MFH1618" s="55">
        <f t="shared" si="689"/>
        <v>0</v>
      </c>
      <c r="MFI1618" s="55">
        <f t="shared" si="689"/>
        <v>0</v>
      </c>
      <c r="MFJ1618" s="55">
        <f t="shared" si="689"/>
        <v>0</v>
      </c>
      <c r="MFK1618" s="55">
        <f t="shared" si="689"/>
        <v>0</v>
      </c>
      <c r="MFL1618" s="55">
        <f t="shared" si="689"/>
        <v>0</v>
      </c>
      <c r="MFM1618" s="55">
        <f t="shared" si="689"/>
        <v>0</v>
      </c>
      <c r="MFN1618" s="55">
        <f t="shared" si="689"/>
        <v>0</v>
      </c>
      <c r="MFO1618" s="55">
        <f t="shared" si="689"/>
        <v>0</v>
      </c>
      <c r="MFP1618" s="55">
        <f t="shared" si="689"/>
        <v>0</v>
      </c>
      <c r="MFQ1618" s="55">
        <f t="shared" si="689"/>
        <v>0</v>
      </c>
      <c r="MFR1618" s="55">
        <f t="shared" si="689"/>
        <v>0</v>
      </c>
      <c r="MFS1618" s="55">
        <f t="shared" si="689"/>
        <v>0</v>
      </c>
      <c r="MFT1618" s="55">
        <f t="shared" si="689"/>
        <v>0</v>
      </c>
      <c r="MFU1618" s="55">
        <f t="shared" si="689"/>
        <v>0</v>
      </c>
      <c r="MFV1618" s="55">
        <f t="shared" si="689"/>
        <v>0</v>
      </c>
      <c r="MFW1618" s="55">
        <f t="shared" si="689"/>
        <v>0</v>
      </c>
      <c r="MFX1618" s="55">
        <f t="shared" si="689"/>
        <v>0</v>
      </c>
      <c r="MFY1618" s="55">
        <f t="shared" si="689"/>
        <v>0</v>
      </c>
      <c r="MFZ1618" s="55">
        <f t="shared" si="689"/>
        <v>0</v>
      </c>
      <c r="MGA1618" s="55">
        <f t="shared" si="689"/>
        <v>0</v>
      </c>
      <c r="MGB1618" s="55">
        <f t="shared" ref="MGB1618:MIM1618" si="690">+(MGB1627+MGB1608)*1.18*1.1</f>
        <v>0</v>
      </c>
      <c r="MGC1618" s="55">
        <f t="shared" si="690"/>
        <v>0</v>
      </c>
      <c r="MGD1618" s="55">
        <f t="shared" si="690"/>
        <v>0</v>
      </c>
      <c r="MGE1618" s="55">
        <f t="shared" si="690"/>
        <v>0</v>
      </c>
      <c r="MGF1618" s="55">
        <f t="shared" si="690"/>
        <v>0</v>
      </c>
      <c r="MGG1618" s="55">
        <f t="shared" si="690"/>
        <v>0</v>
      </c>
      <c r="MGH1618" s="55">
        <f t="shared" si="690"/>
        <v>0</v>
      </c>
      <c r="MGI1618" s="55">
        <f t="shared" si="690"/>
        <v>0</v>
      </c>
      <c r="MGJ1618" s="55">
        <f t="shared" si="690"/>
        <v>0</v>
      </c>
      <c r="MGK1618" s="55">
        <f t="shared" si="690"/>
        <v>0</v>
      </c>
      <c r="MGL1618" s="55">
        <f t="shared" si="690"/>
        <v>0</v>
      </c>
      <c r="MGM1618" s="55">
        <f t="shared" si="690"/>
        <v>0</v>
      </c>
      <c r="MGN1618" s="55">
        <f t="shared" si="690"/>
        <v>0</v>
      </c>
      <c r="MGO1618" s="55">
        <f t="shared" si="690"/>
        <v>0</v>
      </c>
      <c r="MGP1618" s="55">
        <f t="shared" si="690"/>
        <v>0</v>
      </c>
      <c r="MGQ1618" s="55">
        <f t="shared" si="690"/>
        <v>0</v>
      </c>
      <c r="MGR1618" s="55">
        <f t="shared" si="690"/>
        <v>0</v>
      </c>
      <c r="MGS1618" s="55">
        <f t="shared" si="690"/>
        <v>0</v>
      </c>
      <c r="MGT1618" s="55">
        <f t="shared" si="690"/>
        <v>0</v>
      </c>
      <c r="MGU1618" s="55">
        <f t="shared" si="690"/>
        <v>0</v>
      </c>
      <c r="MGV1618" s="55">
        <f t="shared" si="690"/>
        <v>0</v>
      </c>
      <c r="MGW1618" s="55">
        <f t="shared" si="690"/>
        <v>0</v>
      </c>
      <c r="MGX1618" s="55">
        <f t="shared" si="690"/>
        <v>0</v>
      </c>
      <c r="MGY1618" s="55">
        <f t="shared" si="690"/>
        <v>0</v>
      </c>
      <c r="MGZ1618" s="55">
        <f t="shared" si="690"/>
        <v>0</v>
      </c>
      <c r="MHA1618" s="55">
        <f t="shared" si="690"/>
        <v>0</v>
      </c>
      <c r="MHB1618" s="55">
        <f t="shared" si="690"/>
        <v>0</v>
      </c>
      <c r="MHC1618" s="55">
        <f t="shared" si="690"/>
        <v>0</v>
      </c>
      <c r="MHD1618" s="55">
        <f t="shared" si="690"/>
        <v>0</v>
      </c>
      <c r="MHE1618" s="55">
        <f t="shared" si="690"/>
        <v>0</v>
      </c>
      <c r="MHF1618" s="55">
        <f t="shared" si="690"/>
        <v>0</v>
      </c>
      <c r="MHG1618" s="55">
        <f t="shared" si="690"/>
        <v>0</v>
      </c>
      <c r="MHH1618" s="55">
        <f t="shared" si="690"/>
        <v>0</v>
      </c>
      <c r="MHI1618" s="55">
        <f t="shared" si="690"/>
        <v>0</v>
      </c>
      <c r="MHJ1618" s="55">
        <f t="shared" si="690"/>
        <v>0</v>
      </c>
      <c r="MHK1618" s="55">
        <f t="shared" si="690"/>
        <v>0</v>
      </c>
      <c r="MHL1618" s="55">
        <f t="shared" si="690"/>
        <v>0</v>
      </c>
      <c r="MHM1618" s="55">
        <f t="shared" si="690"/>
        <v>0</v>
      </c>
      <c r="MHN1618" s="55">
        <f t="shared" si="690"/>
        <v>0</v>
      </c>
      <c r="MHO1618" s="55">
        <f t="shared" si="690"/>
        <v>0</v>
      </c>
      <c r="MHP1618" s="55">
        <f t="shared" si="690"/>
        <v>0</v>
      </c>
      <c r="MHQ1618" s="55">
        <f t="shared" si="690"/>
        <v>0</v>
      </c>
      <c r="MHR1618" s="55">
        <f t="shared" si="690"/>
        <v>0</v>
      </c>
      <c r="MHS1618" s="55">
        <f t="shared" si="690"/>
        <v>0</v>
      </c>
      <c r="MHT1618" s="55">
        <f t="shared" si="690"/>
        <v>0</v>
      </c>
      <c r="MHU1618" s="55">
        <f t="shared" si="690"/>
        <v>0</v>
      </c>
      <c r="MHV1618" s="55">
        <f t="shared" si="690"/>
        <v>0</v>
      </c>
      <c r="MHW1618" s="55">
        <f t="shared" si="690"/>
        <v>0</v>
      </c>
      <c r="MHX1618" s="55">
        <f t="shared" si="690"/>
        <v>0</v>
      </c>
      <c r="MHY1618" s="55">
        <f t="shared" si="690"/>
        <v>0</v>
      </c>
      <c r="MHZ1618" s="55">
        <f t="shared" si="690"/>
        <v>0</v>
      </c>
      <c r="MIA1618" s="55">
        <f t="shared" si="690"/>
        <v>0</v>
      </c>
      <c r="MIB1618" s="55">
        <f t="shared" si="690"/>
        <v>0</v>
      </c>
      <c r="MIC1618" s="55">
        <f t="shared" si="690"/>
        <v>0</v>
      </c>
      <c r="MID1618" s="55">
        <f t="shared" si="690"/>
        <v>0</v>
      </c>
      <c r="MIE1618" s="55">
        <f t="shared" si="690"/>
        <v>0</v>
      </c>
      <c r="MIF1618" s="55">
        <f t="shared" si="690"/>
        <v>0</v>
      </c>
      <c r="MIG1618" s="55">
        <f t="shared" si="690"/>
        <v>0</v>
      </c>
      <c r="MIH1618" s="55">
        <f t="shared" si="690"/>
        <v>0</v>
      </c>
      <c r="MII1618" s="55">
        <f t="shared" si="690"/>
        <v>0</v>
      </c>
      <c r="MIJ1618" s="55">
        <f t="shared" si="690"/>
        <v>0</v>
      </c>
      <c r="MIK1618" s="55">
        <f t="shared" si="690"/>
        <v>0</v>
      </c>
      <c r="MIL1618" s="55">
        <f t="shared" si="690"/>
        <v>0</v>
      </c>
      <c r="MIM1618" s="55">
        <f t="shared" si="690"/>
        <v>0</v>
      </c>
      <c r="MIN1618" s="55">
        <f t="shared" ref="MIN1618:MKY1618" si="691">+(MIN1627+MIN1608)*1.18*1.1</f>
        <v>0</v>
      </c>
      <c r="MIO1618" s="55">
        <f t="shared" si="691"/>
        <v>0</v>
      </c>
      <c r="MIP1618" s="55">
        <f t="shared" si="691"/>
        <v>0</v>
      </c>
      <c r="MIQ1618" s="55">
        <f t="shared" si="691"/>
        <v>0</v>
      </c>
      <c r="MIR1618" s="55">
        <f t="shared" si="691"/>
        <v>0</v>
      </c>
      <c r="MIS1618" s="55">
        <f t="shared" si="691"/>
        <v>0</v>
      </c>
      <c r="MIT1618" s="55">
        <f t="shared" si="691"/>
        <v>0</v>
      </c>
      <c r="MIU1618" s="55">
        <f t="shared" si="691"/>
        <v>0</v>
      </c>
      <c r="MIV1618" s="55">
        <f t="shared" si="691"/>
        <v>0</v>
      </c>
      <c r="MIW1618" s="55">
        <f t="shared" si="691"/>
        <v>0</v>
      </c>
      <c r="MIX1618" s="55">
        <f t="shared" si="691"/>
        <v>0</v>
      </c>
      <c r="MIY1618" s="55">
        <f t="shared" si="691"/>
        <v>0</v>
      </c>
      <c r="MIZ1618" s="55">
        <f t="shared" si="691"/>
        <v>0</v>
      </c>
      <c r="MJA1618" s="55">
        <f t="shared" si="691"/>
        <v>0</v>
      </c>
      <c r="MJB1618" s="55">
        <f t="shared" si="691"/>
        <v>0</v>
      </c>
      <c r="MJC1618" s="55">
        <f t="shared" si="691"/>
        <v>0</v>
      </c>
      <c r="MJD1618" s="55">
        <f t="shared" si="691"/>
        <v>0</v>
      </c>
      <c r="MJE1618" s="55">
        <f t="shared" si="691"/>
        <v>0</v>
      </c>
      <c r="MJF1618" s="55">
        <f t="shared" si="691"/>
        <v>0</v>
      </c>
      <c r="MJG1618" s="55">
        <f t="shared" si="691"/>
        <v>0</v>
      </c>
      <c r="MJH1618" s="55">
        <f t="shared" si="691"/>
        <v>0</v>
      </c>
      <c r="MJI1618" s="55">
        <f t="shared" si="691"/>
        <v>0</v>
      </c>
      <c r="MJJ1618" s="55">
        <f t="shared" si="691"/>
        <v>0</v>
      </c>
      <c r="MJK1618" s="55">
        <f t="shared" si="691"/>
        <v>0</v>
      </c>
      <c r="MJL1618" s="55">
        <f t="shared" si="691"/>
        <v>0</v>
      </c>
      <c r="MJM1618" s="55">
        <f t="shared" si="691"/>
        <v>0</v>
      </c>
      <c r="MJN1618" s="55">
        <f t="shared" si="691"/>
        <v>0</v>
      </c>
      <c r="MJO1618" s="55">
        <f t="shared" si="691"/>
        <v>0</v>
      </c>
      <c r="MJP1618" s="55">
        <f t="shared" si="691"/>
        <v>0</v>
      </c>
      <c r="MJQ1618" s="55">
        <f t="shared" si="691"/>
        <v>0</v>
      </c>
      <c r="MJR1618" s="55">
        <f t="shared" si="691"/>
        <v>0</v>
      </c>
      <c r="MJS1618" s="55">
        <f t="shared" si="691"/>
        <v>0</v>
      </c>
      <c r="MJT1618" s="55">
        <f t="shared" si="691"/>
        <v>0</v>
      </c>
      <c r="MJU1618" s="55">
        <f t="shared" si="691"/>
        <v>0</v>
      </c>
      <c r="MJV1618" s="55">
        <f t="shared" si="691"/>
        <v>0</v>
      </c>
      <c r="MJW1618" s="55">
        <f t="shared" si="691"/>
        <v>0</v>
      </c>
      <c r="MJX1618" s="55">
        <f t="shared" si="691"/>
        <v>0</v>
      </c>
      <c r="MJY1618" s="55">
        <f t="shared" si="691"/>
        <v>0</v>
      </c>
      <c r="MJZ1618" s="55">
        <f t="shared" si="691"/>
        <v>0</v>
      </c>
      <c r="MKA1618" s="55">
        <f t="shared" si="691"/>
        <v>0</v>
      </c>
      <c r="MKB1618" s="55">
        <f t="shared" si="691"/>
        <v>0</v>
      </c>
      <c r="MKC1618" s="55">
        <f t="shared" si="691"/>
        <v>0</v>
      </c>
      <c r="MKD1618" s="55">
        <f t="shared" si="691"/>
        <v>0</v>
      </c>
      <c r="MKE1618" s="55">
        <f t="shared" si="691"/>
        <v>0</v>
      </c>
      <c r="MKF1618" s="55">
        <f t="shared" si="691"/>
        <v>0</v>
      </c>
      <c r="MKG1618" s="55">
        <f t="shared" si="691"/>
        <v>0</v>
      </c>
      <c r="MKH1618" s="55">
        <f t="shared" si="691"/>
        <v>0</v>
      </c>
      <c r="MKI1618" s="55">
        <f t="shared" si="691"/>
        <v>0</v>
      </c>
      <c r="MKJ1618" s="55">
        <f t="shared" si="691"/>
        <v>0</v>
      </c>
      <c r="MKK1618" s="55">
        <f t="shared" si="691"/>
        <v>0</v>
      </c>
      <c r="MKL1618" s="55">
        <f t="shared" si="691"/>
        <v>0</v>
      </c>
      <c r="MKM1618" s="55">
        <f t="shared" si="691"/>
        <v>0</v>
      </c>
      <c r="MKN1618" s="55">
        <f t="shared" si="691"/>
        <v>0</v>
      </c>
      <c r="MKO1618" s="55">
        <f t="shared" si="691"/>
        <v>0</v>
      </c>
      <c r="MKP1618" s="55">
        <f t="shared" si="691"/>
        <v>0</v>
      </c>
      <c r="MKQ1618" s="55">
        <f t="shared" si="691"/>
        <v>0</v>
      </c>
      <c r="MKR1618" s="55">
        <f t="shared" si="691"/>
        <v>0</v>
      </c>
      <c r="MKS1618" s="55">
        <f t="shared" si="691"/>
        <v>0</v>
      </c>
      <c r="MKT1618" s="55">
        <f t="shared" si="691"/>
        <v>0</v>
      </c>
      <c r="MKU1618" s="55">
        <f t="shared" si="691"/>
        <v>0</v>
      </c>
      <c r="MKV1618" s="55">
        <f t="shared" si="691"/>
        <v>0</v>
      </c>
      <c r="MKW1618" s="55">
        <f t="shared" si="691"/>
        <v>0</v>
      </c>
      <c r="MKX1618" s="55">
        <f t="shared" si="691"/>
        <v>0</v>
      </c>
      <c r="MKY1618" s="55">
        <f t="shared" si="691"/>
        <v>0</v>
      </c>
      <c r="MKZ1618" s="55">
        <f t="shared" ref="MKZ1618:MNK1618" si="692">+(MKZ1627+MKZ1608)*1.18*1.1</f>
        <v>0</v>
      </c>
      <c r="MLA1618" s="55">
        <f t="shared" si="692"/>
        <v>0</v>
      </c>
      <c r="MLB1618" s="55">
        <f t="shared" si="692"/>
        <v>0</v>
      </c>
      <c r="MLC1618" s="55">
        <f t="shared" si="692"/>
        <v>0</v>
      </c>
      <c r="MLD1618" s="55">
        <f t="shared" si="692"/>
        <v>0</v>
      </c>
      <c r="MLE1618" s="55">
        <f t="shared" si="692"/>
        <v>0</v>
      </c>
      <c r="MLF1618" s="55">
        <f t="shared" si="692"/>
        <v>0</v>
      </c>
      <c r="MLG1618" s="55">
        <f t="shared" si="692"/>
        <v>0</v>
      </c>
      <c r="MLH1618" s="55">
        <f t="shared" si="692"/>
        <v>0</v>
      </c>
      <c r="MLI1618" s="55">
        <f t="shared" si="692"/>
        <v>0</v>
      </c>
      <c r="MLJ1618" s="55">
        <f t="shared" si="692"/>
        <v>0</v>
      </c>
      <c r="MLK1618" s="55">
        <f t="shared" si="692"/>
        <v>0</v>
      </c>
      <c r="MLL1618" s="55">
        <f t="shared" si="692"/>
        <v>0</v>
      </c>
      <c r="MLM1618" s="55">
        <f t="shared" si="692"/>
        <v>0</v>
      </c>
      <c r="MLN1618" s="55">
        <f t="shared" si="692"/>
        <v>0</v>
      </c>
      <c r="MLO1618" s="55">
        <f t="shared" si="692"/>
        <v>0</v>
      </c>
      <c r="MLP1618" s="55">
        <f t="shared" si="692"/>
        <v>0</v>
      </c>
      <c r="MLQ1618" s="55">
        <f t="shared" si="692"/>
        <v>0</v>
      </c>
      <c r="MLR1618" s="55">
        <f t="shared" si="692"/>
        <v>0</v>
      </c>
      <c r="MLS1618" s="55">
        <f t="shared" si="692"/>
        <v>0</v>
      </c>
      <c r="MLT1618" s="55">
        <f t="shared" si="692"/>
        <v>0</v>
      </c>
      <c r="MLU1618" s="55">
        <f t="shared" si="692"/>
        <v>0</v>
      </c>
      <c r="MLV1618" s="55">
        <f t="shared" si="692"/>
        <v>0</v>
      </c>
      <c r="MLW1618" s="55">
        <f t="shared" si="692"/>
        <v>0</v>
      </c>
      <c r="MLX1618" s="55">
        <f t="shared" si="692"/>
        <v>0</v>
      </c>
      <c r="MLY1618" s="55">
        <f t="shared" si="692"/>
        <v>0</v>
      </c>
      <c r="MLZ1618" s="55">
        <f t="shared" si="692"/>
        <v>0</v>
      </c>
      <c r="MMA1618" s="55">
        <f t="shared" si="692"/>
        <v>0</v>
      </c>
      <c r="MMB1618" s="55">
        <f t="shared" si="692"/>
        <v>0</v>
      </c>
      <c r="MMC1618" s="55">
        <f t="shared" si="692"/>
        <v>0</v>
      </c>
      <c r="MMD1618" s="55">
        <f t="shared" si="692"/>
        <v>0</v>
      </c>
      <c r="MME1618" s="55">
        <f t="shared" si="692"/>
        <v>0</v>
      </c>
      <c r="MMF1618" s="55">
        <f t="shared" si="692"/>
        <v>0</v>
      </c>
      <c r="MMG1618" s="55">
        <f t="shared" si="692"/>
        <v>0</v>
      </c>
      <c r="MMH1618" s="55">
        <f t="shared" si="692"/>
        <v>0</v>
      </c>
      <c r="MMI1618" s="55">
        <f t="shared" si="692"/>
        <v>0</v>
      </c>
      <c r="MMJ1618" s="55">
        <f t="shared" si="692"/>
        <v>0</v>
      </c>
      <c r="MMK1618" s="55">
        <f t="shared" si="692"/>
        <v>0</v>
      </c>
      <c r="MML1618" s="55">
        <f t="shared" si="692"/>
        <v>0</v>
      </c>
      <c r="MMM1618" s="55">
        <f t="shared" si="692"/>
        <v>0</v>
      </c>
      <c r="MMN1618" s="55">
        <f t="shared" si="692"/>
        <v>0</v>
      </c>
      <c r="MMO1618" s="55">
        <f t="shared" si="692"/>
        <v>0</v>
      </c>
      <c r="MMP1618" s="55">
        <f t="shared" si="692"/>
        <v>0</v>
      </c>
      <c r="MMQ1618" s="55">
        <f t="shared" si="692"/>
        <v>0</v>
      </c>
      <c r="MMR1618" s="55">
        <f t="shared" si="692"/>
        <v>0</v>
      </c>
      <c r="MMS1618" s="55">
        <f t="shared" si="692"/>
        <v>0</v>
      </c>
      <c r="MMT1618" s="55">
        <f t="shared" si="692"/>
        <v>0</v>
      </c>
      <c r="MMU1618" s="55">
        <f t="shared" si="692"/>
        <v>0</v>
      </c>
      <c r="MMV1618" s="55">
        <f t="shared" si="692"/>
        <v>0</v>
      </c>
      <c r="MMW1618" s="55">
        <f t="shared" si="692"/>
        <v>0</v>
      </c>
      <c r="MMX1618" s="55">
        <f t="shared" si="692"/>
        <v>0</v>
      </c>
      <c r="MMY1618" s="55">
        <f t="shared" si="692"/>
        <v>0</v>
      </c>
      <c r="MMZ1618" s="55">
        <f t="shared" si="692"/>
        <v>0</v>
      </c>
      <c r="MNA1618" s="55">
        <f t="shared" si="692"/>
        <v>0</v>
      </c>
      <c r="MNB1618" s="55">
        <f t="shared" si="692"/>
        <v>0</v>
      </c>
      <c r="MNC1618" s="55">
        <f t="shared" si="692"/>
        <v>0</v>
      </c>
      <c r="MND1618" s="55">
        <f t="shared" si="692"/>
        <v>0</v>
      </c>
      <c r="MNE1618" s="55">
        <f t="shared" si="692"/>
        <v>0</v>
      </c>
      <c r="MNF1618" s="55">
        <f t="shared" si="692"/>
        <v>0</v>
      </c>
      <c r="MNG1618" s="55">
        <f t="shared" si="692"/>
        <v>0</v>
      </c>
      <c r="MNH1618" s="55">
        <f t="shared" si="692"/>
        <v>0</v>
      </c>
      <c r="MNI1618" s="55">
        <f t="shared" si="692"/>
        <v>0</v>
      </c>
      <c r="MNJ1618" s="55">
        <f t="shared" si="692"/>
        <v>0</v>
      </c>
      <c r="MNK1618" s="55">
        <f t="shared" si="692"/>
        <v>0</v>
      </c>
      <c r="MNL1618" s="55">
        <f t="shared" ref="MNL1618:MPW1618" si="693">+(MNL1627+MNL1608)*1.18*1.1</f>
        <v>0</v>
      </c>
      <c r="MNM1618" s="55">
        <f t="shared" si="693"/>
        <v>0</v>
      </c>
      <c r="MNN1618" s="55">
        <f t="shared" si="693"/>
        <v>0</v>
      </c>
      <c r="MNO1618" s="55">
        <f t="shared" si="693"/>
        <v>0</v>
      </c>
      <c r="MNP1618" s="55">
        <f t="shared" si="693"/>
        <v>0</v>
      </c>
      <c r="MNQ1618" s="55">
        <f t="shared" si="693"/>
        <v>0</v>
      </c>
      <c r="MNR1618" s="55">
        <f t="shared" si="693"/>
        <v>0</v>
      </c>
      <c r="MNS1618" s="55">
        <f t="shared" si="693"/>
        <v>0</v>
      </c>
      <c r="MNT1618" s="55">
        <f t="shared" si="693"/>
        <v>0</v>
      </c>
      <c r="MNU1618" s="55">
        <f t="shared" si="693"/>
        <v>0</v>
      </c>
      <c r="MNV1618" s="55">
        <f t="shared" si="693"/>
        <v>0</v>
      </c>
      <c r="MNW1618" s="55">
        <f t="shared" si="693"/>
        <v>0</v>
      </c>
      <c r="MNX1618" s="55">
        <f t="shared" si="693"/>
        <v>0</v>
      </c>
      <c r="MNY1618" s="55">
        <f t="shared" si="693"/>
        <v>0</v>
      </c>
      <c r="MNZ1618" s="55">
        <f t="shared" si="693"/>
        <v>0</v>
      </c>
      <c r="MOA1618" s="55">
        <f t="shared" si="693"/>
        <v>0</v>
      </c>
      <c r="MOB1618" s="55">
        <f t="shared" si="693"/>
        <v>0</v>
      </c>
      <c r="MOC1618" s="55">
        <f t="shared" si="693"/>
        <v>0</v>
      </c>
      <c r="MOD1618" s="55">
        <f t="shared" si="693"/>
        <v>0</v>
      </c>
      <c r="MOE1618" s="55">
        <f t="shared" si="693"/>
        <v>0</v>
      </c>
      <c r="MOF1618" s="55">
        <f t="shared" si="693"/>
        <v>0</v>
      </c>
      <c r="MOG1618" s="55">
        <f t="shared" si="693"/>
        <v>0</v>
      </c>
      <c r="MOH1618" s="55">
        <f t="shared" si="693"/>
        <v>0</v>
      </c>
      <c r="MOI1618" s="55">
        <f t="shared" si="693"/>
        <v>0</v>
      </c>
      <c r="MOJ1618" s="55">
        <f t="shared" si="693"/>
        <v>0</v>
      </c>
      <c r="MOK1618" s="55">
        <f t="shared" si="693"/>
        <v>0</v>
      </c>
      <c r="MOL1618" s="55">
        <f t="shared" si="693"/>
        <v>0</v>
      </c>
      <c r="MOM1618" s="55">
        <f t="shared" si="693"/>
        <v>0</v>
      </c>
      <c r="MON1618" s="55">
        <f t="shared" si="693"/>
        <v>0</v>
      </c>
      <c r="MOO1618" s="55">
        <f t="shared" si="693"/>
        <v>0</v>
      </c>
      <c r="MOP1618" s="55">
        <f t="shared" si="693"/>
        <v>0</v>
      </c>
      <c r="MOQ1618" s="55">
        <f t="shared" si="693"/>
        <v>0</v>
      </c>
      <c r="MOR1618" s="55">
        <f t="shared" si="693"/>
        <v>0</v>
      </c>
      <c r="MOS1618" s="55">
        <f t="shared" si="693"/>
        <v>0</v>
      </c>
      <c r="MOT1618" s="55">
        <f t="shared" si="693"/>
        <v>0</v>
      </c>
      <c r="MOU1618" s="55">
        <f t="shared" si="693"/>
        <v>0</v>
      </c>
      <c r="MOV1618" s="55">
        <f t="shared" si="693"/>
        <v>0</v>
      </c>
      <c r="MOW1618" s="55">
        <f t="shared" si="693"/>
        <v>0</v>
      </c>
      <c r="MOX1618" s="55">
        <f t="shared" si="693"/>
        <v>0</v>
      </c>
      <c r="MOY1618" s="55">
        <f t="shared" si="693"/>
        <v>0</v>
      </c>
      <c r="MOZ1618" s="55">
        <f t="shared" si="693"/>
        <v>0</v>
      </c>
      <c r="MPA1618" s="55">
        <f t="shared" si="693"/>
        <v>0</v>
      </c>
      <c r="MPB1618" s="55">
        <f t="shared" si="693"/>
        <v>0</v>
      </c>
      <c r="MPC1618" s="55">
        <f t="shared" si="693"/>
        <v>0</v>
      </c>
      <c r="MPD1618" s="55">
        <f t="shared" si="693"/>
        <v>0</v>
      </c>
      <c r="MPE1618" s="55">
        <f t="shared" si="693"/>
        <v>0</v>
      </c>
      <c r="MPF1618" s="55">
        <f t="shared" si="693"/>
        <v>0</v>
      </c>
      <c r="MPG1618" s="55">
        <f t="shared" si="693"/>
        <v>0</v>
      </c>
      <c r="MPH1618" s="55">
        <f t="shared" si="693"/>
        <v>0</v>
      </c>
      <c r="MPI1618" s="55">
        <f t="shared" si="693"/>
        <v>0</v>
      </c>
      <c r="MPJ1618" s="55">
        <f t="shared" si="693"/>
        <v>0</v>
      </c>
      <c r="MPK1618" s="55">
        <f t="shared" si="693"/>
        <v>0</v>
      </c>
      <c r="MPL1618" s="55">
        <f t="shared" si="693"/>
        <v>0</v>
      </c>
      <c r="MPM1618" s="55">
        <f t="shared" si="693"/>
        <v>0</v>
      </c>
      <c r="MPN1618" s="55">
        <f t="shared" si="693"/>
        <v>0</v>
      </c>
      <c r="MPO1618" s="55">
        <f t="shared" si="693"/>
        <v>0</v>
      </c>
      <c r="MPP1618" s="55">
        <f t="shared" si="693"/>
        <v>0</v>
      </c>
      <c r="MPQ1618" s="55">
        <f t="shared" si="693"/>
        <v>0</v>
      </c>
      <c r="MPR1618" s="55">
        <f t="shared" si="693"/>
        <v>0</v>
      </c>
      <c r="MPS1618" s="55">
        <f t="shared" si="693"/>
        <v>0</v>
      </c>
      <c r="MPT1618" s="55">
        <f t="shared" si="693"/>
        <v>0</v>
      </c>
      <c r="MPU1618" s="55">
        <f t="shared" si="693"/>
        <v>0</v>
      </c>
      <c r="MPV1618" s="55">
        <f t="shared" si="693"/>
        <v>0</v>
      </c>
      <c r="MPW1618" s="55">
        <f t="shared" si="693"/>
        <v>0</v>
      </c>
      <c r="MPX1618" s="55">
        <f t="shared" ref="MPX1618:MSI1618" si="694">+(MPX1627+MPX1608)*1.18*1.1</f>
        <v>0</v>
      </c>
      <c r="MPY1618" s="55">
        <f t="shared" si="694"/>
        <v>0</v>
      </c>
      <c r="MPZ1618" s="55">
        <f t="shared" si="694"/>
        <v>0</v>
      </c>
      <c r="MQA1618" s="55">
        <f t="shared" si="694"/>
        <v>0</v>
      </c>
      <c r="MQB1618" s="55">
        <f t="shared" si="694"/>
        <v>0</v>
      </c>
      <c r="MQC1618" s="55">
        <f t="shared" si="694"/>
        <v>0</v>
      </c>
      <c r="MQD1618" s="55">
        <f t="shared" si="694"/>
        <v>0</v>
      </c>
      <c r="MQE1618" s="55">
        <f t="shared" si="694"/>
        <v>0</v>
      </c>
      <c r="MQF1618" s="55">
        <f t="shared" si="694"/>
        <v>0</v>
      </c>
      <c r="MQG1618" s="55">
        <f t="shared" si="694"/>
        <v>0</v>
      </c>
      <c r="MQH1618" s="55">
        <f t="shared" si="694"/>
        <v>0</v>
      </c>
      <c r="MQI1618" s="55">
        <f t="shared" si="694"/>
        <v>0</v>
      </c>
      <c r="MQJ1618" s="55">
        <f t="shared" si="694"/>
        <v>0</v>
      </c>
      <c r="MQK1618" s="55">
        <f t="shared" si="694"/>
        <v>0</v>
      </c>
      <c r="MQL1618" s="55">
        <f t="shared" si="694"/>
        <v>0</v>
      </c>
      <c r="MQM1618" s="55">
        <f t="shared" si="694"/>
        <v>0</v>
      </c>
      <c r="MQN1618" s="55">
        <f t="shared" si="694"/>
        <v>0</v>
      </c>
      <c r="MQO1618" s="55">
        <f t="shared" si="694"/>
        <v>0</v>
      </c>
      <c r="MQP1618" s="55">
        <f t="shared" si="694"/>
        <v>0</v>
      </c>
      <c r="MQQ1618" s="55">
        <f t="shared" si="694"/>
        <v>0</v>
      </c>
      <c r="MQR1618" s="55">
        <f t="shared" si="694"/>
        <v>0</v>
      </c>
      <c r="MQS1618" s="55">
        <f t="shared" si="694"/>
        <v>0</v>
      </c>
      <c r="MQT1618" s="55">
        <f t="shared" si="694"/>
        <v>0</v>
      </c>
      <c r="MQU1618" s="55">
        <f t="shared" si="694"/>
        <v>0</v>
      </c>
      <c r="MQV1618" s="55">
        <f t="shared" si="694"/>
        <v>0</v>
      </c>
      <c r="MQW1618" s="55">
        <f t="shared" si="694"/>
        <v>0</v>
      </c>
      <c r="MQX1618" s="55">
        <f t="shared" si="694"/>
        <v>0</v>
      </c>
      <c r="MQY1618" s="55">
        <f t="shared" si="694"/>
        <v>0</v>
      </c>
      <c r="MQZ1618" s="55">
        <f t="shared" si="694"/>
        <v>0</v>
      </c>
      <c r="MRA1618" s="55">
        <f t="shared" si="694"/>
        <v>0</v>
      </c>
      <c r="MRB1618" s="55">
        <f t="shared" si="694"/>
        <v>0</v>
      </c>
      <c r="MRC1618" s="55">
        <f t="shared" si="694"/>
        <v>0</v>
      </c>
      <c r="MRD1618" s="55">
        <f t="shared" si="694"/>
        <v>0</v>
      </c>
      <c r="MRE1618" s="55">
        <f t="shared" si="694"/>
        <v>0</v>
      </c>
      <c r="MRF1618" s="55">
        <f t="shared" si="694"/>
        <v>0</v>
      </c>
      <c r="MRG1618" s="55">
        <f t="shared" si="694"/>
        <v>0</v>
      </c>
      <c r="MRH1618" s="55">
        <f t="shared" si="694"/>
        <v>0</v>
      </c>
      <c r="MRI1618" s="55">
        <f t="shared" si="694"/>
        <v>0</v>
      </c>
      <c r="MRJ1618" s="55">
        <f t="shared" si="694"/>
        <v>0</v>
      </c>
      <c r="MRK1618" s="55">
        <f t="shared" si="694"/>
        <v>0</v>
      </c>
      <c r="MRL1618" s="55">
        <f t="shared" si="694"/>
        <v>0</v>
      </c>
      <c r="MRM1618" s="55">
        <f t="shared" si="694"/>
        <v>0</v>
      </c>
      <c r="MRN1618" s="55">
        <f t="shared" si="694"/>
        <v>0</v>
      </c>
      <c r="MRO1618" s="55">
        <f t="shared" si="694"/>
        <v>0</v>
      </c>
      <c r="MRP1618" s="55">
        <f t="shared" si="694"/>
        <v>0</v>
      </c>
      <c r="MRQ1618" s="55">
        <f t="shared" si="694"/>
        <v>0</v>
      </c>
      <c r="MRR1618" s="55">
        <f t="shared" si="694"/>
        <v>0</v>
      </c>
      <c r="MRS1618" s="55">
        <f t="shared" si="694"/>
        <v>0</v>
      </c>
      <c r="MRT1618" s="55">
        <f t="shared" si="694"/>
        <v>0</v>
      </c>
      <c r="MRU1618" s="55">
        <f t="shared" si="694"/>
        <v>0</v>
      </c>
      <c r="MRV1618" s="55">
        <f t="shared" si="694"/>
        <v>0</v>
      </c>
      <c r="MRW1618" s="55">
        <f t="shared" si="694"/>
        <v>0</v>
      </c>
      <c r="MRX1618" s="55">
        <f t="shared" si="694"/>
        <v>0</v>
      </c>
      <c r="MRY1618" s="55">
        <f t="shared" si="694"/>
        <v>0</v>
      </c>
      <c r="MRZ1618" s="55">
        <f t="shared" si="694"/>
        <v>0</v>
      </c>
      <c r="MSA1618" s="55">
        <f t="shared" si="694"/>
        <v>0</v>
      </c>
      <c r="MSB1618" s="55">
        <f t="shared" si="694"/>
        <v>0</v>
      </c>
      <c r="MSC1618" s="55">
        <f t="shared" si="694"/>
        <v>0</v>
      </c>
      <c r="MSD1618" s="55">
        <f t="shared" si="694"/>
        <v>0</v>
      </c>
      <c r="MSE1618" s="55">
        <f t="shared" si="694"/>
        <v>0</v>
      </c>
      <c r="MSF1618" s="55">
        <f t="shared" si="694"/>
        <v>0</v>
      </c>
      <c r="MSG1618" s="55">
        <f t="shared" si="694"/>
        <v>0</v>
      </c>
      <c r="MSH1618" s="55">
        <f t="shared" si="694"/>
        <v>0</v>
      </c>
      <c r="MSI1618" s="55">
        <f t="shared" si="694"/>
        <v>0</v>
      </c>
      <c r="MSJ1618" s="55">
        <f t="shared" ref="MSJ1618:MUU1618" si="695">+(MSJ1627+MSJ1608)*1.18*1.1</f>
        <v>0</v>
      </c>
      <c r="MSK1618" s="55">
        <f t="shared" si="695"/>
        <v>0</v>
      </c>
      <c r="MSL1618" s="55">
        <f t="shared" si="695"/>
        <v>0</v>
      </c>
      <c r="MSM1618" s="55">
        <f t="shared" si="695"/>
        <v>0</v>
      </c>
      <c r="MSN1618" s="55">
        <f t="shared" si="695"/>
        <v>0</v>
      </c>
      <c r="MSO1618" s="55">
        <f t="shared" si="695"/>
        <v>0</v>
      </c>
      <c r="MSP1618" s="55">
        <f t="shared" si="695"/>
        <v>0</v>
      </c>
      <c r="MSQ1618" s="55">
        <f t="shared" si="695"/>
        <v>0</v>
      </c>
      <c r="MSR1618" s="55">
        <f t="shared" si="695"/>
        <v>0</v>
      </c>
      <c r="MSS1618" s="55">
        <f t="shared" si="695"/>
        <v>0</v>
      </c>
      <c r="MST1618" s="55">
        <f t="shared" si="695"/>
        <v>0</v>
      </c>
      <c r="MSU1618" s="55">
        <f t="shared" si="695"/>
        <v>0</v>
      </c>
      <c r="MSV1618" s="55">
        <f t="shared" si="695"/>
        <v>0</v>
      </c>
      <c r="MSW1618" s="55">
        <f t="shared" si="695"/>
        <v>0</v>
      </c>
      <c r="MSX1618" s="55">
        <f t="shared" si="695"/>
        <v>0</v>
      </c>
      <c r="MSY1618" s="55">
        <f t="shared" si="695"/>
        <v>0</v>
      </c>
      <c r="MSZ1618" s="55">
        <f t="shared" si="695"/>
        <v>0</v>
      </c>
      <c r="MTA1618" s="55">
        <f t="shared" si="695"/>
        <v>0</v>
      </c>
      <c r="MTB1618" s="55">
        <f t="shared" si="695"/>
        <v>0</v>
      </c>
      <c r="MTC1618" s="55">
        <f t="shared" si="695"/>
        <v>0</v>
      </c>
      <c r="MTD1618" s="55">
        <f t="shared" si="695"/>
        <v>0</v>
      </c>
      <c r="MTE1618" s="55">
        <f t="shared" si="695"/>
        <v>0</v>
      </c>
      <c r="MTF1618" s="55">
        <f t="shared" si="695"/>
        <v>0</v>
      </c>
      <c r="MTG1618" s="55">
        <f t="shared" si="695"/>
        <v>0</v>
      </c>
      <c r="MTH1618" s="55">
        <f t="shared" si="695"/>
        <v>0</v>
      </c>
      <c r="MTI1618" s="55">
        <f t="shared" si="695"/>
        <v>0</v>
      </c>
      <c r="MTJ1618" s="55">
        <f t="shared" si="695"/>
        <v>0</v>
      </c>
      <c r="MTK1618" s="55">
        <f t="shared" si="695"/>
        <v>0</v>
      </c>
      <c r="MTL1618" s="55">
        <f t="shared" si="695"/>
        <v>0</v>
      </c>
      <c r="MTM1618" s="55">
        <f t="shared" si="695"/>
        <v>0</v>
      </c>
      <c r="MTN1618" s="55">
        <f t="shared" si="695"/>
        <v>0</v>
      </c>
      <c r="MTO1618" s="55">
        <f t="shared" si="695"/>
        <v>0</v>
      </c>
      <c r="MTP1618" s="55">
        <f t="shared" si="695"/>
        <v>0</v>
      </c>
      <c r="MTQ1618" s="55">
        <f t="shared" si="695"/>
        <v>0</v>
      </c>
      <c r="MTR1618" s="55">
        <f t="shared" si="695"/>
        <v>0</v>
      </c>
      <c r="MTS1618" s="55">
        <f t="shared" si="695"/>
        <v>0</v>
      </c>
      <c r="MTT1618" s="55">
        <f t="shared" si="695"/>
        <v>0</v>
      </c>
      <c r="MTU1618" s="55">
        <f t="shared" si="695"/>
        <v>0</v>
      </c>
      <c r="MTV1618" s="55">
        <f t="shared" si="695"/>
        <v>0</v>
      </c>
      <c r="MTW1618" s="55">
        <f t="shared" si="695"/>
        <v>0</v>
      </c>
      <c r="MTX1618" s="55">
        <f t="shared" si="695"/>
        <v>0</v>
      </c>
      <c r="MTY1618" s="55">
        <f t="shared" si="695"/>
        <v>0</v>
      </c>
      <c r="MTZ1618" s="55">
        <f t="shared" si="695"/>
        <v>0</v>
      </c>
      <c r="MUA1618" s="55">
        <f t="shared" si="695"/>
        <v>0</v>
      </c>
      <c r="MUB1618" s="55">
        <f t="shared" si="695"/>
        <v>0</v>
      </c>
      <c r="MUC1618" s="55">
        <f t="shared" si="695"/>
        <v>0</v>
      </c>
      <c r="MUD1618" s="55">
        <f t="shared" si="695"/>
        <v>0</v>
      </c>
      <c r="MUE1618" s="55">
        <f t="shared" si="695"/>
        <v>0</v>
      </c>
      <c r="MUF1618" s="55">
        <f t="shared" si="695"/>
        <v>0</v>
      </c>
      <c r="MUG1618" s="55">
        <f t="shared" si="695"/>
        <v>0</v>
      </c>
      <c r="MUH1618" s="55">
        <f t="shared" si="695"/>
        <v>0</v>
      </c>
      <c r="MUI1618" s="55">
        <f t="shared" si="695"/>
        <v>0</v>
      </c>
      <c r="MUJ1618" s="55">
        <f t="shared" si="695"/>
        <v>0</v>
      </c>
      <c r="MUK1618" s="55">
        <f t="shared" si="695"/>
        <v>0</v>
      </c>
      <c r="MUL1618" s="55">
        <f t="shared" si="695"/>
        <v>0</v>
      </c>
      <c r="MUM1618" s="55">
        <f t="shared" si="695"/>
        <v>0</v>
      </c>
      <c r="MUN1618" s="55">
        <f t="shared" si="695"/>
        <v>0</v>
      </c>
      <c r="MUO1618" s="55">
        <f t="shared" si="695"/>
        <v>0</v>
      </c>
      <c r="MUP1618" s="55">
        <f t="shared" si="695"/>
        <v>0</v>
      </c>
      <c r="MUQ1618" s="55">
        <f t="shared" si="695"/>
        <v>0</v>
      </c>
      <c r="MUR1618" s="55">
        <f t="shared" si="695"/>
        <v>0</v>
      </c>
      <c r="MUS1618" s="55">
        <f t="shared" si="695"/>
        <v>0</v>
      </c>
      <c r="MUT1618" s="55">
        <f t="shared" si="695"/>
        <v>0</v>
      </c>
      <c r="MUU1618" s="55">
        <f t="shared" si="695"/>
        <v>0</v>
      </c>
      <c r="MUV1618" s="55">
        <f t="shared" ref="MUV1618:MXG1618" si="696">+(MUV1627+MUV1608)*1.18*1.1</f>
        <v>0</v>
      </c>
      <c r="MUW1618" s="55">
        <f t="shared" si="696"/>
        <v>0</v>
      </c>
      <c r="MUX1618" s="55">
        <f t="shared" si="696"/>
        <v>0</v>
      </c>
      <c r="MUY1618" s="55">
        <f t="shared" si="696"/>
        <v>0</v>
      </c>
      <c r="MUZ1618" s="55">
        <f t="shared" si="696"/>
        <v>0</v>
      </c>
      <c r="MVA1618" s="55">
        <f t="shared" si="696"/>
        <v>0</v>
      </c>
      <c r="MVB1618" s="55">
        <f t="shared" si="696"/>
        <v>0</v>
      </c>
      <c r="MVC1618" s="55">
        <f t="shared" si="696"/>
        <v>0</v>
      </c>
      <c r="MVD1618" s="55">
        <f t="shared" si="696"/>
        <v>0</v>
      </c>
      <c r="MVE1618" s="55">
        <f t="shared" si="696"/>
        <v>0</v>
      </c>
      <c r="MVF1618" s="55">
        <f t="shared" si="696"/>
        <v>0</v>
      </c>
      <c r="MVG1618" s="55">
        <f t="shared" si="696"/>
        <v>0</v>
      </c>
      <c r="MVH1618" s="55">
        <f t="shared" si="696"/>
        <v>0</v>
      </c>
      <c r="MVI1618" s="55">
        <f t="shared" si="696"/>
        <v>0</v>
      </c>
      <c r="MVJ1618" s="55">
        <f t="shared" si="696"/>
        <v>0</v>
      </c>
      <c r="MVK1618" s="55">
        <f t="shared" si="696"/>
        <v>0</v>
      </c>
      <c r="MVL1618" s="55">
        <f t="shared" si="696"/>
        <v>0</v>
      </c>
      <c r="MVM1618" s="55">
        <f t="shared" si="696"/>
        <v>0</v>
      </c>
      <c r="MVN1618" s="55">
        <f t="shared" si="696"/>
        <v>0</v>
      </c>
      <c r="MVO1618" s="55">
        <f t="shared" si="696"/>
        <v>0</v>
      </c>
      <c r="MVP1618" s="55">
        <f t="shared" si="696"/>
        <v>0</v>
      </c>
      <c r="MVQ1618" s="55">
        <f t="shared" si="696"/>
        <v>0</v>
      </c>
      <c r="MVR1618" s="55">
        <f t="shared" si="696"/>
        <v>0</v>
      </c>
      <c r="MVS1618" s="55">
        <f t="shared" si="696"/>
        <v>0</v>
      </c>
      <c r="MVT1618" s="55">
        <f t="shared" si="696"/>
        <v>0</v>
      </c>
      <c r="MVU1618" s="55">
        <f t="shared" si="696"/>
        <v>0</v>
      </c>
      <c r="MVV1618" s="55">
        <f t="shared" si="696"/>
        <v>0</v>
      </c>
      <c r="MVW1618" s="55">
        <f t="shared" si="696"/>
        <v>0</v>
      </c>
      <c r="MVX1618" s="55">
        <f t="shared" si="696"/>
        <v>0</v>
      </c>
      <c r="MVY1618" s="55">
        <f t="shared" si="696"/>
        <v>0</v>
      </c>
      <c r="MVZ1618" s="55">
        <f t="shared" si="696"/>
        <v>0</v>
      </c>
      <c r="MWA1618" s="55">
        <f t="shared" si="696"/>
        <v>0</v>
      </c>
      <c r="MWB1618" s="55">
        <f t="shared" si="696"/>
        <v>0</v>
      </c>
      <c r="MWC1618" s="55">
        <f t="shared" si="696"/>
        <v>0</v>
      </c>
      <c r="MWD1618" s="55">
        <f t="shared" si="696"/>
        <v>0</v>
      </c>
      <c r="MWE1618" s="55">
        <f t="shared" si="696"/>
        <v>0</v>
      </c>
      <c r="MWF1618" s="55">
        <f t="shared" si="696"/>
        <v>0</v>
      </c>
      <c r="MWG1618" s="55">
        <f t="shared" si="696"/>
        <v>0</v>
      </c>
      <c r="MWH1618" s="55">
        <f t="shared" si="696"/>
        <v>0</v>
      </c>
      <c r="MWI1618" s="55">
        <f t="shared" si="696"/>
        <v>0</v>
      </c>
      <c r="MWJ1618" s="55">
        <f t="shared" si="696"/>
        <v>0</v>
      </c>
      <c r="MWK1618" s="55">
        <f t="shared" si="696"/>
        <v>0</v>
      </c>
      <c r="MWL1618" s="55">
        <f t="shared" si="696"/>
        <v>0</v>
      </c>
      <c r="MWM1618" s="55">
        <f t="shared" si="696"/>
        <v>0</v>
      </c>
      <c r="MWN1618" s="55">
        <f t="shared" si="696"/>
        <v>0</v>
      </c>
      <c r="MWO1618" s="55">
        <f t="shared" si="696"/>
        <v>0</v>
      </c>
      <c r="MWP1618" s="55">
        <f t="shared" si="696"/>
        <v>0</v>
      </c>
      <c r="MWQ1618" s="55">
        <f t="shared" si="696"/>
        <v>0</v>
      </c>
      <c r="MWR1618" s="55">
        <f t="shared" si="696"/>
        <v>0</v>
      </c>
      <c r="MWS1618" s="55">
        <f t="shared" si="696"/>
        <v>0</v>
      </c>
      <c r="MWT1618" s="55">
        <f t="shared" si="696"/>
        <v>0</v>
      </c>
      <c r="MWU1618" s="55">
        <f t="shared" si="696"/>
        <v>0</v>
      </c>
      <c r="MWV1618" s="55">
        <f t="shared" si="696"/>
        <v>0</v>
      </c>
      <c r="MWW1618" s="55">
        <f t="shared" si="696"/>
        <v>0</v>
      </c>
      <c r="MWX1618" s="55">
        <f t="shared" si="696"/>
        <v>0</v>
      </c>
      <c r="MWY1618" s="55">
        <f t="shared" si="696"/>
        <v>0</v>
      </c>
      <c r="MWZ1618" s="55">
        <f t="shared" si="696"/>
        <v>0</v>
      </c>
      <c r="MXA1618" s="55">
        <f t="shared" si="696"/>
        <v>0</v>
      </c>
      <c r="MXB1618" s="55">
        <f t="shared" si="696"/>
        <v>0</v>
      </c>
      <c r="MXC1618" s="55">
        <f t="shared" si="696"/>
        <v>0</v>
      </c>
      <c r="MXD1618" s="55">
        <f t="shared" si="696"/>
        <v>0</v>
      </c>
      <c r="MXE1618" s="55">
        <f t="shared" si="696"/>
        <v>0</v>
      </c>
      <c r="MXF1618" s="55">
        <f t="shared" si="696"/>
        <v>0</v>
      </c>
      <c r="MXG1618" s="55">
        <f t="shared" si="696"/>
        <v>0</v>
      </c>
      <c r="MXH1618" s="55">
        <f t="shared" ref="MXH1618:MZS1618" si="697">+(MXH1627+MXH1608)*1.18*1.1</f>
        <v>0</v>
      </c>
      <c r="MXI1618" s="55">
        <f t="shared" si="697"/>
        <v>0</v>
      </c>
      <c r="MXJ1618" s="55">
        <f t="shared" si="697"/>
        <v>0</v>
      </c>
      <c r="MXK1618" s="55">
        <f t="shared" si="697"/>
        <v>0</v>
      </c>
      <c r="MXL1618" s="55">
        <f t="shared" si="697"/>
        <v>0</v>
      </c>
      <c r="MXM1618" s="55">
        <f t="shared" si="697"/>
        <v>0</v>
      </c>
      <c r="MXN1618" s="55">
        <f t="shared" si="697"/>
        <v>0</v>
      </c>
      <c r="MXO1618" s="55">
        <f t="shared" si="697"/>
        <v>0</v>
      </c>
      <c r="MXP1618" s="55">
        <f t="shared" si="697"/>
        <v>0</v>
      </c>
      <c r="MXQ1618" s="55">
        <f t="shared" si="697"/>
        <v>0</v>
      </c>
      <c r="MXR1618" s="55">
        <f t="shared" si="697"/>
        <v>0</v>
      </c>
      <c r="MXS1618" s="55">
        <f t="shared" si="697"/>
        <v>0</v>
      </c>
      <c r="MXT1618" s="55">
        <f t="shared" si="697"/>
        <v>0</v>
      </c>
      <c r="MXU1618" s="55">
        <f t="shared" si="697"/>
        <v>0</v>
      </c>
      <c r="MXV1618" s="55">
        <f t="shared" si="697"/>
        <v>0</v>
      </c>
      <c r="MXW1618" s="55">
        <f t="shared" si="697"/>
        <v>0</v>
      </c>
      <c r="MXX1618" s="55">
        <f t="shared" si="697"/>
        <v>0</v>
      </c>
      <c r="MXY1618" s="55">
        <f t="shared" si="697"/>
        <v>0</v>
      </c>
      <c r="MXZ1618" s="55">
        <f t="shared" si="697"/>
        <v>0</v>
      </c>
      <c r="MYA1618" s="55">
        <f t="shared" si="697"/>
        <v>0</v>
      </c>
      <c r="MYB1618" s="55">
        <f t="shared" si="697"/>
        <v>0</v>
      </c>
      <c r="MYC1618" s="55">
        <f t="shared" si="697"/>
        <v>0</v>
      </c>
      <c r="MYD1618" s="55">
        <f t="shared" si="697"/>
        <v>0</v>
      </c>
      <c r="MYE1618" s="55">
        <f t="shared" si="697"/>
        <v>0</v>
      </c>
      <c r="MYF1618" s="55">
        <f t="shared" si="697"/>
        <v>0</v>
      </c>
      <c r="MYG1618" s="55">
        <f t="shared" si="697"/>
        <v>0</v>
      </c>
      <c r="MYH1618" s="55">
        <f t="shared" si="697"/>
        <v>0</v>
      </c>
      <c r="MYI1618" s="55">
        <f t="shared" si="697"/>
        <v>0</v>
      </c>
      <c r="MYJ1618" s="55">
        <f t="shared" si="697"/>
        <v>0</v>
      </c>
      <c r="MYK1618" s="55">
        <f t="shared" si="697"/>
        <v>0</v>
      </c>
      <c r="MYL1618" s="55">
        <f t="shared" si="697"/>
        <v>0</v>
      </c>
      <c r="MYM1618" s="55">
        <f t="shared" si="697"/>
        <v>0</v>
      </c>
      <c r="MYN1618" s="55">
        <f t="shared" si="697"/>
        <v>0</v>
      </c>
      <c r="MYO1618" s="55">
        <f t="shared" si="697"/>
        <v>0</v>
      </c>
      <c r="MYP1618" s="55">
        <f t="shared" si="697"/>
        <v>0</v>
      </c>
      <c r="MYQ1618" s="55">
        <f t="shared" si="697"/>
        <v>0</v>
      </c>
      <c r="MYR1618" s="55">
        <f t="shared" si="697"/>
        <v>0</v>
      </c>
      <c r="MYS1618" s="55">
        <f t="shared" si="697"/>
        <v>0</v>
      </c>
      <c r="MYT1618" s="55">
        <f t="shared" si="697"/>
        <v>0</v>
      </c>
      <c r="MYU1618" s="55">
        <f t="shared" si="697"/>
        <v>0</v>
      </c>
      <c r="MYV1618" s="55">
        <f t="shared" si="697"/>
        <v>0</v>
      </c>
      <c r="MYW1618" s="55">
        <f t="shared" si="697"/>
        <v>0</v>
      </c>
      <c r="MYX1618" s="55">
        <f t="shared" si="697"/>
        <v>0</v>
      </c>
      <c r="MYY1618" s="55">
        <f t="shared" si="697"/>
        <v>0</v>
      </c>
      <c r="MYZ1618" s="55">
        <f t="shared" si="697"/>
        <v>0</v>
      </c>
      <c r="MZA1618" s="55">
        <f t="shared" si="697"/>
        <v>0</v>
      </c>
      <c r="MZB1618" s="55">
        <f t="shared" si="697"/>
        <v>0</v>
      </c>
      <c r="MZC1618" s="55">
        <f t="shared" si="697"/>
        <v>0</v>
      </c>
      <c r="MZD1618" s="55">
        <f t="shared" si="697"/>
        <v>0</v>
      </c>
      <c r="MZE1618" s="55">
        <f t="shared" si="697"/>
        <v>0</v>
      </c>
      <c r="MZF1618" s="55">
        <f t="shared" si="697"/>
        <v>0</v>
      </c>
      <c r="MZG1618" s="55">
        <f t="shared" si="697"/>
        <v>0</v>
      </c>
      <c r="MZH1618" s="55">
        <f t="shared" si="697"/>
        <v>0</v>
      </c>
      <c r="MZI1618" s="55">
        <f t="shared" si="697"/>
        <v>0</v>
      </c>
      <c r="MZJ1618" s="55">
        <f t="shared" si="697"/>
        <v>0</v>
      </c>
      <c r="MZK1618" s="55">
        <f t="shared" si="697"/>
        <v>0</v>
      </c>
      <c r="MZL1618" s="55">
        <f t="shared" si="697"/>
        <v>0</v>
      </c>
      <c r="MZM1618" s="55">
        <f t="shared" si="697"/>
        <v>0</v>
      </c>
      <c r="MZN1618" s="55">
        <f t="shared" si="697"/>
        <v>0</v>
      </c>
      <c r="MZO1618" s="55">
        <f t="shared" si="697"/>
        <v>0</v>
      </c>
      <c r="MZP1618" s="55">
        <f t="shared" si="697"/>
        <v>0</v>
      </c>
      <c r="MZQ1618" s="55">
        <f t="shared" si="697"/>
        <v>0</v>
      </c>
      <c r="MZR1618" s="55">
        <f t="shared" si="697"/>
        <v>0</v>
      </c>
      <c r="MZS1618" s="55">
        <f t="shared" si="697"/>
        <v>0</v>
      </c>
      <c r="MZT1618" s="55">
        <f t="shared" ref="MZT1618:NCE1618" si="698">+(MZT1627+MZT1608)*1.18*1.1</f>
        <v>0</v>
      </c>
      <c r="MZU1618" s="55">
        <f t="shared" si="698"/>
        <v>0</v>
      </c>
      <c r="MZV1618" s="55">
        <f t="shared" si="698"/>
        <v>0</v>
      </c>
      <c r="MZW1618" s="55">
        <f t="shared" si="698"/>
        <v>0</v>
      </c>
      <c r="MZX1618" s="55">
        <f t="shared" si="698"/>
        <v>0</v>
      </c>
      <c r="MZY1618" s="55">
        <f t="shared" si="698"/>
        <v>0</v>
      </c>
      <c r="MZZ1618" s="55">
        <f t="shared" si="698"/>
        <v>0</v>
      </c>
      <c r="NAA1618" s="55">
        <f t="shared" si="698"/>
        <v>0</v>
      </c>
      <c r="NAB1618" s="55">
        <f t="shared" si="698"/>
        <v>0</v>
      </c>
      <c r="NAC1618" s="55">
        <f t="shared" si="698"/>
        <v>0</v>
      </c>
      <c r="NAD1618" s="55">
        <f t="shared" si="698"/>
        <v>0</v>
      </c>
      <c r="NAE1618" s="55">
        <f t="shared" si="698"/>
        <v>0</v>
      </c>
      <c r="NAF1618" s="55">
        <f t="shared" si="698"/>
        <v>0</v>
      </c>
      <c r="NAG1618" s="55">
        <f t="shared" si="698"/>
        <v>0</v>
      </c>
      <c r="NAH1618" s="55">
        <f t="shared" si="698"/>
        <v>0</v>
      </c>
      <c r="NAI1618" s="55">
        <f t="shared" si="698"/>
        <v>0</v>
      </c>
      <c r="NAJ1618" s="55">
        <f t="shared" si="698"/>
        <v>0</v>
      </c>
      <c r="NAK1618" s="55">
        <f t="shared" si="698"/>
        <v>0</v>
      </c>
      <c r="NAL1618" s="55">
        <f t="shared" si="698"/>
        <v>0</v>
      </c>
      <c r="NAM1618" s="55">
        <f t="shared" si="698"/>
        <v>0</v>
      </c>
      <c r="NAN1618" s="55">
        <f t="shared" si="698"/>
        <v>0</v>
      </c>
      <c r="NAO1618" s="55">
        <f t="shared" si="698"/>
        <v>0</v>
      </c>
      <c r="NAP1618" s="55">
        <f t="shared" si="698"/>
        <v>0</v>
      </c>
      <c r="NAQ1618" s="55">
        <f t="shared" si="698"/>
        <v>0</v>
      </c>
      <c r="NAR1618" s="55">
        <f t="shared" si="698"/>
        <v>0</v>
      </c>
      <c r="NAS1618" s="55">
        <f t="shared" si="698"/>
        <v>0</v>
      </c>
      <c r="NAT1618" s="55">
        <f t="shared" si="698"/>
        <v>0</v>
      </c>
      <c r="NAU1618" s="55">
        <f t="shared" si="698"/>
        <v>0</v>
      </c>
      <c r="NAV1618" s="55">
        <f t="shared" si="698"/>
        <v>0</v>
      </c>
      <c r="NAW1618" s="55">
        <f t="shared" si="698"/>
        <v>0</v>
      </c>
      <c r="NAX1618" s="55">
        <f t="shared" si="698"/>
        <v>0</v>
      </c>
      <c r="NAY1618" s="55">
        <f t="shared" si="698"/>
        <v>0</v>
      </c>
      <c r="NAZ1618" s="55">
        <f t="shared" si="698"/>
        <v>0</v>
      </c>
      <c r="NBA1618" s="55">
        <f t="shared" si="698"/>
        <v>0</v>
      </c>
      <c r="NBB1618" s="55">
        <f t="shared" si="698"/>
        <v>0</v>
      </c>
      <c r="NBC1618" s="55">
        <f t="shared" si="698"/>
        <v>0</v>
      </c>
      <c r="NBD1618" s="55">
        <f t="shared" si="698"/>
        <v>0</v>
      </c>
      <c r="NBE1618" s="55">
        <f t="shared" si="698"/>
        <v>0</v>
      </c>
      <c r="NBF1618" s="55">
        <f t="shared" si="698"/>
        <v>0</v>
      </c>
      <c r="NBG1618" s="55">
        <f t="shared" si="698"/>
        <v>0</v>
      </c>
      <c r="NBH1618" s="55">
        <f t="shared" si="698"/>
        <v>0</v>
      </c>
      <c r="NBI1618" s="55">
        <f t="shared" si="698"/>
        <v>0</v>
      </c>
      <c r="NBJ1618" s="55">
        <f t="shared" si="698"/>
        <v>0</v>
      </c>
      <c r="NBK1618" s="55">
        <f t="shared" si="698"/>
        <v>0</v>
      </c>
      <c r="NBL1618" s="55">
        <f t="shared" si="698"/>
        <v>0</v>
      </c>
      <c r="NBM1618" s="55">
        <f t="shared" si="698"/>
        <v>0</v>
      </c>
      <c r="NBN1618" s="55">
        <f t="shared" si="698"/>
        <v>0</v>
      </c>
      <c r="NBO1618" s="55">
        <f t="shared" si="698"/>
        <v>0</v>
      </c>
      <c r="NBP1618" s="55">
        <f t="shared" si="698"/>
        <v>0</v>
      </c>
      <c r="NBQ1618" s="55">
        <f t="shared" si="698"/>
        <v>0</v>
      </c>
      <c r="NBR1618" s="55">
        <f t="shared" si="698"/>
        <v>0</v>
      </c>
      <c r="NBS1618" s="55">
        <f t="shared" si="698"/>
        <v>0</v>
      </c>
      <c r="NBT1618" s="55">
        <f t="shared" si="698"/>
        <v>0</v>
      </c>
      <c r="NBU1618" s="55">
        <f t="shared" si="698"/>
        <v>0</v>
      </c>
      <c r="NBV1618" s="55">
        <f t="shared" si="698"/>
        <v>0</v>
      </c>
      <c r="NBW1618" s="55">
        <f t="shared" si="698"/>
        <v>0</v>
      </c>
      <c r="NBX1618" s="55">
        <f t="shared" si="698"/>
        <v>0</v>
      </c>
      <c r="NBY1618" s="55">
        <f t="shared" si="698"/>
        <v>0</v>
      </c>
      <c r="NBZ1618" s="55">
        <f t="shared" si="698"/>
        <v>0</v>
      </c>
      <c r="NCA1618" s="55">
        <f t="shared" si="698"/>
        <v>0</v>
      </c>
      <c r="NCB1618" s="55">
        <f t="shared" si="698"/>
        <v>0</v>
      </c>
      <c r="NCC1618" s="55">
        <f t="shared" si="698"/>
        <v>0</v>
      </c>
      <c r="NCD1618" s="55">
        <f t="shared" si="698"/>
        <v>0</v>
      </c>
      <c r="NCE1618" s="55">
        <f t="shared" si="698"/>
        <v>0</v>
      </c>
      <c r="NCF1618" s="55">
        <f t="shared" ref="NCF1618:NEQ1618" si="699">+(NCF1627+NCF1608)*1.18*1.1</f>
        <v>0</v>
      </c>
      <c r="NCG1618" s="55">
        <f t="shared" si="699"/>
        <v>0</v>
      </c>
      <c r="NCH1618" s="55">
        <f t="shared" si="699"/>
        <v>0</v>
      </c>
      <c r="NCI1618" s="55">
        <f t="shared" si="699"/>
        <v>0</v>
      </c>
      <c r="NCJ1618" s="55">
        <f t="shared" si="699"/>
        <v>0</v>
      </c>
      <c r="NCK1618" s="55">
        <f t="shared" si="699"/>
        <v>0</v>
      </c>
      <c r="NCL1618" s="55">
        <f t="shared" si="699"/>
        <v>0</v>
      </c>
      <c r="NCM1618" s="55">
        <f t="shared" si="699"/>
        <v>0</v>
      </c>
      <c r="NCN1618" s="55">
        <f t="shared" si="699"/>
        <v>0</v>
      </c>
      <c r="NCO1618" s="55">
        <f t="shared" si="699"/>
        <v>0</v>
      </c>
      <c r="NCP1618" s="55">
        <f t="shared" si="699"/>
        <v>0</v>
      </c>
      <c r="NCQ1618" s="55">
        <f t="shared" si="699"/>
        <v>0</v>
      </c>
      <c r="NCR1618" s="55">
        <f t="shared" si="699"/>
        <v>0</v>
      </c>
      <c r="NCS1618" s="55">
        <f t="shared" si="699"/>
        <v>0</v>
      </c>
      <c r="NCT1618" s="55">
        <f t="shared" si="699"/>
        <v>0</v>
      </c>
      <c r="NCU1618" s="55">
        <f t="shared" si="699"/>
        <v>0</v>
      </c>
      <c r="NCV1618" s="55">
        <f t="shared" si="699"/>
        <v>0</v>
      </c>
      <c r="NCW1618" s="55">
        <f t="shared" si="699"/>
        <v>0</v>
      </c>
      <c r="NCX1618" s="55">
        <f t="shared" si="699"/>
        <v>0</v>
      </c>
      <c r="NCY1618" s="55">
        <f t="shared" si="699"/>
        <v>0</v>
      </c>
      <c r="NCZ1618" s="55">
        <f t="shared" si="699"/>
        <v>0</v>
      </c>
      <c r="NDA1618" s="55">
        <f t="shared" si="699"/>
        <v>0</v>
      </c>
      <c r="NDB1618" s="55">
        <f t="shared" si="699"/>
        <v>0</v>
      </c>
      <c r="NDC1618" s="55">
        <f t="shared" si="699"/>
        <v>0</v>
      </c>
      <c r="NDD1618" s="55">
        <f t="shared" si="699"/>
        <v>0</v>
      </c>
      <c r="NDE1618" s="55">
        <f t="shared" si="699"/>
        <v>0</v>
      </c>
      <c r="NDF1618" s="55">
        <f t="shared" si="699"/>
        <v>0</v>
      </c>
      <c r="NDG1618" s="55">
        <f t="shared" si="699"/>
        <v>0</v>
      </c>
      <c r="NDH1618" s="55">
        <f t="shared" si="699"/>
        <v>0</v>
      </c>
      <c r="NDI1618" s="55">
        <f t="shared" si="699"/>
        <v>0</v>
      </c>
      <c r="NDJ1618" s="55">
        <f t="shared" si="699"/>
        <v>0</v>
      </c>
      <c r="NDK1618" s="55">
        <f t="shared" si="699"/>
        <v>0</v>
      </c>
      <c r="NDL1618" s="55">
        <f t="shared" si="699"/>
        <v>0</v>
      </c>
      <c r="NDM1618" s="55">
        <f t="shared" si="699"/>
        <v>0</v>
      </c>
      <c r="NDN1618" s="55">
        <f t="shared" si="699"/>
        <v>0</v>
      </c>
      <c r="NDO1618" s="55">
        <f t="shared" si="699"/>
        <v>0</v>
      </c>
      <c r="NDP1618" s="55">
        <f t="shared" si="699"/>
        <v>0</v>
      </c>
      <c r="NDQ1618" s="55">
        <f t="shared" si="699"/>
        <v>0</v>
      </c>
      <c r="NDR1618" s="55">
        <f t="shared" si="699"/>
        <v>0</v>
      </c>
      <c r="NDS1618" s="55">
        <f t="shared" si="699"/>
        <v>0</v>
      </c>
      <c r="NDT1618" s="55">
        <f t="shared" si="699"/>
        <v>0</v>
      </c>
      <c r="NDU1618" s="55">
        <f t="shared" si="699"/>
        <v>0</v>
      </c>
      <c r="NDV1618" s="55">
        <f t="shared" si="699"/>
        <v>0</v>
      </c>
      <c r="NDW1618" s="55">
        <f t="shared" si="699"/>
        <v>0</v>
      </c>
      <c r="NDX1618" s="55">
        <f t="shared" si="699"/>
        <v>0</v>
      </c>
      <c r="NDY1618" s="55">
        <f t="shared" si="699"/>
        <v>0</v>
      </c>
      <c r="NDZ1618" s="55">
        <f t="shared" si="699"/>
        <v>0</v>
      </c>
      <c r="NEA1618" s="55">
        <f t="shared" si="699"/>
        <v>0</v>
      </c>
      <c r="NEB1618" s="55">
        <f t="shared" si="699"/>
        <v>0</v>
      </c>
      <c r="NEC1618" s="55">
        <f t="shared" si="699"/>
        <v>0</v>
      </c>
      <c r="NED1618" s="55">
        <f t="shared" si="699"/>
        <v>0</v>
      </c>
      <c r="NEE1618" s="55">
        <f t="shared" si="699"/>
        <v>0</v>
      </c>
      <c r="NEF1618" s="55">
        <f t="shared" si="699"/>
        <v>0</v>
      </c>
      <c r="NEG1618" s="55">
        <f t="shared" si="699"/>
        <v>0</v>
      </c>
      <c r="NEH1618" s="55">
        <f t="shared" si="699"/>
        <v>0</v>
      </c>
      <c r="NEI1618" s="55">
        <f t="shared" si="699"/>
        <v>0</v>
      </c>
      <c r="NEJ1618" s="55">
        <f t="shared" si="699"/>
        <v>0</v>
      </c>
      <c r="NEK1618" s="55">
        <f t="shared" si="699"/>
        <v>0</v>
      </c>
      <c r="NEL1618" s="55">
        <f t="shared" si="699"/>
        <v>0</v>
      </c>
      <c r="NEM1618" s="55">
        <f t="shared" si="699"/>
        <v>0</v>
      </c>
      <c r="NEN1618" s="55">
        <f t="shared" si="699"/>
        <v>0</v>
      </c>
      <c r="NEO1618" s="55">
        <f t="shared" si="699"/>
        <v>0</v>
      </c>
      <c r="NEP1618" s="55">
        <f t="shared" si="699"/>
        <v>0</v>
      </c>
      <c r="NEQ1618" s="55">
        <f t="shared" si="699"/>
        <v>0</v>
      </c>
      <c r="NER1618" s="55">
        <f t="shared" ref="NER1618:NHC1618" si="700">+(NER1627+NER1608)*1.18*1.1</f>
        <v>0</v>
      </c>
      <c r="NES1618" s="55">
        <f t="shared" si="700"/>
        <v>0</v>
      </c>
      <c r="NET1618" s="55">
        <f t="shared" si="700"/>
        <v>0</v>
      </c>
      <c r="NEU1618" s="55">
        <f t="shared" si="700"/>
        <v>0</v>
      </c>
      <c r="NEV1618" s="55">
        <f t="shared" si="700"/>
        <v>0</v>
      </c>
      <c r="NEW1618" s="55">
        <f t="shared" si="700"/>
        <v>0</v>
      </c>
      <c r="NEX1618" s="55">
        <f t="shared" si="700"/>
        <v>0</v>
      </c>
      <c r="NEY1618" s="55">
        <f t="shared" si="700"/>
        <v>0</v>
      </c>
      <c r="NEZ1618" s="55">
        <f t="shared" si="700"/>
        <v>0</v>
      </c>
      <c r="NFA1618" s="55">
        <f t="shared" si="700"/>
        <v>0</v>
      </c>
      <c r="NFB1618" s="55">
        <f t="shared" si="700"/>
        <v>0</v>
      </c>
      <c r="NFC1618" s="55">
        <f t="shared" si="700"/>
        <v>0</v>
      </c>
      <c r="NFD1618" s="55">
        <f t="shared" si="700"/>
        <v>0</v>
      </c>
      <c r="NFE1618" s="55">
        <f t="shared" si="700"/>
        <v>0</v>
      </c>
      <c r="NFF1618" s="55">
        <f t="shared" si="700"/>
        <v>0</v>
      </c>
      <c r="NFG1618" s="55">
        <f t="shared" si="700"/>
        <v>0</v>
      </c>
      <c r="NFH1618" s="55">
        <f t="shared" si="700"/>
        <v>0</v>
      </c>
      <c r="NFI1618" s="55">
        <f t="shared" si="700"/>
        <v>0</v>
      </c>
      <c r="NFJ1618" s="55">
        <f t="shared" si="700"/>
        <v>0</v>
      </c>
      <c r="NFK1618" s="55">
        <f t="shared" si="700"/>
        <v>0</v>
      </c>
      <c r="NFL1618" s="55">
        <f t="shared" si="700"/>
        <v>0</v>
      </c>
      <c r="NFM1618" s="55">
        <f t="shared" si="700"/>
        <v>0</v>
      </c>
      <c r="NFN1618" s="55">
        <f t="shared" si="700"/>
        <v>0</v>
      </c>
      <c r="NFO1618" s="55">
        <f t="shared" si="700"/>
        <v>0</v>
      </c>
      <c r="NFP1618" s="55">
        <f t="shared" si="700"/>
        <v>0</v>
      </c>
      <c r="NFQ1618" s="55">
        <f t="shared" si="700"/>
        <v>0</v>
      </c>
      <c r="NFR1618" s="55">
        <f t="shared" si="700"/>
        <v>0</v>
      </c>
      <c r="NFS1618" s="55">
        <f t="shared" si="700"/>
        <v>0</v>
      </c>
      <c r="NFT1618" s="55">
        <f t="shared" si="700"/>
        <v>0</v>
      </c>
      <c r="NFU1618" s="55">
        <f t="shared" si="700"/>
        <v>0</v>
      </c>
      <c r="NFV1618" s="55">
        <f t="shared" si="700"/>
        <v>0</v>
      </c>
      <c r="NFW1618" s="55">
        <f t="shared" si="700"/>
        <v>0</v>
      </c>
      <c r="NFX1618" s="55">
        <f t="shared" si="700"/>
        <v>0</v>
      </c>
      <c r="NFY1618" s="55">
        <f t="shared" si="700"/>
        <v>0</v>
      </c>
      <c r="NFZ1618" s="55">
        <f t="shared" si="700"/>
        <v>0</v>
      </c>
      <c r="NGA1618" s="55">
        <f t="shared" si="700"/>
        <v>0</v>
      </c>
      <c r="NGB1618" s="55">
        <f t="shared" si="700"/>
        <v>0</v>
      </c>
      <c r="NGC1618" s="55">
        <f t="shared" si="700"/>
        <v>0</v>
      </c>
      <c r="NGD1618" s="55">
        <f t="shared" si="700"/>
        <v>0</v>
      </c>
      <c r="NGE1618" s="55">
        <f t="shared" si="700"/>
        <v>0</v>
      </c>
      <c r="NGF1618" s="55">
        <f t="shared" si="700"/>
        <v>0</v>
      </c>
      <c r="NGG1618" s="55">
        <f t="shared" si="700"/>
        <v>0</v>
      </c>
      <c r="NGH1618" s="55">
        <f t="shared" si="700"/>
        <v>0</v>
      </c>
      <c r="NGI1618" s="55">
        <f t="shared" si="700"/>
        <v>0</v>
      </c>
      <c r="NGJ1618" s="55">
        <f t="shared" si="700"/>
        <v>0</v>
      </c>
      <c r="NGK1618" s="55">
        <f t="shared" si="700"/>
        <v>0</v>
      </c>
      <c r="NGL1618" s="55">
        <f t="shared" si="700"/>
        <v>0</v>
      </c>
      <c r="NGM1618" s="55">
        <f t="shared" si="700"/>
        <v>0</v>
      </c>
      <c r="NGN1618" s="55">
        <f t="shared" si="700"/>
        <v>0</v>
      </c>
      <c r="NGO1618" s="55">
        <f t="shared" si="700"/>
        <v>0</v>
      </c>
      <c r="NGP1618" s="55">
        <f t="shared" si="700"/>
        <v>0</v>
      </c>
      <c r="NGQ1618" s="55">
        <f t="shared" si="700"/>
        <v>0</v>
      </c>
      <c r="NGR1618" s="55">
        <f t="shared" si="700"/>
        <v>0</v>
      </c>
      <c r="NGS1618" s="55">
        <f t="shared" si="700"/>
        <v>0</v>
      </c>
      <c r="NGT1618" s="55">
        <f t="shared" si="700"/>
        <v>0</v>
      </c>
      <c r="NGU1618" s="55">
        <f t="shared" si="700"/>
        <v>0</v>
      </c>
      <c r="NGV1618" s="55">
        <f t="shared" si="700"/>
        <v>0</v>
      </c>
      <c r="NGW1618" s="55">
        <f t="shared" si="700"/>
        <v>0</v>
      </c>
      <c r="NGX1618" s="55">
        <f t="shared" si="700"/>
        <v>0</v>
      </c>
      <c r="NGY1618" s="55">
        <f t="shared" si="700"/>
        <v>0</v>
      </c>
      <c r="NGZ1618" s="55">
        <f t="shared" si="700"/>
        <v>0</v>
      </c>
      <c r="NHA1618" s="55">
        <f t="shared" si="700"/>
        <v>0</v>
      </c>
      <c r="NHB1618" s="55">
        <f t="shared" si="700"/>
        <v>0</v>
      </c>
      <c r="NHC1618" s="55">
        <f t="shared" si="700"/>
        <v>0</v>
      </c>
      <c r="NHD1618" s="55">
        <f t="shared" ref="NHD1618:NJO1618" si="701">+(NHD1627+NHD1608)*1.18*1.1</f>
        <v>0</v>
      </c>
      <c r="NHE1618" s="55">
        <f t="shared" si="701"/>
        <v>0</v>
      </c>
      <c r="NHF1618" s="55">
        <f t="shared" si="701"/>
        <v>0</v>
      </c>
      <c r="NHG1618" s="55">
        <f t="shared" si="701"/>
        <v>0</v>
      </c>
      <c r="NHH1618" s="55">
        <f t="shared" si="701"/>
        <v>0</v>
      </c>
      <c r="NHI1618" s="55">
        <f t="shared" si="701"/>
        <v>0</v>
      </c>
      <c r="NHJ1618" s="55">
        <f t="shared" si="701"/>
        <v>0</v>
      </c>
      <c r="NHK1618" s="55">
        <f t="shared" si="701"/>
        <v>0</v>
      </c>
      <c r="NHL1618" s="55">
        <f t="shared" si="701"/>
        <v>0</v>
      </c>
      <c r="NHM1618" s="55">
        <f t="shared" si="701"/>
        <v>0</v>
      </c>
      <c r="NHN1618" s="55">
        <f t="shared" si="701"/>
        <v>0</v>
      </c>
      <c r="NHO1618" s="55">
        <f t="shared" si="701"/>
        <v>0</v>
      </c>
      <c r="NHP1618" s="55">
        <f t="shared" si="701"/>
        <v>0</v>
      </c>
      <c r="NHQ1618" s="55">
        <f t="shared" si="701"/>
        <v>0</v>
      </c>
      <c r="NHR1618" s="55">
        <f t="shared" si="701"/>
        <v>0</v>
      </c>
      <c r="NHS1618" s="55">
        <f t="shared" si="701"/>
        <v>0</v>
      </c>
      <c r="NHT1618" s="55">
        <f t="shared" si="701"/>
        <v>0</v>
      </c>
      <c r="NHU1618" s="55">
        <f t="shared" si="701"/>
        <v>0</v>
      </c>
      <c r="NHV1618" s="55">
        <f t="shared" si="701"/>
        <v>0</v>
      </c>
      <c r="NHW1618" s="55">
        <f t="shared" si="701"/>
        <v>0</v>
      </c>
      <c r="NHX1618" s="55">
        <f t="shared" si="701"/>
        <v>0</v>
      </c>
      <c r="NHY1618" s="55">
        <f t="shared" si="701"/>
        <v>0</v>
      </c>
      <c r="NHZ1618" s="55">
        <f t="shared" si="701"/>
        <v>0</v>
      </c>
      <c r="NIA1618" s="55">
        <f t="shared" si="701"/>
        <v>0</v>
      </c>
      <c r="NIB1618" s="55">
        <f t="shared" si="701"/>
        <v>0</v>
      </c>
      <c r="NIC1618" s="55">
        <f t="shared" si="701"/>
        <v>0</v>
      </c>
      <c r="NID1618" s="55">
        <f t="shared" si="701"/>
        <v>0</v>
      </c>
      <c r="NIE1618" s="55">
        <f t="shared" si="701"/>
        <v>0</v>
      </c>
      <c r="NIF1618" s="55">
        <f t="shared" si="701"/>
        <v>0</v>
      </c>
      <c r="NIG1618" s="55">
        <f t="shared" si="701"/>
        <v>0</v>
      </c>
      <c r="NIH1618" s="55">
        <f t="shared" si="701"/>
        <v>0</v>
      </c>
      <c r="NII1618" s="55">
        <f t="shared" si="701"/>
        <v>0</v>
      </c>
      <c r="NIJ1618" s="55">
        <f t="shared" si="701"/>
        <v>0</v>
      </c>
      <c r="NIK1618" s="55">
        <f t="shared" si="701"/>
        <v>0</v>
      </c>
      <c r="NIL1618" s="55">
        <f t="shared" si="701"/>
        <v>0</v>
      </c>
      <c r="NIM1618" s="55">
        <f t="shared" si="701"/>
        <v>0</v>
      </c>
      <c r="NIN1618" s="55">
        <f t="shared" si="701"/>
        <v>0</v>
      </c>
      <c r="NIO1618" s="55">
        <f t="shared" si="701"/>
        <v>0</v>
      </c>
      <c r="NIP1618" s="55">
        <f t="shared" si="701"/>
        <v>0</v>
      </c>
      <c r="NIQ1618" s="55">
        <f t="shared" si="701"/>
        <v>0</v>
      </c>
      <c r="NIR1618" s="55">
        <f t="shared" si="701"/>
        <v>0</v>
      </c>
      <c r="NIS1618" s="55">
        <f t="shared" si="701"/>
        <v>0</v>
      </c>
      <c r="NIT1618" s="55">
        <f t="shared" si="701"/>
        <v>0</v>
      </c>
      <c r="NIU1618" s="55">
        <f t="shared" si="701"/>
        <v>0</v>
      </c>
      <c r="NIV1618" s="55">
        <f t="shared" si="701"/>
        <v>0</v>
      </c>
      <c r="NIW1618" s="55">
        <f t="shared" si="701"/>
        <v>0</v>
      </c>
      <c r="NIX1618" s="55">
        <f t="shared" si="701"/>
        <v>0</v>
      </c>
      <c r="NIY1618" s="55">
        <f t="shared" si="701"/>
        <v>0</v>
      </c>
      <c r="NIZ1618" s="55">
        <f t="shared" si="701"/>
        <v>0</v>
      </c>
      <c r="NJA1618" s="55">
        <f t="shared" si="701"/>
        <v>0</v>
      </c>
      <c r="NJB1618" s="55">
        <f t="shared" si="701"/>
        <v>0</v>
      </c>
      <c r="NJC1618" s="55">
        <f t="shared" si="701"/>
        <v>0</v>
      </c>
      <c r="NJD1618" s="55">
        <f t="shared" si="701"/>
        <v>0</v>
      </c>
      <c r="NJE1618" s="55">
        <f t="shared" si="701"/>
        <v>0</v>
      </c>
      <c r="NJF1618" s="55">
        <f t="shared" si="701"/>
        <v>0</v>
      </c>
      <c r="NJG1618" s="55">
        <f t="shared" si="701"/>
        <v>0</v>
      </c>
      <c r="NJH1618" s="55">
        <f t="shared" si="701"/>
        <v>0</v>
      </c>
      <c r="NJI1618" s="55">
        <f t="shared" si="701"/>
        <v>0</v>
      </c>
      <c r="NJJ1618" s="55">
        <f t="shared" si="701"/>
        <v>0</v>
      </c>
      <c r="NJK1618" s="55">
        <f t="shared" si="701"/>
        <v>0</v>
      </c>
      <c r="NJL1618" s="55">
        <f t="shared" si="701"/>
        <v>0</v>
      </c>
      <c r="NJM1618" s="55">
        <f t="shared" si="701"/>
        <v>0</v>
      </c>
      <c r="NJN1618" s="55">
        <f t="shared" si="701"/>
        <v>0</v>
      </c>
      <c r="NJO1618" s="55">
        <f t="shared" si="701"/>
        <v>0</v>
      </c>
      <c r="NJP1618" s="55">
        <f t="shared" ref="NJP1618:NMA1618" si="702">+(NJP1627+NJP1608)*1.18*1.1</f>
        <v>0</v>
      </c>
      <c r="NJQ1618" s="55">
        <f t="shared" si="702"/>
        <v>0</v>
      </c>
      <c r="NJR1618" s="55">
        <f t="shared" si="702"/>
        <v>0</v>
      </c>
      <c r="NJS1618" s="55">
        <f t="shared" si="702"/>
        <v>0</v>
      </c>
      <c r="NJT1618" s="55">
        <f t="shared" si="702"/>
        <v>0</v>
      </c>
      <c r="NJU1618" s="55">
        <f t="shared" si="702"/>
        <v>0</v>
      </c>
      <c r="NJV1618" s="55">
        <f t="shared" si="702"/>
        <v>0</v>
      </c>
      <c r="NJW1618" s="55">
        <f t="shared" si="702"/>
        <v>0</v>
      </c>
      <c r="NJX1618" s="55">
        <f t="shared" si="702"/>
        <v>0</v>
      </c>
      <c r="NJY1618" s="55">
        <f t="shared" si="702"/>
        <v>0</v>
      </c>
      <c r="NJZ1618" s="55">
        <f t="shared" si="702"/>
        <v>0</v>
      </c>
      <c r="NKA1618" s="55">
        <f t="shared" si="702"/>
        <v>0</v>
      </c>
      <c r="NKB1618" s="55">
        <f t="shared" si="702"/>
        <v>0</v>
      </c>
      <c r="NKC1618" s="55">
        <f t="shared" si="702"/>
        <v>0</v>
      </c>
      <c r="NKD1618" s="55">
        <f t="shared" si="702"/>
        <v>0</v>
      </c>
      <c r="NKE1618" s="55">
        <f t="shared" si="702"/>
        <v>0</v>
      </c>
      <c r="NKF1618" s="55">
        <f t="shared" si="702"/>
        <v>0</v>
      </c>
      <c r="NKG1618" s="55">
        <f t="shared" si="702"/>
        <v>0</v>
      </c>
      <c r="NKH1618" s="55">
        <f t="shared" si="702"/>
        <v>0</v>
      </c>
      <c r="NKI1618" s="55">
        <f t="shared" si="702"/>
        <v>0</v>
      </c>
      <c r="NKJ1618" s="55">
        <f t="shared" si="702"/>
        <v>0</v>
      </c>
      <c r="NKK1618" s="55">
        <f t="shared" si="702"/>
        <v>0</v>
      </c>
      <c r="NKL1618" s="55">
        <f t="shared" si="702"/>
        <v>0</v>
      </c>
      <c r="NKM1618" s="55">
        <f t="shared" si="702"/>
        <v>0</v>
      </c>
      <c r="NKN1618" s="55">
        <f t="shared" si="702"/>
        <v>0</v>
      </c>
      <c r="NKO1618" s="55">
        <f t="shared" si="702"/>
        <v>0</v>
      </c>
      <c r="NKP1618" s="55">
        <f t="shared" si="702"/>
        <v>0</v>
      </c>
      <c r="NKQ1618" s="55">
        <f t="shared" si="702"/>
        <v>0</v>
      </c>
      <c r="NKR1618" s="55">
        <f t="shared" si="702"/>
        <v>0</v>
      </c>
      <c r="NKS1618" s="55">
        <f t="shared" si="702"/>
        <v>0</v>
      </c>
      <c r="NKT1618" s="55">
        <f t="shared" si="702"/>
        <v>0</v>
      </c>
      <c r="NKU1618" s="55">
        <f t="shared" si="702"/>
        <v>0</v>
      </c>
      <c r="NKV1618" s="55">
        <f t="shared" si="702"/>
        <v>0</v>
      </c>
      <c r="NKW1618" s="55">
        <f t="shared" si="702"/>
        <v>0</v>
      </c>
      <c r="NKX1618" s="55">
        <f t="shared" si="702"/>
        <v>0</v>
      </c>
      <c r="NKY1618" s="55">
        <f t="shared" si="702"/>
        <v>0</v>
      </c>
      <c r="NKZ1618" s="55">
        <f t="shared" si="702"/>
        <v>0</v>
      </c>
      <c r="NLA1618" s="55">
        <f t="shared" si="702"/>
        <v>0</v>
      </c>
      <c r="NLB1618" s="55">
        <f t="shared" si="702"/>
        <v>0</v>
      </c>
      <c r="NLC1618" s="55">
        <f t="shared" si="702"/>
        <v>0</v>
      </c>
      <c r="NLD1618" s="55">
        <f t="shared" si="702"/>
        <v>0</v>
      </c>
      <c r="NLE1618" s="55">
        <f t="shared" si="702"/>
        <v>0</v>
      </c>
      <c r="NLF1618" s="55">
        <f t="shared" si="702"/>
        <v>0</v>
      </c>
      <c r="NLG1618" s="55">
        <f t="shared" si="702"/>
        <v>0</v>
      </c>
      <c r="NLH1618" s="55">
        <f t="shared" si="702"/>
        <v>0</v>
      </c>
      <c r="NLI1618" s="55">
        <f t="shared" si="702"/>
        <v>0</v>
      </c>
      <c r="NLJ1618" s="55">
        <f t="shared" si="702"/>
        <v>0</v>
      </c>
      <c r="NLK1618" s="55">
        <f t="shared" si="702"/>
        <v>0</v>
      </c>
      <c r="NLL1618" s="55">
        <f t="shared" si="702"/>
        <v>0</v>
      </c>
      <c r="NLM1618" s="55">
        <f t="shared" si="702"/>
        <v>0</v>
      </c>
      <c r="NLN1618" s="55">
        <f t="shared" si="702"/>
        <v>0</v>
      </c>
      <c r="NLO1618" s="55">
        <f t="shared" si="702"/>
        <v>0</v>
      </c>
      <c r="NLP1618" s="55">
        <f t="shared" si="702"/>
        <v>0</v>
      </c>
      <c r="NLQ1618" s="55">
        <f t="shared" si="702"/>
        <v>0</v>
      </c>
      <c r="NLR1618" s="55">
        <f t="shared" si="702"/>
        <v>0</v>
      </c>
      <c r="NLS1618" s="55">
        <f t="shared" si="702"/>
        <v>0</v>
      </c>
      <c r="NLT1618" s="55">
        <f t="shared" si="702"/>
        <v>0</v>
      </c>
      <c r="NLU1618" s="55">
        <f t="shared" si="702"/>
        <v>0</v>
      </c>
      <c r="NLV1618" s="55">
        <f t="shared" si="702"/>
        <v>0</v>
      </c>
      <c r="NLW1618" s="55">
        <f t="shared" si="702"/>
        <v>0</v>
      </c>
      <c r="NLX1618" s="55">
        <f t="shared" si="702"/>
        <v>0</v>
      </c>
      <c r="NLY1618" s="55">
        <f t="shared" si="702"/>
        <v>0</v>
      </c>
      <c r="NLZ1618" s="55">
        <f t="shared" si="702"/>
        <v>0</v>
      </c>
      <c r="NMA1618" s="55">
        <f t="shared" si="702"/>
        <v>0</v>
      </c>
      <c r="NMB1618" s="55">
        <f t="shared" ref="NMB1618:NOM1618" si="703">+(NMB1627+NMB1608)*1.18*1.1</f>
        <v>0</v>
      </c>
      <c r="NMC1618" s="55">
        <f t="shared" si="703"/>
        <v>0</v>
      </c>
      <c r="NMD1618" s="55">
        <f t="shared" si="703"/>
        <v>0</v>
      </c>
      <c r="NME1618" s="55">
        <f t="shared" si="703"/>
        <v>0</v>
      </c>
      <c r="NMF1618" s="55">
        <f t="shared" si="703"/>
        <v>0</v>
      </c>
      <c r="NMG1618" s="55">
        <f t="shared" si="703"/>
        <v>0</v>
      </c>
      <c r="NMH1618" s="55">
        <f t="shared" si="703"/>
        <v>0</v>
      </c>
      <c r="NMI1618" s="55">
        <f t="shared" si="703"/>
        <v>0</v>
      </c>
      <c r="NMJ1618" s="55">
        <f t="shared" si="703"/>
        <v>0</v>
      </c>
      <c r="NMK1618" s="55">
        <f t="shared" si="703"/>
        <v>0</v>
      </c>
      <c r="NML1618" s="55">
        <f t="shared" si="703"/>
        <v>0</v>
      </c>
      <c r="NMM1618" s="55">
        <f t="shared" si="703"/>
        <v>0</v>
      </c>
      <c r="NMN1618" s="55">
        <f t="shared" si="703"/>
        <v>0</v>
      </c>
      <c r="NMO1618" s="55">
        <f t="shared" si="703"/>
        <v>0</v>
      </c>
      <c r="NMP1618" s="55">
        <f t="shared" si="703"/>
        <v>0</v>
      </c>
      <c r="NMQ1618" s="55">
        <f t="shared" si="703"/>
        <v>0</v>
      </c>
      <c r="NMR1618" s="55">
        <f t="shared" si="703"/>
        <v>0</v>
      </c>
      <c r="NMS1618" s="55">
        <f t="shared" si="703"/>
        <v>0</v>
      </c>
      <c r="NMT1618" s="55">
        <f t="shared" si="703"/>
        <v>0</v>
      </c>
      <c r="NMU1618" s="55">
        <f t="shared" si="703"/>
        <v>0</v>
      </c>
      <c r="NMV1618" s="55">
        <f t="shared" si="703"/>
        <v>0</v>
      </c>
      <c r="NMW1618" s="55">
        <f t="shared" si="703"/>
        <v>0</v>
      </c>
      <c r="NMX1618" s="55">
        <f t="shared" si="703"/>
        <v>0</v>
      </c>
      <c r="NMY1618" s="55">
        <f t="shared" si="703"/>
        <v>0</v>
      </c>
      <c r="NMZ1618" s="55">
        <f t="shared" si="703"/>
        <v>0</v>
      </c>
      <c r="NNA1618" s="55">
        <f t="shared" si="703"/>
        <v>0</v>
      </c>
      <c r="NNB1618" s="55">
        <f t="shared" si="703"/>
        <v>0</v>
      </c>
      <c r="NNC1618" s="55">
        <f t="shared" si="703"/>
        <v>0</v>
      </c>
      <c r="NND1618" s="55">
        <f t="shared" si="703"/>
        <v>0</v>
      </c>
      <c r="NNE1618" s="55">
        <f t="shared" si="703"/>
        <v>0</v>
      </c>
      <c r="NNF1618" s="55">
        <f t="shared" si="703"/>
        <v>0</v>
      </c>
      <c r="NNG1618" s="55">
        <f t="shared" si="703"/>
        <v>0</v>
      </c>
      <c r="NNH1618" s="55">
        <f t="shared" si="703"/>
        <v>0</v>
      </c>
      <c r="NNI1618" s="55">
        <f t="shared" si="703"/>
        <v>0</v>
      </c>
      <c r="NNJ1618" s="55">
        <f t="shared" si="703"/>
        <v>0</v>
      </c>
      <c r="NNK1618" s="55">
        <f t="shared" si="703"/>
        <v>0</v>
      </c>
      <c r="NNL1618" s="55">
        <f t="shared" si="703"/>
        <v>0</v>
      </c>
      <c r="NNM1618" s="55">
        <f t="shared" si="703"/>
        <v>0</v>
      </c>
      <c r="NNN1618" s="55">
        <f t="shared" si="703"/>
        <v>0</v>
      </c>
      <c r="NNO1618" s="55">
        <f t="shared" si="703"/>
        <v>0</v>
      </c>
      <c r="NNP1618" s="55">
        <f t="shared" si="703"/>
        <v>0</v>
      </c>
      <c r="NNQ1618" s="55">
        <f t="shared" si="703"/>
        <v>0</v>
      </c>
      <c r="NNR1618" s="55">
        <f t="shared" si="703"/>
        <v>0</v>
      </c>
      <c r="NNS1618" s="55">
        <f t="shared" si="703"/>
        <v>0</v>
      </c>
      <c r="NNT1618" s="55">
        <f t="shared" si="703"/>
        <v>0</v>
      </c>
      <c r="NNU1618" s="55">
        <f t="shared" si="703"/>
        <v>0</v>
      </c>
      <c r="NNV1618" s="55">
        <f t="shared" si="703"/>
        <v>0</v>
      </c>
      <c r="NNW1618" s="55">
        <f t="shared" si="703"/>
        <v>0</v>
      </c>
      <c r="NNX1618" s="55">
        <f t="shared" si="703"/>
        <v>0</v>
      </c>
      <c r="NNY1618" s="55">
        <f t="shared" si="703"/>
        <v>0</v>
      </c>
      <c r="NNZ1618" s="55">
        <f t="shared" si="703"/>
        <v>0</v>
      </c>
      <c r="NOA1618" s="55">
        <f t="shared" si="703"/>
        <v>0</v>
      </c>
      <c r="NOB1618" s="55">
        <f t="shared" si="703"/>
        <v>0</v>
      </c>
      <c r="NOC1618" s="55">
        <f t="shared" si="703"/>
        <v>0</v>
      </c>
      <c r="NOD1618" s="55">
        <f t="shared" si="703"/>
        <v>0</v>
      </c>
      <c r="NOE1618" s="55">
        <f t="shared" si="703"/>
        <v>0</v>
      </c>
      <c r="NOF1618" s="55">
        <f t="shared" si="703"/>
        <v>0</v>
      </c>
      <c r="NOG1618" s="55">
        <f t="shared" si="703"/>
        <v>0</v>
      </c>
      <c r="NOH1618" s="55">
        <f t="shared" si="703"/>
        <v>0</v>
      </c>
      <c r="NOI1618" s="55">
        <f t="shared" si="703"/>
        <v>0</v>
      </c>
      <c r="NOJ1618" s="55">
        <f t="shared" si="703"/>
        <v>0</v>
      </c>
      <c r="NOK1618" s="55">
        <f t="shared" si="703"/>
        <v>0</v>
      </c>
      <c r="NOL1618" s="55">
        <f t="shared" si="703"/>
        <v>0</v>
      </c>
      <c r="NOM1618" s="55">
        <f t="shared" si="703"/>
        <v>0</v>
      </c>
      <c r="NON1618" s="55">
        <f t="shared" ref="NON1618:NQY1618" si="704">+(NON1627+NON1608)*1.18*1.1</f>
        <v>0</v>
      </c>
      <c r="NOO1618" s="55">
        <f t="shared" si="704"/>
        <v>0</v>
      </c>
      <c r="NOP1618" s="55">
        <f t="shared" si="704"/>
        <v>0</v>
      </c>
      <c r="NOQ1618" s="55">
        <f t="shared" si="704"/>
        <v>0</v>
      </c>
      <c r="NOR1618" s="55">
        <f t="shared" si="704"/>
        <v>0</v>
      </c>
      <c r="NOS1618" s="55">
        <f t="shared" si="704"/>
        <v>0</v>
      </c>
      <c r="NOT1618" s="55">
        <f t="shared" si="704"/>
        <v>0</v>
      </c>
      <c r="NOU1618" s="55">
        <f t="shared" si="704"/>
        <v>0</v>
      </c>
      <c r="NOV1618" s="55">
        <f t="shared" si="704"/>
        <v>0</v>
      </c>
      <c r="NOW1618" s="55">
        <f t="shared" si="704"/>
        <v>0</v>
      </c>
      <c r="NOX1618" s="55">
        <f t="shared" si="704"/>
        <v>0</v>
      </c>
      <c r="NOY1618" s="55">
        <f t="shared" si="704"/>
        <v>0</v>
      </c>
      <c r="NOZ1618" s="55">
        <f t="shared" si="704"/>
        <v>0</v>
      </c>
      <c r="NPA1618" s="55">
        <f t="shared" si="704"/>
        <v>0</v>
      </c>
      <c r="NPB1618" s="55">
        <f t="shared" si="704"/>
        <v>0</v>
      </c>
      <c r="NPC1618" s="55">
        <f t="shared" si="704"/>
        <v>0</v>
      </c>
      <c r="NPD1618" s="55">
        <f t="shared" si="704"/>
        <v>0</v>
      </c>
      <c r="NPE1618" s="55">
        <f t="shared" si="704"/>
        <v>0</v>
      </c>
      <c r="NPF1618" s="55">
        <f t="shared" si="704"/>
        <v>0</v>
      </c>
      <c r="NPG1618" s="55">
        <f t="shared" si="704"/>
        <v>0</v>
      </c>
      <c r="NPH1618" s="55">
        <f t="shared" si="704"/>
        <v>0</v>
      </c>
      <c r="NPI1618" s="55">
        <f t="shared" si="704"/>
        <v>0</v>
      </c>
      <c r="NPJ1618" s="55">
        <f t="shared" si="704"/>
        <v>0</v>
      </c>
      <c r="NPK1618" s="55">
        <f t="shared" si="704"/>
        <v>0</v>
      </c>
      <c r="NPL1618" s="55">
        <f t="shared" si="704"/>
        <v>0</v>
      </c>
      <c r="NPM1618" s="55">
        <f t="shared" si="704"/>
        <v>0</v>
      </c>
      <c r="NPN1618" s="55">
        <f t="shared" si="704"/>
        <v>0</v>
      </c>
      <c r="NPO1618" s="55">
        <f t="shared" si="704"/>
        <v>0</v>
      </c>
      <c r="NPP1618" s="55">
        <f t="shared" si="704"/>
        <v>0</v>
      </c>
      <c r="NPQ1618" s="55">
        <f t="shared" si="704"/>
        <v>0</v>
      </c>
      <c r="NPR1618" s="55">
        <f t="shared" si="704"/>
        <v>0</v>
      </c>
      <c r="NPS1618" s="55">
        <f t="shared" si="704"/>
        <v>0</v>
      </c>
      <c r="NPT1618" s="55">
        <f t="shared" si="704"/>
        <v>0</v>
      </c>
      <c r="NPU1618" s="55">
        <f t="shared" si="704"/>
        <v>0</v>
      </c>
      <c r="NPV1618" s="55">
        <f t="shared" si="704"/>
        <v>0</v>
      </c>
      <c r="NPW1618" s="55">
        <f t="shared" si="704"/>
        <v>0</v>
      </c>
      <c r="NPX1618" s="55">
        <f t="shared" si="704"/>
        <v>0</v>
      </c>
      <c r="NPY1618" s="55">
        <f t="shared" si="704"/>
        <v>0</v>
      </c>
      <c r="NPZ1618" s="55">
        <f t="shared" si="704"/>
        <v>0</v>
      </c>
      <c r="NQA1618" s="55">
        <f t="shared" si="704"/>
        <v>0</v>
      </c>
      <c r="NQB1618" s="55">
        <f t="shared" si="704"/>
        <v>0</v>
      </c>
      <c r="NQC1618" s="55">
        <f t="shared" si="704"/>
        <v>0</v>
      </c>
      <c r="NQD1618" s="55">
        <f t="shared" si="704"/>
        <v>0</v>
      </c>
      <c r="NQE1618" s="55">
        <f t="shared" si="704"/>
        <v>0</v>
      </c>
      <c r="NQF1618" s="55">
        <f t="shared" si="704"/>
        <v>0</v>
      </c>
      <c r="NQG1618" s="55">
        <f t="shared" si="704"/>
        <v>0</v>
      </c>
      <c r="NQH1618" s="55">
        <f t="shared" si="704"/>
        <v>0</v>
      </c>
      <c r="NQI1618" s="55">
        <f t="shared" si="704"/>
        <v>0</v>
      </c>
      <c r="NQJ1618" s="55">
        <f t="shared" si="704"/>
        <v>0</v>
      </c>
      <c r="NQK1618" s="55">
        <f t="shared" si="704"/>
        <v>0</v>
      </c>
      <c r="NQL1618" s="55">
        <f t="shared" si="704"/>
        <v>0</v>
      </c>
      <c r="NQM1618" s="55">
        <f t="shared" si="704"/>
        <v>0</v>
      </c>
      <c r="NQN1618" s="55">
        <f t="shared" si="704"/>
        <v>0</v>
      </c>
      <c r="NQO1618" s="55">
        <f t="shared" si="704"/>
        <v>0</v>
      </c>
      <c r="NQP1618" s="55">
        <f t="shared" si="704"/>
        <v>0</v>
      </c>
      <c r="NQQ1618" s="55">
        <f t="shared" si="704"/>
        <v>0</v>
      </c>
      <c r="NQR1618" s="55">
        <f t="shared" si="704"/>
        <v>0</v>
      </c>
      <c r="NQS1618" s="55">
        <f t="shared" si="704"/>
        <v>0</v>
      </c>
      <c r="NQT1618" s="55">
        <f t="shared" si="704"/>
        <v>0</v>
      </c>
      <c r="NQU1618" s="55">
        <f t="shared" si="704"/>
        <v>0</v>
      </c>
      <c r="NQV1618" s="55">
        <f t="shared" si="704"/>
        <v>0</v>
      </c>
      <c r="NQW1618" s="55">
        <f t="shared" si="704"/>
        <v>0</v>
      </c>
      <c r="NQX1618" s="55">
        <f t="shared" si="704"/>
        <v>0</v>
      </c>
      <c r="NQY1618" s="55">
        <f t="shared" si="704"/>
        <v>0</v>
      </c>
      <c r="NQZ1618" s="55">
        <f t="shared" ref="NQZ1618:NTK1618" si="705">+(NQZ1627+NQZ1608)*1.18*1.1</f>
        <v>0</v>
      </c>
      <c r="NRA1618" s="55">
        <f t="shared" si="705"/>
        <v>0</v>
      </c>
      <c r="NRB1618" s="55">
        <f t="shared" si="705"/>
        <v>0</v>
      </c>
      <c r="NRC1618" s="55">
        <f t="shared" si="705"/>
        <v>0</v>
      </c>
      <c r="NRD1618" s="55">
        <f t="shared" si="705"/>
        <v>0</v>
      </c>
      <c r="NRE1618" s="55">
        <f t="shared" si="705"/>
        <v>0</v>
      </c>
      <c r="NRF1618" s="55">
        <f t="shared" si="705"/>
        <v>0</v>
      </c>
      <c r="NRG1618" s="55">
        <f t="shared" si="705"/>
        <v>0</v>
      </c>
      <c r="NRH1618" s="55">
        <f t="shared" si="705"/>
        <v>0</v>
      </c>
      <c r="NRI1618" s="55">
        <f t="shared" si="705"/>
        <v>0</v>
      </c>
      <c r="NRJ1618" s="55">
        <f t="shared" si="705"/>
        <v>0</v>
      </c>
      <c r="NRK1618" s="55">
        <f t="shared" si="705"/>
        <v>0</v>
      </c>
      <c r="NRL1618" s="55">
        <f t="shared" si="705"/>
        <v>0</v>
      </c>
      <c r="NRM1618" s="55">
        <f t="shared" si="705"/>
        <v>0</v>
      </c>
      <c r="NRN1618" s="55">
        <f t="shared" si="705"/>
        <v>0</v>
      </c>
      <c r="NRO1618" s="55">
        <f t="shared" si="705"/>
        <v>0</v>
      </c>
      <c r="NRP1618" s="55">
        <f t="shared" si="705"/>
        <v>0</v>
      </c>
      <c r="NRQ1618" s="55">
        <f t="shared" si="705"/>
        <v>0</v>
      </c>
      <c r="NRR1618" s="55">
        <f t="shared" si="705"/>
        <v>0</v>
      </c>
      <c r="NRS1618" s="55">
        <f t="shared" si="705"/>
        <v>0</v>
      </c>
      <c r="NRT1618" s="55">
        <f t="shared" si="705"/>
        <v>0</v>
      </c>
      <c r="NRU1618" s="55">
        <f t="shared" si="705"/>
        <v>0</v>
      </c>
      <c r="NRV1618" s="55">
        <f t="shared" si="705"/>
        <v>0</v>
      </c>
      <c r="NRW1618" s="55">
        <f t="shared" si="705"/>
        <v>0</v>
      </c>
      <c r="NRX1618" s="55">
        <f t="shared" si="705"/>
        <v>0</v>
      </c>
      <c r="NRY1618" s="55">
        <f t="shared" si="705"/>
        <v>0</v>
      </c>
      <c r="NRZ1618" s="55">
        <f t="shared" si="705"/>
        <v>0</v>
      </c>
      <c r="NSA1618" s="55">
        <f t="shared" si="705"/>
        <v>0</v>
      </c>
      <c r="NSB1618" s="55">
        <f t="shared" si="705"/>
        <v>0</v>
      </c>
      <c r="NSC1618" s="55">
        <f t="shared" si="705"/>
        <v>0</v>
      </c>
      <c r="NSD1618" s="55">
        <f t="shared" si="705"/>
        <v>0</v>
      </c>
      <c r="NSE1618" s="55">
        <f t="shared" si="705"/>
        <v>0</v>
      </c>
      <c r="NSF1618" s="55">
        <f t="shared" si="705"/>
        <v>0</v>
      </c>
      <c r="NSG1618" s="55">
        <f t="shared" si="705"/>
        <v>0</v>
      </c>
      <c r="NSH1618" s="55">
        <f t="shared" si="705"/>
        <v>0</v>
      </c>
      <c r="NSI1618" s="55">
        <f t="shared" si="705"/>
        <v>0</v>
      </c>
      <c r="NSJ1618" s="55">
        <f t="shared" si="705"/>
        <v>0</v>
      </c>
      <c r="NSK1618" s="55">
        <f t="shared" si="705"/>
        <v>0</v>
      </c>
      <c r="NSL1618" s="55">
        <f t="shared" si="705"/>
        <v>0</v>
      </c>
      <c r="NSM1618" s="55">
        <f t="shared" si="705"/>
        <v>0</v>
      </c>
      <c r="NSN1618" s="55">
        <f t="shared" si="705"/>
        <v>0</v>
      </c>
      <c r="NSO1618" s="55">
        <f t="shared" si="705"/>
        <v>0</v>
      </c>
      <c r="NSP1618" s="55">
        <f t="shared" si="705"/>
        <v>0</v>
      </c>
      <c r="NSQ1618" s="55">
        <f t="shared" si="705"/>
        <v>0</v>
      </c>
      <c r="NSR1618" s="55">
        <f t="shared" si="705"/>
        <v>0</v>
      </c>
      <c r="NSS1618" s="55">
        <f t="shared" si="705"/>
        <v>0</v>
      </c>
      <c r="NST1618" s="55">
        <f t="shared" si="705"/>
        <v>0</v>
      </c>
      <c r="NSU1618" s="55">
        <f t="shared" si="705"/>
        <v>0</v>
      </c>
      <c r="NSV1618" s="55">
        <f t="shared" si="705"/>
        <v>0</v>
      </c>
      <c r="NSW1618" s="55">
        <f t="shared" si="705"/>
        <v>0</v>
      </c>
      <c r="NSX1618" s="55">
        <f t="shared" si="705"/>
        <v>0</v>
      </c>
      <c r="NSY1618" s="55">
        <f t="shared" si="705"/>
        <v>0</v>
      </c>
      <c r="NSZ1618" s="55">
        <f t="shared" si="705"/>
        <v>0</v>
      </c>
      <c r="NTA1618" s="55">
        <f t="shared" si="705"/>
        <v>0</v>
      </c>
      <c r="NTB1618" s="55">
        <f t="shared" si="705"/>
        <v>0</v>
      </c>
      <c r="NTC1618" s="55">
        <f t="shared" si="705"/>
        <v>0</v>
      </c>
      <c r="NTD1618" s="55">
        <f t="shared" si="705"/>
        <v>0</v>
      </c>
      <c r="NTE1618" s="55">
        <f t="shared" si="705"/>
        <v>0</v>
      </c>
      <c r="NTF1618" s="55">
        <f t="shared" si="705"/>
        <v>0</v>
      </c>
      <c r="NTG1618" s="55">
        <f t="shared" si="705"/>
        <v>0</v>
      </c>
      <c r="NTH1618" s="55">
        <f t="shared" si="705"/>
        <v>0</v>
      </c>
      <c r="NTI1618" s="55">
        <f t="shared" si="705"/>
        <v>0</v>
      </c>
      <c r="NTJ1618" s="55">
        <f t="shared" si="705"/>
        <v>0</v>
      </c>
      <c r="NTK1618" s="55">
        <f t="shared" si="705"/>
        <v>0</v>
      </c>
      <c r="NTL1618" s="55">
        <f t="shared" ref="NTL1618:NVW1618" si="706">+(NTL1627+NTL1608)*1.18*1.1</f>
        <v>0</v>
      </c>
      <c r="NTM1618" s="55">
        <f t="shared" si="706"/>
        <v>0</v>
      </c>
      <c r="NTN1618" s="55">
        <f t="shared" si="706"/>
        <v>0</v>
      </c>
      <c r="NTO1618" s="55">
        <f t="shared" si="706"/>
        <v>0</v>
      </c>
      <c r="NTP1618" s="55">
        <f t="shared" si="706"/>
        <v>0</v>
      </c>
      <c r="NTQ1618" s="55">
        <f t="shared" si="706"/>
        <v>0</v>
      </c>
      <c r="NTR1618" s="55">
        <f t="shared" si="706"/>
        <v>0</v>
      </c>
      <c r="NTS1618" s="55">
        <f t="shared" si="706"/>
        <v>0</v>
      </c>
      <c r="NTT1618" s="55">
        <f t="shared" si="706"/>
        <v>0</v>
      </c>
      <c r="NTU1618" s="55">
        <f t="shared" si="706"/>
        <v>0</v>
      </c>
      <c r="NTV1618" s="55">
        <f t="shared" si="706"/>
        <v>0</v>
      </c>
      <c r="NTW1618" s="55">
        <f t="shared" si="706"/>
        <v>0</v>
      </c>
      <c r="NTX1618" s="55">
        <f t="shared" si="706"/>
        <v>0</v>
      </c>
      <c r="NTY1618" s="55">
        <f t="shared" si="706"/>
        <v>0</v>
      </c>
      <c r="NTZ1618" s="55">
        <f t="shared" si="706"/>
        <v>0</v>
      </c>
      <c r="NUA1618" s="55">
        <f t="shared" si="706"/>
        <v>0</v>
      </c>
      <c r="NUB1618" s="55">
        <f t="shared" si="706"/>
        <v>0</v>
      </c>
      <c r="NUC1618" s="55">
        <f t="shared" si="706"/>
        <v>0</v>
      </c>
      <c r="NUD1618" s="55">
        <f t="shared" si="706"/>
        <v>0</v>
      </c>
      <c r="NUE1618" s="55">
        <f t="shared" si="706"/>
        <v>0</v>
      </c>
      <c r="NUF1618" s="55">
        <f t="shared" si="706"/>
        <v>0</v>
      </c>
      <c r="NUG1618" s="55">
        <f t="shared" si="706"/>
        <v>0</v>
      </c>
      <c r="NUH1618" s="55">
        <f t="shared" si="706"/>
        <v>0</v>
      </c>
      <c r="NUI1618" s="55">
        <f t="shared" si="706"/>
        <v>0</v>
      </c>
      <c r="NUJ1618" s="55">
        <f t="shared" si="706"/>
        <v>0</v>
      </c>
      <c r="NUK1618" s="55">
        <f t="shared" si="706"/>
        <v>0</v>
      </c>
      <c r="NUL1618" s="55">
        <f t="shared" si="706"/>
        <v>0</v>
      </c>
      <c r="NUM1618" s="55">
        <f t="shared" si="706"/>
        <v>0</v>
      </c>
      <c r="NUN1618" s="55">
        <f t="shared" si="706"/>
        <v>0</v>
      </c>
      <c r="NUO1618" s="55">
        <f t="shared" si="706"/>
        <v>0</v>
      </c>
      <c r="NUP1618" s="55">
        <f t="shared" si="706"/>
        <v>0</v>
      </c>
      <c r="NUQ1618" s="55">
        <f t="shared" si="706"/>
        <v>0</v>
      </c>
      <c r="NUR1618" s="55">
        <f t="shared" si="706"/>
        <v>0</v>
      </c>
      <c r="NUS1618" s="55">
        <f t="shared" si="706"/>
        <v>0</v>
      </c>
      <c r="NUT1618" s="55">
        <f t="shared" si="706"/>
        <v>0</v>
      </c>
      <c r="NUU1618" s="55">
        <f t="shared" si="706"/>
        <v>0</v>
      </c>
      <c r="NUV1618" s="55">
        <f t="shared" si="706"/>
        <v>0</v>
      </c>
      <c r="NUW1618" s="55">
        <f t="shared" si="706"/>
        <v>0</v>
      </c>
      <c r="NUX1618" s="55">
        <f t="shared" si="706"/>
        <v>0</v>
      </c>
      <c r="NUY1618" s="55">
        <f t="shared" si="706"/>
        <v>0</v>
      </c>
      <c r="NUZ1618" s="55">
        <f t="shared" si="706"/>
        <v>0</v>
      </c>
      <c r="NVA1618" s="55">
        <f t="shared" si="706"/>
        <v>0</v>
      </c>
      <c r="NVB1618" s="55">
        <f t="shared" si="706"/>
        <v>0</v>
      </c>
      <c r="NVC1618" s="55">
        <f t="shared" si="706"/>
        <v>0</v>
      </c>
      <c r="NVD1618" s="55">
        <f t="shared" si="706"/>
        <v>0</v>
      </c>
      <c r="NVE1618" s="55">
        <f t="shared" si="706"/>
        <v>0</v>
      </c>
      <c r="NVF1618" s="55">
        <f t="shared" si="706"/>
        <v>0</v>
      </c>
      <c r="NVG1618" s="55">
        <f t="shared" si="706"/>
        <v>0</v>
      </c>
      <c r="NVH1618" s="55">
        <f t="shared" si="706"/>
        <v>0</v>
      </c>
      <c r="NVI1618" s="55">
        <f t="shared" si="706"/>
        <v>0</v>
      </c>
      <c r="NVJ1618" s="55">
        <f t="shared" si="706"/>
        <v>0</v>
      </c>
      <c r="NVK1618" s="55">
        <f t="shared" si="706"/>
        <v>0</v>
      </c>
      <c r="NVL1618" s="55">
        <f t="shared" si="706"/>
        <v>0</v>
      </c>
      <c r="NVM1618" s="55">
        <f t="shared" si="706"/>
        <v>0</v>
      </c>
      <c r="NVN1618" s="55">
        <f t="shared" si="706"/>
        <v>0</v>
      </c>
      <c r="NVO1618" s="55">
        <f t="shared" si="706"/>
        <v>0</v>
      </c>
      <c r="NVP1618" s="55">
        <f t="shared" si="706"/>
        <v>0</v>
      </c>
      <c r="NVQ1618" s="55">
        <f t="shared" si="706"/>
        <v>0</v>
      </c>
      <c r="NVR1618" s="55">
        <f t="shared" si="706"/>
        <v>0</v>
      </c>
      <c r="NVS1618" s="55">
        <f t="shared" si="706"/>
        <v>0</v>
      </c>
      <c r="NVT1618" s="55">
        <f t="shared" si="706"/>
        <v>0</v>
      </c>
      <c r="NVU1618" s="55">
        <f t="shared" si="706"/>
        <v>0</v>
      </c>
      <c r="NVV1618" s="55">
        <f t="shared" si="706"/>
        <v>0</v>
      </c>
      <c r="NVW1618" s="55">
        <f t="shared" si="706"/>
        <v>0</v>
      </c>
      <c r="NVX1618" s="55">
        <f t="shared" ref="NVX1618:NYI1618" si="707">+(NVX1627+NVX1608)*1.18*1.1</f>
        <v>0</v>
      </c>
      <c r="NVY1618" s="55">
        <f t="shared" si="707"/>
        <v>0</v>
      </c>
      <c r="NVZ1618" s="55">
        <f t="shared" si="707"/>
        <v>0</v>
      </c>
      <c r="NWA1618" s="55">
        <f t="shared" si="707"/>
        <v>0</v>
      </c>
      <c r="NWB1618" s="55">
        <f t="shared" si="707"/>
        <v>0</v>
      </c>
      <c r="NWC1618" s="55">
        <f t="shared" si="707"/>
        <v>0</v>
      </c>
      <c r="NWD1618" s="55">
        <f t="shared" si="707"/>
        <v>0</v>
      </c>
      <c r="NWE1618" s="55">
        <f t="shared" si="707"/>
        <v>0</v>
      </c>
      <c r="NWF1618" s="55">
        <f t="shared" si="707"/>
        <v>0</v>
      </c>
      <c r="NWG1618" s="55">
        <f t="shared" si="707"/>
        <v>0</v>
      </c>
      <c r="NWH1618" s="55">
        <f t="shared" si="707"/>
        <v>0</v>
      </c>
      <c r="NWI1618" s="55">
        <f t="shared" si="707"/>
        <v>0</v>
      </c>
      <c r="NWJ1618" s="55">
        <f t="shared" si="707"/>
        <v>0</v>
      </c>
      <c r="NWK1618" s="55">
        <f t="shared" si="707"/>
        <v>0</v>
      </c>
      <c r="NWL1618" s="55">
        <f t="shared" si="707"/>
        <v>0</v>
      </c>
      <c r="NWM1618" s="55">
        <f t="shared" si="707"/>
        <v>0</v>
      </c>
      <c r="NWN1618" s="55">
        <f t="shared" si="707"/>
        <v>0</v>
      </c>
      <c r="NWO1618" s="55">
        <f t="shared" si="707"/>
        <v>0</v>
      </c>
      <c r="NWP1618" s="55">
        <f t="shared" si="707"/>
        <v>0</v>
      </c>
      <c r="NWQ1618" s="55">
        <f t="shared" si="707"/>
        <v>0</v>
      </c>
      <c r="NWR1618" s="55">
        <f t="shared" si="707"/>
        <v>0</v>
      </c>
      <c r="NWS1618" s="55">
        <f t="shared" si="707"/>
        <v>0</v>
      </c>
      <c r="NWT1618" s="55">
        <f t="shared" si="707"/>
        <v>0</v>
      </c>
      <c r="NWU1618" s="55">
        <f t="shared" si="707"/>
        <v>0</v>
      </c>
      <c r="NWV1618" s="55">
        <f t="shared" si="707"/>
        <v>0</v>
      </c>
      <c r="NWW1618" s="55">
        <f t="shared" si="707"/>
        <v>0</v>
      </c>
      <c r="NWX1618" s="55">
        <f t="shared" si="707"/>
        <v>0</v>
      </c>
      <c r="NWY1618" s="55">
        <f t="shared" si="707"/>
        <v>0</v>
      </c>
      <c r="NWZ1618" s="55">
        <f t="shared" si="707"/>
        <v>0</v>
      </c>
      <c r="NXA1618" s="55">
        <f t="shared" si="707"/>
        <v>0</v>
      </c>
      <c r="NXB1618" s="55">
        <f t="shared" si="707"/>
        <v>0</v>
      </c>
      <c r="NXC1618" s="55">
        <f t="shared" si="707"/>
        <v>0</v>
      </c>
      <c r="NXD1618" s="55">
        <f t="shared" si="707"/>
        <v>0</v>
      </c>
      <c r="NXE1618" s="55">
        <f t="shared" si="707"/>
        <v>0</v>
      </c>
      <c r="NXF1618" s="55">
        <f t="shared" si="707"/>
        <v>0</v>
      </c>
      <c r="NXG1618" s="55">
        <f t="shared" si="707"/>
        <v>0</v>
      </c>
      <c r="NXH1618" s="55">
        <f t="shared" si="707"/>
        <v>0</v>
      </c>
      <c r="NXI1618" s="55">
        <f t="shared" si="707"/>
        <v>0</v>
      </c>
      <c r="NXJ1618" s="55">
        <f t="shared" si="707"/>
        <v>0</v>
      </c>
      <c r="NXK1618" s="55">
        <f t="shared" si="707"/>
        <v>0</v>
      </c>
      <c r="NXL1618" s="55">
        <f t="shared" si="707"/>
        <v>0</v>
      </c>
      <c r="NXM1618" s="55">
        <f t="shared" si="707"/>
        <v>0</v>
      </c>
      <c r="NXN1618" s="55">
        <f t="shared" si="707"/>
        <v>0</v>
      </c>
      <c r="NXO1618" s="55">
        <f t="shared" si="707"/>
        <v>0</v>
      </c>
      <c r="NXP1618" s="55">
        <f t="shared" si="707"/>
        <v>0</v>
      </c>
      <c r="NXQ1618" s="55">
        <f t="shared" si="707"/>
        <v>0</v>
      </c>
      <c r="NXR1618" s="55">
        <f t="shared" si="707"/>
        <v>0</v>
      </c>
      <c r="NXS1618" s="55">
        <f t="shared" si="707"/>
        <v>0</v>
      </c>
      <c r="NXT1618" s="55">
        <f t="shared" si="707"/>
        <v>0</v>
      </c>
      <c r="NXU1618" s="55">
        <f t="shared" si="707"/>
        <v>0</v>
      </c>
      <c r="NXV1618" s="55">
        <f t="shared" si="707"/>
        <v>0</v>
      </c>
      <c r="NXW1618" s="55">
        <f t="shared" si="707"/>
        <v>0</v>
      </c>
      <c r="NXX1618" s="55">
        <f t="shared" si="707"/>
        <v>0</v>
      </c>
      <c r="NXY1618" s="55">
        <f t="shared" si="707"/>
        <v>0</v>
      </c>
      <c r="NXZ1618" s="55">
        <f t="shared" si="707"/>
        <v>0</v>
      </c>
      <c r="NYA1618" s="55">
        <f t="shared" si="707"/>
        <v>0</v>
      </c>
      <c r="NYB1618" s="55">
        <f t="shared" si="707"/>
        <v>0</v>
      </c>
      <c r="NYC1618" s="55">
        <f t="shared" si="707"/>
        <v>0</v>
      </c>
      <c r="NYD1618" s="55">
        <f t="shared" si="707"/>
        <v>0</v>
      </c>
      <c r="NYE1618" s="55">
        <f t="shared" si="707"/>
        <v>0</v>
      </c>
      <c r="NYF1618" s="55">
        <f t="shared" si="707"/>
        <v>0</v>
      </c>
      <c r="NYG1618" s="55">
        <f t="shared" si="707"/>
        <v>0</v>
      </c>
      <c r="NYH1618" s="55">
        <f t="shared" si="707"/>
        <v>0</v>
      </c>
      <c r="NYI1618" s="55">
        <f t="shared" si="707"/>
        <v>0</v>
      </c>
      <c r="NYJ1618" s="55">
        <f t="shared" ref="NYJ1618:OAU1618" si="708">+(NYJ1627+NYJ1608)*1.18*1.1</f>
        <v>0</v>
      </c>
      <c r="NYK1618" s="55">
        <f t="shared" si="708"/>
        <v>0</v>
      </c>
      <c r="NYL1618" s="55">
        <f t="shared" si="708"/>
        <v>0</v>
      </c>
      <c r="NYM1618" s="55">
        <f t="shared" si="708"/>
        <v>0</v>
      </c>
      <c r="NYN1618" s="55">
        <f t="shared" si="708"/>
        <v>0</v>
      </c>
      <c r="NYO1618" s="55">
        <f t="shared" si="708"/>
        <v>0</v>
      </c>
      <c r="NYP1618" s="55">
        <f t="shared" si="708"/>
        <v>0</v>
      </c>
      <c r="NYQ1618" s="55">
        <f t="shared" si="708"/>
        <v>0</v>
      </c>
      <c r="NYR1618" s="55">
        <f t="shared" si="708"/>
        <v>0</v>
      </c>
      <c r="NYS1618" s="55">
        <f t="shared" si="708"/>
        <v>0</v>
      </c>
      <c r="NYT1618" s="55">
        <f t="shared" si="708"/>
        <v>0</v>
      </c>
      <c r="NYU1618" s="55">
        <f t="shared" si="708"/>
        <v>0</v>
      </c>
      <c r="NYV1618" s="55">
        <f t="shared" si="708"/>
        <v>0</v>
      </c>
      <c r="NYW1618" s="55">
        <f t="shared" si="708"/>
        <v>0</v>
      </c>
      <c r="NYX1618" s="55">
        <f t="shared" si="708"/>
        <v>0</v>
      </c>
      <c r="NYY1618" s="55">
        <f t="shared" si="708"/>
        <v>0</v>
      </c>
      <c r="NYZ1618" s="55">
        <f t="shared" si="708"/>
        <v>0</v>
      </c>
      <c r="NZA1618" s="55">
        <f t="shared" si="708"/>
        <v>0</v>
      </c>
      <c r="NZB1618" s="55">
        <f t="shared" si="708"/>
        <v>0</v>
      </c>
      <c r="NZC1618" s="55">
        <f t="shared" si="708"/>
        <v>0</v>
      </c>
      <c r="NZD1618" s="55">
        <f t="shared" si="708"/>
        <v>0</v>
      </c>
      <c r="NZE1618" s="55">
        <f t="shared" si="708"/>
        <v>0</v>
      </c>
      <c r="NZF1618" s="55">
        <f t="shared" si="708"/>
        <v>0</v>
      </c>
      <c r="NZG1618" s="55">
        <f t="shared" si="708"/>
        <v>0</v>
      </c>
      <c r="NZH1618" s="55">
        <f t="shared" si="708"/>
        <v>0</v>
      </c>
      <c r="NZI1618" s="55">
        <f t="shared" si="708"/>
        <v>0</v>
      </c>
      <c r="NZJ1618" s="55">
        <f t="shared" si="708"/>
        <v>0</v>
      </c>
      <c r="NZK1618" s="55">
        <f t="shared" si="708"/>
        <v>0</v>
      </c>
      <c r="NZL1618" s="55">
        <f t="shared" si="708"/>
        <v>0</v>
      </c>
      <c r="NZM1618" s="55">
        <f t="shared" si="708"/>
        <v>0</v>
      </c>
      <c r="NZN1618" s="55">
        <f t="shared" si="708"/>
        <v>0</v>
      </c>
      <c r="NZO1618" s="55">
        <f t="shared" si="708"/>
        <v>0</v>
      </c>
      <c r="NZP1618" s="55">
        <f t="shared" si="708"/>
        <v>0</v>
      </c>
      <c r="NZQ1618" s="55">
        <f t="shared" si="708"/>
        <v>0</v>
      </c>
      <c r="NZR1618" s="55">
        <f t="shared" si="708"/>
        <v>0</v>
      </c>
      <c r="NZS1618" s="55">
        <f t="shared" si="708"/>
        <v>0</v>
      </c>
      <c r="NZT1618" s="55">
        <f t="shared" si="708"/>
        <v>0</v>
      </c>
      <c r="NZU1618" s="55">
        <f t="shared" si="708"/>
        <v>0</v>
      </c>
      <c r="NZV1618" s="55">
        <f t="shared" si="708"/>
        <v>0</v>
      </c>
      <c r="NZW1618" s="55">
        <f t="shared" si="708"/>
        <v>0</v>
      </c>
      <c r="NZX1618" s="55">
        <f t="shared" si="708"/>
        <v>0</v>
      </c>
      <c r="NZY1618" s="55">
        <f t="shared" si="708"/>
        <v>0</v>
      </c>
      <c r="NZZ1618" s="55">
        <f t="shared" si="708"/>
        <v>0</v>
      </c>
      <c r="OAA1618" s="55">
        <f t="shared" si="708"/>
        <v>0</v>
      </c>
      <c r="OAB1618" s="55">
        <f t="shared" si="708"/>
        <v>0</v>
      </c>
      <c r="OAC1618" s="55">
        <f t="shared" si="708"/>
        <v>0</v>
      </c>
      <c r="OAD1618" s="55">
        <f t="shared" si="708"/>
        <v>0</v>
      </c>
      <c r="OAE1618" s="55">
        <f t="shared" si="708"/>
        <v>0</v>
      </c>
      <c r="OAF1618" s="55">
        <f t="shared" si="708"/>
        <v>0</v>
      </c>
      <c r="OAG1618" s="55">
        <f t="shared" si="708"/>
        <v>0</v>
      </c>
      <c r="OAH1618" s="55">
        <f t="shared" si="708"/>
        <v>0</v>
      </c>
      <c r="OAI1618" s="55">
        <f t="shared" si="708"/>
        <v>0</v>
      </c>
      <c r="OAJ1618" s="55">
        <f t="shared" si="708"/>
        <v>0</v>
      </c>
      <c r="OAK1618" s="55">
        <f t="shared" si="708"/>
        <v>0</v>
      </c>
      <c r="OAL1618" s="55">
        <f t="shared" si="708"/>
        <v>0</v>
      </c>
      <c r="OAM1618" s="55">
        <f t="shared" si="708"/>
        <v>0</v>
      </c>
      <c r="OAN1618" s="55">
        <f t="shared" si="708"/>
        <v>0</v>
      </c>
      <c r="OAO1618" s="55">
        <f t="shared" si="708"/>
        <v>0</v>
      </c>
      <c r="OAP1618" s="55">
        <f t="shared" si="708"/>
        <v>0</v>
      </c>
      <c r="OAQ1618" s="55">
        <f t="shared" si="708"/>
        <v>0</v>
      </c>
      <c r="OAR1618" s="55">
        <f t="shared" si="708"/>
        <v>0</v>
      </c>
      <c r="OAS1618" s="55">
        <f t="shared" si="708"/>
        <v>0</v>
      </c>
      <c r="OAT1618" s="55">
        <f t="shared" si="708"/>
        <v>0</v>
      </c>
      <c r="OAU1618" s="55">
        <f t="shared" si="708"/>
        <v>0</v>
      </c>
      <c r="OAV1618" s="55">
        <f t="shared" ref="OAV1618:ODG1618" si="709">+(OAV1627+OAV1608)*1.18*1.1</f>
        <v>0</v>
      </c>
      <c r="OAW1618" s="55">
        <f t="shared" si="709"/>
        <v>0</v>
      </c>
      <c r="OAX1618" s="55">
        <f t="shared" si="709"/>
        <v>0</v>
      </c>
      <c r="OAY1618" s="55">
        <f t="shared" si="709"/>
        <v>0</v>
      </c>
      <c r="OAZ1618" s="55">
        <f t="shared" si="709"/>
        <v>0</v>
      </c>
      <c r="OBA1618" s="55">
        <f t="shared" si="709"/>
        <v>0</v>
      </c>
      <c r="OBB1618" s="55">
        <f t="shared" si="709"/>
        <v>0</v>
      </c>
      <c r="OBC1618" s="55">
        <f t="shared" si="709"/>
        <v>0</v>
      </c>
      <c r="OBD1618" s="55">
        <f t="shared" si="709"/>
        <v>0</v>
      </c>
      <c r="OBE1618" s="55">
        <f t="shared" si="709"/>
        <v>0</v>
      </c>
      <c r="OBF1618" s="55">
        <f t="shared" si="709"/>
        <v>0</v>
      </c>
      <c r="OBG1618" s="55">
        <f t="shared" si="709"/>
        <v>0</v>
      </c>
      <c r="OBH1618" s="55">
        <f t="shared" si="709"/>
        <v>0</v>
      </c>
      <c r="OBI1618" s="55">
        <f t="shared" si="709"/>
        <v>0</v>
      </c>
      <c r="OBJ1618" s="55">
        <f t="shared" si="709"/>
        <v>0</v>
      </c>
      <c r="OBK1618" s="55">
        <f t="shared" si="709"/>
        <v>0</v>
      </c>
      <c r="OBL1618" s="55">
        <f t="shared" si="709"/>
        <v>0</v>
      </c>
      <c r="OBM1618" s="55">
        <f t="shared" si="709"/>
        <v>0</v>
      </c>
      <c r="OBN1618" s="55">
        <f t="shared" si="709"/>
        <v>0</v>
      </c>
      <c r="OBO1618" s="55">
        <f t="shared" si="709"/>
        <v>0</v>
      </c>
      <c r="OBP1618" s="55">
        <f t="shared" si="709"/>
        <v>0</v>
      </c>
      <c r="OBQ1618" s="55">
        <f t="shared" si="709"/>
        <v>0</v>
      </c>
      <c r="OBR1618" s="55">
        <f t="shared" si="709"/>
        <v>0</v>
      </c>
      <c r="OBS1618" s="55">
        <f t="shared" si="709"/>
        <v>0</v>
      </c>
      <c r="OBT1618" s="55">
        <f t="shared" si="709"/>
        <v>0</v>
      </c>
      <c r="OBU1618" s="55">
        <f t="shared" si="709"/>
        <v>0</v>
      </c>
      <c r="OBV1618" s="55">
        <f t="shared" si="709"/>
        <v>0</v>
      </c>
      <c r="OBW1618" s="55">
        <f t="shared" si="709"/>
        <v>0</v>
      </c>
      <c r="OBX1618" s="55">
        <f t="shared" si="709"/>
        <v>0</v>
      </c>
      <c r="OBY1618" s="55">
        <f t="shared" si="709"/>
        <v>0</v>
      </c>
      <c r="OBZ1618" s="55">
        <f t="shared" si="709"/>
        <v>0</v>
      </c>
      <c r="OCA1618" s="55">
        <f t="shared" si="709"/>
        <v>0</v>
      </c>
      <c r="OCB1618" s="55">
        <f t="shared" si="709"/>
        <v>0</v>
      </c>
      <c r="OCC1618" s="55">
        <f t="shared" si="709"/>
        <v>0</v>
      </c>
      <c r="OCD1618" s="55">
        <f t="shared" si="709"/>
        <v>0</v>
      </c>
      <c r="OCE1618" s="55">
        <f t="shared" si="709"/>
        <v>0</v>
      </c>
      <c r="OCF1618" s="55">
        <f t="shared" si="709"/>
        <v>0</v>
      </c>
      <c r="OCG1618" s="55">
        <f t="shared" si="709"/>
        <v>0</v>
      </c>
      <c r="OCH1618" s="55">
        <f t="shared" si="709"/>
        <v>0</v>
      </c>
      <c r="OCI1618" s="55">
        <f t="shared" si="709"/>
        <v>0</v>
      </c>
      <c r="OCJ1618" s="55">
        <f t="shared" si="709"/>
        <v>0</v>
      </c>
      <c r="OCK1618" s="55">
        <f t="shared" si="709"/>
        <v>0</v>
      </c>
      <c r="OCL1618" s="55">
        <f t="shared" si="709"/>
        <v>0</v>
      </c>
      <c r="OCM1618" s="55">
        <f t="shared" si="709"/>
        <v>0</v>
      </c>
      <c r="OCN1618" s="55">
        <f t="shared" si="709"/>
        <v>0</v>
      </c>
      <c r="OCO1618" s="55">
        <f t="shared" si="709"/>
        <v>0</v>
      </c>
      <c r="OCP1618" s="55">
        <f t="shared" si="709"/>
        <v>0</v>
      </c>
      <c r="OCQ1618" s="55">
        <f t="shared" si="709"/>
        <v>0</v>
      </c>
      <c r="OCR1618" s="55">
        <f t="shared" si="709"/>
        <v>0</v>
      </c>
      <c r="OCS1618" s="55">
        <f t="shared" si="709"/>
        <v>0</v>
      </c>
      <c r="OCT1618" s="55">
        <f t="shared" si="709"/>
        <v>0</v>
      </c>
      <c r="OCU1618" s="55">
        <f t="shared" si="709"/>
        <v>0</v>
      </c>
      <c r="OCV1618" s="55">
        <f t="shared" si="709"/>
        <v>0</v>
      </c>
      <c r="OCW1618" s="55">
        <f t="shared" si="709"/>
        <v>0</v>
      </c>
      <c r="OCX1618" s="55">
        <f t="shared" si="709"/>
        <v>0</v>
      </c>
      <c r="OCY1618" s="55">
        <f t="shared" si="709"/>
        <v>0</v>
      </c>
      <c r="OCZ1618" s="55">
        <f t="shared" si="709"/>
        <v>0</v>
      </c>
      <c r="ODA1618" s="55">
        <f t="shared" si="709"/>
        <v>0</v>
      </c>
      <c r="ODB1618" s="55">
        <f t="shared" si="709"/>
        <v>0</v>
      </c>
      <c r="ODC1618" s="55">
        <f t="shared" si="709"/>
        <v>0</v>
      </c>
      <c r="ODD1618" s="55">
        <f t="shared" si="709"/>
        <v>0</v>
      </c>
      <c r="ODE1618" s="55">
        <f t="shared" si="709"/>
        <v>0</v>
      </c>
      <c r="ODF1618" s="55">
        <f t="shared" si="709"/>
        <v>0</v>
      </c>
      <c r="ODG1618" s="55">
        <f t="shared" si="709"/>
        <v>0</v>
      </c>
      <c r="ODH1618" s="55">
        <f t="shared" ref="ODH1618:OFS1618" si="710">+(ODH1627+ODH1608)*1.18*1.1</f>
        <v>0</v>
      </c>
      <c r="ODI1618" s="55">
        <f t="shared" si="710"/>
        <v>0</v>
      </c>
      <c r="ODJ1618" s="55">
        <f t="shared" si="710"/>
        <v>0</v>
      </c>
      <c r="ODK1618" s="55">
        <f t="shared" si="710"/>
        <v>0</v>
      </c>
      <c r="ODL1618" s="55">
        <f t="shared" si="710"/>
        <v>0</v>
      </c>
      <c r="ODM1618" s="55">
        <f t="shared" si="710"/>
        <v>0</v>
      </c>
      <c r="ODN1618" s="55">
        <f t="shared" si="710"/>
        <v>0</v>
      </c>
      <c r="ODO1618" s="55">
        <f t="shared" si="710"/>
        <v>0</v>
      </c>
      <c r="ODP1618" s="55">
        <f t="shared" si="710"/>
        <v>0</v>
      </c>
      <c r="ODQ1618" s="55">
        <f t="shared" si="710"/>
        <v>0</v>
      </c>
      <c r="ODR1618" s="55">
        <f t="shared" si="710"/>
        <v>0</v>
      </c>
      <c r="ODS1618" s="55">
        <f t="shared" si="710"/>
        <v>0</v>
      </c>
      <c r="ODT1618" s="55">
        <f t="shared" si="710"/>
        <v>0</v>
      </c>
      <c r="ODU1618" s="55">
        <f t="shared" si="710"/>
        <v>0</v>
      </c>
      <c r="ODV1618" s="55">
        <f t="shared" si="710"/>
        <v>0</v>
      </c>
      <c r="ODW1618" s="55">
        <f t="shared" si="710"/>
        <v>0</v>
      </c>
      <c r="ODX1618" s="55">
        <f t="shared" si="710"/>
        <v>0</v>
      </c>
      <c r="ODY1618" s="55">
        <f t="shared" si="710"/>
        <v>0</v>
      </c>
      <c r="ODZ1618" s="55">
        <f t="shared" si="710"/>
        <v>0</v>
      </c>
      <c r="OEA1618" s="55">
        <f t="shared" si="710"/>
        <v>0</v>
      </c>
      <c r="OEB1618" s="55">
        <f t="shared" si="710"/>
        <v>0</v>
      </c>
      <c r="OEC1618" s="55">
        <f t="shared" si="710"/>
        <v>0</v>
      </c>
      <c r="OED1618" s="55">
        <f t="shared" si="710"/>
        <v>0</v>
      </c>
      <c r="OEE1618" s="55">
        <f t="shared" si="710"/>
        <v>0</v>
      </c>
      <c r="OEF1618" s="55">
        <f t="shared" si="710"/>
        <v>0</v>
      </c>
      <c r="OEG1618" s="55">
        <f t="shared" si="710"/>
        <v>0</v>
      </c>
      <c r="OEH1618" s="55">
        <f t="shared" si="710"/>
        <v>0</v>
      </c>
      <c r="OEI1618" s="55">
        <f t="shared" si="710"/>
        <v>0</v>
      </c>
      <c r="OEJ1618" s="55">
        <f t="shared" si="710"/>
        <v>0</v>
      </c>
      <c r="OEK1618" s="55">
        <f t="shared" si="710"/>
        <v>0</v>
      </c>
      <c r="OEL1618" s="55">
        <f t="shared" si="710"/>
        <v>0</v>
      </c>
      <c r="OEM1618" s="55">
        <f t="shared" si="710"/>
        <v>0</v>
      </c>
      <c r="OEN1618" s="55">
        <f t="shared" si="710"/>
        <v>0</v>
      </c>
      <c r="OEO1618" s="55">
        <f t="shared" si="710"/>
        <v>0</v>
      </c>
      <c r="OEP1618" s="55">
        <f t="shared" si="710"/>
        <v>0</v>
      </c>
      <c r="OEQ1618" s="55">
        <f t="shared" si="710"/>
        <v>0</v>
      </c>
      <c r="OER1618" s="55">
        <f t="shared" si="710"/>
        <v>0</v>
      </c>
      <c r="OES1618" s="55">
        <f t="shared" si="710"/>
        <v>0</v>
      </c>
      <c r="OET1618" s="55">
        <f t="shared" si="710"/>
        <v>0</v>
      </c>
      <c r="OEU1618" s="55">
        <f t="shared" si="710"/>
        <v>0</v>
      </c>
      <c r="OEV1618" s="55">
        <f t="shared" si="710"/>
        <v>0</v>
      </c>
      <c r="OEW1618" s="55">
        <f t="shared" si="710"/>
        <v>0</v>
      </c>
      <c r="OEX1618" s="55">
        <f t="shared" si="710"/>
        <v>0</v>
      </c>
      <c r="OEY1618" s="55">
        <f t="shared" si="710"/>
        <v>0</v>
      </c>
      <c r="OEZ1618" s="55">
        <f t="shared" si="710"/>
        <v>0</v>
      </c>
      <c r="OFA1618" s="55">
        <f t="shared" si="710"/>
        <v>0</v>
      </c>
      <c r="OFB1618" s="55">
        <f t="shared" si="710"/>
        <v>0</v>
      </c>
      <c r="OFC1618" s="55">
        <f t="shared" si="710"/>
        <v>0</v>
      </c>
      <c r="OFD1618" s="55">
        <f t="shared" si="710"/>
        <v>0</v>
      </c>
      <c r="OFE1618" s="55">
        <f t="shared" si="710"/>
        <v>0</v>
      </c>
      <c r="OFF1618" s="55">
        <f t="shared" si="710"/>
        <v>0</v>
      </c>
      <c r="OFG1618" s="55">
        <f t="shared" si="710"/>
        <v>0</v>
      </c>
      <c r="OFH1618" s="55">
        <f t="shared" si="710"/>
        <v>0</v>
      </c>
      <c r="OFI1618" s="55">
        <f t="shared" si="710"/>
        <v>0</v>
      </c>
      <c r="OFJ1618" s="55">
        <f t="shared" si="710"/>
        <v>0</v>
      </c>
      <c r="OFK1618" s="55">
        <f t="shared" si="710"/>
        <v>0</v>
      </c>
      <c r="OFL1618" s="55">
        <f t="shared" si="710"/>
        <v>0</v>
      </c>
      <c r="OFM1618" s="55">
        <f t="shared" si="710"/>
        <v>0</v>
      </c>
      <c r="OFN1618" s="55">
        <f t="shared" si="710"/>
        <v>0</v>
      </c>
      <c r="OFO1618" s="55">
        <f t="shared" si="710"/>
        <v>0</v>
      </c>
      <c r="OFP1618" s="55">
        <f t="shared" si="710"/>
        <v>0</v>
      </c>
      <c r="OFQ1618" s="55">
        <f t="shared" si="710"/>
        <v>0</v>
      </c>
      <c r="OFR1618" s="55">
        <f t="shared" si="710"/>
        <v>0</v>
      </c>
      <c r="OFS1618" s="55">
        <f t="shared" si="710"/>
        <v>0</v>
      </c>
      <c r="OFT1618" s="55">
        <f t="shared" ref="OFT1618:OIE1618" si="711">+(OFT1627+OFT1608)*1.18*1.1</f>
        <v>0</v>
      </c>
      <c r="OFU1618" s="55">
        <f t="shared" si="711"/>
        <v>0</v>
      </c>
      <c r="OFV1618" s="55">
        <f t="shared" si="711"/>
        <v>0</v>
      </c>
      <c r="OFW1618" s="55">
        <f t="shared" si="711"/>
        <v>0</v>
      </c>
      <c r="OFX1618" s="55">
        <f t="shared" si="711"/>
        <v>0</v>
      </c>
      <c r="OFY1618" s="55">
        <f t="shared" si="711"/>
        <v>0</v>
      </c>
      <c r="OFZ1618" s="55">
        <f t="shared" si="711"/>
        <v>0</v>
      </c>
      <c r="OGA1618" s="55">
        <f t="shared" si="711"/>
        <v>0</v>
      </c>
      <c r="OGB1618" s="55">
        <f t="shared" si="711"/>
        <v>0</v>
      </c>
      <c r="OGC1618" s="55">
        <f t="shared" si="711"/>
        <v>0</v>
      </c>
      <c r="OGD1618" s="55">
        <f t="shared" si="711"/>
        <v>0</v>
      </c>
      <c r="OGE1618" s="55">
        <f t="shared" si="711"/>
        <v>0</v>
      </c>
      <c r="OGF1618" s="55">
        <f t="shared" si="711"/>
        <v>0</v>
      </c>
      <c r="OGG1618" s="55">
        <f t="shared" si="711"/>
        <v>0</v>
      </c>
      <c r="OGH1618" s="55">
        <f t="shared" si="711"/>
        <v>0</v>
      </c>
      <c r="OGI1618" s="55">
        <f t="shared" si="711"/>
        <v>0</v>
      </c>
      <c r="OGJ1618" s="55">
        <f t="shared" si="711"/>
        <v>0</v>
      </c>
      <c r="OGK1618" s="55">
        <f t="shared" si="711"/>
        <v>0</v>
      </c>
      <c r="OGL1618" s="55">
        <f t="shared" si="711"/>
        <v>0</v>
      </c>
      <c r="OGM1618" s="55">
        <f t="shared" si="711"/>
        <v>0</v>
      </c>
      <c r="OGN1618" s="55">
        <f t="shared" si="711"/>
        <v>0</v>
      </c>
      <c r="OGO1618" s="55">
        <f t="shared" si="711"/>
        <v>0</v>
      </c>
      <c r="OGP1618" s="55">
        <f t="shared" si="711"/>
        <v>0</v>
      </c>
      <c r="OGQ1618" s="55">
        <f t="shared" si="711"/>
        <v>0</v>
      </c>
      <c r="OGR1618" s="55">
        <f t="shared" si="711"/>
        <v>0</v>
      </c>
      <c r="OGS1618" s="55">
        <f t="shared" si="711"/>
        <v>0</v>
      </c>
      <c r="OGT1618" s="55">
        <f t="shared" si="711"/>
        <v>0</v>
      </c>
      <c r="OGU1618" s="55">
        <f t="shared" si="711"/>
        <v>0</v>
      </c>
      <c r="OGV1618" s="55">
        <f t="shared" si="711"/>
        <v>0</v>
      </c>
      <c r="OGW1618" s="55">
        <f t="shared" si="711"/>
        <v>0</v>
      </c>
      <c r="OGX1618" s="55">
        <f t="shared" si="711"/>
        <v>0</v>
      </c>
      <c r="OGY1618" s="55">
        <f t="shared" si="711"/>
        <v>0</v>
      </c>
      <c r="OGZ1618" s="55">
        <f t="shared" si="711"/>
        <v>0</v>
      </c>
      <c r="OHA1618" s="55">
        <f t="shared" si="711"/>
        <v>0</v>
      </c>
      <c r="OHB1618" s="55">
        <f t="shared" si="711"/>
        <v>0</v>
      </c>
      <c r="OHC1618" s="55">
        <f t="shared" si="711"/>
        <v>0</v>
      </c>
      <c r="OHD1618" s="55">
        <f t="shared" si="711"/>
        <v>0</v>
      </c>
      <c r="OHE1618" s="55">
        <f t="shared" si="711"/>
        <v>0</v>
      </c>
      <c r="OHF1618" s="55">
        <f t="shared" si="711"/>
        <v>0</v>
      </c>
      <c r="OHG1618" s="55">
        <f t="shared" si="711"/>
        <v>0</v>
      </c>
      <c r="OHH1618" s="55">
        <f t="shared" si="711"/>
        <v>0</v>
      </c>
      <c r="OHI1618" s="55">
        <f t="shared" si="711"/>
        <v>0</v>
      </c>
      <c r="OHJ1618" s="55">
        <f t="shared" si="711"/>
        <v>0</v>
      </c>
      <c r="OHK1618" s="55">
        <f t="shared" si="711"/>
        <v>0</v>
      </c>
      <c r="OHL1618" s="55">
        <f t="shared" si="711"/>
        <v>0</v>
      </c>
      <c r="OHM1618" s="55">
        <f t="shared" si="711"/>
        <v>0</v>
      </c>
      <c r="OHN1618" s="55">
        <f t="shared" si="711"/>
        <v>0</v>
      </c>
      <c r="OHO1618" s="55">
        <f t="shared" si="711"/>
        <v>0</v>
      </c>
      <c r="OHP1618" s="55">
        <f t="shared" si="711"/>
        <v>0</v>
      </c>
      <c r="OHQ1618" s="55">
        <f t="shared" si="711"/>
        <v>0</v>
      </c>
      <c r="OHR1618" s="55">
        <f t="shared" si="711"/>
        <v>0</v>
      </c>
      <c r="OHS1618" s="55">
        <f t="shared" si="711"/>
        <v>0</v>
      </c>
      <c r="OHT1618" s="55">
        <f t="shared" si="711"/>
        <v>0</v>
      </c>
      <c r="OHU1618" s="55">
        <f t="shared" si="711"/>
        <v>0</v>
      </c>
      <c r="OHV1618" s="55">
        <f t="shared" si="711"/>
        <v>0</v>
      </c>
      <c r="OHW1618" s="55">
        <f t="shared" si="711"/>
        <v>0</v>
      </c>
      <c r="OHX1618" s="55">
        <f t="shared" si="711"/>
        <v>0</v>
      </c>
      <c r="OHY1618" s="55">
        <f t="shared" si="711"/>
        <v>0</v>
      </c>
      <c r="OHZ1618" s="55">
        <f t="shared" si="711"/>
        <v>0</v>
      </c>
      <c r="OIA1618" s="55">
        <f t="shared" si="711"/>
        <v>0</v>
      </c>
      <c r="OIB1618" s="55">
        <f t="shared" si="711"/>
        <v>0</v>
      </c>
      <c r="OIC1618" s="55">
        <f t="shared" si="711"/>
        <v>0</v>
      </c>
      <c r="OID1618" s="55">
        <f t="shared" si="711"/>
        <v>0</v>
      </c>
      <c r="OIE1618" s="55">
        <f t="shared" si="711"/>
        <v>0</v>
      </c>
      <c r="OIF1618" s="55">
        <f t="shared" ref="OIF1618:OKQ1618" si="712">+(OIF1627+OIF1608)*1.18*1.1</f>
        <v>0</v>
      </c>
      <c r="OIG1618" s="55">
        <f t="shared" si="712"/>
        <v>0</v>
      </c>
      <c r="OIH1618" s="55">
        <f t="shared" si="712"/>
        <v>0</v>
      </c>
      <c r="OII1618" s="55">
        <f t="shared" si="712"/>
        <v>0</v>
      </c>
      <c r="OIJ1618" s="55">
        <f t="shared" si="712"/>
        <v>0</v>
      </c>
      <c r="OIK1618" s="55">
        <f t="shared" si="712"/>
        <v>0</v>
      </c>
      <c r="OIL1618" s="55">
        <f t="shared" si="712"/>
        <v>0</v>
      </c>
      <c r="OIM1618" s="55">
        <f t="shared" si="712"/>
        <v>0</v>
      </c>
      <c r="OIN1618" s="55">
        <f t="shared" si="712"/>
        <v>0</v>
      </c>
      <c r="OIO1618" s="55">
        <f t="shared" si="712"/>
        <v>0</v>
      </c>
      <c r="OIP1618" s="55">
        <f t="shared" si="712"/>
        <v>0</v>
      </c>
      <c r="OIQ1618" s="55">
        <f t="shared" si="712"/>
        <v>0</v>
      </c>
      <c r="OIR1618" s="55">
        <f t="shared" si="712"/>
        <v>0</v>
      </c>
      <c r="OIS1618" s="55">
        <f t="shared" si="712"/>
        <v>0</v>
      </c>
      <c r="OIT1618" s="55">
        <f t="shared" si="712"/>
        <v>0</v>
      </c>
      <c r="OIU1618" s="55">
        <f t="shared" si="712"/>
        <v>0</v>
      </c>
      <c r="OIV1618" s="55">
        <f t="shared" si="712"/>
        <v>0</v>
      </c>
      <c r="OIW1618" s="55">
        <f t="shared" si="712"/>
        <v>0</v>
      </c>
      <c r="OIX1618" s="55">
        <f t="shared" si="712"/>
        <v>0</v>
      </c>
      <c r="OIY1618" s="55">
        <f t="shared" si="712"/>
        <v>0</v>
      </c>
      <c r="OIZ1618" s="55">
        <f t="shared" si="712"/>
        <v>0</v>
      </c>
      <c r="OJA1618" s="55">
        <f t="shared" si="712"/>
        <v>0</v>
      </c>
      <c r="OJB1618" s="55">
        <f t="shared" si="712"/>
        <v>0</v>
      </c>
      <c r="OJC1618" s="55">
        <f t="shared" si="712"/>
        <v>0</v>
      </c>
      <c r="OJD1618" s="55">
        <f t="shared" si="712"/>
        <v>0</v>
      </c>
      <c r="OJE1618" s="55">
        <f t="shared" si="712"/>
        <v>0</v>
      </c>
      <c r="OJF1618" s="55">
        <f t="shared" si="712"/>
        <v>0</v>
      </c>
      <c r="OJG1618" s="55">
        <f t="shared" si="712"/>
        <v>0</v>
      </c>
      <c r="OJH1618" s="55">
        <f t="shared" si="712"/>
        <v>0</v>
      </c>
      <c r="OJI1618" s="55">
        <f t="shared" si="712"/>
        <v>0</v>
      </c>
      <c r="OJJ1618" s="55">
        <f t="shared" si="712"/>
        <v>0</v>
      </c>
      <c r="OJK1618" s="55">
        <f t="shared" si="712"/>
        <v>0</v>
      </c>
      <c r="OJL1618" s="55">
        <f t="shared" si="712"/>
        <v>0</v>
      </c>
      <c r="OJM1618" s="55">
        <f t="shared" si="712"/>
        <v>0</v>
      </c>
      <c r="OJN1618" s="55">
        <f t="shared" si="712"/>
        <v>0</v>
      </c>
      <c r="OJO1618" s="55">
        <f t="shared" si="712"/>
        <v>0</v>
      </c>
      <c r="OJP1618" s="55">
        <f t="shared" si="712"/>
        <v>0</v>
      </c>
      <c r="OJQ1618" s="55">
        <f t="shared" si="712"/>
        <v>0</v>
      </c>
      <c r="OJR1618" s="55">
        <f t="shared" si="712"/>
        <v>0</v>
      </c>
      <c r="OJS1618" s="55">
        <f t="shared" si="712"/>
        <v>0</v>
      </c>
      <c r="OJT1618" s="55">
        <f t="shared" si="712"/>
        <v>0</v>
      </c>
      <c r="OJU1618" s="55">
        <f t="shared" si="712"/>
        <v>0</v>
      </c>
      <c r="OJV1618" s="55">
        <f t="shared" si="712"/>
        <v>0</v>
      </c>
      <c r="OJW1618" s="55">
        <f t="shared" si="712"/>
        <v>0</v>
      </c>
      <c r="OJX1618" s="55">
        <f t="shared" si="712"/>
        <v>0</v>
      </c>
      <c r="OJY1618" s="55">
        <f t="shared" si="712"/>
        <v>0</v>
      </c>
      <c r="OJZ1618" s="55">
        <f t="shared" si="712"/>
        <v>0</v>
      </c>
      <c r="OKA1618" s="55">
        <f t="shared" si="712"/>
        <v>0</v>
      </c>
      <c r="OKB1618" s="55">
        <f t="shared" si="712"/>
        <v>0</v>
      </c>
      <c r="OKC1618" s="55">
        <f t="shared" si="712"/>
        <v>0</v>
      </c>
      <c r="OKD1618" s="55">
        <f t="shared" si="712"/>
        <v>0</v>
      </c>
      <c r="OKE1618" s="55">
        <f t="shared" si="712"/>
        <v>0</v>
      </c>
      <c r="OKF1618" s="55">
        <f t="shared" si="712"/>
        <v>0</v>
      </c>
      <c r="OKG1618" s="55">
        <f t="shared" si="712"/>
        <v>0</v>
      </c>
      <c r="OKH1618" s="55">
        <f t="shared" si="712"/>
        <v>0</v>
      </c>
      <c r="OKI1618" s="55">
        <f t="shared" si="712"/>
        <v>0</v>
      </c>
      <c r="OKJ1618" s="55">
        <f t="shared" si="712"/>
        <v>0</v>
      </c>
      <c r="OKK1618" s="55">
        <f t="shared" si="712"/>
        <v>0</v>
      </c>
      <c r="OKL1618" s="55">
        <f t="shared" si="712"/>
        <v>0</v>
      </c>
      <c r="OKM1618" s="55">
        <f t="shared" si="712"/>
        <v>0</v>
      </c>
      <c r="OKN1618" s="55">
        <f t="shared" si="712"/>
        <v>0</v>
      </c>
      <c r="OKO1618" s="55">
        <f t="shared" si="712"/>
        <v>0</v>
      </c>
      <c r="OKP1618" s="55">
        <f t="shared" si="712"/>
        <v>0</v>
      </c>
      <c r="OKQ1618" s="55">
        <f t="shared" si="712"/>
        <v>0</v>
      </c>
      <c r="OKR1618" s="55">
        <f t="shared" ref="OKR1618:ONC1618" si="713">+(OKR1627+OKR1608)*1.18*1.1</f>
        <v>0</v>
      </c>
      <c r="OKS1618" s="55">
        <f t="shared" si="713"/>
        <v>0</v>
      </c>
      <c r="OKT1618" s="55">
        <f t="shared" si="713"/>
        <v>0</v>
      </c>
      <c r="OKU1618" s="55">
        <f t="shared" si="713"/>
        <v>0</v>
      </c>
      <c r="OKV1618" s="55">
        <f t="shared" si="713"/>
        <v>0</v>
      </c>
      <c r="OKW1618" s="55">
        <f t="shared" si="713"/>
        <v>0</v>
      </c>
      <c r="OKX1618" s="55">
        <f t="shared" si="713"/>
        <v>0</v>
      </c>
      <c r="OKY1618" s="55">
        <f t="shared" si="713"/>
        <v>0</v>
      </c>
      <c r="OKZ1618" s="55">
        <f t="shared" si="713"/>
        <v>0</v>
      </c>
      <c r="OLA1618" s="55">
        <f t="shared" si="713"/>
        <v>0</v>
      </c>
      <c r="OLB1618" s="55">
        <f t="shared" si="713"/>
        <v>0</v>
      </c>
      <c r="OLC1618" s="55">
        <f t="shared" si="713"/>
        <v>0</v>
      </c>
      <c r="OLD1618" s="55">
        <f t="shared" si="713"/>
        <v>0</v>
      </c>
      <c r="OLE1618" s="55">
        <f t="shared" si="713"/>
        <v>0</v>
      </c>
      <c r="OLF1618" s="55">
        <f t="shared" si="713"/>
        <v>0</v>
      </c>
      <c r="OLG1618" s="55">
        <f t="shared" si="713"/>
        <v>0</v>
      </c>
      <c r="OLH1618" s="55">
        <f t="shared" si="713"/>
        <v>0</v>
      </c>
      <c r="OLI1618" s="55">
        <f t="shared" si="713"/>
        <v>0</v>
      </c>
      <c r="OLJ1618" s="55">
        <f t="shared" si="713"/>
        <v>0</v>
      </c>
      <c r="OLK1618" s="55">
        <f t="shared" si="713"/>
        <v>0</v>
      </c>
      <c r="OLL1618" s="55">
        <f t="shared" si="713"/>
        <v>0</v>
      </c>
      <c r="OLM1618" s="55">
        <f t="shared" si="713"/>
        <v>0</v>
      </c>
      <c r="OLN1618" s="55">
        <f t="shared" si="713"/>
        <v>0</v>
      </c>
      <c r="OLO1618" s="55">
        <f t="shared" si="713"/>
        <v>0</v>
      </c>
      <c r="OLP1618" s="55">
        <f t="shared" si="713"/>
        <v>0</v>
      </c>
      <c r="OLQ1618" s="55">
        <f t="shared" si="713"/>
        <v>0</v>
      </c>
      <c r="OLR1618" s="55">
        <f t="shared" si="713"/>
        <v>0</v>
      </c>
      <c r="OLS1618" s="55">
        <f t="shared" si="713"/>
        <v>0</v>
      </c>
      <c r="OLT1618" s="55">
        <f t="shared" si="713"/>
        <v>0</v>
      </c>
      <c r="OLU1618" s="55">
        <f t="shared" si="713"/>
        <v>0</v>
      </c>
      <c r="OLV1618" s="55">
        <f t="shared" si="713"/>
        <v>0</v>
      </c>
      <c r="OLW1618" s="55">
        <f t="shared" si="713"/>
        <v>0</v>
      </c>
      <c r="OLX1618" s="55">
        <f t="shared" si="713"/>
        <v>0</v>
      </c>
      <c r="OLY1618" s="55">
        <f t="shared" si="713"/>
        <v>0</v>
      </c>
      <c r="OLZ1618" s="55">
        <f t="shared" si="713"/>
        <v>0</v>
      </c>
      <c r="OMA1618" s="55">
        <f t="shared" si="713"/>
        <v>0</v>
      </c>
      <c r="OMB1618" s="55">
        <f t="shared" si="713"/>
        <v>0</v>
      </c>
      <c r="OMC1618" s="55">
        <f t="shared" si="713"/>
        <v>0</v>
      </c>
      <c r="OMD1618" s="55">
        <f t="shared" si="713"/>
        <v>0</v>
      </c>
      <c r="OME1618" s="55">
        <f t="shared" si="713"/>
        <v>0</v>
      </c>
      <c r="OMF1618" s="55">
        <f t="shared" si="713"/>
        <v>0</v>
      </c>
      <c r="OMG1618" s="55">
        <f t="shared" si="713"/>
        <v>0</v>
      </c>
      <c r="OMH1618" s="55">
        <f t="shared" si="713"/>
        <v>0</v>
      </c>
      <c r="OMI1618" s="55">
        <f t="shared" si="713"/>
        <v>0</v>
      </c>
      <c r="OMJ1618" s="55">
        <f t="shared" si="713"/>
        <v>0</v>
      </c>
      <c r="OMK1618" s="55">
        <f t="shared" si="713"/>
        <v>0</v>
      </c>
      <c r="OML1618" s="55">
        <f t="shared" si="713"/>
        <v>0</v>
      </c>
      <c r="OMM1618" s="55">
        <f t="shared" si="713"/>
        <v>0</v>
      </c>
      <c r="OMN1618" s="55">
        <f t="shared" si="713"/>
        <v>0</v>
      </c>
      <c r="OMO1618" s="55">
        <f t="shared" si="713"/>
        <v>0</v>
      </c>
      <c r="OMP1618" s="55">
        <f t="shared" si="713"/>
        <v>0</v>
      </c>
      <c r="OMQ1618" s="55">
        <f t="shared" si="713"/>
        <v>0</v>
      </c>
      <c r="OMR1618" s="55">
        <f t="shared" si="713"/>
        <v>0</v>
      </c>
      <c r="OMS1618" s="55">
        <f t="shared" si="713"/>
        <v>0</v>
      </c>
      <c r="OMT1618" s="55">
        <f t="shared" si="713"/>
        <v>0</v>
      </c>
      <c r="OMU1618" s="55">
        <f t="shared" si="713"/>
        <v>0</v>
      </c>
      <c r="OMV1618" s="55">
        <f t="shared" si="713"/>
        <v>0</v>
      </c>
      <c r="OMW1618" s="55">
        <f t="shared" si="713"/>
        <v>0</v>
      </c>
      <c r="OMX1618" s="55">
        <f t="shared" si="713"/>
        <v>0</v>
      </c>
      <c r="OMY1618" s="55">
        <f t="shared" si="713"/>
        <v>0</v>
      </c>
      <c r="OMZ1618" s="55">
        <f t="shared" si="713"/>
        <v>0</v>
      </c>
      <c r="ONA1618" s="55">
        <f t="shared" si="713"/>
        <v>0</v>
      </c>
      <c r="ONB1618" s="55">
        <f t="shared" si="713"/>
        <v>0</v>
      </c>
      <c r="ONC1618" s="55">
        <f t="shared" si="713"/>
        <v>0</v>
      </c>
      <c r="OND1618" s="55">
        <f t="shared" ref="OND1618:OPO1618" si="714">+(OND1627+OND1608)*1.18*1.1</f>
        <v>0</v>
      </c>
      <c r="ONE1618" s="55">
        <f t="shared" si="714"/>
        <v>0</v>
      </c>
      <c r="ONF1618" s="55">
        <f t="shared" si="714"/>
        <v>0</v>
      </c>
      <c r="ONG1618" s="55">
        <f t="shared" si="714"/>
        <v>0</v>
      </c>
      <c r="ONH1618" s="55">
        <f t="shared" si="714"/>
        <v>0</v>
      </c>
      <c r="ONI1618" s="55">
        <f t="shared" si="714"/>
        <v>0</v>
      </c>
      <c r="ONJ1618" s="55">
        <f t="shared" si="714"/>
        <v>0</v>
      </c>
      <c r="ONK1618" s="55">
        <f t="shared" si="714"/>
        <v>0</v>
      </c>
      <c r="ONL1618" s="55">
        <f t="shared" si="714"/>
        <v>0</v>
      </c>
      <c r="ONM1618" s="55">
        <f t="shared" si="714"/>
        <v>0</v>
      </c>
      <c r="ONN1618" s="55">
        <f t="shared" si="714"/>
        <v>0</v>
      </c>
      <c r="ONO1618" s="55">
        <f t="shared" si="714"/>
        <v>0</v>
      </c>
      <c r="ONP1618" s="55">
        <f t="shared" si="714"/>
        <v>0</v>
      </c>
      <c r="ONQ1618" s="55">
        <f t="shared" si="714"/>
        <v>0</v>
      </c>
      <c r="ONR1618" s="55">
        <f t="shared" si="714"/>
        <v>0</v>
      </c>
      <c r="ONS1618" s="55">
        <f t="shared" si="714"/>
        <v>0</v>
      </c>
      <c r="ONT1618" s="55">
        <f t="shared" si="714"/>
        <v>0</v>
      </c>
      <c r="ONU1618" s="55">
        <f t="shared" si="714"/>
        <v>0</v>
      </c>
      <c r="ONV1618" s="55">
        <f t="shared" si="714"/>
        <v>0</v>
      </c>
      <c r="ONW1618" s="55">
        <f t="shared" si="714"/>
        <v>0</v>
      </c>
      <c r="ONX1618" s="55">
        <f t="shared" si="714"/>
        <v>0</v>
      </c>
      <c r="ONY1618" s="55">
        <f t="shared" si="714"/>
        <v>0</v>
      </c>
      <c r="ONZ1618" s="55">
        <f t="shared" si="714"/>
        <v>0</v>
      </c>
      <c r="OOA1618" s="55">
        <f t="shared" si="714"/>
        <v>0</v>
      </c>
      <c r="OOB1618" s="55">
        <f t="shared" si="714"/>
        <v>0</v>
      </c>
      <c r="OOC1618" s="55">
        <f t="shared" si="714"/>
        <v>0</v>
      </c>
      <c r="OOD1618" s="55">
        <f t="shared" si="714"/>
        <v>0</v>
      </c>
      <c r="OOE1618" s="55">
        <f t="shared" si="714"/>
        <v>0</v>
      </c>
      <c r="OOF1618" s="55">
        <f t="shared" si="714"/>
        <v>0</v>
      </c>
      <c r="OOG1618" s="55">
        <f t="shared" si="714"/>
        <v>0</v>
      </c>
      <c r="OOH1618" s="55">
        <f t="shared" si="714"/>
        <v>0</v>
      </c>
      <c r="OOI1618" s="55">
        <f t="shared" si="714"/>
        <v>0</v>
      </c>
      <c r="OOJ1618" s="55">
        <f t="shared" si="714"/>
        <v>0</v>
      </c>
      <c r="OOK1618" s="55">
        <f t="shared" si="714"/>
        <v>0</v>
      </c>
      <c r="OOL1618" s="55">
        <f t="shared" si="714"/>
        <v>0</v>
      </c>
      <c r="OOM1618" s="55">
        <f t="shared" si="714"/>
        <v>0</v>
      </c>
      <c r="OON1618" s="55">
        <f t="shared" si="714"/>
        <v>0</v>
      </c>
      <c r="OOO1618" s="55">
        <f t="shared" si="714"/>
        <v>0</v>
      </c>
      <c r="OOP1618" s="55">
        <f t="shared" si="714"/>
        <v>0</v>
      </c>
      <c r="OOQ1618" s="55">
        <f t="shared" si="714"/>
        <v>0</v>
      </c>
      <c r="OOR1618" s="55">
        <f t="shared" si="714"/>
        <v>0</v>
      </c>
      <c r="OOS1618" s="55">
        <f t="shared" si="714"/>
        <v>0</v>
      </c>
      <c r="OOT1618" s="55">
        <f t="shared" si="714"/>
        <v>0</v>
      </c>
      <c r="OOU1618" s="55">
        <f t="shared" si="714"/>
        <v>0</v>
      </c>
      <c r="OOV1618" s="55">
        <f t="shared" si="714"/>
        <v>0</v>
      </c>
      <c r="OOW1618" s="55">
        <f t="shared" si="714"/>
        <v>0</v>
      </c>
      <c r="OOX1618" s="55">
        <f t="shared" si="714"/>
        <v>0</v>
      </c>
      <c r="OOY1618" s="55">
        <f t="shared" si="714"/>
        <v>0</v>
      </c>
      <c r="OOZ1618" s="55">
        <f t="shared" si="714"/>
        <v>0</v>
      </c>
      <c r="OPA1618" s="55">
        <f t="shared" si="714"/>
        <v>0</v>
      </c>
      <c r="OPB1618" s="55">
        <f t="shared" si="714"/>
        <v>0</v>
      </c>
      <c r="OPC1618" s="55">
        <f t="shared" si="714"/>
        <v>0</v>
      </c>
      <c r="OPD1618" s="55">
        <f t="shared" si="714"/>
        <v>0</v>
      </c>
      <c r="OPE1618" s="55">
        <f t="shared" si="714"/>
        <v>0</v>
      </c>
      <c r="OPF1618" s="55">
        <f t="shared" si="714"/>
        <v>0</v>
      </c>
      <c r="OPG1618" s="55">
        <f t="shared" si="714"/>
        <v>0</v>
      </c>
      <c r="OPH1618" s="55">
        <f t="shared" si="714"/>
        <v>0</v>
      </c>
      <c r="OPI1618" s="55">
        <f t="shared" si="714"/>
        <v>0</v>
      </c>
      <c r="OPJ1618" s="55">
        <f t="shared" si="714"/>
        <v>0</v>
      </c>
      <c r="OPK1618" s="55">
        <f t="shared" si="714"/>
        <v>0</v>
      </c>
      <c r="OPL1618" s="55">
        <f t="shared" si="714"/>
        <v>0</v>
      </c>
      <c r="OPM1618" s="55">
        <f t="shared" si="714"/>
        <v>0</v>
      </c>
      <c r="OPN1618" s="55">
        <f t="shared" si="714"/>
        <v>0</v>
      </c>
      <c r="OPO1618" s="55">
        <f t="shared" si="714"/>
        <v>0</v>
      </c>
      <c r="OPP1618" s="55">
        <f t="shared" ref="OPP1618:OSA1618" si="715">+(OPP1627+OPP1608)*1.18*1.1</f>
        <v>0</v>
      </c>
      <c r="OPQ1618" s="55">
        <f t="shared" si="715"/>
        <v>0</v>
      </c>
      <c r="OPR1618" s="55">
        <f t="shared" si="715"/>
        <v>0</v>
      </c>
      <c r="OPS1618" s="55">
        <f t="shared" si="715"/>
        <v>0</v>
      </c>
      <c r="OPT1618" s="55">
        <f t="shared" si="715"/>
        <v>0</v>
      </c>
      <c r="OPU1618" s="55">
        <f t="shared" si="715"/>
        <v>0</v>
      </c>
      <c r="OPV1618" s="55">
        <f t="shared" si="715"/>
        <v>0</v>
      </c>
      <c r="OPW1618" s="55">
        <f t="shared" si="715"/>
        <v>0</v>
      </c>
      <c r="OPX1618" s="55">
        <f t="shared" si="715"/>
        <v>0</v>
      </c>
      <c r="OPY1618" s="55">
        <f t="shared" si="715"/>
        <v>0</v>
      </c>
      <c r="OPZ1618" s="55">
        <f t="shared" si="715"/>
        <v>0</v>
      </c>
      <c r="OQA1618" s="55">
        <f t="shared" si="715"/>
        <v>0</v>
      </c>
      <c r="OQB1618" s="55">
        <f t="shared" si="715"/>
        <v>0</v>
      </c>
      <c r="OQC1618" s="55">
        <f t="shared" si="715"/>
        <v>0</v>
      </c>
      <c r="OQD1618" s="55">
        <f t="shared" si="715"/>
        <v>0</v>
      </c>
      <c r="OQE1618" s="55">
        <f t="shared" si="715"/>
        <v>0</v>
      </c>
      <c r="OQF1618" s="55">
        <f t="shared" si="715"/>
        <v>0</v>
      </c>
      <c r="OQG1618" s="55">
        <f t="shared" si="715"/>
        <v>0</v>
      </c>
      <c r="OQH1618" s="55">
        <f t="shared" si="715"/>
        <v>0</v>
      </c>
      <c r="OQI1618" s="55">
        <f t="shared" si="715"/>
        <v>0</v>
      </c>
      <c r="OQJ1618" s="55">
        <f t="shared" si="715"/>
        <v>0</v>
      </c>
      <c r="OQK1618" s="55">
        <f t="shared" si="715"/>
        <v>0</v>
      </c>
      <c r="OQL1618" s="55">
        <f t="shared" si="715"/>
        <v>0</v>
      </c>
      <c r="OQM1618" s="55">
        <f t="shared" si="715"/>
        <v>0</v>
      </c>
      <c r="OQN1618" s="55">
        <f t="shared" si="715"/>
        <v>0</v>
      </c>
      <c r="OQO1618" s="55">
        <f t="shared" si="715"/>
        <v>0</v>
      </c>
      <c r="OQP1618" s="55">
        <f t="shared" si="715"/>
        <v>0</v>
      </c>
      <c r="OQQ1618" s="55">
        <f t="shared" si="715"/>
        <v>0</v>
      </c>
      <c r="OQR1618" s="55">
        <f t="shared" si="715"/>
        <v>0</v>
      </c>
      <c r="OQS1618" s="55">
        <f t="shared" si="715"/>
        <v>0</v>
      </c>
      <c r="OQT1618" s="55">
        <f t="shared" si="715"/>
        <v>0</v>
      </c>
      <c r="OQU1618" s="55">
        <f t="shared" si="715"/>
        <v>0</v>
      </c>
      <c r="OQV1618" s="55">
        <f t="shared" si="715"/>
        <v>0</v>
      </c>
      <c r="OQW1618" s="55">
        <f t="shared" si="715"/>
        <v>0</v>
      </c>
      <c r="OQX1618" s="55">
        <f t="shared" si="715"/>
        <v>0</v>
      </c>
      <c r="OQY1618" s="55">
        <f t="shared" si="715"/>
        <v>0</v>
      </c>
      <c r="OQZ1618" s="55">
        <f t="shared" si="715"/>
        <v>0</v>
      </c>
      <c r="ORA1618" s="55">
        <f t="shared" si="715"/>
        <v>0</v>
      </c>
      <c r="ORB1618" s="55">
        <f t="shared" si="715"/>
        <v>0</v>
      </c>
      <c r="ORC1618" s="55">
        <f t="shared" si="715"/>
        <v>0</v>
      </c>
      <c r="ORD1618" s="55">
        <f t="shared" si="715"/>
        <v>0</v>
      </c>
      <c r="ORE1618" s="55">
        <f t="shared" si="715"/>
        <v>0</v>
      </c>
      <c r="ORF1618" s="55">
        <f t="shared" si="715"/>
        <v>0</v>
      </c>
      <c r="ORG1618" s="55">
        <f t="shared" si="715"/>
        <v>0</v>
      </c>
      <c r="ORH1618" s="55">
        <f t="shared" si="715"/>
        <v>0</v>
      </c>
      <c r="ORI1618" s="55">
        <f t="shared" si="715"/>
        <v>0</v>
      </c>
      <c r="ORJ1618" s="55">
        <f t="shared" si="715"/>
        <v>0</v>
      </c>
      <c r="ORK1618" s="55">
        <f t="shared" si="715"/>
        <v>0</v>
      </c>
      <c r="ORL1618" s="55">
        <f t="shared" si="715"/>
        <v>0</v>
      </c>
      <c r="ORM1618" s="55">
        <f t="shared" si="715"/>
        <v>0</v>
      </c>
      <c r="ORN1618" s="55">
        <f t="shared" si="715"/>
        <v>0</v>
      </c>
      <c r="ORO1618" s="55">
        <f t="shared" si="715"/>
        <v>0</v>
      </c>
      <c r="ORP1618" s="55">
        <f t="shared" si="715"/>
        <v>0</v>
      </c>
      <c r="ORQ1618" s="55">
        <f t="shared" si="715"/>
        <v>0</v>
      </c>
      <c r="ORR1618" s="55">
        <f t="shared" si="715"/>
        <v>0</v>
      </c>
      <c r="ORS1618" s="55">
        <f t="shared" si="715"/>
        <v>0</v>
      </c>
      <c r="ORT1618" s="55">
        <f t="shared" si="715"/>
        <v>0</v>
      </c>
      <c r="ORU1618" s="55">
        <f t="shared" si="715"/>
        <v>0</v>
      </c>
      <c r="ORV1618" s="55">
        <f t="shared" si="715"/>
        <v>0</v>
      </c>
      <c r="ORW1618" s="55">
        <f t="shared" si="715"/>
        <v>0</v>
      </c>
      <c r="ORX1618" s="55">
        <f t="shared" si="715"/>
        <v>0</v>
      </c>
      <c r="ORY1618" s="55">
        <f t="shared" si="715"/>
        <v>0</v>
      </c>
      <c r="ORZ1618" s="55">
        <f t="shared" si="715"/>
        <v>0</v>
      </c>
      <c r="OSA1618" s="55">
        <f t="shared" si="715"/>
        <v>0</v>
      </c>
      <c r="OSB1618" s="55">
        <f t="shared" ref="OSB1618:OUM1618" si="716">+(OSB1627+OSB1608)*1.18*1.1</f>
        <v>0</v>
      </c>
      <c r="OSC1618" s="55">
        <f t="shared" si="716"/>
        <v>0</v>
      </c>
      <c r="OSD1618" s="55">
        <f t="shared" si="716"/>
        <v>0</v>
      </c>
      <c r="OSE1618" s="55">
        <f t="shared" si="716"/>
        <v>0</v>
      </c>
      <c r="OSF1618" s="55">
        <f t="shared" si="716"/>
        <v>0</v>
      </c>
      <c r="OSG1618" s="55">
        <f t="shared" si="716"/>
        <v>0</v>
      </c>
      <c r="OSH1618" s="55">
        <f t="shared" si="716"/>
        <v>0</v>
      </c>
      <c r="OSI1618" s="55">
        <f t="shared" si="716"/>
        <v>0</v>
      </c>
      <c r="OSJ1618" s="55">
        <f t="shared" si="716"/>
        <v>0</v>
      </c>
      <c r="OSK1618" s="55">
        <f t="shared" si="716"/>
        <v>0</v>
      </c>
      <c r="OSL1618" s="55">
        <f t="shared" si="716"/>
        <v>0</v>
      </c>
      <c r="OSM1618" s="55">
        <f t="shared" si="716"/>
        <v>0</v>
      </c>
      <c r="OSN1618" s="55">
        <f t="shared" si="716"/>
        <v>0</v>
      </c>
      <c r="OSO1618" s="55">
        <f t="shared" si="716"/>
        <v>0</v>
      </c>
      <c r="OSP1618" s="55">
        <f t="shared" si="716"/>
        <v>0</v>
      </c>
      <c r="OSQ1618" s="55">
        <f t="shared" si="716"/>
        <v>0</v>
      </c>
      <c r="OSR1618" s="55">
        <f t="shared" si="716"/>
        <v>0</v>
      </c>
      <c r="OSS1618" s="55">
        <f t="shared" si="716"/>
        <v>0</v>
      </c>
      <c r="OST1618" s="55">
        <f t="shared" si="716"/>
        <v>0</v>
      </c>
      <c r="OSU1618" s="55">
        <f t="shared" si="716"/>
        <v>0</v>
      </c>
      <c r="OSV1618" s="55">
        <f t="shared" si="716"/>
        <v>0</v>
      </c>
      <c r="OSW1618" s="55">
        <f t="shared" si="716"/>
        <v>0</v>
      </c>
      <c r="OSX1618" s="55">
        <f t="shared" si="716"/>
        <v>0</v>
      </c>
      <c r="OSY1618" s="55">
        <f t="shared" si="716"/>
        <v>0</v>
      </c>
      <c r="OSZ1618" s="55">
        <f t="shared" si="716"/>
        <v>0</v>
      </c>
      <c r="OTA1618" s="55">
        <f t="shared" si="716"/>
        <v>0</v>
      </c>
      <c r="OTB1618" s="55">
        <f t="shared" si="716"/>
        <v>0</v>
      </c>
      <c r="OTC1618" s="55">
        <f t="shared" si="716"/>
        <v>0</v>
      </c>
      <c r="OTD1618" s="55">
        <f t="shared" si="716"/>
        <v>0</v>
      </c>
      <c r="OTE1618" s="55">
        <f t="shared" si="716"/>
        <v>0</v>
      </c>
      <c r="OTF1618" s="55">
        <f t="shared" si="716"/>
        <v>0</v>
      </c>
      <c r="OTG1618" s="55">
        <f t="shared" si="716"/>
        <v>0</v>
      </c>
      <c r="OTH1618" s="55">
        <f t="shared" si="716"/>
        <v>0</v>
      </c>
      <c r="OTI1618" s="55">
        <f t="shared" si="716"/>
        <v>0</v>
      </c>
      <c r="OTJ1618" s="55">
        <f t="shared" si="716"/>
        <v>0</v>
      </c>
      <c r="OTK1618" s="55">
        <f t="shared" si="716"/>
        <v>0</v>
      </c>
      <c r="OTL1618" s="55">
        <f t="shared" si="716"/>
        <v>0</v>
      </c>
      <c r="OTM1618" s="55">
        <f t="shared" si="716"/>
        <v>0</v>
      </c>
      <c r="OTN1618" s="55">
        <f t="shared" si="716"/>
        <v>0</v>
      </c>
      <c r="OTO1618" s="55">
        <f t="shared" si="716"/>
        <v>0</v>
      </c>
      <c r="OTP1618" s="55">
        <f t="shared" si="716"/>
        <v>0</v>
      </c>
      <c r="OTQ1618" s="55">
        <f t="shared" si="716"/>
        <v>0</v>
      </c>
      <c r="OTR1618" s="55">
        <f t="shared" si="716"/>
        <v>0</v>
      </c>
      <c r="OTS1618" s="55">
        <f t="shared" si="716"/>
        <v>0</v>
      </c>
      <c r="OTT1618" s="55">
        <f t="shared" si="716"/>
        <v>0</v>
      </c>
      <c r="OTU1618" s="55">
        <f t="shared" si="716"/>
        <v>0</v>
      </c>
      <c r="OTV1618" s="55">
        <f t="shared" si="716"/>
        <v>0</v>
      </c>
      <c r="OTW1618" s="55">
        <f t="shared" si="716"/>
        <v>0</v>
      </c>
      <c r="OTX1618" s="55">
        <f t="shared" si="716"/>
        <v>0</v>
      </c>
      <c r="OTY1618" s="55">
        <f t="shared" si="716"/>
        <v>0</v>
      </c>
      <c r="OTZ1618" s="55">
        <f t="shared" si="716"/>
        <v>0</v>
      </c>
      <c r="OUA1618" s="55">
        <f t="shared" si="716"/>
        <v>0</v>
      </c>
      <c r="OUB1618" s="55">
        <f t="shared" si="716"/>
        <v>0</v>
      </c>
      <c r="OUC1618" s="55">
        <f t="shared" si="716"/>
        <v>0</v>
      </c>
      <c r="OUD1618" s="55">
        <f t="shared" si="716"/>
        <v>0</v>
      </c>
      <c r="OUE1618" s="55">
        <f t="shared" si="716"/>
        <v>0</v>
      </c>
      <c r="OUF1618" s="55">
        <f t="shared" si="716"/>
        <v>0</v>
      </c>
      <c r="OUG1618" s="55">
        <f t="shared" si="716"/>
        <v>0</v>
      </c>
      <c r="OUH1618" s="55">
        <f t="shared" si="716"/>
        <v>0</v>
      </c>
      <c r="OUI1618" s="55">
        <f t="shared" si="716"/>
        <v>0</v>
      </c>
      <c r="OUJ1618" s="55">
        <f t="shared" si="716"/>
        <v>0</v>
      </c>
      <c r="OUK1618" s="55">
        <f t="shared" si="716"/>
        <v>0</v>
      </c>
      <c r="OUL1618" s="55">
        <f t="shared" si="716"/>
        <v>0</v>
      </c>
      <c r="OUM1618" s="55">
        <f t="shared" si="716"/>
        <v>0</v>
      </c>
      <c r="OUN1618" s="55">
        <f t="shared" ref="OUN1618:OWY1618" si="717">+(OUN1627+OUN1608)*1.18*1.1</f>
        <v>0</v>
      </c>
      <c r="OUO1618" s="55">
        <f t="shared" si="717"/>
        <v>0</v>
      </c>
      <c r="OUP1618" s="55">
        <f t="shared" si="717"/>
        <v>0</v>
      </c>
      <c r="OUQ1618" s="55">
        <f t="shared" si="717"/>
        <v>0</v>
      </c>
      <c r="OUR1618" s="55">
        <f t="shared" si="717"/>
        <v>0</v>
      </c>
      <c r="OUS1618" s="55">
        <f t="shared" si="717"/>
        <v>0</v>
      </c>
      <c r="OUT1618" s="55">
        <f t="shared" si="717"/>
        <v>0</v>
      </c>
      <c r="OUU1618" s="55">
        <f t="shared" si="717"/>
        <v>0</v>
      </c>
      <c r="OUV1618" s="55">
        <f t="shared" si="717"/>
        <v>0</v>
      </c>
      <c r="OUW1618" s="55">
        <f t="shared" si="717"/>
        <v>0</v>
      </c>
      <c r="OUX1618" s="55">
        <f t="shared" si="717"/>
        <v>0</v>
      </c>
      <c r="OUY1618" s="55">
        <f t="shared" si="717"/>
        <v>0</v>
      </c>
      <c r="OUZ1618" s="55">
        <f t="shared" si="717"/>
        <v>0</v>
      </c>
      <c r="OVA1618" s="55">
        <f t="shared" si="717"/>
        <v>0</v>
      </c>
      <c r="OVB1618" s="55">
        <f t="shared" si="717"/>
        <v>0</v>
      </c>
      <c r="OVC1618" s="55">
        <f t="shared" si="717"/>
        <v>0</v>
      </c>
      <c r="OVD1618" s="55">
        <f t="shared" si="717"/>
        <v>0</v>
      </c>
      <c r="OVE1618" s="55">
        <f t="shared" si="717"/>
        <v>0</v>
      </c>
      <c r="OVF1618" s="55">
        <f t="shared" si="717"/>
        <v>0</v>
      </c>
      <c r="OVG1618" s="55">
        <f t="shared" si="717"/>
        <v>0</v>
      </c>
      <c r="OVH1618" s="55">
        <f t="shared" si="717"/>
        <v>0</v>
      </c>
      <c r="OVI1618" s="55">
        <f t="shared" si="717"/>
        <v>0</v>
      </c>
      <c r="OVJ1618" s="55">
        <f t="shared" si="717"/>
        <v>0</v>
      </c>
      <c r="OVK1618" s="55">
        <f t="shared" si="717"/>
        <v>0</v>
      </c>
      <c r="OVL1618" s="55">
        <f t="shared" si="717"/>
        <v>0</v>
      </c>
      <c r="OVM1618" s="55">
        <f t="shared" si="717"/>
        <v>0</v>
      </c>
      <c r="OVN1618" s="55">
        <f t="shared" si="717"/>
        <v>0</v>
      </c>
      <c r="OVO1618" s="55">
        <f t="shared" si="717"/>
        <v>0</v>
      </c>
      <c r="OVP1618" s="55">
        <f t="shared" si="717"/>
        <v>0</v>
      </c>
      <c r="OVQ1618" s="55">
        <f t="shared" si="717"/>
        <v>0</v>
      </c>
      <c r="OVR1618" s="55">
        <f t="shared" si="717"/>
        <v>0</v>
      </c>
      <c r="OVS1618" s="55">
        <f t="shared" si="717"/>
        <v>0</v>
      </c>
      <c r="OVT1618" s="55">
        <f t="shared" si="717"/>
        <v>0</v>
      </c>
      <c r="OVU1618" s="55">
        <f t="shared" si="717"/>
        <v>0</v>
      </c>
      <c r="OVV1618" s="55">
        <f t="shared" si="717"/>
        <v>0</v>
      </c>
      <c r="OVW1618" s="55">
        <f t="shared" si="717"/>
        <v>0</v>
      </c>
      <c r="OVX1618" s="55">
        <f t="shared" si="717"/>
        <v>0</v>
      </c>
      <c r="OVY1618" s="55">
        <f t="shared" si="717"/>
        <v>0</v>
      </c>
      <c r="OVZ1618" s="55">
        <f t="shared" si="717"/>
        <v>0</v>
      </c>
      <c r="OWA1618" s="55">
        <f t="shared" si="717"/>
        <v>0</v>
      </c>
      <c r="OWB1618" s="55">
        <f t="shared" si="717"/>
        <v>0</v>
      </c>
      <c r="OWC1618" s="55">
        <f t="shared" si="717"/>
        <v>0</v>
      </c>
      <c r="OWD1618" s="55">
        <f t="shared" si="717"/>
        <v>0</v>
      </c>
      <c r="OWE1618" s="55">
        <f t="shared" si="717"/>
        <v>0</v>
      </c>
      <c r="OWF1618" s="55">
        <f t="shared" si="717"/>
        <v>0</v>
      </c>
      <c r="OWG1618" s="55">
        <f t="shared" si="717"/>
        <v>0</v>
      </c>
      <c r="OWH1618" s="55">
        <f t="shared" si="717"/>
        <v>0</v>
      </c>
      <c r="OWI1618" s="55">
        <f t="shared" si="717"/>
        <v>0</v>
      </c>
      <c r="OWJ1618" s="55">
        <f t="shared" si="717"/>
        <v>0</v>
      </c>
      <c r="OWK1618" s="55">
        <f t="shared" si="717"/>
        <v>0</v>
      </c>
      <c r="OWL1618" s="55">
        <f t="shared" si="717"/>
        <v>0</v>
      </c>
      <c r="OWM1618" s="55">
        <f t="shared" si="717"/>
        <v>0</v>
      </c>
      <c r="OWN1618" s="55">
        <f t="shared" si="717"/>
        <v>0</v>
      </c>
      <c r="OWO1618" s="55">
        <f t="shared" si="717"/>
        <v>0</v>
      </c>
      <c r="OWP1618" s="55">
        <f t="shared" si="717"/>
        <v>0</v>
      </c>
      <c r="OWQ1618" s="55">
        <f t="shared" si="717"/>
        <v>0</v>
      </c>
      <c r="OWR1618" s="55">
        <f t="shared" si="717"/>
        <v>0</v>
      </c>
      <c r="OWS1618" s="55">
        <f t="shared" si="717"/>
        <v>0</v>
      </c>
      <c r="OWT1618" s="55">
        <f t="shared" si="717"/>
        <v>0</v>
      </c>
      <c r="OWU1618" s="55">
        <f t="shared" si="717"/>
        <v>0</v>
      </c>
      <c r="OWV1618" s="55">
        <f t="shared" si="717"/>
        <v>0</v>
      </c>
      <c r="OWW1618" s="55">
        <f t="shared" si="717"/>
        <v>0</v>
      </c>
      <c r="OWX1618" s="55">
        <f t="shared" si="717"/>
        <v>0</v>
      </c>
      <c r="OWY1618" s="55">
        <f t="shared" si="717"/>
        <v>0</v>
      </c>
      <c r="OWZ1618" s="55">
        <f t="shared" ref="OWZ1618:OZK1618" si="718">+(OWZ1627+OWZ1608)*1.18*1.1</f>
        <v>0</v>
      </c>
      <c r="OXA1618" s="55">
        <f t="shared" si="718"/>
        <v>0</v>
      </c>
      <c r="OXB1618" s="55">
        <f t="shared" si="718"/>
        <v>0</v>
      </c>
      <c r="OXC1618" s="55">
        <f t="shared" si="718"/>
        <v>0</v>
      </c>
      <c r="OXD1618" s="55">
        <f t="shared" si="718"/>
        <v>0</v>
      </c>
      <c r="OXE1618" s="55">
        <f t="shared" si="718"/>
        <v>0</v>
      </c>
      <c r="OXF1618" s="55">
        <f t="shared" si="718"/>
        <v>0</v>
      </c>
      <c r="OXG1618" s="55">
        <f t="shared" si="718"/>
        <v>0</v>
      </c>
      <c r="OXH1618" s="55">
        <f t="shared" si="718"/>
        <v>0</v>
      </c>
      <c r="OXI1618" s="55">
        <f t="shared" si="718"/>
        <v>0</v>
      </c>
      <c r="OXJ1618" s="55">
        <f t="shared" si="718"/>
        <v>0</v>
      </c>
      <c r="OXK1618" s="55">
        <f t="shared" si="718"/>
        <v>0</v>
      </c>
      <c r="OXL1618" s="55">
        <f t="shared" si="718"/>
        <v>0</v>
      </c>
      <c r="OXM1618" s="55">
        <f t="shared" si="718"/>
        <v>0</v>
      </c>
      <c r="OXN1618" s="55">
        <f t="shared" si="718"/>
        <v>0</v>
      </c>
      <c r="OXO1618" s="55">
        <f t="shared" si="718"/>
        <v>0</v>
      </c>
      <c r="OXP1618" s="55">
        <f t="shared" si="718"/>
        <v>0</v>
      </c>
      <c r="OXQ1618" s="55">
        <f t="shared" si="718"/>
        <v>0</v>
      </c>
      <c r="OXR1618" s="55">
        <f t="shared" si="718"/>
        <v>0</v>
      </c>
      <c r="OXS1618" s="55">
        <f t="shared" si="718"/>
        <v>0</v>
      </c>
      <c r="OXT1618" s="55">
        <f t="shared" si="718"/>
        <v>0</v>
      </c>
      <c r="OXU1618" s="55">
        <f t="shared" si="718"/>
        <v>0</v>
      </c>
      <c r="OXV1618" s="55">
        <f t="shared" si="718"/>
        <v>0</v>
      </c>
      <c r="OXW1618" s="55">
        <f t="shared" si="718"/>
        <v>0</v>
      </c>
      <c r="OXX1618" s="55">
        <f t="shared" si="718"/>
        <v>0</v>
      </c>
      <c r="OXY1618" s="55">
        <f t="shared" si="718"/>
        <v>0</v>
      </c>
      <c r="OXZ1618" s="55">
        <f t="shared" si="718"/>
        <v>0</v>
      </c>
      <c r="OYA1618" s="55">
        <f t="shared" si="718"/>
        <v>0</v>
      </c>
      <c r="OYB1618" s="55">
        <f t="shared" si="718"/>
        <v>0</v>
      </c>
      <c r="OYC1618" s="55">
        <f t="shared" si="718"/>
        <v>0</v>
      </c>
      <c r="OYD1618" s="55">
        <f t="shared" si="718"/>
        <v>0</v>
      </c>
      <c r="OYE1618" s="55">
        <f t="shared" si="718"/>
        <v>0</v>
      </c>
      <c r="OYF1618" s="55">
        <f t="shared" si="718"/>
        <v>0</v>
      </c>
      <c r="OYG1618" s="55">
        <f t="shared" si="718"/>
        <v>0</v>
      </c>
      <c r="OYH1618" s="55">
        <f t="shared" si="718"/>
        <v>0</v>
      </c>
      <c r="OYI1618" s="55">
        <f t="shared" si="718"/>
        <v>0</v>
      </c>
      <c r="OYJ1618" s="55">
        <f t="shared" si="718"/>
        <v>0</v>
      </c>
      <c r="OYK1618" s="55">
        <f t="shared" si="718"/>
        <v>0</v>
      </c>
      <c r="OYL1618" s="55">
        <f t="shared" si="718"/>
        <v>0</v>
      </c>
      <c r="OYM1618" s="55">
        <f t="shared" si="718"/>
        <v>0</v>
      </c>
      <c r="OYN1618" s="55">
        <f t="shared" si="718"/>
        <v>0</v>
      </c>
      <c r="OYO1618" s="55">
        <f t="shared" si="718"/>
        <v>0</v>
      </c>
      <c r="OYP1618" s="55">
        <f t="shared" si="718"/>
        <v>0</v>
      </c>
      <c r="OYQ1618" s="55">
        <f t="shared" si="718"/>
        <v>0</v>
      </c>
      <c r="OYR1618" s="55">
        <f t="shared" si="718"/>
        <v>0</v>
      </c>
      <c r="OYS1618" s="55">
        <f t="shared" si="718"/>
        <v>0</v>
      </c>
      <c r="OYT1618" s="55">
        <f t="shared" si="718"/>
        <v>0</v>
      </c>
      <c r="OYU1618" s="55">
        <f t="shared" si="718"/>
        <v>0</v>
      </c>
      <c r="OYV1618" s="55">
        <f t="shared" si="718"/>
        <v>0</v>
      </c>
      <c r="OYW1618" s="55">
        <f t="shared" si="718"/>
        <v>0</v>
      </c>
      <c r="OYX1618" s="55">
        <f t="shared" si="718"/>
        <v>0</v>
      </c>
      <c r="OYY1618" s="55">
        <f t="shared" si="718"/>
        <v>0</v>
      </c>
      <c r="OYZ1618" s="55">
        <f t="shared" si="718"/>
        <v>0</v>
      </c>
      <c r="OZA1618" s="55">
        <f t="shared" si="718"/>
        <v>0</v>
      </c>
      <c r="OZB1618" s="55">
        <f t="shared" si="718"/>
        <v>0</v>
      </c>
      <c r="OZC1618" s="55">
        <f t="shared" si="718"/>
        <v>0</v>
      </c>
      <c r="OZD1618" s="55">
        <f t="shared" si="718"/>
        <v>0</v>
      </c>
      <c r="OZE1618" s="55">
        <f t="shared" si="718"/>
        <v>0</v>
      </c>
      <c r="OZF1618" s="55">
        <f t="shared" si="718"/>
        <v>0</v>
      </c>
      <c r="OZG1618" s="55">
        <f t="shared" si="718"/>
        <v>0</v>
      </c>
      <c r="OZH1618" s="55">
        <f t="shared" si="718"/>
        <v>0</v>
      </c>
      <c r="OZI1618" s="55">
        <f t="shared" si="718"/>
        <v>0</v>
      </c>
      <c r="OZJ1618" s="55">
        <f t="shared" si="718"/>
        <v>0</v>
      </c>
      <c r="OZK1618" s="55">
        <f t="shared" si="718"/>
        <v>0</v>
      </c>
      <c r="OZL1618" s="55">
        <f t="shared" ref="OZL1618:PBW1618" si="719">+(OZL1627+OZL1608)*1.18*1.1</f>
        <v>0</v>
      </c>
      <c r="OZM1618" s="55">
        <f t="shared" si="719"/>
        <v>0</v>
      </c>
      <c r="OZN1618" s="55">
        <f t="shared" si="719"/>
        <v>0</v>
      </c>
      <c r="OZO1618" s="55">
        <f t="shared" si="719"/>
        <v>0</v>
      </c>
      <c r="OZP1618" s="55">
        <f t="shared" si="719"/>
        <v>0</v>
      </c>
      <c r="OZQ1618" s="55">
        <f t="shared" si="719"/>
        <v>0</v>
      </c>
      <c r="OZR1618" s="55">
        <f t="shared" si="719"/>
        <v>0</v>
      </c>
      <c r="OZS1618" s="55">
        <f t="shared" si="719"/>
        <v>0</v>
      </c>
      <c r="OZT1618" s="55">
        <f t="shared" si="719"/>
        <v>0</v>
      </c>
      <c r="OZU1618" s="55">
        <f t="shared" si="719"/>
        <v>0</v>
      </c>
      <c r="OZV1618" s="55">
        <f t="shared" si="719"/>
        <v>0</v>
      </c>
      <c r="OZW1618" s="55">
        <f t="shared" si="719"/>
        <v>0</v>
      </c>
      <c r="OZX1618" s="55">
        <f t="shared" si="719"/>
        <v>0</v>
      </c>
      <c r="OZY1618" s="55">
        <f t="shared" si="719"/>
        <v>0</v>
      </c>
      <c r="OZZ1618" s="55">
        <f t="shared" si="719"/>
        <v>0</v>
      </c>
      <c r="PAA1618" s="55">
        <f t="shared" si="719"/>
        <v>0</v>
      </c>
      <c r="PAB1618" s="55">
        <f t="shared" si="719"/>
        <v>0</v>
      </c>
      <c r="PAC1618" s="55">
        <f t="shared" si="719"/>
        <v>0</v>
      </c>
      <c r="PAD1618" s="55">
        <f t="shared" si="719"/>
        <v>0</v>
      </c>
      <c r="PAE1618" s="55">
        <f t="shared" si="719"/>
        <v>0</v>
      </c>
      <c r="PAF1618" s="55">
        <f t="shared" si="719"/>
        <v>0</v>
      </c>
      <c r="PAG1618" s="55">
        <f t="shared" si="719"/>
        <v>0</v>
      </c>
      <c r="PAH1618" s="55">
        <f t="shared" si="719"/>
        <v>0</v>
      </c>
      <c r="PAI1618" s="55">
        <f t="shared" si="719"/>
        <v>0</v>
      </c>
      <c r="PAJ1618" s="55">
        <f t="shared" si="719"/>
        <v>0</v>
      </c>
      <c r="PAK1618" s="55">
        <f t="shared" si="719"/>
        <v>0</v>
      </c>
      <c r="PAL1618" s="55">
        <f t="shared" si="719"/>
        <v>0</v>
      </c>
      <c r="PAM1618" s="55">
        <f t="shared" si="719"/>
        <v>0</v>
      </c>
      <c r="PAN1618" s="55">
        <f t="shared" si="719"/>
        <v>0</v>
      </c>
      <c r="PAO1618" s="55">
        <f t="shared" si="719"/>
        <v>0</v>
      </c>
      <c r="PAP1618" s="55">
        <f t="shared" si="719"/>
        <v>0</v>
      </c>
      <c r="PAQ1618" s="55">
        <f t="shared" si="719"/>
        <v>0</v>
      </c>
      <c r="PAR1618" s="55">
        <f t="shared" si="719"/>
        <v>0</v>
      </c>
      <c r="PAS1618" s="55">
        <f t="shared" si="719"/>
        <v>0</v>
      </c>
      <c r="PAT1618" s="55">
        <f t="shared" si="719"/>
        <v>0</v>
      </c>
      <c r="PAU1618" s="55">
        <f t="shared" si="719"/>
        <v>0</v>
      </c>
      <c r="PAV1618" s="55">
        <f t="shared" si="719"/>
        <v>0</v>
      </c>
      <c r="PAW1618" s="55">
        <f t="shared" si="719"/>
        <v>0</v>
      </c>
      <c r="PAX1618" s="55">
        <f t="shared" si="719"/>
        <v>0</v>
      </c>
      <c r="PAY1618" s="55">
        <f t="shared" si="719"/>
        <v>0</v>
      </c>
      <c r="PAZ1618" s="55">
        <f t="shared" si="719"/>
        <v>0</v>
      </c>
      <c r="PBA1618" s="55">
        <f t="shared" si="719"/>
        <v>0</v>
      </c>
      <c r="PBB1618" s="55">
        <f t="shared" si="719"/>
        <v>0</v>
      </c>
      <c r="PBC1618" s="55">
        <f t="shared" si="719"/>
        <v>0</v>
      </c>
      <c r="PBD1618" s="55">
        <f t="shared" si="719"/>
        <v>0</v>
      </c>
      <c r="PBE1618" s="55">
        <f t="shared" si="719"/>
        <v>0</v>
      </c>
      <c r="PBF1618" s="55">
        <f t="shared" si="719"/>
        <v>0</v>
      </c>
      <c r="PBG1618" s="55">
        <f t="shared" si="719"/>
        <v>0</v>
      </c>
      <c r="PBH1618" s="55">
        <f t="shared" si="719"/>
        <v>0</v>
      </c>
      <c r="PBI1618" s="55">
        <f t="shared" si="719"/>
        <v>0</v>
      </c>
      <c r="PBJ1618" s="55">
        <f t="shared" si="719"/>
        <v>0</v>
      </c>
      <c r="PBK1618" s="55">
        <f t="shared" si="719"/>
        <v>0</v>
      </c>
      <c r="PBL1618" s="55">
        <f t="shared" si="719"/>
        <v>0</v>
      </c>
      <c r="PBM1618" s="55">
        <f t="shared" si="719"/>
        <v>0</v>
      </c>
      <c r="PBN1618" s="55">
        <f t="shared" si="719"/>
        <v>0</v>
      </c>
      <c r="PBO1618" s="55">
        <f t="shared" si="719"/>
        <v>0</v>
      </c>
      <c r="PBP1618" s="55">
        <f t="shared" si="719"/>
        <v>0</v>
      </c>
      <c r="PBQ1618" s="55">
        <f t="shared" si="719"/>
        <v>0</v>
      </c>
      <c r="PBR1618" s="55">
        <f t="shared" si="719"/>
        <v>0</v>
      </c>
      <c r="PBS1618" s="55">
        <f t="shared" si="719"/>
        <v>0</v>
      </c>
      <c r="PBT1618" s="55">
        <f t="shared" si="719"/>
        <v>0</v>
      </c>
      <c r="PBU1618" s="55">
        <f t="shared" si="719"/>
        <v>0</v>
      </c>
      <c r="PBV1618" s="55">
        <f t="shared" si="719"/>
        <v>0</v>
      </c>
      <c r="PBW1618" s="55">
        <f t="shared" si="719"/>
        <v>0</v>
      </c>
      <c r="PBX1618" s="55">
        <f t="shared" ref="PBX1618:PEI1618" si="720">+(PBX1627+PBX1608)*1.18*1.1</f>
        <v>0</v>
      </c>
      <c r="PBY1618" s="55">
        <f t="shared" si="720"/>
        <v>0</v>
      </c>
      <c r="PBZ1618" s="55">
        <f t="shared" si="720"/>
        <v>0</v>
      </c>
      <c r="PCA1618" s="55">
        <f t="shared" si="720"/>
        <v>0</v>
      </c>
      <c r="PCB1618" s="55">
        <f t="shared" si="720"/>
        <v>0</v>
      </c>
      <c r="PCC1618" s="55">
        <f t="shared" si="720"/>
        <v>0</v>
      </c>
      <c r="PCD1618" s="55">
        <f t="shared" si="720"/>
        <v>0</v>
      </c>
      <c r="PCE1618" s="55">
        <f t="shared" si="720"/>
        <v>0</v>
      </c>
      <c r="PCF1618" s="55">
        <f t="shared" si="720"/>
        <v>0</v>
      </c>
      <c r="PCG1618" s="55">
        <f t="shared" si="720"/>
        <v>0</v>
      </c>
      <c r="PCH1618" s="55">
        <f t="shared" si="720"/>
        <v>0</v>
      </c>
      <c r="PCI1618" s="55">
        <f t="shared" si="720"/>
        <v>0</v>
      </c>
      <c r="PCJ1618" s="55">
        <f t="shared" si="720"/>
        <v>0</v>
      </c>
      <c r="PCK1618" s="55">
        <f t="shared" si="720"/>
        <v>0</v>
      </c>
      <c r="PCL1618" s="55">
        <f t="shared" si="720"/>
        <v>0</v>
      </c>
      <c r="PCM1618" s="55">
        <f t="shared" si="720"/>
        <v>0</v>
      </c>
      <c r="PCN1618" s="55">
        <f t="shared" si="720"/>
        <v>0</v>
      </c>
      <c r="PCO1618" s="55">
        <f t="shared" si="720"/>
        <v>0</v>
      </c>
      <c r="PCP1618" s="55">
        <f t="shared" si="720"/>
        <v>0</v>
      </c>
      <c r="PCQ1618" s="55">
        <f t="shared" si="720"/>
        <v>0</v>
      </c>
      <c r="PCR1618" s="55">
        <f t="shared" si="720"/>
        <v>0</v>
      </c>
      <c r="PCS1618" s="55">
        <f t="shared" si="720"/>
        <v>0</v>
      </c>
      <c r="PCT1618" s="55">
        <f t="shared" si="720"/>
        <v>0</v>
      </c>
      <c r="PCU1618" s="55">
        <f t="shared" si="720"/>
        <v>0</v>
      </c>
      <c r="PCV1618" s="55">
        <f t="shared" si="720"/>
        <v>0</v>
      </c>
      <c r="PCW1618" s="55">
        <f t="shared" si="720"/>
        <v>0</v>
      </c>
      <c r="PCX1618" s="55">
        <f t="shared" si="720"/>
        <v>0</v>
      </c>
      <c r="PCY1618" s="55">
        <f t="shared" si="720"/>
        <v>0</v>
      </c>
      <c r="PCZ1618" s="55">
        <f t="shared" si="720"/>
        <v>0</v>
      </c>
      <c r="PDA1618" s="55">
        <f t="shared" si="720"/>
        <v>0</v>
      </c>
      <c r="PDB1618" s="55">
        <f t="shared" si="720"/>
        <v>0</v>
      </c>
      <c r="PDC1618" s="55">
        <f t="shared" si="720"/>
        <v>0</v>
      </c>
      <c r="PDD1618" s="55">
        <f t="shared" si="720"/>
        <v>0</v>
      </c>
      <c r="PDE1618" s="55">
        <f t="shared" si="720"/>
        <v>0</v>
      </c>
      <c r="PDF1618" s="55">
        <f t="shared" si="720"/>
        <v>0</v>
      </c>
      <c r="PDG1618" s="55">
        <f t="shared" si="720"/>
        <v>0</v>
      </c>
      <c r="PDH1618" s="55">
        <f t="shared" si="720"/>
        <v>0</v>
      </c>
      <c r="PDI1618" s="55">
        <f t="shared" si="720"/>
        <v>0</v>
      </c>
      <c r="PDJ1618" s="55">
        <f t="shared" si="720"/>
        <v>0</v>
      </c>
      <c r="PDK1618" s="55">
        <f t="shared" si="720"/>
        <v>0</v>
      </c>
      <c r="PDL1618" s="55">
        <f t="shared" si="720"/>
        <v>0</v>
      </c>
      <c r="PDM1618" s="55">
        <f t="shared" si="720"/>
        <v>0</v>
      </c>
      <c r="PDN1618" s="55">
        <f t="shared" si="720"/>
        <v>0</v>
      </c>
      <c r="PDO1618" s="55">
        <f t="shared" si="720"/>
        <v>0</v>
      </c>
      <c r="PDP1618" s="55">
        <f t="shared" si="720"/>
        <v>0</v>
      </c>
      <c r="PDQ1618" s="55">
        <f t="shared" si="720"/>
        <v>0</v>
      </c>
      <c r="PDR1618" s="55">
        <f t="shared" si="720"/>
        <v>0</v>
      </c>
      <c r="PDS1618" s="55">
        <f t="shared" si="720"/>
        <v>0</v>
      </c>
      <c r="PDT1618" s="55">
        <f t="shared" si="720"/>
        <v>0</v>
      </c>
      <c r="PDU1618" s="55">
        <f t="shared" si="720"/>
        <v>0</v>
      </c>
      <c r="PDV1618" s="55">
        <f t="shared" si="720"/>
        <v>0</v>
      </c>
      <c r="PDW1618" s="55">
        <f t="shared" si="720"/>
        <v>0</v>
      </c>
      <c r="PDX1618" s="55">
        <f t="shared" si="720"/>
        <v>0</v>
      </c>
      <c r="PDY1618" s="55">
        <f t="shared" si="720"/>
        <v>0</v>
      </c>
      <c r="PDZ1618" s="55">
        <f t="shared" si="720"/>
        <v>0</v>
      </c>
      <c r="PEA1618" s="55">
        <f t="shared" si="720"/>
        <v>0</v>
      </c>
      <c r="PEB1618" s="55">
        <f t="shared" si="720"/>
        <v>0</v>
      </c>
      <c r="PEC1618" s="55">
        <f t="shared" si="720"/>
        <v>0</v>
      </c>
      <c r="PED1618" s="55">
        <f t="shared" si="720"/>
        <v>0</v>
      </c>
      <c r="PEE1618" s="55">
        <f t="shared" si="720"/>
        <v>0</v>
      </c>
      <c r="PEF1618" s="55">
        <f t="shared" si="720"/>
        <v>0</v>
      </c>
      <c r="PEG1618" s="55">
        <f t="shared" si="720"/>
        <v>0</v>
      </c>
      <c r="PEH1618" s="55">
        <f t="shared" si="720"/>
        <v>0</v>
      </c>
      <c r="PEI1618" s="55">
        <f t="shared" si="720"/>
        <v>0</v>
      </c>
      <c r="PEJ1618" s="55">
        <f t="shared" ref="PEJ1618:PGU1618" si="721">+(PEJ1627+PEJ1608)*1.18*1.1</f>
        <v>0</v>
      </c>
      <c r="PEK1618" s="55">
        <f t="shared" si="721"/>
        <v>0</v>
      </c>
      <c r="PEL1618" s="55">
        <f t="shared" si="721"/>
        <v>0</v>
      </c>
      <c r="PEM1618" s="55">
        <f t="shared" si="721"/>
        <v>0</v>
      </c>
      <c r="PEN1618" s="55">
        <f t="shared" si="721"/>
        <v>0</v>
      </c>
      <c r="PEO1618" s="55">
        <f t="shared" si="721"/>
        <v>0</v>
      </c>
      <c r="PEP1618" s="55">
        <f t="shared" si="721"/>
        <v>0</v>
      </c>
      <c r="PEQ1618" s="55">
        <f t="shared" si="721"/>
        <v>0</v>
      </c>
      <c r="PER1618" s="55">
        <f t="shared" si="721"/>
        <v>0</v>
      </c>
      <c r="PES1618" s="55">
        <f t="shared" si="721"/>
        <v>0</v>
      </c>
      <c r="PET1618" s="55">
        <f t="shared" si="721"/>
        <v>0</v>
      </c>
      <c r="PEU1618" s="55">
        <f t="shared" si="721"/>
        <v>0</v>
      </c>
      <c r="PEV1618" s="55">
        <f t="shared" si="721"/>
        <v>0</v>
      </c>
      <c r="PEW1618" s="55">
        <f t="shared" si="721"/>
        <v>0</v>
      </c>
      <c r="PEX1618" s="55">
        <f t="shared" si="721"/>
        <v>0</v>
      </c>
      <c r="PEY1618" s="55">
        <f t="shared" si="721"/>
        <v>0</v>
      </c>
      <c r="PEZ1618" s="55">
        <f t="shared" si="721"/>
        <v>0</v>
      </c>
      <c r="PFA1618" s="55">
        <f t="shared" si="721"/>
        <v>0</v>
      </c>
      <c r="PFB1618" s="55">
        <f t="shared" si="721"/>
        <v>0</v>
      </c>
      <c r="PFC1618" s="55">
        <f t="shared" si="721"/>
        <v>0</v>
      </c>
      <c r="PFD1618" s="55">
        <f t="shared" si="721"/>
        <v>0</v>
      </c>
      <c r="PFE1618" s="55">
        <f t="shared" si="721"/>
        <v>0</v>
      </c>
      <c r="PFF1618" s="55">
        <f t="shared" si="721"/>
        <v>0</v>
      </c>
      <c r="PFG1618" s="55">
        <f t="shared" si="721"/>
        <v>0</v>
      </c>
      <c r="PFH1618" s="55">
        <f t="shared" si="721"/>
        <v>0</v>
      </c>
      <c r="PFI1618" s="55">
        <f t="shared" si="721"/>
        <v>0</v>
      </c>
      <c r="PFJ1618" s="55">
        <f t="shared" si="721"/>
        <v>0</v>
      </c>
      <c r="PFK1618" s="55">
        <f t="shared" si="721"/>
        <v>0</v>
      </c>
      <c r="PFL1618" s="55">
        <f t="shared" si="721"/>
        <v>0</v>
      </c>
      <c r="PFM1618" s="55">
        <f t="shared" si="721"/>
        <v>0</v>
      </c>
      <c r="PFN1618" s="55">
        <f t="shared" si="721"/>
        <v>0</v>
      </c>
      <c r="PFO1618" s="55">
        <f t="shared" si="721"/>
        <v>0</v>
      </c>
      <c r="PFP1618" s="55">
        <f t="shared" si="721"/>
        <v>0</v>
      </c>
      <c r="PFQ1618" s="55">
        <f t="shared" si="721"/>
        <v>0</v>
      </c>
      <c r="PFR1618" s="55">
        <f t="shared" si="721"/>
        <v>0</v>
      </c>
      <c r="PFS1618" s="55">
        <f t="shared" si="721"/>
        <v>0</v>
      </c>
      <c r="PFT1618" s="55">
        <f t="shared" si="721"/>
        <v>0</v>
      </c>
      <c r="PFU1618" s="55">
        <f t="shared" si="721"/>
        <v>0</v>
      </c>
      <c r="PFV1618" s="55">
        <f t="shared" si="721"/>
        <v>0</v>
      </c>
      <c r="PFW1618" s="55">
        <f t="shared" si="721"/>
        <v>0</v>
      </c>
      <c r="PFX1618" s="55">
        <f t="shared" si="721"/>
        <v>0</v>
      </c>
      <c r="PFY1618" s="55">
        <f t="shared" si="721"/>
        <v>0</v>
      </c>
      <c r="PFZ1618" s="55">
        <f t="shared" si="721"/>
        <v>0</v>
      </c>
      <c r="PGA1618" s="55">
        <f t="shared" si="721"/>
        <v>0</v>
      </c>
      <c r="PGB1618" s="55">
        <f t="shared" si="721"/>
        <v>0</v>
      </c>
      <c r="PGC1618" s="55">
        <f t="shared" si="721"/>
        <v>0</v>
      </c>
      <c r="PGD1618" s="55">
        <f t="shared" si="721"/>
        <v>0</v>
      </c>
      <c r="PGE1618" s="55">
        <f t="shared" si="721"/>
        <v>0</v>
      </c>
      <c r="PGF1618" s="55">
        <f t="shared" si="721"/>
        <v>0</v>
      </c>
      <c r="PGG1618" s="55">
        <f t="shared" si="721"/>
        <v>0</v>
      </c>
      <c r="PGH1618" s="55">
        <f t="shared" si="721"/>
        <v>0</v>
      </c>
      <c r="PGI1618" s="55">
        <f t="shared" si="721"/>
        <v>0</v>
      </c>
      <c r="PGJ1618" s="55">
        <f t="shared" si="721"/>
        <v>0</v>
      </c>
      <c r="PGK1618" s="55">
        <f t="shared" si="721"/>
        <v>0</v>
      </c>
      <c r="PGL1618" s="55">
        <f t="shared" si="721"/>
        <v>0</v>
      </c>
      <c r="PGM1618" s="55">
        <f t="shared" si="721"/>
        <v>0</v>
      </c>
      <c r="PGN1618" s="55">
        <f t="shared" si="721"/>
        <v>0</v>
      </c>
      <c r="PGO1618" s="55">
        <f t="shared" si="721"/>
        <v>0</v>
      </c>
      <c r="PGP1618" s="55">
        <f t="shared" si="721"/>
        <v>0</v>
      </c>
      <c r="PGQ1618" s="55">
        <f t="shared" si="721"/>
        <v>0</v>
      </c>
      <c r="PGR1618" s="55">
        <f t="shared" si="721"/>
        <v>0</v>
      </c>
      <c r="PGS1618" s="55">
        <f t="shared" si="721"/>
        <v>0</v>
      </c>
      <c r="PGT1618" s="55">
        <f t="shared" si="721"/>
        <v>0</v>
      </c>
      <c r="PGU1618" s="55">
        <f t="shared" si="721"/>
        <v>0</v>
      </c>
      <c r="PGV1618" s="55">
        <f t="shared" ref="PGV1618:PJG1618" si="722">+(PGV1627+PGV1608)*1.18*1.1</f>
        <v>0</v>
      </c>
      <c r="PGW1618" s="55">
        <f t="shared" si="722"/>
        <v>0</v>
      </c>
      <c r="PGX1618" s="55">
        <f t="shared" si="722"/>
        <v>0</v>
      </c>
      <c r="PGY1618" s="55">
        <f t="shared" si="722"/>
        <v>0</v>
      </c>
      <c r="PGZ1618" s="55">
        <f t="shared" si="722"/>
        <v>0</v>
      </c>
      <c r="PHA1618" s="55">
        <f t="shared" si="722"/>
        <v>0</v>
      </c>
      <c r="PHB1618" s="55">
        <f t="shared" si="722"/>
        <v>0</v>
      </c>
      <c r="PHC1618" s="55">
        <f t="shared" si="722"/>
        <v>0</v>
      </c>
      <c r="PHD1618" s="55">
        <f t="shared" si="722"/>
        <v>0</v>
      </c>
      <c r="PHE1618" s="55">
        <f t="shared" si="722"/>
        <v>0</v>
      </c>
      <c r="PHF1618" s="55">
        <f t="shared" si="722"/>
        <v>0</v>
      </c>
      <c r="PHG1618" s="55">
        <f t="shared" si="722"/>
        <v>0</v>
      </c>
      <c r="PHH1618" s="55">
        <f t="shared" si="722"/>
        <v>0</v>
      </c>
      <c r="PHI1618" s="55">
        <f t="shared" si="722"/>
        <v>0</v>
      </c>
      <c r="PHJ1618" s="55">
        <f t="shared" si="722"/>
        <v>0</v>
      </c>
      <c r="PHK1618" s="55">
        <f t="shared" si="722"/>
        <v>0</v>
      </c>
      <c r="PHL1618" s="55">
        <f t="shared" si="722"/>
        <v>0</v>
      </c>
      <c r="PHM1618" s="55">
        <f t="shared" si="722"/>
        <v>0</v>
      </c>
      <c r="PHN1618" s="55">
        <f t="shared" si="722"/>
        <v>0</v>
      </c>
      <c r="PHO1618" s="55">
        <f t="shared" si="722"/>
        <v>0</v>
      </c>
      <c r="PHP1618" s="55">
        <f t="shared" si="722"/>
        <v>0</v>
      </c>
      <c r="PHQ1618" s="55">
        <f t="shared" si="722"/>
        <v>0</v>
      </c>
      <c r="PHR1618" s="55">
        <f t="shared" si="722"/>
        <v>0</v>
      </c>
      <c r="PHS1618" s="55">
        <f t="shared" si="722"/>
        <v>0</v>
      </c>
      <c r="PHT1618" s="55">
        <f t="shared" si="722"/>
        <v>0</v>
      </c>
      <c r="PHU1618" s="55">
        <f t="shared" si="722"/>
        <v>0</v>
      </c>
      <c r="PHV1618" s="55">
        <f t="shared" si="722"/>
        <v>0</v>
      </c>
      <c r="PHW1618" s="55">
        <f t="shared" si="722"/>
        <v>0</v>
      </c>
      <c r="PHX1618" s="55">
        <f t="shared" si="722"/>
        <v>0</v>
      </c>
      <c r="PHY1618" s="55">
        <f t="shared" si="722"/>
        <v>0</v>
      </c>
      <c r="PHZ1618" s="55">
        <f t="shared" si="722"/>
        <v>0</v>
      </c>
      <c r="PIA1618" s="55">
        <f t="shared" si="722"/>
        <v>0</v>
      </c>
      <c r="PIB1618" s="55">
        <f t="shared" si="722"/>
        <v>0</v>
      </c>
      <c r="PIC1618" s="55">
        <f t="shared" si="722"/>
        <v>0</v>
      </c>
      <c r="PID1618" s="55">
        <f t="shared" si="722"/>
        <v>0</v>
      </c>
      <c r="PIE1618" s="55">
        <f t="shared" si="722"/>
        <v>0</v>
      </c>
      <c r="PIF1618" s="55">
        <f t="shared" si="722"/>
        <v>0</v>
      </c>
      <c r="PIG1618" s="55">
        <f t="shared" si="722"/>
        <v>0</v>
      </c>
      <c r="PIH1618" s="55">
        <f t="shared" si="722"/>
        <v>0</v>
      </c>
      <c r="PII1618" s="55">
        <f t="shared" si="722"/>
        <v>0</v>
      </c>
      <c r="PIJ1618" s="55">
        <f t="shared" si="722"/>
        <v>0</v>
      </c>
      <c r="PIK1618" s="55">
        <f t="shared" si="722"/>
        <v>0</v>
      </c>
      <c r="PIL1618" s="55">
        <f t="shared" si="722"/>
        <v>0</v>
      </c>
      <c r="PIM1618" s="55">
        <f t="shared" si="722"/>
        <v>0</v>
      </c>
      <c r="PIN1618" s="55">
        <f t="shared" si="722"/>
        <v>0</v>
      </c>
      <c r="PIO1618" s="55">
        <f t="shared" si="722"/>
        <v>0</v>
      </c>
      <c r="PIP1618" s="55">
        <f t="shared" si="722"/>
        <v>0</v>
      </c>
      <c r="PIQ1618" s="55">
        <f t="shared" si="722"/>
        <v>0</v>
      </c>
      <c r="PIR1618" s="55">
        <f t="shared" si="722"/>
        <v>0</v>
      </c>
      <c r="PIS1618" s="55">
        <f t="shared" si="722"/>
        <v>0</v>
      </c>
      <c r="PIT1618" s="55">
        <f t="shared" si="722"/>
        <v>0</v>
      </c>
      <c r="PIU1618" s="55">
        <f t="shared" si="722"/>
        <v>0</v>
      </c>
      <c r="PIV1618" s="55">
        <f t="shared" si="722"/>
        <v>0</v>
      </c>
      <c r="PIW1618" s="55">
        <f t="shared" si="722"/>
        <v>0</v>
      </c>
      <c r="PIX1618" s="55">
        <f t="shared" si="722"/>
        <v>0</v>
      </c>
      <c r="PIY1618" s="55">
        <f t="shared" si="722"/>
        <v>0</v>
      </c>
      <c r="PIZ1618" s="55">
        <f t="shared" si="722"/>
        <v>0</v>
      </c>
      <c r="PJA1618" s="55">
        <f t="shared" si="722"/>
        <v>0</v>
      </c>
      <c r="PJB1618" s="55">
        <f t="shared" si="722"/>
        <v>0</v>
      </c>
      <c r="PJC1618" s="55">
        <f t="shared" si="722"/>
        <v>0</v>
      </c>
      <c r="PJD1618" s="55">
        <f t="shared" si="722"/>
        <v>0</v>
      </c>
      <c r="PJE1618" s="55">
        <f t="shared" si="722"/>
        <v>0</v>
      </c>
      <c r="PJF1618" s="55">
        <f t="shared" si="722"/>
        <v>0</v>
      </c>
      <c r="PJG1618" s="55">
        <f t="shared" si="722"/>
        <v>0</v>
      </c>
      <c r="PJH1618" s="55">
        <f t="shared" ref="PJH1618:PLS1618" si="723">+(PJH1627+PJH1608)*1.18*1.1</f>
        <v>0</v>
      </c>
      <c r="PJI1618" s="55">
        <f t="shared" si="723"/>
        <v>0</v>
      </c>
      <c r="PJJ1618" s="55">
        <f t="shared" si="723"/>
        <v>0</v>
      </c>
      <c r="PJK1618" s="55">
        <f t="shared" si="723"/>
        <v>0</v>
      </c>
      <c r="PJL1618" s="55">
        <f t="shared" si="723"/>
        <v>0</v>
      </c>
      <c r="PJM1618" s="55">
        <f t="shared" si="723"/>
        <v>0</v>
      </c>
      <c r="PJN1618" s="55">
        <f t="shared" si="723"/>
        <v>0</v>
      </c>
      <c r="PJO1618" s="55">
        <f t="shared" si="723"/>
        <v>0</v>
      </c>
      <c r="PJP1618" s="55">
        <f t="shared" si="723"/>
        <v>0</v>
      </c>
      <c r="PJQ1618" s="55">
        <f t="shared" si="723"/>
        <v>0</v>
      </c>
      <c r="PJR1618" s="55">
        <f t="shared" si="723"/>
        <v>0</v>
      </c>
      <c r="PJS1618" s="55">
        <f t="shared" si="723"/>
        <v>0</v>
      </c>
      <c r="PJT1618" s="55">
        <f t="shared" si="723"/>
        <v>0</v>
      </c>
      <c r="PJU1618" s="55">
        <f t="shared" si="723"/>
        <v>0</v>
      </c>
      <c r="PJV1618" s="55">
        <f t="shared" si="723"/>
        <v>0</v>
      </c>
      <c r="PJW1618" s="55">
        <f t="shared" si="723"/>
        <v>0</v>
      </c>
      <c r="PJX1618" s="55">
        <f t="shared" si="723"/>
        <v>0</v>
      </c>
      <c r="PJY1618" s="55">
        <f t="shared" si="723"/>
        <v>0</v>
      </c>
      <c r="PJZ1618" s="55">
        <f t="shared" si="723"/>
        <v>0</v>
      </c>
      <c r="PKA1618" s="55">
        <f t="shared" si="723"/>
        <v>0</v>
      </c>
      <c r="PKB1618" s="55">
        <f t="shared" si="723"/>
        <v>0</v>
      </c>
      <c r="PKC1618" s="55">
        <f t="shared" si="723"/>
        <v>0</v>
      </c>
      <c r="PKD1618" s="55">
        <f t="shared" si="723"/>
        <v>0</v>
      </c>
      <c r="PKE1618" s="55">
        <f t="shared" si="723"/>
        <v>0</v>
      </c>
      <c r="PKF1618" s="55">
        <f t="shared" si="723"/>
        <v>0</v>
      </c>
      <c r="PKG1618" s="55">
        <f t="shared" si="723"/>
        <v>0</v>
      </c>
      <c r="PKH1618" s="55">
        <f t="shared" si="723"/>
        <v>0</v>
      </c>
      <c r="PKI1618" s="55">
        <f t="shared" si="723"/>
        <v>0</v>
      </c>
      <c r="PKJ1618" s="55">
        <f t="shared" si="723"/>
        <v>0</v>
      </c>
      <c r="PKK1618" s="55">
        <f t="shared" si="723"/>
        <v>0</v>
      </c>
      <c r="PKL1618" s="55">
        <f t="shared" si="723"/>
        <v>0</v>
      </c>
      <c r="PKM1618" s="55">
        <f t="shared" si="723"/>
        <v>0</v>
      </c>
      <c r="PKN1618" s="55">
        <f t="shared" si="723"/>
        <v>0</v>
      </c>
      <c r="PKO1618" s="55">
        <f t="shared" si="723"/>
        <v>0</v>
      </c>
      <c r="PKP1618" s="55">
        <f t="shared" si="723"/>
        <v>0</v>
      </c>
      <c r="PKQ1618" s="55">
        <f t="shared" si="723"/>
        <v>0</v>
      </c>
      <c r="PKR1618" s="55">
        <f t="shared" si="723"/>
        <v>0</v>
      </c>
      <c r="PKS1618" s="55">
        <f t="shared" si="723"/>
        <v>0</v>
      </c>
      <c r="PKT1618" s="55">
        <f t="shared" si="723"/>
        <v>0</v>
      </c>
      <c r="PKU1618" s="55">
        <f t="shared" si="723"/>
        <v>0</v>
      </c>
      <c r="PKV1618" s="55">
        <f t="shared" si="723"/>
        <v>0</v>
      </c>
      <c r="PKW1618" s="55">
        <f t="shared" si="723"/>
        <v>0</v>
      </c>
      <c r="PKX1618" s="55">
        <f t="shared" si="723"/>
        <v>0</v>
      </c>
      <c r="PKY1618" s="55">
        <f t="shared" si="723"/>
        <v>0</v>
      </c>
      <c r="PKZ1618" s="55">
        <f t="shared" si="723"/>
        <v>0</v>
      </c>
      <c r="PLA1618" s="55">
        <f t="shared" si="723"/>
        <v>0</v>
      </c>
      <c r="PLB1618" s="55">
        <f t="shared" si="723"/>
        <v>0</v>
      </c>
      <c r="PLC1618" s="55">
        <f t="shared" si="723"/>
        <v>0</v>
      </c>
      <c r="PLD1618" s="55">
        <f t="shared" si="723"/>
        <v>0</v>
      </c>
      <c r="PLE1618" s="55">
        <f t="shared" si="723"/>
        <v>0</v>
      </c>
      <c r="PLF1618" s="55">
        <f t="shared" si="723"/>
        <v>0</v>
      </c>
      <c r="PLG1618" s="55">
        <f t="shared" si="723"/>
        <v>0</v>
      </c>
      <c r="PLH1618" s="55">
        <f t="shared" si="723"/>
        <v>0</v>
      </c>
      <c r="PLI1618" s="55">
        <f t="shared" si="723"/>
        <v>0</v>
      </c>
      <c r="PLJ1618" s="55">
        <f t="shared" si="723"/>
        <v>0</v>
      </c>
      <c r="PLK1618" s="55">
        <f t="shared" si="723"/>
        <v>0</v>
      </c>
      <c r="PLL1618" s="55">
        <f t="shared" si="723"/>
        <v>0</v>
      </c>
      <c r="PLM1618" s="55">
        <f t="shared" si="723"/>
        <v>0</v>
      </c>
      <c r="PLN1618" s="55">
        <f t="shared" si="723"/>
        <v>0</v>
      </c>
      <c r="PLO1618" s="55">
        <f t="shared" si="723"/>
        <v>0</v>
      </c>
      <c r="PLP1618" s="55">
        <f t="shared" si="723"/>
        <v>0</v>
      </c>
      <c r="PLQ1618" s="55">
        <f t="shared" si="723"/>
        <v>0</v>
      </c>
      <c r="PLR1618" s="55">
        <f t="shared" si="723"/>
        <v>0</v>
      </c>
      <c r="PLS1618" s="55">
        <f t="shared" si="723"/>
        <v>0</v>
      </c>
      <c r="PLT1618" s="55">
        <f t="shared" ref="PLT1618:POE1618" si="724">+(PLT1627+PLT1608)*1.18*1.1</f>
        <v>0</v>
      </c>
      <c r="PLU1618" s="55">
        <f t="shared" si="724"/>
        <v>0</v>
      </c>
      <c r="PLV1618" s="55">
        <f t="shared" si="724"/>
        <v>0</v>
      </c>
      <c r="PLW1618" s="55">
        <f t="shared" si="724"/>
        <v>0</v>
      </c>
      <c r="PLX1618" s="55">
        <f t="shared" si="724"/>
        <v>0</v>
      </c>
      <c r="PLY1618" s="55">
        <f t="shared" si="724"/>
        <v>0</v>
      </c>
      <c r="PLZ1618" s="55">
        <f t="shared" si="724"/>
        <v>0</v>
      </c>
      <c r="PMA1618" s="55">
        <f t="shared" si="724"/>
        <v>0</v>
      </c>
      <c r="PMB1618" s="55">
        <f t="shared" si="724"/>
        <v>0</v>
      </c>
      <c r="PMC1618" s="55">
        <f t="shared" si="724"/>
        <v>0</v>
      </c>
      <c r="PMD1618" s="55">
        <f t="shared" si="724"/>
        <v>0</v>
      </c>
      <c r="PME1618" s="55">
        <f t="shared" si="724"/>
        <v>0</v>
      </c>
      <c r="PMF1618" s="55">
        <f t="shared" si="724"/>
        <v>0</v>
      </c>
      <c r="PMG1618" s="55">
        <f t="shared" si="724"/>
        <v>0</v>
      </c>
      <c r="PMH1618" s="55">
        <f t="shared" si="724"/>
        <v>0</v>
      </c>
      <c r="PMI1618" s="55">
        <f t="shared" si="724"/>
        <v>0</v>
      </c>
      <c r="PMJ1618" s="55">
        <f t="shared" si="724"/>
        <v>0</v>
      </c>
      <c r="PMK1618" s="55">
        <f t="shared" si="724"/>
        <v>0</v>
      </c>
      <c r="PML1618" s="55">
        <f t="shared" si="724"/>
        <v>0</v>
      </c>
      <c r="PMM1618" s="55">
        <f t="shared" si="724"/>
        <v>0</v>
      </c>
      <c r="PMN1618" s="55">
        <f t="shared" si="724"/>
        <v>0</v>
      </c>
      <c r="PMO1618" s="55">
        <f t="shared" si="724"/>
        <v>0</v>
      </c>
      <c r="PMP1618" s="55">
        <f t="shared" si="724"/>
        <v>0</v>
      </c>
      <c r="PMQ1618" s="55">
        <f t="shared" si="724"/>
        <v>0</v>
      </c>
      <c r="PMR1618" s="55">
        <f t="shared" si="724"/>
        <v>0</v>
      </c>
      <c r="PMS1618" s="55">
        <f t="shared" si="724"/>
        <v>0</v>
      </c>
      <c r="PMT1618" s="55">
        <f t="shared" si="724"/>
        <v>0</v>
      </c>
      <c r="PMU1618" s="55">
        <f t="shared" si="724"/>
        <v>0</v>
      </c>
      <c r="PMV1618" s="55">
        <f t="shared" si="724"/>
        <v>0</v>
      </c>
      <c r="PMW1618" s="55">
        <f t="shared" si="724"/>
        <v>0</v>
      </c>
      <c r="PMX1618" s="55">
        <f t="shared" si="724"/>
        <v>0</v>
      </c>
      <c r="PMY1618" s="55">
        <f t="shared" si="724"/>
        <v>0</v>
      </c>
      <c r="PMZ1618" s="55">
        <f t="shared" si="724"/>
        <v>0</v>
      </c>
      <c r="PNA1618" s="55">
        <f t="shared" si="724"/>
        <v>0</v>
      </c>
      <c r="PNB1618" s="55">
        <f t="shared" si="724"/>
        <v>0</v>
      </c>
      <c r="PNC1618" s="55">
        <f t="shared" si="724"/>
        <v>0</v>
      </c>
      <c r="PND1618" s="55">
        <f t="shared" si="724"/>
        <v>0</v>
      </c>
      <c r="PNE1618" s="55">
        <f t="shared" si="724"/>
        <v>0</v>
      </c>
      <c r="PNF1618" s="55">
        <f t="shared" si="724"/>
        <v>0</v>
      </c>
      <c r="PNG1618" s="55">
        <f t="shared" si="724"/>
        <v>0</v>
      </c>
      <c r="PNH1618" s="55">
        <f t="shared" si="724"/>
        <v>0</v>
      </c>
      <c r="PNI1618" s="55">
        <f t="shared" si="724"/>
        <v>0</v>
      </c>
      <c r="PNJ1618" s="55">
        <f t="shared" si="724"/>
        <v>0</v>
      </c>
      <c r="PNK1618" s="55">
        <f t="shared" si="724"/>
        <v>0</v>
      </c>
      <c r="PNL1618" s="55">
        <f t="shared" si="724"/>
        <v>0</v>
      </c>
      <c r="PNM1618" s="55">
        <f t="shared" si="724"/>
        <v>0</v>
      </c>
      <c r="PNN1618" s="55">
        <f t="shared" si="724"/>
        <v>0</v>
      </c>
      <c r="PNO1618" s="55">
        <f t="shared" si="724"/>
        <v>0</v>
      </c>
      <c r="PNP1618" s="55">
        <f t="shared" si="724"/>
        <v>0</v>
      </c>
      <c r="PNQ1618" s="55">
        <f t="shared" si="724"/>
        <v>0</v>
      </c>
      <c r="PNR1618" s="55">
        <f t="shared" si="724"/>
        <v>0</v>
      </c>
      <c r="PNS1618" s="55">
        <f t="shared" si="724"/>
        <v>0</v>
      </c>
      <c r="PNT1618" s="55">
        <f t="shared" si="724"/>
        <v>0</v>
      </c>
      <c r="PNU1618" s="55">
        <f t="shared" si="724"/>
        <v>0</v>
      </c>
      <c r="PNV1618" s="55">
        <f t="shared" si="724"/>
        <v>0</v>
      </c>
      <c r="PNW1618" s="55">
        <f t="shared" si="724"/>
        <v>0</v>
      </c>
      <c r="PNX1618" s="55">
        <f t="shared" si="724"/>
        <v>0</v>
      </c>
      <c r="PNY1618" s="55">
        <f t="shared" si="724"/>
        <v>0</v>
      </c>
      <c r="PNZ1618" s="55">
        <f t="shared" si="724"/>
        <v>0</v>
      </c>
      <c r="POA1618" s="55">
        <f t="shared" si="724"/>
        <v>0</v>
      </c>
      <c r="POB1618" s="55">
        <f t="shared" si="724"/>
        <v>0</v>
      </c>
      <c r="POC1618" s="55">
        <f t="shared" si="724"/>
        <v>0</v>
      </c>
      <c r="POD1618" s="55">
        <f t="shared" si="724"/>
        <v>0</v>
      </c>
      <c r="POE1618" s="55">
        <f t="shared" si="724"/>
        <v>0</v>
      </c>
      <c r="POF1618" s="55">
        <f t="shared" ref="POF1618:PQQ1618" si="725">+(POF1627+POF1608)*1.18*1.1</f>
        <v>0</v>
      </c>
      <c r="POG1618" s="55">
        <f t="shared" si="725"/>
        <v>0</v>
      </c>
      <c r="POH1618" s="55">
        <f t="shared" si="725"/>
        <v>0</v>
      </c>
      <c r="POI1618" s="55">
        <f t="shared" si="725"/>
        <v>0</v>
      </c>
      <c r="POJ1618" s="55">
        <f t="shared" si="725"/>
        <v>0</v>
      </c>
      <c r="POK1618" s="55">
        <f t="shared" si="725"/>
        <v>0</v>
      </c>
      <c r="POL1618" s="55">
        <f t="shared" si="725"/>
        <v>0</v>
      </c>
      <c r="POM1618" s="55">
        <f t="shared" si="725"/>
        <v>0</v>
      </c>
      <c r="PON1618" s="55">
        <f t="shared" si="725"/>
        <v>0</v>
      </c>
      <c r="POO1618" s="55">
        <f t="shared" si="725"/>
        <v>0</v>
      </c>
      <c r="POP1618" s="55">
        <f t="shared" si="725"/>
        <v>0</v>
      </c>
      <c r="POQ1618" s="55">
        <f t="shared" si="725"/>
        <v>0</v>
      </c>
      <c r="POR1618" s="55">
        <f t="shared" si="725"/>
        <v>0</v>
      </c>
      <c r="POS1618" s="55">
        <f t="shared" si="725"/>
        <v>0</v>
      </c>
      <c r="POT1618" s="55">
        <f t="shared" si="725"/>
        <v>0</v>
      </c>
      <c r="POU1618" s="55">
        <f t="shared" si="725"/>
        <v>0</v>
      </c>
      <c r="POV1618" s="55">
        <f t="shared" si="725"/>
        <v>0</v>
      </c>
      <c r="POW1618" s="55">
        <f t="shared" si="725"/>
        <v>0</v>
      </c>
      <c r="POX1618" s="55">
        <f t="shared" si="725"/>
        <v>0</v>
      </c>
      <c r="POY1618" s="55">
        <f t="shared" si="725"/>
        <v>0</v>
      </c>
      <c r="POZ1618" s="55">
        <f t="shared" si="725"/>
        <v>0</v>
      </c>
      <c r="PPA1618" s="55">
        <f t="shared" si="725"/>
        <v>0</v>
      </c>
      <c r="PPB1618" s="55">
        <f t="shared" si="725"/>
        <v>0</v>
      </c>
      <c r="PPC1618" s="55">
        <f t="shared" si="725"/>
        <v>0</v>
      </c>
      <c r="PPD1618" s="55">
        <f t="shared" si="725"/>
        <v>0</v>
      </c>
      <c r="PPE1618" s="55">
        <f t="shared" si="725"/>
        <v>0</v>
      </c>
      <c r="PPF1618" s="55">
        <f t="shared" si="725"/>
        <v>0</v>
      </c>
      <c r="PPG1618" s="55">
        <f t="shared" si="725"/>
        <v>0</v>
      </c>
      <c r="PPH1618" s="55">
        <f t="shared" si="725"/>
        <v>0</v>
      </c>
      <c r="PPI1618" s="55">
        <f t="shared" si="725"/>
        <v>0</v>
      </c>
      <c r="PPJ1618" s="55">
        <f t="shared" si="725"/>
        <v>0</v>
      </c>
      <c r="PPK1618" s="55">
        <f t="shared" si="725"/>
        <v>0</v>
      </c>
      <c r="PPL1618" s="55">
        <f t="shared" si="725"/>
        <v>0</v>
      </c>
      <c r="PPM1618" s="55">
        <f t="shared" si="725"/>
        <v>0</v>
      </c>
      <c r="PPN1618" s="55">
        <f t="shared" si="725"/>
        <v>0</v>
      </c>
      <c r="PPO1618" s="55">
        <f t="shared" si="725"/>
        <v>0</v>
      </c>
      <c r="PPP1618" s="55">
        <f t="shared" si="725"/>
        <v>0</v>
      </c>
      <c r="PPQ1618" s="55">
        <f t="shared" si="725"/>
        <v>0</v>
      </c>
      <c r="PPR1618" s="55">
        <f t="shared" si="725"/>
        <v>0</v>
      </c>
      <c r="PPS1618" s="55">
        <f t="shared" si="725"/>
        <v>0</v>
      </c>
      <c r="PPT1618" s="55">
        <f t="shared" si="725"/>
        <v>0</v>
      </c>
      <c r="PPU1618" s="55">
        <f t="shared" si="725"/>
        <v>0</v>
      </c>
      <c r="PPV1618" s="55">
        <f t="shared" si="725"/>
        <v>0</v>
      </c>
      <c r="PPW1618" s="55">
        <f t="shared" si="725"/>
        <v>0</v>
      </c>
      <c r="PPX1618" s="55">
        <f t="shared" si="725"/>
        <v>0</v>
      </c>
      <c r="PPY1618" s="55">
        <f t="shared" si="725"/>
        <v>0</v>
      </c>
      <c r="PPZ1618" s="55">
        <f t="shared" si="725"/>
        <v>0</v>
      </c>
      <c r="PQA1618" s="55">
        <f t="shared" si="725"/>
        <v>0</v>
      </c>
      <c r="PQB1618" s="55">
        <f t="shared" si="725"/>
        <v>0</v>
      </c>
      <c r="PQC1618" s="55">
        <f t="shared" si="725"/>
        <v>0</v>
      </c>
      <c r="PQD1618" s="55">
        <f t="shared" si="725"/>
        <v>0</v>
      </c>
      <c r="PQE1618" s="55">
        <f t="shared" si="725"/>
        <v>0</v>
      </c>
      <c r="PQF1618" s="55">
        <f t="shared" si="725"/>
        <v>0</v>
      </c>
      <c r="PQG1618" s="55">
        <f t="shared" si="725"/>
        <v>0</v>
      </c>
      <c r="PQH1618" s="55">
        <f t="shared" si="725"/>
        <v>0</v>
      </c>
      <c r="PQI1618" s="55">
        <f t="shared" si="725"/>
        <v>0</v>
      </c>
      <c r="PQJ1618" s="55">
        <f t="shared" si="725"/>
        <v>0</v>
      </c>
      <c r="PQK1618" s="55">
        <f t="shared" si="725"/>
        <v>0</v>
      </c>
      <c r="PQL1618" s="55">
        <f t="shared" si="725"/>
        <v>0</v>
      </c>
      <c r="PQM1618" s="55">
        <f t="shared" si="725"/>
        <v>0</v>
      </c>
      <c r="PQN1618" s="55">
        <f t="shared" si="725"/>
        <v>0</v>
      </c>
      <c r="PQO1618" s="55">
        <f t="shared" si="725"/>
        <v>0</v>
      </c>
      <c r="PQP1618" s="55">
        <f t="shared" si="725"/>
        <v>0</v>
      </c>
      <c r="PQQ1618" s="55">
        <f t="shared" si="725"/>
        <v>0</v>
      </c>
      <c r="PQR1618" s="55">
        <f t="shared" ref="PQR1618:PTC1618" si="726">+(PQR1627+PQR1608)*1.18*1.1</f>
        <v>0</v>
      </c>
      <c r="PQS1618" s="55">
        <f t="shared" si="726"/>
        <v>0</v>
      </c>
      <c r="PQT1618" s="55">
        <f t="shared" si="726"/>
        <v>0</v>
      </c>
      <c r="PQU1618" s="55">
        <f t="shared" si="726"/>
        <v>0</v>
      </c>
      <c r="PQV1618" s="55">
        <f t="shared" si="726"/>
        <v>0</v>
      </c>
      <c r="PQW1618" s="55">
        <f t="shared" si="726"/>
        <v>0</v>
      </c>
      <c r="PQX1618" s="55">
        <f t="shared" si="726"/>
        <v>0</v>
      </c>
      <c r="PQY1618" s="55">
        <f t="shared" si="726"/>
        <v>0</v>
      </c>
      <c r="PQZ1618" s="55">
        <f t="shared" si="726"/>
        <v>0</v>
      </c>
      <c r="PRA1618" s="55">
        <f t="shared" si="726"/>
        <v>0</v>
      </c>
      <c r="PRB1618" s="55">
        <f t="shared" si="726"/>
        <v>0</v>
      </c>
      <c r="PRC1618" s="55">
        <f t="shared" si="726"/>
        <v>0</v>
      </c>
      <c r="PRD1618" s="55">
        <f t="shared" si="726"/>
        <v>0</v>
      </c>
      <c r="PRE1618" s="55">
        <f t="shared" si="726"/>
        <v>0</v>
      </c>
      <c r="PRF1618" s="55">
        <f t="shared" si="726"/>
        <v>0</v>
      </c>
      <c r="PRG1618" s="55">
        <f t="shared" si="726"/>
        <v>0</v>
      </c>
      <c r="PRH1618" s="55">
        <f t="shared" si="726"/>
        <v>0</v>
      </c>
      <c r="PRI1618" s="55">
        <f t="shared" si="726"/>
        <v>0</v>
      </c>
      <c r="PRJ1618" s="55">
        <f t="shared" si="726"/>
        <v>0</v>
      </c>
      <c r="PRK1618" s="55">
        <f t="shared" si="726"/>
        <v>0</v>
      </c>
      <c r="PRL1618" s="55">
        <f t="shared" si="726"/>
        <v>0</v>
      </c>
      <c r="PRM1618" s="55">
        <f t="shared" si="726"/>
        <v>0</v>
      </c>
      <c r="PRN1618" s="55">
        <f t="shared" si="726"/>
        <v>0</v>
      </c>
      <c r="PRO1618" s="55">
        <f t="shared" si="726"/>
        <v>0</v>
      </c>
      <c r="PRP1618" s="55">
        <f t="shared" si="726"/>
        <v>0</v>
      </c>
      <c r="PRQ1618" s="55">
        <f t="shared" si="726"/>
        <v>0</v>
      </c>
      <c r="PRR1618" s="55">
        <f t="shared" si="726"/>
        <v>0</v>
      </c>
      <c r="PRS1618" s="55">
        <f t="shared" si="726"/>
        <v>0</v>
      </c>
      <c r="PRT1618" s="55">
        <f t="shared" si="726"/>
        <v>0</v>
      </c>
      <c r="PRU1618" s="55">
        <f t="shared" si="726"/>
        <v>0</v>
      </c>
      <c r="PRV1618" s="55">
        <f t="shared" si="726"/>
        <v>0</v>
      </c>
      <c r="PRW1618" s="55">
        <f t="shared" si="726"/>
        <v>0</v>
      </c>
      <c r="PRX1618" s="55">
        <f t="shared" si="726"/>
        <v>0</v>
      </c>
      <c r="PRY1618" s="55">
        <f t="shared" si="726"/>
        <v>0</v>
      </c>
      <c r="PRZ1618" s="55">
        <f t="shared" si="726"/>
        <v>0</v>
      </c>
      <c r="PSA1618" s="55">
        <f t="shared" si="726"/>
        <v>0</v>
      </c>
      <c r="PSB1618" s="55">
        <f t="shared" si="726"/>
        <v>0</v>
      </c>
      <c r="PSC1618" s="55">
        <f t="shared" si="726"/>
        <v>0</v>
      </c>
      <c r="PSD1618" s="55">
        <f t="shared" si="726"/>
        <v>0</v>
      </c>
      <c r="PSE1618" s="55">
        <f t="shared" si="726"/>
        <v>0</v>
      </c>
      <c r="PSF1618" s="55">
        <f t="shared" si="726"/>
        <v>0</v>
      </c>
      <c r="PSG1618" s="55">
        <f t="shared" si="726"/>
        <v>0</v>
      </c>
      <c r="PSH1618" s="55">
        <f t="shared" si="726"/>
        <v>0</v>
      </c>
      <c r="PSI1618" s="55">
        <f t="shared" si="726"/>
        <v>0</v>
      </c>
      <c r="PSJ1618" s="55">
        <f t="shared" si="726"/>
        <v>0</v>
      </c>
      <c r="PSK1618" s="55">
        <f t="shared" si="726"/>
        <v>0</v>
      </c>
      <c r="PSL1618" s="55">
        <f t="shared" si="726"/>
        <v>0</v>
      </c>
      <c r="PSM1618" s="55">
        <f t="shared" si="726"/>
        <v>0</v>
      </c>
      <c r="PSN1618" s="55">
        <f t="shared" si="726"/>
        <v>0</v>
      </c>
      <c r="PSO1618" s="55">
        <f t="shared" si="726"/>
        <v>0</v>
      </c>
      <c r="PSP1618" s="55">
        <f t="shared" si="726"/>
        <v>0</v>
      </c>
      <c r="PSQ1618" s="55">
        <f t="shared" si="726"/>
        <v>0</v>
      </c>
      <c r="PSR1618" s="55">
        <f t="shared" si="726"/>
        <v>0</v>
      </c>
      <c r="PSS1618" s="55">
        <f t="shared" si="726"/>
        <v>0</v>
      </c>
      <c r="PST1618" s="55">
        <f t="shared" si="726"/>
        <v>0</v>
      </c>
      <c r="PSU1618" s="55">
        <f t="shared" si="726"/>
        <v>0</v>
      </c>
      <c r="PSV1618" s="55">
        <f t="shared" si="726"/>
        <v>0</v>
      </c>
      <c r="PSW1618" s="55">
        <f t="shared" si="726"/>
        <v>0</v>
      </c>
      <c r="PSX1618" s="55">
        <f t="shared" si="726"/>
        <v>0</v>
      </c>
      <c r="PSY1618" s="55">
        <f t="shared" si="726"/>
        <v>0</v>
      </c>
      <c r="PSZ1618" s="55">
        <f t="shared" si="726"/>
        <v>0</v>
      </c>
      <c r="PTA1618" s="55">
        <f t="shared" si="726"/>
        <v>0</v>
      </c>
      <c r="PTB1618" s="55">
        <f t="shared" si="726"/>
        <v>0</v>
      </c>
      <c r="PTC1618" s="55">
        <f t="shared" si="726"/>
        <v>0</v>
      </c>
      <c r="PTD1618" s="55">
        <f t="shared" ref="PTD1618:PVO1618" si="727">+(PTD1627+PTD1608)*1.18*1.1</f>
        <v>0</v>
      </c>
      <c r="PTE1618" s="55">
        <f t="shared" si="727"/>
        <v>0</v>
      </c>
      <c r="PTF1618" s="55">
        <f t="shared" si="727"/>
        <v>0</v>
      </c>
      <c r="PTG1618" s="55">
        <f t="shared" si="727"/>
        <v>0</v>
      </c>
      <c r="PTH1618" s="55">
        <f t="shared" si="727"/>
        <v>0</v>
      </c>
      <c r="PTI1618" s="55">
        <f t="shared" si="727"/>
        <v>0</v>
      </c>
      <c r="PTJ1618" s="55">
        <f t="shared" si="727"/>
        <v>0</v>
      </c>
      <c r="PTK1618" s="55">
        <f t="shared" si="727"/>
        <v>0</v>
      </c>
      <c r="PTL1618" s="55">
        <f t="shared" si="727"/>
        <v>0</v>
      </c>
      <c r="PTM1618" s="55">
        <f t="shared" si="727"/>
        <v>0</v>
      </c>
      <c r="PTN1618" s="55">
        <f t="shared" si="727"/>
        <v>0</v>
      </c>
      <c r="PTO1618" s="55">
        <f t="shared" si="727"/>
        <v>0</v>
      </c>
      <c r="PTP1618" s="55">
        <f t="shared" si="727"/>
        <v>0</v>
      </c>
      <c r="PTQ1618" s="55">
        <f t="shared" si="727"/>
        <v>0</v>
      </c>
      <c r="PTR1618" s="55">
        <f t="shared" si="727"/>
        <v>0</v>
      </c>
      <c r="PTS1618" s="55">
        <f t="shared" si="727"/>
        <v>0</v>
      </c>
      <c r="PTT1618" s="55">
        <f t="shared" si="727"/>
        <v>0</v>
      </c>
      <c r="PTU1618" s="55">
        <f t="shared" si="727"/>
        <v>0</v>
      </c>
      <c r="PTV1618" s="55">
        <f t="shared" si="727"/>
        <v>0</v>
      </c>
      <c r="PTW1618" s="55">
        <f t="shared" si="727"/>
        <v>0</v>
      </c>
      <c r="PTX1618" s="55">
        <f t="shared" si="727"/>
        <v>0</v>
      </c>
      <c r="PTY1618" s="55">
        <f t="shared" si="727"/>
        <v>0</v>
      </c>
      <c r="PTZ1618" s="55">
        <f t="shared" si="727"/>
        <v>0</v>
      </c>
      <c r="PUA1618" s="55">
        <f t="shared" si="727"/>
        <v>0</v>
      </c>
      <c r="PUB1618" s="55">
        <f t="shared" si="727"/>
        <v>0</v>
      </c>
      <c r="PUC1618" s="55">
        <f t="shared" si="727"/>
        <v>0</v>
      </c>
      <c r="PUD1618" s="55">
        <f t="shared" si="727"/>
        <v>0</v>
      </c>
      <c r="PUE1618" s="55">
        <f t="shared" si="727"/>
        <v>0</v>
      </c>
      <c r="PUF1618" s="55">
        <f t="shared" si="727"/>
        <v>0</v>
      </c>
      <c r="PUG1618" s="55">
        <f t="shared" si="727"/>
        <v>0</v>
      </c>
      <c r="PUH1618" s="55">
        <f t="shared" si="727"/>
        <v>0</v>
      </c>
      <c r="PUI1618" s="55">
        <f t="shared" si="727"/>
        <v>0</v>
      </c>
      <c r="PUJ1618" s="55">
        <f t="shared" si="727"/>
        <v>0</v>
      </c>
      <c r="PUK1618" s="55">
        <f t="shared" si="727"/>
        <v>0</v>
      </c>
      <c r="PUL1618" s="55">
        <f t="shared" si="727"/>
        <v>0</v>
      </c>
      <c r="PUM1618" s="55">
        <f t="shared" si="727"/>
        <v>0</v>
      </c>
      <c r="PUN1618" s="55">
        <f t="shared" si="727"/>
        <v>0</v>
      </c>
      <c r="PUO1618" s="55">
        <f t="shared" si="727"/>
        <v>0</v>
      </c>
      <c r="PUP1618" s="55">
        <f t="shared" si="727"/>
        <v>0</v>
      </c>
      <c r="PUQ1618" s="55">
        <f t="shared" si="727"/>
        <v>0</v>
      </c>
      <c r="PUR1618" s="55">
        <f t="shared" si="727"/>
        <v>0</v>
      </c>
      <c r="PUS1618" s="55">
        <f t="shared" si="727"/>
        <v>0</v>
      </c>
      <c r="PUT1618" s="55">
        <f t="shared" si="727"/>
        <v>0</v>
      </c>
      <c r="PUU1618" s="55">
        <f t="shared" si="727"/>
        <v>0</v>
      </c>
      <c r="PUV1618" s="55">
        <f t="shared" si="727"/>
        <v>0</v>
      </c>
      <c r="PUW1618" s="55">
        <f t="shared" si="727"/>
        <v>0</v>
      </c>
      <c r="PUX1618" s="55">
        <f t="shared" si="727"/>
        <v>0</v>
      </c>
      <c r="PUY1618" s="55">
        <f t="shared" si="727"/>
        <v>0</v>
      </c>
      <c r="PUZ1618" s="55">
        <f t="shared" si="727"/>
        <v>0</v>
      </c>
      <c r="PVA1618" s="55">
        <f t="shared" si="727"/>
        <v>0</v>
      </c>
      <c r="PVB1618" s="55">
        <f t="shared" si="727"/>
        <v>0</v>
      </c>
      <c r="PVC1618" s="55">
        <f t="shared" si="727"/>
        <v>0</v>
      </c>
      <c r="PVD1618" s="55">
        <f t="shared" si="727"/>
        <v>0</v>
      </c>
      <c r="PVE1618" s="55">
        <f t="shared" si="727"/>
        <v>0</v>
      </c>
      <c r="PVF1618" s="55">
        <f t="shared" si="727"/>
        <v>0</v>
      </c>
      <c r="PVG1618" s="55">
        <f t="shared" si="727"/>
        <v>0</v>
      </c>
      <c r="PVH1618" s="55">
        <f t="shared" si="727"/>
        <v>0</v>
      </c>
      <c r="PVI1618" s="55">
        <f t="shared" si="727"/>
        <v>0</v>
      </c>
      <c r="PVJ1618" s="55">
        <f t="shared" si="727"/>
        <v>0</v>
      </c>
      <c r="PVK1618" s="55">
        <f t="shared" si="727"/>
        <v>0</v>
      </c>
      <c r="PVL1618" s="55">
        <f t="shared" si="727"/>
        <v>0</v>
      </c>
      <c r="PVM1618" s="55">
        <f t="shared" si="727"/>
        <v>0</v>
      </c>
      <c r="PVN1618" s="55">
        <f t="shared" si="727"/>
        <v>0</v>
      </c>
      <c r="PVO1618" s="55">
        <f t="shared" si="727"/>
        <v>0</v>
      </c>
      <c r="PVP1618" s="55">
        <f t="shared" ref="PVP1618:PYA1618" si="728">+(PVP1627+PVP1608)*1.18*1.1</f>
        <v>0</v>
      </c>
      <c r="PVQ1618" s="55">
        <f t="shared" si="728"/>
        <v>0</v>
      </c>
      <c r="PVR1618" s="55">
        <f t="shared" si="728"/>
        <v>0</v>
      </c>
      <c r="PVS1618" s="55">
        <f t="shared" si="728"/>
        <v>0</v>
      </c>
      <c r="PVT1618" s="55">
        <f t="shared" si="728"/>
        <v>0</v>
      </c>
      <c r="PVU1618" s="55">
        <f t="shared" si="728"/>
        <v>0</v>
      </c>
      <c r="PVV1618" s="55">
        <f t="shared" si="728"/>
        <v>0</v>
      </c>
      <c r="PVW1618" s="55">
        <f t="shared" si="728"/>
        <v>0</v>
      </c>
      <c r="PVX1618" s="55">
        <f t="shared" si="728"/>
        <v>0</v>
      </c>
      <c r="PVY1618" s="55">
        <f t="shared" si="728"/>
        <v>0</v>
      </c>
      <c r="PVZ1618" s="55">
        <f t="shared" si="728"/>
        <v>0</v>
      </c>
      <c r="PWA1618" s="55">
        <f t="shared" si="728"/>
        <v>0</v>
      </c>
      <c r="PWB1618" s="55">
        <f t="shared" si="728"/>
        <v>0</v>
      </c>
      <c r="PWC1618" s="55">
        <f t="shared" si="728"/>
        <v>0</v>
      </c>
      <c r="PWD1618" s="55">
        <f t="shared" si="728"/>
        <v>0</v>
      </c>
      <c r="PWE1618" s="55">
        <f t="shared" si="728"/>
        <v>0</v>
      </c>
      <c r="PWF1618" s="55">
        <f t="shared" si="728"/>
        <v>0</v>
      </c>
      <c r="PWG1618" s="55">
        <f t="shared" si="728"/>
        <v>0</v>
      </c>
      <c r="PWH1618" s="55">
        <f t="shared" si="728"/>
        <v>0</v>
      </c>
      <c r="PWI1618" s="55">
        <f t="shared" si="728"/>
        <v>0</v>
      </c>
      <c r="PWJ1618" s="55">
        <f t="shared" si="728"/>
        <v>0</v>
      </c>
      <c r="PWK1618" s="55">
        <f t="shared" si="728"/>
        <v>0</v>
      </c>
      <c r="PWL1618" s="55">
        <f t="shared" si="728"/>
        <v>0</v>
      </c>
      <c r="PWM1618" s="55">
        <f t="shared" si="728"/>
        <v>0</v>
      </c>
      <c r="PWN1618" s="55">
        <f t="shared" si="728"/>
        <v>0</v>
      </c>
      <c r="PWO1618" s="55">
        <f t="shared" si="728"/>
        <v>0</v>
      </c>
      <c r="PWP1618" s="55">
        <f t="shared" si="728"/>
        <v>0</v>
      </c>
      <c r="PWQ1618" s="55">
        <f t="shared" si="728"/>
        <v>0</v>
      </c>
      <c r="PWR1618" s="55">
        <f t="shared" si="728"/>
        <v>0</v>
      </c>
      <c r="PWS1618" s="55">
        <f t="shared" si="728"/>
        <v>0</v>
      </c>
      <c r="PWT1618" s="55">
        <f t="shared" si="728"/>
        <v>0</v>
      </c>
      <c r="PWU1618" s="55">
        <f t="shared" si="728"/>
        <v>0</v>
      </c>
      <c r="PWV1618" s="55">
        <f t="shared" si="728"/>
        <v>0</v>
      </c>
      <c r="PWW1618" s="55">
        <f t="shared" si="728"/>
        <v>0</v>
      </c>
      <c r="PWX1618" s="55">
        <f t="shared" si="728"/>
        <v>0</v>
      </c>
      <c r="PWY1618" s="55">
        <f t="shared" si="728"/>
        <v>0</v>
      </c>
      <c r="PWZ1618" s="55">
        <f t="shared" si="728"/>
        <v>0</v>
      </c>
      <c r="PXA1618" s="55">
        <f t="shared" si="728"/>
        <v>0</v>
      </c>
      <c r="PXB1618" s="55">
        <f t="shared" si="728"/>
        <v>0</v>
      </c>
      <c r="PXC1618" s="55">
        <f t="shared" si="728"/>
        <v>0</v>
      </c>
      <c r="PXD1618" s="55">
        <f t="shared" si="728"/>
        <v>0</v>
      </c>
      <c r="PXE1618" s="55">
        <f t="shared" si="728"/>
        <v>0</v>
      </c>
      <c r="PXF1618" s="55">
        <f t="shared" si="728"/>
        <v>0</v>
      </c>
      <c r="PXG1618" s="55">
        <f t="shared" si="728"/>
        <v>0</v>
      </c>
      <c r="PXH1618" s="55">
        <f t="shared" si="728"/>
        <v>0</v>
      </c>
      <c r="PXI1618" s="55">
        <f t="shared" si="728"/>
        <v>0</v>
      </c>
      <c r="PXJ1618" s="55">
        <f t="shared" si="728"/>
        <v>0</v>
      </c>
      <c r="PXK1618" s="55">
        <f t="shared" si="728"/>
        <v>0</v>
      </c>
      <c r="PXL1618" s="55">
        <f t="shared" si="728"/>
        <v>0</v>
      </c>
      <c r="PXM1618" s="55">
        <f t="shared" si="728"/>
        <v>0</v>
      </c>
      <c r="PXN1618" s="55">
        <f t="shared" si="728"/>
        <v>0</v>
      </c>
      <c r="PXO1618" s="55">
        <f t="shared" si="728"/>
        <v>0</v>
      </c>
      <c r="PXP1618" s="55">
        <f t="shared" si="728"/>
        <v>0</v>
      </c>
      <c r="PXQ1618" s="55">
        <f t="shared" si="728"/>
        <v>0</v>
      </c>
      <c r="PXR1618" s="55">
        <f t="shared" si="728"/>
        <v>0</v>
      </c>
      <c r="PXS1618" s="55">
        <f t="shared" si="728"/>
        <v>0</v>
      </c>
      <c r="PXT1618" s="55">
        <f t="shared" si="728"/>
        <v>0</v>
      </c>
      <c r="PXU1618" s="55">
        <f t="shared" si="728"/>
        <v>0</v>
      </c>
      <c r="PXV1618" s="55">
        <f t="shared" si="728"/>
        <v>0</v>
      </c>
      <c r="PXW1618" s="55">
        <f t="shared" si="728"/>
        <v>0</v>
      </c>
      <c r="PXX1618" s="55">
        <f t="shared" si="728"/>
        <v>0</v>
      </c>
      <c r="PXY1618" s="55">
        <f t="shared" si="728"/>
        <v>0</v>
      </c>
      <c r="PXZ1618" s="55">
        <f t="shared" si="728"/>
        <v>0</v>
      </c>
      <c r="PYA1618" s="55">
        <f t="shared" si="728"/>
        <v>0</v>
      </c>
      <c r="PYB1618" s="55">
        <f t="shared" ref="PYB1618:QAM1618" si="729">+(PYB1627+PYB1608)*1.18*1.1</f>
        <v>0</v>
      </c>
      <c r="PYC1618" s="55">
        <f t="shared" si="729"/>
        <v>0</v>
      </c>
      <c r="PYD1618" s="55">
        <f t="shared" si="729"/>
        <v>0</v>
      </c>
      <c r="PYE1618" s="55">
        <f t="shared" si="729"/>
        <v>0</v>
      </c>
      <c r="PYF1618" s="55">
        <f t="shared" si="729"/>
        <v>0</v>
      </c>
      <c r="PYG1618" s="55">
        <f t="shared" si="729"/>
        <v>0</v>
      </c>
      <c r="PYH1618" s="55">
        <f t="shared" si="729"/>
        <v>0</v>
      </c>
      <c r="PYI1618" s="55">
        <f t="shared" si="729"/>
        <v>0</v>
      </c>
      <c r="PYJ1618" s="55">
        <f t="shared" si="729"/>
        <v>0</v>
      </c>
      <c r="PYK1618" s="55">
        <f t="shared" si="729"/>
        <v>0</v>
      </c>
      <c r="PYL1618" s="55">
        <f t="shared" si="729"/>
        <v>0</v>
      </c>
      <c r="PYM1618" s="55">
        <f t="shared" si="729"/>
        <v>0</v>
      </c>
      <c r="PYN1618" s="55">
        <f t="shared" si="729"/>
        <v>0</v>
      </c>
      <c r="PYO1618" s="55">
        <f t="shared" si="729"/>
        <v>0</v>
      </c>
      <c r="PYP1618" s="55">
        <f t="shared" si="729"/>
        <v>0</v>
      </c>
      <c r="PYQ1618" s="55">
        <f t="shared" si="729"/>
        <v>0</v>
      </c>
      <c r="PYR1618" s="55">
        <f t="shared" si="729"/>
        <v>0</v>
      </c>
      <c r="PYS1618" s="55">
        <f t="shared" si="729"/>
        <v>0</v>
      </c>
      <c r="PYT1618" s="55">
        <f t="shared" si="729"/>
        <v>0</v>
      </c>
      <c r="PYU1618" s="55">
        <f t="shared" si="729"/>
        <v>0</v>
      </c>
      <c r="PYV1618" s="55">
        <f t="shared" si="729"/>
        <v>0</v>
      </c>
      <c r="PYW1618" s="55">
        <f t="shared" si="729"/>
        <v>0</v>
      </c>
      <c r="PYX1618" s="55">
        <f t="shared" si="729"/>
        <v>0</v>
      </c>
      <c r="PYY1618" s="55">
        <f t="shared" si="729"/>
        <v>0</v>
      </c>
      <c r="PYZ1618" s="55">
        <f t="shared" si="729"/>
        <v>0</v>
      </c>
      <c r="PZA1618" s="55">
        <f t="shared" si="729"/>
        <v>0</v>
      </c>
      <c r="PZB1618" s="55">
        <f t="shared" si="729"/>
        <v>0</v>
      </c>
      <c r="PZC1618" s="55">
        <f t="shared" si="729"/>
        <v>0</v>
      </c>
      <c r="PZD1618" s="55">
        <f t="shared" si="729"/>
        <v>0</v>
      </c>
      <c r="PZE1618" s="55">
        <f t="shared" si="729"/>
        <v>0</v>
      </c>
      <c r="PZF1618" s="55">
        <f t="shared" si="729"/>
        <v>0</v>
      </c>
      <c r="PZG1618" s="55">
        <f t="shared" si="729"/>
        <v>0</v>
      </c>
      <c r="PZH1618" s="55">
        <f t="shared" si="729"/>
        <v>0</v>
      </c>
      <c r="PZI1618" s="55">
        <f t="shared" si="729"/>
        <v>0</v>
      </c>
      <c r="PZJ1618" s="55">
        <f t="shared" si="729"/>
        <v>0</v>
      </c>
      <c r="PZK1618" s="55">
        <f t="shared" si="729"/>
        <v>0</v>
      </c>
      <c r="PZL1618" s="55">
        <f t="shared" si="729"/>
        <v>0</v>
      </c>
      <c r="PZM1618" s="55">
        <f t="shared" si="729"/>
        <v>0</v>
      </c>
      <c r="PZN1618" s="55">
        <f t="shared" si="729"/>
        <v>0</v>
      </c>
      <c r="PZO1618" s="55">
        <f t="shared" si="729"/>
        <v>0</v>
      </c>
      <c r="PZP1618" s="55">
        <f t="shared" si="729"/>
        <v>0</v>
      </c>
      <c r="PZQ1618" s="55">
        <f t="shared" si="729"/>
        <v>0</v>
      </c>
      <c r="PZR1618" s="55">
        <f t="shared" si="729"/>
        <v>0</v>
      </c>
      <c r="PZS1618" s="55">
        <f t="shared" si="729"/>
        <v>0</v>
      </c>
      <c r="PZT1618" s="55">
        <f t="shared" si="729"/>
        <v>0</v>
      </c>
      <c r="PZU1618" s="55">
        <f t="shared" si="729"/>
        <v>0</v>
      </c>
      <c r="PZV1618" s="55">
        <f t="shared" si="729"/>
        <v>0</v>
      </c>
      <c r="PZW1618" s="55">
        <f t="shared" si="729"/>
        <v>0</v>
      </c>
      <c r="PZX1618" s="55">
        <f t="shared" si="729"/>
        <v>0</v>
      </c>
      <c r="PZY1618" s="55">
        <f t="shared" si="729"/>
        <v>0</v>
      </c>
      <c r="PZZ1618" s="55">
        <f t="shared" si="729"/>
        <v>0</v>
      </c>
      <c r="QAA1618" s="55">
        <f t="shared" si="729"/>
        <v>0</v>
      </c>
      <c r="QAB1618" s="55">
        <f t="shared" si="729"/>
        <v>0</v>
      </c>
      <c r="QAC1618" s="55">
        <f t="shared" si="729"/>
        <v>0</v>
      </c>
      <c r="QAD1618" s="55">
        <f t="shared" si="729"/>
        <v>0</v>
      </c>
      <c r="QAE1618" s="55">
        <f t="shared" si="729"/>
        <v>0</v>
      </c>
      <c r="QAF1618" s="55">
        <f t="shared" si="729"/>
        <v>0</v>
      </c>
      <c r="QAG1618" s="55">
        <f t="shared" si="729"/>
        <v>0</v>
      </c>
      <c r="QAH1618" s="55">
        <f t="shared" si="729"/>
        <v>0</v>
      </c>
      <c r="QAI1618" s="55">
        <f t="shared" si="729"/>
        <v>0</v>
      </c>
      <c r="QAJ1618" s="55">
        <f t="shared" si="729"/>
        <v>0</v>
      </c>
      <c r="QAK1618" s="55">
        <f t="shared" si="729"/>
        <v>0</v>
      </c>
      <c r="QAL1618" s="55">
        <f t="shared" si="729"/>
        <v>0</v>
      </c>
      <c r="QAM1618" s="55">
        <f t="shared" si="729"/>
        <v>0</v>
      </c>
      <c r="QAN1618" s="55">
        <f t="shared" ref="QAN1618:QCY1618" si="730">+(QAN1627+QAN1608)*1.18*1.1</f>
        <v>0</v>
      </c>
      <c r="QAO1618" s="55">
        <f t="shared" si="730"/>
        <v>0</v>
      </c>
      <c r="QAP1618" s="55">
        <f t="shared" si="730"/>
        <v>0</v>
      </c>
      <c r="QAQ1618" s="55">
        <f t="shared" si="730"/>
        <v>0</v>
      </c>
      <c r="QAR1618" s="55">
        <f t="shared" si="730"/>
        <v>0</v>
      </c>
      <c r="QAS1618" s="55">
        <f t="shared" si="730"/>
        <v>0</v>
      </c>
      <c r="QAT1618" s="55">
        <f t="shared" si="730"/>
        <v>0</v>
      </c>
      <c r="QAU1618" s="55">
        <f t="shared" si="730"/>
        <v>0</v>
      </c>
      <c r="QAV1618" s="55">
        <f t="shared" si="730"/>
        <v>0</v>
      </c>
      <c r="QAW1618" s="55">
        <f t="shared" si="730"/>
        <v>0</v>
      </c>
      <c r="QAX1618" s="55">
        <f t="shared" si="730"/>
        <v>0</v>
      </c>
      <c r="QAY1618" s="55">
        <f t="shared" si="730"/>
        <v>0</v>
      </c>
      <c r="QAZ1618" s="55">
        <f t="shared" si="730"/>
        <v>0</v>
      </c>
      <c r="QBA1618" s="55">
        <f t="shared" si="730"/>
        <v>0</v>
      </c>
      <c r="QBB1618" s="55">
        <f t="shared" si="730"/>
        <v>0</v>
      </c>
      <c r="QBC1618" s="55">
        <f t="shared" si="730"/>
        <v>0</v>
      </c>
      <c r="QBD1618" s="55">
        <f t="shared" si="730"/>
        <v>0</v>
      </c>
      <c r="QBE1618" s="55">
        <f t="shared" si="730"/>
        <v>0</v>
      </c>
      <c r="QBF1618" s="55">
        <f t="shared" si="730"/>
        <v>0</v>
      </c>
      <c r="QBG1618" s="55">
        <f t="shared" si="730"/>
        <v>0</v>
      </c>
      <c r="QBH1618" s="55">
        <f t="shared" si="730"/>
        <v>0</v>
      </c>
      <c r="QBI1618" s="55">
        <f t="shared" si="730"/>
        <v>0</v>
      </c>
      <c r="QBJ1618" s="55">
        <f t="shared" si="730"/>
        <v>0</v>
      </c>
      <c r="QBK1618" s="55">
        <f t="shared" si="730"/>
        <v>0</v>
      </c>
      <c r="QBL1618" s="55">
        <f t="shared" si="730"/>
        <v>0</v>
      </c>
      <c r="QBM1618" s="55">
        <f t="shared" si="730"/>
        <v>0</v>
      </c>
      <c r="QBN1618" s="55">
        <f t="shared" si="730"/>
        <v>0</v>
      </c>
      <c r="QBO1618" s="55">
        <f t="shared" si="730"/>
        <v>0</v>
      </c>
      <c r="QBP1618" s="55">
        <f t="shared" si="730"/>
        <v>0</v>
      </c>
      <c r="QBQ1618" s="55">
        <f t="shared" si="730"/>
        <v>0</v>
      </c>
      <c r="QBR1618" s="55">
        <f t="shared" si="730"/>
        <v>0</v>
      </c>
      <c r="QBS1618" s="55">
        <f t="shared" si="730"/>
        <v>0</v>
      </c>
      <c r="QBT1618" s="55">
        <f t="shared" si="730"/>
        <v>0</v>
      </c>
      <c r="QBU1618" s="55">
        <f t="shared" si="730"/>
        <v>0</v>
      </c>
      <c r="QBV1618" s="55">
        <f t="shared" si="730"/>
        <v>0</v>
      </c>
      <c r="QBW1618" s="55">
        <f t="shared" si="730"/>
        <v>0</v>
      </c>
      <c r="QBX1618" s="55">
        <f t="shared" si="730"/>
        <v>0</v>
      </c>
      <c r="QBY1618" s="55">
        <f t="shared" si="730"/>
        <v>0</v>
      </c>
      <c r="QBZ1618" s="55">
        <f t="shared" si="730"/>
        <v>0</v>
      </c>
      <c r="QCA1618" s="55">
        <f t="shared" si="730"/>
        <v>0</v>
      </c>
      <c r="QCB1618" s="55">
        <f t="shared" si="730"/>
        <v>0</v>
      </c>
      <c r="QCC1618" s="55">
        <f t="shared" si="730"/>
        <v>0</v>
      </c>
      <c r="QCD1618" s="55">
        <f t="shared" si="730"/>
        <v>0</v>
      </c>
      <c r="QCE1618" s="55">
        <f t="shared" si="730"/>
        <v>0</v>
      </c>
      <c r="QCF1618" s="55">
        <f t="shared" si="730"/>
        <v>0</v>
      </c>
      <c r="QCG1618" s="55">
        <f t="shared" si="730"/>
        <v>0</v>
      </c>
      <c r="QCH1618" s="55">
        <f t="shared" si="730"/>
        <v>0</v>
      </c>
      <c r="QCI1618" s="55">
        <f t="shared" si="730"/>
        <v>0</v>
      </c>
      <c r="QCJ1618" s="55">
        <f t="shared" si="730"/>
        <v>0</v>
      </c>
      <c r="QCK1618" s="55">
        <f t="shared" si="730"/>
        <v>0</v>
      </c>
      <c r="QCL1618" s="55">
        <f t="shared" si="730"/>
        <v>0</v>
      </c>
      <c r="QCM1618" s="55">
        <f t="shared" si="730"/>
        <v>0</v>
      </c>
      <c r="QCN1618" s="55">
        <f t="shared" si="730"/>
        <v>0</v>
      </c>
      <c r="QCO1618" s="55">
        <f t="shared" si="730"/>
        <v>0</v>
      </c>
      <c r="QCP1618" s="55">
        <f t="shared" si="730"/>
        <v>0</v>
      </c>
      <c r="QCQ1618" s="55">
        <f t="shared" si="730"/>
        <v>0</v>
      </c>
      <c r="QCR1618" s="55">
        <f t="shared" si="730"/>
        <v>0</v>
      </c>
      <c r="QCS1618" s="55">
        <f t="shared" si="730"/>
        <v>0</v>
      </c>
      <c r="QCT1618" s="55">
        <f t="shared" si="730"/>
        <v>0</v>
      </c>
      <c r="QCU1618" s="55">
        <f t="shared" si="730"/>
        <v>0</v>
      </c>
      <c r="QCV1618" s="55">
        <f t="shared" si="730"/>
        <v>0</v>
      </c>
      <c r="QCW1618" s="55">
        <f t="shared" si="730"/>
        <v>0</v>
      </c>
      <c r="QCX1618" s="55">
        <f t="shared" si="730"/>
        <v>0</v>
      </c>
      <c r="QCY1618" s="55">
        <f t="shared" si="730"/>
        <v>0</v>
      </c>
      <c r="QCZ1618" s="55">
        <f t="shared" ref="QCZ1618:QFK1618" si="731">+(QCZ1627+QCZ1608)*1.18*1.1</f>
        <v>0</v>
      </c>
      <c r="QDA1618" s="55">
        <f t="shared" si="731"/>
        <v>0</v>
      </c>
      <c r="QDB1618" s="55">
        <f t="shared" si="731"/>
        <v>0</v>
      </c>
      <c r="QDC1618" s="55">
        <f t="shared" si="731"/>
        <v>0</v>
      </c>
      <c r="QDD1618" s="55">
        <f t="shared" si="731"/>
        <v>0</v>
      </c>
      <c r="QDE1618" s="55">
        <f t="shared" si="731"/>
        <v>0</v>
      </c>
      <c r="QDF1618" s="55">
        <f t="shared" si="731"/>
        <v>0</v>
      </c>
      <c r="QDG1618" s="55">
        <f t="shared" si="731"/>
        <v>0</v>
      </c>
      <c r="QDH1618" s="55">
        <f t="shared" si="731"/>
        <v>0</v>
      </c>
      <c r="QDI1618" s="55">
        <f t="shared" si="731"/>
        <v>0</v>
      </c>
      <c r="QDJ1618" s="55">
        <f t="shared" si="731"/>
        <v>0</v>
      </c>
      <c r="QDK1618" s="55">
        <f t="shared" si="731"/>
        <v>0</v>
      </c>
      <c r="QDL1618" s="55">
        <f t="shared" si="731"/>
        <v>0</v>
      </c>
      <c r="QDM1618" s="55">
        <f t="shared" si="731"/>
        <v>0</v>
      </c>
      <c r="QDN1618" s="55">
        <f t="shared" si="731"/>
        <v>0</v>
      </c>
      <c r="QDO1618" s="55">
        <f t="shared" si="731"/>
        <v>0</v>
      </c>
      <c r="QDP1618" s="55">
        <f t="shared" si="731"/>
        <v>0</v>
      </c>
      <c r="QDQ1618" s="55">
        <f t="shared" si="731"/>
        <v>0</v>
      </c>
      <c r="QDR1618" s="55">
        <f t="shared" si="731"/>
        <v>0</v>
      </c>
      <c r="QDS1618" s="55">
        <f t="shared" si="731"/>
        <v>0</v>
      </c>
      <c r="QDT1618" s="55">
        <f t="shared" si="731"/>
        <v>0</v>
      </c>
      <c r="QDU1618" s="55">
        <f t="shared" si="731"/>
        <v>0</v>
      </c>
      <c r="QDV1618" s="55">
        <f t="shared" si="731"/>
        <v>0</v>
      </c>
      <c r="QDW1618" s="55">
        <f t="shared" si="731"/>
        <v>0</v>
      </c>
      <c r="QDX1618" s="55">
        <f t="shared" si="731"/>
        <v>0</v>
      </c>
      <c r="QDY1618" s="55">
        <f t="shared" si="731"/>
        <v>0</v>
      </c>
      <c r="QDZ1618" s="55">
        <f t="shared" si="731"/>
        <v>0</v>
      </c>
      <c r="QEA1618" s="55">
        <f t="shared" si="731"/>
        <v>0</v>
      </c>
      <c r="QEB1618" s="55">
        <f t="shared" si="731"/>
        <v>0</v>
      </c>
      <c r="QEC1618" s="55">
        <f t="shared" si="731"/>
        <v>0</v>
      </c>
      <c r="QED1618" s="55">
        <f t="shared" si="731"/>
        <v>0</v>
      </c>
      <c r="QEE1618" s="55">
        <f t="shared" si="731"/>
        <v>0</v>
      </c>
      <c r="QEF1618" s="55">
        <f t="shared" si="731"/>
        <v>0</v>
      </c>
      <c r="QEG1618" s="55">
        <f t="shared" si="731"/>
        <v>0</v>
      </c>
      <c r="QEH1618" s="55">
        <f t="shared" si="731"/>
        <v>0</v>
      </c>
      <c r="QEI1618" s="55">
        <f t="shared" si="731"/>
        <v>0</v>
      </c>
      <c r="QEJ1618" s="55">
        <f t="shared" si="731"/>
        <v>0</v>
      </c>
      <c r="QEK1618" s="55">
        <f t="shared" si="731"/>
        <v>0</v>
      </c>
      <c r="QEL1618" s="55">
        <f t="shared" si="731"/>
        <v>0</v>
      </c>
      <c r="QEM1618" s="55">
        <f t="shared" si="731"/>
        <v>0</v>
      </c>
      <c r="QEN1618" s="55">
        <f t="shared" si="731"/>
        <v>0</v>
      </c>
      <c r="QEO1618" s="55">
        <f t="shared" si="731"/>
        <v>0</v>
      </c>
      <c r="QEP1618" s="55">
        <f t="shared" si="731"/>
        <v>0</v>
      </c>
      <c r="QEQ1618" s="55">
        <f t="shared" si="731"/>
        <v>0</v>
      </c>
      <c r="QER1618" s="55">
        <f t="shared" si="731"/>
        <v>0</v>
      </c>
      <c r="QES1618" s="55">
        <f t="shared" si="731"/>
        <v>0</v>
      </c>
      <c r="QET1618" s="55">
        <f t="shared" si="731"/>
        <v>0</v>
      </c>
      <c r="QEU1618" s="55">
        <f t="shared" si="731"/>
        <v>0</v>
      </c>
      <c r="QEV1618" s="55">
        <f t="shared" si="731"/>
        <v>0</v>
      </c>
      <c r="QEW1618" s="55">
        <f t="shared" si="731"/>
        <v>0</v>
      </c>
      <c r="QEX1618" s="55">
        <f t="shared" si="731"/>
        <v>0</v>
      </c>
      <c r="QEY1618" s="55">
        <f t="shared" si="731"/>
        <v>0</v>
      </c>
      <c r="QEZ1618" s="55">
        <f t="shared" si="731"/>
        <v>0</v>
      </c>
      <c r="QFA1618" s="55">
        <f t="shared" si="731"/>
        <v>0</v>
      </c>
      <c r="QFB1618" s="55">
        <f t="shared" si="731"/>
        <v>0</v>
      </c>
      <c r="QFC1618" s="55">
        <f t="shared" si="731"/>
        <v>0</v>
      </c>
      <c r="QFD1618" s="55">
        <f t="shared" si="731"/>
        <v>0</v>
      </c>
      <c r="QFE1618" s="55">
        <f t="shared" si="731"/>
        <v>0</v>
      </c>
      <c r="QFF1618" s="55">
        <f t="shared" si="731"/>
        <v>0</v>
      </c>
      <c r="QFG1618" s="55">
        <f t="shared" si="731"/>
        <v>0</v>
      </c>
      <c r="QFH1618" s="55">
        <f t="shared" si="731"/>
        <v>0</v>
      </c>
      <c r="QFI1618" s="55">
        <f t="shared" si="731"/>
        <v>0</v>
      </c>
      <c r="QFJ1618" s="55">
        <f t="shared" si="731"/>
        <v>0</v>
      </c>
      <c r="QFK1618" s="55">
        <f t="shared" si="731"/>
        <v>0</v>
      </c>
      <c r="QFL1618" s="55">
        <f t="shared" ref="QFL1618:QHW1618" si="732">+(QFL1627+QFL1608)*1.18*1.1</f>
        <v>0</v>
      </c>
      <c r="QFM1618" s="55">
        <f t="shared" si="732"/>
        <v>0</v>
      </c>
      <c r="QFN1618" s="55">
        <f t="shared" si="732"/>
        <v>0</v>
      </c>
      <c r="QFO1618" s="55">
        <f t="shared" si="732"/>
        <v>0</v>
      </c>
      <c r="QFP1618" s="55">
        <f t="shared" si="732"/>
        <v>0</v>
      </c>
      <c r="QFQ1618" s="55">
        <f t="shared" si="732"/>
        <v>0</v>
      </c>
      <c r="QFR1618" s="55">
        <f t="shared" si="732"/>
        <v>0</v>
      </c>
      <c r="QFS1618" s="55">
        <f t="shared" si="732"/>
        <v>0</v>
      </c>
      <c r="QFT1618" s="55">
        <f t="shared" si="732"/>
        <v>0</v>
      </c>
      <c r="QFU1618" s="55">
        <f t="shared" si="732"/>
        <v>0</v>
      </c>
      <c r="QFV1618" s="55">
        <f t="shared" si="732"/>
        <v>0</v>
      </c>
      <c r="QFW1618" s="55">
        <f t="shared" si="732"/>
        <v>0</v>
      </c>
      <c r="QFX1618" s="55">
        <f t="shared" si="732"/>
        <v>0</v>
      </c>
      <c r="QFY1618" s="55">
        <f t="shared" si="732"/>
        <v>0</v>
      </c>
      <c r="QFZ1618" s="55">
        <f t="shared" si="732"/>
        <v>0</v>
      </c>
      <c r="QGA1618" s="55">
        <f t="shared" si="732"/>
        <v>0</v>
      </c>
      <c r="QGB1618" s="55">
        <f t="shared" si="732"/>
        <v>0</v>
      </c>
      <c r="QGC1618" s="55">
        <f t="shared" si="732"/>
        <v>0</v>
      </c>
      <c r="QGD1618" s="55">
        <f t="shared" si="732"/>
        <v>0</v>
      </c>
      <c r="QGE1618" s="55">
        <f t="shared" si="732"/>
        <v>0</v>
      </c>
      <c r="QGF1618" s="55">
        <f t="shared" si="732"/>
        <v>0</v>
      </c>
      <c r="QGG1618" s="55">
        <f t="shared" si="732"/>
        <v>0</v>
      </c>
      <c r="QGH1618" s="55">
        <f t="shared" si="732"/>
        <v>0</v>
      </c>
      <c r="QGI1618" s="55">
        <f t="shared" si="732"/>
        <v>0</v>
      </c>
      <c r="QGJ1618" s="55">
        <f t="shared" si="732"/>
        <v>0</v>
      </c>
      <c r="QGK1618" s="55">
        <f t="shared" si="732"/>
        <v>0</v>
      </c>
      <c r="QGL1618" s="55">
        <f t="shared" si="732"/>
        <v>0</v>
      </c>
      <c r="QGM1618" s="55">
        <f t="shared" si="732"/>
        <v>0</v>
      </c>
      <c r="QGN1618" s="55">
        <f t="shared" si="732"/>
        <v>0</v>
      </c>
      <c r="QGO1618" s="55">
        <f t="shared" si="732"/>
        <v>0</v>
      </c>
      <c r="QGP1618" s="55">
        <f t="shared" si="732"/>
        <v>0</v>
      </c>
      <c r="QGQ1618" s="55">
        <f t="shared" si="732"/>
        <v>0</v>
      </c>
      <c r="QGR1618" s="55">
        <f t="shared" si="732"/>
        <v>0</v>
      </c>
      <c r="QGS1618" s="55">
        <f t="shared" si="732"/>
        <v>0</v>
      </c>
      <c r="QGT1618" s="55">
        <f t="shared" si="732"/>
        <v>0</v>
      </c>
      <c r="QGU1618" s="55">
        <f t="shared" si="732"/>
        <v>0</v>
      </c>
      <c r="QGV1618" s="55">
        <f t="shared" si="732"/>
        <v>0</v>
      </c>
      <c r="QGW1618" s="55">
        <f t="shared" si="732"/>
        <v>0</v>
      </c>
      <c r="QGX1618" s="55">
        <f t="shared" si="732"/>
        <v>0</v>
      </c>
      <c r="QGY1618" s="55">
        <f t="shared" si="732"/>
        <v>0</v>
      </c>
      <c r="QGZ1618" s="55">
        <f t="shared" si="732"/>
        <v>0</v>
      </c>
      <c r="QHA1618" s="55">
        <f t="shared" si="732"/>
        <v>0</v>
      </c>
      <c r="QHB1618" s="55">
        <f t="shared" si="732"/>
        <v>0</v>
      </c>
      <c r="QHC1618" s="55">
        <f t="shared" si="732"/>
        <v>0</v>
      </c>
      <c r="QHD1618" s="55">
        <f t="shared" si="732"/>
        <v>0</v>
      </c>
      <c r="QHE1618" s="55">
        <f t="shared" si="732"/>
        <v>0</v>
      </c>
      <c r="QHF1618" s="55">
        <f t="shared" si="732"/>
        <v>0</v>
      </c>
      <c r="QHG1618" s="55">
        <f t="shared" si="732"/>
        <v>0</v>
      </c>
      <c r="QHH1618" s="55">
        <f t="shared" si="732"/>
        <v>0</v>
      </c>
      <c r="QHI1618" s="55">
        <f t="shared" si="732"/>
        <v>0</v>
      </c>
      <c r="QHJ1618" s="55">
        <f t="shared" si="732"/>
        <v>0</v>
      </c>
      <c r="QHK1618" s="55">
        <f t="shared" si="732"/>
        <v>0</v>
      </c>
      <c r="QHL1618" s="55">
        <f t="shared" si="732"/>
        <v>0</v>
      </c>
      <c r="QHM1618" s="55">
        <f t="shared" si="732"/>
        <v>0</v>
      </c>
      <c r="QHN1618" s="55">
        <f t="shared" si="732"/>
        <v>0</v>
      </c>
      <c r="QHO1618" s="55">
        <f t="shared" si="732"/>
        <v>0</v>
      </c>
      <c r="QHP1618" s="55">
        <f t="shared" si="732"/>
        <v>0</v>
      </c>
      <c r="QHQ1618" s="55">
        <f t="shared" si="732"/>
        <v>0</v>
      </c>
      <c r="QHR1618" s="55">
        <f t="shared" si="732"/>
        <v>0</v>
      </c>
      <c r="QHS1618" s="55">
        <f t="shared" si="732"/>
        <v>0</v>
      </c>
      <c r="QHT1618" s="55">
        <f t="shared" si="732"/>
        <v>0</v>
      </c>
      <c r="QHU1618" s="55">
        <f t="shared" si="732"/>
        <v>0</v>
      </c>
      <c r="QHV1618" s="55">
        <f t="shared" si="732"/>
        <v>0</v>
      </c>
      <c r="QHW1618" s="55">
        <f t="shared" si="732"/>
        <v>0</v>
      </c>
      <c r="QHX1618" s="55">
        <f t="shared" ref="QHX1618:QKI1618" si="733">+(QHX1627+QHX1608)*1.18*1.1</f>
        <v>0</v>
      </c>
      <c r="QHY1618" s="55">
        <f t="shared" si="733"/>
        <v>0</v>
      </c>
      <c r="QHZ1618" s="55">
        <f t="shared" si="733"/>
        <v>0</v>
      </c>
      <c r="QIA1618" s="55">
        <f t="shared" si="733"/>
        <v>0</v>
      </c>
      <c r="QIB1618" s="55">
        <f t="shared" si="733"/>
        <v>0</v>
      </c>
      <c r="QIC1618" s="55">
        <f t="shared" si="733"/>
        <v>0</v>
      </c>
      <c r="QID1618" s="55">
        <f t="shared" si="733"/>
        <v>0</v>
      </c>
      <c r="QIE1618" s="55">
        <f t="shared" si="733"/>
        <v>0</v>
      </c>
      <c r="QIF1618" s="55">
        <f t="shared" si="733"/>
        <v>0</v>
      </c>
      <c r="QIG1618" s="55">
        <f t="shared" si="733"/>
        <v>0</v>
      </c>
      <c r="QIH1618" s="55">
        <f t="shared" si="733"/>
        <v>0</v>
      </c>
      <c r="QII1618" s="55">
        <f t="shared" si="733"/>
        <v>0</v>
      </c>
      <c r="QIJ1618" s="55">
        <f t="shared" si="733"/>
        <v>0</v>
      </c>
      <c r="QIK1618" s="55">
        <f t="shared" si="733"/>
        <v>0</v>
      </c>
      <c r="QIL1618" s="55">
        <f t="shared" si="733"/>
        <v>0</v>
      </c>
      <c r="QIM1618" s="55">
        <f t="shared" si="733"/>
        <v>0</v>
      </c>
      <c r="QIN1618" s="55">
        <f t="shared" si="733"/>
        <v>0</v>
      </c>
      <c r="QIO1618" s="55">
        <f t="shared" si="733"/>
        <v>0</v>
      </c>
      <c r="QIP1618" s="55">
        <f t="shared" si="733"/>
        <v>0</v>
      </c>
      <c r="QIQ1618" s="55">
        <f t="shared" si="733"/>
        <v>0</v>
      </c>
      <c r="QIR1618" s="55">
        <f t="shared" si="733"/>
        <v>0</v>
      </c>
      <c r="QIS1618" s="55">
        <f t="shared" si="733"/>
        <v>0</v>
      </c>
      <c r="QIT1618" s="55">
        <f t="shared" si="733"/>
        <v>0</v>
      </c>
      <c r="QIU1618" s="55">
        <f t="shared" si="733"/>
        <v>0</v>
      </c>
      <c r="QIV1618" s="55">
        <f t="shared" si="733"/>
        <v>0</v>
      </c>
      <c r="QIW1618" s="55">
        <f t="shared" si="733"/>
        <v>0</v>
      </c>
      <c r="QIX1618" s="55">
        <f t="shared" si="733"/>
        <v>0</v>
      </c>
      <c r="QIY1618" s="55">
        <f t="shared" si="733"/>
        <v>0</v>
      </c>
      <c r="QIZ1618" s="55">
        <f t="shared" si="733"/>
        <v>0</v>
      </c>
      <c r="QJA1618" s="55">
        <f t="shared" si="733"/>
        <v>0</v>
      </c>
      <c r="QJB1618" s="55">
        <f t="shared" si="733"/>
        <v>0</v>
      </c>
      <c r="QJC1618" s="55">
        <f t="shared" si="733"/>
        <v>0</v>
      </c>
      <c r="QJD1618" s="55">
        <f t="shared" si="733"/>
        <v>0</v>
      </c>
      <c r="QJE1618" s="55">
        <f t="shared" si="733"/>
        <v>0</v>
      </c>
      <c r="QJF1618" s="55">
        <f t="shared" si="733"/>
        <v>0</v>
      </c>
      <c r="QJG1618" s="55">
        <f t="shared" si="733"/>
        <v>0</v>
      </c>
      <c r="QJH1618" s="55">
        <f t="shared" si="733"/>
        <v>0</v>
      </c>
      <c r="QJI1618" s="55">
        <f t="shared" si="733"/>
        <v>0</v>
      </c>
      <c r="QJJ1618" s="55">
        <f t="shared" si="733"/>
        <v>0</v>
      </c>
      <c r="QJK1618" s="55">
        <f t="shared" si="733"/>
        <v>0</v>
      </c>
      <c r="QJL1618" s="55">
        <f t="shared" si="733"/>
        <v>0</v>
      </c>
      <c r="QJM1618" s="55">
        <f t="shared" si="733"/>
        <v>0</v>
      </c>
      <c r="QJN1618" s="55">
        <f t="shared" si="733"/>
        <v>0</v>
      </c>
      <c r="QJO1618" s="55">
        <f t="shared" si="733"/>
        <v>0</v>
      </c>
      <c r="QJP1618" s="55">
        <f t="shared" si="733"/>
        <v>0</v>
      </c>
      <c r="QJQ1618" s="55">
        <f t="shared" si="733"/>
        <v>0</v>
      </c>
      <c r="QJR1618" s="55">
        <f t="shared" si="733"/>
        <v>0</v>
      </c>
      <c r="QJS1618" s="55">
        <f t="shared" si="733"/>
        <v>0</v>
      </c>
      <c r="QJT1618" s="55">
        <f t="shared" si="733"/>
        <v>0</v>
      </c>
      <c r="QJU1618" s="55">
        <f t="shared" si="733"/>
        <v>0</v>
      </c>
      <c r="QJV1618" s="55">
        <f t="shared" si="733"/>
        <v>0</v>
      </c>
      <c r="QJW1618" s="55">
        <f t="shared" si="733"/>
        <v>0</v>
      </c>
      <c r="QJX1618" s="55">
        <f t="shared" si="733"/>
        <v>0</v>
      </c>
      <c r="QJY1618" s="55">
        <f t="shared" si="733"/>
        <v>0</v>
      </c>
      <c r="QJZ1618" s="55">
        <f t="shared" si="733"/>
        <v>0</v>
      </c>
      <c r="QKA1618" s="55">
        <f t="shared" si="733"/>
        <v>0</v>
      </c>
      <c r="QKB1618" s="55">
        <f t="shared" si="733"/>
        <v>0</v>
      </c>
      <c r="QKC1618" s="55">
        <f t="shared" si="733"/>
        <v>0</v>
      </c>
      <c r="QKD1618" s="55">
        <f t="shared" si="733"/>
        <v>0</v>
      </c>
      <c r="QKE1618" s="55">
        <f t="shared" si="733"/>
        <v>0</v>
      </c>
      <c r="QKF1618" s="55">
        <f t="shared" si="733"/>
        <v>0</v>
      </c>
      <c r="QKG1618" s="55">
        <f t="shared" si="733"/>
        <v>0</v>
      </c>
      <c r="QKH1618" s="55">
        <f t="shared" si="733"/>
        <v>0</v>
      </c>
      <c r="QKI1618" s="55">
        <f t="shared" si="733"/>
        <v>0</v>
      </c>
      <c r="QKJ1618" s="55">
        <f t="shared" ref="QKJ1618:QMU1618" si="734">+(QKJ1627+QKJ1608)*1.18*1.1</f>
        <v>0</v>
      </c>
      <c r="QKK1618" s="55">
        <f t="shared" si="734"/>
        <v>0</v>
      </c>
      <c r="QKL1618" s="55">
        <f t="shared" si="734"/>
        <v>0</v>
      </c>
      <c r="QKM1618" s="55">
        <f t="shared" si="734"/>
        <v>0</v>
      </c>
      <c r="QKN1618" s="55">
        <f t="shared" si="734"/>
        <v>0</v>
      </c>
      <c r="QKO1618" s="55">
        <f t="shared" si="734"/>
        <v>0</v>
      </c>
      <c r="QKP1618" s="55">
        <f t="shared" si="734"/>
        <v>0</v>
      </c>
      <c r="QKQ1618" s="55">
        <f t="shared" si="734"/>
        <v>0</v>
      </c>
      <c r="QKR1618" s="55">
        <f t="shared" si="734"/>
        <v>0</v>
      </c>
      <c r="QKS1618" s="55">
        <f t="shared" si="734"/>
        <v>0</v>
      </c>
      <c r="QKT1618" s="55">
        <f t="shared" si="734"/>
        <v>0</v>
      </c>
      <c r="QKU1618" s="55">
        <f t="shared" si="734"/>
        <v>0</v>
      </c>
      <c r="QKV1618" s="55">
        <f t="shared" si="734"/>
        <v>0</v>
      </c>
      <c r="QKW1618" s="55">
        <f t="shared" si="734"/>
        <v>0</v>
      </c>
      <c r="QKX1618" s="55">
        <f t="shared" si="734"/>
        <v>0</v>
      </c>
      <c r="QKY1618" s="55">
        <f t="shared" si="734"/>
        <v>0</v>
      </c>
      <c r="QKZ1618" s="55">
        <f t="shared" si="734"/>
        <v>0</v>
      </c>
      <c r="QLA1618" s="55">
        <f t="shared" si="734"/>
        <v>0</v>
      </c>
      <c r="QLB1618" s="55">
        <f t="shared" si="734"/>
        <v>0</v>
      </c>
      <c r="QLC1618" s="55">
        <f t="shared" si="734"/>
        <v>0</v>
      </c>
      <c r="QLD1618" s="55">
        <f t="shared" si="734"/>
        <v>0</v>
      </c>
      <c r="QLE1618" s="55">
        <f t="shared" si="734"/>
        <v>0</v>
      </c>
      <c r="QLF1618" s="55">
        <f t="shared" si="734"/>
        <v>0</v>
      </c>
      <c r="QLG1618" s="55">
        <f t="shared" si="734"/>
        <v>0</v>
      </c>
      <c r="QLH1618" s="55">
        <f t="shared" si="734"/>
        <v>0</v>
      </c>
      <c r="QLI1618" s="55">
        <f t="shared" si="734"/>
        <v>0</v>
      </c>
      <c r="QLJ1618" s="55">
        <f t="shared" si="734"/>
        <v>0</v>
      </c>
      <c r="QLK1618" s="55">
        <f t="shared" si="734"/>
        <v>0</v>
      </c>
      <c r="QLL1618" s="55">
        <f t="shared" si="734"/>
        <v>0</v>
      </c>
      <c r="QLM1618" s="55">
        <f t="shared" si="734"/>
        <v>0</v>
      </c>
      <c r="QLN1618" s="55">
        <f t="shared" si="734"/>
        <v>0</v>
      </c>
      <c r="QLO1618" s="55">
        <f t="shared" si="734"/>
        <v>0</v>
      </c>
      <c r="QLP1618" s="55">
        <f t="shared" si="734"/>
        <v>0</v>
      </c>
      <c r="QLQ1618" s="55">
        <f t="shared" si="734"/>
        <v>0</v>
      </c>
      <c r="QLR1618" s="55">
        <f t="shared" si="734"/>
        <v>0</v>
      </c>
      <c r="QLS1618" s="55">
        <f t="shared" si="734"/>
        <v>0</v>
      </c>
      <c r="QLT1618" s="55">
        <f t="shared" si="734"/>
        <v>0</v>
      </c>
      <c r="QLU1618" s="55">
        <f t="shared" si="734"/>
        <v>0</v>
      </c>
      <c r="QLV1618" s="55">
        <f t="shared" si="734"/>
        <v>0</v>
      </c>
      <c r="QLW1618" s="55">
        <f t="shared" si="734"/>
        <v>0</v>
      </c>
      <c r="QLX1618" s="55">
        <f t="shared" si="734"/>
        <v>0</v>
      </c>
      <c r="QLY1618" s="55">
        <f t="shared" si="734"/>
        <v>0</v>
      </c>
      <c r="QLZ1618" s="55">
        <f t="shared" si="734"/>
        <v>0</v>
      </c>
      <c r="QMA1618" s="55">
        <f t="shared" si="734"/>
        <v>0</v>
      </c>
      <c r="QMB1618" s="55">
        <f t="shared" si="734"/>
        <v>0</v>
      </c>
      <c r="QMC1618" s="55">
        <f t="shared" si="734"/>
        <v>0</v>
      </c>
      <c r="QMD1618" s="55">
        <f t="shared" si="734"/>
        <v>0</v>
      </c>
      <c r="QME1618" s="55">
        <f t="shared" si="734"/>
        <v>0</v>
      </c>
      <c r="QMF1618" s="55">
        <f t="shared" si="734"/>
        <v>0</v>
      </c>
      <c r="QMG1618" s="55">
        <f t="shared" si="734"/>
        <v>0</v>
      </c>
      <c r="QMH1618" s="55">
        <f t="shared" si="734"/>
        <v>0</v>
      </c>
      <c r="QMI1618" s="55">
        <f t="shared" si="734"/>
        <v>0</v>
      </c>
      <c r="QMJ1618" s="55">
        <f t="shared" si="734"/>
        <v>0</v>
      </c>
      <c r="QMK1618" s="55">
        <f t="shared" si="734"/>
        <v>0</v>
      </c>
      <c r="QML1618" s="55">
        <f t="shared" si="734"/>
        <v>0</v>
      </c>
      <c r="QMM1618" s="55">
        <f t="shared" si="734"/>
        <v>0</v>
      </c>
      <c r="QMN1618" s="55">
        <f t="shared" si="734"/>
        <v>0</v>
      </c>
      <c r="QMO1618" s="55">
        <f t="shared" si="734"/>
        <v>0</v>
      </c>
      <c r="QMP1618" s="55">
        <f t="shared" si="734"/>
        <v>0</v>
      </c>
      <c r="QMQ1618" s="55">
        <f t="shared" si="734"/>
        <v>0</v>
      </c>
      <c r="QMR1618" s="55">
        <f t="shared" si="734"/>
        <v>0</v>
      </c>
      <c r="QMS1618" s="55">
        <f t="shared" si="734"/>
        <v>0</v>
      </c>
      <c r="QMT1618" s="55">
        <f t="shared" si="734"/>
        <v>0</v>
      </c>
      <c r="QMU1618" s="55">
        <f t="shared" si="734"/>
        <v>0</v>
      </c>
      <c r="QMV1618" s="55">
        <f t="shared" ref="QMV1618:QPG1618" si="735">+(QMV1627+QMV1608)*1.18*1.1</f>
        <v>0</v>
      </c>
      <c r="QMW1618" s="55">
        <f t="shared" si="735"/>
        <v>0</v>
      </c>
      <c r="QMX1618" s="55">
        <f t="shared" si="735"/>
        <v>0</v>
      </c>
      <c r="QMY1618" s="55">
        <f t="shared" si="735"/>
        <v>0</v>
      </c>
      <c r="QMZ1618" s="55">
        <f t="shared" si="735"/>
        <v>0</v>
      </c>
      <c r="QNA1618" s="55">
        <f t="shared" si="735"/>
        <v>0</v>
      </c>
      <c r="QNB1618" s="55">
        <f t="shared" si="735"/>
        <v>0</v>
      </c>
      <c r="QNC1618" s="55">
        <f t="shared" si="735"/>
        <v>0</v>
      </c>
      <c r="QND1618" s="55">
        <f t="shared" si="735"/>
        <v>0</v>
      </c>
      <c r="QNE1618" s="55">
        <f t="shared" si="735"/>
        <v>0</v>
      </c>
      <c r="QNF1618" s="55">
        <f t="shared" si="735"/>
        <v>0</v>
      </c>
      <c r="QNG1618" s="55">
        <f t="shared" si="735"/>
        <v>0</v>
      </c>
      <c r="QNH1618" s="55">
        <f t="shared" si="735"/>
        <v>0</v>
      </c>
      <c r="QNI1618" s="55">
        <f t="shared" si="735"/>
        <v>0</v>
      </c>
      <c r="QNJ1618" s="55">
        <f t="shared" si="735"/>
        <v>0</v>
      </c>
      <c r="QNK1618" s="55">
        <f t="shared" si="735"/>
        <v>0</v>
      </c>
      <c r="QNL1618" s="55">
        <f t="shared" si="735"/>
        <v>0</v>
      </c>
      <c r="QNM1618" s="55">
        <f t="shared" si="735"/>
        <v>0</v>
      </c>
      <c r="QNN1618" s="55">
        <f t="shared" si="735"/>
        <v>0</v>
      </c>
      <c r="QNO1618" s="55">
        <f t="shared" si="735"/>
        <v>0</v>
      </c>
      <c r="QNP1618" s="55">
        <f t="shared" si="735"/>
        <v>0</v>
      </c>
      <c r="QNQ1618" s="55">
        <f t="shared" si="735"/>
        <v>0</v>
      </c>
      <c r="QNR1618" s="55">
        <f t="shared" si="735"/>
        <v>0</v>
      </c>
      <c r="QNS1618" s="55">
        <f t="shared" si="735"/>
        <v>0</v>
      </c>
      <c r="QNT1618" s="55">
        <f t="shared" si="735"/>
        <v>0</v>
      </c>
      <c r="QNU1618" s="55">
        <f t="shared" si="735"/>
        <v>0</v>
      </c>
      <c r="QNV1618" s="55">
        <f t="shared" si="735"/>
        <v>0</v>
      </c>
      <c r="QNW1618" s="55">
        <f t="shared" si="735"/>
        <v>0</v>
      </c>
      <c r="QNX1618" s="55">
        <f t="shared" si="735"/>
        <v>0</v>
      </c>
      <c r="QNY1618" s="55">
        <f t="shared" si="735"/>
        <v>0</v>
      </c>
      <c r="QNZ1618" s="55">
        <f t="shared" si="735"/>
        <v>0</v>
      </c>
      <c r="QOA1618" s="55">
        <f t="shared" si="735"/>
        <v>0</v>
      </c>
      <c r="QOB1618" s="55">
        <f t="shared" si="735"/>
        <v>0</v>
      </c>
      <c r="QOC1618" s="55">
        <f t="shared" si="735"/>
        <v>0</v>
      </c>
      <c r="QOD1618" s="55">
        <f t="shared" si="735"/>
        <v>0</v>
      </c>
      <c r="QOE1618" s="55">
        <f t="shared" si="735"/>
        <v>0</v>
      </c>
      <c r="QOF1618" s="55">
        <f t="shared" si="735"/>
        <v>0</v>
      </c>
      <c r="QOG1618" s="55">
        <f t="shared" si="735"/>
        <v>0</v>
      </c>
      <c r="QOH1618" s="55">
        <f t="shared" si="735"/>
        <v>0</v>
      </c>
      <c r="QOI1618" s="55">
        <f t="shared" si="735"/>
        <v>0</v>
      </c>
      <c r="QOJ1618" s="55">
        <f t="shared" si="735"/>
        <v>0</v>
      </c>
      <c r="QOK1618" s="55">
        <f t="shared" si="735"/>
        <v>0</v>
      </c>
      <c r="QOL1618" s="55">
        <f t="shared" si="735"/>
        <v>0</v>
      </c>
      <c r="QOM1618" s="55">
        <f t="shared" si="735"/>
        <v>0</v>
      </c>
      <c r="QON1618" s="55">
        <f t="shared" si="735"/>
        <v>0</v>
      </c>
      <c r="QOO1618" s="55">
        <f t="shared" si="735"/>
        <v>0</v>
      </c>
      <c r="QOP1618" s="55">
        <f t="shared" si="735"/>
        <v>0</v>
      </c>
      <c r="QOQ1618" s="55">
        <f t="shared" si="735"/>
        <v>0</v>
      </c>
      <c r="QOR1618" s="55">
        <f t="shared" si="735"/>
        <v>0</v>
      </c>
      <c r="QOS1618" s="55">
        <f t="shared" si="735"/>
        <v>0</v>
      </c>
      <c r="QOT1618" s="55">
        <f t="shared" si="735"/>
        <v>0</v>
      </c>
      <c r="QOU1618" s="55">
        <f t="shared" si="735"/>
        <v>0</v>
      </c>
      <c r="QOV1618" s="55">
        <f t="shared" si="735"/>
        <v>0</v>
      </c>
      <c r="QOW1618" s="55">
        <f t="shared" si="735"/>
        <v>0</v>
      </c>
      <c r="QOX1618" s="55">
        <f t="shared" si="735"/>
        <v>0</v>
      </c>
      <c r="QOY1618" s="55">
        <f t="shared" si="735"/>
        <v>0</v>
      </c>
      <c r="QOZ1618" s="55">
        <f t="shared" si="735"/>
        <v>0</v>
      </c>
      <c r="QPA1618" s="55">
        <f t="shared" si="735"/>
        <v>0</v>
      </c>
      <c r="QPB1618" s="55">
        <f t="shared" si="735"/>
        <v>0</v>
      </c>
      <c r="QPC1618" s="55">
        <f t="shared" si="735"/>
        <v>0</v>
      </c>
      <c r="QPD1618" s="55">
        <f t="shared" si="735"/>
        <v>0</v>
      </c>
      <c r="QPE1618" s="55">
        <f t="shared" si="735"/>
        <v>0</v>
      </c>
      <c r="QPF1618" s="55">
        <f t="shared" si="735"/>
        <v>0</v>
      </c>
      <c r="QPG1618" s="55">
        <f t="shared" si="735"/>
        <v>0</v>
      </c>
      <c r="QPH1618" s="55">
        <f t="shared" ref="QPH1618:QRS1618" si="736">+(QPH1627+QPH1608)*1.18*1.1</f>
        <v>0</v>
      </c>
      <c r="QPI1618" s="55">
        <f t="shared" si="736"/>
        <v>0</v>
      </c>
      <c r="QPJ1618" s="55">
        <f t="shared" si="736"/>
        <v>0</v>
      </c>
      <c r="QPK1618" s="55">
        <f t="shared" si="736"/>
        <v>0</v>
      </c>
      <c r="QPL1618" s="55">
        <f t="shared" si="736"/>
        <v>0</v>
      </c>
      <c r="QPM1618" s="55">
        <f t="shared" si="736"/>
        <v>0</v>
      </c>
      <c r="QPN1618" s="55">
        <f t="shared" si="736"/>
        <v>0</v>
      </c>
      <c r="QPO1618" s="55">
        <f t="shared" si="736"/>
        <v>0</v>
      </c>
      <c r="QPP1618" s="55">
        <f t="shared" si="736"/>
        <v>0</v>
      </c>
      <c r="QPQ1618" s="55">
        <f t="shared" si="736"/>
        <v>0</v>
      </c>
      <c r="QPR1618" s="55">
        <f t="shared" si="736"/>
        <v>0</v>
      </c>
      <c r="QPS1618" s="55">
        <f t="shared" si="736"/>
        <v>0</v>
      </c>
      <c r="QPT1618" s="55">
        <f t="shared" si="736"/>
        <v>0</v>
      </c>
      <c r="QPU1618" s="55">
        <f t="shared" si="736"/>
        <v>0</v>
      </c>
      <c r="QPV1618" s="55">
        <f t="shared" si="736"/>
        <v>0</v>
      </c>
      <c r="QPW1618" s="55">
        <f t="shared" si="736"/>
        <v>0</v>
      </c>
      <c r="QPX1618" s="55">
        <f t="shared" si="736"/>
        <v>0</v>
      </c>
      <c r="QPY1618" s="55">
        <f t="shared" si="736"/>
        <v>0</v>
      </c>
      <c r="QPZ1618" s="55">
        <f t="shared" si="736"/>
        <v>0</v>
      </c>
      <c r="QQA1618" s="55">
        <f t="shared" si="736"/>
        <v>0</v>
      </c>
      <c r="QQB1618" s="55">
        <f t="shared" si="736"/>
        <v>0</v>
      </c>
      <c r="QQC1618" s="55">
        <f t="shared" si="736"/>
        <v>0</v>
      </c>
      <c r="QQD1618" s="55">
        <f t="shared" si="736"/>
        <v>0</v>
      </c>
      <c r="QQE1618" s="55">
        <f t="shared" si="736"/>
        <v>0</v>
      </c>
      <c r="QQF1618" s="55">
        <f t="shared" si="736"/>
        <v>0</v>
      </c>
      <c r="QQG1618" s="55">
        <f t="shared" si="736"/>
        <v>0</v>
      </c>
      <c r="QQH1618" s="55">
        <f t="shared" si="736"/>
        <v>0</v>
      </c>
      <c r="QQI1618" s="55">
        <f t="shared" si="736"/>
        <v>0</v>
      </c>
      <c r="QQJ1618" s="55">
        <f t="shared" si="736"/>
        <v>0</v>
      </c>
      <c r="QQK1618" s="55">
        <f t="shared" si="736"/>
        <v>0</v>
      </c>
      <c r="QQL1618" s="55">
        <f t="shared" si="736"/>
        <v>0</v>
      </c>
      <c r="QQM1618" s="55">
        <f t="shared" si="736"/>
        <v>0</v>
      </c>
      <c r="QQN1618" s="55">
        <f t="shared" si="736"/>
        <v>0</v>
      </c>
      <c r="QQO1618" s="55">
        <f t="shared" si="736"/>
        <v>0</v>
      </c>
      <c r="QQP1618" s="55">
        <f t="shared" si="736"/>
        <v>0</v>
      </c>
      <c r="QQQ1618" s="55">
        <f t="shared" si="736"/>
        <v>0</v>
      </c>
      <c r="QQR1618" s="55">
        <f t="shared" si="736"/>
        <v>0</v>
      </c>
      <c r="QQS1618" s="55">
        <f t="shared" si="736"/>
        <v>0</v>
      </c>
      <c r="QQT1618" s="55">
        <f t="shared" si="736"/>
        <v>0</v>
      </c>
      <c r="QQU1618" s="55">
        <f t="shared" si="736"/>
        <v>0</v>
      </c>
      <c r="QQV1618" s="55">
        <f t="shared" si="736"/>
        <v>0</v>
      </c>
      <c r="QQW1618" s="55">
        <f t="shared" si="736"/>
        <v>0</v>
      </c>
      <c r="QQX1618" s="55">
        <f t="shared" si="736"/>
        <v>0</v>
      </c>
      <c r="QQY1618" s="55">
        <f t="shared" si="736"/>
        <v>0</v>
      </c>
      <c r="QQZ1618" s="55">
        <f t="shared" si="736"/>
        <v>0</v>
      </c>
      <c r="QRA1618" s="55">
        <f t="shared" si="736"/>
        <v>0</v>
      </c>
      <c r="QRB1618" s="55">
        <f t="shared" si="736"/>
        <v>0</v>
      </c>
      <c r="QRC1618" s="55">
        <f t="shared" si="736"/>
        <v>0</v>
      </c>
      <c r="QRD1618" s="55">
        <f t="shared" si="736"/>
        <v>0</v>
      </c>
      <c r="QRE1618" s="55">
        <f t="shared" si="736"/>
        <v>0</v>
      </c>
      <c r="QRF1618" s="55">
        <f t="shared" si="736"/>
        <v>0</v>
      </c>
      <c r="QRG1618" s="55">
        <f t="shared" si="736"/>
        <v>0</v>
      </c>
      <c r="QRH1618" s="55">
        <f t="shared" si="736"/>
        <v>0</v>
      </c>
      <c r="QRI1618" s="55">
        <f t="shared" si="736"/>
        <v>0</v>
      </c>
      <c r="QRJ1618" s="55">
        <f t="shared" si="736"/>
        <v>0</v>
      </c>
      <c r="QRK1618" s="55">
        <f t="shared" si="736"/>
        <v>0</v>
      </c>
      <c r="QRL1618" s="55">
        <f t="shared" si="736"/>
        <v>0</v>
      </c>
      <c r="QRM1618" s="55">
        <f t="shared" si="736"/>
        <v>0</v>
      </c>
      <c r="QRN1618" s="55">
        <f t="shared" si="736"/>
        <v>0</v>
      </c>
      <c r="QRO1618" s="55">
        <f t="shared" si="736"/>
        <v>0</v>
      </c>
      <c r="QRP1618" s="55">
        <f t="shared" si="736"/>
        <v>0</v>
      </c>
      <c r="QRQ1618" s="55">
        <f t="shared" si="736"/>
        <v>0</v>
      </c>
      <c r="QRR1618" s="55">
        <f t="shared" si="736"/>
        <v>0</v>
      </c>
      <c r="QRS1618" s="55">
        <f t="shared" si="736"/>
        <v>0</v>
      </c>
      <c r="QRT1618" s="55">
        <f t="shared" ref="QRT1618:QUE1618" si="737">+(QRT1627+QRT1608)*1.18*1.1</f>
        <v>0</v>
      </c>
      <c r="QRU1618" s="55">
        <f t="shared" si="737"/>
        <v>0</v>
      </c>
      <c r="QRV1618" s="55">
        <f t="shared" si="737"/>
        <v>0</v>
      </c>
      <c r="QRW1618" s="55">
        <f t="shared" si="737"/>
        <v>0</v>
      </c>
      <c r="QRX1618" s="55">
        <f t="shared" si="737"/>
        <v>0</v>
      </c>
      <c r="QRY1618" s="55">
        <f t="shared" si="737"/>
        <v>0</v>
      </c>
      <c r="QRZ1618" s="55">
        <f t="shared" si="737"/>
        <v>0</v>
      </c>
      <c r="QSA1618" s="55">
        <f t="shared" si="737"/>
        <v>0</v>
      </c>
      <c r="QSB1618" s="55">
        <f t="shared" si="737"/>
        <v>0</v>
      </c>
      <c r="QSC1618" s="55">
        <f t="shared" si="737"/>
        <v>0</v>
      </c>
      <c r="QSD1618" s="55">
        <f t="shared" si="737"/>
        <v>0</v>
      </c>
      <c r="QSE1618" s="55">
        <f t="shared" si="737"/>
        <v>0</v>
      </c>
      <c r="QSF1618" s="55">
        <f t="shared" si="737"/>
        <v>0</v>
      </c>
      <c r="QSG1618" s="55">
        <f t="shared" si="737"/>
        <v>0</v>
      </c>
      <c r="QSH1618" s="55">
        <f t="shared" si="737"/>
        <v>0</v>
      </c>
      <c r="QSI1618" s="55">
        <f t="shared" si="737"/>
        <v>0</v>
      </c>
      <c r="QSJ1618" s="55">
        <f t="shared" si="737"/>
        <v>0</v>
      </c>
      <c r="QSK1618" s="55">
        <f t="shared" si="737"/>
        <v>0</v>
      </c>
      <c r="QSL1618" s="55">
        <f t="shared" si="737"/>
        <v>0</v>
      </c>
      <c r="QSM1618" s="55">
        <f t="shared" si="737"/>
        <v>0</v>
      </c>
      <c r="QSN1618" s="55">
        <f t="shared" si="737"/>
        <v>0</v>
      </c>
      <c r="QSO1618" s="55">
        <f t="shared" si="737"/>
        <v>0</v>
      </c>
      <c r="QSP1618" s="55">
        <f t="shared" si="737"/>
        <v>0</v>
      </c>
      <c r="QSQ1618" s="55">
        <f t="shared" si="737"/>
        <v>0</v>
      </c>
      <c r="QSR1618" s="55">
        <f t="shared" si="737"/>
        <v>0</v>
      </c>
      <c r="QSS1618" s="55">
        <f t="shared" si="737"/>
        <v>0</v>
      </c>
      <c r="QST1618" s="55">
        <f t="shared" si="737"/>
        <v>0</v>
      </c>
      <c r="QSU1618" s="55">
        <f t="shared" si="737"/>
        <v>0</v>
      </c>
      <c r="QSV1618" s="55">
        <f t="shared" si="737"/>
        <v>0</v>
      </c>
      <c r="QSW1618" s="55">
        <f t="shared" si="737"/>
        <v>0</v>
      </c>
      <c r="QSX1618" s="55">
        <f t="shared" si="737"/>
        <v>0</v>
      </c>
      <c r="QSY1618" s="55">
        <f t="shared" si="737"/>
        <v>0</v>
      </c>
      <c r="QSZ1618" s="55">
        <f t="shared" si="737"/>
        <v>0</v>
      </c>
      <c r="QTA1618" s="55">
        <f t="shared" si="737"/>
        <v>0</v>
      </c>
      <c r="QTB1618" s="55">
        <f t="shared" si="737"/>
        <v>0</v>
      </c>
      <c r="QTC1618" s="55">
        <f t="shared" si="737"/>
        <v>0</v>
      </c>
      <c r="QTD1618" s="55">
        <f t="shared" si="737"/>
        <v>0</v>
      </c>
      <c r="QTE1618" s="55">
        <f t="shared" si="737"/>
        <v>0</v>
      </c>
      <c r="QTF1618" s="55">
        <f t="shared" si="737"/>
        <v>0</v>
      </c>
      <c r="QTG1618" s="55">
        <f t="shared" si="737"/>
        <v>0</v>
      </c>
      <c r="QTH1618" s="55">
        <f t="shared" si="737"/>
        <v>0</v>
      </c>
      <c r="QTI1618" s="55">
        <f t="shared" si="737"/>
        <v>0</v>
      </c>
      <c r="QTJ1618" s="55">
        <f t="shared" si="737"/>
        <v>0</v>
      </c>
      <c r="QTK1618" s="55">
        <f t="shared" si="737"/>
        <v>0</v>
      </c>
      <c r="QTL1618" s="55">
        <f t="shared" si="737"/>
        <v>0</v>
      </c>
      <c r="QTM1618" s="55">
        <f t="shared" si="737"/>
        <v>0</v>
      </c>
      <c r="QTN1618" s="55">
        <f t="shared" si="737"/>
        <v>0</v>
      </c>
      <c r="QTO1618" s="55">
        <f t="shared" si="737"/>
        <v>0</v>
      </c>
      <c r="QTP1618" s="55">
        <f t="shared" si="737"/>
        <v>0</v>
      </c>
      <c r="QTQ1618" s="55">
        <f t="shared" si="737"/>
        <v>0</v>
      </c>
      <c r="QTR1618" s="55">
        <f t="shared" si="737"/>
        <v>0</v>
      </c>
      <c r="QTS1618" s="55">
        <f t="shared" si="737"/>
        <v>0</v>
      </c>
      <c r="QTT1618" s="55">
        <f t="shared" si="737"/>
        <v>0</v>
      </c>
      <c r="QTU1618" s="55">
        <f t="shared" si="737"/>
        <v>0</v>
      </c>
      <c r="QTV1618" s="55">
        <f t="shared" si="737"/>
        <v>0</v>
      </c>
      <c r="QTW1618" s="55">
        <f t="shared" si="737"/>
        <v>0</v>
      </c>
      <c r="QTX1618" s="55">
        <f t="shared" si="737"/>
        <v>0</v>
      </c>
      <c r="QTY1618" s="55">
        <f t="shared" si="737"/>
        <v>0</v>
      </c>
      <c r="QTZ1618" s="55">
        <f t="shared" si="737"/>
        <v>0</v>
      </c>
      <c r="QUA1618" s="55">
        <f t="shared" si="737"/>
        <v>0</v>
      </c>
      <c r="QUB1618" s="55">
        <f t="shared" si="737"/>
        <v>0</v>
      </c>
      <c r="QUC1618" s="55">
        <f t="shared" si="737"/>
        <v>0</v>
      </c>
      <c r="QUD1618" s="55">
        <f t="shared" si="737"/>
        <v>0</v>
      </c>
      <c r="QUE1618" s="55">
        <f t="shared" si="737"/>
        <v>0</v>
      </c>
      <c r="QUF1618" s="55">
        <f t="shared" ref="QUF1618:QWQ1618" si="738">+(QUF1627+QUF1608)*1.18*1.1</f>
        <v>0</v>
      </c>
      <c r="QUG1618" s="55">
        <f t="shared" si="738"/>
        <v>0</v>
      </c>
      <c r="QUH1618" s="55">
        <f t="shared" si="738"/>
        <v>0</v>
      </c>
      <c r="QUI1618" s="55">
        <f t="shared" si="738"/>
        <v>0</v>
      </c>
      <c r="QUJ1618" s="55">
        <f t="shared" si="738"/>
        <v>0</v>
      </c>
      <c r="QUK1618" s="55">
        <f t="shared" si="738"/>
        <v>0</v>
      </c>
      <c r="QUL1618" s="55">
        <f t="shared" si="738"/>
        <v>0</v>
      </c>
      <c r="QUM1618" s="55">
        <f t="shared" si="738"/>
        <v>0</v>
      </c>
      <c r="QUN1618" s="55">
        <f t="shared" si="738"/>
        <v>0</v>
      </c>
      <c r="QUO1618" s="55">
        <f t="shared" si="738"/>
        <v>0</v>
      </c>
      <c r="QUP1618" s="55">
        <f t="shared" si="738"/>
        <v>0</v>
      </c>
      <c r="QUQ1618" s="55">
        <f t="shared" si="738"/>
        <v>0</v>
      </c>
      <c r="QUR1618" s="55">
        <f t="shared" si="738"/>
        <v>0</v>
      </c>
      <c r="QUS1618" s="55">
        <f t="shared" si="738"/>
        <v>0</v>
      </c>
      <c r="QUT1618" s="55">
        <f t="shared" si="738"/>
        <v>0</v>
      </c>
      <c r="QUU1618" s="55">
        <f t="shared" si="738"/>
        <v>0</v>
      </c>
      <c r="QUV1618" s="55">
        <f t="shared" si="738"/>
        <v>0</v>
      </c>
      <c r="QUW1618" s="55">
        <f t="shared" si="738"/>
        <v>0</v>
      </c>
      <c r="QUX1618" s="55">
        <f t="shared" si="738"/>
        <v>0</v>
      </c>
      <c r="QUY1618" s="55">
        <f t="shared" si="738"/>
        <v>0</v>
      </c>
      <c r="QUZ1618" s="55">
        <f t="shared" si="738"/>
        <v>0</v>
      </c>
      <c r="QVA1618" s="55">
        <f t="shared" si="738"/>
        <v>0</v>
      </c>
      <c r="QVB1618" s="55">
        <f t="shared" si="738"/>
        <v>0</v>
      </c>
      <c r="QVC1618" s="55">
        <f t="shared" si="738"/>
        <v>0</v>
      </c>
      <c r="QVD1618" s="55">
        <f t="shared" si="738"/>
        <v>0</v>
      </c>
      <c r="QVE1618" s="55">
        <f t="shared" si="738"/>
        <v>0</v>
      </c>
      <c r="QVF1618" s="55">
        <f t="shared" si="738"/>
        <v>0</v>
      </c>
      <c r="QVG1618" s="55">
        <f t="shared" si="738"/>
        <v>0</v>
      </c>
      <c r="QVH1618" s="55">
        <f t="shared" si="738"/>
        <v>0</v>
      </c>
      <c r="QVI1618" s="55">
        <f t="shared" si="738"/>
        <v>0</v>
      </c>
      <c r="QVJ1618" s="55">
        <f t="shared" si="738"/>
        <v>0</v>
      </c>
      <c r="QVK1618" s="55">
        <f t="shared" si="738"/>
        <v>0</v>
      </c>
      <c r="QVL1618" s="55">
        <f t="shared" si="738"/>
        <v>0</v>
      </c>
      <c r="QVM1618" s="55">
        <f t="shared" si="738"/>
        <v>0</v>
      </c>
      <c r="QVN1618" s="55">
        <f t="shared" si="738"/>
        <v>0</v>
      </c>
      <c r="QVO1618" s="55">
        <f t="shared" si="738"/>
        <v>0</v>
      </c>
      <c r="QVP1618" s="55">
        <f t="shared" si="738"/>
        <v>0</v>
      </c>
      <c r="QVQ1618" s="55">
        <f t="shared" si="738"/>
        <v>0</v>
      </c>
      <c r="QVR1618" s="55">
        <f t="shared" si="738"/>
        <v>0</v>
      </c>
      <c r="QVS1618" s="55">
        <f t="shared" si="738"/>
        <v>0</v>
      </c>
      <c r="QVT1618" s="55">
        <f t="shared" si="738"/>
        <v>0</v>
      </c>
      <c r="QVU1618" s="55">
        <f t="shared" si="738"/>
        <v>0</v>
      </c>
      <c r="QVV1618" s="55">
        <f t="shared" si="738"/>
        <v>0</v>
      </c>
      <c r="QVW1618" s="55">
        <f t="shared" si="738"/>
        <v>0</v>
      </c>
      <c r="QVX1618" s="55">
        <f t="shared" si="738"/>
        <v>0</v>
      </c>
      <c r="QVY1618" s="55">
        <f t="shared" si="738"/>
        <v>0</v>
      </c>
      <c r="QVZ1618" s="55">
        <f t="shared" si="738"/>
        <v>0</v>
      </c>
      <c r="QWA1618" s="55">
        <f t="shared" si="738"/>
        <v>0</v>
      </c>
      <c r="QWB1618" s="55">
        <f t="shared" si="738"/>
        <v>0</v>
      </c>
      <c r="QWC1618" s="55">
        <f t="shared" si="738"/>
        <v>0</v>
      </c>
      <c r="QWD1618" s="55">
        <f t="shared" si="738"/>
        <v>0</v>
      </c>
      <c r="QWE1618" s="55">
        <f t="shared" si="738"/>
        <v>0</v>
      </c>
      <c r="QWF1618" s="55">
        <f t="shared" si="738"/>
        <v>0</v>
      </c>
      <c r="QWG1618" s="55">
        <f t="shared" si="738"/>
        <v>0</v>
      </c>
      <c r="QWH1618" s="55">
        <f t="shared" si="738"/>
        <v>0</v>
      </c>
      <c r="QWI1618" s="55">
        <f t="shared" si="738"/>
        <v>0</v>
      </c>
      <c r="QWJ1618" s="55">
        <f t="shared" si="738"/>
        <v>0</v>
      </c>
      <c r="QWK1618" s="55">
        <f t="shared" si="738"/>
        <v>0</v>
      </c>
      <c r="QWL1618" s="55">
        <f t="shared" si="738"/>
        <v>0</v>
      </c>
      <c r="QWM1618" s="55">
        <f t="shared" si="738"/>
        <v>0</v>
      </c>
      <c r="QWN1618" s="55">
        <f t="shared" si="738"/>
        <v>0</v>
      </c>
      <c r="QWO1618" s="55">
        <f t="shared" si="738"/>
        <v>0</v>
      </c>
      <c r="QWP1618" s="55">
        <f t="shared" si="738"/>
        <v>0</v>
      </c>
      <c r="QWQ1618" s="55">
        <f t="shared" si="738"/>
        <v>0</v>
      </c>
      <c r="QWR1618" s="55">
        <f t="shared" ref="QWR1618:QZC1618" si="739">+(QWR1627+QWR1608)*1.18*1.1</f>
        <v>0</v>
      </c>
      <c r="QWS1618" s="55">
        <f t="shared" si="739"/>
        <v>0</v>
      </c>
      <c r="QWT1618" s="55">
        <f t="shared" si="739"/>
        <v>0</v>
      </c>
      <c r="QWU1618" s="55">
        <f t="shared" si="739"/>
        <v>0</v>
      </c>
      <c r="QWV1618" s="55">
        <f t="shared" si="739"/>
        <v>0</v>
      </c>
      <c r="QWW1618" s="55">
        <f t="shared" si="739"/>
        <v>0</v>
      </c>
      <c r="QWX1618" s="55">
        <f t="shared" si="739"/>
        <v>0</v>
      </c>
      <c r="QWY1618" s="55">
        <f t="shared" si="739"/>
        <v>0</v>
      </c>
      <c r="QWZ1618" s="55">
        <f t="shared" si="739"/>
        <v>0</v>
      </c>
      <c r="QXA1618" s="55">
        <f t="shared" si="739"/>
        <v>0</v>
      </c>
      <c r="QXB1618" s="55">
        <f t="shared" si="739"/>
        <v>0</v>
      </c>
      <c r="QXC1618" s="55">
        <f t="shared" si="739"/>
        <v>0</v>
      </c>
      <c r="QXD1618" s="55">
        <f t="shared" si="739"/>
        <v>0</v>
      </c>
      <c r="QXE1618" s="55">
        <f t="shared" si="739"/>
        <v>0</v>
      </c>
      <c r="QXF1618" s="55">
        <f t="shared" si="739"/>
        <v>0</v>
      </c>
      <c r="QXG1618" s="55">
        <f t="shared" si="739"/>
        <v>0</v>
      </c>
      <c r="QXH1618" s="55">
        <f t="shared" si="739"/>
        <v>0</v>
      </c>
      <c r="QXI1618" s="55">
        <f t="shared" si="739"/>
        <v>0</v>
      </c>
      <c r="QXJ1618" s="55">
        <f t="shared" si="739"/>
        <v>0</v>
      </c>
      <c r="QXK1618" s="55">
        <f t="shared" si="739"/>
        <v>0</v>
      </c>
      <c r="QXL1618" s="55">
        <f t="shared" si="739"/>
        <v>0</v>
      </c>
      <c r="QXM1618" s="55">
        <f t="shared" si="739"/>
        <v>0</v>
      </c>
      <c r="QXN1618" s="55">
        <f t="shared" si="739"/>
        <v>0</v>
      </c>
      <c r="QXO1618" s="55">
        <f t="shared" si="739"/>
        <v>0</v>
      </c>
      <c r="QXP1618" s="55">
        <f t="shared" si="739"/>
        <v>0</v>
      </c>
      <c r="QXQ1618" s="55">
        <f t="shared" si="739"/>
        <v>0</v>
      </c>
      <c r="QXR1618" s="55">
        <f t="shared" si="739"/>
        <v>0</v>
      </c>
      <c r="QXS1618" s="55">
        <f t="shared" si="739"/>
        <v>0</v>
      </c>
      <c r="QXT1618" s="55">
        <f t="shared" si="739"/>
        <v>0</v>
      </c>
      <c r="QXU1618" s="55">
        <f t="shared" si="739"/>
        <v>0</v>
      </c>
      <c r="QXV1618" s="55">
        <f t="shared" si="739"/>
        <v>0</v>
      </c>
      <c r="QXW1618" s="55">
        <f t="shared" si="739"/>
        <v>0</v>
      </c>
      <c r="QXX1618" s="55">
        <f t="shared" si="739"/>
        <v>0</v>
      </c>
      <c r="QXY1618" s="55">
        <f t="shared" si="739"/>
        <v>0</v>
      </c>
      <c r="QXZ1618" s="55">
        <f t="shared" si="739"/>
        <v>0</v>
      </c>
      <c r="QYA1618" s="55">
        <f t="shared" si="739"/>
        <v>0</v>
      </c>
      <c r="QYB1618" s="55">
        <f t="shared" si="739"/>
        <v>0</v>
      </c>
      <c r="QYC1618" s="55">
        <f t="shared" si="739"/>
        <v>0</v>
      </c>
      <c r="QYD1618" s="55">
        <f t="shared" si="739"/>
        <v>0</v>
      </c>
      <c r="QYE1618" s="55">
        <f t="shared" si="739"/>
        <v>0</v>
      </c>
      <c r="QYF1618" s="55">
        <f t="shared" si="739"/>
        <v>0</v>
      </c>
      <c r="QYG1618" s="55">
        <f t="shared" si="739"/>
        <v>0</v>
      </c>
      <c r="QYH1618" s="55">
        <f t="shared" si="739"/>
        <v>0</v>
      </c>
      <c r="QYI1618" s="55">
        <f t="shared" si="739"/>
        <v>0</v>
      </c>
      <c r="QYJ1618" s="55">
        <f t="shared" si="739"/>
        <v>0</v>
      </c>
      <c r="QYK1618" s="55">
        <f t="shared" si="739"/>
        <v>0</v>
      </c>
      <c r="QYL1618" s="55">
        <f t="shared" si="739"/>
        <v>0</v>
      </c>
      <c r="QYM1618" s="55">
        <f t="shared" si="739"/>
        <v>0</v>
      </c>
      <c r="QYN1618" s="55">
        <f t="shared" si="739"/>
        <v>0</v>
      </c>
      <c r="QYO1618" s="55">
        <f t="shared" si="739"/>
        <v>0</v>
      </c>
      <c r="QYP1618" s="55">
        <f t="shared" si="739"/>
        <v>0</v>
      </c>
      <c r="QYQ1618" s="55">
        <f t="shared" si="739"/>
        <v>0</v>
      </c>
      <c r="QYR1618" s="55">
        <f t="shared" si="739"/>
        <v>0</v>
      </c>
      <c r="QYS1618" s="55">
        <f t="shared" si="739"/>
        <v>0</v>
      </c>
      <c r="QYT1618" s="55">
        <f t="shared" si="739"/>
        <v>0</v>
      </c>
      <c r="QYU1618" s="55">
        <f t="shared" si="739"/>
        <v>0</v>
      </c>
      <c r="QYV1618" s="55">
        <f t="shared" si="739"/>
        <v>0</v>
      </c>
      <c r="QYW1618" s="55">
        <f t="shared" si="739"/>
        <v>0</v>
      </c>
      <c r="QYX1618" s="55">
        <f t="shared" si="739"/>
        <v>0</v>
      </c>
      <c r="QYY1618" s="55">
        <f t="shared" si="739"/>
        <v>0</v>
      </c>
      <c r="QYZ1618" s="55">
        <f t="shared" si="739"/>
        <v>0</v>
      </c>
      <c r="QZA1618" s="55">
        <f t="shared" si="739"/>
        <v>0</v>
      </c>
      <c r="QZB1618" s="55">
        <f t="shared" si="739"/>
        <v>0</v>
      </c>
      <c r="QZC1618" s="55">
        <f t="shared" si="739"/>
        <v>0</v>
      </c>
      <c r="QZD1618" s="55">
        <f t="shared" ref="QZD1618:RBO1618" si="740">+(QZD1627+QZD1608)*1.18*1.1</f>
        <v>0</v>
      </c>
      <c r="QZE1618" s="55">
        <f t="shared" si="740"/>
        <v>0</v>
      </c>
      <c r="QZF1618" s="55">
        <f t="shared" si="740"/>
        <v>0</v>
      </c>
      <c r="QZG1618" s="55">
        <f t="shared" si="740"/>
        <v>0</v>
      </c>
      <c r="QZH1618" s="55">
        <f t="shared" si="740"/>
        <v>0</v>
      </c>
      <c r="QZI1618" s="55">
        <f t="shared" si="740"/>
        <v>0</v>
      </c>
      <c r="QZJ1618" s="55">
        <f t="shared" si="740"/>
        <v>0</v>
      </c>
      <c r="QZK1618" s="55">
        <f t="shared" si="740"/>
        <v>0</v>
      </c>
      <c r="QZL1618" s="55">
        <f t="shared" si="740"/>
        <v>0</v>
      </c>
      <c r="QZM1618" s="55">
        <f t="shared" si="740"/>
        <v>0</v>
      </c>
      <c r="QZN1618" s="55">
        <f t="shared" si="740"/>
        <v>0</v>
      </c>
      <c r="QZO1618" s="55">
        <f t="shared" si="740"/>
        <v>0</v>
      </c>
      <c r="QZP1618" s="55">
        <f t="shared" si="740"/>
        <v>0</v>
      </c>
      <c r="QZQ1618" s="55">
        <f t="shared" si="740"/>
        <v>0</v>
      </c>
      <c r="QZR1618" s="55">
        <f t="shared" si="740"/>
        <v>0</v>
      </c>
      <c r="QZS1618" s="55">
        <f t="shared" si="740"/>
        <v>0</v>
      </c>
      <c r="QZT1618" s="55">
        <f t="shared" si="740"/>
        <v>0</v>
      </c>
      <c r="QZU1618" s="55">
        <f t="shared" si="740"/>
        <v>0</v>
      </c>
      <c r="QZV1618" s="55">
        <f t="shared" si="740"/>
        <v>0</v>
      </c>
      <c r="QZW1618" s="55">
        <f t="shared" si="740"/>
        <v>0</v>
      </c>
      <c r="QZX1618" s="55">
        <f t="shared" si="740"/>
        <v>0</v>
      </c>
      <c r="QZY1618" s="55">
        <f t="shared" si="740"/>
        <v>0</v>
      </c>
      <c r="QZZ1618" s="55">
        <f t="shared" si="740"/>
        <v>0</v>
      </c>
      <c r="RAA1618" s="55">
        <f t="shared" si="740"/>
        <v>0</v>
      </c>
      <c r="RAB1618" s="55">
        <f t="shared" si="740"/>
        <v>0</v>
      </c>
      <c r="RAC1618" s="55">
        <f t="shared" si="740"/>
        <v>0</v>
      </c>
      <c r="RAD1618" s="55">
        <f t="shared" si="740"/>
        <v>0</v>
      </c>
      <c r="RAE1618" s="55">
        <f t="shared" si="740"/>
        <v>0</v>
      </c>
      <c r="RAF1618" s="55">
        <f t="shared" si="740"/>
        <v>0</v>
      </c>
      <c r="RAG1618" s="55">
        <f t="shared" si="740"/>
        <v>0</v>
      </c>
      <c r="RAH1618" s="55">
        <f t="shared" si="740"/>
        <v>0</v>
      </c>
      <c r="RAI1618" s="55">
        <f t="shared" si="740"/>
        <v>0</v>
      </c>
      <c r="RAJ1618" s="55">
        <f t="shared" si="740"/>
        <v>0</v>
      </c>
      <c r="RAK1618" s="55">
        <f t="shared" si="740"/>
        <v>0</v>
      </c>
      <c r="RAL1618" s="55">
        <f t="shared" si="740"/>
        <v>0</v>
      </c>
      <c r="RAM1618" s="55">
        <f t="shared" si="740"/>
        <v>0</v>
      </c>
      <c r="RAN1618" s="55">
        <f t="shared" si="740"/>
        <v>0</v>
      </c>
      <c r="RAO1618" s="55">
        <f t="shared" si="740"/>
        <v>0</v>
      </c>
      <c r="RAP1618" s="55">
        <f t="shared" si="740"/>
        <v>0</v>
      </c>
      <c r="RAQ1618" s="55">
        <f t="shared" si="740"/>
        <v>0</v>
      </c>
      <c r="RAR1618" s="55">
        <f t="shared" si="740"/>
        <v>0</v>
      </c>
      <c r="RAS1618" s="55">
        <f t="shared" si="740"/>
        <v>0</v>
      </c>
      <c r="RAT1618" s="55">
        <f t="shared" si="740"/>
        <v>0</v>
      </c>
      <c r="RAU1618" s="55">
        <f t="shared" si="740"/>
        <v>0</v>
      </c>
      <c r="RAV1618" s="55">
        <f t="shared" si="740"/>
        <v>0</v>
      </c>
      <c r="RAW1618" s="55">
        <f t="shared" si="740"/>
        <v>0</v>
      </c>
      <c r="RAX1618" s="55">
        <f t="shared" si="740"/>
        <v>0</v>
      </c>
      <c r="RAY1618" s="55">
        <f t="shared" si="740"/>
        <v>0</v>
      </c>
      <c r="RAZ1618" s="55">
        <f t="shared" si="740"/>
        <v>0</v>
      </c>
      <c r="RBA1618" s="55">
        <f t="shared" si="740"/>
        <v>0</v>
      </c>
      <c r="RBB1618" s="55">
        <f t="shared" si="740"/>
        <v>0</v>
      </c>
      <c r="RBC1618" s="55">
        <f t="shared" si="740"/>
        <v>0</v>
      </c>
      <c r="RBD1618" s="55">
        <f t="shared" si="740"/>
        <v>0</v>
      </c>
      <c r="RBE1618" s="55">
        <f t="shared" si="740"/>
        <v>0</v>
      </c>
      <c r="RBF1618" s="55">
        <f t="shared" si="740"/>
        <v>0</v>
      </c>
      <c r="RBG1618" s="55">
        <f t="shared" si="740"/>
        <v>0</v>
      </c>
      <c r="RBH1618" s="55">
        <f t="shared" si="740"/>
        <v>0</v>
      </c>
      <c r="RBI1618" s="55">
        <f t="shared" si="740"/>
        <v>0</v>
      </c>
      <c r="RBJ1618" s="55">
        <f t="shared" si="740"/>
        <v>0</v>
      </c>
      <c r="RBK1618" s="55">
        <f t="shared" si="740"/>
        <v>0</v>
      </c>
      <c r="RBL1618" s="55">
        <f t="shared" si="740"/>
        <v>0</v>
      </c>
      <c r="RBM1618" s="55">
        <f t="shared" si="740"/>
        <v>0</v>
      </c>
      <c r="RBN1618" s="55">
        <f t="shared" si="740"/>
        <v>0</v>
      </c>
      <c r="RBO1618" s="55">
        <f t="shared" si="740"/>
        <v>0</v>
      </c>
      <c r="RBP1618" s="55">
        <f t="shared" ref="RBP1618:REA1618" si="741">+(RBP1627+RBP1608)*1.18*1.1</f>
        <v>0</v>
      </c>
      <c r="RBQ1618" s="55">
        <f t="shared" si="741"/>
        <v>0</v>
      </c>
      <c r="RBR1618" s="55">
        <f t="shared" si="741"/>
        <v>0</v>
      </c>
      <c r="RBS1618" s="55">
        <f t="shared" si="741"/>
        <v>0</v>
      </c>
      <c r="RBT1618" s="55">
        <f t="shared" si="741"/>
        <v>0</v>
      </c>
      <c r="RBU1618" s="55">
        <f t="shared" si="741"/>
        <v>0</v>
      </c>
      <c r="RBV1618" s="55">
        <f t="shared" si="741"/>
        <v>0</v>
      </c>
      <c r="RBW1618" s="55">
        <f t="shared" si="741"/>
        <v>0</v>
      </c>
      <c r="RBX1618" s="55">
        <f t="shared" si="741"/>
        <v>0</v>
      </c>
      <c r="RBY1618" s="55">
        <f t="shared" si="741"/>
        <v>0</v>
      </c>
      <c r="RBZ1618" s="55">
        <f t="shared" si="741"/>
        <v>0</v>
      </c>
      <c r="RCA1618" s="55">
        <f t="shared" si="741"/>
        <v>0</v>
      </c>
      <c r="RCB1618" s="55">
        <f t="shared" si="741"/>
        <v>0</v>
      </c>
      <c r="RCC1618" s="55">
        <f t="shared" si="741"/>
        <v>0</v>
      </c>
      <c r="RCD1618" s="55">
        <f t="shared" si="741"/>
        <v>0</v>
      </c>
      <c r="RCE1618" s="55">
        <f t="shared" si="741"/>
        <v>0</v>
      </c>
      <c r="RCF1618" s="55">
        <f t="shared" si="741"/>
        <v>0</v>
      </c>
      <c r="RCG1618" s="55">
        <f t="shared" si="741"/>
        <v>0</v>
      </c>
      <c r="RCH1618" s="55">
        <f t="shared" si="741"/>
        <v>0</v>
      </c>
      <c r="RCI1618" s="55">
        <f t="shared" si="741"/>
        <v>0</v>
      </c>
      <c r="RCJ1618" s="55">
        <f t="shared" si="741"/>
        <v>0</v>
      </c>
      <c r="RCK1618" s="55">
        <f t="shared" si="741"/>
        <v>0</v>
      </c>
      <c r="RCL1618" s="55">
        <f t="shared" si="741"/>
        <v>0</v>
      </c>
      <c r="RCM1618" s="55">
        <f t="shared" si="741"/>
        <v>0</v>
      </c>
      <c r="RCN1618" s="55">
        <f t="shared" si="741"/>
        <v>0</v>
      </c>
      <c r="RCO1618" s="55">
        <f t="shared" si="741"/>
        <v>0</v>
      </c>
      <c r="RCP1618" s="55">
        <f t="shared" si="741"/>
        <v>0</v>
      </c>
      <c r="RCQ1618" s="55">
        <f t="shared" si="741"/>
        <v>0</v>
      </c>
      <c r="RCR1618" s="55">
        <f t="shared" si="741"/>
        <v>0</v>
      </c>
      <c r="RCS1618" s="55">
        <f t="shared" si="741"/>
        <v>0</v>
      </c>
      <c r="RCT1618" s="55">
        <f t="shared" si="741"/>
        <v>0</v>
      </c>
      <c r="RCU1618" s="55">
        <f t="shared" si="741"/>
        <v>0</v>
      </c>
      <c r="RCV1618" s="55">
        <f t="shared" si="741"/>
        <v>0</v>
      </c>
      <c r="RCW1618" s="55">
        <f t="shared" si="741"/>
        <v>0</v>
      </c>
      <c r="RCX1618" s="55">
        <f t="shared" si="741"/>
        <v>0</v>
      </c>
      <c r="RCY1618" s="55">
        <f t="shared" si="741"/>
        <v>0</v>
      </c>
      <c r="RCZ1618" s="55">
        <f t="shared" si="741"/>
        <v>0</v>
      </c>
      <c r="RDA1618" s="55">
        <f t="shared" si="741"/>
        <v>0</v>
      </c>
      <c r="RDB1618" s="55">
        <f t="shared" si="741"/>
        <v>0</v>
      </c>
      <c r="RDC1618" s="55">
        <f t="shared" si="741"/>
        <v>0</v>
      </c>
      <c r="RDD1618" s="55">
        <f t="shared" si="741"/>
        <v>0</v>
      </c>
      <c r="RDE1618" s="55">
        <f t="shared" si="741"/>
        <v>0</v>
      </c>
      <c r="RDF1618" s="55">
        <f t="shared" si="741"/>
        <v>0</v>
      </c>
      <c r="RDG1618" s="55">
        <f t="shared" si="741"/>
        <v>0</v>
      </c>
      <c r="RDH1618" s="55">
        <f t="shared" si="741"/>
        <v>0</v>
      </c>
      <c r="RDI1618" s="55">
        <f t="shared" si="741"/>
        <v>0</v>
      </c>
      <c r="RDJ1618" s="55">
        <f t="shared" si="741"/>
        <v>0</v>
      </c>
      <c r="RDK1618" s="55">
        <f t="shared" si="741"/>
        <v>0</v>
      </c>
      <c r="RDL1618" s="55">
        <f t="shared" si="741"/>
        <v>0</v>
      </c>
      <c r="RDM1618" s="55">
        <f t="shared" si="741"/>
        <v>0</v>
      </c>
      <c r="RDN1618" s="55">
        <f t="shared" si="741"/>
        <v>0</v>
      </c>
      <c r="RDO1618" s="55">
        <f t="shared" si="741"/>
        <v>0</v>
      </c>
      <c r="RDP1618" s="55">
        <f t="shared" si="741"/>
        <v>0</v>
      </c>
      <c r="RDQ1618" s="55">
        <f t="shared" si="741"/>
        <v>0</v>
      </c>
      <c r="RDR1618" s="55">
        <f t="shared" si="741"/>
        <v>0</v>
      </c>
      <c r="RDS1618" s="55">
        <f t="shared" si="741"/>
        <v>0</v>
      </c>
      <c r="RDT1618" s="55">
        <f t="shared" si="741"/>
        <v>0</v>
      </c>
      <c r="RDU1618" s="55">
        <f t="shared" si="741"/>
        <v>0</v>
      </c>
      <c r="RDV1618" s="55">
        <f t="shared" si="741"/>
        <v>0</v>
      </c>
      <c r="RDW1618" s="55">
        <f t="shared" si="741"/>
        <v>0</v>
      </c>
      <c r="RDX1618" s="55">
        <f t="shared" si="741"/>
        <v>0</v>
      </c>
      <c r="RDY1618" s="55">
        <f t="shared" si="741"/>
        <v>0</v>
      </c>
      <c r="RDZ1618" s="55">
        <f t="shared" si="741"/>
        <v>0</v>
      </c>
      <c r="REA1618" s="55">
        <f t="shared" si="741"/>
        <v>0</v>
      </c>
      <c r="REB1618" s="55">
        <f t="shared" ref="REB1618:RGM1618" si="742">+(REB1627+REB1608)*1.18*1.1</f>
        <v>0</v>
      </c>
      <c r="REC1618" s="55">
        <f t="shared" si="742"/>
        <v>0</v>
      </c>
      <c r="RED1618" s="55">
        <f t="shared" si="742"/>
        <v>0</v>
      </c>
      <c r="REE1618" s="55">
        <f t="shared" si="742"/>
        <v>0</v>
      </c>
      <c r="REF1618" s="55">
        <f t="shared" si="742"/>
        <v>0</v>
      </c>
      <c r="REG1618" s="55">
        <f t="shared" si="742"/>
        <v>0</v>
      </c>
      <c r="REH1618" s="55">
        <f t="shared" si="742"/>
        <v>0</v>
      </c>
      <c r="REI1618" s="55">
        <f t="shared" si="742"/>
        <v>0</v>
      </c>
      <c r="REJ1618" s="55">
        <f t="shared" si="742"/>
        <v>0</v>
      </c>
      <c r="REK1618" s="55">
        <f t="shared" si="742"/>
        <v>0</v>
      </c>
      <c r="REL1618" s="55">
        <f t="shared" si="742"/>
        <v>0</v>
      </c>
      <c r="REM1618" s="55">
        <f t="shared" si="742"/>
        <v>0</v>
      </c>
      <c r="REN1618" s="55">
        <f t="shared" si="742"/>
        <v>0</v>
      </c>
      <c r="REO1618" s="55">
        <f t="shared" si="742"/>
        <v>0</v>
      </c>
      <c r="REP1618" s="55">
        <f t="shared" si="742"/>
        <v>0</v>
      </c>
      <c r="REQ1618" s="55">
        <f t="shared" si="742"/>
        <v>0</v>
      </c>
      <c r="RER1618" s="55">
        <f t="shared" si="742"/>
        <v>0</v>
      </c>
      <c r="RES1618" s="55">
        <f t="shared" si="742"/>
        <v>0</v>
      </c>
      <c r="RET1618" s="55">
        <f t="shared" si="742"/>
        <v>0</v>
      </c>
      <c r="REU1618" s="55">
        <f t="shared" si="742"/>
        <v>0</v>
      </c>
      <c r="REV1618" s="55">
        <f t="shared" si="742"/>
        <v>0</v>
      </c>
      <c r="REW1618" s="55">
        <f t="shared" si="742"/>
        <v>0</v>
      </c>
      <c r="REX1618" s="55">
        <f t="shared" si="742"/>
        <v>0</v>
      </c>
      <c r="REY1618" s="55">
        <f t="shared" si="742"/>
        <v>0</v>
      </c>
      <c r="REZ1618" s="55">
        <f t="shared" si="742"/>
        <v>0</v>
      </c>
      <c r="RFA1618" s="55">
        <f t="shared" si="742"/>
        <v>0</v>
      </c>
      <c r="RFB1618" s="55">
        <f t="shared" si="742"/>
        <v>0</v>
      </c>
      <c r="RFC1618" s="55">
        <f t="shared" si="742"/>
        <v>0</v>
      </c>
      <c r="RFD1618" s="55">
        <f t="shared" si="742"/>
        <v>0</v>
      </c>
      <c r="RFE1618" s="55">
        <f t="shared" si="742"/>
        <v>0</v>
      </c>
      <c r="RFF1618" s="55">
        <f t="shared" si="742"/>
        <v>0</v>
      </c>
      <c r="RFG1618" s="55">
        <f t="shared" si="742"/>
        <v>0</v>
      </c>
      <c r="RFH1618" s="55">
        <f t="shared" si="742"/>
        <v>0</v>
      </c>
      <c r="RFI1618" s="55">
        <f t="shared" si="742"/>
        <v>0</v>
      </c>
      <c r="RFJ1618" s="55">
        <f t="shared" si="742"/>
        <v>0</v>
      </c>
      <c r="RFK1618" s="55">
        <f t="shared" si="742"/>
        <v>0</v>
      </c>
      <c r="RFL1618" s="55">
        <f t="shared" si="742"/>
        <v>0</v>
      </c>
      <c r="RFM1618" s="55">
        <f t="shared" si="742"/>
        <v>0</v>
      </c>
      <c r="RFN1618" s="55">
        <f t="shared" si="742"/>
        <v>0</v>
      </c>
      <c r="RFO1618" s="55">
        <f t="shared" si="742"/>
        <v>0</v>
      </c>
      <c r="RFP1618" s="55">
        <f t="shared" si="742"/>
        <v>0</v>
      </c>
      <c r="RFQ1618" s="55">
        <f t="shared" si="742"/>
        <v>0</v>
      </c>
      <c r="RFR1618" s="55">
        <f t="shared" si="742"/>
        <v>0</v>
      </c>
      <c r="RFS1618" s="55">
        <f t="shared" si="742"/>
        <v>0</v>
      </c>
      <c r="RFT1618" s="55">
        <f t="shared" si="742"/>
        <v>0</v>
      </c>
      <c r="RFU1618" s="55">
        <f t="shared" si="742"/>
        <v>0</v>
      </c>
      <c r="RFV1618" s="55">
        <f t="shared" si="742"/>
        <v>0</v>
      </c>
      <c r="RFW1618" s="55">
        <f t="shared" si="742"/>
        <v>0</v>
      </c>
      <c r="RFX1618" s="55">
        <f t="shared" si="742"/>
        <v>0</v>
      </c>
      <c r="RFY1618" s="55">
        <f t="shared" si="742"/>
        <v>0</v>
      </c>
      <c r="RFZ1618" s="55">
        <f t="shared" si="742"/>
        <v>0</v>
      </c>
      <c r="RGA1618" s="55">
        <f t="shared" si="742"/>
        <v>0</v>
      </c>
      <c r="RGB1618" s="55">
        <f t="shared" si="742"/>
        <v>0</v>
      </c>
      <c r="RGC1618" s="55">
        <f t="shared" si="742"/>
        <v>0</v>
      </c>
      <c r="RGD1618" s="55">
        <f t="shared" si="742"/>
        <v>0</v>
      </c>
      <c r="RGE1618" s="55">
        <f t="shared" si="742"/>
        <v>0</v>
      </c>
      <c r="RGF1618" s="55">
        <f t="shared" si="742"/>
        <v>0</v>
      </c>
      <c r="RGG1618" s="55">
        <f t="shared" si="742"/>
        <v>0</v>
      </c>
      <c r="RGH1618" s="55">
        <f t="shared" si="742"/>
        <v>0</v>
      </c>
      <c r="RGI1618" s="55">
        <f t="shared" si="742"/>
        <v>0</v>
      </c>
      <c r="RGJ1618" s="55">
        <f t="shared" si="742"/>
        <v>0</v>
      </c>
      <c r="RGK1618" s="55">
        <f t="shared" si="742"/>
        <v>0</v>
      </c>
      <c r="RGL1618" s="55">
        <f t="shared" si="742"/>
        <v>0</v>
      </c>
      <c r="RGM1618" s="55">
        <f t="shared" si="742"/>
        <v>0</v>
      </c>
      <c r="RGN1618" s="55">
        <f t="shared" ref="RGN1618:RIY1618" si="743">+(RGN1627+RGN1608)*1.18*1.1</f>
        <v>0</v>
      </c>
      <c r="RGO1618" s="55">
        <f t="shared" si="743"/>
        <v>0</v>
      </c>
      <c r="RGP1618" s="55">
        <f t="shared" si="743"/>
        <v>0</v>
      </c>
      <c r="RGQ1618" s="55">
        <f t="shared" si="743"/>
        <v>0</v>
      </c>
      <c r="RGR1618" s="55">
        <f t="shared" si="743"/>
        <v>0</v>
      </c>
      <c r="RGS1618" s="55">
        <f t="shared" si="743"/>
        <v>0</v>
      </c>
      <c r="RGT1618" s="55">
        <f t="shared" si="743"/>
        <v>0</v>
      </c>
      <c r="RGU1618" s="55">
        <f t="shared" si="743"/>
        <v>0</v>
      </c>
      <c r="RGV1618" s="55">
        <f t="shared" si="743"/>
        <v>0</v>
      </c>
      <c r="RGW1618" s="55">
        <f t="shared" si="743"/>
        <v>0</v>
      </c>
      <c r="RGX1618" s="55">
        <f t="shared" si="743"/>
        <v>0</v>
      </c>
      <c r="RGY1618" s="55">
        <f t="shared" si="743"/>
        <v>0</v>
      </c>
      <c r="RGZ1618" s="55">
        <f t="shared" si="743"/>
        <v>0</v>
      </c>
      <c r="RHA1618" s="55">
        <f t="shared" si="743"/>
        <v>0</v>
      </c>
      <c r="RHB1618" s="55">
        <f t="shared" si="743"/>
        <v>0</v>
      </c>
      <c r="RHC1618" s="55">
        <f t="shared" si="743"/>
        <v>0</v>
      </c>
      <c r="RHD1618" s="55">
        <f t="shared" si="743"/>
        <v>0</v>
      </c>
      <c r="RHE1618" s="55">
        <f t="shared" si="743"/>
        <v>0</v>
      </c>
      <c r="RHF1618" s="55">
        <f t="shared" si="743"/>
        <v>0</v>
      </c>
      <c r="RHG1618" s="55">
        <f t="shared" si="743"/>
        <v>0</v>
      </c>
      <c r="RHH1618" s="55">
        <f t="shared" si="743"/>
        <v>0</v>
      </c>
      <c r="RHI1618" s="55">
        <f t="shared" si="743"/>
        <v>0</v>
      </c>
      <c r="RHJ1618" s="55">
        <f t="shared" si="743"/>
        <v>0</v>
      </c>
      <c r="RHK1618" s="55">
        <f t="shared" si="743"/>
        <v>0</v>
      </c>
      <c r="RHL1618" s="55">
        <f t="shared" si="743"/>
        <v>0</v>
      </c>
      <c r="RHM1618" s="55">
        <f t="shared" si="743"/>
        <v>0</v>
      </c>
      <c r="RHN1618" s="55">
        <f t="shared" si="743"/>
        <v>0</v>
      </c>
      <c r="RHO1618" s="55">
        <f t="shared" si="743"/>
        <v>0</v>
      </c>
      <c r="RHP1618" s="55">
        <f t="shared" si="743"/>
        <v>0</v>
      </c>
      <c r="RHQ1618" s="55">
        <f t="shared" si="743"/>
        <v>0</v>
      </c>
      <c r="RHR1618" s="55">
        <f t="shared" si="743"/>
        <v>0</v>
      </c>
      <c r="RHS1618" s="55">
        <f t="shared" si="743"/>
        <v>0</v>
      </c>
      <c r="RHT1618" s="55">
        <f t="shared" si="743"/>
        <v>0</v>
      </c>
      <c r="RHU1618" s="55">
        <f t="shared" si="743"/>
        <v>0</v>
      </c>
      <c r="RHV1618" s="55">
        <f t="shared" si="743"/>
        <v>0</v>
      </c>
      <c r="RHW1618" s="55">
        <f t="shared" si="743"/>
        <v>0</v>
      </c>
      <c r="RHX1618" s="55">
        <f t="shared" si="743"/>
        <v>0</v>
      </c>
      <c r="RHY1618" s="55">
        <f t="shared" si="743"/>
        <v>0</v>
      </c>
      <c r="RHZ1618" s="55">
        <f t="shared" si="743"/>
        <v>0</v>
      </c>
      <c r="RIA1618" s="55">
        <f t="shared" si="743"/>
        <v>0</v>
      </c>
      <c r="RIB1618" s="55">
        <f t="shared" si="743"/>
        <v>0</v>
      </c>
      <c r="RIC1618" s="55">
        <f t="shared" si="743"/>
        <v>0</v>
      </c>
      <c r="RID1618" s="55">
        <f t="shared" si="743"/>
        <v>0</v>
      </c>
      <c r="RIE1618" s="55">
        <f t="shared" si="743"/>
        <v>0</v>
      </c>
      <c r="RIF1618" s="55">
        <f t="shared" si="743"/>
        <v>0</v>
      </c>
      <c r="RIG1618" s="55">
        <f t="shared" si="743"/>
        <v>0</v>
      </c>
      <c r="RIH1618" s="55">
        <f t="shared" si="743"/>
        <v>0</v>
      </c>
      <c r="RII1618" s="55">
        <f t="shared" si="743"/>
        <v>0</v>
      </c>
      <c r="RIJ1618" s="55">
        <f t="shared" si="743"/>
        <v>0</v>
      </c>
      <c r="RIK1618" s="55">
        <f t="shared" si="743"/>
        <v>0</v>
      </c>
      <c r="RIL1618" s="55">
        <f t="shared" si="743"/>
        <v>0</v>
      </c>
      <c r="RIM1618" s="55">
        <f t="shared" si="743"/>
        <v>0</v>
      </c>
      <c r="RIN1618" s="55">
        <f t="shared" si="743"/>
        <v>0</v>
      </c>
      <c r="RIO1618" s="55">
        <f t="shared" si="743"/>
        <v>0</v>
      </c>
      <c r="RIP1618" s="55">
        <f t="shared" si="743"/>
        <v>0</v>
      </c>
      <c r="RIQ1618" s="55">
        <f t="shared" si="743"/>
        <v>0</v>
      </c>
      <c r="RIR1618" s="55">
        <f t="shared" si="743"/>
        <v>0</v>
      </c>
      <c r="RIS1618" s="55">
        <f t="shared" si="743"/>
        <v>0</v>
      </c>
      <c r="RIT1618" s="55">
        <f t="shared" si="743"/>
        <v>0</v>
      </c>
      <c r="RIU1618" s="55">
        <f t="shared" si="743"/>
        <v>0</v>
      </c>
      <c r="RIV1618" s="55">
        <f t="shared" si="743"/>
        <v>0</v>
      </c>
      <c r="RIW1618" s="55">
        <f t="shared" si="743"/>
        <v>0</v>
      </c>
      <c r="RIX1618" s="55">
        <f t="shared" si="743"/>
        <v>0</v>
      </c>
      <c r="RIY1618" s="55">
        <f t="shared" si="743"/>
        <v>0</v>
      </c>
      <c r="RIZ1618" s="55">
        <f t="shared" ref="RIZ1618:RLK1618" si="744">+(RIZ1627+RIZ1608)*1.18*1.1</f>
        <v>0</v>
      </c>
      <c r="RJA1618" s="55">
        <f t="shared" si="744"/>
        <v>0</v>
      </c>
      <c r="RJB1618" s="55">
        <f t="shared" si="744"/>
        <v>0</v>
      </c>
      <c r="RJC1618" s="55">
        <f t="shared" si="744"/>
        <v>0</v>
      </c>
      <c r="RJD1618" s="55">
        <f t="shared" si="744"/>
        <v>0</v>
      </c>
      <c r="RJE1618" s="55">
        <f t="shared" si="744"/>
        <v>0</v>
      </c>
      <c r="RJF1618" s="55">
        <f t="shared" si="744"/>
        <v>0</v>
      </c>
      <c r="RJG1618" s="55">
        <f t="shared" si="744"/>
        <v>0</v>
      </c>
      <c r="RJH1618" s="55">
        <f t="shared" si="744"/>
        <v>0</v>
      </c>
      <c r="RJI1618" s="55">
        <f t="shared" si="744"/>
        <v>0</v>
      </c>
      <c r="RJJ1618" s="55">
        <f t="shared" si="744"/>
        <v>0</v>
      </c>
      <c r="RJK1618" s="55">
        <f t="shared" si="744"/>
        <v>0</v>
      </c>
      <c r="RJL1618" s="55">
        <f t="shared" si="744"/>
        <v>0</v>
      </c>
      <c r="RJM1618" s="55">
        <f t="shared" si="744"/>
        <v>0</v>
      </c>
      <c r="RJN1618" s="55">
        <f t="shared" si="744"/>
        <v>0</v>
      </c>
      <c r="RJO1618" s="55">
        <f t="shared" si="744"/>
        <v>0</v>
      </c>
      <c r="RJP1618" s="55">
        <f t="shared" si="744"/>
        <v>0</v>
      </c>
      <c r="RJQ1618" s="55">
        <f t="shared" si="744"/>
        <v>0</v>
      </c>
      <c r="RJR1618" s="55">
        <f t="shared" si="744"/>
        <v>0</v>
      </c>
      <c r="RJS1618" s="55">
        <f t="shared" si="744"/>
        <v>0</v>
      </c>
      <c r="RJT1618" s="55">
        <f t="shared" si="744"/>
        <v>0</v>
      </c>
      <c r="RJU1618" s="55">
        <f t="shared" si="744"/>
        <v>0</v>
      </c>
      <c r="RJV1618" s="55">
        <f t="shared" si="744"/>
        <v>0</v>
      </c>
      <c r="RJW1618" s="55">
        <f t="shared" si="744"/>
        <v>0</v>
      </c>
      <c r="RJX1618" s="55">
        <f t="shared" si="744"/>
        <v>0</v>
      </c>
      <c r="RJY1618" s="55">
        <f t="shared" si="744"/>
        <v>0</v>
      </c>
      <c r="RJZ1618" s="55">
        <f t="shared" si="744"/>
        <v>0</v>
      </c>
      <c r="RKA1618" s="55">
        <f t="shared" si="744"/>
        <v>0</v>
      </c>
      <c r="RKB1618" s="55">
        <f t="shared" si="744"/>
        <v>0</v>
      </c>
      <c r="RKC1618" s="55">
        <f t="shared" si="744"/>
        <v>0</v>
      </c>
      <c r="RKD1618" s="55">
        <f t="shared" si="744"/>
        <v>0</v>
      </c>
      <c r="RKE1618" s="55">
        <f t="shared" si="744"/>
        <v>0</v>
      </c>
      <c r="RKF1618" s="55">
        <f t="shared" si="744"/>
        <v>0</v>
      </c>
      <c r="RKG1618" s="55">
        <f t="shared" si="744"/>
        <v>0</v>
      </c>
      <c r="RKH1618" s="55">
        <f t="shared" si="744"/>
        <v>0</v>
      </c>
      <c r="RKI1618" s="55">
        <f t="shared" si="744"/>
        <v>0</v>
      </c>
      <c r="RKJ1618" s="55">
        <f t="shared" si="744"/>
        <v>0</v>
      </c>
      <c r="RKK1618" s="55">
        <f t="shared" si="744"/>
        <v>0</v>
      </c>
      <c r="RKL1618" s="55">
        <f t="shared" si="744"/>
        <v>0</v>
      </c>
      <c r="RKM1618" s="55">
        <f t="shared" si="744"/>
        <v>0</v>
      </c>
      <c r="RKN1618" s="55">
        <f t="shared" si="744"/>
        <v>0</v>
      </c>
      <c r="RKO1618" s="55">
        <f t="shared" si="744"/>
        <v>0</v>
      </c>
      <c r="RKP1618" s="55">
        <f t="shared" si="744"/>
        <v>0</v>
      </c>
      <c r="RKQ1618" s="55">
        <f t="shared" si="744"/>
        <v>0</v>
      </c>
      <c r="RKR1618" s="55">
        <f t="shared" si="744"/>
        <v>0</v>
      </c>
      <c r="RKS1618" s="55">
        <f t="shared" si="744"/>
        <v>0</v>
      </c>
      <c r="RKT1618" s="55">
        <f t="shared" si="744"/>
        <v>0</v>
      </c>
      <c r="RKU1618" s="55">
        <f t="shared" si="744"/>
        <v>0</v>
      </c>
      <c r="RKV1618" s="55">
        <f t="shared" si="744"/>
        <v>0</v>
      </c>
      <c r="RKW1618" s="55">
        <f t="shared" si="744"/>
        <v>0</v>
      </c>
      <c r="RKX1618" s="55">
        <f t="shared" si="744"/>
        <v>0</v>
      </c>
      <c r="RKY1618" s="55">
        <f t="shared" si="744"/>
        <v>0</v>
      </c>
      <c r="RKZ1618" s="55">
        <f t="shared" si="744"/>
        <v>0</v>
      </c>
      <c r="RLA1618" s="55">
        <f t="shared" si="744"/>
        <v>0</v>
      </c>
      <c r="RLB1618" s="55">
        <f t="shared" si="744"/>
        <v>0</v>
      </c>
      <c r="RLC1618" s="55">
        <f t="shared" si="744"/>
        <v>0</v>
      </c>
      <c r="RLD1618" s="55">
        <f t="shared" si="744"/>
        <v>0</v>
      </c>
      <c r="RLE1618" s="55">
        <f t="shared" si="744"/>
        <v>0</v>
      </c>
      <c r="RLF1618" s="55">
        <f t="shared" si="744"/>
        <v>0</v>
      </c>
      <c r="RLG1618" s="55">
        <f t="shared" si="744"/>
        <v>0</v>
      </c>
      <c r="RLH1618" s="55">
        <f t="shared" si="744"/>
        <v>0</v>
      </c>
      <c r="RLI1618" s="55">
        <f t="shared" si="744"/>
        <v>0</v>
      </c>
      <c r="RLJ1618" s="55">
        <f t="shared" si="744"/>
        <v>0</v>
      </c>
      <c r="RLK1618" s="55">
        <f t="shared" si="744"/>
        <v>0</v>
      </c>
      <c r="RLL1618" s="55">
        <f t="shared" ref="RLL1618:RNW1618" si="745">+(RLL1627+RLL1608)*1.18*1.1</f>
        <v>0</v>
      </c>
      <c r="RLM1618" s="55">
        <f t="shared" si="745"/>
        <v>0</v>
      </c>
      <c r="RLN1618" s="55">
        <f t="shared" si="745"/>
        <v>0</v>
      </c>
      <c r="RLO1618" s="55">
        <f t="shared" si="745"/>
        <v>0</v>
      </c>
      <c r="RLP1618" s="55">
        <f t="shared" si="745"/>
        <v>0</v>
      </c>
      <c r="RLQ1618" s="55">
        <f t="shared" si="745"/>
        <v>0</v>
      </c>
      <c r="RLR1618" s="55">
        <f t="shared" si="745"/>
        <v>0</v>
      </c>
      <c r="RLS1618" s="55">
        <f t="shared" si="745"/>
        <v>0</v>
      </c>
      <c r="RLT1618" s="55">
        <f t="shared" si="745"/>
        <v>0</v>
      </c>
      <c r="RLU1618" s="55">
        <f t="shared" si="745"/>
        <v>0</v>
      </c>
      <c r="RLV1618" s="55">
        <f t="shared" si="745"/>
        <v>0</v>
      </c>
      <c r="RLW1618" s="55">
        <f t="shared" si="745"/>
        <v>0</v>
      </c>
      <c r="RLX1618" s="55">
        <f t="shared" si="745"/>
        <v>0</v>
      </c>
      <c r="RLY1618" s="55">
        <f t="shared" si="745"/>
        <v>0</v>
      </c>
      <c r="RLZ1618" s="55">
        <f t="shared" si="745"/>
        <v>0</v>
      </c>
      <c r="RMA1618" s="55">
        <f t="shared" si="745"/>
        <v>0</v>
      </c>
      <c r="RMB1618" s="55">
        <f t="shared" si="745"/>
        <v>0</v>
      </c>
      <c r="RMC1618" s="55">
        <f t="shared" si="745"/>
        <v>0</v>
      </c>
      <c r="RMD1618" s="55">
        <f t="shared" si="745"/>
        <v>0</v>
      </c>
      <c r="RME1618" s="55">
        <f t="shared" si="745"/>
        <v>0</v>
      </c>
      <c r="RMF1618" s="55">
        <f t="shared" si="745"/>
        <v>0</v>
      </c>
      <c r="RMG1618" s="55">
        <f t="shared" si="745"/>
        <v>0</v>
      </c>
      <c r="RMH1618" s="55">
        <f t="shared" si="745"/>
        <v>0</v>
      </c>
      <c r="RMI1618" s="55">
        <f t="shared" si="745"/>
        <v>0</v>
      </c>
      <c r="RMJ1618" s="55">
        <f t="shared" si="745"/>
        <v>0</v>
      </c>
      <c r="RMK1618" s="55">
        <f t="shared" si="745"/>
        <v>0</v>
      </c>
      <c r="RML1618" s="55">
        <f t="shared" si="745"/>
        <v>0</v>
      </c>
      <c r="RMM1618" s="55">
        <f t="shared" si="745"/>
        <v>0</v>
      </c>
      <c r="RMN1618" s="55">
        <f t="shared" si="745"/>
        <v>0</v>
      </c>
      <c r="RMO1618" s="55">
        <f t="shared" si="745"/>
        <v>0</v>
      </c>
      <c r="RMP1618" s="55">
        <f t="shared" si="745"/>
        <v>0</v>
      </c>
      <c r="RMQ1618" s="55">
        <f t="shared" si="745"/>
        <v>0</v>
      </c>
      <c r="RMR1618" s="55">
        <f t="shared" si="745"/>
        <v>0</v>
      </c>
      <c r="RMS1618" s="55">
        <f t="shared" si="745"/>
        <v>0</v>
      </c>
      <c r="RMT1618" s="55">
        <f t="shared" si="745"/>
        <v>0</v>
      </c>
      <c r="RMU1618" s="55">
        <f t="shared" si="745"/>
        <v>0</v>
      </c>
      <c r="RMV1618" s="55">
        <f t="shared" si="745"/>
        <v>0</v>
      </c>
      <c r="RMW1618" s="55">
        <f t="shared" si="745"/>
        <v>0</v>
      </c>
      <c r="RMX1618" s="55">
        <f t="shared" si="745"/>
        <v>0</v>
      </c>
      <c r="RMY1618" s="55">
        <f t="shared" si="745"/>
        <v>0</v>
      </c>
      <c r="RMZ1618" s="55">
        <f t="shared" si="745"/>
        <v>0</v>
      </c>
      <c r="RNA1618" s="55">
        <f t="shared" si="745"/>
        <v>0</v>
      </c>
      <c r="RNB1618" s="55">
        <f t="shared" si="745"/>
        <v>0</v>
      </c>
      <c r="RNC1618" s="55">
        <f t="shared" si="745"/>
        <v>0</v>
      </c>
      <c r="RND1618" s="55">
        <f t="shared" si="745"/>
        <v>0</v>
      </c>
      <c r="RNE1618" s="55">
        <f t="shared" si="745"/>
        <v>0</v>
      </c>
      <c r="RNF1618" s="55">
        <f t="shared" si="745"/>
        <v>0</v>
      </c>
      <c r="RNG1618" s="55">
        <f t="shared" si="745"/>
        <v>0</v>
      </c>
      <c r="RNH1618" s="55">
        <f t="shared" si="745"/>
        <v>0</v>
      </c>
      <c r="RNI1618" s="55">
        <f t="shared" si="745"/>
        <v>0</v>
      </c>
      <c r="RNJ1618" s="55">
        <f t="shared" si="745"/>
        <v>0</v>
      </c>
      <c r="RNK1618" s="55">
        <f t="shared" si="745"/>
        <v>0</v>
      </c>
      <c r="RNL1618" s="55">
        <f t="shared" si="745"/>
        <v>0</v>
      </c>
      <c r="RNM1618" s="55">
        <f t="shared" si="745"/>
        <v>0</v>
      </c>
      <c r="RNN1618" s="55">
        <f t="shared" si="745"/>
        <v>0</v>
      </c>
      <c r="RNO1618" s="55">
        <f t="shared" si="745"/>
        <v>0</v>
      </c>
      <c r="RNP1618" s="55">
        <f t="shared" si="745"/>
        <v>0</v>
      </c>
      <c r="RNQ1618" s="55">
        <f t="shared" si="745"/>
        <v>0</v>
      </c>
      <c r="RNR1618" s="55">
        <f t="shared" si="745"/>
        <v>0</v>
      </c>
      <c r="RNS1618" s="55">
        <f t="shared" si="745"/>
        <v>0</v>
      </c>
      <c r="RNT1618" s="55">
        <f t="shared" si="745"/>
        <v>0</v>
      </c>
      <c r="RNU1618" s="55">
        <f t="shared" si="745"/>
        <v>0</v>
      </c>
      <c r="RNV1618" s="55">
        <f t="shared" si="745"/>
        <v>0</v>
      </c>
      <c r="RNW1618" s="55">
        <f t="shared" si="745"/>
        <v>0</v>
      </c>
      <c r="RNX1618" s="55">
        <f t="shared" ref="RNX1618:RQI1618" si="746">+(RNX1627+RNX1608)*1.18*1.1</f>
        <v>0</v>
      </c>
      <c r="RNY1618" s="55">
        <f t="shared" si="746"/>
        <v>0</v>
      </c>
      <c r="RNZ1618" s="55">
        <f t="shared" si="746"/>
        <v>0</v>
      </c>
      <c r="ROA1618" s="55">
        <f t="shared" si="746"/>
        <v>0</v>
      </c>
      <c r="ROB1618" s="55">
        <f t="shared" si="746"/>
        <v>0</v>
      </c>
      <c r="ROC1618" s="55">
        <f t="shared" si="746"/>
        <v>0</v>
      </c>
      <c r="ROD1618" s="55">
        <f t="shared" si="746"/>
        <v>0</v>
      </c>
      <c r="ROE1618" s="55">
        <f t="shared" si="746"/>
        <v>0</v>
      </c>
      <c r="ROF1618" s="55">
        <f t="shared" si="746"/>
        <v>0</v>
      </c>
      <c r="ROG1618" s="55">
        <f t="shared" si="746"/>
        <v>0</v>
      </c>
      <c r="ROH1618" s="55">
        <f t="shared" si="746"/>
        <v>0</v>
      </c>
      <c r="ROI1618" s="55">
        <f t="shared" si="746"/>
        <v>0</v>
      </c>
      <c r="ROJ1618" s="55">
        <f t="shared" si="746"/>
        <v>0</v>
      </c>
      <c r="ROK1618" s="55">
        <f t="shared" si="746"/>
        <v>0</v>
      </c>
      <c r="ROL1618" s="55">
        <f t="shared" si="746"/>
        <v>0</v>
      </c>
      <c r="ROM1618" s="55">
        <f t="shared" si="746"/>
        <v>0</v>
      </c>
      <c r="RON1618" s="55">
        <f t="shared" si="746"/>
        <v>0</v>
      </c>
      <c r="ROO1618" s="55">
        <f t="shared" si="746"/>
        <v>0</v>
      </c>
      <c r="ROP1618" s="55">
        <f t="shared" si="746"/>
        <v>0</v>
      </c>
      <c r="ROQ1618" s="55">
        <f t="shared" si="746"/>
        <v>0</v>
      </c>
      <c r="ROR1618" s="55">
        <f t="shared" si="746"/>
        <v>0</v>
      </c>
      <c r="ROS1618" s="55">
        <f t="shared" si="746"/>
        <v>0</v>
      </c>
      <c r="ROT1618" s="55">
        <f t="shared" si="746"/>
        <v>0</v>
      </c>
      <c r="ROU1618" s="55">
        <f t="shared" si="746"/>
        <v>0</v>
      </c>
      <c r="ROV1618" s="55">
        <f t="shared" si="746"/>
        <v>0</v>
      </c>
      <c r="ROW1618" s="55">
        <f t="shared" si="746"/>
        <v>0</v>
      </c>
      <c r="ROX1618" s="55">
        <f t="shared" si="746"/>
        <v>0</v>
      </c>
      <c r="ROY1618" s="55">
        <f t="shared" si="746"/>
        <v>0</v>
      </c>
      <c r="ROZ1618" s="55">
        <f t="shared" si="746"/>
        <v>0</v>
      </c>
      <c r="RPA1618" s="55">
        <f t="shared" si="746"/>
        <v>0</v>
      </c>
      <c r="RPB1618" s="55">
        <f t="shared" si="746"/>
        <v>0</v>
      </c>
      <c r="RPC1618" s="55">
        <f t="shared" si="746"/>
        <v>0</v>
      </c>
      <c r="RPD1618" s="55">
        <f t="shared" si="746"/>
        <v>0</v>
      </c>
      <c r="RPE1618" s="55">
        <f t="shared" si="746"/>
        <v>0</v>
      </c>
      <c r="RPF1618" s="55">
        <f t="shared" si="746"/>
        <v>0</v>
      </c>
      <c r="RPG1618" s="55">
        <f t="shared" si="746"/>
        <v>0</v>
      </c>
      <c r="RPH1618" s="55">
        <f t="shared" si="746"/>
        <v>0</v>
      </c>
      <c r="RPI1618" s="55">
        <f t="shared" si="746"/>
        <v>0</v>
      </c>
      <c r="RPJ1618" s="55">
        <f t="shared" si="746"/>
        <v>0</v>
      </c>
      <c r="RPK1618" s="55">
        <f t="shared" si="746"/>
        <v>0</v>
      </c>
      <c r="RPL1618" s="55">
        <f t="shared" si="746"/>
        <v>0</v>
      </c>
      <c r="RPM1618" s="55">
        <f t="shared" si="746"/>
        <v>0</v>
      </c>
      <c r="RPN1618" s="55">
        <f t="shared" si="746"/>
        <v>0</v>
      </c>
      <c r="RPO1618" s="55">
        <f t="shared" si="746"/>
        <v>0</v>
      </c>
      <c r="RPP1618" s="55">
        <f t="shared" si="746"/>
        <v>0</v>
      </c>
      <c r="RPQ1618" s="55">
        <f t="shared" si="746"/>
        <v>0</v>
      </c>
      <c r="RPR1618" s="55">
        <f t="shared" si="746"/>
        <v>0</v>
      </c>
      <c r="RPS1618" s="55">
        <f t="shared" si="746"/>
        <v>0</v>
      </c>
      <c r="RPT1618" s="55">
        <f t="shared" si="746"/>
        <v>0</v>
      </c>
      <c r="RPU1618" s="55">
        <f t="shared" si="746"/>
        <v>0</v>
      </c>
      <c r="RPV1618" s="55">
        <f t="shared" si="746"/>
        <v>0</v>
      </c>
      <c r="RPW1618" s="55">
        <f t="shared" si="746"/>
        <v>0</v>
      </c>
      <c r="RPX1618" s="55">
        <f t="shared" si="746"/>
        <v>0</v>
      </c>
      <c r="RPY1618" s="55">
        <f t="shared" si="746"/>
        <v>0</v>
      </c>
      <c r="RPZ1618" s="55">
        <f t="shared" si="746"/>
        <v>0</v>
      </c>
      <c r="RQA1618" s="55">
        <f t="shared" si="746"/>
        <v>0</v>
      </c>
      <c r="RQB1618" s="55">
        <f t="shared" si="746"/>
        <v>0</v>
      </c>
      <c r="RQC1618" s="55">
        <f t="shared" si="746"/>
        <v>0</v>
      </c>
      <c r="RQD1618" s="55">
        <f t="shared" si="746"/>
        <v>0</v>
      </c>
      <c r="RQE1618" s="55">
        <f t="shared" si="746"/>
        <v>0</v>
      </c>
      <c r="RQF1618" s="55">
        <f t="shared" si="746"/>
        <v>0</v>
      </c>
      <c r="RQG1618" s="55">
        <f t="shared" si="746"/>
        <v>0</v>
      </c>
      <c r="RQH1618" s="55">
        <f t="shared" si="746"/>
        <v>0</v>
      </c>
      <c r="RQI1618" s="55">
        <f t="shared" si="746"/>
        <v>0</v>
      </c>
      <c r="RQJ1618" s="55">
        <f t="shared" ref="RQJ1618:RSU1618" si="747">+(RQJ1627+RQJ1608)*1.18*1.1</f>
        <v>0</v>
      </c>
      <c r="RQK1618" s="55">
        <f t="shared" si="747"/>
        <v>0</v>
      </c>
      <c r="RQL1618" s="55">
        <f t="shared" si="747"/>
        <v>0</v>
      </c>
      <c r="RQM1618" s="55">
        <f t="shared" si="747"/>
        <v>0</v>
      </c>
      <c r="RQN1618" s="55">
        <f t="shared" si="747"/>
        <v>0</v>
      </c>
      <c r="RQO1618" s="55">
        <f t="shared" si="747"/>
        <v>0</v>
      </c>
      <c r="RQP1618" s="55">
        <f t="shared" si="747"/>
        <v>0</v>
      </c>
      <c r="RQQ1618" s="55">
        <f t="shared" si="747"/>
        <v>0</v>
      </c>
      <c r="RQR1618" s="55">
        <f t="shared" si="747"/>
        <v>0</v>
      </c>
      <c r="RQS1618" s="55">
        <f t="shared" si="747"/>
        <v>0</v>
      </c>
      <c r="RQT1618" s="55">
        <f t="shared" si="747"/>
        <v>0</v>
      </c>
      <c r="RQU1618" s="55">
        <f t="shared" si="747"/>
        <v>0</v>
      </c>
      <c r="RQV1618" s="55">
        <f t="shared" si="747"/>
        <v>0</v>
      </c>
      <c r="RQW1618" s="55">
        <f t="shared" si="747"/>
        <v>0</v>
      </c>
      <c r="RQX1618" s="55">
        <f t="shared" si="747"/>
        <v>0</v>
      </c>
      <c r="RQY1618" s="55">
        <f t="shared" si="747"/>
        <v>0</v>
      </c>
      <c r="RQZ1618" s="55">
        <f t="shared" si="747"/>
        <v>0</v>
      </c>
      <c r="RRA1618" s="55">
        <f t="shared" si="747"/>
        <v>0</v>
      </c>
      <c r="RRB1618" s="55">
        <f t="shared" si="747"/>
        <v>0</v>
      </c>
      <c r="RRC1618" s="55">
        <f t="shared" si="747"/>
        <v>0</v>
      </c>
      <c r="RRD1618" s="55">
        <f t="shared" si="747"/>
        <v>0</v>
      </c>
      <c r="RRE1618" s="55">
        <f t="shared" si="747"/>
        <v>0</v>
      </c>
      <c r="RRF1618" s="55">
        <f t="shared" si="747"/>
        <v>0</v>
      </c>
      <c r="RRG1618" s="55">
        <f t="shared" si="747"/>
        <v>0</v>
      </c>
      <c r="RRH1618" s="55">
        <f t="shared" si="747"/>
        <v>0</v>
      </c>
      <c r="RRI1618" s="55">
        <f t="shared" si="747"/>
        <v>0</v>
      </c>
      <c r="RRJ1618" s="55">
        <f t="shared" si="747"/>
        <v>0</v>
      </c>
      <c r="RRK1618" s="55">
        <f t="shared" si="747"/>
        <v>0</v>
      </c>
      <c r="RRL1618" s="55">
        <f t="shared" si="747"/>
        <v>0</v>
      </c>
      <c r="RRM1618" s="55">
        <f t="shared" si="747"/>
        <v>0</v>
      </c>
      <c r="RRN1618" s="55">
        <f t="shared" si="747"/>
        <v>0</v>
      </c>
      <c r="RRO1618" s="55">
        <f t="shared" si="747"/>
        <v>0</v>
      </c>
      <c r="RRP1618" s="55">
        <f t="shared" si="747"/>
        <v>0</v>
      </c>
      <c r="RRQ1618" s="55">
        <f t="shared" si="747"/>
        <v>0</v>
      </c>
      <c r="RRR1618" s="55">
        <f t="shared" si="747"/>
        <v>0</v>
      </c>
      <c r="RRS1618" s="55">
        <f t="shared" si="747"/>
        <v>0</v>
      </c>
      <c r="RRT1618" s="55">
        <f t="shared" si="747"/>
        <v>0</v>
      </c>
      <c r="RRU1618" s="55">
        <f t="shared" si="747"/>
        <v>0</v>
      </c>
      <c r="RRV1618" s="55">
        <f t="shared" si="747"/>
        <v>0</v>
      </c>
      <c r="RRW1618" s="55">
        <f t="shared" si="747"/>
        <v>0</v>
      </c>
      <c r="RRX1618" s="55">
        <f t="shared" si="747"/>
        <v>0</v>
      </c>
      <c r="RRY1618" s="55">
        <f t="shared" si="747"/>
        <v>0</v>
      </c>
      <c r="RRZ1618" s="55">
        <f t="shared" si="747"/>
        <v>0</v>
      </c>
      <c r="RSA1618" s="55">
        <f t="shared" si="747"/>
        <v>0</v>
      </c>
      <c r="RSB1618" s="55">
        <f t="shared" si="747"/>
        <v>0</v>
      </c>
      <c r="RSC1618" s="55">
        <f t="shared" si="747"/>
        <v>0</v>
      </c>
      <c r="RSD1618" s="55">
        <f t="shared" si="747"/>
        <v>0</v>
      </c>
      <c r="RSE1618" s="55">
        <f t="shared" si="747"/>
        <v>0</v>
      </c>
      <c r="RSF1618" s="55">
        <f t="shared" si="747"/>
        <v>0</v>
      </c>
      <c r="RSG1618" s="55">
        <f t="shared" si="747"/>
        <v>0</v>
      </c>
      <c r="RSH1618" s="55">
        <f t="shared" si="747"/>
        <v>0</v>
      </c>
      <c r="RSI1618" s="55">
        <f t="shared" si="747"/>
        <v>0</v>
      </c>
      <c r="RSJ1618" s="55">
        <f t="shared" si="747"/>
        <v>0</v>
      </c>
      <c r="RSK1618" s="55">
        <f t="shared" si="747"/>
        <v>0</v>
      </c>
      <c r="RSL1618" s="55">
        <f t="shared" si="747"/>
        <v>0</v>
      </c>
      <c r="RSM1618" s="55">
        <f t="shared" si="747"/>
        <v>0</v>
      </c>
      <c r="RSN1618" s="55">
        <f t="shared" si="747"/>
        <v>0</v>
      </c>
      <c r="RSO1618" s="55">
        <f t="shared" si="747"/>
        <v>0</v>
      </c>
      <c r="RSP1618" s="55">
        <f t="shared" si="747"/>
        <v>0</v>
      </c>
      <c r="RSQ1618" s="55">
        <f t="shared" si="747"/>
        <v>0</v>
      </c>
      <c r="RSR1618" s="55">
        <f t="shared" si="747"/>
        <v>0</v>
      </c>
      <c r="RSS1618" s="55">
        <f t="shared" si="747"/>
        <v>0</v>
      </c>
      <c r="RST1618" s="55">
        <f t="shared" si="747"/>
        <v>0</v>
      </c>
      <c r="RSU1618" s="55">
        <f t="shared" si="747"/>
        <v>0</v>
      </c>
      <c r="RSV1618" s="55">
        <f t="shared" ref="RSV1618:RVG1618" si="748">+(RSV1627+RSV1608)*1.18*1.1</f>
        <v>0</v>
      </c>
      <c r="RSW1618" s="55">
        <f t="shared" si="748"/>
        <v>0</v>
      </c>
      <c r="RSX1618" s="55">
        <f t="shared" si="748"/>
        <v>0</v>
      </c>
      <c r="RSY1618" s="55">
        <f t="shared" si="748"/>
        <v>0</v>
      </c>
      <c r="RSZ1618" s="55">
        <f t="shared" si="748"/>
        <v>0</v>
      </c>
      <c r="RTA1618" s="55">
        <f t="shared" si="748"/>
        <v>0</v>
      </c>
      <c r="RTB1618" s="55">
        <f t="shared" si="748"/>
        <v>0</v>
      </c>
      <c r="RTC1618" s="55">
        <f t="shared" si="748"/>
        <v>0</v>
      </c>
      <c r="RTD1618" s="55">
        <f t="shared" si="748"/>
        <v>0</v>
      </c>
      <c r="RTE1618" s="55">
        <f t="shared" si="748"/>
        <v>0</v>
      </c>
      <c r="RTF1618" s="55">
        <f t="shared" si="748"/>
        <v>0</v>
      </c>
      <c r="RTG1618" s="55">
        <f t="shared" si="748"/>
        <v>0</v>
      </c>
      <c r="RTH1618" s="55">
        <f t="shared" si="748"/>
        <v>0</v>
      </c>
      <c r="RTI1618" s="55">
        <f t="shared" si="748"/>
        <v>0</v>
      </c>
      <c r="RTJ1618" s="55">
        <f t="shared" si="748"/>
        <v>0</v>
      </c>
      <c r="RTK1618" s="55">
        <f t="shared" si="748"/>
        <v>0</v>
      </c>
      <c r="RTL1618" s="55">
        <f t="shared" si="748"/>
        <v>0</v>
      </c>
      <c r="RTM1618" s="55">
        <f t="shared" si="748"/>
        <v>0</v>
      </c>
      <c r="RTN1618" s="55">
        <f t="shared" si="748"/>
        <v>0</v>
      </c>
      <c r="RTO1618" s="55">
        <f t="shared" si="748"/>
        <v>0</v>
      </c>
      <c r="RTP1618" s="55">
        <f t="shared" si="748"/>
        <v>0</v>
      </c>
      <c r="RTQ1618" s="55">
        <f t="shared" si="748"/>
        <v>0</v>
      </c>
      <c r="RTR1618" s="55">
        <f t="shared" si="748"/>
        <v>0</v>
      </c>
      <c r="RTS1618" s="55">
        <f t="shared" si="748"/>
        <v>0</v>
      </c>
      <c r="RTT1618" s="55">
        <f t="shared" si="748"/>
        <v>0</v>
      </c>
      <c r="RTU1618" s="55">
        <f t="shared" si="748"/>
        <v>0</v>
      </c>
      <c r="RTV1618" s="55">
        <f t="shared" si="748"/>
        <v>0</v>
      </c>
      <c r="RTW1618" s="55">
        <f t="shared" si="748"/>
        <v>0</v>
      </c>
      <c r="RTX1618" s="55">
        <f t="shared" si="748"/>
        <v>0</v>
      </c>
      <c r="RTY1618" s="55">
        <f t="shared" si="748"/>
        <v>0</v>
      </c>
      <c r="RTZ1618" s="55">
        <f t="shared" si="748"/>
        <v>0</v>
      </c>
      <c r="RUA1618" s="55">
        <f t="shared" si="748"/>
        <v>0</v>
      </c>
      <c r="RUB1618" s="55">
        <f t="shared" si="748"/>
        <v>0</v>
      </c>
      <c r="RUC1618" s="55">
        <f t="shared" si="748"/>
        <v>0</v>
      </c>
      <c r="RUD1618" s="55">
        <f t="shared" si="748"/>
        <v>0</v>
      </c>
      <c r="RUE1618" s="55">
        <f t="shared" si="748"/>
        <v>0</v>
      </c>
      <c r="RUF1618" s="55">
        <f t="shared" si="748"/>
        <v>0</v>
      </c>
      <c r="RUG1618" s="55">
        <f t="shared" si="748"/>
        <v>0</v>
      </c>
      <c r="RUH1618" s="55">
        <f t="shared" si="748"/>
        <v>0</v>
      </c>
      <c r="RUI1618" s="55">
        <f t="shared" si="748"/>
        <v>0</v>
      </c>
      <c r="RUJ1618" s="55">
        <f t="shared" si="748"/>
        <v>0</v>
      </c>
      <c r="RUK1618" s="55">
        <f t="shared" si="748"/>
        <v>0</v>
      </c>
      <c r="RUL1618" s="55">
        <f t="shared" si="748"/>
        <v>0</v>
      </c>
      <c r="RUM1618" s="55">
        <f t="shared" si="748"/>
        <v>0</v>
      </c>
      <c r="RUN1618" s="55">
        <f t="shared" si="748"/>
        <v>0</v>
      </c>
      <c r="RUO1618" s="55">
        <f t="shared" si="748"/>
        <v>0</v>
      </c>
      <c r="RUP1618" s="55">
        <f t="shared" si="748"/>
        <v>0</v>
      </c>
      <c r="RUQ1618" s="55">
        <f t="shared" si="748"/>
        <v>0</v>
      </c>
      <c r="RUR1618" s="55">
        <f t="shared" si="748"/>
        <v>0</v>
      </c>
      <c r="RUS1618" s="55">
        <f t="shared" si="748"/>
        <v>0</v>
      </c>
      <c r="RUT1618" s="55">
        <f t="shared" si="748"/>
        <v>0</v>
      </c>
      <c r="RUU1618" s="55">
        <f t="shared" si="748"/>
        <v>0</v>
      </c>
      <c r="RUV1618" s="55">
        <f t="shared" si="748"/>
        <v>0</v>
      </c>
      <c r="RUW1618" s="55">
        <f t="shared" si="748"/>
        <v>0</v>
      </c>
      <c r="RUX1618" s="55">
        <f t="shared" si="748"/>
        <v>0</v>
      </c>
      <c r="RUY1618" s="55">
        <f t="shared" si="748"/>
        <v>0</v>
      </c>
      <c r="RUZ1618" s="55">
        <f t="shared" si="748"/>
        <v>0</v>
      </c>
      <c r="RVA1618" s="55">
        <f t="shared" si="748"/>
        <v>0</v>
      </c>
      <c r="RVB1618" s="55">
        <f t="shared" si="748"/>
        <v>0</v>
      </c>
      <c r="RVC1618" s="55">
        <f t="shared" si="748"/>
        <v>0</v>
      </c>
      <c r="RVD1618" s="55">
        <f t="shared" si="748"/>
        <v>0</v>
      </c>
      <c r="RVE1618" s="55">
        <f t="shared" si="748"/>
        <v>0</v>
      </c>
      <c r="RVF1618" s="55">
        <f t="shared" si="748"/>
        <v>0</v>
      </c>
      <c r="RVG1618" s="55">
        <f t="shared" si="748"/>
        <v>0</v>
      </c>
      <c r="RVH1618" s="55">
        <f t="shared" ref="RVH1618:RXS1618" si="749">+(RVH1627+RVH1608)*1.18*1.1</f>
        <v>0</v>
      </c>
      <c r="RVI1618" s="55">
        <f t="shared" si="749"/>
        <v>0</v>
      </c>
      <c r="RVJ1618" s="55">
        <f t="shared" si="749"/>
        <v>0</v>
      </c>
      <c r="RVK1618" s="55">
        <f t="shared" si="749"/>
        <v>0</v>
      </c>
      <c r="RVL1618" s="55">
        <f t="shared" si="749"/>
        <v>0</v>
      </c>
      <c r="RVM1618" s="55">
        <f t="shared" si="749"/>
        <v>0</v>
      </c>
      <c r="RVN1618" s="55">
        <f t="shared" si="749"/>
        <v>0</v>
      </c>
      <c r="RVO1618" s="55">
        <f t="shared" si="749"/>
        <v>0</v>
      </c>
      <c r="RVP1618" s="55">
        <f t="shared" si="749"/>
        <v>0</v>
      </c>
      <c r="RVQ1618" s="55">
        <f t="shared" si="749"/>
        <v>0</v>
      </c>
      <c r="RVR1618" s="55">
        <f t="shared" si="749"/>
        <v>0</v>
      </c>
      <c r="RVS1618" s="55">
        <f t="shared" si="749"/>
        <v>0</v>
      </c>
      <c r="RVT1618" s="55">
        <f t="shared" si="749"/>
        <v>0</v>
      </c>
      <c r="RVU1618" s="55">
        <f t="shared" si="749"/>
        <v>0</v>
      </c>
      <c r="RVV1618" s="55">
        <f t="shared" si="749"/>
        <v>0</v>
      </c>
      <c r="RVW1618" s="55">
        <f t="shared" si="749"/>
        <v>0</v>
      </c>
      <c r="RVX1618" s="55">
        <f t="shared" si="749"/>
        <v>0</v>
      </c>
      <c r="RVY1618" s="55">
        <f t="shared" si="749"/>
        <v>0</v>
      </c>
      <c r="RVZ1618" s="55">
        <f t="shared" si="749"/>
        <v>0</v>
      </c>
      <c r="RWA1618" s="55">
        <f t="shared" si="749"/>
        <v>0</v>
      </c>
      <c r="RWB1618" s="55">
        <f t="shared" si="749"/>
        <v>0</v>
      </c>
      <c r="RWC1618" s="55">
        <f t="shared" si="749"/>
        <v>0</v>
      </c>
      <c r="RWD1618" s="55">
        <f t="shared" si="749"/>
        <v>0</v>
      </c>
      <c r="RWE1618" s="55">
        <f t="shared" si="749"/>
        <v>0</v>
      </c>
      <c r="RWF1618" s="55">
        <f t="shared" si="749"/>
        <v>0</v>
      </c>
      <c r="RWG1618" s="55">
        <f t="shared" si="749"/>
        <v>0</v>
      </c>
      <c r="RWH1618" s="55">
        <f t="shared" si="749"/>
        <v>0</v>
      </c>
      <c r="RWI1618" s="55">
        <f t="shared" si="749"/>
        <v>0</v>
      </c>
      <c r="RWJ1618" s="55">
        <f t="shared" si="749"/>
        <v>0</v>
      </c>
      <c r="RWK1618" s="55">
        <f t="shared" si="749"/>
        <v>0</v>
      </c>
      <c r="RWL1618" s="55">
        <f t="shared" si="749"/>
        <v>0</v>
      </c>
      <c r="RWM1618" s="55">
        <f t="shared" si="749"/>
        <v>0</v>
      </c>
      <c r="RWN1618" s="55">
        <f t="shared" si="749"/>
        <v>0</v>
      </c>
      <c r="RWO1618" s="55">
        <f t="shared" si="749"/>
        <v>0</v>
      </c>
      <c r="RWP1618" s="55">
        <f t="shared" si="749"/>
        <v>0</v>
      </c>
      <c r="RWQ1618" s="55">
        <f t="shared" si="749"/>
        <v>0</v>
      </c>
      <c r="RWR1618" s="55">
        <f t="shared" si="749"/>
        <v>0</v>
      </c>
      <c r="RWS1618" s="55">
        <f t="shared" si="749"/>
        <v>0</v>
      </c>
      <c r="RWT1618" s="55">
        <f t="shared" si="749"/>
        <v>0</v>
      </c>
      <c r="RWU1618" s="55">
        <f t="shared" si="749"/>
        <v>0</v>
      </c>
      <c r="RWV1618" s="55">
        <f t="shared" si="749"/>
        <v>0</v>
      </c>
      <c r="RWW1618" s="55">
        <f t="shared" si="749"/>
        <v>0</v>
      </c>
      <c r="RWX1618" s="55">
        <f t="shared" si="749"/>
        <v>0</v>
      </c>
      <c r="RWY1618" s="55">
        <f t="shared" si="749"/>
        <v>0</v>
      </c>
      <c r="RWZ1618" s="55">
        <f t="shared" si="749"/>
        <v>0</v>
      </c>
      <c r="RXA1618" s="55">
        <f t="shared" si="749"/>
        <v>0</v>
      </c>
      <c r="RXB1618" s="55">
        <f t="shared" si="749"/>
        <v>0</v>
      </c>
      <c r="RXC1618" s="55">
        <f t="shared" si="749"/>
        <v>0</v>
      </c>
      <c r="RXD1618" s="55">
        <f t="shared" si="749"/>
        <v>0</v>
      </c>
      <c r="RXE1618" s="55">
        <f t="shared" si="749"/>
        <v>0</v>
      </c>
      <c r="RXF1618" s="55">
        <f t="shared" si="749"/>
        <v>0</v>
      </c>
      <c r="RXG1618" s="55">
        <f t="shared" si="749"/>
        <v>0</v>
      </c>
      <c r="RXH1618" s="55">
        <f t="shared" si="749"/>
        <v>0</v>
      </c>
      <c r="RXI1618" s="55">
        <f t="shared" si="749"/>
        <v>0</v>
      </c>
      <c r="RXJ1618" s="55">
        <f t="shared" si="749"/>
        <v>0</v>
      </c>
      <c r="RXK1618" s="55">
        <f t="shared" si="749"/>
        <v>0</v>
      </c>
      <c r="RXL1618" s="55">
        <f t="shared" si="749"/>
        <v>0</v>
      </c>
      <c r="RXM1618" s="55">
        <f t="shared" si="749"/>
        <v>0</v>
      </c>
      <c r="RXN1618" s="55">
        <f t="shared" si="749"/>
        <v>0</v>
      </c>
      <c r="RXO1618" s="55">
        <f t="shared" si="749"/>
        <v>0</v>
      </c>
      <c r="RXP1618" s="55">
        <f t="shared" si="749"/>
        <v>0</v>
      </c>
      <c r="RXQ1618" s="55">
        <f t="shared" si="749"/>
        <v>0</v>
      </c>
      <c r="RXR1618" s="55">
        <f t="shared" si="749"/>
        <v>0</v>
      </c>
      <c r="RXS1618" s="55">
        <f t="shared" si="749"/>
        <v>0</v>
      </c>
      <c r="RXT1618" s="55">
        <f t="shared" ref="RXT1618:SAE1618" si="750">+(RXT1627+RXT1608)*1.18*1.1</f>
        <v>0</v>
      </c>
      <c r="RXU1618" s="55">
        <f t="shared" si="750"/>
        <v>0</v>
      </c>
      <c r="RXV1618" s="55">
        <f t="shared" si="750"/>
        <v>0</v>
      </c>
      <c r="RXW1618" s="55">
        <f t="shared" si="750"/>
        <v>0</v>
      </c>
      <c r="RXX1618" s="55">
        <f t="shared" si="750"/>
        <v>0</v>
      </c>
      <c r="RXY1618" s="55">
        <f t="shared" si="750"/>
        <v>0</v>
      </c>
      <c r="RXZ1618" s="55">
        <f t="shared" si="750"/>
        <v>0</v>
      </c>
      <c r="RYA1618" s="55">
        <f t="shared" si="750"/>
        <v>0</v>
      </c>
      <c r="RYB1618" s="55">
        <f t="shared" si="750"/>
        <v>0</v>
      </c>
      <c r="RYC1618" s="55">
        <f t="shared" si="750"/>
        <v>0</v>
      </c>
      <c r="RYD1618" s="55">
        <f t="shared" si="750"/>
        <v>0</v>
      </c>
      <c r="RYE1618" s="55">
        <f t="shared" si="750"/>
        <v>0</v>
      </c>
      <c r="RYF1618" s="55">
        <f t="shared" si="750"/>
        <v>0</v>
      </c>
      <c r="RYG1618" s="55">
        <f t="shared" si="750"/>
        <v>0</v>
      </c>
      <c r="RYH1618" s="55">
        <f t="shared" si="750"/>
        <v>0</v>
      </c>
      <c r="RYI1618" s="55">
        <f t="shared" si="750"/>
        <v>0</v>
      </c>
      <c r="RYJ1618" s="55">
        <f t="shared" si="750"/>
        <v>0</v>
      </c>
      <c r="RYK1618" s="55">
        <f t="shared" si="750"/>
        <v>0</v>
      </c>
      <c r="RYL1618" s="55">
        <f t="shared" si="750"/>
        <v>0</v>
      </c>
      <c r="RYM1618" s="55">
        <f t="shared" si="750"/>
        <v>0</v>
      </c>
      <c r="RYN1618" s="55">
        <f t="shared" si="750"/>
        <v>0</v>
      </c>
      <c r="RYO1618" s="55">
        <f t="shared" si="750"/>
        <v>0</v>
      </c>
      <c r="RYP1618" s="55">
        <f t="shared" si="750"/>
        <v>0</v>
      </c>
      <c r="RYQ1618" s="55">
        <f t="shared" si="750"/>
        <v>0</v>
      </c>
      <c r="RYR1618" s="55">
        <f t="shared" si="750"/>
        <v>0</v>
      </c>
      <c r="RYS1618" s="55">
        <f t="shared" si="750"/>
        <v>0</v>
      </c>
      <c r="RYT1618" s="55">
        <f t="shared" si="750"/>
        <v>0</v>
      </c>
      <c r="RYU1618" s="55">
        <f t="shared" si="750"/>
        <v>0</v>
      </c>
      <c r="RYV1618" s="55">
        <f t="shared" si="750"/>
        <v>0</v>
      </c>
      <c r="RYW1618" s="55">
        <f t="shared" si="750"/>
        <v>0</v>
      </c>
      <c r="RYX1618" s="55">
        <f t="shared" si="750"/>
        <v>0</v>
      </c>
      <c r="RYY1618" s="55">
        <f t="shared" si="750"/>
        <v>0</v>
      </c>
      <c r="RYZ1618" s="55">
        <f t="shared" si="750"/>
        <v>0</v>
      </c>
      <c r="RZA1618" s="55">
        <f t="shared" si="750"/>
        <v>0</v>
      </c>
      <c r="RZB1618" s="55">
        <f t="shared" si="750"/>
        <v>0</v>
      </c>
      <c r="RZC1618" s="55">
        <f t="shared" si="750"/>
        <v>0</v>
      </c>
      <c r="RZD1618" s="55">
        <f t="shared" si="750"/>
        <v>0</v>
      </c>
      <c r="RZE1618" s="55">
        <f t="shared" si="750"/>
        <v>0</v>
      </c>
      <c r="RZF1618" s="55">
        <f t="shared" si="750"/>
        <v>0</v>
      </c>
      <c r="RZG1618" s="55">
        <f t="shared" si="750"/>
        <v>0</v>
      </c>
      <c r="RZH1618" s="55">
        <f t="shared" si="750"/>
        <v>0</v>
      </c>
      <c r="RZI1618" s="55">
        <f t="shared" si="750"/>
        <v>0</v>
      </c>
      <c r="RZJ1618" s="55">
        <f t="shared" si="750"/>
        <v>0</v>
      </c>
      <c r="RZK1618" s="55">
        <f t="shared" si="750"/>
        <v>0</v>
      </c>
      <c r="RZL1618" s="55">
        <f t="shared" si="750"/>
        <v>0</v>
      </c>
      <c r="RZM1618" s="55">
        <f t="shared" si="750"/>
        <v>0</v>
      </c>
      <c r="RZN1618" s="55">
        <f t="shared" si="750"/>
        <v>0</v>
      </c>
      <c r="RZO1618" s="55">
        <f t="shared" si="750"/>
        <v>0</v>
      </c>
      <c r="RZP1618" s="55">
        <f t="shared" si="750"/>
        <v>0</v>
      </c>
      <c r="RZQ1618" s="55">
        <f t="shared" si="750"/>
        <v>0</v>
      </c>
      <c r="RZR1618" s="55">
        <f t="shared" si="750"/>
        <v>0</v>
      </c>
      <c r="RZS1618" s="55">
        <f t="shared" si="750"/>
        <v>0</v>
      </c>
      <c r="RZT1618" s="55">
        <f t="shared" si="750"/>
        <v>0</v>
      </c>
      <c r="RZU1618" s="55">
        <f t="shared" si="750"/>
        <v>0</v>
      </c>
      <c r="RZV1618" s="55">
        <f t="shared" si="750"/>
        <v>0</v>
      </c>
      <c r="RZW1618" s="55">
        <f t="shared" si="750"/>
        <v>0</v>
      </c>
      <c r="RZX1618" s="55">
        <f t="shared" si="750"/>
        <v>0</v>
      </c>
      <c r="RZY1618" s="55">
        <f t="shared" si="750"/>
        <v>0</v>
      </c>
      <c r="RZZ1618" s="55">
        <f t="shared" si="750"/>
        <v>0</v>
      </c>
      <c r="SAA1618" s="55">
        <f t="shared" si="750"/>
        <v>0</v>
      </c>
      <c r="SAB1618" s="55">
        <f t="shared" si="750"/>
        <v>0</v>
      </c>
      <c r="SAC1618" s="55">
        <f t="shared" si="750"/>
        <v>0</v>
      </c>
      <c r="SAD1618" s="55">
        <f t="shared" si="750"/>
        <v>0</v>
      </c>
      <c r="SAE1618" s="55">
        <f t="shared" si="750"/>
        <v>0</v>
      </c>
      <c r="SAF1618" s="55">
        <f t="shared" ref="SAF1618:SCQ1618" si="751">+(SAF1627+SAF1608)*1.18*1.1</f>
        <v>0</v>
      </c>
      <c r="SAG1618" s="55">
        <f t="shared" si="751"/>
        <v>0</v>
      </c>
      <c r="SAH1618" s="55">
        <f t="shared" si="751"/>
        <v>0</v>
      </c>
      <c r="SAI1618" s="55">
        <f t="shared" si="751"/>
        <v>0</v>
      </c>
      <c r="SAJ1618" s="55">
        <f t="shared" si="751"/>
        <v>0</v>
      </c>
      <c r="SAK1618" s="55">
        <f t="shared" si="751"/>
        <v>0</v>
      </c>
      <c r="SAL1618" s="55">
        <f t="shared" si="751"/>
        <v>0</v>
      </c>
      <c r="SAM1618" s="55">
        <f t="shared" si="751"/>
        <v>0</v>
      </c>
      <c r="SAN1618" s="55">
        <f t="shared" si="751"/>
        <v>0</v>
      </c>
      <c r="SAO1618" s="55">
        <f t="shared" si="751"/>
        <v>0</v>
      </c>
      <c r="SAP1618" s="55">
        <f t="shared" si="751"/>
        <v>0</v>
      </c>
      <c r="SAQ1618" s="55">
        <f t="shared" si="751"/>
        <v>0</v>
      </c>
      <c r="SAR1618" s="55">
        <f t="shared" si="751"/>
        <v>0</v>
      </c>
      <c r="SAS1618" s="55">
        <f t="shared" si="751"/>
        <v>0</v>
      </c>
      <c r="SAT1618" s="55">
        <f t="shared" si="751"/>
        <v>0</v>
      </c>
      <c r="SAU1618" s="55">
        <f t="shared" si="751"/>
        <v>0</v>
      </c>
      <c r="SAV1618" s="55">
        <f t="shared" si="751"/>
        <v>0</v>
      </c>
      <c r="SAW1618" s="55">
        <f t="shared" si="751"/>
        <v>0</v>
      </c>
      <c r="SAX1618" s="55">
        <f t="shared" si="751"/>
        <v>0</v>
      </c>
      <c r="SAY1618" s="55">
        <f t="shared" si="751"/>
        <v>0</v>
      </c>
      <c r="SAZ1618" s="55">
        <f t="shared" si="751"/>
        <v>0</v>
      </c>
      <c r="SBA1618" s="55">
        <f t="shared" si="751"/>
        <v>0</v>
      </c>
      <c r="SBB1618" s="55">
        <f t="shared" si="751"/>
        <v>0</v>
      </c>
      <c r="SBC1618" s="55">
        <f t="shared" si="751"/>
        <v>0</v>
      </c>
      <c r="SBD1618" s="55">
        <f t="shared" si="751"/>
        <v>0</v>
      </c>
      <c r="SBE1618" s="55">
        <f t="shared" si="751"/>
        <v>0</v>
      </c>
      <c r="SBF1618" s="55">
        <f t="shared" si="751"/>
        <v>0</v>
      </c>
      <c r="SBG1618" s="55">
        <f t="shared" si="751"/>
        <v>0</v>
      </c>
      <c r="SBH1618" s="55">
        <f t="shared" si="751"/>
        <v>0</v>
      </c>
      <c r="SBI1618" s="55">
        <f t="shared" si="751"/>
        <v>0</v>
      </c>
      <c r="SBJ1618" s="55">
        <f t="shared" si="751"/>
        <v>0</v>
      </c>
      <c r="SBK1618" s="55">
        <f t="shared" si="751"/>
        <v>0</v>
      </c>
      <c r="SBL1618" s="55">
        <f t="shared" si="751"/>
        <v>0</v>
      </c>
      <c r="SBM1618" s="55">
        <f t="shared" si="751"/>
        <v>0</v>
      </c>
      <c r="SBN1618" s="55">
        <f t="shared" si="751"/>
        <v>0</v>
      </c>
      <c r="SBO1618" s="55">
        <f t="shared" si="751"/>
        <v>0</v>
      </c>
      <c r="SBP1618" s="55">
        <f t="shared" si="751"/>
        <v>0</v>
      </c>
      <c r="SBQ1618" s="55">
        <f t="shared" si="751"/>
        <v>0</v>
      </c>
      <c r="SBR1618" s="55">
        <f t="shared" si="751"/>
        <v>0</v>
      </c>
      <c r="SBS1618" s="55">
        <f t="shared" si="751"/>
        <v>0</v>
      </c>
      <c r="SBT1618" s="55">
        <f t="shared" si="751"/>
        <v>0</v>
      </c>
      <c r="SBU1618" s="55">
        <f t="shared" si="751"/>
        <v>0</v>
      </c>
      <c r="SBV1618" s="55">
        <f t="shared" si="751"/>
        <v>0</v>
      </c>
      <c r="SBW1618" s="55">
        <f t="shared" si="751"/>
        <v>0</v>
      </c>
      <c r="SBX1618" s="55">
        <f t="shared" si="751"/>
        <v>0</v>
      </c>
      <c r="SBY1618" s="55">
        <f t="shared" si="751"/>
        <v>0</v>
      </c>
      <c r="SBZ1618" s="55">
        <f t="shared" si="751"/>
        <v>0</v>
      </c>
      <c r="SCA1618" s="55">
        <f t="shared" si="751"/>
        <v>0</v>
      </c>
      <c r="SCB1618" s="55">
        <f t="shared" si="751"/>
        <v>0</v>
      </c>
      <c r="SCC1618" s="55">
        <f t="shared" si="751"/>
        <v>0</v>
      </c>
      <c r="SCD1618" s="55">
        <f t="shared" si="751"/>
        <v>0</v>
      </c>
      <c r="SCE1618" s="55">
        <f t="shared" si="751"/>
        <v>0</v>
      </c>
      <c r="SCF1618" s="55">
        <f t="shared" si="751"/>
        <v>0</v>
      </c>
      <c r="SCG1618" s="55">
        <f t="shared" si="751"/>
        <v>0</v>
      </c>
      <c r="SCH1618" s="55">
        <f t="shared" si="751"/>
        <v>0</v>
      </c>
      <c r="SCI1618" s="55">
        <f t="shared" si="751"/>
        <v>0</v>
      </c>
      <c r="SCJ1618" s="55">
        <f t="shared" si="751"/>
        <v>0</v>
      </c>
      <c r="SCK1618" s="55">
        <f t="shared" si="751"/>
        <v>0</v>
      </c>
      <c r="SCL1618" s="55">
        <f t="shared" si="751"/>
        <v>0</v>
      </c>
      <c r="SCM1618" s="55">
        <f t="shared" si="751"/>
        <v>0</v>
      </c>
      <c r="SCN1618" s="55">
        <f t="shared" si="751"/>
        <v>0</v>
      </c>
      <c r="SCO1618" s="55">
        <f t="shared" si="751"/>
        <v>0</v>
      </c>
      <c r="SCP1618" s="55">
        <f t="shared" si="751"/>
        <v>0</v>
      </c>
      <c r="SCQ1618" s="55">
        <f t="shared" si="751"/>
        <v>0</v>
      </c>
      <c r="SCR1618" s="55">
        <f t="shared" ref="SCR1618:SFC1618" si="752">+(SCR1627+SCR1608)*1.18*1.1</f>
        <v>0</v>
      </c>
      <c r="SCS1618" s="55">
        <f t="shared" si="752"/>
        <v>0</v>
      </c>
      <c r="SCT1618" s="55">
        <f t="shared" si="752"/>
        <v>0</v>
      </c>
      <c r="SCU1618" s="55">
        <f t="shared" si="752"/>
        <v>0</v>
      </c>
      <c r="SCV1618" s="55">
        <f t="shared" si="752"/>
        <v>0</v>
      </c>
      <c r="SCW1618" s="55">
        <f t="shared" si="752"/>
        <v>0</v>
      </c>
      <c r="SCX1618" s="55">
        <f t="shared" si="752"/>
        <v>0</v>
      </c>
      <c r="SCY1618" s="55">
        <f t="shared" si="752"/>
        <v>0</v>
      </c>
      <c r="SCZ1618" s="55">
        <f t="shared" si="752"/>
        <v>0</v>
      </c>
      <c r="SDA1618" s="55">
        <f t="shared" si="752"/>
        <v>0</v>
      </c>
      <c r="SDB1618" s="55">
        <f t="shared" si="752"/>
        <v>0</v>
      </c>
      <c r="SDC1618" s="55">
        <f t="shared" si="752"/>
        <v>0</v>
      </c>
      <c r="SDD1618" s="55">
        <f t="shared" si="752"/>
        <v>0</v>
      </c>
      <c r="SDE1618" s="55">
        <f t="shared" si="752"/>
        <v>0</v>
      </c>
      <c r="SDF1618" s="55">
        <f t="shared" si="752"/>
        <v>0</v>
      </c>
      <c r="SDG1618" s="55">
        <f t="shared" si="752"/>
        <v>0</v>
      </c>
      <c r="SDH1618" s="55">
        <f t="shared" si="752"/>
        <v>0</v>
      </c>
      <c r="SDI1618" s="55">
        <f t="shared" si="752"/>
        <v>0</v>
      </c>
      <c r="SDJ1618" s="55">
        <f t="shared" si="752"/>
        <v>0</v>
      </c>
      <c r="SDK1618" s="55">
        <f t="shared" si="752"/>
        <v>0</v>
      </c>
      <c r="SDL1618" s="55">
        <f t="shared" si="752"/>
        <v>0</v>
      </c>
      <c r="SDM1618" s="55">
        <f t="shared" si="752"/>
        <v>0</v>
      </c>
      <c r="SDN1618" s="55">
        <f t="shared" si="752"/>
        <v>0</v>
      </c>
      <c r="SDO1618" s="55">
        <f t="shared" si="752"/>
        <v>0</v>
      </c>
      <c r="SDP1618" s="55">
        <f t="shared" si="752"/>
        <v>0</v>
      </c>
      <c r="SDQ1618" s="55">
        <f t="shared" si="752"/>
        <v>0</v>
      </c>
      <c r="SDR1618" s="55">
        <f t="shared" si="752"/>
        <v>0</v>
      </c>
      <c r="SDS1618" s="55">
        <f t="shared" si="752"/>
        <v>0</v>
      </c>
      <c r="SDT1618" s="55">
        <f t="shared" si="752"/>
        <v>0</v>
      </c>
      <c r="SDU1618" s="55">
        <f t="shared" si="752"/>
        <v>0</v>
      </c>
      <c r="SDV1618" s="55">
        <f t="shared" si="752"/>
        <v>0</v>
      </c>
      <c r="SDW1618" s="55">
        <f t="shared" si="752"/>
        <v>0</v>
      </c>
      <c r="SDX1618" s="55">
        <f t="shared" si="752"/>
        <v>0</v>
      </c>
      <c r="SDY1618" s="55">
        <f t="shared" si="752"/>
        <v>0</v>
      </c>
      <c r="SDZ1618" s="55">
        <f t="shared" si="752"/>
        <v>0</v>
      </c>
      <c r="SEA1618" s="55">
        <f t="shared" si="752"/>
        <v>0</v>
      </c>
      <c r="SEB1618" s="55">
        <f t="shared" si="752"/>
        <v>0</v>
      </c>
      <c r="SEC1618" s="55">
        <f t="shared" si="752"/>
        <v>0</v>
      </c>
      <c r="SED1618" s="55">
        <f t="shared" si="752"/>
        <v>0</v>
      </c>
      <c r="SEE1618" s="55">
        <f t="shared" si="752"/>
        <v>0</v>
      </c>
      <c r="SEF1618" s="55">
        <f t="shared" si="752"/>
        <v>0</v>
      </c>
      <c r="SEG1618" s="55">
        <f t="shared" si="752"/>
        <v>0</v>
      </c>
      <c r="SEH1618" s="55">
        <f t="shared" si="752"/>
        <v>0</v>
      </c>
      <c r="SEI1618" s="55">
        <f t="shared" si="752"/>
        <v>0</v>
      </c>
      <c r="SEJ1618" s="55">
        <f t="shared" si="752"/>
        <v>0</v>
      </c>
      <c r="SEK1618" s="55">
        <f t="shared" si="752"/>
        <v>0</v>
      </c>
      <c r="SEL1618" s="55">
        <f t="shared" si="752"/>
        <v>0</v>
      </c>
      <c r="SEM1618" s="55">
        <f t="shared" si="752"/>
        <v>0</v>
      </c>
      <c r="SEN1618" s="55">
        <f t="shared" si="752"/>
        <v>0</v>
      </c>
      <c r="SEO1618" s="55">
        <f t="shared" si="752"/>
        <v>0</v>
      </c>
      <c r="SEP1618" s="55">
        <f t="shared" si="752"/>
        <v>0</v>
      </c>
      <c r="SEQ1618" s="55">
        <f t="shared" si="752"/>
        <v>0</v>
      </c>
      <c r="SER1618" s="55">
        <f t="shared" si="752"/>
        <v>0</v>
      </c>
      <c r="SES1618" s="55">
        <f t="shared" si="752"/>
        <v>0</v>
      </c>
      <c r="SET1618" s="55">
        <f t="shared" si="752"/>
        <v>0</v>
      </c>
      <c r="SEU1618" s="55">
        <f t="shared" si="752"/>
        <v>0</v>
      </c>
      <c r="SEV1618" s="55">
        <f t="shared" si="752"/>
        <v>0</v>
      </c>
      <c r="SEW1618" s="55">
        <f t="shared" si="752"/>
        <v>0</v>
      </c>
      <c r="SEX1618" s="55">
        <f t="shared" si="752"/>
        <v>0</v>
      </c>
      <c r="SEY1618" s="55">
        <f t="shared" si="752"/>
        <v>0</v>
      </c>
      <c r="SEZ1618" s="55">
        <f t="shared" si="752"/>
        <v>0</v>
      </c>
      <c r="SFA1618" s="55">
        <f t="shared" si="752"/>
        <v>0</v>
      </c>
      <c r="SFB1618" s="55">
        <f t="shared" si="752"/>
        <v>0</v>
      </c>
      <c r="SFC1618" s="55">
        <f t="shared" si="752"/>
        <v>0</v>
      </c>
      <c r="SFD1618" s="55">
        <f t="shared" ref="SFD1618:SHO1618" si="753">+(SFD1627+SFD1608)*1.18*1.1</f>
        <v>0</v>
      </c>
      <c r="SFE1618" s="55">
        <f t="shared" si="753"/>
        <v>0</v>
      </c>
      <c r="SFF1618" s="55">
        <f t="shared" si="753"/>
        <v>0</v>
      </c>
      <c r="SFG1618" s="55">
        <f t="shared" si="753"/>
        <v>0</v>
      </c>
      <c r="SFH1618" s="55">
        <f t="shared" si="753"/>
        <v>0</v>
      </c>
      <c r="SFI1618" s="55">
        <f t="shared" si="753"/>
        <v>0</v>
      </c>
      <c r="SFJ1618" s="55">
        <f t="shared" si="753"/>
        <v>0</v>
      </c>
      <c r="SFK1618" s="55">
        <f t="shared" si="753"/>
        <v>0</v>
      </c>
      <c r="SFL1618" s="55">
        <f t="shared" si="753"/>
        <v>0</v>
      </c>
      <c r="SFM1618" s="55">
        <f t="shared" si="753"/>
        <v>0</v>
      </c>
      <c r="SFN1618" s="55">
        <f t="shared" si="753"/>
        <v>0</v>
      </c>
      <c r="SFO1618" s="55">
        <f t="shared" si="753"/>
        <v>0</v>
      </c>
      <c r="SFP1618" s="55">
        <f t="shared" si="753"/>
        <v>0</v>
      </c>
      <c r="SFQ1618" s="55">
        <f t="shared" si="753"/>
        <v>0</v>
      </c>
      <c r="SFR1618" s="55">
        <f t="shared" si="753"/>
        <v>0</v>
      </c>
      <c r="SFS1618" s="55">
        <f t="shared" si="753"/>
        <v>0</v>
      </c>
      <c r="SFT1618" s="55">
        <f t="shared" si="753"/>
        <v>0</v>
      </c>
      <c r="SFU1618" s="55">
        <f t="shared" si="753"/>
        <v>0</v>
      </c>
      <c r="SFV1618" s="55">
        <f t="shared" si="753"/>
        <v>0</v>
      </c>
      <c r="SFW1618" s="55">
        <f t="shared" si="753"/>
        <v>0</v>
      </c>
      <c r="SFX1618" s="55">
        <f t="shared" si="753"/>
        <v>0</v>
      </c>
      <c r="SFY1618" s="55">
        <f t="shared" si="753"/>
        <v>0</v>
      </c>
      <c r="SFZ1618" s="55">
        <f t="shared" si="753"/>
        <v>0</v>
      </c>
      <c r="SGA1618" s="55">
        <f t="shared" si="753"/>
        <v>0</v>
      </c>
      <c r="SGB1618" s="55">
        <f t="shared" si="753"/>
        <v>0</v>
      </c>
      <c r="SGC1618" s="55">
        <f t="shared" si="753"/>
        <v>0</v>
      </c>
      <c r="SGD1618" s="55">
        <f t="shared" si="753"/>
        <v>0</v>
      </c>
      <c r="SGE1618" s="55">
        <f t="shared" si="753"/>
        <v>0</v>
      </c>
      <c r="SGF1618" s="55">
        <f t="shared" si="753"/>
        <v>0</v>
      </c>
      <c r="SGG1618" s="55">
        <f t="shared" si="753"/>
        <v>0</v>
      </c>
      <c r="SGH1618" s="55">
        <f t="shared" si="753"/>
        <v>0</v>
      </c>
      <c r="SGI1618" s="55">
        <f t="shared" si="753"/>
        <v>0</v>
      </c>
      <c r="SGJ1618" s="55">
        <f t="shared" si="753"/>
        <v>0</v>
      </c>
      <c r="SGK1618" s="55">
        <f t="shared" si="753"/>
        <v>0</v>
      </c>
      <c r="SGL1618" s="55">
        <f t="shared" si="753"/>
        <v>0</v>
      </c>
      <c r="SGM1618" s="55">
        <f t="shared" si="753"/>
        <v>0</v>
      </c>
      <c r="SGN1618" s="55">
        <f t="shared" si="753"/>
        <v>0</v>
      </c>
      <c r="SGO1618" s="55">
        <f t="shared" si="753"/>
        <v>0</v>
      </c>
      <c r="SGP1618" s="55">
        <f t="shared" si="753"/>
        <v>0</v>
      </c>
      <c r="SGQ1618" s="55">
        <f t="shared" si="753"/>
        <v>0</v>
      </c>
      <c r="SGR1618" s="55">
        <f t="shared" si="753"/>
        <v>0</v>
      </c>
      <c r="SGS1618" s="55">
        <f t="shared" si="753"/>
        <v>0</v>
      </c>
      <c r="SGT1618" s="55">
        <f t="shared" si="753"/>
        <v>0</v>
      </c>
      <c r="SGU1618" s="55">
        <f t="shared" si="753"/>
        <v>0</v>
      </c>
      <c r="SGV1618" s="55">
        <f t="shared" si="753"/>
        <v>0</v>
      </c>
      <c r="SGW1618" s="55">
        <f t="shared" si="753"/>
        <v>0</v>
      </c>
      <c r="SGX1618" s="55">
        <f t="shared" si="753"/>
        <v>0</v>
      </c>
      <c r="SGY1618" s="55">
        <f t="shared" si="753"/>
        <v>0</v>
      </c>
      <c r="SGZ1618" s="55">
        <f t="shared" si="753"/>
        <v>0</v>
      </c>
      <c r="SHA1618" s="55">
        <f t="shared" si="753"/>
        <v>0</v>
      </c>
      <c r="SHB1618" s="55">
        <f t="shared" si="753"/>
        <v>0</v>
      </c>
      <c r="SHC1618" s="55">
        <f t="shared" si="753"/>
        <v>0</v>
      </c>
      <c r="SHD1618" s="55">
        <f t="shared" si="753"/>
        <v>0</v>
      </c>
      <c r="SHE1618" s="55">
        <f t="shared" si="753"/>
        <v>0</v>
      </c>
      <c r="SHF1618" s="55">
        <f t="shared" si="753"/>
        <v>0</v>
      </c>
      <c r="SHG1618" s="55">
        <f t="shared" si="753"/>
        <v>0</v>
      </c>
      <c r="SHH1618" s="55">
        <f t="shared" si="753"/>
        <v>0</v>
      </c>
      <c r="SHI1618" s="55">
        <f t="shared" si="753"/>
        <v>0</v>
      </c>
      <c r="SHJ1618" s="55">
        <f t="shared" si="753"/>
        <v>0</v>
      </c>
      <c r="SHK1618" s="55">
        <f t="shared" si="753"/>
        <v>0</v>
      </c>
      <c r="SHL1618" s="55">
        <f t="shared" si="753"/>
        <v>0</v>
      </c>
      <c r="SHM1618" s="55">
        <f t="shared" si="753"/>
        <v>0</v>
      </c>
      <c r="SHN1618" s="55">
        <f t="shared" si="753"/>
        <v>0</v>
      </c>
      <c r="SHO1618" s="55">
        <f t="shared" si="753"/>
        <v>0</v>
      </c>
      <c r="SHP1618" s="55">
        <f t="shared" ref="SHP1618:SKA1618" si="754">+(SHP1627+SHP1608)*1.18*1.1</f>
        <v>0</v>
      </c>
      <c r="SHQ1618" s="55">
        <f t="shared" si="754"/>
        <v>0</v>
      </c>
      <c r="SHR1618" s="55">
        <f t="shared" si="754"/>
        <v>0</v>
      </c>
      <c r="SHS1618" s="55">
        <f t="shared" si="754"/>
        <v>0</v>
      </c>
      <c r="SHT1618" s="55">
        <f t="shared" si="754"/>
        <v>0</v>
      </c>
      <c r="SHU1618" s="55">
        <f t="shared" si="754"/>
        <v>0</v>
      </c>
      <c r="SHV1618" s="55">
        <f t="shared" si="754"/>
        <v>0</v>
      </c>
      <c r="SHW1618" s="55">
        <f t="shared" si="754"/>
        <v>0</v>
      </c>
      <c r="SHX1618" s="55">
        <f t="shared" si="754"/>
        <v>0</v>
      </c>
      <c r="SHY1618" s="55">
        <f t="shared" si="754"/>
        <v>0</v>
      </c>
      <c r="SHZ1618" s="55">
        <f t="shared" si="754"/>
        <v>0</v>
      </c>
      <c r="SIA1618" s="55">
        <f t="shared" si="754"/>
        <v>0</v>
      </c>
      <c r="SIB1618" s="55">
        <f t="shared" si="754"/>
        <v>0</v>
      </c>
      <c r="SIC1618" s="55">
        <f t="shared" si="754"/>
        <v>0</v>
      </c>
      <c r="SID1618" s="55">
        <f t="shared" si="754"/>
        <v>0</v>
      </c>
      <c r="SIE1618" s="55">
        <f t="shared" si="754"/>
        <v>0</v>
      </c>
      <c r="SIF1618" s="55">
        <f t="shared" si="754"/>
        <v>0</v>
      </c>
      <c r="SIG1618" s="55">
        <f t="shared" si="754"/>
        <v>0</v>
      </c>
      <c r="SIH1618" s="55">
        <f t="shared" si="754"/>
        <v>0</v>
      </c>
      <c r="SII1618" s="55">
        <f t="shared" si="754"/>
        <v>0</v>
      </c>
      <c r="SIJ1618" s="55">
        <f t="shared" si="754"/>
        <v>0</v>
      </c>
      <c r="SIK1618" s="55">
        <f t="shared" si="754"/>
        <v>0</v>
      </c>
      <c r="SIL1618" s="55">
        <f t="shared" si="754"/>
        <v>0</v>
      </c>
      <c r="SIM1618" s="55">
        <f t="shared" si="754"/>
        <v>0</v>
      </c>
      <c r="SIN1618" s="55">
        <f t="shared" si="754"/>
        <v>0</v>
      </c>
      <c r="SIO1618" s="55">
        <f t="shared" si="754"/>
        <v>0</v>
      </c>
      <c r="SIP1618" s="55">
        <f t="shared" si="754"/>
        <v>0</v>
      </c>
      <c r="SIQ1618" s="55">
        <f t="shared" si="754"/>
        <v>0</v>
      </c>
      <c r="SIR1618" s="55">
        <f t="shared" si="754"/>
        <v>0</v>
      </c>
      <c r="SIS1618" s="55">
        <f t="shared" si="754"/>
        <v>0</v>
      </c>
      <c r="SIT1618" s="55">
        <f t="shared" si="754"/>
        <v>0</v>
      </c>
      <c r="SIU1618" s="55">
        <f t="shared" si="754"/>
        <v>0</v>
      </c>
      <c r="SIV1618" s="55">
        <f t="shared" si="754"/>
        <v>0</v>
      </c>
      <c r="SIW1618" s="55">
        <f t="shared" si="754"/>
        <v>0</v>
      </c>
      <c r="SIX1618" s="55">
        <f t="shared" si="754"/>
        <v>0</v>
      </c>
      <c r="SIY1618" s="55">
        <f t="shared" si="754"/>
        <v>0</v>
      </c>
      <c r="SIZ1618" s="55">
        <f t="shared" si="754"/>
        <v>0</v>
      </c>
      <c r="SJA1618" s="55">
        <f t="shared" si="754"/>
        <v>0</v>
      </c>
      <c r="SJB1618" s="55">
        <f t="shared" si="754"/>
        <v>0</v>
      </c>
      <c r="SJC1618" s="55">
        <f t="shared" si="754"/>
        <v>0</v>
      </c>
      <c r="SJD1618" s="55">
        <f t="shared" si="754"/>
        <v>0</v>
      </c>
      <c r="SJE1618" s="55">
        <f t="shared" si="754"/>
        <v>0</v>
      </c>
      <c r="SJF1618" s="55">
        <f t="shared" si="754"/>
        <v>0</v>
      </c>
      <c r="SJG1618" s="55">
        <f t="shared" si="754"/>
        <v>0</v>
      </c>
      <c r="SJH1618" s="55">
        <f t="shared" si="754"/>
        <v>0</v>
      </c>
      <c r="SJI1618" s="55">
        <f t="shared" si="754"/>
        <v>0</v>
      </c>
      <c r="SJJ1618" s="55">
        <f t="shared" si="754"/>
        <v>0</v>
      </c>
      <c r="SJK1618" s="55">
        <f t="shared" si="754"/>
        <v>0</v>
      </c>
      <c r="SJL1618" s="55">
        <f t="shared" si="754"/>
        <v>0</v>
      </c>
      <c r="SJM1618" s="55">
        <f t="shared" si="754"/>
        <v>0</v>
      </c>
      <c r="SJN1618" s="55">
        <f t="shared" si="754"/>
        <v>0</v>
      </c>
      <c r="SJO1618" s="55">
        <f t="shared" si="754"/>
        <v>0</v>
      </c>
      <c r="SJP1618" s="55">
        <f t="shared" si="754"/>
        <v>0</v>
      </c>
      <c r="SJQ1618" s="55">
        <f t="shared" si="754"/>
        <v>0</v>
      </c>
      <c r="SJR1618" s="55">
        <f t="shared" si="754"/>
        <v>0</v>
      </c>
      <c r="SJS1618" s="55">
        <f t="shared" si="754"/>
        <v>0</v>
      </c>
      <c r="SJT1618" s="55">
        <f t="shared" si="754"/>
        <v>0</v>
      </c>
      <c r="SJU1618" s="55">
        <f t="shared" si="754"/>
        <v>0</v>
      </c>
      <c r="SJV1618" s="55">
        <f t="shared" si="754"/>
        <v>0</v>
      </c>
      <c r="SJW1618" s="55">
        <f t="shared" si="754"/>
        <v>0</v>
      </c>
      <c r="SJX1618" s="55">
        <f t="shared" si="754"/>
        <v>0</v>
      </c>
      <c r="SJY1618" s="55">
        <f t="shared" si="754"/>
        <v>0</v>
      </c>
      <c r="SJZ1618" s="55">
        <f t="shared" si="754"/>
        <v>0</v>
      </c>
      <c r="SKA1618" s="55">
        <f t="shared" si="754"/>
        <v>0</v>
      </c>
      <c r="SKB1618" s="55">
        <f t="shared" ref="SKB1618:SMM1618" si="755">+(SKB1627+SKB1608)*1.18*1.1</f>
        <v>0</v>
      </c>
      <c r="SKC1618" s="55">
        <f t="shared" si="755"/>
        <v>0</v>
      </c>
      <c r="SKD1618" s="55">
        <f t="shared" si="755"/>
        <v>0</v>
      </c>
      <c r="SKE1618" s="55">
        <f t="shared" si="755"/>
        <v>0</v>
      </c>
      <c r="SKF1618" s="55">
        <f t="shared" si="755"/>
        <v>0</v>
      </c>
      <c r="SKG1618" s="55">
        <f t="shared" si="755"/>
        <v>0</v>
      </c>
      <c r="SKH1618" s="55">
        <f t="shared" si="755"/>
        <v>0</v>
      </c>
      <c r="SKI1618" s="55">
        <f t="shared" si="755"/>
        <v>0</v>
      </c>
      <c r="SKJ1618" s="55">
        <f t="shared" si="755"/>
        <v>0</v>
      </c>
      <c r="SKK1618" s="55">
        <f t="shared" si="755"/>
        <v>0</v>
      </c>
      <c r="SKL1618" s="55">
        <f t="shared" si="755"/>
        <v>0</v>
      </c>
      <c r="SKM1618" s="55">
        <f t="shared" si="755"/>
        <v>0</v>
      </c>
      <c r="SKN1618" s="55">
        <f t="shared" si="755"/>
        <v>0</v>
      </c>
      <c r="SKO1618" s="55">
        <f t="shared" si="755"/>
        <v>0</v>
      </c>
      <c r="SKP1618" s="55">
        <f t="shared" si="755"/>
        <v>0</v>
      </c>
      <c r="SKQ1618" s="55">
        <f t="shared" si="755"/>
        <v>0</v>
      </c>
      <c r="SKR1618" s="55">
        <f t="shared" si="755"/>
        <v>0</v>
      </c>
      <c r="SKS1618" s="55">
        <f t="shared" si="755"/>
        <v>0</v>
      </c>
      <c r="SKT1618" s="55">
        <f t="shared" si="755"/>
        <v>0</v>
      </c>
      <c r="SKU1618" s="55">
        <f t="shared" si="755"/>
        <v>0</v>
      </c>
      <c r="SKV1618" s="55">
        <f t="shared" si="755"/>
        <v>0</v>
      </c>
      <c r="SKW1618" s="55">
        <f t="shared" si="755"/>
        <v>0</v>
      </c>
      <c r="SKX1618" s="55">
        <f t="shared" si="755"/>
        <v>0</v>
      </c>
      <c r="SKY1618" s="55">
        <f t="shared" si="755"/>
        <v>0</v>
      </c>
      <c r="SKZ1618" s="55">
        <f t="shared" si="755"/>
        <v>0</v>
      </c>
      <c r="SLA1618" s="55">
        <f t="shared" si="755"/>
        <v>0</v>
      </c>
      <c r="SLB1618" s="55">
        <f t="shared" si="755"/>
        <v>0</v>
      </c>
      <c r="SLC1618" s="55">
        <f t="shared" si="755"/>
        <v>0</v>
      </c>
      <c r="SLD1618" s="55">
        <f t="shared" si="755"/>
        <v>0</v>
      </c>
      <c r="SLE1618" s="55">
        <f t="shared" si="755"/>
        <v>0</v>
      </c>
      <c r="SLF1618" s="55">
        <f t="shared" si="755"/>
        <v>0</v>
      </c>
      <c r="SLG1618" s="55">
        <f t="shared" si="755"/>
        <v>0</v>
      </c>
      <c r="SLH1618" s="55">
        <f t="shared" si="755"/>
        <v>0</v>
      </c>
      <c r="SLI1618" s="55">
        <f t="shared" si="755"/>
        <v>0</v>
      </c>
      <c r="SLJ1618" s="55">
        <f t="shared" si="755"/>
        <v>0</v>
      </c>
      <c r="SLK1618" s="55">
        <f t="shared" si="755"/>
        <v>0</v>
      </c>
      <c r="SLL1618" s="55">
        <f t="shared" si="755"/>
        <v>0</v>
      </c>
      <c r="SLM1618" s="55">
        <f t="shared" si="755"/>
        <v>0</v>
      </c>
      <c r="SLN1618" s="55">
        <f t="shared" si="755"/>
        <v>0</v>
      </c>
      <c r="SLO1618" s="55">
        <f t="shared" si="755"/>
        <v>0</v>
      </c>
      <c r="SLP1618" s="55">
        <f t="shared" si="755"/>
        <v>0</v>
      </c>
      <c r="SLQ1618" s="55">
        <f t="shared" si="755"/>
        <v>0</v>
      </c>
      <c r="SLR1618" s="55">
        <f t="shared" si="755"/>
        <v>0</v>
      </c>
      <c r="SLS1618" s="55">
        <f t="shared" si="755"/>
        <v>0</v>
      </c>
      <c r="SLT1618" s="55">
        <f t="shared" si="755"/>
        <v>0</v>
      </c>
      <c r="SLU1618" s="55">
        <f t="shared" si="755"/>
        <v>0</v>
      </c>
      <c r="SLV1618" s="55">
        <f t="shared" si="755"/>
        <v>0</v>
      </c>
      <c r="SLW1618" s="55">
        <f t="shared" si="755"/>
        <v>0</v>
      </c>
      <c r="SLX1618" s="55">
        <f t="shared" si="755"/>
        <v>0</v>
      </c>
      <c r="SLY1618" s="55">
        <f t="shared" si="755"/>
        <v>0</v>
      </c>
      <c r="SLZ1618" s="55">
        <f t="shared" si="755"/>
        <v>0</v>
      </c>
      <c r="SMA1618" s="55">
        <f t="shared" si="755"/>
        <v>0</v>
      </c>
      <c r="SMB1618" s="55">
        <f t="shared" si="755"/>
        <v>0</v>
      </c>
      <c r="SMC1618" s="55">
        <f t="shared" si="755"/>
        <v>0</v>
      </c>
      <c r="SMD1618" s="55">
        <f t="shared" si="755"/>
        <v>0</v>
      </c>
      <c r="SME1618" s="55">
        <f t="shared" si="755"/>
        <v>0</v>
      </c>
      <c r="SMF1618" s="55">
        <f t="shared" si="755"/>
        <v>0</v>
      </c>
      <c r="SMG1618" s="55">
        <f t="shared" si="755"/>
        <v>0</v>
      </c>
      <c r="SMH1618" s="55">
        <f t="shared" si="755"/>
        <v>0</v>
      </c>
      <c r="SMI1618" s="55">
        <f t="shared" si="755"/>
        <v>0</v>
      </c>
      <c r="SMJ1618" s="55">
        <f t="shared" si="755"/>
        <v>0</v>
      </c>
      <c r="SMK1618" s="55">
        <f t="shared" si="755"/>
        <v>0</v>
      </c>
      <c r="SML1618" s="55">
        <f t="shared" si="755"/>
        <v>0</v>
      </c>
      <c r="SMM1618" s="55">
        <f t="shared" si="755"/>
        <v>0</v>
      </c>
      <c r="SMN1618" s="55">
        <f t="shared" ref="SMN1618:SOY1618" si="756">+(SMN1627+SMN1608)*1.18*1.1</f>
        <v>0</v>
      </c>
      <c r="SMO1618" s="55">
        <f t="shared" si="756"/>
        <v>0</v>
      </c>
      <c r="SMP1618" s="55">
        <f t="shared" si="756"/>
        <v>0</v>
      </c>
      <c r="SMQ1618" s="55">
        <f t="shared" si="756"/>
        <v>0</v>
      </c>
      <c r="SMR1618" s="55">
        <f t="shared" si="756"/>
        <v>0</v>
      </c>
      <c r="SMS1618" s="55">
        <f t="shared" si="756"/>
        <v>0</v>
      </c>
      <c r="SMT1618" s="55">
        <f t="shared" si="756"/>
        <v>0</v>
      </c>
      <c r="SMU1618" s="55">
        <f t="shared" si="756"/>
        <v>0</v>
      </c>
      <c r="SMV1618" s="55">
        <f t="shared" si="756"/>
        <v>0</v>
      </c>
      <c r="SMW1618" s="55">
        <f t="shared" si="756"/>
        <v>0</v>
      </c>
      <c r="SMX1618" s="55">
        <f t="shared" si="756"/>
        <v>0</v>
      </c>
      <c r="SMY1618" s="55">
        <f t="shared" si="756"/>
        <v>0</v>
      </c>
      <c r="SMZ1618" s="55">
        <f t="shared" si="756"/>
        <v>0</v>
      </c>
      <c r="SNA1618" s="55">
        <f t="shared" si="756"/>
        <v>0</v>
      </c>
      <c r="SNB1618" s="55">
        <f t="shared" si="756"/>
        <v>0</v>
      </c>
      <c r="SNC1618" s="55">
        <f t="shared" si="756"/>
        <v>0</v>
      </c>
      <c r="SND1618" s="55">
        <f t="shared" si="756"/>
        <v>0</v>
      </c>
      <c r="SNE1618" s="55">
        <f t="shared" si="756"/>
        <v>0</v>
      </c>
      <c r="SNF1618" s="55">
        <f t="shared" si="756"/>
        <v>0</v>
      </c>
      <c r="SNG1618" s="55">
        <f t="shared" si="756"/>
        <v>0</v>
      </c>
      <c r="SNH1618" s="55">
        <f t="shared" si="756"/>
        <v>0</v>
      </c>
      <c r="SNI1618" s="55">
        <f t="shared" si="756"/>
        <v>0</v>
      </c>
      <c r="SNJ1618" s="55">
        <f t="shared" si="756"/>
        <v>0</v>
      </c>
      <c r="SNK1618" s="55">
        <f t="shared" si="756"/>
        <v>0</v>
      </c>
      <c r="SNL1618" s="55">
        <f t="shared" si="756"/>
        <v>0</v>
      </c>
      <c r="SNM1618" s="55">
        <f t="shared" si="756"/>
        <v>0</v>
      </c>
      <c r="SNN1618" s="55">
        <f t="shared" si="756"/>
        <v>0</v>
      </c>
      <c r="SNO1618" s="55">
        <f t="shared" si="756"/>
        <v>0</v>
      </c>
      <c r="SNP1618" s="55">
        <f t="shared" si="756"/>
        <v>0</v>
      </c>
      <c r="SNQ1618" s="55">
        <f t="shared" si="756"/>
        <v>0</v>
      </c>
      <c r="SNR1618" s="55">
        <f t="shared" si="756"/>
        <v>0</v>
      </c>
      <c r="SNS1618" s="55">
        <f t="shared" si="756"/>
        <v>0</v>
      </c>
      <c r="SNT1618" s="55">
        <f t="shared" si="756"/>
        <v>0</v>
      </c>
      <c r="SNU1618" s="55">
        <f t="shared" si="756"/>
        <v>0</v>
      </c>
      <c r="SNV1618" s="55">
        <f t="shared" si="756"/>
        <v>0</v>
      </c>
      <c r="SNW1618" s="55">
        <f t="shared" si="756"/>
        <v>0</v>
      </c>
      <c r="SNX1618" s="55">
        <f t="shared" si="756"/>
        <v>0</v>
      </c>
      <c r="SNY1618" s="55">
        <f t="shared" si="756"/>
        <v>0</v>
      </c>
      <c r="SNZ1618" s="55">
        <f t="shared" si="756"/>
        <v>0</v>
      </c>
      <c r="SOA1618" s="55">
        <f t="shared" si="756"/>
        <v>0</v>
      </c>
      <c r="SOB1618" s="55">
        <f t="shared" si="756"/>
        <v>0</v>
      </c>
      <c r="SOC1618" s="55">
        <f t="shared" si="756"/>
        <v>0</v>
      </c>
      <c r="SOD1618" s="55">
        <f t="shared" si="756"/>
        <v>0</v>
      </c>
      <c r="SOE1618" s="55">
        <f t="shared" si="756"/>
        <v>0</v>
      </c>
      <c r="SOF1618" s="55">
        <f t="shared" si="756"/>
        <v>0</v>
      </c>
      <c r="SOG1618" s="55">
        <f t="shared" si="756"/>
        <v>0</v>
      </c>
      <c r="SOH1618" s="55">
        <f t="shared" si="756"/>
        <v>0</v>
      </c>
      <c r="SOI1618" s="55">
        <f t="shared" si="756"/>
        <v>0</v>
      </c>
      <c r="SOJ1618" s="55">
        <f t="shared" si="756"/>
        <v>0</v>
      </c>
      <c r="SOK1618" s="55">
        <f t="shared" si="756"/>
        <v>0</v>
      </c>
      <c r="SOL1618" s="55">
        <f t="shared" si="756"/>
        <v>0</v>
      </c>
      <c r="SOM1618" s="55">
        <f t="shared" si="756"/>
        <v>0</v>
      </c>
      <c r="SON1618" s="55">
        <f t="shared" si="756"/>
        <v>0</v>
      </c>
      <c r="SOO1618" s="55">
        <f t="shared" si="756"/>
        <v>0</v>
      </c>
      <c r="SOP1618" s="55">
        <f t="shared" si="756"/>
        <v>0</v>
      </c>
      <c r="SOQ1618" s="55">
        <f t="shared" si="756"/>
        <v>0</v>
      </c>
      <c r="SOR1618" s="55">
        <f t="shared" si="756"/>
        <v>0</v>
      </c>
      <c r="SOS1618" s="55">
        <f t="shared" si="756"/>
        <v>0</v>
      </c>
      <c r="SOT1618" s="55">
        <f t="shared" si="756"/>
        <v>0</v>
      </c>
      <c r="SOU1618" s="55">
        <f t="shared" si="756"/>
        <v>0</v>
      </c>
      <c r="SOV1618" s="55">
        <f t="shared" si="756"/>
        <v>0</v>
      </c>
      <c r="SOW1618" s="55">
        <f t="shared" si="756"/>
        <v>0</v>
      </c>
      <c r="SOX1618" s="55">
        <f t="shared" si="756"/>
        <v>0</v>
      </c>
      <c r="SOY1618" s="55">
        <f t="shared" si="756"/>
        <v>0</v>
      </c>
      <c r="SOZ1618" s="55">
        <f t="shared" ref="SOZ1618:SRK1618" si="757">+(SOZ1627+SOZ1608)*1.18*1.1</f>
        <v>0</v>
      </c>
      <c r="SPA1618" s="55">
        <f t="shared" si="757"/>
        <v>0</v>
      </c>
      <c r="SPB1618" s="55">
        <f t="shared" si="757"/>
        <v>0</v>
      </c>
      <c r="SPC1618" s="55">
        <f t="shared" si="757"/>
        <v>0</v>
      </c>
      <c r="SPD1618" s="55">
        <f t="shared" si="757"/>
        <v>0</v>
      </c>
      <c r="SPE1618" s="55">
        <f t="shared" si="757"/>
        <v>0</v>
      </c>
      <c r="SPF1618" s="55">
        <f t="shared" si="757"/>
        <v>0</v>
      </c>
      <c r="SPG1618" s="55">
        <f t="shared" si="757"/>
        <v>0</v>
      </c>
      <c r="SPH1618" s="55">
        <f t="shared" si="757"/>
        <v>0</v>
      </c>
      <c r="SPI1618" s="55">
        <f t="shared" si="757"/>
        <v>0</v>
      </c>
      <c r="SPJ1618" s="55">
        <f t="shared" si="757"/>
        <v>0</v>
      </c>
      <c r="SPK1618" s="55">
        <f t="shared" si="757"/>
        <v>0</v>
      </c>
      <c r="SPL1618" s="55">
        <f t="shared" si="757"/>
        <v>0</v>
      </c>
      <c r="SPM1618" s="55">
        <f t="shared" si="757"/>
        <v>0</v>
      </c>
      <c r="SPN1618" s="55">
        <f t="shared" si="757"/>
        <v>0</v>
      </c>
      <c r="SPO1618" s="55">
        <f t="shared" si="757"/>
        <v>0</v>
      </c>
      <c r="SPP1618" s="55">
        <f t="shared" si="757"/>
        <v>0</v>
      </c>
      <c r="SPQ1618" s="55">
        <f t="shared" si="757"/>
        <v>0</v>
      </c>
      <c r="SPR1618" s="55">
        <f t="shared" si="757"/>
        <v>0</v>
      </c>
      <c r="SPS1618" s="55">
        <f t="shared" si="757"/>
        <v>0</v>
      </c>
      <c r="SPT1618" s="55">
        <f t="shared" si="757"/>
        <v>0</v>
      </c>
      <c r="SPU1618" s="55">
        <f t="shared" si="757"/>
        <v>0</v>
      </c>
      <c r="SPV1618" s="55">
        <f t="shared" si="757"/>
        <v>0</v>
      </c>
      <c r="SPW1618" s="55">
        <f t="shared" si="757"/>
        <v>0</v>
      </c>
      <c r="SPX1618" s="55">
        <f t="shared" si="757"/>
        <v>0</v>
      </c>
      <c r="SPY1618" s="55">
        <f t="shared" si="757"/>
        <v>0</v>
      </c>
      <c r="SPZ1618" s="55">
        <f t="shared" si="757"/>
        <v>0</v>
      </c>
      <c r="SQA1618" s="55">
        <f t="shared" si="757"/>
        <v>0</v>
      </c>
      <c r="SQB1618" s="55">
        <f t="shared" si="757"/>
        <v>0</v>
      </c>
      <c r="SQC1618" s="55">
        <f t="shared" si="757"/>
        <v>0</v>
      </c>
      <c r="SQD1618" s="55">
        <f t="shared" si="757"/>
        <v>0</v>
      </c>
      <c r="SQE1618" s="55">
        <f t="shared" si="757"/>
        <v>0</v>
      </c>
      <c r="SQF1618" s="55">
        <f t="shared" si="757"/>
        <v>0</v>
      </c>
      <c r="SQG1618" s="55">
        <f t="shared" si="757"/>
        <v>0</v>
      </c>
      <c r="SQH1618" s="55">
        <f t="shared" si="757"/>
        <v>0</v>
      </c>
      <c r="SQI1618" s="55">
        <f t="shared" si="757"/>
        <v>0</v>
      </c>
      <c r="SQJ1618" s="55">
        <f t="shared" si="757"/>
        <v>0</v>
      </c>
      <c r="SQK1618" s="55">
        <f t="shared" si="757"/>
        <v>0</v>
      </c>
      <c r="SQL1618" s="55">
        <f t="shared" si="757"/>
        <v>0</v>
      </c>
      <c r="SQM1618" s="55">
        <f t="shared" si="757"/>
        <v>0</v>
      </c>
      <c r="SQN1618" s="55">
        <f t="shared" si="757"/>
        <v>0</v>
      </c>
      <c r="SQO1618" s="55">
        <f t="shared" si="757"/>
        <v>0</v>
      </c>
      <c r="SQP1618" s="55">
        <f t="shared" si="757"/>
        <v>0</v>
      </c>
      <c r="SQQ1618" s="55">
        <f t="shared" si="757"/>
        <v>0</v>
      </c>
      <c r="SQR1618" s="55">
        <f t="shared" si="757"/>
        <v>0</v>
      </c>
      <c r="SQS1618" s="55">
        <f t="shared" si="757"/>
        <v>0</v>
      </c>
      <c r="SQT1618" s="55">
        <f t="shared" si="757"/>
        <v>0</v>
      </c>
      <c r="SQU1618" s="55">
        <f t="shared" si="757"/>
        <v>0</v>
      </c>
      <c r="SQV1618" s="55">
        <f t="shared" si="757"/>
        <v>0</v>
      </c>
      <c r="SQW1618" s="55">
        <f t="shared" si="757"/>
        <v>0</v>
      </c>
      <c r="SQX1618" s="55">
        <f t="shared" si="757"/>
        <v>0</v>
      </c>
      <c r="SQY1618" s="55">
        <f t="shared" si="757"/>
        <v>0</v>
      </c>
      <c r="SQZ1618" s="55">
        <f t="shared" si="757"/>
        <v>0</v>
      </c>
      <c r="SRA1618" s="55">
        <f t="shared" si="757"/>
        <v>0</v>
      </c>
      <c r="SRB1618" s="55">
        <f t="shared" si="757"/>
        <v>0</v>
      </c>
      <c r="SRC1618" s="55">
        <f t="shared" si="757"/>
        <v>0</v>
      </c>
      <c r="SRD1618" s="55">
        <f t="shared" si="757"/>
        <v>0</v>
      </c>
      <c r="SRE1618" s="55">
        <f t="shared" si="757"/>
        <v>0</v>
      </c>
      <c r="SRF1618" s="55">
        <f t="shared" si="757"/>
        <v>0</v>
      </c>
      <c r="SRG1618" s="55">
        <f t="shared" si="757"/>
        <v>0</v>
      </c>
      <c r="SRH1618" s="55">
        <f t="shared" si="757"/>
        <v>0</v>
      </c>
      <c r="SRI1618" s="55">
        <f t="shared" si="757"/>
        <v>0</v>
      </c>
      <c r="SRJ1618" s="55">
        <f t="shared" si="757"/>
        <v>0</v>
      </c>
      <c r="SRK1618" s="55">
        <f t="shared" si="757"/>
        <v>0</v>
      </c>
      <c r="SRL1618" s="55">
        <f t="shared" ref="SRL1618:STW1618" si="758">+(SRL1627+SRL1608)*1.18*1.1</f>
        <v>0</v>
      </c>
      <c r="SRM1618" s="55">
        <f t="shared" si="758"/>
        <v>0</v>
      </c>
      <c r="SRN1618" s="55">
        <f t="shared" si="758"/>
        <v>0</v>
      </c>
      <c r="SRO1618" s="55">
        <f t="shared" si="758"/>
        <v>0</v>
      </c>
      <c r="SRP1618" s="55">
        <f t="shared" si="758"/>
        <v>0</v>
      </c>
      <c r="SRQ1618" s="55">
        <f t="shared" si="758"/>
        <v>0</v>
      </c>
      <c r="SRR1618" s="55">
        <f t="shared" si="758"/>
        <v>0</v>
      </c>
      <c r="SRS1618" s="55">
        <f t="shared" si="758"/>
        <v>0</v>
      </c>
      <c r="SRT1618" s="55">
        <f t="shared" si="758"/>
        <v>0</v>
      </c>
      <c r="SRU1618" s="55">
        <f t="shared" si="758"/>
        <v>0</v>
      </c>
      <c r="SRV1618" s="55">
        <f t="shared" si="758"/>
        <v>0</v>
      </c>
      <c r="SRW1618" s="55">
        <f t="shared" si="758"/>
        <v>0</v>
      </c>
      <c r="SRX1618" s="55">
        <f t="shared" si="758"/>
        <v>0</v>
      </c>
      <c r="SRY1618" s="55">
        <f t="shared" si="758"/>
        <v>0</v>
      </c>
      <c r="SRZ1618" s="55">
        <f t="shared" si="758"/>
        <v>0</v>
      </c>
      <c r="SSA1618" s="55">
        <f t="shared" si="758"/>
        <v>0</v>
      </c>
      <c r="SSB1618" s="55">
        <f t="shared" si="758"/>
        <v>0</v>
      </c>
      <c r="SSC1618" s="55">
        <f t="shared" si="758"/>
        <v>0</v>
      </c>
      <c r="SSD1618" s="55">
        <f t="shared" si="758"/>
        <v>0</v>
      </c>
      <c r="SSE1618" s="55">
        <f t="shared" si="758"/>
        <v>0</v>
      </c>
      <c r="SSF1618" s="55">
        <f t="shared" si="758"/>
        <v>0</v>
      </c>
      <c r="SSG1618" s="55">
        <f t="shared" si="758"/>
        <v>0</v>
      </c>
      <c r="SSH1618" s="55">
        <f t="shared" si="758"/>
        <v>0</v>
      </c>
      <c r="SSI1618" s="55">
        <f t="shared" si="758"/>
        <v>0</v>
      </c>
      <c r="SSJ1618" s="55">
        <f t="shared" si="758"/>
        <v>0</v>
      </c>
      <c r="SSK1618" s="55">
        <f t="shared" si="758"/>
        <v>0</v>
      </c>
      <c r="SSL1618" s="55">
        <f t="shared" si="758"/>
        <v>0</v>
      </c>
      <c r="SSM1618" s="55">
        <f t="shared" si="758"/>
        <v>0</v>
      </c>
      <c r="SSN1618" s="55">
        <f t="shared" si="758"/>
        <v>0</v>
      </c>
      <c r="SSO1618" s="55">
        <f t="shared" si="758"/>
        <v>0</v>
      </c>
      <c r="SSP1618" s="55">
        <f t="shared" si="758"/>
        <v>0</v>
      </c>
      <c r="SSQ1618" s="55">
        <f t="shared" si="758"/>
        <v>0</v>
      </c>
      <c r="SSR1618" s="55">
        <f t="shared" si="758"/>
        <v>0</v>
      </c>
      <c r="SSS1618" s="55">
        <f t="shared" si="758"/>
        <v>0</v>
      </c>
      <c r="SST1618" s="55">
        <f t="shared" si="758"/>
        <v>0</v>
      </c>
      <c r="SSU1618" s="55">
        <f t="shared" si="758"/>
        <v>0</v>
      </c>
      <c r="SSV1618" s="55">
        <f t="shared" si="758"/>
        <v>0</v>
      </c>
      <c r="SSW1618" s="55">
        <f t="shared" si="758"/>
        <v>0</v>
      </c>
      <c r="SSX1618" s="55">
        <f t="shared" si="758"/>
        <v>0</v>
      </c>
      <c r="SSY1618" s="55">
        <f t="shared" si="758"/>
        <v>0</v>
      </c>
      <c r="SSZ1618" s="55">
        <f t="shared" si="758"/>
        <v>0</v>
      </c>
      <c r="STA1618" s="55">
        <f t="shared" si="758"/>
        <v>0</v>
      </c>
      <c r="STB1618" s="55">
        <f t="shared" si="758"/>
        <v>0</v>
      </c>
      <c r="STC1618" s="55">
        <f t="shared" si="758"/>
        <v>0</v>
      </c>
      <c r="STD1618" s="55">
        <f t="shared" si="758"/>
        <v>0</v>
      </c>
      <c r="STE1618" s="55">
        <f t="shared" si="758"/>
        <v>0</v>
      </c>
      <c r="STF1618" s="55">
        <f t="shared" si="758"/>
        <v>0</v>
      </c>
      <c r="STG1618" s="55">
        <f t="shared" si="758"/>
        <v>0</v>
      </c>
      <c r="STH1618" s="55">
        <f t="shared" si="758"/>
        <v>0</v>
      </c>
      <c r="STI1618" s="55">
        <f t="shared" si="758"/>
        <v>0</v>
      </c>
      <c r="STJ1618" s="55">
        <f t="shared" si="758"/>
        <v>0</v>
      </c>
      <c r="STK1618" s="55">
        <f t="shared" si="758"/>
        <v>0</v>
      </c>
      <c r="STL1618" s="55">
        <f t="shared" si="758"/>
        <v>0</v>
      </c>
      <c r="STM1618" s="55">
        <f t="shared" si="758"/>
        <v>0</v>
      </c>
      <c r="STN1618" s="55">
        <f t="shared" si="758"/>
        <v>0</v>
      </c>
      <c r="STO1618" s="55">
        <f t="shared" si="758"/>
        <v>0</v>
      </c>
      <c r="STP1618" s="55">
        <f t="shared" si="758"/>
        <v>0</v>
      </c>
      <c r="STQ1618" s="55">
        <f t="shared" si="758"/>
        <v>0</v>
      </c>
      <c r="STR1618" s="55">
        <f t="shared" si="758"/>
        <v>0</v>
      </c>
      <c r="STS1618" s="55">
        <f t="shared" si="758"/>
        <v>0</v>
      </c>
      <c r="STT1618" s="55">
        <f t="shared" si="758"/>
        <v>0</v>
      </c>
      <c r="STU1618" s="55">
        <f t="shared" si="758"/>
        <v>0</v>
      </c>
      <c r="STV1618" s="55">
        <f t="shared" si="758"/>
        <v>0</v>
      </c>
      <c r="STW1618" s="55">
        <f t="shared" si="758"/>
        <v>0</v>
      </c>
      <c r="STX1618" s="55">
        <f t="shared" ref="STX1618:SWI1618" si="759">+(STX1627+STX1608)*1.18*1.1</f>
        <v>0</v>
      </c>
      <c r="STY1618" s="55">
        <f t="shared" si="759"/>
        <v>0</v>
      </c>
      <c r="STZ1618" s="55">
        <f t="shared" si="759"/>
        <v>0</v>
      </c>
      <c r="SUA1618" s="55">
        <f t="shared" si="759"/>
        <v>0</v>
      </c>
      <c r="SUB1618" s="55">
        <f t="shared" si="759"/>
        <v>0</v>
      </c>
      <c r="SUC1618" s="55">
        <f t="shared" si="759"/>
        <v>0</v>
      </c>
      <c r="SUD1618" s="55">
        <f t="shared" si="759"/>
        <v>0</v>
      </c>
      <c r="SUE1618" s="55">
        <f t="shared" si="759"/>
        <v>0</v>
      </c>
      <c r="SUF1618" s="55">
        <f t="shared" si="759"/>
        <v>0</v>
      </c>
      <c r="SUG1618" s="55">
        <f t="shared" si="759"/>
        <v>0</v>
      </c>
      <c r="SUH1618" s="55">
        <f t="shared" si="759"/>
        <v>0</v>
      </c>
      <c r="SUI1618" s="55">
        <f t="shared" si="759"/>
        <v>0</v>
      </c>
      <c r="SUJ1618" s="55">
        <f t="shared" si="759"/>
        <v>0</v>
      </c>
      <c r="SUK1618" s="55">
        <f t="shared" si="759"/>
        <v>0</v>
      </c>
      <c r="SUL1618" s="55">
        <f t="shared" si="759"/>
        <v>0</v>
      </c>
      <c r="SUM1618" s="55">
        <f t="shared" si="759"/>
        <v>0</v>
      </c>
      <c r="SUN1618" s="55">
        <f t="shared" si="759"/>
        <v>0</v>
      </c>
      <c r="SUO1618" s="55">
        <f t="shared" si="759"/>
        <v>0</v>
      </c>
      <c r="SUP1618" s="55">
        <f t="shared" si="759"/>
        <v>0</v>
      </c>
      <c r="SUQ1618" s="55">
        <f t="shared" si="759"/>
        <v>0</v>
      </c>
      <c r="SUR1618" s="55">
        <f t="shared" si="759"/>
        <v>0</v>
      </c>
      <c r="SUS1618" s="55">
        <f t="shared" si="759"/>
        <v>0</v>
      </c>
      <c r="SUT1618" s="55">
        <f t="shared" si="759"/>
        <v>0</v>
      </c>
      <c r="SUU1618" s="55">
        <f t="shared" si="759"/>
        <v>0</v>
      </c>
      <c r="SUV1618" s="55">
        <f t="shared" si="759"/>
        <v>0</v>
      </c>
      <c r="SUW1618" s="55">
        <f t="shared" si="759"/>
        <v>0</v>
      </c>
      <c r="SUX1618" s="55">
        <f t="shared" si="759"/>
        <v>0</v>
      </c>
      <c r="SUY1618" s="55">
        <f t="shared" si="759"/>
        <v>0</v>
      </c>
      <c r="SUZ1618" s="55">
        <f t="shared" si="759"/>
        <v>0</v>
      </c>
      <c r="SVA1618" s="55">
        <f t="shared" si="759"/>
        <v>0</v>
      </c>
      <c r="SVB1618" s="55">
        <f t="shared" si="759"/>
        <v>0</v>
      </c>
      <c r="SVC1618" s="55">
        <f t="shared" si="759"/>
        <v>0</v>
      </c>
      <c r="SVD1618" s="55">
        <f t="shared" si="759"/>
        <v>0</v>
      </c>
      <c r="SVE1618" s="55">
        <f t="shared" si="759"/>
        <v>0</v>
      </c>
      <c r="SVF1618" s="55">
        <f t="shared" si="759"/>
        <v>0</v>
      </c>
      <c r="SVG1618" s="55">
        <f t="shared" si="759"/>
        <v>0</v>
      </c>
      <c r="SVH1618" s="55">
        <f t="shared" si="759"/>
        <v>0</v>
      </c>
      <c r="SVI1618" s="55">
        <f t="shared" si="759"/>
        <v>0</v>
      </c>
      <c r="SVJ1618" s="55">
        <f t="shared" si="759"/>
        <v>0</v>
      </c>
      <c r="SVK1618" s="55">
        <f t="shared" si="759"/>
        <v>0</v>
      </c>
      <c r="SVL1618" s="55">
        <f t="shared" si="759"/>
        <v>0</v>
      </c>
      <c r="SVM1618" s="55">
        <f t="shared" si="759"/>
        <v>0</v>
      </c>
      <c r="SVN1618" s="55">
        <f t="shared" si="759"/>
        <v>0</v>
      </c>
      <c r="SVO1618" s="55">
        <f t="shared" si="759"/>
        <v>0</v>
      </c>
      <c r="SVP1618" s="55">
        <f t="shared" si="759"/>
        <v>0</v>
      </c>
      <c r="SVQ1618" s="55">
        <f t="shared" si="759"/>
        <v>0</v>
      </c>
      <c r="SVR1618" s="55">
        <f t="shared" si="759"/>
        <v>0</v>
      </c>
      <c r="SVS1618" s="55">
        <f t="shared" si="759"/>
        <v>0</v>
      </c>
      <c r="SVT1618" s="55">
        <f t="shared" si="759"/>
        <v>0</v>
      </c>
      <c r="SVU1618" s="55">
        <f t="shared" si="759"/>
        <v>0</v>
      </c>
      <c r="SVV1618" s="55">
        <f t="shared" si="759"/>
        <v>0</v>
      </c>
      <c r="SVW1618" s="55">
        <f t="shared" si="759"/>
        <v>0</v>
      </c>
      <c r="SVX1618" s="55">
        <f t="shared" si="759"/>
        <v>0</v>
      </c>
      <c r="SVY1618" s="55">
        <f t="shared" si="759"/>
        <v>0</v>
      </c>
      <c r="SVZ1618" s="55">
        <f t="shared" si="759"/>
        <v>0</v>
      </c>
      <c r="SWA1618" s="55">
        <f t="shared" si="759"/>
        <v>0</v>
      </c>
      <c r="SWB1618" s="55">
        <f t="shared" si="759"/>
        <v>0</v>
      </c>
      <c r="SWC1618" s="55">
        <f t="shared" si="759"/>
        <v>0</v>
      </c>
      <c r="SWD1618" s="55">
        <f t="shared" si="759"/>
        <v>0</v>
      </c>
      <c r="SWE1618" s="55">
        <f t="shared" si="759"/>
        <v>0</v>
      </c>
      <c r="SWF1618" s="55">
        <f t="shared" si="759"/>
        <v>0</v>
      </c>
      <c r="SWG1618" s="55">
        <f t="shared" si="759"/>
        <v>0</v>
      </c>
      <c r="SWH1618" s="55">
        <f t="shared" si="759"/>
        <v>0</v>
      </c>
      <c r="SWI1618" s="55">
        <f t="shared" si="759"/>
        <v>0</v>
      </c>
      <c r="SWJ1618" s="55">
        <f t="shared" ref="SWJ1618:SYU1618" si="760">+(SWJ1627+SWJ1608)*1.18*1.1</f>
        <v>0</v>
      </c>
      <c r="SWK1618" s="55">
        <f t="shared" si="760"/>
        <v>0</v>
      </c>
      <c r="SWL1618" s="55">
        <f t="shared" si="760"/>
        <v>0</v>
      </c>
      <c r="SWM1618" s="55">
        <f t="shared" si="760"/>
        <v>0</v>
      </c>
      <c r="SWN1618" s="55">
        <f t="shared" si="760"/>
        <v>0</v>
      </c>
      <c r="SWO1618" s="55">
        <f t="shared" si="760"/>
        <v>0</v>
      </c>
      <c r="SWP1618" s="55">
        <f t="shared" si="760"/>
        <v>0</v>
      </c>
      <c r="SWQ1618" s="55">
        <f t="shared" si="760"/>
        <v>0</v>
      </c>
      <c r="SWR1618" s="55">
        <f t="shared" si="760"/>
        <v>0</v>
      </c>
      <c r="SWS1618" s="55">
        <f t="shared" si="760"/>
        <v>0</v>
      </c>
      <c r="SWT1618" s="55">
        <f t="shared" si="760"/>
        <v>0</v>
      </c>
      <c r="SWU1618" s="55">
        <f t="shared" si="760"/>
        <v>0</v>
      </c>
      <c r="SWV1618" s="55">
        <f t="shared" si="760"/>
        <v>0</v>
      </c>
      <c r="SWW1618" s="55">
        <f t="shared" si="760"/>
        <v>0</v>
      </c>
      <c r="SWX1618" s="55">
        <f t="shared" si="760"/>
        <v>0</v>
      </c>
      <c r="SWY1618" s="55">
        <f t="shared" si="760"/>
        <v>0</v>
      </c>
      <c r="SWZ1618" s="55">
        <f t="shared" si="760"/>
        <v>0</v>
      </c>
      <c r="SXA1618" s="55">
        <f t="shared" si="760"/>
        <v>0</v>
      </c>
      <c r="SXB1618" s="55">
        <f t="shared" si="760"/>
        <v>0</v>
      </c>
      <c r="SXC1618" s="55">
        <f t="shared" si="760"/>
        <v>0</v>
      </c>
      <c r="SXD1618" s="55">
        <f t="shared" si="760"/>
        <v>0</v>
      </c>
      <c r="SXE1618" s="55">
        <f t="shared" si="760"/>
        <v>0</v>
      </c>
      <c r="SXF1618" s="55">
        <f t="shared" si="760"/>
        <v>0</v>
      </c>
      <c r="SXG1618" s="55">
        <f t="shared" si="760"/>
        <v>0</v>
      </c>
      <c r="SXH1618" s="55">
        <f t="shared" si="760"/>
        <v>0</v>
      </c>
      <c r="SXI1618" s="55">
        <f t="shared" si="760"/>
        <v>0</v>
      </c>
      <c r="SXJ1618" s="55">
        <f t="shared" si="760"/>
        <v>0</v>
      </c>
      <c r="SXK1618" s="55">
        <f t="shared" si="760"/>
        <v>0</v>
      </c>
      <c r="SXL1618" s="55">
        <f t="shared" si="760"/>
        <v>0</v>
      </c>
      <c r="SXM1618" s="55">
        <f t="shared" si="760"/>
        <v>0</v>
      </c>
      <c r="SXN1618" s="55">
        <f t="shared" si="760"/>
        <v>0</v>
      </c>
      <c r="SXO1618" s="55">
        <f t="shared" si="760"/>
        <v>0</v>
      </c>
      <c r="SXP1618" s="55">
        <f t="shared" si="760"/>
        <v>0</v>
      </c>
      <c r="SXQ1618" s="55">
        <f t="shared" si="760"/>
        <v>0</v>
      </c>
      <c r="SXR1618" s="55">
        <f t="shared" si="760"/>
        <v>0</v>
      </c>
      <c r="SXS1618" s="55">
        <f t="shared" si="760"/>
        <v>0</v>
      </c>
      <c r="SXT1618" s="55">
        <f t="shared" si="760"/>
        <v>0</v>
      </c>
      <c r="SXU1618" s="55">
        <f t="shared" si="760"/>
        <v>0</v>
      </c>
      <c r="SXV1618" s="55">
        <f t="shared" si="760"/>
        <v>0</v>
      </c>
      <c r="SXW1618" s="55">
        <f t="shared" si="760"/>
        <v>0</v>
      </c>
      <c r="SXX1618" s="55">
        <f t="shared" si="760"/>
        <v>0</v>
      </c>
      <c r="SXY1618" s="55">
        <f t="shared" si="760"/>
        <v>0</v>
      </c>
      <c r="SXZ1618" s="55">
        <f t="shared" si="760"/>
        <v>0</v>
      </c>
      <c r="SYA1618" s="55">
        <f t="shared" si="760"/>
        <v>0</v>
      </c>
      <c r="SYB1618" s="55">
        <f t="shared" si="760"/>
        <v>0</v>
      </c>
      <c r="SYC1618" s="55">
        <f t="shared" si="760"/>
        <v>0</v>
      </c>
      <c r="SYD1618" s="55">
        <f t="shared" si="760"/>
        <v>0</v>
      </c>
      <c r="SYE1618" s="55">
        <f t="shared" si="760"/>
        <v>0</v>
      </c>
      <c r="SYF1618" s="55">
        <f t="shared" si="760"/>
        <v>0</v>
      </c>
      <c r="SYG1618" s="55">
        <f t="shared" si="760"/>
        <v>0</v>
      </c>
      <c r="SYH1618" s="55">
        <f t="shared" si="760"/>
        <v>0</v>
      </c>
      <c r="SYI1618" s="55">
        <f t="shared" si="760"/>
        <v>0</v>
      </c>
      <c r="SYJ1618" s="55">
        <f t="shared" si="760"/>
        <v>0</v>
      </c>
      <c r="SYK1618" s="55">
        <f t="shared" si="760"/>
        <v>0</v>
      </c>
      <c r="SYL1618" s="55">
        <f t="shared" si="760"/>
        <v>0</v>
      </c>
      <c r="SYM1618" s="55">
        <f t="shared" si="760"/>
        <v>0</v>
      </c>
      <c r="SYN1618" s="55">
        <f t="shared" si="760"/>
        <v>0</v>
      </c>
      <c r="SYO1618" s="55">
        <f t="shared" si="760"/>
        <v>0</v>
      </c>
      <c r="SYP1618" s="55">
        <f t="shared" si="760"/>
        <v>0</v>
      </c>
      <c r="SYQ1618" s="55">
        <f t="shared" si="760"/>
        <v>0</v>
      </c>
      <c r="SYR1618" s="55">
        <f t="shared" si="760"/>
        <v>0</v>
      </c>
      <c r="SYS1618" s="55">
        <f t="shared" si="760"/>
        <v>0</v>
      </c>
      <c r="SYT1618" s="55">
        <f t="shared" si="760"/>
        <v>0</v>
      </c>
      <c r="SYU1618" s="55">
        <f t="shared" si="760"/>
        <v>0</v>
      </c>
      <c r="SYV1618" s="55">
        <f t="shared" ref="SYV1618:TBG1618" si="761">+(SYV1627+SYV1608)*1.18*1.1</f>
        <v>0</v>
      </c>
      <c r="SYW1618" s="55">
        <f t="shared" si="761"/>
        <v>0</v>
      </c>
      <c r="SYX1618" s="55">
        <f t="shared" si="761"/>
        <v>0</v>
      </c>
      <c r="SYY1618" s="55">
        <f t="shared" si="761"/>
        <v>0</v>
      </c>
      <c r="SYZ1618" s="55">
        <f t="shared" si="761"/>
        <v>0</v>
      </c>
      <c r="SZA1618" s="55">
        <f t="shared" si="761"/>
        <v>0</v>
      </c>
      <c r="SZB1618" s="55">
        <f t="shared" si="761"/>
        <v>0</v>
      </c>
      <c r="SZC1618" s="55">
        <f t="shared" si="761"/>
        <v>0</v>
      </c>
      <c r="SZD1618" s="55">
        <f t="shared" si="761"/>
        <v>0</v>
      </c>
      <c r="SZE1618" s="55">
        <f t="shared" si="761"/>
        <v>0</v>
      </c>
      <c r="SZF1618" s="55">
        <f t="shared" si="761"/>
        <v>0</v>
      </c>
      <c r="SZG1618" s="55">
        <f t="shared" si="761"/>
        <v>0</v>
      </c>
      <c r="SZH1618" s="55">
        <f t="shared" si="761"/>
        <v>0</v>
      </c>
      <c r="SZI1618" s="55">
        <f t="shared" si="761"/>
        <v>0</v>
      </c>
      <c r="SZJ1618" s="55">
        <f t="shared" si="761"/>
        <v>0</v>
      </c>
      <c r="SZK1618" s="55">
        <f t="shared" si="761"/>
        <v>0</v>
      </c>
      <c r="SZL1618" s="55">
        <f t="shared" si="761"/>
        <v>0</v>
      </c>
      <c r="SZM1618" s="55">
        <f t="shared" si="761"/>
        <v>0</v>
      </c>
      <c r="SZN1618" s="55">
        <f t="shared" si="761"/>
        <v>0</v>
      </c>
      <c r="SZO1618" s="55">
        <f t="shared" si="761"/>
        <v>0</v>
      </c>
      <c r="SZP1618" s="55">
        <f t="shared" si="761"/>
        <v>0</v>
      </c>
      <c r="SZQ1618" s="55">
        <f t="shared" si="761"/>
        <v>0</v>
      </c>
      <c r="SZR1618" s="55">
        <f t="shared" si="761"/>
        <v>0</v>
      </c>
      <c r="SZS1618" s="55">
        <f t="shared" si="761"/>
        <v>0</v>
      </c>
      <c r="SZT1618" s="55">
        <f t="shared" si="761"/>
        <v>0</v>
      </c>
      <c r="SZU1618" s="55">
        <f t="shared" si="761"/>
        <v>0</v>
      </c>
      <c r="SZV1618" s="55">
        <f t="shared" si="761"/>
        <v>0</v>
      </c>
      <c r="SZW1618" s="55">
        <f t="shared" si="761"/>
        <v>0</v>
      </c>
      <c r="SZX1618" s="55">
        <f t="shared" si="761"/>
        <v>0</v>
      </c>
      <c r="SZY1618" s="55">
        <f t="shared" si="761"/>
        <v>0</v>
      </c>
      <c r="SZZ1618" s="55">
        <f t="shared" si="761"/>
        <v>0</v>
      </c>
      <c r="TAA1618" s="55">
        <f t="shared" si="761"/>
        <v>0</v>
      </c>
      <c r="TAB1618" s="55">
        <f t="shared" si="761"/>
        <v>0</v>
      </c>
      <c r="TAC1618" s="55">
        <f t="shared" si="761"/>
        <v>0</v>
      </c>
      <c r="TAD1618" s="55">
        <f t="shared" si="761"/>
        <v>0</v>
      </c>
      <c r="TAE1618" s="55">
        <f t="shared" si="761"/>
        <v>0</v>
      </c>
      <c r="TAF1618" s="55">
        <f t="shared" si="761"/>
        <v>0</v>
      </c>
      <c r="TAG1618" s="55">
        <f t="shared" si="761"/>
        <v>0</v>
      </c>
      <c r="TAH1618" s="55">
        <f t="shared" si="761"/>
        <v>0</v>
      </c>
      <c r="TAI1618" s="55">
        <f t="shared" si="761"/>
        <v>0</v>
      </c>
      <c r="TAJ1618" s="55">
        <f t="shared" si="761"/>
        <v>0</v>
      </c>
      <c r="TAK1618" s="55">
        <f t="shared" si="761"/>
        <v>0</v>
      </c>
      <c r="TAL1618" s="55">
        <f t="shared" si="761"/>
        <v>0</v>
      </c>
      <c r="TAM1618" s="55">
        <f t="shared" si="761"/>
        <v>0</v>
      </c>
      <c r="TAN1618" s="55">
        <f t="shared" si="761"/>
        <v>0</v>
      </c>
      <c r="TAO1618" s="55">
        <f t="shared" si="761"/>
        <v>0</v>
      </c>
      <c r="TAP1618" s="55">
        <f t="shared" si="761"/>
        <v>0</v>
      </c>
      <c r="TAQ1618" s="55">
        <f t="shared" si="761"/>
        <v>0</v>
      </c>
      <c r="TAR1618" s="55">
        <f t="shared" si="761"/>
        <v>0</v>
      </c>
      <c r="TAS1618" s="55">
        <f t="shared" si="761"/>
        <v>0</v>
      </c>
      <c r="TAT1618" s="55">
        <f t="shared" si="761"/>
        <v>0</v>
      </c>
      <c r="TAU1618" s="55">
        <f t="shared" si="761"/>
        <v>0</v>
      </c>
      <c r="TAV1618" s="55">
        <f t="shared" si="761"/>
        <v>0</v>
      </c>
      <c r="TAW1618" s="55">
        <f t="shared" si="761"/>
        <v>0</v>
      </c>
      <c r="TAX1618" s="55">
        <f t="shared" si="761"/>
        <v>0</v>
      </c>
      <c r="TAY1618" s="55">
        <f t="shared" si="761"/>
        <v>0</v>
      </c>
      <c r="TAZ1618" s="55">
        <f t="shared" si="761"/>
        <v>0</v>
      </c>
      <c r="TBA1618" s="55">
        <f t="shared" si="761"/>
        <v>0</v>
      </c>
      <c r="TBB1618" s="55">
        <f t="shared" si="761"/>
        <v>0</v>
      </c>
      <c r="TBC1618" s="55">
        <f t="shared" si="761"/>
        <v>0</v>
      </c>
      <c r="TBD1618" s="55">
        <f t="shared" si="761"/>
        <v>0</v>
      </c>
      <c r="TBE1618" s="55">
        <f t="shared" si="761"/>
        <v>0</v>
      </c>
      <c r="TBF1618" s="55">
        <f t="shared" si="761"/>
        <v>0</v>
      </c>
      <c r="TBG1618" s="55">
        <f t="shared" si="761"/>
        <v>0</v>
      </c>
      <c r="TBH1618" s="55">
        <f t="shared" ref="TBH1618:TDS1618" si="762">+(TBH1627+TBH1608)*1.18*1.1</f>
        <v>0</v>
      </c>
      <c r="TBI1618" s="55">
        <f t="shared" si="762"/>
        <v>0</v>
      </c>
      <c r="TBJ1618" s="55">
        <f t="shared" si="762"/>
        <v>0</v>
      </c>
      <c r="TBK1618" s="55">
        <f t="shared" si="762"/>
        <v>0</v>
      </c>
      <c r="TBL1618" s="55">
        <f t="shared" si="762"/>
        <v>0</v>
      </c>
      <c r="TBM1618" s="55">
        <f t="shared" si="762"/>
        <v>0</v>
      </c>
      <c r="TBN1618" s="55">
        <f t="shared" si="762"/>
        <v>0</v>
      </c>
      <c r="TBO1618" s="55">
        <f t="shared" si="762"/>
        <v>0</v>
      </c>
      <c r="TBP1618" s="55">
        <f t="shared" si="762"/>
        <v>0</v>
      </c>
      <c r="TBQ1618" s="55">
        <f t="shared" si="762"/>
        <v>0</v>
      </c>
      <c r="TBR1618" s="55">
        <f t="shared" si="762"/>
        <v>0</v>
      </c>
      <c r="TBS1618" s="55">
        <f t="shared" si="762"/>
        <v>0</v>
      </c>
      <c r="TBT1618" s="55">
        <f t="shared" si="762"/>
        <v>0</v>
      </c>
      <c r="TBU1618" s="55">
        <f t="shared" si="762"/>
        <v>0</v>
      </c>
      <c r="TBV1618" s="55">
        <f t="shared" si="762"/>
        <v>0</v>
      </c>
      <c r="TBW1618" s="55">
        <f t="shared" si="762"/>
        <v>0</v>
      </c>
      <c r="TBX1618" s="55">
        <f t="shared" si="762"/>
        <v>0</v>
      </c>
      <c r="TBY1618" s="55">
        <f t="shared" si="762"/>
        <v>0</v>
      </c>
      <c r="TBZ1618" s="55">
        <f t="shared" si="762"/>
        <v>0</v>
      </c>
      <c r="TCA1618" s="55">
        <f t="shared" si="762"/>
        <v>0</v>
      </c>
      <c r="TCB1618" s="55">
        <f t="shared" si="762"/>
        <v>0</v>
      </c>
      <c r="TCC1618" s="55">
        <f t="shared" si="762"/>
        <v>0</v>
      </c>
      <c r="TCD1618" s="55">
        <f t="shared" si="762"/>
        <v>0</v>
      </c>
      <c r="TCE1618" s="55">
        <f t="shared" si="762"/>
        <v>0</v>
      </c>
      <c r="TCF1618" s="55">
        <f t="shared" si="762"/>
        <v>0</v>
      </c>
      <c r="TCG1618" s="55">
        <f t="shared" si="762"/>
        <v>0</v>
      </c>
      <c r="TCH1618" s="55">
        <f t="shared" si="762"/>
        <v>0</v>
      </c>
      <c r="TCI1618" s="55">
        <f t="shared" si="762"/>
        <v>0</v>
      </c>
      <c r="TCJ1618" s="55">
        <f t="shared" si="762"/>
        <v>0</v>
      </c>
      <c r="TCK1618" s="55">
        <f t="shared" si="762"/>
        <v>0</v>
      </c>
      <c r="TCL1618" s="55">
        <f t="shared" si="762"/>
        <v>0</v>
      </c>
      <c r="TCM1618" s="55">
        <f t="shared" si="762"/>
        <v>0</v>
      </c>
      <c r="TCN1618" s="55">
        <f t="shared" si="762"/>
        <v>0</v>
      </c>
      <c r="TCO1618" s="55">
        <f t="shared" si="762"/>
        <v>0</v>
      </c>
      <c r="TCP1618" s="55">
        <f t="shared" si="762"/>
        <v>0</v>
      </c>
      <c r="TCQ1618" s="55">
        <f t="shared" si="762"/>
        <v>0</v>
      </c>
      <c r="TCR1618" s="55">
        <f t="shared" si="762"/>
        <v>0</v>
      </c>
      <c r="TCS1618" s="55">
        <f t="shared" si="762"/>
        <v>0</v>
      </c>
      <c r="TCT1618" s="55">
        <f t="shared" si="762"/>
        <v>0</v>
      </c>
      <c r="TCU1618" s="55">
        <f t="shared" si="762"/>
        <v>0</v>
      </c>
      <c r="TCV1618" s="55">
        <f t="shared" si="762"/>
        <v>0</v>
      </c>
      <c r="TCW1618" s="55">
        <f t="shared" si="762"/>
        <v>0</v>
      </c>
      <c r="TCX1618" s="55">
        <f t="shared" si="762"/>
        <v>0</v>
      </c>
      <c r="TCY1618" s="55">
        <f t="shared" si="762"/>
        <v>0</v>
      </c>
      <c r="TCZ1618" s="55">
        <f t="shared" si="762"/>
        <v>0</v>
      </c>
      <c r="TDA1618" s="55">
        <f t="shared" si="762"/>
        <v>0</v>
      </c>
      <c r="TDB1618" s="55">
        <f t="shared" si="762"/>
        <v>0</v>
      </c>
      <c r="TDC1618" s="55">
        <f t="shared" si="762"/>
        <v>0</v>
      </c>
      <c r="TDD1618" s="55">
        <f t="shared" si="762"/>
        <v>0</v>
      </c>
      <c r="TDE1618" s="55">
        <f t="shared" si="762"/>
        <v>0</v>
      </c>
      <c r="TDF1618" s="55">
        <f t="shared" si="762"/>
        <v>0</v>
      </c>
      <c r="TDG1618" s="55">
        <f t="shared" si="762"/>
        <v>0</v>
      </c>
      <c r="TDH1618" s="55">
        <f t="shared" si="762"/>
        <v>0</v>
      </c>
      <c r="TDI1618" s="55">
        <f t="shared" si="762"/>
        <v>0</v>
      </c>
      <c r="TDJ1618" s="55">
        <f t="shared" si="762"/>
        <v>0</v>
      </c>
      <c r="TDK1618" s="55">
        <f t="shared" si="762"/>
        <v>0</v>
      </c>
      <c r="TDL1618" s="55">
        <f t="shared" si="762"/>
        <v>0</v>
      </c>
      <c r="TDM1618" s="55">
        <f t="shared" si="762"/>
        <v>0</v>
      </c>
      <c r="TDN1618" s="55">
        <f t="shared" si="762"/>
        <v>0</v>
      </c>
      <c r="TDO1618" s="55">
        <f t="shared" si="762"/>
        <v>0</v>
      </c>
      <c r="TDP1618" s="55">
        <f t="shared" si="762"/>
        <v>0</v>
      </c>
      <c r="TDQ1618" s="55">
        <f t="shared" si="762"/>
        <v>0</v>
      </c>
      <c r="TDR1618" s="55">
        <f t="shared" si="762"/>
        <v>0</v>
      </c>
      <c r="TDS1618" s="55">
        <f t="shared" si="762"/>
        <v>0</v>
      </c>
      <c r="TDT1618" s="55">
        <f t="shared" ref="TDT1618:TGE1618" si="763">+(TDT1627+TDT1608)*1.18*1.1</f>
        <v>0</v>
      </c>
      <c r="TDU1618" s="55">
        <f t="shared" si="763"/>
        <v>0</v>
      </c>
      <c r="TDV1618" s="55">
        <f t="shared" si="763"/>
        <v>0</v>
      </c>
      <c r="TDW1618" s="55">
        <f t="shared" si="763"/>
        <v>0</v>
      </c>
      <c r="TDX1618" s="55">
        <f t="shared" si="763"/>
        <v>0</v>
      </c>
      <c r="TDY1618" s="55">
        <f t="shared" si="763"/>
        <v>0</v>
      </c>
      <c r="TDZ1618" s="55">
        <f t="shared" si="763"/>
        <v>0</v>
      </c>
      <c r="TEA1618" s="55">
        <f t="shared" si="763"/>
        <v>0</v>
      </c>
      <c r="TEB1618" s="55">
        <f t="shared" si="763"/>
        <v>0</v>
      </c>
      <c r="TEC1618" s="55">
        <f t="shared" si="763"/>
        <v>0</v>
      </c>
      <c r="TED1618" s="55">
        <f t="shared" si="763"/>
        <v>0</v>
      </c>
      <c r="TEE1618" s="55">
        <f t="shared" si="763"/>
        <v>0</v>
      </c>
      <c r="TEF1618" s="55">
        <f t="shared" si="763"/>
        <v>0</v>
      </c>
      <c r="TEG1618" s="55">
        <f t="shared" si="763"/>
        <v>0</v>
      </c>
      <c r="TEH1618" s="55">
        <f t="shared" si="763"/>
        <v>0</v>
      </c>
      <c r="TEI1618" s="55">
        <f t="shared" si="763"/>
        <v>0</v>
      </c>
      <c r="TEJ1618" s="55">
        <f t="shared" si="763"/>
        <v>0</v>
      </c>
      <c r="TEK1618" s="55">
        <f t="shared" si="763"/>
        <v>0</v>
      </c>
      <c r="TEL1618" s="55">
        <f t="shared" si="763"/>
        <v>0</v>
      </c>
      <c r="TEM1618" s="55">
        <f t="shared" si="763"/>
        <v>0</v>
      </c>
      <c r="TEN1618" s="55">
        <f t="shared" si="763"/>
        <v>0</v>
      </c>
      <c r="TEO1618" s="55">
        <f t="shared" si="763"/>
        <v>0</v>
      </c>
      <c r="TEP1618" s="55">
        <f t="shared" si="763"/>
        <v>0</v>
      </c>
      <c r="TEQ1618" s="55">
        <f t="shared" si="763"/>
        <v>0</v>
      </c>
      <c r="TER1618" s="55">
        <f t="shared" si="763"/>
        <v>0</v>
      </c>
      <c r="TES1618" s="55">
        <f t="shared" si="763"/>
        <v>0</v>
      </c>
      <c r="TET1618" s="55">
        <f t="shared" si="763"/>
        <v>0</v>
      </c>
      <c r="TEU1618" s="55">
        <f t="shared" si="763"/>
        <v>0</v>
      </c>
      <c r="TEV1618" s="55">
        <f t="shared" si="763"/>
        <v>0</v>
      </c>
      <c r="TEW1618" s="55">
        <f t="shared" si="763"/>
        <v>0</v>
      </c>
      <c r="TEX1618" s="55">
        <f t="shared" si="763"/>
        <v>0</v>
      </c>
      <c r="TEY1618" s="55">
        <f t="shared" si="763"/>
        <v>0</v>
      </c>
      <c r="TEZ1618" s="55">
        <f t="shared" si="763"/>
        <v>0</v>
      </c>
      <c r="TFA1618" s="55">
        <f t="shared" si="763"/>
        <v>0</v>
      </c>
      <c r="TFB1618" s="55">
        <f t="shared" si="763"/>
        <v>0</v>
      </c>
      <c r="TFC1618" s="55">
        <f t="shared" si="763"/>
        <v>0</v>
      </c>
      <c r="TFD1618" s="55">
        <f t="shared" si="763"/>
        <v>0</v>
      </c>
      <c r="TFE1618" s="55">
        <f t="shared" si="763"/>
        <v>0</v>
      </c>
      <c r="TFF1618" s="55">
        <f t="shared" si="763"/>
        <v>0</v>
      </c>
      <c r="TFG1618" s="55">
        <f t="shared" si="763"/>
        <v>0</v>
      </c>
      <c r="TFH1618" s="55">
        <f t="shared" si="763"/>
        <v>0</v>
      </c>
      <c r="TFI1618" s="55">
        <f t="shared" si="763"/>
        <v>0</v>
      </c>
      <c r="TFJ1618" s="55">
        <f t="shared" si="763"/>
        <v>0</v>
      </c>
      <c r="TFK1618" s="55">
        <f t="shared" si="763"/>
        <v>0</v>
      </c>
      <c r="TFL1618" s="55">
        <f t="shared" si="763"/>
        <v>0</v>
      </c>
      <c r="TFM1618" s="55">
        <f t="shared" si="763"/>
        <v>0</v>
      </c>
      <c r="TFN1618" s="55">
        <f t="shared" si="763"/>
        <v>0</v>
      </c>
      <c r="TFO1618" s="55">
        <f t="shared" si="763"/>
        <v>0</v>
      </c>
      <c r="TFP1618" s="55">
        <f t="shared" si="763"/>
        <v>0</v>
      </c>
      <c r="TFQ1618" s="55">
        <f t="shared" si="763"/>
        <v>0</v>
      </c>
      <c r="TFR1618" s="55">
        <f t="shared" si="763"/>
        <v>0</v>
      </c>
      <c r="TFS1618" s="55">
        <f t="shared" si="763"/>
        <v>0</v>
      </c>
      <c r="TFT1618" s="55">
        <f t="shared" si="763"/>
        <v>0</v>
      </c>
      <c r="TFU1618" s="55">
        <f t="shared" si="763"/>
        <v>0</v>
      </c>
      <c r="TFV1618" s="55">
        <f t="shared" si="763"/>
        <v>0</v>
      </c>
      <c r="TFW1618" s="55">
        <f t="shared" si="763"/>
        <v>0</v>
      </c>
      <c r="TFX1618" s="55">
        <f t="shared" si="763"/>
        <v>0</v>
      </c>
      <c r="TFY1618" s="55">
        <f t="shared" si="763"/>
        <v>0</v>
      </c>
      <c r="TFZ1618" s="55">
        <f t="shared" si="763"/>
        <v>0</v>
      </c>
      <c r="TGA1618" s="55">
        <f t="shared" si="763"/>
        <v>0</v>
      </c>
      <c r="TGB1618" s="55">
        <f t="shared" si="763"/>
        <v>0</v>
      </c>
      <c r="TGC1618" s="55">
        <f t="shared" si="763"/>
        <v>0</v>
      </c>
      <c r="TGD1618" s="55">
        <f t="shared" si="763"/>
        <v>0</v>
      </c>
      <c r="TGE1618" s="55">
        <f t="shared" si="763"/>
        <v>0</v>
      </c>
      <c r="TGF1618" s="55">
        <f t="shared" ref="TGF1618:TIQ1618" si="764">+(TGF1627+TGF1608)*1.18*1.1</f>
        <v>0</v>
      </c>
      <c r="TGG1618" s="55">
        <f t="shared" si="764"/>
        <v>0</v>
      </c>
      <c r="TGH1618" s="55">
        <f t="shared" si="764"/>
        <v>0</v>
      </c>
      <c r="TGI1618" s="55">
        <f t="shared" si="764"/>
        <v>0</v>
      </c>
      <c r="TGJ1618" s="55">
        <f t="shared" si="764"/>
        <v>0</v>
      </c>
      <c r="TGK1618" s="55">
        <f t="shared" si="764"/>
        <v>0</v>
      </c>
      <c r="TGL1618" s="55">
        <f t="shared" si="764"/>
        <v>0</v>
      </c>
      <c r="TGM1618" s="55">
        <f t="shared" si="764"/>
        <v>0</v>
      </c>
      <c r="TGN1618" s="55">
        <f t="shared" si="764"/>
        <v>0</v>
      </c>
      <c r="TGO1618" s="55">
        <f t="shared" si="764"/>
        <v>0</v>
      </c>
      <c r="TGP1618" s="55">
        <f t="shared" si="764"/>
        <v>0</v>
      </c>
      <c r="TGQ1618" s="55">
        <f t="shared" si="764"/>
        <v>0</v>
      </c>
      <c r="TGR1618" s="55">
        <f t="shared" si="764"/>
        <v>0</v>
      </c>
      <c r="TGS1618" s="55">
        <f t="shared" si="764"/>
        <v>0</v>
      </c>
      <c r="TGT1618" s="55">
        <f t="shared" si="764"/>
        <v>0</v>
      </c>
      <c r="TGU1618" s="55">
        <f t="shared" si="764"/>
        <v>0</v>
      </c>
      <c r="TGV1618" s="55">
        <f t="shared" si="764"/>
        <v>0</v>
      </c>
      <c r="TGW1618" s="55">
        <f t="shared" si="764"/>
        <v>0</v>
      </c>
      <c r="TGX1618" s="55">
        <f t="shared" si="764"/>
        <v>0</v>
      </c>
      <c r="TGY1618" s="55">
        <f t="shared" si="764"/>
        <v>0</v>
      </c>
      <c r="TGZ1618" s="55">
        <f t="shared" si="764"/>
        <v>0</v>
      </c>
      <c r="THA1618" s="55">
        <f t="shared" si="764"/>
        <v>0</v>
      </c>
      <c r="THB1618" s="55">
        <f t="shared" si="764"/>
        <v>0</v>
      </c>
      <c r="THC1618" s="55">
        <f t="shared" si="764"/>
        <v>0</v>
      </c>
      <c r="THD1618" s="55">
        <f t="shared" si="764"/>
        <v>0</v>
      </c>
      <c r="THE1618" s="55">
        <f t="shared" si="764"/>
        <v>0</v>
      </c>
      <c r="THF1618" s="55">
        <f t="shared" si="764"/>
        <v>0</v>
      </c>
      <c r="THG1618" s="55">
        <f t="shared" si="764"/>
        <v>0</v>
      </c>
      <c r="THH1618" s="55">
        <f t="shared" si="764"/>
        <v>0</v>
      </c>
      <c r="THI1618" s="55">
        <f t="shared" si="764"/>
        <v>0</v>
      </c>
      <c r="THJ1618" s="55">
        <f t="shared" si="764"/>
        <v>0</v>
      </c>
      <c r="THK1618" s="55">
        <f t="shared" si="764"/>
        <v>0</v>
      </c>
      <c r="THL1618" s="55">
        <f t="shared" si="764"/>
        <v>0</v>
      </c>
      <c r="THM1618" s="55">
        <f t="shared" si="764"/>
        <v>0</v>
      </c>
      <c r="THN1618" s="55">
        <f t="shared" si="764"/>
        <v>0</v>
      </c>
      <c r="THO1618" s="55">
        <f t="shared" si="764"/>
        <v>0</v>
      </c>
      <c r="THP1618" s="55">
        <f t="shared" si="764"/>
        <v>0</v>
      </c>
      <c r="THQ1618" s="55">
        <f t="shared" si="764"/>
        <v>0</v>
      </c>
      <c r="THR1618" s="55">
        <f t="shared" si="764"/>
        <v>0</v>
      </c>
      <c r="THS1618" s="55">
        <f t="shared" si="764"/>
        <v>0</v>
      </c>
      <c r="THT1618" s="55">
        <f t="shared" si="764"/>
        <v>0</v>
      </c>
      <c r="THU1618" s="55">
        <f t="shared" si="764"/>
        <v>0</v>
      </c>
      <c r="THV1618" s="55">
        <f t="shared" si="764"/>
        <v>0</v>
      </c>
      <c r="THW1618" s="55">
        <f t="shared" si="764"/>
        <v>0</v>
      </c>
      <c r="THX1618" s="55">
        <f t="shared" si="764"/>
        <v>0</v>
      </c>
      <c r="THY1618" s="55">
        <f t="shared" si="764"/>
        <v>0</v>
      </c>
      <c r="THZ1618" s="55">
        <f t="shared" si="764"/>
        <v>0</v>
      </c>
      <c r="TIA1618" s="55">
        <f t="shared" si="764"/>
        <v>0</v>
      </c>
      <c r="TIB1618" s="55">
        <f t="shared" si="764"/>
        <v>0</v>
      </c>
      <c r="TIC1618" s="55">
        <f t="shared" si="764"/>
        <v>0</v>
      </c>
      <c r="TID1618" s="55">
        <f t="shared" si="764"/>
        <v>0</v>
      </c>
      <c r="TIE1618" s="55">
        <f t="shared" si="764"/>
        <v>0</v>
      </c>
      <c r="TIF1618" s="55">
        <f t="shared" si="764"/>
        <v>0</v>
      </c>
      <c r="TIG1618" s="55">
        <f t="shared" si="764"/>
        <v>0</v>
      </c>
      <c r="TIH1618" s="55">
        <f t="shared" si="764"/>
        <v>0</v>
      </c>
      <c r="TII1618" s="55">
        <f t="shared" si="764"/>
        <v>0</v>
      </c>
      <c r="TIJ1618" s="55">
        <f t="shared" si="764"/>
        <v>0</v>
      </c>
      <c r="TIK1618" s="55">
        <f t="shared" si="764"/>
        <v>0</v>
      </c>
      <c r="TIL1618" s="55">
        <f t="shared" si="764"/>
        <v>0</v>
      </c>
      <c r="TIM1618" s="55">
        <f t="shared" si="764"/>
        <v>0</v>
      </c>
      <c r="TIN1618" s="55">
        <f t="shared" si="764"/>
        <v>0</v>
      </c>
      <c r="TIO1618" s="55">
        <f t="shared" si="764"/>
        <v>0</v>
      </c>
      <c r="TIP1618" s="55">
        <f t="shared" si="764"/>
        <v>0</v>
      </c>
      <c r="TIQ1618" s="55">
        <f t="shared" si="764"/>
        <v>0</v>
      </c>
      <c r="TIR1618" s="55">
        <f t="shared" ref="TIR1618:TLC1618" si="765">+(TIR1627+TIR1608)*1.18*1.1</f>
        <v>0</v>
      </c>
      <c r="TIS1618" s="55">
        <f t="shared" si="765"/>
        <v>0</v>
      </c>
      <c r="TIT1618" s="55">
        <f t="shared" si="765"/>
        <v>0</v>
      </c>
      <c r="TIU1618" s="55">
        <f t="shared" si="765"/>
        <v>0</v>
      </c>
      <c r="TIV1618" s="55">
        <f t="shared" si="765"/>
        <v>0</v>
      </c>
      <c r="TIW1618" s="55">
        <f t="shared" si="765"/>
        <v>0</v>
      </c>
      <c r="TIX1618" s="55">
        <f t="shared" si="765"/>
        <v>0</v>
      </c>
      <c r="TIY1618" s="55">
        <f t="shared" si="765"/>
        <v>0</v>
      </c>
      <c r="TIZ1618" s="55">
        <f t="shared" si="765"/>
        <v>0</v>
      </c>
      <c r="TJA1618" s="55">
        <f t="shared" si="765"/>
        <v>0</v>
      </c>
      <c r="TJB1618" s="55">
        <f t="shared" si="765"/>
        <v>0</v>
      </c>
      <c r="TJC1618" s="55">
        <f t="shared" si="765"/>
        <v>0</v>
      </c>
      <c r="TJD1618" s="55">
        <f t="shared" si="765"/>
        <v>0</v>
      </c>
      <c r="TJE1618" s="55">
        <f t="shared" si="765"/>
        <v>0</v>
      </c>
      <c r="TJF1618" s="55">
        <f t="shared" si="765"/>
        <v>0</v>
      </c>
      <c r="TJG1618" s="55">
        <f t="shared" si="765"/>
        <v>0</v>
      </c>
      <c r="TJH1618" s="55">
        <f t="shared" si="765"/>
        <v>0</v>
      </c>
      <c r="TJI1618" s="55">
        <f t="shared" si="765"/>
        <v>0</v>
      </c>
      <c r="TJJ1618" s="55">
        <f t="shared" si="765"/>
        <v>0</v>
      </c>
      <c r="TJK1618" s="55">
        <f t="shared" si="765"/>
        <v>0</v>
      </c>
      <c r="TJL1618" s="55">
        <f t="shared" si="765"/>
        <v>0</v>
      </c>
      <c r="TJM1618" s="55">
        <f t="shared" si="765"/>
        <v>0</v>
      </c>
      <c r="TJN1618" s="55">
        <f t="shared" si="765"/>
        <v>0</v>
      </c>
      <c r="TJO1618" s="55">
        <f t="shared" si="765"/>
        <v>0</v>
      </c>
      <c r="TJP1618" s="55">
        <f t="shared" si="765"/>
        <v>0</v>
      </c>
      <c r="TJQ1618" s="55">
        <f t="shared" si="765"/>
        <v>0</v>
      </c>
      <c r="TJR1618" s="55">
        <f t="shared" si="765"/>
        <v>0</v>
      </c>
      <c r="TJS1618" s="55">
        <f t="shared" si="765"/>
        <v>0</v>
      </c>
      <c r="TJT1618" s="55">
        <f t="shared" si="765"/>
        <v>0</v>
      </c>
      <c r="TJU1618" s="55">
        <f t="shared" si="765"/>
        <v>0</v>
      </c>
      <c r="TJV1618" s="55">
        <f t="shared" si="765"/>
        <v>0</v>
      </c>
      <c r="TJW1618" s="55">
        <f t="shared" si="765"/>
        <v>0</v>
      </c>
      <c r="TJX1618" s="55">
        <f t="shared" si="765"/>
        <v>0</v>
      </c>
      <c r="TJY1618" s="55">
        <f t="shared" si="765"/>
        <v>0</v>
      </c>
      <c r="TJZ1618" s="55">
        <f t="shared" si="765"/>
        <v>0</v>
      </c>
      <c r="TKA1618" s="55">
        <f t="shared" si="765"/>
        <v>0</v>
      </c>
      <c r="TKB1618" s="55">
        <f t="shared" si="765"/>
        <v>0</v>
      </c>
      <c r="TKC1618" s="55">
        <f t="shared" si="765"/>
        <v>0</v>
      </c>
      <c r="TKD1618" s="55">
        <f t="shared" si="765"/>
        <v>0</v>
      </c>
      <c r="TKE1618" s="55">
        <f t="shared" si="765"/>
        <v>0</v>
      </c>
      <c r="TKF1618" s="55">
        <f t="shared" si="765"/>
        <v>0</v>
      </c>
      <c r="TKG1618" s="55">
        <f t="shared" si="765"/>
        <v>0</v>
      </c>
      <c r="TKH1618" s="55">
        <f t="shared" si="765"/>
        <v>0</v>
      </c>
      <c r="TKI1618" s="55">
        <f t="shared" si="765"/>
        <v>0</v>
      </c>
      <c r="TKJ1618" s="55">
        <f t="shared" si="765"/>
        <v>0</v>
      </c>
      <c r="TKK1618" s="55">
        <f t="shared" si="765"/>
        <v>0</v>
      </c>
      <c r="TKL1618" s="55">
        <f t="shared" si="765"/>
        <v>0</v>
      </c>
      <c r="TKM1618" s="55">
        <f t="shared" si="765"/>
        <v>0</v>
      </c>
      <c r="TKN1618" s="55">
        <f t="shared" si="765"/>
        <v>0</v>
      </c>
      <c r="TKO1618" s="55">
        <f t="shared" si="765"/>
        <v>0</v>
      </c>
      <c r="TKP1618" s="55">
        <f t="shared" si="765"/>
        <v>0</v>
      </c>
      <c r="TKQ1618" s="55">
        <f t="shared" si="765"/>
        <v>0</v>
      </c>
      <c r="TKR1618" s="55">
        <f t="shared" si="765"/>
        <v>0</v>
      </c>
      <c r="TKS1618" s="55">
        <f t="shared" si="765"/>
        <v>0</v>
      </c>
      <c r="TKT1618" s="55">
        <f t="shared" si="765"/>
        <v>0</v>
      </c>
      <c r="TKU1618" s="55">
        <f t="shared" si="765"/>
        <v>0</v>
      </c>
      <c r="TKV1618" s="55">
        <f t="shared" si="765"/>
        <v>0</v>
      </c>
      <c r="TKW1618" s="55">
        <f t="shared" si="765"/>
        <v>0</v>
      </c>
      <c r="TKX1618" s="55">
        <f t="shared" si="765"/>
        <v>0</v>
      </c>
      <c r="TKY1618" s="55">
        <f t="shared" si="765"/>
        <v>0</v>
      </c>
      <c r="TKZ1618" s="55">
        <f t="shared" si="765"/>
        <v>0</v>
      </c>
      <c r="TLA1618" s="55">
        <f t="shared" si="765"/>
        <v>0</v>
      </c>
      <c r="TLB1618" s="55">
        <f t="shared" si="765"/>
        <v>0</v>
      </c>
      <c r="TLC1618" s="55">
        <f t="shared" si="765"/>
        <v>0</v>
      </c>
      <c r="TLD1618" s="55">
        <f t="shared" ref="TLD1618:TNO1618" si="766">+(TLD1627+TLD1608)*1.18*1.1</f>
        <v>0</v>
      </c>
      <c r="TLE1618" s="55">
        <f t="shared" si="766"/>
        <v>0</v>
      </c>
      <c r="TLF1618" s="55">
        <f t="shared" si="766"/>
        <v>0</v>
      </c>
      <c r="TLG1618" s="55">
        <f t="shared" si="766"/>
        <v>0</v>
      </c>
      <c r="TLH1618" s="55">
        <f t="shared" si="766"/>
        <v>0</v>
      </c>
      <c r="TLI1618" s="55">
        <f t="shared" si="766"/>
        <v>0</v>
      </c>
      <c r="TLJ1618" s="55">
        <f t="shared" si="766"/>
        <v>0</v>
      </c>
      <c r="TLK1618" s="55">
        <f t="shared" si="766"/>
        <v>0</v>
      </c>
      <c r="TLL1618" s="55">
        <f t="shared" si="766"/>
        <v>0</v>
      </c>
      <c r="TLM1618" s="55">
        <f t="shared" si="766"/>
        <v>0</v>
      </c>
      <c r="TLN1618" s="55">
        <f t="shared" si="766"/>
        <v>0</v>
      </c>
      <c r="TLO1618" s="55">
        <f t="shared" si="766"/>
        <v>0</v>
      </c>
      <c r="TLP1618" s="55">
        <f t="shared" si="766"/>
        <v>0</v>
      </c>
      <c r="TLQ1618" s="55">
        <f t="shared" si="766"/>
        <v>0</v>
      </c>
      <c r="TLR1618" s="55">
        <f t="shared" si="766"/>
        <v>0</v>
      </c>
      <c r="TLS1618" s="55">
        <f t="shared" si="766"/>
        <v>0</v>
      </c>
      <c r="TLT1618" s="55">
        <f t="shared" si="766"/>
        <v>0</v>
      </c>
      <c r="TLU1618" s="55">
        <f t="shared" si="766"/>
        <v>0</v>
      </c>
      <c r="TLV1618" s="55">
        <f t="shared" si="766"/>
        <v>0</v>
      </c>
      <c r="TLW1618" s="55">
        <f t="shared" si="766"/>
        <v>0</v>
      </c>
      <c r="TLX1618" s="55">
        <f t="shared" si="766"/>
        <v>0</v>
      </c>
      <c r="TLY1618" s="55">
        <f t="shared" si="766"/>
        <v>0</v>
      </c>
      <c r="TLZ1618" s="55">
        <f t="shared" si="766"/>
        <v>0</v>
      </c>
      <c r="TMA1618" s="55">
        <f t="shared" si="766"/>
        <v>0</v>
      </c>
      <c r="TMB1618" s="55">
        <f t="shared" si="766"/>
        <v>0</v>
      </c>
      <c r="TMC1618" s="55">
        <f t="shared" si="766"/>
        <v>0</v>
      </c>
      <c r="TMD1618" s="55">
        <f t="shared" si="766"/>
        <v>0</v>
      </c>
      <c r="TME1618" s="55">
        <f t="shared" si="766"/>
        <v>0</v>
      </c>
      <c r="TMF1618" s="55">
        <f t="shared" si="766"/>
        <v>0</v>
      </c>
      <c r="TMG1618" s="55">
        <f t="shared" si="766"/>
        <v>0</v>
      </c>
      <c r="TMH1618" s="55">
        <f t="shared" si="766"/>
        <v>0</v>
      </c>
      <c r="TMI1618" s="55">
        <f t="shared" si="766"/>
        <v>0</v>
      </c>
      <c r="TMJ1618" s="55">
        <f t="shared" si="766"/>
        <v>0</v>
      </c>
      <c r="TMK1618" s="55">
        <f t="shared" si="766"/>
        <v>0</v>
      </c>
      <c r="TML1618" s="55">
        <f t="shared" si="766"/>
        <v>0</v>
      </c>
      <c r="TMM1618" s="55">
        <f t="shared" si="766"/>
        <v>0</v>
      </c>
      <c r="TMN1618" s="55">
        <f t="shared" si="766"/>
        <v>0</v>
      </c>
      <c r="TMO1618" s="55">
        <f t="shared" si="766"/>
        <v>0</v>
      </c>
      <c r="TMP1618" s="55">
        <f t="shared" si="766"/>
        <v>0</v>
      </c>
      <c r="TMQ1618" s="55">
        <f t="shared" si="766"/>
        <v>0</v>
      </c>
      <c r="TMR1618" s="55">
        <f t="shared" si="766"/>
        <v>0</v>
      </c>
      <c r="TMS1618" s="55">
        <f t="shared" si="766"/>
        <v>0</v>
      </c>
      <c r="TMT1618" s="55">
        <f t="shared" si="766"/>
        <v>0</v>
      </c>
      <c r="TMU1618" s="55">
        <f t="shared" si="766"/>
        <v>0</v>
      </c>
      <c r="TMV1618" s="55">
        <f t="shared" si="766"/>
        <v>0</v>
      </c>
      <c r="TMW1618" s="55">
        <f t="shared" si="766"/>
        <v>0</v>
      </c>
      <c r="TMX1618" s="55">
        <f t="shared" si="766"/>
        <v>0</v>
      </c>
      <c r="TMY1618" s="55">
        <f t="shared" si="766"/>
        <v>0</v>
      </c>
      <c r="TMZ1618" s="55">
        <f t="shared" si="766"/>
        <v>0</v>
      </c>
      <c r="TNA1618" s="55">
        <f t="shared" si="766"/>
        <v>0</v>
      </c>
      <c r="TNB1618" s="55">
        <f t="shared" si="766"/>
        <v>0</v>
      </c>
      <c r="TNC1618" s="55">
        <f t="shared" si="766"/>
        <v>0</v>
      </c>
      <c r="TND1618" s="55">
        <f t="shared" si="766"/>
        <v>0</v>
      </c>
      <c r="TNE1618" s="55">
        <f t="shared" si="766"/>
        <v>0</v>
      </c>
      <c r="TNF1618" s="55">
        <f t="shared" si="766"/>
        <v>0</v>
      </c>
      <c r="TNG1618" s="55">
        <f t="shared" si="766"/>
        <v>0</v>
      </c>
      <c r="TNH1618" s="55">
        <f t="shared" si="766"/>
        <v>0</v>
      </c>
      <c r="TNI1618" s="55">
        <f t="shared" si="766"/>
        <v>0</v>
      </c>
      <c r="TNJ1618" s="55">
        <f t="shared" si="766"/>
        <v>0</v>
      </c>
      <c r="TNK1618" s="55">
        <f t="shared" si="766"/>
        <v>0</v>
      </c>
      <c r="TNL1618" s="55">
        <f t="shared" si="766"/>
        <v>0</v>
      </c>
      <c r="TNM1618" s="55">
        <f t="shared" si="766"/>
        <v>0</v>
      </c>
      <c r="TNN1618" s="55">
        <f t="shared" si="766"/>
        <v>0</v>
      </c>
      <c r="TNO1618" s="55">
        <f t="shared" si="766"/>
        <v>0</v>
      </c>
      <c r="TNP1618" s="55">
        <f t="shared" ref="TNP1618:TQA1618" si="767">+(TNP1627+TNP1608)*1.18*1.1</f>
        <v>0</v>
      </c>
      <c r="TNQ1618" s="55">
        <f t="shared" si="767"/>
        <v>0</v>
      </c>
      <c r="TNR1618" s="55">
        <f t="shared" si="767"/>
        <v>0</v>
      </c>
      <c r="TNS1618" s="55">
        <f t="shared" si="767"/>
        <v>0</v>
      </c>
      <c r="TNT1618" s="55">
        <f t="shared" si="767"/>
        <v>0</v>
      </c>
      <c r="TNU1618" s="55">
        <f t="shared" si="767"/>
        <v>0</v>
      </c>
      <c r="TNV1618" s="55">
        <f t="shared" si="767"/>
        <v>0</v>
      </c>
      <c r="TNW1618" s="55">
        <f t="shared" si="767"/>
        <v>0</v>
      </c>
      <c r="TNX1618" s="55">
        <f t="shared" si="767"/>
        <v>0</v>
      </c>
      <c r="TNY1618" s="55">
        <f t="shared" si="767"/>
        <v>0</v>
      </c>
      <c r="TNZ1618" s="55">
        <f t="shared" si="767"/>
        <v>0</v>
      </c>
      <c r="TOA1618" s="55">
        <f t="shared" si="767"/>
        <v>0</v>
      </c>
      <c r="TOB1618" s="55">
        <f t="shared" si="767"/>
        <v>0</v>
      </c>
      <c r="TOC1618" s="55">
        <f t="shared" si="767"/>
        <v>0</v>
      </c>
      <c r="TOD1618" s="55">
        <f t="shared" si="767"/>
        <v>0</v>
      </c>
      <c r="TOE1618" s="55">
        <f t="shared" si="767"/>
        <v>0</v>
      </c>
      <c r="TOF1618" s="55">
        <f t="shared" si="767"/>
        <v>0</v>
      </c>
      <c r="TOG1618" s="55">
        <f t="shared" si="767"/>
        <v>0</v>
      </c>
      <c r="TOH1618" s="55">
        <f t="shared" si="767"/>
        <v>0</v>
      </c>
      <c r="TOI1618" s="55">
        <f t="shared" si="767"/>
        <v>0</v>
      </c>
      <c r="TOJ1618" s="55">
        <f t="shared" si="767"/>
        <v>0</v>
      </c>
      <c r="TOK1618" s="55">
        <f t="shared" si="767"/>
        <v>0</v>
      </c>
      <c r="TOL1618" s="55">
        <f t="shared" si="767"/>
        <v>0</v>
      </c>
      <c r="TOM1618" s="55">
        <f t="shared" si="767"/>
        <v>0</v>
      </c>
      <c r="TON1618" s="55">
        <f t="shared" si="767"/>
        <v>0</v>
      </c>
      <c r="TOO1618" s="55">
        <f t="shared" si="767"/>
        <v>0</v>
      </c>
      <c r="TOP1618" s="55">
        <f t="shared" si="767"/>
        <v>0</v>
      </c>
      <c r="TOQ1618" s="55">
        <f t="shared" si="767"/>
        <v>0</v>
      </c>
      <c r="TOR1618" s="55">
        <f t="shared" si="767"/>
        <v>0</v>
      </c>
      <c r="TOS1618" s="55">
        <f t="shared" si="767"/>
        <v>0</v>
      </c>
      <c r="TOT1618" s="55">
        <f t="shared" si="767"/>
        <v>0</v>
      </c>
      <c r="TOU1618" s="55">
        <f t="shared" si="767"/>
        <v>0</v>
      </c>
      <c r="TOV1618" s="55">
        <f t="shared" si="767"/>
        <v>0</v>
      </c>
      <c r="TOW1618" s="55">
        <f t="shared" si="767"/>
        <v>0</v>
      </c>
      <c r="TOX1618" s="55">
        <f t="shared" si="767"/>
        <v>0</v>
      </c>
      <c r="TOY1618" s="55">
        <f t="shared" si="767"/>
        <v>0</v>
      </c>
      <c r="TOZ1618" s="55">
        <f t="shared" si="767"/>
        <v>0</v>
      </c>
      <c r="TPA1618" s="55">
        <f t="shared" si="767"/>
        <v>0</v>
      </c>
      <c r="TPB1618" s="55">
        <f t="shared" si="767"/>
        <v>0</v>
      </c>
      <c r="TPC1618" s="55">
        <f t="shared" si="767"/>
        <v>0</v>
      </c>
      <c r="TPD1618" s="55">
        <f t="shared" si="767"/>
        <v>0</v>
      </c>
      <c r="TPE1618" s="55">
        <f t="shared" si="767"/>
        <v>0</v>
      </c>
      <c r="TPF1618" s="55">
        <f t="shared" si="767"/>
        <v>0</v>
      </c>
      <c r="TPG1618" s="55">
        <f t="shared" si="767"/>
        <v>0</v>
      </c>
      <c r="TPH1618" s="55">
        <f t="shared" si="767"/>
        <v>0</v>
      </c>
      <c r="TPI1618" s="55">
        <f t="shared" si="767"/>
        <v>0</v>
      </c>
      <c r="TPJ1618" s="55">
        <f t="shared" si="767"/>
        <v>0</v>
      </c>
      <c r="TPK1618" s="55">
        <f t="shared" si="767"/>
        <v>0</v>
      </c>
      <c r="TPL1618" s="55">
        <f t="shared" si="767"/>
        <v>0</v>
      </c>
      <c r="TPM1618" s="55">
        <f t="shared" si="767"/>
        <v>0</v>
      </c>
      <c r="TPN1618" s="55">
        <f t="shared" si="767"/>
        <v>0</v>
      </c>
      <c r="TPO1618" s="55">
        <f t="shared" si="767"/>
        <v>0</v>
      </c>
      <c r="TPP1618" s="55">
        <f t="shared" si="767"/>
        <v>0</v>
      </c>
      <c r="TPQ1618" s="55">
        <f t="shared" si="767"/>
        <v>0</v>
      </c>
      <c r="TPR1618" s="55">
        <f t="shared" si="767"/>
        <v>0</v>
      </c>
      <c r="TPS1618" s="55">
        <f t="shared" si="767"/>
        <v>0</v>
      </c>
      <c r="TPT1618" s="55">
        <f t="shared" si="767"/>
        <v>0</v>
      </c>
      <c r="TPU1618" s="55">
        <f t="shared" si="767"/>
        <v>0</v>
      </c>
      <c r="TPV1618" s="55">
        <f t="shared" si="767"/>
        <v>0</v>
      </c>
      <c r="TPW1618" s="55">
        <f t="shared" si="767"/>
        <v>0</v>
      </c>
      <c r="TPX1618" s="55">
        <f t="shared" si="767"/>
        <v>0</v>
      </c>
      <c r="TPY1618" s="55">
        <f t="shared" si="767"/>
        <v>0</v>
      </c>
      <c r="TPZ1618" s="55">
        <f t="shared" si="767"/>
        <v>0</v>
      </c>
      <c r="TQA1618" s="55">
        <f t="shared" si="767"/>
        <v>0</v>
      </c>
      <c r="TQB1618" s="55">
        <f t="shared" ref="TQB1618:TSM1618" si="768">+(TQB1627+TQB1608)*1.18*1.1</f>
        <v>0</v>
      </c>
      <c r="TQC1618" s="55">
        <f t="shared" si="768"/>
        <v>0</v>
      </c>
      <c r="TQD1618" s="55">
        <f t="shared" si="768"/>
        <v>0</v>
      </c>
      <c r="TQE1618" s="55">
        <f t="shared" si="768"/>
        <v>0</v>
      </c>
      <c r="TQF1618" s="55">
        <f t="shared" si="768"/>
        <v>0</v>
      </c>
      <c r="TQG1618" s="55">
        <f t="shared" si="768"/>
        <v>0</v>
      </c>
      <c r="TQH1618" s="55">
        <f t="shared" si="768"/>
        <v>0</v>
      </c>
      <c r="TQI1618" s="55">
        <f t="shared" si="768"/>
        <v>0</v>
      </c>
      <c r="TQJ1618" s="55">
        <f t="shared" si="768"/>
        <v>0</v>
      </c>
      <c r="TQK1618" s="55">
        <f t="shared" si="768"/>
        <v>0</v>
      </c>
      <c r="TQL1618" s="55">
        <f t="shared" si="768"/>
        <v>0</v>
      </c>
      <c r="TQM1618" s="55">
        <f t="shared" si="768"/>
        <v>0</v>
      </c>
      <c r="TQN1618" s="55">
        <f t="shared" si="768"/>
        <v>0</v>
      </c>
      <c r="TQO1618" s="55">
        <f t="shared" si="768"/>
        <v>0</v>
      </c>
      <c r="TQP1618" s="55">
        <f t="shared" si="768"/>
        <v>0</v>
      </c>
      <c r="TQQ1618" s="55">
        <f t="shared" si="768"/>
        <v>0</v>
      </c>
      <c r="TQR1618" s="55">
        <f t="shared" si="768"/>
        <v>0</v>
      </c>
      <c r="TQS1618" s="55">
        <f t="shared" si="768"/>
        <v>0</v>
      </c>
      <c r="TQT1618" s="55">
        <f t="shared" si="768"/>
        <v>0</v>
      </c>
      <c r="TQU1618" s="55">
        <f t="shared" si="768"/>
        <v>0</v>
      </c>
      <c r="TQV1618" s="55">
        <f t="shared" si="768"/>
        <v>0</v>
      </c>
      <c r="TQW1618" s="55">
        <f t="shared" si="768"/>
        <v>0</v>
      </c>
      <c r="TQX1618" s="55">
        <f t="shared" si="768"/>
        <v>0</v>
      </c>
      <c r="TQY1618" s="55">
        <f t="shared" si="768"/>
        <v>0</v>
      </c>
      <c r="TQZ1618" s="55">
        <f t="shared" si="768"/>
        <v>0</v>
      </c>
      <c r="TRA1618" s="55">
        <f t="shared" si="768"/>
        <v>0</v>
      </c>
      <c r="TRB1618" s="55">
        <f t="shared" si="768"/>
        <v>0</v>
      </c>
      <c r="TRC1618" s="55">
        <f t="shared" si="768"/>
        <v>0</v>
      </c>
      <c r="TRD1618" s="55">
        <f t="shared" si="768"/>
        <v>0</v>
      </c>
      <c r="TRE1618" s="55">
        <f t="shared" si="768"/>
        <v>0</v>
      </c>
      <c r="TRF1618" s="55">
        <f t="shared" si="768"/>
        <v>0</v>
      </c>
      <c r="TRG1618" s="55">
        <f t="shared" si="768"/>
        <v>0</v>
      </c>
      <c r="TRH1618" s="55">
        <f t="shared" si="768"/>
        <v>0</v>
      </c>
      <c r="TRI1618" s="55">
        <f t="shared" si="768"/>
        <v>0</v>
      </c>
      <c r="TRJ1618" s="55">
        <f t="shared" si="768"/>
        <v>0</v>
      </c>
      <c r="TRK1618" s="55">
        <f t="shared" si="768"/>
        <v>0</v>
      </c>
      <c r="TRL1618" s="55">
        <f t="shared" si="768"/>
        <v>0</v>
      </c>
      <c r="TRM1618" s="55">
        <f t="shared" si="768"/>
        <v>0</v>
      </c>
      <c r="TRN1618" s="55">
        <f t="shared" si="768"/>
        <v>0</v>
      </c>
      <c r="TRO1618" s="55">
        <f t="shared" si="768"/>
        <v>0</v>
      </c>
      <c r="TRP1618" s="55">
        <f t="shared" si="768"/>
        <v>0</v>
      </c>
      <c r="TRQ1618" s="55">
        <f t="shared" si="768"/>
        <v>0</v>
      </c>
      <c r="TRR1618" s="55">
        <f t="shared" si="768"/>
        <v>0</v>
      </c>
      <c r="TRS1618" s="55">
        <f t="shared" si="768"/>
        <v>0</v>
      </c>
      <c r="TRT1618" s="55">
        <f t="shared" si="768"/>
        <v>0</v>
      </c>
      <c r="TRU1618" s="55">
        <f t="shared" si="768"/>
        <v>0</v>
      </c>
      <c r="TRV1618" s="55">
        <f t="shared" si="768"/>
        <v>0</v>
      </c>
      <c r="TRW1618" s="55">
        <f t="shared" si="768"/>
        <v>0</v>
      </c>
      <c r="TRX1618" s="55">
        <f t="shared" si="768"/>
        <v>0</v>
      </c>
      <c r="TRY1618" s="55">
        <f t="shared" si="768"/>
        <v>0</v>
      </c>
      <c r="TRZ1618" s="55">
        <f t="shared" si="768"/>
        <v>0</v>
      </c>
      <c r="TSA1618" s="55">
        <f t="shared" si="768"/>
        <v>0</v>
      </c>
      <c r="TSB1618" s="55">
        <f t="shared" si="768"/>
        <v>0</v>
      </c>
      <c r="TSC1618" s="55">
        <f t="shared" si="768"/>
        <v>0</v>
      </c>
      <c r="TSD1618" s="55">
        <f t="shared" si="768"/>
        <v>0</v>
      </c>
      <c r="TSE1618" s="55">
        <f t="shared" si="768"/>
        <v>0</v>
      </c>
      <c r="TSF1618" s="55">
        <f t="shared" si="768"/>
        <v>0</v>
      </c>
      <c r="TSG1618" s="55">
        <f t="shared" si="768"/>
        <v>0</v>
      </c>
      <c r="TSH1618" s="55">
        <f t="shared" si="768"/>
        <v>0</v>
      </c>
      <c r="TSI1618" s="55">
        <f t="shared" si="768"/>
        <v>0</v>
      </c>
      <c r="TSJ1618" s="55">
        <f t="shared" si="768"/>
        <v>0</v>
      </c>
      <c r="TSK1618" s="55">
        <f t="shared" si="768"/>
        <v>0</v>
      </c>
      <c r="TSL1618" s="55">
        <f t="shared" si="768"/>
        <v>0</v>
      </c>
      <c r="TSM1618" s="55">
        <f t="shared" si="768"/>
        <v>0</v>
      </c>
      <c r="TSN1618" s="55">
        <f t="shared" ref="TSN1618:TUY1618" si="769">+(TSN1627+TSN1608)*1.18*1.1</f>
        <v>0</v>
      </c>
      <c r="TSO1618" s="55">
        <f t="shared" si="769"/>
        <v>0</v>
      </c>
      <c r="TSP1618" s="55">
        <f t="shared" si="769"/>
        <v>0</v>
      </c>
      <c r="TSQ1618" s="55">
        <f t="shared" si="769"/>
        <v>0</v>
      </c>
      <c r="TSR1618" s="55">
        <f t="shared" si="769"/>
        <v>0</v>
      </c>
      <c r="TSS1618" s="55">
        <f t="shared" si="769"/>
        <v>0</v>
      </c>
      <c r="TST1618" s="55">
        <f t="shared" si="769"/>
        <v>0</v>
      </c>
      <c r="TSU1618" s="55">
        <f t="shared" si="769"/>
        <v>0</v>
      </c>
      <c r="TSV1618" s="55">
        <f t="shared" si="769"/>
        <v>0</v>
      </c>
      <c r="TSW1618" s="55">
        <f t="shared" si="769"/>
        <v>0</v>
      </c>
      <c r="TSX1618" s="55">
        <f t="shared" si="769"/>
        <v>0</v>
      </c>
      <c r="TSY1618" s="55">
        <f t="shared" si="769"/>
        <v>0</v>
      </c>
      <c r="TSZ1618" s="55">
        <f t="shared" si="769"/>
        <v>0</v>
      </c>
      <c r="TTA1618" s="55">
        <f t="shared" si="769"/>
        <v>0</v>
      </c>
      <c r="TTB1618" s="55">
        <f t="shared" si="769"/>
        <v>0</v>
      </c>
      <c r="TTC1618" s="55">
        <f t="shared" si="769"/>
        <v>0</v>
      </c>
      <c r="TTD1618" s="55">
        <f t="shared" si="769"/>
        <v>0</v>
      </c>
      <c r="TTE1618" s="55">
        <f t="shared" si="769"/>
        <v>0</v>
      </c>
      <c r="TTF1618" s="55">
        <f t="shared" si="769"/>
        <v>0</v>
      </c>
      <c r="TTG1618" s="55">
        <f t="shared" si="769"/>
        <v>0</v>
      </c>
      <c r="TTH1618" s="55">
        <f t="shared" si="769"/>
        <v>0</v>
      </c>
      <c r="TTI1618" s="55">
        <f t="shared" si="769"/>
        <v>0</v>
      </c>
      <c r="TTJ1618" s="55">
        <f t="shared" si="769"/>
        <v>0</v>
      </c>
      <c r="TTK1618" s="55">
        <f t="shared" si="769"/>
        <v>0</v>
      </c>
      <c r="TTL1618" s="55">
        <f t="shared" si="769"/>
        <v>0</v>
      </c>
      <c r="TTM1618" s="55">
        <f t="shared" si="769"/>
        <v>0</v>
      </c>
      <c r="TTN1618" s="55">
        <f t="shared" si="769"/>
        <v>0</v>
      </c>
      <c r="TTO1618" s="55">
        <f t="shared" si="769"/>
        <v>0</v>
      </c>
      <c r="TTP1618" s="55">
        <f t="shared" si="769"/>
        <v>0</v>
      </c>
      <c r="TTQ1618" s="55">
        <f t="shared" si="769"/>
        <v>0</v>
      </c>
      <c r="TTR1618" s="55">
        <f t="shared" si="769"/>
        <v>0</v>
      </c>
      <c r="TTS1618" s="55">
        <f t="shared" si="769"/>
        <v>0</v>
      </c>
      <c r="TTT1618" s="55">
        <f t="shared" si="769"/>
        <v>0</v>
      </c>
      <c r="TTU1618" s="55">
        <f t="shared" si="769"/>
        <v>0</v>
      </c>
      <c r="TTV1618" s="55">
        <f t="shared" si="769"/>
        <v>0</v>
      </c>
      <c r="TTW1618" s="55">
        <f t="shared" si="769"/>
        <v>0</v>
      </c>
      <c r="TTX1618" s="55">
        <f t="shared" si="769"/>
        <v>0</v>
      </c>
      <c r="TTY1618" s="55">
        <f t="shared" si="769"/>
        <v>0</v>
      </c>
      <c r="TTZ1618" s="55">
        <f t="shared" si="769"/>
        <v>0</v>
      </c>
      <c r="TUA1618" s="55">
        <f t="shared" si="769"/>
        <v>0</v>
      </c>
      <c r="TUB1618" s="55">
        <f t="shared" si="769"/>
        <v>0</v>
      </c>
      <c r="TUC1618" s="55">
        <f t="shared" si="769"/>
        <v>0</v>
      </c>
      <c r="TUD1618" s="55">
        <f t="shared" si="769"/>
        <v>0</v>
      </c>
      <c r="TUE1618" s="55">
        <f t="shared" si="769"/>
        <v>0</v>
      </c>
      <c r="TUF1618" s="55">
        <f t="shared" si="769"/>
        <v>0</v>
      </c>
      <c r="TUG1618" s="55">
        <f t="shared" si="769"/>
        <v>0</v>
      </c>
      <c r="TUH1618" s="55">
        <f t="shared" si="769"/>
        <v>0</v>
      </c>
      <c r="TUI1618" s="55">
        <f t="shared" si="769"/>
        <v>0</v>
      </c>
      <c r="TUJ1618" s="55">
        <f t="shared" si="769"/>
        <v>0</v>
      </c>
      <c r="TUK1618" s="55">
        <f t="shared" si="769"/>
        <v>0</v>
      </c>
      <c r="TUL1618" s="55">
        <f t="shared" si="769"/>
        <v>0</v>
      </c>
      <c r="TUM1618" s="55">
        <f t="shared" si="769"/>
        <v>0</v>
      </c>
      <c r="TUN1618" s="55">
        <f t="shared" si="769"/>
        <v>0</v>
      </c>
      <c r="TUO1618" s="55">
        <f t="shared" si="769"/>
        <v>0</v>
      </c>
      <c r="TUP1618" s="55">
        <f t="shared" si="769"/>
        <v>0</v>
      </c>
      <c r="TUQ1618" s="55">
        <f t="shared" si="769"/>
        <v>0</v>
      </c>
      <c r="TUR1618" s="55">
        <f t="shared" si="769"/>
        <v>0</v>
      </c>
      <c r="TUS1618" s="55">
        <f t="shared" si="769"/>
        <v>0</v>
      </c>
      <c r="TUT1618" s="55">
        <f t="shared" si="769"/>
        <v>0</v>
      </c>
      <c r="TUU1618" s="55">
        <f t="shared" si="769"/>
        <v>0</v>
      </c>
      <c r="TUV1618" s="55">
        <f t="shared" si="769"/>
        <v>0</v>
      </c>
      <c r="TUW1618" s="55">
        <f t="shared" si="769"/>
        <v>0</v>
      </c>
      <c r="TUX1618" s="55">
        <f t="shared" si="769"/>
        <v>0</v>
      </c>
      <c r="TUY1618" s="55">
        <f t="shared" si="769"/>
        <v>0</v>
      </c>
      <c r="TUZ1618" s="55">
        <f t="shared" ref="TUZ1618:TXK1618" si="770">+(TUZ1627+TUZ1608)*1.18*1.1</f>
        <v>0</v>
      </c>
      <c r="TVA1618" s="55">
        <f t="shared" si="770"/>
        <v>0</v>
      </c>
      <c r="TVB1618" s="55">
        <f t="shared" si="770"/>
        <v>0</v>
      </c>
      <c r="TVC1618" s="55">
        <f t="shared" si="770"/>
        <v>0</v>
      </c>
      <c r="TVD1618" s="55">
        <f t="shared" si="770"/>
        <v>0</v>
      </c>
      <c r="TVE1618" s="55">
        <f t="shared" si="770"/>
        <v>0</v>
      </c>
      <c r="TVF1618" s="55">
        <f t="shared" si="770"/>
        <v>0</v>
      </c>
      <c r="TVG1618" s="55">
        <f t="shared" si="770"/>
        <v>0</v>
      </c>
      <c r="TVH1618" s="55">
        <f t="shared" si="770"/>
        <v>0</v>
      </c>
      <c r="TVI1618" s="55">
        <f t="shared" si="770"/>
        <v>0</v>
      </c>
      <c r="TVJ1618" s="55">
        <f t="shared" si="770"/>
        <v>0</v>
      </c>
      <c r="TVK1618" s="55">
        <f t="shared" si="770"/>
        <v>0</v>
      </c>
      <c r="TVL1618" s="55">
        <f t="shared" si="770"/>
        <v>0</v>
      </c>
      <c r="TVM1618" s="55">
        <f t="shared" si="770"/>
        <v>0</v>
      </c>
      <c r="TVN1618" s="55">
        <f t="shared" si="770"/>
        <v>0</v>
      </c>
      <c r="TVO1618" s="55">
        <f t="shared" si="770"/>
        <v>0</v>
      </c>
      <c r="TVP1618" s="55">
        <f t="shared" si="770"/>
        <v>0</v>
      </c>
      <c r="TVQ1618" s="55">
        <f t="shared" si="770"/>
        <v>0</v>
      </c>
      <c r="TVR1618" s="55">
        <f t="shared" si="770"/>
        <v>0</v>
      </c>
      <c r="TVS1618" s="55">
        <f t="shared" si="770"/>
        <v>0</v>
      </c>
      <c r="TVT1618" s="55">
        <f t="shared" si="770"/>
        <v>0</v>
      </c>
      <c r="TVU1618" s="55">
        <f t="shared" si="770"/>
        <v>0</v>
      </c>
      <c r="TVV1618" s="55">
        <f t="shared" si="770"/>
        <v>0</v>
      </c>
      <c r="TVW1618" s="55">
        <f t="shared" si="770"/>
        <v>0</v>
      </c>
      <c r="TVX1618" s="55">
        <f t="shared" si="770"/>
        <v>0</v>
      </c>
      <c r="TVY1618" s="55">
        <f t="shared" si="770"/>
        <v>0</v>
      </c>
      <c r="TVZ1618" s="55">
        <f t="shared" si="770"/>
        <v>0</v>
      </c>
      <c r="TWA1618" s="55">
        <f t="shared" si="770"/>
        <v>0</v>
      </c>
      <c r="TWB1618" s="55">
        <f t="shared" si="770"/>
        <v>0</v>
      </c>
      <c r="TWC1618" s="55">
        <f t="shared" si="770"/>
        <v>0</v>
      </c>
      <c r="TWD1618" s="55">
        <f t="shared" si="770"/>
        <v>0</v>
      </c>
      <c r="TWE1618" s="55">
        <f t="shared" si="770"/>
        <v>0</v>
      </c>
      <c r="TWF1618" s="55">
        <f t="shared" si="770"/>
        <v>0</v>
      </c>
      <c r="TWG1618" s="55">
        <f t="shared" si="770"/>
        <v>0</v>
      </c>
      <c r="TWH1618" s="55">
        <f t="shared" si="770"/>
        <v>0</v>
      </c>
      <c r="TWI1618" s="55">
        <f t="shared" si="770"/>
        <v>0</v>
      </c>
      <c r="TWJ1618" s="55">
        <f t="shared" si="770"/>
        <v>0</v>
      </c>
      <c r="TWK1618" s="55">
        <f t="shared" si="770"/>
        <v>0</v>
      </c>
      <c r="TWL1618" s="55">
        <f t="shared" si="770"/>
        <v>0</v>
      </c>
      <c r="TWM1618" s="55">
        <f t="shared" si="770"/>
        <v>0</v>
      </c>
      <c r="TWN1618" s="55">
        <f t="shared" si="770"/>
        <v>0</v>
      </c>
      <c r="TWO1618" s="55">
        <f t="shared" si="770"/>
        <v>0</v>
      </c>
      <c r="TWP1618" s="55">
        <f t="shared" si="770"/>
        <v>0</v>
      </c>
      <c r="TWQ1618" s="55">
        <f t="shared" si="770"/>
        <v>0</v>
      </c>
      <c r="TWR1618" s="55">
        <f t="shared" si="770"/>
        <v>0</v>
      </c>
      <c r="TWS1618" s="55">
        <f t="shared" si="770"/>
        <v>0</v>
      </c>
      <c r="TWT1618" s="55">
        <f t="shared" si="770"/>
        <v>0</v>
      </c>
      <c r="TWU1618" s="55">
        <f t="shared" si="770"/>
        <v>0</v>
      </c>
      <c r="TWV1618" s="55">
        <f t="shared" si="770"/>
        <v>0</v>
      </c>
      <c r="TWW1618" s="55">
        <f t="shared" si="770"/>
        <v>0</v>
      </c>
      <c r="TWX1618" s="55">
        <f t="shared" si="770"/>
        <v>0</v>
      </c>
      <c r="TWY1618" s="55">
        <f t="shared" si="770"/>
        <v>0</v>
      </c>
      <c r="TWZ1618" s="55">
        <f t="shared" si="770"/>
        <v>0</v>
      </c>
      <c r="TXA1618" s="55">
        <f t="shared" si="770"/>
        <v>0</v>
      </c>
      <c r="TXB1618" s="55">
        <f t="shared" si="770"/>
        <v>0</v>
      </c>
      <c r="TXC1618" s="55">
        <f t="shared" si="770"/>
        <v>0</v>
      </c>
      <c r="TXD1618" s="55">
        <f t="shared" si="770"/>
        <v>0</v>
      </c>
      <c r="TXE1618" s="55">
        <f t="shared" si="770"/>
        <v>0</v>
      </c>
      <c r="TXF1618" s="55">
        <f t="shared" si="770"/>
        <v>0</v>
      </c>
      <c r="TXG1618" s="55">
        <f t="shared" si="770"/>
        <v>0</v>
      </c>
      <c r="TXH1618" s="55">
        <f t="shared" si="770"/>
        <v>0</v>
      </c>
      <c r="TXI1618" s="55">
        <f t="shared" si="770"/>
        <v>0</v>
      </c>
      <c r="TXJ1618" s="55">
        <f t="shared" si="770"/>
        <v>0</v>
      </c>
      <c r="TXK1618" s="55">
        <f t="shared" si="770"/>
        <v>0</v>
      </c>
      <c r="TXL1618" s="55">
        <f t="shared" ref="TXL1618:TZW1618" si="771">+(TXL1627+TXL1608)*1.18*1.1</f>
        <v>0</v>
      </c>
      <c r="TXM1618" s="55">
        <f t="shared" si="771"/>
        <v>0</v>
      </c>
      <c r="TXN1618" s="55">
        <f t="shared" si="771"/>
        <v>0</v>
      </c>
      <c r="TXO1618" s="55">
        <f t="shared" si="771"/>
        <v>0</v>
      </c>
      <c r="TXP1618" s="55">
        <f t="shared" si="771"/>
        <v>0</v>
      </c>
      <c r="TXQ1618" s="55">
        <f t="shared" si="771"/>
        <v>0</v>
      </c>
      <c r="TXR1618" s="55">
        <f t="shared" si="771"/>
        <v>0</v>
      </c>
      <c r="TXS1618" s="55">
        <f t="shared" si="771"/>
        <v>0</v>
      </c>
      <c r="TXT1618" s="55">
        <f t="shared" si="771"/>
        <v>0</v>
      </c>
      <c r="TXU1618" s="55">
        <f t="shared" si="771"/>
        <v>0</v>
      </c>
      <c r="TXV1618" s="55">
        <f t="shared" si="771"/>
        <v>0</v>
      </c>
      <c r="TXW1618" s="55">
        <f t="shared" si="771"/>
        <v>0</v>
      </c>
      <c r="TXX1618" s="55">
        <f t="shared" si="771"/>
        <v>0</v>
      </c>
      <c r="TXY1618" s="55">
        <f t="shared" si="771"/>
        <v>0</v>
      </c>
      <c r="TXZ1618" s="55">
        <f t="shared" si="771"/>
        <v>0</v>
      </c>
      <c r="TYA1618" s="55">
        <f t="shared" si="771"/>
        <v>0</v>
      </c>
      <c r="TYB1618" s="55">
        <f t="shared" si="771"/>
        <v>0</v>
      </c>
      <c r="TYC1618" s="55">
        <f t="shared" si="771"/>
        <v>0</v>
      </c>
      <c r="TYD1618" s="55">
        <f t="shared" si="771"/>
        <v>0</v>
      </c>
      <c r="TYE1618" s="55">
        <f t="shared" si="771"/>
        <v>0</v>
      </c>
      <c r="TYF1618" s="55">
        <f t="shared" si="771"/>
        <v>0</v>
      </c>
      <c r="TYG1618" s="55">
        <f t="shared" si="771"/>
        <v>0</v>
      </c>
      <c r="TYH1618" s="55">
        <f t="shared" si="771"/>
        <v>0</v>
      </c>
      <c r="TYI1618" s="55">
        <f t="shared" si="771"/>
        <v>0</v>
      </c>
      <c r="TYJ1618" s="55">
        <f t="shared" si="771"/>
        <v>0</v>
      </c>
      <c r="TYK1618" s="55">
        <f t="shared" si="771"/>
        <v>0</v>
      </c>
      <c r="TYL1618" s="55">
        <f t="shared" si="771"/>
        <v>0</v>
      </c>
      <c r="TYM1618" s="55">
        <f t="shared" si="771"/>
        <v>0</v>
      </c>
      <c r="TYN1618" s="55">
        <f t="shared" si="771"/>
        <v>0</v>
      </c>
      <c r="TYO1618" s="55">
        <f t="shared" si="771"/>
        <v>0</v>
      </c>
      <c r="TYP1618" s="55">
        <f t="shared" si="771"/>
        <v>0</v>
      </c>
      <c r="TYQ1618" s="55">
        <f t="shared" si="771"/>
        <v>0</v>
      </c>
      <c r="TYR1618" s="55">
        <f t="shared" si="771"/>
        <v>0</v>
      </c>
      <c r="TYS1618" s="55">
        <f t="shared" si="771"/>
        <v>0</v>
      </c>
      <c r="TYT1618" s="55">
        <f t="shared" si="771"/>
        <v>0</v>
      </c>
      <c r="TYU1618" s="55">
        <f t="shared" si="771"/>
        <v>0</v>
      </c>
      <c r="TYV1618" s="55">
        <f t="shared" si="771"/>
        <v>0</v>
      </c>
      <c r="TYW1618" s="55">
        <f t="shared" si="771"/>
        <v>0</v>
      </c>
      <c r="TYX1618" s="55">
        <f t="shared" si="771"/>
        <v>0</v>
      </c>
      <c r="TYY1618" s="55">
        <f t="shared" si="771"/>
        <v>0</v>
      </c>
      <c r="TYZ1618" s="55">
        <f t="shared" si="771"/>
        <v>0</v>
      </c>
      <c r="TZA1618" s="55">
        <f t="shared" si="771"/>
        <v>0</v>
      </c>
      <c r="TZB1618" s="55">
        <f t="shared" si="771"/>
        <v>0</v>
      </c>
      <c r="TZC1618" s="55">
        <f t="shared" si="771"/>
        <v>0</v>
      </c>
      <c r="TZD1618" s="55">
        <f t="shared" si="771"/>
        <v>0</v>
      </c>
      <c r="TZE1618" s="55">
        <f t="shared" si="771"/>
        <v>0</v>
      </c>
      <c r="TZF1618" s="55">
        <f t="shared" si="771"/>
        <v>0</v>
      </c>
      <c r="TZG1618" s="55">
        <f t="shared" si="771"/>
        <v>0</v>
      </c>
      <c r="TZH1618" s="55">
        <f t="shared" si="771"/>
        <v>0</v>
      </c>
      <c r="TZI1618" s="55">
        <f t="shared" si="771"/>
        <v>0</v>
      </c>
      <c r="TZJ1618" s="55">
        <f t="shared" si="771"/>
        <v>0</v>
      </c>
      <c r="TZK1618" s="55">
        <f t="shared" si="771"/>
        <v>0</v>
      </c>
      <c r="TZL1618" s="55">
        <f t="shared" si="771"/>
        <v>0</v>
      </c>
      <c r="TZM1618" s="55">
        <f t="shared" si="771"/>
        <v>0</v>
      </c>
      <c r="TZN1618" s="55">
        <f t="shared" si="771"/>
        <v>0</v>
      </c>
      <c r="TZO1618" s="55">
        <f t="shared" si="771"/>
        <v>0</v>
      </c>
      <c r="TZP1618" s="55">
        <f t="shared" si="771"/>
        <v>0</v>
      </c>
      <c r="TZQ1618" s="55">
        <f t="shared" si="771"/>
        <v>0</v>
      </c>
      <c r="TZR1618" s="55">
        <f t="shared" si="771"/>
        <v>0</v>
      </c>
      <c r="TZS1618" s="55">
        <f t="shared" si="771"/>
        <v>0</v>
      </c>
      <c r="TZT1618" s="55">
        <f t="shared" si="771"/>
        <v>0</v>
      </c>
      <c r="TZU1618" s="55">
        <f t="shared" si="771"/>
        <v>0</v>
      </c>
      <c r="TZV1618" s="55">
        <f t="shared" si="771"/>
        <v>0</v>
      </c>
      <c r="TZW1618" s="55">
        <f t="shared" si="771"/>
        <v>0</v>
      </c>
      <c r="TZX1618" s="55">
        <f t="shared" ref="TZX1618:UCI1618" si="772">+(TZX1627+TZX1608)*1.18*1.1</f>
        <v>0</v>
      </c>
      <c r="TZY1618" s="55">
        <f t="shared" si="772"/>
        <v>0</v>
      </c>
      <c r="TZZ1618" s="55">
        <f t="shared" si="772"/>
        <v>0</v>
      </c>
      <c r="UAA1618" s="55">
        <f t="shared" si="772"/>
        <v>0</v>
      </c>
      <c r="UAB1618" s="55">
        <f t="shared" si="772"/>
        <v>0</v>
      </c>
      <c r="UAC1618" s="55">
        <f t="shared" si="772"/>
        <v>0</v>
      </c>
      <c r="UAD1618" s="55">
        <f t="shared" si="772"/>
        <v>0</v>
      </c>
      <c r="UAE1618" s="55">
        <f t="shared" si="772"/>
        <v>0</v>
      </c>
      <c r="UAF1618" s="55">
        <f t="shared" si="772"/>
        <v>0</v>
      </c>
      <c r="UAG1618" s="55">
        <f t="shared" si="772"/>
        <v>0</v>
      </c>
      <c r="UAH1618" s="55">
        <f t="shared" si="772"/>
        <v>0</v>
      </c>
      <c r="UAI1618" s="55">
        <f t="shared" si="772"/>
        <v>0</v>
      </c>
      <c r="UAJ1618" s="55">
        <f t="shared" si="772"/>
        <v>0</v>
      </c>
      <c r="UAK1618" s="55">
        <f t="shared" si="772"/>
        <v>0</v>
      </c>
      <c r="UAL1618" s="55">
        <f t="shared" si="772"/>
        <v>0</v>
      </c>
      <c r="UAM1618" s="55">
        <f t="shared" si="772"/>
        <v>0</v>
      </c>
      <c r="UAN1618" s="55">
        <f t="shared" si="772"/>
        <v>0</v>
      </c>
      <c r="UAO1618" s="55">
        <f t="shared" si="772"/>
        <v>0</v>
      </c>
      <c r="UAP1618" s="55">
        <f t="shared" si="772"/>
        <v>0</v>
      </c>
      <c r="UAQ1618" s="55">
        <f t="shared" si="772"/>
        <v>0</v>
      </c>
      <c r="UAR1618" s="55">
        <f t="shared" si="772"/>
        <v>0</v>
      </c>
      <c r="UAS1618" s="55">
        <f t="shared" si="772"/>
        <v>0</v>
      </c>
      <c r="UAT1618" s="55">
        <f t="shared" si="772"/>
        <v>0</v>
      </c>
      <c r="UAU1618" s="55">
        <f t="shared" si="772"/>
        <v>0</v>
      </c>
      <c r="UAV1618" s="55">
        <f t="shared" si="772"/>
        <v>0</v>
      </c>
      <c r="UAW1618" s="55">
        <f t="shared" si="772"/>
        <v>0</v>
      </c>
      <c r="UAX1618" s="55">
        <f t="shared" si="772"/>
        <v>0</v>
      </c>
      <c r="UAY1618" s="55">
        <f t="shared" si="772"/>
        <v>0</v>
      </c>
      <c r="UAZ1618" s="55">
        <f t="shared" si="772"/>
        <v>0</v>
      </c>
      <c r="UBA1618" s="55">
        <f t="shared" si="772"/>
        <v>0</v>
      </c>
      <c r="UBB1618" s="55">
        <f t="shared" si="772"/>
        <v>0</v>
      </c>
      <c r="UBC1618" s="55">
        <f t="shared" si="772"/>
        <v>0</v>
      </c>
      <c r="UBD1618" s="55">
        <f t="shared" si="772"/>
        <v>0</v>
      </c>
      <c r="UBE1618" s="55">
        <f t="shared" si="772"/>
        <v>0</v>
      </c>
      <c r="UBF1618" s="55">
        <f t="shared" si="772"/>
        <v>0</v>
      </c>
      <c r="UBG1618" s="55">
        <f t="shared" si="772"/>
        <v>0</v>
      </c>
      <c r="UBH1618" s="55">
        <f t="shared" si="772"/>
        <v>0</v>
      </c>
      <c r="UBI1618" s="55">
        <f t="shared" si="772"/>
        <v>0</v>
      </c>
      <c r="UBJ1618" s="55">
        <f t="shared" si="772"/>
        <v>0</v>
      </c>
      <c r="UBK1618" s="55">
        <f t="shared" si="772"/>
        <v>0</v>
      </c>
      <c r="UBL1618" s="55">
        <f t="shared" si="772"/>
        <v>0</v>
      </c>
      <c r="UBM1618" s="55">
        <f t="shared" si="772"/>
        <v>0</v>
      </c>
      <c r="UBN1618" s="55">
        <f t="shared" si="772"/>
        <v>0</v>
      </c>
      <c r="UBO1618" s="55">
        <f t="shared" si="772"/>
        <v>0</v>
      </c>
      <c r="UBP1618" s="55">
        <f t="shared" si="772"/>
        <v>0</v>
      </c>
      <c r="UBQ1618" s="55">
        <f t="shared" si="772"/>
        <v>0</v>
      </c>
      <c r="UBR1618" s="55">
        <f t="shared" si="772"/>
        <v>0</v>
      </c>
      <c r="UBS1618" s="55">
        <f t="shared" si="772"/>
        <v>0</v>
      </c>
      <c r="UBT1618" s="55">
        <f t="shared" si="772"/>
        <v>0</v>
      </c>
      <c r="UBU1618" s="55">
        <f t="shared" si="772"/>
        <v>0</v>
      </c>
      <c r="UBV1618" s="55">
        <f t="shared" si="772"/>
        <v>0</v>
      </c>
      <c r="UBW1618" s="55">
        <f t="shared" si="772"/>
        <v>0</v>
      </c>
      <c r="UBX1618" s="55">
        <f t="shared" si="772"/>
        <v>0</v>
      </c>
      <c r="UBY1618" s="55">
        <f t="shared" si="772"/>
        <v>0</v>
      </c>
      <c r="UBZ1618" s="55">
        <f t="shared" si="772"/>
        <v>0</v>
      </c>
      <c r="UCA1618" s="55">
        <f t="shared" si="772"/>
        <v>0</v>
      </c>
      <c r="UCB1618" s="55">
        <f t="shared" si="772"/>
        <v>0</v>
      </c>
      <c r="UCC1618" s="55">
        <f t="shared" si="772"/>
        <v>0</v>
      </c>
      <c r="UCD1618" s="55">
        <f t="shared" si="772"/>
        <v>0</v>
      </c>
      <c r="UCE1618" s="55">
        <f t="shared" si="772"/>
        <v>0</v>
      </c>
      <c r="UCF1618" s="55">
        <f t="shared" si="772"/>
        <v>0</v>
      </c>
      <c r="UCG1618" s="55">
        <f t="shared" si="772"/>
        <v>0</v>
      </c>
      <c r="UCH1618" s="55">
        <f t="shared" si="772"/>
        <v>0</v>
      </c>
      <c r="UCI1618" s="55">
        <f t="shared" si="772"/>
        <v>0</v>
      </c>
      <c r="UCJ1618" s="55">
        <f t="shared" ref="UCJ1618:UEU1618" si="773">+(UCJ1627+UCJ1608)*1.18*1.1</f>
        <v>0</v>
      </c>
      <c r="UCK1618" s="55">
        <f t="shared" si="773"/>
        <v>0</v>
      </c>
      <c r="UCL1618" s="55">
        <f t="shared" si="773"/>
        <v>0</v>
      </c>
      <c r="UCM1618" s="55">
        <f t="shared" si="773"/>
        <v>0</v>
      </c>
      <c r="UCN1618" s="55">
        <f t="shared" si="773"/>
        <v>0</v>
      </c>
      <c r="UCO1618" s="55">
        <f t="shared" si="773"/>
        <v>0</v>
      </c>
      <c r="UCP1618" s="55">
        <f t="shared" si="773"/>
        <v>0</v>
      </c>
      <c r="UCQ1618" s="55">
        <f t="shared" si="773"/>
        <v>0</v>
      </c>
      <c r="UCR1618" s="55">
        <f t="shared" si="773"/>
        <v>0</v>
      </c>
      <c r="UCS1618" s="55">
        <f t="shared" si="773"/>
        <v>0</v>
      </c>
      <c r="UCT1618" s="55">
        <f t="shared" si="773"/>
        <v>0</v>
      </c>
      <c r="UCU1618" s="55">
        <f t="shared" si="773"/>
        <v>0</v>
      </c>
      <c r="UCV1618" s="55">
        <f t="shared" si="773"/>
        <v>0</v>
      </c>
      <c r="UCW1618" s="55">
        <f t="shared" si="773"/>
        <v>0</v>
      </c>
      <c r="UCX1618" s="55">
        <f t="shared" si="773"/>
        <v>0</v>
      </c>
      <c r="UCY1618" s="55">
        <f t="shared" si="773"/>
        <v>0</v>
      </c>
      <c r="UCZ1618" s="55">
        <f t="shared" si="773"/>
        <v>0</v>
      </c>
      <c r="UDA1618" s="55">
        <f t="shared" si="773"/>
        <v>0</v>
      </c>
      <c r="UDB1618" s="55">
        <f t="shared" si="773"/>
        <v>0</v>
      </c>
      <c r="UDC1618" s="55">
        <f t="shared" si="773"/>
        <v>0</v>
      </c>
      <c r="UDD1618" s="55">
        <f t="shared" si="773"/>
        <v>0</v>
      </c>
      <c r="UDE1618" s="55">
        <f t="shared" si="773"/>
        <v>0</v>
      </c>
      <c r="UDF1618" s="55">
        <f t="shared" si="773"/>
        <v>0</v>
      </c>
      <c r="UDG1618" s="55">
        <f t="shared" si="773"/>
        <v>0</v>
      </c>
      <c r="UDH1618" s="55">
        <f t="shared" si="773"/>
        <v>0</v>
      </c>
      <c r="UDI1618" s="55">
        <f t="shared" si="773"/>
        <v>0</v>
      </c>
      <c r="UDJ1618" s="55">
        <f t="shared" si="773"/>
        <v>0</v>
      </c>
      <c r="UDK1618" s="55">
        <f t="shared" si="773"/>
        <v>0</v>
      </c>
      <c r="UDL1618" s="55">
        <f t="shared" si="773"/>
        <v>0</v>
      </c>
      <c r="UDM1618" s="55">
        <f t="shared" si="773"/>
        <v>0</v>
      </c>
      <c r="UDN1618" s="55">
        <f t="shared" si="773"/>
        <v>0</v>
      </c>
      <c r="UDO1618" s="55">
        <f t="shared" si="773"/>
        <v>0</v>
      </c>
      <c r="UDP1618" s="55">
        <f t="shared" si="773"/>
        <v>0</v>
      </c>
      <c r="UDQ1618" s="55">
        <f t="shared" si="773"/>
        <v>0</v>
      </c>
      <c r="UDR1618" s="55">
        <f t="shared" si="773"/>
        <v>0</v>
      </c>
      <c r="UDS1618" s="55">
        <f t="shared" si="773"/>
        <v>0</v>
      </c>
      <c r="UDT1618" s="55">
        <f t="shared" si="773"/>
        <v>0</v>
      </c>
      <c r="UDU1618" s="55">
        <f t="shared" si="773"/>
        <v>0</v>
      </c>
      <c r="UDV1618" s="55">
        <f t="shared" si="773"/>
        <v>0</v>
      </c>
      <c r="UDW1618" s="55">
        <f t="shared" si="773"/>
        <v>0</v>
      </c>
      <c r="UDX1618" s="55">
        <f t="shared" si="773"/>
        <v>0</v>
      </c>
      <c r="UDY1618" s="55">
        <f t="shared" si="773"/>
        <v>0</v>
      </c>
      <c r="UDZ1618" s="55">
        <f t="shared" si="773"/>
        <v>0</v>
      </c>
      <c r="UEA1618" s="55">
        <f t="shared" si="773"/>
        <v>0</v>
      </c>
      <c r="UEB1618" s="55">
        <f t="shared" si="773"/>
        <v>0</v>
      </c>
      <c r="UEC1618" s="55">
        <f t="shared" si="773"/>
        <v>0</v>
      </c>
      <c r="UED1618" s="55">
        <f t="shared" si="773"/>
        <v>0</v>
      </c>
      <c r="UEE1618" s="55">
        <f t="shared" si="773"/>
        <v>0</v>
      </c>
      <c r="UEF1618" s="55">
        <f t="shared" si="773"/>
        <v>0</v>
      </c>
      <c r="UEG1618" s="55">
        <f t="shared" si="773"/>
        <v>0</v>
      </c>
      <c r="UEH1618" s="55">
        <f t="shared" si="773"/>
        <v>0</v>
      </c>
      <c r="UEI1618" s="55">
        <f t="shared" si="773"/>
        <v>0</v>
      </c>
      <c r="UEJ1618" s="55">
        <f t="shared" si="773"/>
        <v>0</v>
      </c>
      <c r="UEK1618" s="55">
        <f t="shared" si="773"/>
        <v>0</v>
      </c>
      <c r="UEL1618" s="55">
        <f t="shared" si="773"/>
        <v>0</v>
      </c>
      <c r="UEM1618" s="55">
        <f t="shared" si="773"/>
        <v>0</v>
      </c>
      <c r="UEN1618" s="55">
        <f t="shared" si="773"/>
        <v>0</v>
      </c>
      <c r="UEO1618" s="55">
        <f t="shared" si="773"/>
        <v>0</v>
      </c>
      <c r="UEP1618" s="55">
        <f t="shared" si="773"/>
        <v>0</v>
      </c>
      <c r="UEQ1618" s="55">
        <f t="shared" si="773"/>
        <v>0</v>
      </c>
      <c r="UER1618" s="55">
        <f t="shared" si="773"/>
        <v>0</v>
      </c>
      <c r="UES1618" s="55">
        <f t="shared" si="773"/>
        <v>0</v>
      </c>
      <c r="UET1618" s="55">
        <f t="shared" si="773"/>
        <v>0</v>
      </c>
      <c r="UEU1618" s="55">
        <f t="shared" si="773"/>
        <v>0</v>
      </c>
      <c r="UEV1618" s="55">
        <f t="shared" ref="UEV1618:UHG1618" si="774">+(UEV1627+UEV1608)*1.18*1.1</f>
        <v>0</v>
      </c>
      <c r="UEW1618" s="55">
        <f t="shared" si="774"/>
        <v>0</v>
      </c>
      <c r="UEX1618" s="55">
        <f t="shared" si="774"/>
        <v>0</v>
      </c>
      <c r="UEY1618" s="55">
        <f t="shared" si="774"/>
        <v>0</v>
      </c>
      <c r="UEZ1618" s="55">
        <f t="shared" si="774"/>
        <v>0</v>
      </c>
      <c r="UFA1618" s="55">
        <f t="shared" si="774"/>
        <v>0</v>
      </c>
      <c r="UFB1618" s="55">
        <f t="shared" si="774"/>
        <v>0</v>
      </c>
      <c r="UFC1618" s="55">
        <f t="shared" si="774"/>
        <v>0</v>
      </c>
      <c r="UFD1618" s="55">
        <f t="shared" si="774"/>
        <v>0</v>
      </c>
      <c r="UFE1618" s="55">
        <f t="shared" si="774"/>
        <v>0</v>
      </c>
      <c r="UFF1618" s="55">
        <f t="shared" si="774"/>
        <v>0</v>
      </c>
      <c r="UFG1618" s="55">
        <f t="shared" si="774"/>
        <v>0</v>
      </c>
      <c r="UFH1618" s="55">
        <f t="shared" si="774"/>
        <v>0</v>
      </c>
      <c r="UFI1618" s="55">
        <f t="shared" si="774"/>
        <v>0</v>
      </c>
      <c r="UFJ1618" s="55">
        <f t="shared" si="774"/>
        <v>0</v>
      </c>
      <c r="UFK1618" s="55">
        <f t="shared" si="774"/>
        <v>0</v>
      </c>
      <c r="UFL1618" s="55">
        <f t="shared" si="774"/>
        <v>0</v>
      </c>
      <c r="UFM1618" s="55">
        <f t="shared" si="774"/>
        <v>0</v>
      </c>
      <c r="UFN1618" s="55">
        <f t="shared" si="774"/>
        <v>0</v>
      </c>
      <c r="UFO1618" s="55">
        <f t="shared" si="774"/>
        <v>0</v>
      </c>
      <c r="UFP1618" s="55">
        <f t="shared" si="774"/>
        <v>0</v>
      </c>
      <c r="UFQ1618" s="55">
        <f t="shared" si="774"/>
        <v>0</v>
      </c>
      <c r="UFR1618" s="55">
        <f t="shared" si="774"/>
        <v>0</v>
      </c>
      <c r="UFS1618" s="55">
        <f t="shared" si="774"/>
        <v>0</v>
      </c>
      <c r="UFT1618" s="55">
        <f t="shared" si="774"/>
        <v>0</v>
      </c>
      <c r="UFU1618" s="55">
        <f t="shared" si="774"/>
        <v>0</v>
      </c>
      <c r="UFV1618" s="55">
        <f t="shared" si="774"/>
        <v>0</v>
      </c>
      <c r="UFW1618" s="55">
        <f t="shared" si="774"/>
        <v>0</v>
      </c>
      <c r="UFX1618" s="55">
        <f t="shared" si="774"/>
        <v>0</v>
      </c>
      <c r="UFY1618" s="55">
        <f t="shared" si="774"/>
        <v>0</v>
      </c>
      <c r="UFZ1618" s="55">
        <f t="shared" si="774"/>
        <v>0</v>
      </c>
      <c r="UGA1618" s="55">
        <f t="shared" si="774"/>
        <v>0</v>
      </c>
      <c r="UGB1618" s="55">
        <f t="shared" si="774"/>
        <v>0</v>
      </c>
      <c r="UGC1618" s="55">
        <f t="shared" si="774"/>
        <v>0</v>
      </c>
      <c r="UGD1618" s="55">
        <f t="shared" si="774"/>
        <v>0</v>
      </c>
      <c r="UGE1618" s="55">
        <f t="shared" si="774"/>
        <v>0</v>
      </c>
      <c r="UGF1618" s="55">
        <f t="shared" si="774"/>
        <v>0</v>
      </c>
      <c r="UGG1618" s="55">
        <f t="shared" si="774"/>
        <v>0</v>
      </c>
      <c r="UGH1618" s="55">
        <f t="shared" si="774"/>
        <v>0</v>
      </c>
      <c r="UGI1618" s="55">
        <f t="shared" si="774"/>
        <v>0</v>
      </c>
      <c r="UGJ1618" s="55">
        <f t="shared" si="774"/>
        <v>0</v>
      </c>
      <c r="UGK1618" s="55">
        <f t="shared" si="774"/>
        <v>0</v>
      </c>
      <c r="UGL1618" s="55">
        <f t="shared" si="774"/>
        <v>0</v>
      </c>
      <c r="UGM1618" s="55">
        <f t="shared" si="774"/>
        <v>0</v>
      </c>
      <c r="UGN1618" s="55">
        <f t="shared" si="774"/>
        <v>0</v>
      </c>
      <c r="UGO1618" s="55">
        <f t="shared" si="774"/>
        <v>0</v>
      </c>
      <c r="UGP1618" s="55">
        <f t="shared" si="774"/>
        <v>0</v>
      </c>
      <c r="UGQ1618" s="55">
        <f t="shared" si="774"/>
        <v>0</v>
      </c>
      <c r="UGR1618" s="55">
        <f t="shared" si="774"/>
        <v>0</v>
      </c>
      <c r="UGS1618" s="55">
        <f t="shared" si="774"/>
        <v>0</v>
      </c>
      <c r="UGT1618" s="55">
        <f t="shared" si="774"/>
        <v>0</v>
      </c>
      <c r="UGU1618" s="55">
        <f t="shared" si="774"/>
        <v>0</v>
      </c>
      <c r="UGV1618" s="55">
        <f t="shared" si="774"/>
        <v>0</v>
      </c>
      <c r="UGW1618" s="55">
        <f t="shared" si="774"/>
        <v>0</v>
      </c>
      <c r="UGX1618" s="55">
        <f t="shared" si="774"/>
        <v>0</v>
      </c>
      <c r="UGY1618" s="55">
        <f t="shared" si="774"/>
        <v>0</v>
      </c>
      <c r="UGZ1618" s="55">
        <f t="shared" si="774"/>
        <v>0</v>
      </c>
      <c r="UHA1618" s="55">
        <f t="shared" si="774"/>
        <v>0</v>
      </c>
      <c r="UHB1618" s="55">
        <f t="shared" si="774"/>
        <v>0</v>
      </c>
      <c r="UHC1618" s="55">
        <f t="shared" si="774"/>
        <v>0</v>
      </c>
      <c r="UHD1618" s="55">
        <f t="shared" si="774"/>
        <v>0</v>
      </c>
      <c r="UHE1618" s="55">
        <f t="shared" si="774"/>
        <v>0</v>
      </c>
      <c r="UHF1618" s="55">
        <f t="shared" si="774"/>
        <v>0</v>
      </c>
      <c r="UHG1618" s="55">
        <f t="shared" si="774"/>
        <v>0</v>
      </c>
      <c r="UHH1618" s="55">
        <f t="shared" ref="UHH1618:UJS1618" si="775">+(UHH1627+UHH1608)*1.18*1.1</f>
        <v>0</v>
      </c>
      <c r="UHI1618" s="55">
        <f t="shared" si="775"/>
        <v>0</v>
      </c>
      <c r="UHJ1618" s="55">
        <f t="shared" si="775"/>
        <v>0</v>
      </c>
      <c r="UHK1618" s="55">
        <f t="shared" si="775"/>
        <v>0</v>
      </c>
      <c r="UHL1618" s="55">
        <f t="shared" si="775"/>
        <v>0</v>
      </c>
      <c r="UHM1618" s="55">
        <f t="shared" si="775"/>
        <v>0</v>
      </c>
      <c r="UHN1618" s="55">
        <f t="shared" si="775"/>
        <v>0</v>
      </c>
      <c r="UHO1618" s="55">
        <f t="shared" si="775"/>
        <v>0</v>
      </c>
      <c r="UHP1618" s="55">
        <f t="shared" si="775"/>
        <v>0</v>
      </c>
      <c r="UHQ1618" s="55">
        <f t="shared" si="775"/>
        <v>0</v>
      </c>
      <c r="UHR1618" s="55">
        <f t="shared" si="775"/>
        <v>0</v>
      </c>
      <c r="UHS1618" s="55">
        <f t="shared" si="775"/>
        <v>0</v>
      </c>
      <c r="UHT1618" s="55">
        <f t="shared" si="775"/>
        <v>0</v>
      </c>
      <c r="UHU1618" s="55">
        <f t="shared" si="775"/>
        <v>0</v>
      </c>
      <c r="UHV1618" s="55">
        <f t="shared" si="775"/>
        <v>0</v>
      </c>
      <c r="UHW1618" s="55">
        <f t="shared" si="775"/>
        <v>0</v>
      </c>
      <c r="UHX1618" s="55">
        <f t="shared" si="775"/>
        <v>0</v>
      </c>
      <c r="UHY1618" s="55">
        <f t="shared" si="775"/>
        <v>0</v>
      </c>
      <c r="UHZ1618" s="55">
        <f t="shared" si="775"/>
        <v>0</v>
      </c>
      <c r="UIA1618" s="55">
        <f t="shared" si="775"/>
        <v>0</v>
      </c>
      <c r="UIB1618" s="55">
        <f t="shared" si="775"/>
        <v>0</v>
      </c>
      <c r="UIC1618" s="55">
        <f t="shared" si="775"/>
        <v>0</v>
      </c>
      <c r="UID1618" s="55">
        <f t="shared" si="775"/>
        <v>0</v>
      </c>
      <c r="UIE1618" s="55">
        <f t="shared" si="775"/>
        <v>0</v>
      </c>
      <c r="UIF1618" s="55">
        <f t="shared" si="775"/>
        <v>0</v>
      </c>
      <c r="UIG1618" s="55">
        <f t="shared" si="775"/>
        <v>0</v>
      </c>
      <c r="UIH1618" s="55">
        <f t="shared" si="775"/>
        <v>0</v>
      </c>
      <c r="UII1618" s="55">
        <f t="shared" si="775"/>
        <v>0</v>
      </c>
      <c r="UIJ1618" s="55">
        <f t="shared" si="775"/>
        <v>0</v>
      </c>
      <c r="UIK1618" s="55">
        <f t="shared" si="775"/>
        <v>0</v>
      </c>
      <c r="UIL1618" s="55">
        <f t="shared" si="775"/>
        <v>0</v>
      </c>
      <c r="UIM1618" s="55">
        <f t="shared" si="775"/>
        <v>0</v>
      </c>
      <c r="UIN1618" s="55">
        <f t="shared" si="775"/>
        <v>0</v>
      </c>
      <c r="UIO1618" s="55">
        <f t="shared" si="775"/>
        <v>0</v>
      </c>
      <c r="UIP1618" s="55">
        <f t="shared" si="775"/>
        <v>0</v>
      </c>
      <c r="UIQ1618" s="55">
        <f t="shared" si="775"/>
        <v>0</v>
      </c>
      <c r="UIR1618" s="55">
        <f t="shared" si="775"/>
        <v>0</v>
      </c>
      <c r="UIS1618" s="55">
        <f t="shared" si="775"/>
        <v>0</v>
      </c>
      <c r="UIT1618" s="55">
        <f t="shared" si="775"/>
        <v>0</v>
      </c>
      <c r="UIU1618" s="55">
        <f t="shared" si="775"/>
        <v>0</v>
      </c>
      <c r="UIV1618" s="55">
        <f t="shared" si="775"/>
        <v>0</v>
      </c>
      <c r="UIW1618" s="55">
        <f t="shared" si="775"/>
        <v>0</v>
      </c>
      <c r="UIX1618" s="55">
        <f t="shared" si="775"/>
        <v>0</v>
      </c>
      <c r="UIY1618" s="55">
        <f t="shared" si="775"/>
        <v>0</v>
      </c>
      <c r="UIZ1618" s="55">
        <f t="shared" si="775"/>
        <v>0</v>
      </c>
      <c r="UJA1618" s="55">
        <f t="shared" si="775"/>
        <v>0</v>
      </c>
      <c r="UJB1618" s="55">
        <f t="shared" si="775"/>
        <v>0</v>
      </c>
      <c r="UJC1618" s="55">
        <f t="shared" si="775"/>
        <v>0</v>
      </c>
      <c r="UJD1618" s="55">
        <f t="shared" si="775"/>
        <v>0</v>
      </c>
      <c r="UJE1618" s="55">
        <f t="shared" si="775"/>
        <v>0</v>
      </c>
      <c r="UJF1618" s="55">
        <f t="shared" si="775"/>
        <v>0</v>
      </c>
      <c r="UJG1618" s="55">
        <f t="shared" si="775"/>
        <v>0</v>
      </c>
      <c r="UJH1618" s="55">
        <f t="shared" si="775"/>
        <v>0</v>
      </c>
      <c r="UJI1618" s="55">
        <f t="shared" si="775"/>
        <v>0</v>
      </c>
      <c r="UJJ1618" s="55">
        <f t="shared" si="775"/>
        <v>0</v>
      </c>
      <c r="UJK1618" s="55">
        <f t="shared" si="775"/>
        <v>0</v>
      </c>
      <c r="UJL1618" s="55">
        <f t="shared" si="775"/>
        <v>0</v>
      </c>
      <c r="UJM1618" s="55">
        <f t="shared" si="775"/>
        <v>0</v>
      </c>
      <c r="UJN1618" s="55">
        <f t="shared" si="775"/>
        <v>0</v>
      </c>
      <c r="UJO1618" s="55">
        <f t="shared" si="775"/>
        <v>0</v>
      </c>
      <c r="UJP1618" s="55">
        <f t="shared" si="775"/>
        <v>0</v>
      </c>
      <c r="UJQ1618" s="55">
        <f t="shared" si="775"/>
        <v>0</v>
      </c>
      <c r="UJR1618" s="55">
        <f t="shared" si="775"/>
        <v>0</v>
      </c>
      <c r="UJS1618" s="55">
        <f t="shared" si="775"/>
        <v>0</v>
      </c>
      <c r="UJT1618" s="55">
        <f t="shared" ref="UJT1618:UME1618" si="776">+(UJT1627+UJT1608)*1.18*1.1</f>
        <v>0</v>
      </c>
      <c r="UJU1618" s="55">
        <f t="shared" si="776"/>
        <v>0</v>
      </c>
      <c r="UJV1618" s="55">
        <f t="shared" si="776"/>
        <v>0</v>
      </c>
      <c r="UJW1618" s="55">
        <f t="shared" si="776"/>
        <v>0</v>
      </c>
      <c r="UJX1618" s="55">
        <f t="shared" si="776"/>
        <v>0</v>
      </c>
      <c r="UJY1618" s="55">
        <f t="shared" si="776"/>
        <v>0</v>
      </c>
      <c r="UJZ1618" s="55">
        <f t="shared" si="776"/>
        <v>0</v>
      </c>
      <c r="UKA1618" s="55">
        <f t="shared" si="776"/>
        <v>0</v>
      </c>
      <c r="UKB1618" s="55">
        <f t="shared" si="776"/>
        <v>0</v>
      </c>
      <c r="UKC1618" s="55">
        <f t="shared" si="776"/>
        <v>0</v>
      </c>
      <c r="UKD1618" s="55">
        <f t="shared" si="776"/>
        <v>0</v>
      </c>
      <c r="UKE1618" s="55">
        <f t="shared" si="776"/>
        <v>0</v>
      </c>
      <c r="UKF1618" s="55">
        <f t="shared" si="776"/>
        <v>0</v>
      </c>
      <c r="UKG1618" s="55">
        <f t="shared" si="776"/>
        <v>0</v>
      </c>
      <c r="UKH1618" s="55">
        <f t="shared" si="776"/>
        <v>0</v>
      </c>
      <c r="UKI1618" s="55">
        <f t="shared" si="776"/>
        <v>0</v>
      </c>
      <c r="UKJ1618" s="55">
        <f t="shared" si="776"/>
        <v>0</v>
      </c>
      <c r="UKK1618" s="55">
        <f t="shared" si="776"/>
        <v>0</v>
      </c>
      <c r="UKL1618" s="55">
        <f t="shared" si="776"/>
        <v>0</v>
      </c>
      <c r="UKM1618" s="55">
        <f t="shared" si="776"/>
        <v>0</v>
      </c>
      <c r="UKN1618" s="55">
        <f t="shared" si="776"/>
        <v>0</v>
      </c>
      <c r="UKO1618" s="55">
        <f t="shared" si="776"/>
        <v>0</v>
      </c>
      <c r="UKP1618" s="55">
        <f t="shared" si="776"/>
        <v>0</v>
      </c>
      <c r="UKQ1618" s="55">
        <f t="shared" si="776"/>
        <v>0</v>
      </c>
      <c r="UKR1618" s="55">
        <f t="shared" si="776"/>
        <v>0</v>
      </c>
      <c r="UKS1618" s="55">
        <f t="shared" si="776"/>
        <v>0</v>
      </c>
      <c r="UKT1618" s="55">
        <f t="shared" si="776"/>
        <v>0</v>
      </c>
      <c r="UKU1618" s="55">
        <f t="shared" si="776"/>
        <v>0</v>
      </c>
      <c r="UKV1618" s="55">
        <f t="shared" si="776"/>
        <v>0</v>
      </c>
      <c r="UKW1618" s="55">
        <f t="shared" si="776"/>
        <v>0</v>
      </c>
      <c r="UKX1618" s="55">
        <f t="shared" si="776"/>
        <v>0</v>
      </c>
      <c r="UKY1618" s="55">
        <f t="shared" si="776"/>
        <v>0</v>
      </c>
      <c r="UKZ1618" s="55">
        <f t="shared" si="776"/>
        <v>0</v>
      </c>
      <c r="ULA1618" s="55">
        <f t="shared" si="776"/>
        <v>0</v>
      </c>
      <c r="ULB1618" s="55">
        <f t="shared" si="776"/>
        <v>0</v>
      </c>
      <c r="ULC1618" s="55">
        <f t="shared" si="776"/>
        <v>0</v>
      </c>
      <c r="ULD1618" s="55">
        <f t="shared" si="776"/>
        <v>0</v>
      </c>
      <c r="ULE1618" s="55">
        <f t="shared" si="776"/>
        <v>0</v>
      </c>
      <c r="ULF1618" s="55">
        <f t="shared" si="776"/>
        <v>0</v>
      </c>
      <c r="ULG1618" s="55">
        <f t="shared" si="776"/>
        <v>0</v>
      </c>
      <c r="ULH1618" s="55">
        <f t="shared" si="776"/>
        <v>0</v>
      </c>
      <c r="ULI1618" s="55">
        <f t="shared" si="776"/>
        <v>0</v>
      </c>
      <c r="ULJ1618" s="55">
        <f t="shared" si="776"/>
        <v>0</v>
      </c>
      <c r="ULK1618" s="55">
        <f t="shared" si="776"/>
        <v>0</v>
      </c>
      <c r="ULL1618" s="55">
        <f t="shared" si="776"/>
        <v>0</v>
      </c>
      <c r="ULM1618" s="55">
        <f t="shared" si="776"/>
        <v>0</v>
      </c>
      <c r="ULN1618" s="55">
        <f t="shared" si="776"/>
        <v>0</v>
      </c>
      <c r="ULO1618" s="55">
        <f t="shared" si="776"/>
        <v>0</v>
      </c>
      <c r="ULP1618" s="55">
        <f t="shared" si="776"/>
        <v>0</v>
      </c>
      <c r="ULQ1618" s="55">
        <f t="shared" si="776"/>
        <v>0</v>
      </c>
      <c r="ULR1618" s="55">
        <f t="shared" si="776"/>
        <v>0</v>
      </c>
      <c r="ULS1618" s="55">
        <f t="shared" si="776"/>
        <v>0</v>
      </c>
      <c r="ULT1618" s="55">
        <f t="shared" si="776"/>
        <v>0</v>
      </c>
      <c r="ULU1618" s="55">
        <f t="shared" si="776"/>
        <v>0</v>
      </c>
      <c r="ULV1618" s="55">
        <f t="shared" si="776"/>
        <v>0</v>
      </c>
      <c r="ULW1618" s="55">
        <f t="shared" si="776"/>
        <v>0</v>
      </c>
      <c r="ULX1618" s="55">
        <f t="shared" si="776"/>
        <v>0</v>
      </c>
      <c r="ULY1618" s="55">
        <f t="shared" si="776"/>
        <v>0</v>
      </c>
      <c r="ULZ1618" s="55">
        <f t="shared" si="776"/>
        <v>0</v>
      </c>
      <c r="UMA1618" s="55">
        <f t="shared" si="776"/>
        <v>0</v>
      </c>
      <c r="UMB1618" s="55">
        <f t="shared" si="776"/>
        <v>0</v>
      </c>
      <c r="UMC1618" s="55">
        <f t="shared" si="776"/>
        <v>0</v>
      </c>
      <c r="UMD1618" s="55">
        <f t="shared" si="776"/>
        <v>0</v>
      </c>
      <c r="UME1618" s="55">
        <f t="shared" si="776"/>
        <v>0</v>
      </c>
      <c r="UMF1618" s="55">
        <f t="shared" ref="UMF1618:UOQ1618" si="777">+(UMF1627+UMF1608)*1.18*1.1</f>
        <v>0</v>
      </c>
      <c r="UMG1618" s="55">
        <f t="shared" si="777"/>
        <v>0</v>
      </c>
      <c r="UMH1618" s="55">
        <f t="shared" si="777"/>
        <v>0</v>
      </c>
      <c r="UMI1618" s="55">
        <f t="shared" si="777"/>
        <v>0</v>
      </c>
      <c r="UMJ1618" s="55">
        <f t="shared" si="777"/>
        <v>0</v>
      </c>
      <c r="UMK1618" s="55">
        <f t="shared" si="777"/>
        <v>0</v>
      </c>
      <c r="UML1618" s="55">
        <f t="shared" si="777"/>
        <v>0</v>
      </c>
      <c r="UMM1618" s="55">
        <f t="shared" si="777"/>
        <v>0</v>
      </c>
      <c r="UMN1618" s="55">
        <f t="shared" si="777"/>
        <v>0</v>
      </c>
      <c r="UMO1618" s="55">
        <f t="shared" si="777"/>
        <v>0</v>
      </c>
      <c r="UMP1618" s="55">
        <f t="shared" si="777"/>
        <v>0</v>
      </c>
      <c r="UMQ1618" s="55">
        <f t="shared" si="777"/>
        <v>0</v>
      </c>
      <c r="UMR1618" s="55">
        <f t="shared" si="777"/>
        <v>0</v>
      </c>
      <c r="UMS1618" s="55">
        <f t="shared" si="777"/>
        <v>0</v>
      </c>
      <c r="UMT1618" s="55">
        <f t="shared" si="777"/>
        <v>0</v>
      </c>
      <c r="UMU1618" s="55">
        <f t="shared" si="777"/>
        <v>0</v>
      </c>
      <c r="UMV1618" s="55">
        <f t="shared" si="777"/>
        <v>0</v>
      </c>
      <c r="UMW1618" s="55">
        <f t="shared" si="777"/>
        <v>0</v>
      </c>
      <c r="UMX1618" s="55">
        <f t="shared" si="777"/>
        <v>0</v>
      </c>
      <c r="UMY1618" s="55">
        <f t="shared" si="777"/>
        <v>0</v>
      </c>
      <c r="UMZ1618" s="55">
        <f t="shared" si="777"/>
        <v>0</v>
      </c>
      <c r="UNA1618" s="55">
        <f t="shared" si="777"/>
        <v>0</v>
      </c>
      <c r="UNB1618" s="55">
        <f t="shared" si="777"/>
        <v>0</v>
      </c>
      <c r="UNC1618" s="55">
        <f t="shared" si="777"/>
        <v>0</v>
      </c>
      <c r="UND1618" s="55">
        <f t="shared" si="777"/>
        <v>0</v>
      </c>
      <c r="UNE1618" s="55">
        <f t="shared" si="777"/>
        <v>0</v>
      </c>
      <c r="UNF1618" s="55">
        <f t="shared" si="777"/>
        <v>0</v>
      </c>
      <c r="UNG1618" s="55">
        <f t="shared" si="777"/>
        <v>0</v>
      </c>
      <c r="UNH1618" s="55">
        <f t="shared" si="777"/>
        <v>0</v>
      </c>
      <c r="UNI1618" s="55">
        <f t="shared" si="777"/>
        <v>0</v>
      </c>
      <c r="UNJ1618" s="55">
        <f t="shared" si="777"/>
        <v>0</v>
      </c>
      <c r="UNK1618" s="55">
        <f t="shared" si="777"/>
        <v>0</v>
      </c>
      <c r="UNL1618" s="55">
        <f t="shared" si="777"/>
        <v>0</v>
      </c>
      <c r="UNM1618" s="55">
        <f t="shared" si="777"/>
        <v>0</v>
      </c>
      <c r="UNN1618" s="55">
        <f t="shared" si="777"/>
        <v>0</v>
      </c>
      <c r="UNO1618" s="55">
        <f t="shared" si="777"/>
        <v>0</v>
      </c>
      <c r="UNP1618" s="55">
        <f t="shared" si="777"/>
        <v>0</v>
      </c>
      <c r="UNQ1618" s="55">
        <f t="shared" si="777"/>
        <v>0</v>
      </c>
      <c r="UNR1618" s="55">
        <f t="shared" si="777"/>
        <v>0</v>
      </c>
      <c r="UNS1618" s="55">
        <f t="shared" si="777"/>
        <v>0</v>
      </c>
      <c r="UNT1618" s="55">
        <f t="shared" si="777"/>
        <v>0</v>
      </c>
      <c r="UNU1618" s="55">
        <f t="shared" si="777"/>
        <v>0</v>
      </c>
      <c r="UNV1618" s="55">
        <f t="shared" si="777"/>
        <v>0</v>
      </c>
      <c r="UNW1618" s="55">
        <f t="shared" si="777"/>
        <v>0</v>
      </c>
      <c r="UNX1618" s="55">
        <f t="shared" si="777"/>
        <v>0</v>
      </c>
      <c r="UNY1618" s="55">
        <f t="shared" si="777"/>
        <v>0</v>
      </c>
      <c r="UNZ1618" s="55">
        <f t="shared" si="777"/>
        <v>0</v>
      </c>
      <c r="UOA1618" s="55">
        <f t="shared" si="777"/>
        <v>0</v>
      </c>
      <c r="UOB1618" s="55">
        <f t="shared" si="777"/>
        <v>0</v>
      </c>
      <c r="UOC1618" s="55">
        <f t="shared" si="777"/>
        <v>0</v>
      </c>
      <c r="UOD1618" s="55">
        <f t="shared" si="777"/>
        <v>0</v>
      </c>
      <c r="UOE1618" s="55">
        <f t="shared" si="777"/>
        <v>0</v>
      </c>
      <c r="UOF1618" s="55">
        <f t="shared" si="777"/>
        <v>0</v>
      </c>
      <c r="UOG1618" s="55">
        <f t="shared" si="777"/>
        <v>0</v>
      </c>
      <c r="UOH1618" s="55">
        <f t="shared" si="777"/>
        <v>0</v>
      </c>
      <c r="UOI1618" s="55">
        <f t="shared" si="777"/>
        <v>0</v>
      </c>
      <c r="UOJ1618" s="55">
        <f t="shared" si="777"/>
        <v>0</v>
      </c>
      <c r="UOK1618" s="55">
        <f t="shared" si="777"/>
        <v>0</v>
      </c>
      <c r="UOL1618" s="55">
        <f t="shared" si="777"/>
        <v>0</v>
      </c>
      <c r="UOM1618" s="55">
        <f t="shared" si="777"/>
        <v>0</v>
      </c>
      <c r="UON1618" s="55">
        <f t="shared" si="777"/>
        <v>0</v>
      </c>
      <c r="UOO1618" s="55">
        <f t="shared" si="777"/>
        <v>0</v>
      </c>
      <c r="UOP1618" s="55">
        <f t="shared" si="777"/>
        <v>0</v>
      </c>
      <c r="UOQ1618" s="55">
        <f t="shared" si="777"/>
        <v>0</v>
      </c>
      <c r="UOR1618" s="55">
        <f t="shared" ref="UOR1618:URC1618" si="778">+(UOR1627+UOR1608)*1.18*1.1</f>
        <v>0</v>
      </c>
      <c r="UOS1618" s="55">
        <f t="shared" si="778"/>
        <v>0</v>
      </c>
      <c r="UOT1618" s="55">
        <f t="shared" si="778"/>
        <v>0</v>
      </c>
      <c r="UOU1618" s="55">
        <f t="shared" si="778"/>
        <v>0</v>
      </c>
      <c r="UOV1618" s="55">
        <f t="shared" si="778"/>
        <v>0</v>
      </c>
      <c r="UOW1618" s="55">
        <f t="shared" si="778"/>
        <v>0</v>
      </c>
      <c r="UOX1618" s="55">
        <f t="shared" si="778"/>
        <v>0</v>
      </c>
      <c r="UOY1618" s="55">
        <f t="shared" si="778"/>
        <v>0</v>
      </c>
      <c r="UOZ1618" s="55">
        <f t="shared" si="778"/>
        <v>0</v>
      </c>
      <c r="UPA1618" s="55">
        <f t="shared" si="778"/>
        <v>0</v>
      </c>
      <c r="UPB1618" s="55">
        <f t="shared" si="778"/>
        <v>0</v>
      </c>
      <c r="UPC1618" s="55">
        <f t="shared" si="778"/>
        <v>0</v>
      </c>
      <c r="UPD1618" s="55">
        <f t="shared" si="778"/>
        <v>0</v>
      </c>
      <c r="UPE1618" s="55">
        <f t="shared" si="778"/>
        <v>0</v>
      </c>
      <c r="UPF1618" s="55">
        <f t="shared" si="778"/>
        <v>0</v>
      </c>
      <c r="UPG1618" s="55">
        <f t="shared" si="778"/>
        <v>0</v>
      </c>
      <c r="UPH1618" s="55">
        <f t="shared" si="778"/>
        <v>0</v>
      </c>
      <c r="UPI1618" s="55">
        <f t="shared" si="778"/>
        <v>0</v>
      </c>
      <c r="UPJ1618" s="55">
        <f t="shared" si="778"/>
        <v>0</v>
      </c>
      <c r="UPK1618" s="55">
        <f t="shared" si="778"/>
        <v>0</v>
      </c>
      <c r="UPL1618" s="55">
        <f t="shared" si="778"/>
        <v>0</v>
      </c>
      <c r="UPM1618" s="55">
        <f t="shared" si="778"/>
        <v>0</v>
      </c>
      <c r="UPN1618" s="55">
        <f t="shared" si="778"/>
        <v>0</v>
      </c>
      <c r="UPO1618" s="55">
        <f t="shared" si="778"/>
        <v>0</v>
      </c>
      <c r="UPP1618" s="55">
        <f t="shared" si="778"/>
        <v>0</v>
      </c>
      <c r="UPQ1618" s="55">
        <f t="shared" si="778"/>
        <v>0</v>
      </c>
      <c r="UPR1618" s="55">
        <f t="shared" si="778"/>
        <v>0</v>
      </c>
      <c r="UPS1618" s="55">
        <f t="shared" si="778"/>
        <v>0</v>
      </c>
      <c r="UPT1618" s="55">
        <f t="shared" si="778"/>
        <v>0</v>
      </c>
      <c r="UPU1618" s="55">
        <f t="shared" si="778"/>
        <v>0</v>
      </c>
      <c r="UPV1618" s="55">
        <f t="shared" si="778"/>
        <v>0</v>
      </c>
      <c r="UPW1618" s="55">
        <f t="shared" si="778"/>
        <v>0</v>
      </c>
      <c r="UPX1618" s="55">
        <f t="shared" si="778"/>
        <v>0</v>
      </c>
      <c r="UPY1618" s="55">
        <f t="shared" si="778"/>
        <v>0</v>
      </c>
      <c r="UPZ1618" s="55">
        <f t="shared" si="778"/>
        <v>0</v>
      </c>
      <c r="UQA1618" s="55">
        <f t="shared" si="778"/>
        <v>0</v>
      </c>
      <c r="UQB1618" s="55">
        <f t="shared" si="778"/>
        <v>0</v>
      </c>
      <c r="UQC1618" s="55">
        <f t="shared" si="778"/>
        <v>0</v>
      </c>
      <c r="UQD1618" s="55">
        <f t="shared" si="778"/>
        <v>0</v>
      </c>
      <c r="UQE1618" s="55">
        <f t="shared" si="778"/>
        <v>0</v>
      </c>
      <c r="UQF1618" s="55">
        <f t="shared" si="778"/>
        <v>0</v>
      </c>
      <c r="UQG1618" s="55">
        <f t="shared" si="778"/>
        <v>0</v>
      </c>
      <c r="UQH1618" s="55">
        <f t="shared" si="778"/>
        <v>0</v>
      </c>
      <c r="UQI1618" s="55">
        <f t="shared" si="778"/>
        <v>0</v>
      </c>
      <c r="UQJ1618" s="55">
        <f t="shared" si="778"/>
        <v>0</v>
      </c>
      <c r="UQK1618" s="55">
        <f t="shared" si="778"/>
        <v>0</v>
      </c>
      <c r="UQL1618" s="55">
        <f t="shared" si="778"/>
        <v>0</v>
      </c>
      <c r="UQM1618" s="55">
        <f t="shared" si="778"/>
        <v>0</v>
      </c>
      <c r="UQN1618" s="55">
        <f t="shared" si="778"/>
        <v>0</v>
      </c>
      <c r="UQO1618" s="55">
        <f t="shared" si="778"/>
        <v>0</v>
      </c>
      <c r="UQP1618" s="55">
        <f t="shared" si="778"/>
        <v>0</v>
      </c>
      <c r="UQQ1618" s="55">
        <f t="shared" si="778"/>
        <v>0</v>
      </c>
      <c r="UQR1618" s="55">
        <f t="shared" si="778"/>
        <v>0</v>
      </c>
      <c r="UQS1618" s="55">
        <f t="shared" si="778"/>
        <v>0</v>
      </c>
      <c r="UQT1618" s="55">
        <f t="shared" si="778"/>
        <v>0</v>
      </c>
      <c r="UQU1618" s="55">
        <f t="shared" si="778"/>
        <v>0</v>
      </c>
      <c r="UQV1618" s="55">
        <f t="shared" si="778"/>
        <v>0</v>
      </c>
      <c r="UQW1618" s="55">
        <f t="shared" si="778"/>
        <v>0</v>
      </c>
      <c r="UQX1618" s="55">
        <f t="shared" si="778"/>
        <v>0</v>
      </c>
      <c r="UQY1618" s="55">
        <f t="shared" si="778"/>
        <v>0</v>
      </c>
      <c r="UQZ1618" s="55">
        <f t="shared" si="778"/>
        <v>0</v>
      </c>
      <c r="URA1618" s="55">
        <f t="shared" si="778"/>
        <v>0</v>
      </c>
      <c r="URB1618" s="55">
        <f t="shared" si="778"/>
        <v>0</v>
      </c>
      <c r="URC1618" s="55">
        <f t="shared" si="778"/>
        <v>0</v>
      </c>
      <c r="URD1618" s="55">
        <f t="shared" ref="URD1618:UTO1618" si="779">+(URD1627+URD1608)*1.18*1.1</f>
        <v>0</v>
      </c>
      <c r="URE1618" s="55">
        <f t="shared" si="779"/>
        <v>0</v>
      </c>
      <c r="URF1618" s="55">
        <f t="shared" si="779"/>
        <v>0</v>
      </c>
      <c r="URG1618" s="55">
        <f t="shared" si="779"/>
        <v>0</v>
      </c>
      <c r="URH1618" s="55">
        <f t="shared" si="779"/>
        <v>0</v>
      </c>
      <c r="URI1618" s="55">
        <f t="shared" si="779"/>
        <v>0</v>
      </c>
      <c r="URJ1618" s="55">
        <f t="shared" si="779"/>
        <v>0</v>
      </c>
      <c r="URK1618" s="55">
        <f t="shared" si="779"/>
        <v>0</v>
      </c>
      <c r="URL1618" s="55">
        <f t="shared" si="779"/>
        <v>0</v>
      </c>
      <c r="URM1618" s="55">
        <f t="shared" si="779"/>
        <v>0</v>
      </c>
      <c r="URN1618" s="55">
        <f t="shared" si="779"/>
        <v>0</v>
      </c>
      <c r="URO1618" s="55">
        <f t="shared" si="779"/>
        <v>0</v>
      </c>
      <c r="URP1618" s="55">
        <f t="shared" si="779"/>
        <v>0</v>
      </c>
      <c r="URQ1618" s="55">
        <f t="shared" si="779"/>
        <v>0</v>
      </c>
      <c r="URR1618" s="55">
        <f t="shared" si="779"/>
        <v>0</v>
      </c>
      <c r="URS1618" s="55">
        <f t="shared" si="779"/>
        <v>0</v>
      </c>
      <c r="URT1618" s="55">
        <f t="shared" si="779"/>
        <v>0</v>
      </c>
      <c r="URU1618" s="55">
        <f t="shared" si="779"/>
        <v>0</v>
      </c>
      <c r="URV1618" s="55">
        <f t="shared" si="779"/>
        <v>0</v>
      </c>
      <c r="URW1618" s="55">
        <f t="shared" si="779"/>
        <v>0</v>
      </c>
      <c r="URX1618" s="55">
        <f t="shared" si="779"/>
        <v>0</v>
      </c>
      <c r="URY1618" s="55">
        <f t="shared" si="779"/>
        <v>0</v>
      </c>
      <c r="URZ1618" s="55">
        <f t="shared" si="779"/>
        <v>0</v>
      </c>
      <c r="USA1618" s="55">
        <f t="shared" si="779"/>
        <v>0</v>
      </c>
      <c r="USB1618" s="55">
        <f t="shared" si="779"/>
        <v>0</v>
      </c>
      <c r="USC1618" s="55">
        <f t="shared" si="779"/>
        <v>0</v>
      </c>
      <c r="USD1618" s="55">
        <f t="shared" si="779"/>
        <v>0</v>
      </c>
      <c r="USE1618" s="55">
        <f t="shared" si="779"/>
        <v>0</v>
      </c>
      <c r="USF1618" s="55">
        <f t="shared" si="779"/>
        <v>0</v>
      </c>
      <c r="USG1618" s="55">
        <f t="shared" si="779"/>
        <v>0</v>
      </c>
      <c r="USH1618" s="55">
        <f t="shared" si="779"/>
        <v>0</v>
      </c>
      <c r="USI1618" s="55">
        <f t="shared" si="779"/>
        <v>0</v>
      </c>
      <c r="USJ1618" s="55">
        <f t="shared" si="779"/>
        <v>0</v>
      </c>
      <c r="USK1618" s="55">
        <f t="shared" si="779"/>
        <v>0</v>
      </c>
      <c r="USL1618" s="55">
        <f t="shared" si="779"/>
        <v>0</v>
      </c>
      <c r="USM1618" s="55">
        <f t="shared" si="779"/>
        <v>0</v>
      </c>
      <c r="USN1618" s="55">
        <f t="shared" si="779"/>
        <v>0</v>
      </c>
      <c r="USO1618" s="55">
        <f t="shared" si="779"/>
        <v>0</v>
      </c>
      <c r="USP1618" s="55">
        <f t="shared" si="779"/>
        <v>0</v>
      </c>
      <c r="USQ1618" s="55">
        <f t="shared" si="779"/>
        <v>0</v>
      </c>
      <c r="USR1618" s="55">
        <f t="shared" si="779"/>
        <v>0</v>
      </c>
      <c r="USS1618" s="55">
        <f t="shared" si="779"/>
        <v>0</v>
      </c>
      <c r="UST1618" s="55">
        <f t="shared" si="779"/>
        <v>0</v>
      </c>
      <c r="USU1618" s="55">
        <f t="shared" si="779"/>
        <v>0</v>
      </c>
      <c r="USV1618" s="55">
        <f t="shared" si="779"/>
        <v>0</v>
      </c>
      <c r="USW1618" s="55">
        <f t="shared" si="779"/>
        <v>0</v>
      </c>
      <c r="USX1618" s="55">
        <f t="shared" si="779"/>
        <v>0</v>
      </c>
      <c r="USY1618" s="55">
        <f t="shared" si="779"/>
        <v>0</v>
      </c>
      <c r="USZ1618" s="55">
        <f t="shared" si="779"/>
        <v>0</v>
      </c>
      <c r="UTA1618" s="55">
        <f t="shared" si="779"/>
        <v>0</v>
      </c>
      <c r="UTB1618" s="55">
        <f t="shared" si="779"/>
        <v>0</v>
      </c>
      <c r="UTC1618" s="55">
        <f t="shared" si="779"/>
        <v>0</v>
      </c>
      <c r="UTD1618" s="55">
        <f t="shared" si="779"/>
        <v>0</v>
      </c>
      <c r="UTE1618" s="55">
        <f t="shared" si="779"/>
        <v>0</v>
      </c>
      <c r="UTF1618" s="55">
        <f t="shared" si="779"/>
        <v>0</v>
      </c>
      <c r="UTG1618" s="55">
        <f t="shared" si="779"/>
        <v>0</v>
      </c>
      <c r="UTH1618" s="55">
        <f t="shared" si="779"/>
        <v>0</v>
      </c>
      <c r="UTI1618" s="55">
        <f t="shared" si="779"/>
        <v>0</v>
      </c>
      <c r="UTJ1618" s="55">
        <f t="shared" si="779"/>
        <v>0</v>
      </c>
      <c r="UTK1618" s="55">
        <f t="shared" si="779"/>
        <v>0</v>
      </c>
      <c r="UTL1618" s="55">
        <f t="shared" si="779"/>
        <v>0</v>
      </c>
      <c r="UTM1618" s="55">
        <f t="shared" si="779"/>
        <v>0</v>
      </c>
      <c r="UTN1618" s="55">
        <f t="shared" si="779"/>
        <v>0</v>
      </c>
      <c r="UTO1618" s="55">
        <f t="shared" si="779"/>
        <v>0</v>
      </c>
      <c r="UTP1618" s="55">
        <f t="shared" ref="UTP1618:UWA1618" si="780">+(UTP1627+UTP1608)*1.18*1.1</f>
        <v>0</v>
      </c>
      <c r="UTQ1618" s="55">
        <f t="shared" si="780"/>
        <v>0</v>
      </c>
      <c r="UTR1618" s="55">
        <f t="shared" si="780"/>
        <v>0</v>
      </c>
      <c r="UTS1618" s="55">
        <f t="shared" si="780"/>
        <v>0</v>
      </c>
      <c r="UTT1618" s="55">
        <f t="shared" si="780"/>
        <v>0</v>
      </c>
      <c r="UTU1618" s="55">
        <f t="shared" si="780"/>
        <v>0</v>
      </c>
      <c r="UTV1618" s="55">
        <f t="shared" si="780"/>
        <v>0</v>
      </c>
      <c r="UTW1618" s="55">
        <f t="shared" si="780"/>
        <v>0</v>
      </c>
      <c r="UTX1618" s="55">
        <f t="shared" si="780"/>
        <v>0</v>
      </c>
      <c r="UTY1618" s="55">
        <f t="shared" si="780"/>
        <v>0</v>
      </c>
      <c r="UTZ1618" s="55">
        <f t="shared" si="780"/>
        <v>0</v>
      </c>
      <c r="UUA1618" s="55">
        <f t="shared" si="780"/>
        <v>0</v>
      </c>
      <c r="UUB1618" s="55">
        <f t="shared" si="780"/>
        <v>0</v>
      </c>
      <c r="UUC1618" s="55">
        <f t="shared" si="780"/>
        <v>0</v>
      </c>
      <c r="UUD1618" s="55">
        <f t="shared" si="780"/>
        <v>0</v>
      </c>
      <c r="UUE1618" s="55">
        <f t="shared" si="780"/>
        <v>0</v>
      </c>
      <c r="UUF1618" s="55">
        <f t="shared" si="780"/>
        <v>0</v>
      </c>
      <c r="UUG1618" s="55">
        <f t="shared" si="780"/>
        <v>0</v>
      </c>
      <c r="UUH1618" s="55">
        <f t="shared" si="780"/>
        <v>0</v>
      </c>
      <c r="UUI1618" s="55">
        <f t="shared" si="780"/>
        <v>0</v>
      </c>
      <c r="UUJ1618" s="55">
        <f t="shared" si="780"/>
        <v>0</v>
      </c>
      <c r="UUK1618" s="55">
        <f t="shared" si="780"/>
        <v>0</v>
      </c>
      <c r="UUL1618" s="55">
        <f t="shared" si="780"/>
        <v>0</v>
      </c>
      <c r="UUM1618" s="55">
        <f t="shared" si="780"/>
        <v>0</v>
      </c>
      <c r="UUN1618" s="55">
        <f t="shared" si="780"/>
        <v>0</v>
      </c>
      <c r="UUO1618" s="55">
        <f t="shared" si="780"/>
        <v>0</v>
      </c>
      <c r="UUP1618" s="55">
        <f t="shared" si="780"/>
        <v>0</v>
      </c>
      <c r="UUQ1618" s="55">
        <f t="shared" si="780"/>
        <v>0</v>
      </c>
      <c r="UUR1618" s="55">
        <f t="shared" si="780"/>
        <v>0</v>
      </c>
      <c r="UUS1618" s="55">
        <f t="shared" si="780"/>
        <v>0</v>
      </c>
      <c r="UUT1618" s="55">
        <f t="shared" si="780"/>
        <v>0</v>
      </c>
      <c r="UUU1618" s="55">
        <f t="shared" si="780"/>
        <v>0</v>
      </c>
      <c r="UUV1618" s="55">
        <f t="shared" si="780"/>
        <v>0</v>
      </c>
      <c r="UUW1618" s="55">
        <f t="shared" si="780"/>
        <v>0</v>
      </c>
      <c r="UUX1618" s="55">
        <f t="shared" si="780"/>
        <v>0</v>
      </c>
      <c r="UUY1618" s="55">
        <f t="shared" si="780"/>
        <v>0</v>
      </c>
      <c r="UUZ1618" s="55">
        <f t="shared" si="780"/>
        <v>0</v>
      </c>
      <c r="UVA1618" s="55">
        <f t="shared" si="780"/>
        <v>0</v>
      </c>
      <c r="UVB1618" s="55">
        <f t="shared" si="780"/>
        <v>0</v>
      </c>
      <c r="UVC1618" s="55">
        <f t="shared" si="780"/>
        <v>0</v>
      </c>
      <c r="UVD1618" s="55">
        <f t="shared" si="780"/>
        <v>0</v>
      </c>
      <c r="UVE1618" s="55">
        <f t="shared" si="780"/>
        <v>0</v>
      </c>
      <c r="UVF1618" s="55">
        <f t="shared" si="780"/>
        <v>0</v>
      </c>
      <c r="UVG1618" s="55">
        <f t="shared" si="780"/>
        <v>0</v>
      </c>
      <c r="UVH1618" s="55">
        <f t="shared" si="780"/>
        <v>0</v>
      </c>
      <c r="UVI1618" s="55">
        <f t="shared" si="780"/>
        <v>0</v>
      </c>
      <c r="UVJ1618" s="55">
        <f t="shared" si="780"/>
        <v>0</v>
      </c>
      <c r="UVK1618" s="55">
        <f t="shared" si="780"/>
        <v>0</v>
      </c>
      <c r="UVL1618" s="55">
        <f t="shared" si="780"/>
        <v>0</v>
      </c>
      <c r="UVM1618" s="55">
        <f t="shared" si="780"/>
        <v>0</v>
      </c>
      <c r="UVN1618" s="55">
        <f t="shared" si="780"/>
        <v>0</v>
      </c>
      <c r="UVO1618" s="55">
        <f t="shared" si="780"/>
        <v>0</v>
      </c>
      <c r="UVP1618" s="55">
        <f t="shared" si="780"/>
        <v>0</v>
      </c>
      <c r="UVQ1618" s="55">
        <f t="shared" si="780"/>
        <v>0</v>
      </c>
      <c r="UVR1618" s="55">
        <f t="shared" si="780"/>
        <v>0</v>
      </c>
      <c r="UVS1618" s="55">
        <f t="shared" si="780"/>
        <v>0</v>
      </c>
      <c r="UVT1618" s="55">
        <f t="shared" si="780"/>
        <v>0</v>
      </c>
      <c r="UVU1618" s="55">
        <f t="shared" si="780"/>
        <v>0</v>
      </c>
      <c r="UVV1618" s="55">
        <f t="shared" si="780"/>
        <v>0</v>
      </c>
      <c r="UVW1618" s="55">
        <f t="shared" si="780"/>
        <v>0</v>
      </c>
      <c r="UVX1618" s="55">
        <f t="shared" si="780"/>
        <v>0</v>
      </c>
      <c r="UVY1618" s="55">
        <f t="shared" si="780"/>
        <v>0</v>
      </c>
      <c r="UVZ1618" s="55">
        <f t="shared" si="780"/>
        <v>0</v>
      </c>
      <c r="UWA1618" s="55">
        <f t="shared" si="780"/>
        <v>0</v>
      </c>
      <c r="UWB1618" s="55">
        <f t="shared" ref="UWB1618:UYM1618" si="781">+(UWB1627+UWB1608)*1.18*1.1</f>
        <v>0</v>
      </c>
      <c r="UWC1618" s="55">
        <f t="shared" si="781"/>
        <v>0</v>
      </c>
      <c r="UWD1618" s="55">
        <f t="shared" si="781"/>
        <v>0</v>
      </c>
      <c r="UWE1618" s="55">
        <f t="shared" si="781"/>
        <v>0</v>
      </c>
      <c r="UWF1618" s="55">
        <f t="shared" si="781"/>
        <v>0</v>
      </c>
      <c r="UWG1618" s="55">
        <f t="shared" si="781"/>
        <v>0</v>
      </c>
      <c r="UWH1618" s="55">
        <f t="shared" si="781"/>
        <v>0</v>
      </c>
      <c r="UWI1618" s="55">
        <f t="shared" si="781"/>
        <v>0</v>
      </c>
      <c r="UWJ1618" s="55">
        <f t="shared" si="781"/>
        <v>0</v>
      </c>
      <c r="UWK1618" s="55">
        <f t="shared" si="781"/>
        <v>0</v>
      </c>
      <c r="UWL1618" s="55">
        <f t="shared" si="781"/>
        <v>0</v>
      </c>
      <c r="UWM1618" s="55">
        <f t="shared" si="781"/>
        <v>0</v>
      </c>
      <c r="UWN1618" s="55">
        <f t="shared" si="781"/>
        <v>0</v>
      </c>
      <c r="UWO1618" s="55">
        <f t="shared" si="781"/>
        <v>0</v>
      </c>
      <c r="UWP1618" s="55">
        <f t="shared" si="781"/>
        <v>0</v>
      </c>
      <c r="UWQ1618" s="55">
        <f t="shared" si="781"/>
        <v>0</v>
      </c>
      <c r="UWR1618" s="55">
        <f t="shared" si="781"/>
        <v>0</v>
      </c>
      <c r="UWS1618" s="55">
        <f t="shared" si="781"/>
        <v>0</v>
      </c>
      <c r="UWT1618" s="55">
        <f t="shared" si="781"/>
        <v>0</v>
      </c>
      <c r="UWU1618" s="55">
        <f t="shared" si="781"/>
        <v>0</v>
      </c>
      <c r="UWV1618" s="55">
        <f t="shared" si="781"/>
        <v>0</v>
      </c>
      <c r="UWW1618" s="55">
        <f t="shared" si="781"/>
        <v>0</v>
      </c>
      <c r="UWX1618" s="55">
        <f t="shared" si="781"/>
        <v>0</v>
      </c>
      <c r="UWY1618" s="55">
        <f t="shared" si="781"/>
        <v>0</v>
      </c>
      <c r="UWZ1618" s="55">
        <f t="shared" si="781"/>
        <v>0</v>
      </c>
      <c r="UXA1618" s="55">
        <f t="shared" si="781"/>
        <v>0</v>
      </c>
      <c r="UXB1618" s="55">
        <f t="shared" si="781"/>
        <v>0</v>
      </c>
      <c r="UXC1618" s="55">
        <f t="shared" si="781"/>
        <v>0</v>
      </c>
      <c r="UXD1618" s="55">
        <f t="shared" si="781"/>
        <v>0</v>
      </c>
      <c r="UXE1618" s="55">
        <f t="shared" si="781"/>
        <v>0</v>
      </c>
      <c r="UXF1618" s="55">
        <f t="shared" si="781"/>
        <v>0</v>
      </c>
      <c r="UXG1618" s="55">
        <f t="shared" si="781"/>
        <v>0</v>
      </c>
      <c r="UXH1618" s="55">
        <f t="shared" si="781"/>
        <v>0</v>
      </c>
      <c r="UXI1618" s="55">
        <f t="shared" si="781"/>
        <v>0</v>
      </c>
      <c r="UXJ1618" s="55">
        <f t="shared" si="781"/>
        <v>0</v>
      </c>
      <c r="UXK1618" s="55">
        <f t="shared" si="781"/>
        <v>0</v>
      </c>
      <c r="UXL1618" s="55">
        <f t="shared" si="781"/>
        <v>0</v>
      </c>
      <c r="UXM1618" s="55">
        <f t="shared" si="781"/>
        <v>0</v>
      </c>
      <c r="UXN1618" s="55">
        <f t="shared" si="781"/>
        <v>0</v>
      </c>
      <c r="UXO1618" s="55">
        <f t="shared" si="781"/>
        <v>0</v>
      </c>
      <c r="UXP1618" s="55">
        <f t="shared" si="781"/>
        <v>0</v>
      </c>
      <c r="UXQ1618" s="55">
        <f t="shared" si="781"/>
        <v>0</v>
      </c>
      <c r="UXR1618" s="55">
        <f t="shared" si="781"/>
        <v>0</v>
      </c>
      <c r="UXS1618" s="55">
        <f t="shared" si="781"/>
        <v>0</v>
      </c>
      <c r="UXT1618" s="55">
        <f t="shared" si="781"/>
        <v>0</v>
      </c>
      <c r="UXU1618" s="55">
        <f t="shared" si="781"/>
        <v>0</v>
      </c>
      <c r="UXV1618" s="55">
        <f t="shared" si="781"/>
        <v>0</v>
      </c>
      <c r="UXW1618" s="55">
        <f t="shared" si="781"/>
        <v>0</v>
      </c>
      <c r="UXX1618" s="55">
        <f t="shared" si="781"/>
        <v>0</v>
      </c>
      <c r="UXY1618" s="55">
        <f t="shared" si="781"/>
        <v>0</v>
      </c>
      <c r="UXZ1618" s="55">
        <f t="shared" si="781"/>
        <v>0</v>
      </c>
      <c r="UYA1618" s="55">
        <f t="shared" si="781"/>
        <v>0</v>
      </c>
      <c r="UYB1618" s="55">
        <f t="shared" si="781"/>
        <v>0</v>
      </c>
      <c r="UYC1618" s="55">
        <f t="shared" si="781"/>
        <v>0</v>
      </c>
      <c r="UYD1618" s="55">
        <f t="shared" si="781"/>
        <v>0</v>
      </c>
      <c r="UYE1618" s="55">
        <f t="shared" si="781"/>
        <v>0</v>
      </c>
      <c r="UYF1618" s="55">
        <f t="shared" si="781"/>
        <v>0</v>
      </c>
      <c r="UYG1618" s="55">
        <f t="shared" si="781"/>
        <v>0</v>
      </c>
      <c r="UYH1618" s="55">
        <f t="shared" si="781"/>
        <v>0</v>
      </c>
      <c r="UYI1618" s="55">
        <f t="shared" si="781"/>
        <v>0</v>
      </c>
      <c r="UYJ1618" s="55">
        <f t="shared" si="781"/>
        <v>0</v>
      </c>
      <c r="UYK1618" s="55">
        <f t="shared" si="781"/>
        <v>0</v>
      </c>
      <c r="UYL1618" s="55">
        <f t="shared" si="781"/>
        <v>0</v>
      </c>
      <c r="UYM1618" s="55">
        <f t="shared" si="781"/>
        <v>0</v>
      </c>
      <c r="UYN1618" s="55">
        <f t="shared" ref="UYN1618:VAY1618" si="782">+(UYN1627+UYN1608)*1.18*1.1</f>
        <v>0</v>
      </c>
      <c r="UYO1618" s="55">
        <f t="shared" si="782"/>
        <v>0</v>
      </c>
      <c r="UYP1618" s="55">
        <f t="shared" si="782"/>
        <v>0</v>
      </c>
      <c r="UYQ1618" s="55">
        <f t="shared" si="782"/>
        <v>0</v>
      </c>
      <c r="UYR1618" s="55">
        <f t="shared" si="782"/>
        <v>0</v>
      </c>
      <c r="UYS1618" s="55">
        <f t="shared" si="782"/>
        <v>0</v>
      </c>
      <c r="UYT1618" s="55">
        <f t="shared" si="782"/>
        <v>0</v>
      </c>
      <c r="UYU1618" s="55">
        <f t="shared" si="782"/>
        <v>0</v>
      </c>
      <c r="UYV1618" s="55">
        <f t="shared" si="782"/>
        <v>0</v>
      </c>
      <c r="UYW1618" s="55">
        <f t="shared" si="782"/>
        <v>0</v>
      </c>
      <c r="UYX1618" s="55">
        <f t="shared" si="782"/>
        <v>0</v>
      </c>
      <c r="UYY1618" s="55">
        <f t="shared" si="782"/>
        <v>0</v>
      </c>
      <c r="UYZ1618" s="55">
        <f t="shared" si="782"/>
        <v>0</v>
      </c>
      <c r="UZA1618" s="55">
        <f t="shared" si="782"/>
        <v>0</v>
      </c>
      <c r="UZB1618" s="55">
        <f t="shared" si="782"/>
        <v>0</v>
      </c>
      <c r="UZC1618" s="55">
        <f t="shared" si="782"/>
        <v>0</v>
      </c>
      <c r="UZD1618" s="55">
        <f t="shared" si="782"/>
        <v>0</v>
      </c>
      <c r="UZE1618" s="55">
        <f t="shared" si="782"/>
        <v>0</v>
      </c>
      <c r="UZF1618" s="55">
        <f t="shared" si="782"/>
        <v>0</v>
      </c>
      <c r="UZG1618" s="55">
        <f t="shared" si="782"/>
        <v>0</v>
      </c>
      <c r="UZH1618" s="55">
        <f t="shared" si="782"/>
        <v>0</v>
      </c>
      <c r="UZI1618" s="55">
        <f t="shared" si="782"/>
        <v>0</v>
      </c>
      <c r="UZJ1618" s="55">
        <f t="shared" si="782"/>
        <v>0</v>
      </c>
      <c r="UZK1618" s="55">
        <f t="shared" si="782"/>
        <v>0</v>
      </c>
      <c r="UZL1618" s="55">
        <f t="shared" si="782"/>
        <v>0</v>
      </c>
      <c r="UZM1618" s="55">
        <f t="shared" si="782"/>
        <v>0</v>
      </c>
      <c r="UZN1618" s="55">
        <f t="shared" si="782"/>
        <v>0</v>
      </c>
      <c r="UZO1618" s="55">
        <f t="shared" si="782"/>
        <v>0</v>
      </c>
      <c r="UZP1618" s="55">
        <f t="shared" si="782"/>
        <v>0</v>
      </c>
      <c r="UZQ1618" s="55">
        <f t="shared" si="782"/>
        <v>0</v>
      </c>
      <c r="UZR1618" s="55">
        <f t="shared" si="782"/>
        <v>0</v>
      </c>
      <c r="UZS1618" s="55">
        <f t="shared" si="782"/>
        <v>0</v>
      </c>
      <c r="UZT1618" s="55">
        <f t="shared" si="782"/>
        <v>0</v>
      </c>
      <c r="UZU1618" s="55">
        <f t="shared" si="782"/>
        <v>0</v>
      </c>
      <c r="UZV1618" s="55">
        <f t="shared" si="782"/>
        <v>0</v>
      </c>
      <c r="UZW1618" s="55">
        <f t="shared" si="782"/>
        <v>0</v>
      </c>
      <c r="UZX1618" s="55">
        <f t="shared" si="782"/>
        <v>0</v>
      </c>
      <c r="UZY1618" s="55">
        <f t="shared" si="782"/>
        <v>0</v>
      </c>
      <c r="UZZ1618" s="55">
        <f t="shared" si="782"/>
        <v>0</v>
      </c>
      <c r="VAA1618" s="55">
        <f t="shared" si="782"/>
        <v>0</v>
      </c>
      <c r="VAB1618" s="55">
        <f t="shared" si="782"/>
        <v>0</v>
      </c>
      <c r="VAC1618" s="55">
        <f t="shared" si="782"/>
        <v>0</v>
      </c>
      <c r="VAD1618" s="55">
        <f t="shared" si="782"/>
        <v>0</v>
      </c>
      <c r="VAE1618" s="55">
        <f t="shared" si="782"/>
        <v>0</v>
      </c>
      <c r="VAF1618" s="55">
        <f t="shared" si="782"/>
        <v>0</v>
      </c>
      <c r="VAG1618" s="55">
        <f t="shared" si="782"/>
        <v>0</v>
      </c>
      <c r="VAH1618" s="55">
        <f t="shared" si="782"/>
        <v>0</v>
      </c>
      <c r="VAI1618" s="55">
        <f t="shared" si="782"/>
        <v>0</v>
      </c>
      <c r="VAJ1618" s="55">
        <f t="shared" si="782"/>
        <v>0</v>
      </c>
      <c r="VAK1618" s="55">
        <f t="shared" si="782"/>
        <v>0</v>
      </c>
      <c r="VAL1618" s="55">
        <f t="shared" si="782"/>
        <v>0</v>
      </c>
      <c r="VAM1618" s="55">
        <f t="shared" si="782"/>
        <v>0</v>
      </c>
      <c r="VAN1618" s="55">
        <f t="shared" si="782"/>
        <v>0</v>
      </c>
      <c r="VAO1618" s="55">
        <f t="shared" si="782"/>
        <v>0</v>
      </c>
      <c r="VAP1618" s="55">
        <f t="shared" si="782"/>
        <v>0</v>
      </c>
      <c r="VAQ1618" s="55">
        <f t="shared" si="782"/>
        <v>0</v>
      </c>
      <c r="VAR1618" s="55">
        <f t="shared" si="782"/>
        <v>0</v>
      </c>
      <c r="VAS1618" s="55">
        <f t="shared" si="782"/>
        <v>0</v>
      </c>
      <c r="VAT1618" s="55">
        <f t="shared" si="782"/>
        <v>0</v>
      </c>
      <c r="VAU1618" s="55">
        <f t="shared" si="782"/>
        <v>0</v>
      </c>
      <c r="VAV1618" s="55">
        <f t="shared" si="782"/>
        <v>0</v>
      </c>
      <c r="VAW1618" s="55">
        <f t="shared" si="782"/>
        <v>0</v>
      </c>
      <c r="VAX1618" s="55">
        <f t="shared" si="782"/>
        <v>0</v>
      </c>
      <c r="VAY1618" s="55">
        <f t="shared" si="782"/>
        <v>0</v>
      </c>
      <c r="VAZ1618" s="55">
        <f t="shared" ref="VAZ1618:VDK1618" si="783">+(VAZ1627+VAZ1608)*1.18*1.1</f>
        <v>0</v>
      </c>
      <c r="VBA1618" s="55">
        <f t="shared" si="783"/>
        <v>0</v>
      </c>
      <c r="VBB1618" s="55">
        <f t="shared" si="783"/>
        <v>0</v>
      </c>
      <c r="VBC1618" s="55">
        <f t="shared" si="783"/>
        <v>0</v>
      </c>
      <c r="VBD1618" s="55">
        <f t="shared" si="783"/>
        <v>0</v>
      </c>
      <c r="VBE1618" s="55">
        <f t="shared" si="783"/>
        <v>0</v>
      </c>
      <c r="VBF1618" s="55">
        <f t="shared" si="783"/>
        <v>0</v>
      </c>
      <c r="VBG1618" s="55">
        <f t="shared" si="783"/>
        <v>0</v>
      </c>
      <c r="VBH1618" s="55">
        <f t="shared" si="783"/>
        <v>0</v>
      </c>
      <c r="VBI1618" s="55">
        <f t="shared" si="783"/>
        <v>0</v>
      </c>
      <c r="VBJ1618" s="55">
        <f t="shared" si="783"/>
        <v>0</v>
      </c>
      <c r="VBK1618" s="55">
        <f t="shared" si="783"/>
        <v>0</v>
      </c>
      <c r="VBL1618" s="55">
        <f t="shared" si="783"/>
        <v>0</v>
      </c>
      <c r="VBM1618" s="55">
        <f t="shared" si="783"/>
        <v>0</v>
      </c>
      <c r="VBN1618" s="55">
        <f t="shared" si="783"/>
        <v>0</v>
      </c>
      <c r="VBO1618" s="55">
        <f t="shared" si="783"/>
        <v>0</v>
      </c>
      <c r="VBP1618" s="55">
        <f t="shared" si="783"/>
        <v>0</v>
      </c>
      <c r="VBQ1618" s="55">
        <f t="shared" si="783"/>
        <v>0</v>
      </c>
      <c r="VBR1618" s="55">
        <f t="shared" si="783"/>
        <v>0</v>
      </c>
      <c r="VBS1618" s="55">
        <f t="shared" si="783"/>
        <v>0</v>
      </c>
      <c r="VBT1618" s="55">
        <f t="shared" si="783"/>
        <v>0</v>
      </c>
      <c r="VBU1618" s="55">
        <f t="shared" si="783"/>
        <v>0</v>
      </c>
      <c r="VBV1618" s="55">
        <f t="shared" si="783"/>
        <v>0</v>
      </c>
      <c r="VBW1618" s="55">
        <f t="shared" si="783"/>
        <v>0</v>
      </c>
      <c r="VBX1618" s="55">
        <f t="shared" si="783"/>
        <v>0</v>
      </c>
      <c r="VBY1618" s="55">
        <f t="shared" si="783"/>
        <v>0</v>
      </c>
      <c r="VBZ1618" s="55">
        <f t="shared" si="783"/>
        <v>0</v>
      </c>
      <c r="VCA1618" s="55">
        <f t="shared" si="783"/>
        <v>0</v>
      </c>
      <c r="VCB1618" s="55">
        <f t="shared" si="783"/>
        <v>0</v>
      </c>
      <c r="VCC1618" s="55">
        <f t="shared" si="783"/>
        <v>0</v>
      </c>
      <c r="VCD1618" s="55">
        <f t="shared" si="783"/>
        <v>0</v>
      </c>
      <c r="VCE1618" s="55">
        <f t="shared" si="783"/>
        <v>0</v>
      </c>
      <c r="VCF1618" s="55">
        <f t="shared" si="783"/>
        <v>0</v>
      </c>
      <c r="VCG1618" s="55">
        <f t="shared" si="783"/>
        <v>0</v>
      </c>
      <c r="VCH1618" s="55">
        <f t="shared" si="783"/>
        <v>0</v>
      </c>
      <c r="VCI1618" s="55">
        <f t="shared" si="783"/>
        <v>0</v>
      </c>
      <c r="VCJ1618" s="55">
        <f t="shared" si="783"/>
        <v>0</v>
      </c>
      <c r="VCK1618" s="55">
        <f t="shared" si="783"/>
        <v>0</v>
      </c>
      <c r="VCL1618" s="55">
        <f t="shared" si="783"/>
        <v>0</v>
      </c>
      <c r="VCM1618" s="55">
        <f t="shared" si="783"/>
        <v>0</v>
      </c>
      <c r="VCN1618" s="55">
        <f t="shared" si="783"/>
        <v>0</v>
      </c>
      <c r="VCO1618" s="55">
        <f t="shared" si="783"/>
        <v>0</v>
      </c>
      <c r="VCP1618" s="55">
        <f t="shared" si="783"/>
        <v>0</v>
      </c>
      <c r="VCQ1618" s="55">
        <f t="shared" si="783"/>
        <v>0</v>
      </c>
      <c r="VCR1618" s="55">
        <f t="shared" si="783"/>
        <v>0</v>
      </c>
      <c r="VCS1618" s="55">
        <f t="shared" si="783"/>
        <v>0</v>
      </c>
      <c r="VCT1618" s="55">
        <f t="shared" si="783"/>
        <v>0</v>
      </c>
      <c r="VCU1618" s="55">
        <f t="shared" si="783"/>
        <v>0</v>
      </c>
      <c r="VCV1618" s="55">
        <f t="shared" si="783"/>
        <v>0</v>
      </c>
      <c r="VCW1618" s="55">
        <f t="shared" si="783"/>
        <v>0</v>
      </c>
      <c r="VCX1618" s="55">
        <f t="shared" si="783"/>
        <v>0</v>
      </c>
      <c r="VCY1618" s="55">
        <f t="shared" si="783"/>
        <v>0</v>
      </c>
      <c r="VCZ1618" s="55">
        <f t="shared" si="783"/>
        <v>0</v>
      </c>
      <c r="VDA1618" s="55">
        <f t="shared" si="783"/>
        <v>0</v>
      </c>
      <c r="VDB1618" s="55">
        <f t="shared" si="783"/>
        <v>0</v>
      </c>
      <c r="VDC1618" s="55">
        <f t="shared" si="783"/>
        <v>0</v>
      </c>
      <c r="VDD1618" s="55">
        <f t="shared" si="783"/>
        <v>0</v>
      </c>
      <c r="VDE1618" s="55">
        <f t="shared" si="783"/>
        <v>0</v>
      </c>
      <c r="VDF1618" s="55">
        <f t="shared" si="783"/>
        <v>0</v>
      </c>
      <c r="VDG1618" s="55">
        <f t="shared" si="783"/>
        <v>0</v>
      </c>
      <c r="VDH1618" s="55">
        <f t="shared" si="783"/>
        <v>0</v>
      </c>
      <c r="VDI1618" s="55">
        <f t="shared" si="783"/>
        <v>0</v>
      </c>
      <c r="VDJ1618" s="55">
        <f t="shared" si="783"/>
        <v>0</v>
      </c>
      <c r="VDK1618" s="55">
        <f t="shared" si="783"/>
        <v>0</v>
      </c>
      <c r="VDL1618" s="55">
        <f t="shared" ref="VDL1618:VFW1618" si="784">+(VDL1627+VDL1608)*1.18*1.1</f>
        <v>0</v>
      </c>
      <c r="VDM1618" s="55">
        <f t="shared" si="784"/>
        <v>0</v>
      </c>
      <c r="VDN1618" s="55">
        <f t="shared" si="784"/>
        <v>0</v>
      </c>
      <c r="VDO1618" s="55">
        <f t="shared" si="784"/>
        <v>0</v>
      </c>
      <c r="VDP1618" s="55">
        <f t="shared" si="784"/>
        <v>0</v>
      </c>
      <c r="VDQ1618" s="55">
        <f t="shared" si="784"/>
        <v>0</v>
      </c>
      <c r="VDR1618" s="55">
        <f t="shared" si="784"/>
        <v>0</v>
      </c>
      <c r="VDS1618" s="55">
        <f t="shared" si="784"/>
        <v>0</v>
      </c>
      <c r="VDT1618" s="55">
        <f t="shared" si="784"/>
        <v>0</v>
      </c>
      <c r="VDU1618" s="55">
        <f t="shared" si="784"/>
        <v>0</v>
      </c>
      <c r="VDV1618" s="55">
        <f t="shared" si="784"/>
        <v>0</v>
      </c>
      <c r="VDW1618" s="55">
        <f t="shared" si="784"/>
        <v>0</v>
      </c>
      <c r="VDX1618" s="55">
        <f t="shared" si="784"/>
        <v>0</v>
      </c>
      <c r="VDY1618" s="55">
        <f t="shared" si="784"/>
        <v>0</v>
      </c>
      <c r="VDZ1618" s="55">
        <f t="shared" si="784"/>
        <v>0</v>
      </c>
      <c r="VEA1618" s="55">
        <f t="shared" si="784"/>
        <v>0</v>
      </c>
      <c r="VEB1618" s="55">
        <f t="shared" si="784"/>
        <v>0</v>
      </c>
      <c r="VEC1618" s="55">
        <f t="shared" si="784"/>
        <v>0</v>
      </c>
      <c r="VED1618" s="55">
        <f t="shared" si="784"/>
        <v>0</v>
      </c>
      <c r="VEE1618" s="55">
        <f t="shared" si="784"/>
        <v>0</v>
      </c>
      <c r="VEF1618" s="55">
        <f t="shared" si="784"/>
        <v>0</v>
      </c>
      <c r="VEG1618" s="55">
        <f t="shared" si="784"/>
        <v>0</v>
      </c>
      <c r="VEH1618" s="55">
        <f t="shared" si="784"/>
        <v>0</v>
      </c>
      <c r="VEI1618" s="55">
        <f t="shared" si="784"/>
        <v>0</v>
      </c>
      <c r="VEJ1618" s="55">
        <f t="shared" si="784"/>
        <v>0</v>
      </c>
      <c r="VEK1618" s="55">
        <f t="shared" si="784"/>
        <v>0</v>
      </c>
      <c r="VEL1618" s="55">
        <f t="shared" si="784"/>
        <v>0</v>
      </c>
      <c r="VEM1618" s="55">
        <f t="shared" si="784"/>
        <v>0</v>
      </c>
      <c r="VEN1618" s="55">
        <f t="shared" si="784"/>
        <v>0</v>
      </c>
      <c r="VEO1618" s="55">
        <f t="shared" si="784"/>
        <v>0</v>
      </c>
      <c r="VEP1618" s="55">
        <f t="shared" si="784"/>
        <v>0</v>
      </c>
      <c r="VEQ1618" s="55">
        <f t="shared" si="784"/>
        <v>0</v>
      </c>
      <c r="VER1618" s="55">
        <f t="shared" si="784"/>
        <v>0</v>
      </c>
      <c r="VES1618" s="55">
        <f t="shared" si="784"/>
        <v>0</v>
      </c>
      <c r="VET1618" s="55">
        <f t="shared" si="784"/>
        <v>0</v>
      </c>
      <c r="VEU1618" s="55">
        <f t="shared" si="784"/>
        <v>0</v>
      </c>
      <c r="VEV1618" s="55">
        <f t="shared" si="784"/>
        <v>0</v>
      </c>
      <c r="VEW1618" s="55">
        <f t="shared" si="784"/>
        <v>0</v>
      </c>
      <c r="VEX1618" s="55">
        <f t="shared" si="784"/>
        <v>0</v>
      </c>
      <c r="VEY1618" s="55">
        <f t="shared" si="784"/>
        <v>0</v>
      </c>
      <c r="VEZ1618" s="55">
        <f t="shared" si="784"/>
        <v>0</v>
      </c>
      <c r="VFA1618" s="55">
        <f t="shared" si="784"/>
        <v>0</v>
      </c>
      <c r="VFB1618" s="55">
        <f t="shared" si="784"/>
        <v>0</v>
      </c>
      <c r="VFC1618" s="55">
        <f t="shared" si="784"/>
        <v>0</v>
      </c>
      <c r="VFD1618" s="55">
        <f t="shared" si="784"/>
        <v>0</v>
      </c>
      <c r="VFE1618" s="55">
        <f t="shared" si="784"/>
        <v>0</v>
      </c>
      <c r="VFF1618" s="55">
        <f t="shared" si="784"/>
        <v>0</v>
      </c>
      <c r="VFG1618" s="55">
        <f t="shared" si="784"/>
        <v>0</v>
      </c>
      <c r="VFH1618" s="55">
        <f t="shared" si="784"/>
        <v>0</v>
      </c>
      <c r="VFI1618" s="55">
        <f t="shared" si="784"/>
        <v>0</v>
      </c>
      <c r="VFJ1618" s="55">
        <f t="shared" si="784"/>
        <v>0</v>
      </c>
      <c r="VFK1618" s="55">
        <f t="shared" si="784"/>
        <v>0</v>
      </c>
      <c r="VFL1618" s="55">
        <f t="shared" si="784"/>
        <v>0</v>
      </c>
      <c r="VFM1618" s="55">
        <f t="shared" si="784"/>
        <v>0</v>
      </c>
      <c r="VFN1618" s="55">
        <f t="shared" si="784"/>
        <v>0</v>
      </c>
      <c r="VFO1618" s="55">
        <f t="shared" si="784"/>
        <v>0</v>
      </c>
      <c r="VFP1618" s="55">
        <f t="shared" si="784"/>
        <v>0</v>
      </c>
      <c r="VFQ1618" s="55">
        <f t="shared" si="784"/>
        <v>0</v>
      </c>
      <c r="VFR1618" s="55">
        <f t="shared" si="784"/>
        <v>0</v>
      </c>
      <c r="VFS1618" s="55">
        <f t="shared" si="784"/>
        <v>0</v>
      </c>
      <c r="VFT1618" s="55">
        <f t="shared" si="784"/>
        <v>0</v>
      </c>
      <c r="VFU1618" s="55">
        <f t="shared" si="784"/>
        <v>0</v>
      </c>
      <c r="VFV1618" s="55">
        <f t="shared" si="784"/>
        <v>0</v>
      </c>
      <c r="VFW1618" s="55">
        <f t="shared" si="784"/>
        <v>0</v>
      </c>
      <c r="VFX1618" s="55">
        <f t="shared" ref="VFX1618:VII1618" si="785">+(VFX1627+VFX1608)*1.18*1.1</f>
        <v>0</v>
      </c>
      <c r="VFY1618" s="55">
        <f t="shared" si="785"/>
        <v>0</v>
      </c>
      <c r="VFZ1618" s="55">
        <f t="shared" si="785"/>
        <v>0</v>
      </c>
      <c r="VGA1618" s="55">
        <f t="shared" si="785"/>
        <v>0</v>
      </c>
      <c r="VGB1618" s="55">
        <f t="shared" si="785"/>
        <v>0</v>
      </c>
      <c r="VGC1618" s="55">
        <f t="shared" si="785"/>
        <v>0</v>
      </c>
      <c r="VGD1618" s="55">
        <f t="shared" si="785"/>
        <v>0</v>
      </c>
      <c r="VGE1618" s="55">
        <f t="shared" si="785"/>
        <v>0</v>
      </c>
      <c r="VGF1618" s="55">
        <f t="shared" si="785"/>
        <v>0</v>
      </c>
      <c r="VGG1618" s="55">
        <f t="shared" si="785"/>
        <v>0</v>
      </c>
      <c r="VGH1618" s="55">
        <f t="shared" si="785"/>
        <v>0</v>
      </c>
      <c r="VGI1618" s="55">
        <f t="shared" si="785"/>
        <v>0</v>
      </c>
      <c r="VGJ1618" s="55">
        <f t="shared" si="785"/>
        <v>0</v>
      </c>
      <c r="VGK1618" s="55">
        <f t="shared" si="785"/>
        <v>0</v>
      </c>
      <c r="VGL1618" s="55">
        <f t="shared" si="785"/>
        <v>0</v>
      </c>
      <c r="VGM1618" s="55">
        <f t="shared" si="785"/>
        <v>0</v>
      </c>
      <c r="VGN1618" s="55">
        <f t="shared" si="785"/>
        <v>0</v>
      </c>
      <c r="VGO1618" s="55">
        <f t="shared" si="785"/>
        <v>0</v>
      </c>
      <c r="VGP1618" s="55">
        <f t="shared" si="785"/>
        <v>0</v>
      </c>
      <c r="VGQ1618" s="55">
        <f t="shared" si="785"/>
        <v>0</v>
      </c>
      <c r="VGR1618" s="55">
        <f t="shared" si="785"/>
        <v>0</v>
      </c>
      <c r="VGS1618" s="55">
        <f t="shared" si="785"/>
        <v>0</v>
      </c>
      <c r="VGT1618" s="55">
        <f t="shared" si="785"/>
        <v>0</v>
      </c>
      <c r="VGU1618" s="55">
        <f t="shared" si="785"/>
        <v>0</v>
      </c>
      <c r="VGV1618" s="55">
        <f t="shared" si="785"/>
        <v>0</v>
      </c>
      <c r="VGW1618" s="55">
        <f t="shared" si="785"/>
        <v>0</v>
      </c>
      <c r="VGX1618" s="55">
        <f t="shared" si="785"/>
        <v>0</v>
      </c>
      <c r="VGY1618" s="55">
        <f t="shared" si="785"/>
        <v>0</v>
      </c>
      <c r="VGZ1618" s="55">
        <f t="shared" si="785"/>
        <v>0</v>
      </c>
      <c r="VHA1618" s="55">
        <f t="shared" si="785"/>
        <v>0</v>
      </c>
      <c r="VHB1618" s="55">
        <f t="shared" si="785"/>
        <v>0</v>
      </c>
      <c r="VHC1618" s="55">
        <f t="shared" si="785"/>
        <v>0</v>
      </c>
      <c r="VHD1618" s="55">
        <f t="shared" si="785"/>
        <v>0</v>
      </c>
      <c r="VHE1618" s="55">
        <f t="shared" si="785"/>
        <v>0</v>
      </c>
      <c r="VHF1618" s="55">
        <f t="shared" si="785"/>
        <v>0</v>
      </c>
      <c r="VHG1618" s="55">
        <f t="shared" si="785"/>
        <v>0</v>
      </c>
      <c r="VHH1618" s="55">
        <f t="shared" si="785"/>
        <v>0</v>
      </c>
      <c r="VHI1618" s="55">
        <f t="shared" si="785"/>
        <v>0</v>
      </c>
      <c r="VHJ1618" s="55">
        <f t="shared" si="785"/>
        <v>0</v>
      </c>
      <c r="VHK1618" s="55">
        <f t="shared" si="785"/>
        <v>0</v>
      </c>
      <c r="VHL1618" s="55">
        <f t="shared" si="785"/>
        <v>0</v>
      </c>
      <c r="VHM1618" s="55">
        <f t="shared" si="785"/>
        <v>0</v>
      </c>
      <c r="VHN1618" s="55">
        <f t="shared" si="785"/>
        <v>0</v>
      </c>
      <c r="VHO1618" s="55">
        <f t="shared" si="785"/>
        <v>0</v>
      </c>
      <c r="VHP1618" s="55">
        <f t="shared" si="785"/>
        <v>0</v>
      </c>
      <c r="VHQ1618" s="55">
        <f t="shared" si="785"/>
        <v>0</v>
      </c>
      <c r="VHR1618" s="55">
        <f t="shared" si="785"/>
        <v>0</v>
      </c>
      <c r="VHS1618" s="55">
        <f t="shared" si="785"/>
        <v>0</v>
      </c>
      <c r="VHT1618" s="55">
        <f t="shared" si="785"/>
        <v>0</v>
      </c>
      <c r="VHU1618" s="55">
        <f t="shared" si="785"/>
        <v>0</v>
      </c>
      <c r="VHV1618" s="55">
        <f t="shared" si="785"/>
        <v>0</v>
      </c>
      <c r="VHW1618" s="55">
        <f t="shared" si="785"/>
        <v>0</v>
      </c>
      <c r="VHX1618" s="55">
        <f t="shared" si="785"/>
        <v>0</v>
      </c>
      <c r="VHY1618" s="55">
        <f t="shared" si="785"/>
        <v>0</v>
      </c>
      <c r="VHZ1618" s="55">
        <f t="shared" si="785"/>
        <v>0</v>
      </c>
      <c r="VIA1618" s="55">
        <f t="shared" si="785"/>
        <v>0</v>
      </c>
      <c r="VIB1618" s="55">
        <f t="shared" si="785"/>
        <v>0</v>
      </c>
      <c r="VIC1618" s="55">
        <f t="shared" si="785"/>
        <v>0</v>
      </c>
      <c r="VID1618" s="55">
        <f t="shared" si="785"/>
        <v>0</v>
      </c>
      <c r="VIE1618" s="55">
        <f t="shared" si="785"/>
        <v>0</v>
      </c>
      <c r="VIF1618" s="55">
        <f t="shared" si="785"/>
        <v>0</v>
      </c>
      <c r="VIG1618" s="55">
        <f t="shared" si="785"/>
        <v>0</v>
      </c>
      <c r="VIH1618" s="55">
        <f t="shared" si="785"/>
        <v>0</v>
      </c>
      <c r="VII1618" s="55">
        <f t="shared" si="785"/>
        <v>0</v>
      </c>
      <c r="VIJ1618" s="55">
        <f t="shared" ref="VIJ1618:VKU1618" si="786">+(VIJ1627+VIJ1608)*1.18*1.1</f>
        <v>0</v>
      </c>
      <c r="VIK1618" s="55">
        <f t="shared" si="786"/>
        <v>0</v>
      </c>
      <c r="VIL1618" s="55">
        <f t="shared" si="786"/>
        <v>0</v>
      </c>
      <c r="VIM1618" s="55">
        <f t="shared" si="786"/>
        <v>0</v>
      </c>
      <c r="VIN1618" s="55">
        <f t="shared" si="786"/>
        <v>0</v>
      </c>
      <c r="VIO1618" s="55">
        <f t="shared" si="786"/>
        <v>0</v>
      </c>
      <c r="VIP1618" s="55">
        <f t="shared" si="786"/>
        <v>0</v>
      </c>
      <c r="VIQ1618" s="55">
        <f t="shared" si="786"/>
        <v>0</v>
      </c>
      <c r="VIR1618" s="55">
        <f t="shared" si="786"/>
        <v>0</v>
      </c>
      <c r="VIS1618" s="55">
        <f t="shared" si="786"/>
        <v>0</v>
      </c>
      <c r="VIT1618" s="55">
        <f t="shared" si="786"/>
        <v>0</v>
      </c>
      <c r="VIU1618" s="55">
        <f t="shared" si="786"/>
        <v>0</v>
      </c>
      <c r="VIV1618" s="55">
        <f t="shared" si="786"/>
        <v>0</v>
      </c>
      <c r="VIW1618" s="55">
        <f t="shared" si="786"/>
        <v>0</v>
      </c>
      <c r="VIX1618" s="55">
        <f t="shared" si="786"/>
        <v>0</v>
      </c>
      <c r="VIY1618" s="55">
        <f t="shared" si="786"/>
        <v>0</v>
      </c>
      <c r="VIZ1618" s="55">
        <f t="shared" si="786"/>
        <v>0</v>
      </c>
      <c r="VJA1618" s="55">
        <f t="shared" si="786"/>
        <v>0</v>
      </c>
      <c r="VJB1618" s="55">
        <f t="shared" si="786"/>
        <v>0</v>
      </c>
      <c r="VJC1618" s="55">
        <f t="shared" si="786"/>
        <v>0</v>
      </c>
      <c r="VJD1618" s="55">
        <f t="shared" si="786"/>
        <v>0</v>
      </c>
      <c r="VJE1618" s="55">
        <f t="shared" si="786"/>
        <v>0</v>
      </c>
      <c r="VJF1618" s="55">
        <f t="shared" si="786"/>
        <v>0</v>
      </c>
      <c r="VJG1618" s="55">
        <f t="shared" si="786"/>
        <v>0</v>
      </c>
      <c r="VJH1618" s="55">
        <f t="shared" si="786"/>
        <v>0</v>
      </c>
      <c r="VJI1618" s="55">
        <f t="shared" si="786"/>
        <v>0</v>
      </c>
      <c r="VJJ1618" s="55">
        <f t="shared" si="786"/>
        <v>0</v>
      </c>
      <c r="VJK1618" s="55">
        <f t="shared" si="786"/>
        <v>0</v>
      </c>
      <c r="VJL1618" s="55">
        <f t="shared" si="786"/>
        <v>0</v>
      </c>
      <c r="VJM1618" s="55">
        <f t="shared" si="786"/>
        <v>0</v>
      </c>
      <c r="VJN1618" s="55">
        <f t="shared" si="786"/>
        <v>0</v>
      </c>
      <c r="VJO1618" s="55">
        <f t="shared" si="786"/>
        <v>0</v>
      </c>
      <c r="VJP1618" s="55">
        <f t="shared" si="786"/>
        <v>0</v>
      </c>
      <c r="VJQ1618" s="55">
        <f t="shared" si="786"/>
        <v>0</v>
      </c>
      <c r="VJR1618" s="55">
        <f t="shared" si="786"/>
        <v>0</v>
      </c>
      <c r="VJS1618" s="55">
        <f t="shared" si="786"/>
        <v>0</v>
      </c>
      <c r="VJT1618" s="55">
        <f t="shared" si="786"/>
        <v>0</v>
      </c>
      <c r="VJU1618" s="55">
        <f t="shared" si="786"/>
        <v>0</v>
      </c>
      <c r="VJV1618" s="55">
        <f t="shared" si="786"/>
        <v>0</v>
      </c>
      <c r="VJW1618" s="55">
        <f t="shared" si="786"/>
        <v>0</v>
      </c>
      <c r="VJX1618" s="55">
        <f t="shared" si="786"/>
        <v>0</v>
      </c>
      <c r="VJY1618" s="55">
        <f t="shared" si="786"/>
        <v>0</v>
      </c>
      <c r="VJZ1618" s="55">
        <f t="shared" si="786"/>
        <v>0</v>
      </c>
      <c r="VKA1618" s="55">
        <f t="shared" si="786"/>
        <v>0</v>
      </c>
      <c r="VKB1618" s="55">
        <f t="shared" si="786"/>
        <v>0</v>
      </c>
      <c r="VKC1618" s="55">
        <f t="shared" si="786"/>
        <v>0</v>
      </c>
      <c r="VKD1618" s="55">
        <f t="shared" si="786"/>
        <v>0</v>
      </c>
      <c r="VKE1618" s="55">
        <f t="shared" si="786"/>
        <v>0</v>
      </c>
      <c r="VKF1618" s="55">
        <f t="shared" si="786"/>
        <v>0</v>
      </c>
      <c r="VKG1618" s="55">
        <f t="shared" si="786"/>
        <v>0</v>
      </c>
      <c r="VKH1618" s="55">
        <f t="shared" si="786"/>
        <v>0</v>
      </c>
      <c r="VKI1618" s="55">
        <f t="shared" si="786"/>
        <v>0</v>
      </c>
      <c r="VKJ1618" s="55">
        <f t="shared" si="786"/>
        <v>0</v>
      </c>
      <c r="VKK1618" s="55">
        <f t="shared" si="786"/>
        <v>0</v>
      </c>
      <c r="VKL1618" s="55">
        <f t="shared" si="786"/>
        <v>0</v>
      </c>
      <c r="VKM1618" s="55">
        <f t="shared" si="786"/>
        <v>0</v>
      </c>
      <c r="VKN1618" s="55">
        <f t="shared" si="786"/>
        <v>0</v>
      </c>
      <c r="VKO1618" s="55">
        <f t="shared" si="786"/>
        <v>0</v>
      </c>
      <c r="VKP1618" s="55">
        <f t="shared" si="786"/>
        <v>0</v>
      </c>
      <c r="VKQ1618" s="55">
        <f t="shared" si="786"/>
        <v>0</v>
      </c>
      <c r="VKR1618" s="55">
        <f t="shared" si="786"/>
        <v>0</v>
      </c>
      <c r="VKS1618" s="55">
        <f t="shared" si="786"/>
        <v>0</v>
      </c>
      <c r="VKT1618" s="55">
        <f t="shared" si="786"/>
        <v>0</v>
      </c>
      <c r="VKU1618" s="55">
        <f t="shared" si="786"/>
        <v>0</v>
      </c>
      <c r="VKV1618" s="55">
        <f t="shared" ref="VKV1618:VNG1618" si="787">+(VKV1627+VKV1608)*1.18*1.1</f>
        <v>0</v>
      </c>
      <c r="VKW1618" s="55">
        <f t="shared" si="787"/>
        <v>0</v>
      </c>
      <c r="VKX1618" s="55">
        <f t="shared" si="787"/>
        <v>0</v>
      </c>
      <c r="VKY1618" s="55">
        <f t="shared" si="787"/>
        <v>0</v>
      </c>
      <c r="VKZ1618" s="55">
        <f t="shared" si="787"/>
        <v>0</v>
      </c>
      <c r="VLA1618" s="55">
        <f t="shared" si="787"/>
        <v>0</v>
      </c>
      <c r="VLB1618" s="55">
        <f t="shared" si="787"/>
        <v>0</v>
      </c>
      <c r="VLC1618" s="55">
        <f t="shared" si="787"/>
        <v>0</v>
      </c>
      <c r="VLD1618" s="55">
        <f t="shared" si="787"/>
        <v>0</v>
      </c>
      <c r="VLE1618" s="55">
        <f t="shared" si="787"/>
        <v>0</v>
      </c>
      <c r="VLF1618" s="55">
        <f t="shared" si="787"/>
        <v>0</v>
      </c>
      <c r="VLG1618" s="55">
        <f t="shared" si="787"/>
        <v>0</v>
      </c>
      <c r="VLH1618" s="55">
        <f t="shared" si="787"/>
        <v>0</v>
      </c>
      <c r="VLI1618" s="55">
        <f t="shared" si="787"/>
        <v>0</v>
      </c>
      <c r="VLJ1618" s="55">
        <f t="shared" si="787"/>
        <v>0</v>
      </c>
      <c r="VLK1618" s="55">
        <f t="shared" si="787"/>
        <v>0</v>
      </c>
      <c r="VLL1618" s="55">
        <f t="shared" si="787"/>
        <v>0</v>
      </c>
      <c r="VLM1618" s="55">
        <f t="shared" si="787"/>
        <v>0</v>
      </c>
      <c r="VLN1618" s="55">
        <f t="shared" si="787"/>
        <v>0</v>
      </c>
      <c r="VLO1618" s="55">
        <f t="shared" si="787"/>
        <v>0</v>
      </c>
      <c r="VLP1618" s="55">
        <f t="shared" si="787"/>
        <v>0</v>
      </c>
      <c r="VLQ1618" s="55">
        <f t="shared" si="787"/>
        <v>0</v>
      </c>
      <c r="VLR1618" s="55">
        <f t="shared" si="787"/>
        <v>0</v>
      </c>
      <c r="VLS1618" s="55">
        <f t="shared" si="787"/>
        <v>0</v>
      </c>
      <c r="VLT1618" s="55">
        <f t="shared" si="787"/>
        <v>0</v>
      </c>
      <c r="VLU1618" s="55">
        <f t="shared" si="787"/>
        <v>0</v>
      </c>
      <c r="VLV1618" s="55">
        <f t="shared" si="787"/>
        <v>0</v>
      </c>
      <c r="VLW1618" s="55">
        <f t="shared" si="787"/>
        <v>0</v>
      </c>
      <c r="VLX1618" s="55">
        <f t="shared" si="787"/>
        <v>0</v>
      </c>
      <c r="VLY1618" s="55">
        <f t="shared" si="787"/>
        <v>0</v>
      </c>
      <c r="VLZ1618" s="55">
        <f t="shared" si="787"/>
        <v>0</v>
      </c>
      <c r="VMA1618" s="55">
        <f t="shared" si="787"/>
        <v>0</v>
      </c>
      <c r="VMB1618" s="55">
        <f t="shared" si="787"/>
        <v>0</v>
      </c>
      <c r="VMC1618" s="55">
        <f t="shared" si="787"/>
        <v>0</v>
      </c>
      <c r="VMD1618" s="55">
        <f t="shared" si="787"/>
        <v>0</v>
      </c>
      <c r="VME1618" s="55">
        <f t="shared" si="787"/>
        <v>0</v>
      </c>
      <c r="VMF1618" s="55">
        <f t="shared" si="787"/>
        <v>0</v>
      </c>
      <c r="VMG1618" s="55">
        <f t="shared" si="787"/>
        <v>0</v>
      </c>
      <c r="VMH1618" s="55">
        <f t="shared" si="787"/>
        <v>0</v>
      </c>
      <c r="VMI1618" s="55">
        <f t="shared" si="787"/>
        <v>0</v>
      </c>
      <c r="VMJ1618" s="55">
        <f t="shared" si="787"/>
        <v>0</v>
      </c>
      <c r="VMK1618" s="55">
        <f t="shared" si="787"/>
        <v>0</v>
      </c>
      <c r="VML1618" s="55">
        <f t="shared" si="787"/>
        <v>0</v>
      </c>
      <c r="VMM1618" s="55">
        <f t="shared" si="787"/>
        <v>0</v>
      </c>
      <c r="VMN1618" s="55">
        <f t="shared" si="787"/>
        <v>0</v>
      </c>
      <c r="VMO1618" s="55">
        <f t="shared" si="787"/>
        <v>0</v>
      </c>
      <c r="VMP1618" s="55">
        <f t="shared" si="787"/>
        <v>0</v>
      </c>
      <c r="VMQ1618" s="55">
        <f t="shared" si="787"/>
        <v>0</v>
      </c>
      <c r="VMR1618" s="55">
        <f t="shared" si="787"/>
        <v>0</v>
      </c>
      <c r="VMS1618" s="55">
        <f t="shared" si="787"/>
        <v>0</v>
      </c>
      <c r="VMT1618" s="55">
        <f t="shared" si="787"/>
        <v>0</v>
      </c>
      <c r="VMU1618" s="55">
        <f t="shared" si="787"/>
        <v>0</v>
      </c>
      <c r="VMV1618" s="55">
        <f t="shared" si="787"/>
        <v>0</v>
      </c>
      <c r="VMW1618" s="55">
        <f t="shared" si="787"/>
        <v>0</v>
      </c>
      <c r="VMX1618" s="55">
        <f t="shared" si="787"/>
        <v>0</v>
      </c>
      <c r="VMY1618" s="55">
        <f t="shared" si="787"/>
        <v>0</v>
      </c>
      <c r="VMZ1618" s="55">
        <f t="shared" si="787"/>
        <v>0</v>
      </c>
      <c r="VNA1618" s="55">
        <f t="shared" si="787"/>
        <v>0</v>
      </c>
      <c r="VNB1618" s="55">
        <f t="shared" si="787"/>
        <v>0</v>
      </c>
      <c r="VNC1618" s="55">
        <f t="shared" si="787"/>
        <v>0</v>
      </c>
      <c r="VND1618" s="55">
        <f t="shared" si="787"/>
        <v>0</v>
      </c>
      <c r="VNE1618" s="55">
        <f t="shared" si="787"/>
        <v>0</v>
      </c>
      <c r="VNF1618" s="55">
        <f t="shared" si="787"/>
        <v>0</v>
      </c>
      <c r="VNG1618" s="55">
        <f t="shared" si="787"/>
        <v>0</v>
      </c>
      <c r="VNH1618" s="55">
        <f t="shared" ref="VNH1618:VPS1618" si="788">+(VNH1627+VNH1608)*1.18*1.1</f>
        <v>0</v>
      </c>
      <c r="VNI1618" s="55">
        <f t="shared" si="788"/>
        <v>0</v>
      </c>
      <c r="VNJ1618" s="55">
        <f t="shared" si="788"/>
        <v>0</v>
      </c>
      <c r="VNK1618" s="55">
        <f t="shared" si="788"/>
        <v>0</v>
      </c>
      <c r="VNL1618" s="55">
        <f t="shared" si="788"/>
        <v>0</v>
      </c>
      <c r="VNM1618" s="55">
        <f t="shared" si="788"/>
        <v>0</v>
      </c>
      <c r="VNN1618" s="55">
        <f t="shared" si="788"/>
        <v>0</v>
      </c>
      <c r="VNO1618" s="55">
        <f t="shared" si="788"/>
        <v>0</v>
      </c>
      <c r="VNP1618" s="55">
        <f t="shared" si="788"/>
        <v>0</v>
      </c>
      <c r="VNQ1618" s="55">
        <f t="shared" si="788"/>
        <v>0</v>
      </c>
      <c r="VNR1618" s="55">
        <f t="shared" si="788"/>
        <v>0</v>
      </c>
      <c r="VNS1618" s="55">
        <f t="shared" si="788"/>
        <v>0</v>
      </c>
      <c r="VNT1618" s="55">
        <f t="shared" si="788"/>
        <v>0</v>
      </c>
      <c r="VNU1618" s="55">
        <f t="shared" si="788"/>
        <v>0</v>
      </c>
      <c r="VNV1618" s="55">
        <f t="shared" si="788"/>
        <v>0</v>
      </c>
      <c r="VNW1618" s="55">
        <f t="shared" si="788"/>
        <v>0</v>
      </c>
      <c r="VNX1618" s="55">
        <f t="shared" si="788"/>
        <v>0</v>
      </c>
      <c r="VNY1618" s="55">
        <f t="shared" si="788"/>
        <v>0</v>
      </c>
      <c r="VNZ1618" s="55">
        <f t="shared" si="788"/>
        <v>0</v>
      </c>
      <c r="VOA1618" s="55">
        <f t="shared" si="788"/>
        <v>0</v>
      </c>
      <c r="VOB1618" s="55">
        <f t="shared" si="788"/>
        <v>0</v>
      </c>
      <c r="VOC1618" s="55">
        <f t="shared" si="788"/>
        <v>0</v>
      </c>
      <c r="VOD1618" s="55">
        <f t="shared" si="788"/>
        <v>0</v>
      </c>
      <c r="VOE1618" s="55">
        <f t="shared" si="788"/>
        <v>0</v>
      </c>
      <c r="VOF1618" s="55">
        <f t="shared" si="788"/>
        <v>0</v>
      </c>
      <c r="VOG1618" s="55">
        <f t="shared" si="788"/>
        <v>0</v>
      </c>
      <c r="VOH1618" s="55">
        <f t="shared" si="788"/>
        <v>0</v>
      </c>
      <c r="VOI1618" s="55">
        <f t="shared" si="788"/>
        <v>0</v>
      </c>
      <c r="VOJ1618" s="55">
        <f t="shared" si="788"/>
        <v>0</v>
      </c>
      <c r="VOK1618" s="55">
        <f t="shared" si="788"/>
        <v>0</v>
      </c>
      <c r="VOL1618" s="55">
        <f t="shared" si="788"/>
        <v>0</v>
      </c>
      <c r="VOM1618" s="55">
        <f t="shared" si="788"/>
        <v>0</v>
      </c>
      <c r="VON1618" s="55">
        <f t="shared" si="788"/>
        <v>0</v>
      </c>
      <c r="VOO1618" s="55">
        <f t="shared" si="788"/>
        <v>0</v>
      </c>
      <c r="VOP1618" s="55">
        <f t="shared" si="788"/>
        <v>0</v>
      </c>
      <c r="VOQ1618" s="55">
        <f t="shared" si="788"/>
        <v>0</v>
      </c>
      <c r="VOR1618" s="55">
        <f t="shared" si="788"/>
        <v>0</v>
      </c>
      <c r="VOS1618" s="55">
        <f t="shared" si="788"/>
        <v>0</v>
      </c>
      <c r="VOT1618" s="55">
        <f t="shared" si="788"/>
        <v>0</v>
      </c>
      <c r="VOU1618" s="55">
        <f t="shared" si="788"/>
        <v>0</v>
      </c>
      <c r="VOV1618" s="55">
        <f t="shared" si="788"/>
        <v>0</v>
      </c>
      <c r="VOW1618" s="55">
        <f t="shared" si="788"/>
        <v>0</v>
      </c>
      <c r="VOX1618" s="55">
        <f t="shared" si="788"/>
        <v>0</v>
      </c>
      <c r="VOY1618" s="55">
        <f t="shared" si="788"/>
        <v>0</v>
      </c>
      <c r="VOZ1618" s="55">
        <f t="shared" si="788"/>
        <v>0</v>
      </c>
      <c r="VPA1618" s="55">
        <f t="shared" si="788"/>
        <v>0</v>
      </c>
      <c r="VPB1618" s="55">
        <f t="shared" si="788"/>
        <v>0</v>
      </c>
      <c r="VPC1618" s="55">
        <f t="shared" si="788"/>
        <v>0</v>
      </c>
      <c r="VPD1618" s="55">
        <f t="shared" si="788"/>
        <v>0</v>
      </c>
      <c r="VPE1618" s="55">
        <f t="shared" si="788"/>
        <v>0</v>
      </c>
      <c r="VPF1618" s="55">
        <f t="shared" si="788"/>
        <v>0</v>
      </c>
      <c r="VPG1618" s="55">
        <f t="shared" si="788"/>
        <v>0</v>
      </c>
      <c r="VPH1618" s="55">
        <f t="shared" si="788"/>
        <v>0</v>
      </c>
      <c r="VPI1618" s="55">
        <f t="shared" si="788"/>
        <v>0</v>
      </c>
      <c r="VPJ1618" s="55">
        <f t="shared" si="788"/>
        <v>0</v>
      </c>
      <c r="VPK1618" s="55">
        <f t="shared" si="788"/>
        <v>0</v>
      </c>
      <c r="VPL1618" s="55">
        <f t="shared" si="788"/>
        <v>0</v>
      </c>
      <c r="VPM1618" s="55">
        <f t="shared" si="788"/>
        <v>0</v>
      </c>
      <c r="VPN1618" s="55">
        <f t="shared" si="788"/>
        <v>0</v>
      </c>
      <c r="VPO1618" s="55">
        <f t="shared" si="788"/>
        <v>0</v>
      </c>
      <c r="VPP1618" s="55">
        <f t="shared" si="788"/>
        <v>0</v>
      </c>
      <c r="VPQ1618" s="55">
        <f t="shared" si="788"/>
        <v>0</v>
      </c>
      <c r="VPR1618" s="55">
        <f t="shared" si="788"/>
        <v>0</v>
      </c>
      <c r="VPS1618" s="55">
        <f t="shared" si="788"/>
        <v>0</v>
      </c>
      <c r="VPT1618" s="55">
        <f t="shared" ref="VPT1618:VSE1618" si="789">+(VPT1627+VPT1608)*1.18*1.1</f>
        <v>0</v>
      </c>
      <c r="VPU1618" s="55">
        <f t="shared" si="789"/>
        <v>0</v>
      </c>
      <c r="VPV1618" s="55">
        <f t="shared" si="789"/>
        <v>0</v>
      </c>
      <c r="VPW1618" s="55">
        <f t="shared" si="789"/>
        <v>0</v>
      </c>
      <c r="VPX1618" s="55">
        <f t="shared" si="789"/>
        <v>0</v>
      </c>
      <c r="VPY1618" s="55">
        <f t="shared" si="789"/>
        <v>0</v>
      </c>
      <c r="VPZ1618" s="55">
        <f t="shared" si="789"/>
        <v>0</v>
      </c>
      <c r="VQA1618" s="55">
        <f t="shared" si="789"/>
        <v>0</v>
      </c>
      <c r="VQB1618" s="55">
        <f t="shared" si="789"/>
        <v>0</v>
      </c>
      <c r="VQC1618" s="55">
        <f t="shared" si="789"/>
        <v>0</v>
      </c>
      <c r="VQD1618" s="55">
        <f t="shared" si="789"/>
        <v>0</v>
      </c>
      <c r="VQE1618" s="55">
        <f t="shared" si="789"/>
        <v>0</v>
      </c>
      <c r="VQF1618" s="55">
        <f t="shared" si="789"/>
        <v>0</v>
      </c>
      <c r="VQG1618" s="55">
        <f t="shared" si="789"/>
        <v>0</v>
      </c>
      <c r="VQH1618" s="55">
        <f t="shared" si="789"/>
        <v>0</v>
      </c>
      <c r="VQI1618" s="55">
        <f t="shared" si="789"/>
        <v>0</v>
      </c>
      <c r="VQJ1618" s="55">
        <f t="shared" si="789"/>
        <v>0</v>
      </c>
      <c r="VQK1618" s="55">
        <f t="shared" si="789"/>
        <v>0</v>
      </c>
      <c r="VQL1618" s="55">
        <f t="shared" si="789"/>
        <v>0</v>
      </c>
      <c r="VQM1618" s="55">
        <f t="shared" si="789"/>
        <v>0</v>
      </c>
      <c r="VQN1618" s="55">
        <f t="shared" si="789"/>
        <v>0</v>
      </c>
      <c r="VQO1618" s="55">
        <f t="shared" si="789"/>
        <v>0</v>
      </c>
      <c r="VQP1618" s="55">
        <f t="shared" si="789"/>
        <v>0</v>
      </c>
      <c r="VQQ1618" s="55">
        <f t="shared" si="789"/>
        <v>0</v>
      </c>
      <c r="VQR1618" s="55">
        <f t="shared" si="789"/>
        <v>0</v>
      </c>
      <c r="VQS1618" s="55">
        <f t="shared" si="789"/>
        <v>0</v>
      </c>
      <c r="VQT1618" s="55">
        <f t="shared" si="789"/>
        <v>0</v>
      </c>
      <c r="VQU1618" s="55">
        <f t="shared" si="789"/>
        <v>0</v>
      </c>
      <c r="VQV1618" s="55">
        <f t="shared" si="789"/>
        <v>0</v>
      </c>
      <c r="VQW1618" s="55">
        <f t="shared" si="789"/>
        <v>0</v>
      </c>
      <c r="VQX1618" s="55">
        <f t="shared" si="789"/>
        <v>0</v>
      </c>
      <c r="VQY1618" s="55">
        <f t="shared" si="789"/>
        <v>0</v>
      </c>
      <c r="VQZ1618" s="55">
        <f t="shared" si="789"/>
        <v>0</v>
      </c>
      <c r="VRA1618" s="55">
        <f t="shared" si="789"/>
        <v>0</v>
      </c>
      <c r="VRB1618" s="55">
        <f t="shared" si="789"/>
        <v>0</v>
      </c>
      <c r="VRC1618" s="55">
        <f t="shared" si="789"/>
        <v>0</v>
      </c>
      <c r="VRD1618" s="55">
        <f t="shared" si="789"/>
        <v>0</v>
      </c>
      <c r="VRE1618" s="55">
        <f t="shared" si="789"/>
        <v>0</v>
      </c>
      <c r="VRF1618" s="55">
        <f t="shared" si="789"/>
        <v>0</v>
      </c>
      <c r="VRG1618" s="55">
        <f t="shared" si="789"/>
        <v>0</v>
      </c>
      <c r="VRH1618" s="55">
        <f t="shared" si="789"/>
        <v>0</v>
      </c>
      <c r="VRI1618" s="55">
        <f t="shared" si="789"/>
        <v>0</v>
      </c>
      <c r="VRJ1618" s="55">
        <f t="shared" si="789"/>
        <v>0</v>
      </c>
      <c r="VRK1618" s="55">
        <f t="shared" si="789"/>
        <v>0</v>
      </c>
      <c r="VRL1618" s="55">
        <f t="shared" si="789"/>
        <v>0</v>
      </c>
      <c r="VRM1618" s="55">
        <f t="shared" si="789"/>
        <v>0</v>
      </c>
      <c r="VRN1618" s="55">
        <f t="shared" si="789"/>
        <v>0</v>
      </c>
      <c r="VRO1618" s="55">
        <f t="shared" si="789"/>
        <v>0</v>
      </c>
      <c r="VRP1618" s="55">
        <f t="shared" si="789"/>
        <v>0</v>
      </c>
      <c r="VRQ1618" s="55">
        <f t="shared" si="789"/>
        <v>0</v>
      </c>
      <c r="VRR1618" s="55">
        <f t="shared" si="789"/>
        <v>0</v>
      </c>
      <c r="VRS1618" s="55">
        <f t="shared" si="789"/>
        <v>0</v>
      </c>
      <c r="VRT1618" s="55">
        <f t="shared" si="789"/>
        <v>0</v>
      </c>
      <c r="VRU1618" s="55">
        <f t="shared" si="789"/>
        <v>0</v>
      </c>
      <c r="VRV1618" s="55">
        <f t="shared" si="789"/>
        <v>0</v>
      </c>
      <c r="VRW1618" s="55">
        <f t="shared" si="789"/>
        <v>0</v>
      </c>
      <c r="VRX1618" s="55">
        <f t="shared" si="789"/>
        <v>0</v>
      </c>
      <c r="VRY1618" s="55">
        <f t="shared" si="789"/>
        <v>0</v>
      </c>
      <c r="VRZ1618" s="55">
        <f t="shared" si="789"/>
        <v>0</v>
      </c>
      <c r="VSA1618" s="55">
        <f t="shared" si="789"/>
        <v>0</v>
      </c>
      <c r="VSB1618" s="55">
        <f t="shared" si="789"/>
        <v>0</v>
      </c>
      <c r="VSC1618" s="55">
        <f t="shared" si="789"/>
        <v>0</v>
      </c>
      <c r="VSD1618" s="55">
        <f t="shared" si="789"/>
        <v>0</v>
      </c>
      <c r="VSE1618" s="55">
        <f t="shared" si="789"/>
        <v>0</v>
      </c>
      <c r="VSF1618" s="55">
        <f t="shared" ref="VSF1618:VUQ1618" si="790">+(VSF1627+VSF1608)*1.18*1.1</f>
        <v>0</v>
      </c>
      <c r="VSG1618" s="55">
        <f t="shared" si="790"/>
        <v>0</v>
      </c>
      <c r="VSH1618" s="55">
        <f t="shared" si="790"/>
        <v>0</v>
      </c>
      <c r="VSI1618" s="55">
        <f t="shared" si="790"/>
        <v>0</v>
      </c>
      <c r="VSJ1618" s="55">
        <f t="shared" si="790"/>
        <v>0</v>
      </c>
      <c r="VSK1618" s="55">
        <f t="shared" si="790"/>
        <v>0</v>
      </c>
      <c r="VSL1618" s="55">
        <f t="shared" si="790"/>
        <v>0</v>
      </c>
      <c r="VSM1618" s="55">
        <f t="shared" si="790"/>
        <v>0</v>
      </c>
      <c r="VSN1618" s="55">
        <f t="shared" si="790"/>
        <v>0</v>
      </c>
      <c r="VSO1618" s="55">
        <f t="shared" si="790"/>
        <v>0</v>
      </c>
      <c r="VSP1618" s="55">
        <f t="shared" si="790"/>
        <v>0</v>
      </c>
      <c r="VSQ1618" s="55">
        <f t="shared" si="790"/>
        <v>0</v>
      </c>
      <c r="VSR1618" s="55">
        <f t="shared" si="790"/>
        <v>0</v>
      </c>
      <c r="VSS1618" s="55">
        <f t="shared" si="790"/>
        <v>0</v>
      </c>
      <c r="VST1618" s="55">
        <f t="shared" si="790"/>
        <v>0</v>
      </c>
      <c r="VSU1618" s="55">
        <f t="shared" si="790"/>
        <v>0</v>
      </c>
      <c r="VSV1618" s="55">
        <f t="shared" si="790"/>
        <v>0</v>
      </c>
      <c r="VSW1618" s="55">
        <f t="shared" si="790"/>
        <v>0</v>
      </c>
      <c r="VSX1618" s="55">
        <f t="shared" si="790"/>
        <v>0</v>
      </c>
      <c r="VSY1618" s="55">
        <f t="shared" si="790"/>
        <v>0</v>
      </c>
      <c r="VSZ1618" s="55">
        <f t="shared" si="790"/>
        <v>0</v>
      </c>
      <c r="VTA1618" s="55">
        <f t="shared" si="790"/>
        <v>0</v>
      </c>
      <c r="VTB1618" s="55">
        <f t="shared" si="790"/>
        <v>0</v>
      </c>
      <c r="VTC1618" s="55">
        <f t="shared" si="790"/>
        <v>0</v>
      </c>
      <c r="VTD1618" s="55">
        <f t="shared" si="790"/>
        <v>0</v>
      </c>
      <c r="VTE1618" s="55">
        <f t="shared" si="790"/>
        <v>0</v>
      </c>
      <c r="VTF1618" s="55">
        <f t="shared" si="790"/>
        <v>0</v>
      </c>
      <c r="VTG1618" s="55">
        <f t="shared" si="790"/>
        <v>0</v>
      </c>
      <c r="VTH1618" s="55">
        <f t="shared" si="790"/>
        <v>0</v>
      </c>
      <c r="VTI1618" s="55">
        <f t="shared" si="790"/>
        <v>0</v>
      </c>
      <c r="VTJ1618" s="55">
        <f t="shared" si="790"/>
        <v>0</v>
      </c>
      <c r="VTK1618" s="55">
        <f t="shared" si="790"/>
        <v>0</v>
      </c>
      <c r="VTL1618" s="55">
        <f t="shared" si="790"/>
        <v>0</v>
      </c>
      <c r="VTM1618" s="55">
        <f t="shared" si="790"/>
        <v>0</v>
      </c>
      <c r="VTN1618" s="55">
        <f t="shared" si="790"/>
        <v>0</v>
      </c>
      <c r="VTO1618" s="55">
        <f t="shared" si="790"/>
        <v>0</v>
      </c>
      <c r="VTP1618" s="55">
        <f t="shared" si="790"/>
        <v>0</v>
      </c>
      <c r="VTQ1618" s="55">
        <f t="shared" si="790"/>
        <v>0</v>
      </c>
      <c r="VTR1618" s="55">
        <f t="shared" si="790"/>
        <v>0</v>
      </c>
      <c r="VTS1618" s="55">
        <f t="shared" si="790"/>
        <v>0</v>
      </c>
      <c r="VTT1618" s="55">
        <f t="shared" si="790"/>
        <v>0</v>
      </c>
      <c r="VTU1618" s="55">
        <f t="shared" si="790"/>
        <v>0</v>
      </c>
      <c r="VTV1618" s="55">
        <f t="shared" si="790"/>
        <v>0</v>
      </c>
      <c r="VTW1618" s="55">
        <f t="shared" si="790"/>
        <v>0</v>
      </c>
      <c r="VTX1618" s="55">
        <f t="shared" si="790"/>
        <v>0</v>
      </c>
      <c r="VTY1618" s="55">
        <f t="shared" si="790"/>
        <v>0</v>
      </c>
      <c r="VTZ1618" s="55">
        <f t="shared" si="790"/>
        <v>0</v>
      </c>
      <c r="VUA1618" s="55">
        <f t="shared" si="790"/>
        <v>0</v>
      </c>
      <c r="VUB1618" s="55">
        <f t="shared" si="790"/>
        <v>0</v>
      </c>
      <c r="VUC1618" s="55">
        <f t="shared" si="790"/>
        <v>0</v>
      </c>
      <c r="VUD1618" s="55">
        <f t="shared" si="790"/>
        <v>0</v>
      </c>
      <c r="VUE1618" s="55">
        <f t="shared" si="790"/>
        <v>0</v>
      </c>
      <c r="VUF1618" s="55">
        <f t="shared" si="790"/>
        <v>0</v>
      </c>
      <c r="VUG1618" s="55">
        <f t="shared" si="790"/>
        <v>0</v>
      </c>
      <c r="VUH1618" s="55">
        <f t="shared" si="790"/>
        <v>0</v>
      </c>
      <c r="VUI1618" s="55">
        <f t="shared" si="790"/>
        <v>0</v>
      </c>
      <c r="VUJ1618" s="55">
        <f t="shared" si="790"/>
        <v>0</v>
      </c>
      <c r="VUK1618" s="55">
        <f t="shared" si="790"/>
        <v>0</v>
      </c>
      <c r="VUL1618" s="55">
        <f t="shared" si="790"/>
        <v>0</v>
      </c>
      <c r="VUM1618" s="55">
        <f t="shared" si="790"/>
        <v>0</v>
      </c>
      <c r="VUN1618" s="55">
        <f t="shared" si="790"/>
        <v>0</v>
      </c>
      <c r="VUO1618" s="55">
        <f t="shared" si="790"/>
        <v>0</v>
      </c>
      <c r="VUP1618" s="55">
        <f t="shared" si="790"/>
        <v>0</v>
      </c>
      <c r="VUQ1618" s="55">
        <f t="shared" si="790"/>
        <v>0</v>
      </c>
      <c r="VUR1618" s="55">
        <f t="shared" ref="VUR1618:VXC1618" si="791">+(VUR1627+VUR1608)*1.18*1.1</f>
        <v>0</v>
      </c>
      <c r="VUS1618" s="55">
        <f t="shared" si="791"/>
        <v>0</v>
      </c>
      <c r="VUT1618" s="55">
        <f t="shared" si="791"/>
        <v>0</v>
      </c>
      <c r="VUU1618" s="55">
        <f t="shared" si="791"/>
        <v>0</v>
      </c>
      <c r="VUV1618" s="55">
        <f t="shared" si="791"/>
        <v>0</v>
      </c>
      <c r="VUW1618" s="55">
        <f t="shared" si="791"/>
        <v>0</v>
      </c>
      <c r="VUX1618" s="55">
        <f t="shared" si="791"/>
        <v>0</v>
      </c>
      <c r="VUY1618" s="55">
        <f t="shared" si="791"/>
        <v>0</v>
      </c>
      <c r="VUZ1618" s="55">
        <f t="shared" si="791"/>
        <v>0</v>
      </c>
      <c r="VVA1618" s="55">
        <f t="shared" si="791"/>
        <v>0</v>
      </c>
      <c r="VVB1618" s="55">
        <f t="shared" si="791"/>
        <v>0</v>
      </c>
      <c r="VVC1618" s="55">
        <f t="shared" si="791"/>
        <v>0</v>
      </c>
      <c r="VVD1618" s="55">
        <f t="shared" si="791"/>
        <v>0</v>
      </c>
      <c r="VVE1618" s="55">
        <f t="shared" si="791"/>
        <v>0</v>
      </c>
      <c r="VVF1618" s="55">
        <f t="shared" si="791"/>
        <v>0</v>
      </c>
      <c r="VVG1618" s="55">
        <f t="shared" si="791"/>
        <v>0</v>
      </c>
      <c r="VVH1618" s="55">
        <f t="shared" si="791"/>
        <v>0</v>
      </c>
      <c r="VVI1618" s="55">
        <f t="shared" si="791"/>
        <v>0</v>
      </c>
      <c r="VVJ1618" s="55">
        <f t="shared" si="791"/>
        <v>0</v>
      </c>
      <c r="VVK1618" s="55">
        <f t="shared" si="791"/>
        <v>0</v>
      </c>
      <c r="VVL1618" s="55">
        <f t="shared" si="791"/>
        <v>0</v>
      </c>
      <c r="VVM1618" s="55">
        <f t="shared" si="791"/>
        <v>0</v>
      </c>
      <c r="VVN1618" s="55">
        <f t="shared" si="791"/>
        <v>0</v>
      </c>
      <c r="VVO1618" s="55">
        <f t="shared" si="791"/>
        <v>0</v>
      </c>
      <c r="VVP1618" s="55">
        <f t="shared" si="791"/>
        <v>0</v>
      </c>
      <c r="VVQ1618" s="55">
        <f t="shared" si="791"/>
        <v>0</v>
      </c>
      <c r="VVR1618" s="55">
        <f t="shared" si="791"/>
        <v>0</v>
      </c>
      <c r="VVS1618" s="55">
        <f t="shared" si="791"/>
        <v>0</v>
      </c>
      <c r="VVT1618" s="55">
        <f t="shared" si="791"/>
        <v>0</v>
      </c>
      <c r="VVU1618" s="55">
        <f t="shared" si="791"/>
        <v>0</v>
      </c>
      <c r="VVV1618" s="55">
        <f t="shared" si="791"/>
        <v>0</v>
      </c>
      <c r="VVW1618" s="55">
        <f t="shared" si="791"/>
        <v>0</v>
      </c>
      <c r="VVX1618" s="55">
        <f t="shared" si="791"/>
        <v>0</v>
      </c>
      <c r="VVY1618" s="55">
        <f t="shared" si="791"/>
        <v>0</v>
      </c>
      <c r="VVZ1618" s="55">
        <f t="shared" si="791"/>
        <v>0</v>
      </c>
      <c r="VWA1618" s="55">
        <f t="shared" si="791"/>
        <v>0</v>
      </c>
      <c r="VWB1618" s="55">
        <f t="shared" si="791"/>
        <v>0</v>
      </c>
      <c r="VWC1618" s="55">
        <f t="shared" si="791"/>
        <v>0</v>
      </c>
      <c r="VWD1618" s="55">
        <f t="shared" si="791"/>
        <v>0</v>
      </c>
      <c r="VWE1618" s="55">
        <f t="shared" si="791"/>
        <v>0</v>
      </c>
      <c r="VWF1618" s="55">
        <f t="shared" si="791"/>
        <v>0</v>
      </c>
      <c r="VWG1618" s="55">
        <f t="shared" si="791"/>
        <v>0</v>
      </c>
      <c r="VWH1618" s="55">
        <f t="shared" si="791"/>
        <v>0</v>
      </c>
      <c r="VWI1618" s="55">
        <f t="shared" si="791"/>
        <v>0</v>
      </c>
      <c r="VWJ1618" s="55">
        <f t="shared" si="791"/>
        <v>0</v>
      </c>
      <c r="VWK1618" s="55">
        <f t="shared" si="791"/>
        <v>0</v>
      </c>
      <c r="VWL1618" s="55">
        <f t="shared" si="791"/>
        <v>0</v>
      </c>
      <c r="VWM1618" s="55">
        <f t="shared" si="791"/>
        <v>0</v>
      </c>
      <c r="VWN1618" s="55">
        <f t="shared" si="791"/>
        <v>0</v>
      </c>
      <c r="VWO1618" s="55">
        <f t="shared" si="791"/>
        <v>0</v>
      </c>
      <c r="VWP1618" s="55">
        <f t="shared" si="791"/>
        <v>0</v>
      </c>
      <c r="VWQ1618" s="55">
        <f t="shared" si="791"/>
        <v>0</v>
      </c>
      <c r="VWR1618" s="55">
        <f t="shared" si="791"/>
        <v>0</v>
      </c>
      <c r="VWS1618" s="55">
        <f t="shared" si="791"/>
        <v>0</v>
      </c>
      <c r="VWT1618" s="55">
        <f t="shared" si="791"/>
        <v>0</v>
      </c>
      <c r="VWU1618" s="55">
        <f t="shared" si="791"/>
        <v>0</v>
      </c>
      <c r="VWV1618" s="55">
        <f t="shared" si="791"/>
        <v>0</v>
      </c>
      <c r="VWW1618" s="55">
        <f t="shared" si="791"/>
        <v>0</v>
      </c>
      <c r="VWX1618" s="55">
        <f t="shared" si="791"/>
        <v>0</v>
      </c>
      <c r="VWY1618" s="55">
        <f t="shared" si="791"/>
        <v>0</v>
      </c>
      <c r="VWZ1618" s="55">
        <f t="shared" si="791"/>
        <v>0</v>
      </c>
      <c r="VXA1618" s="55">
        <f t="shared" si="791"/>
        <v>0</v>
      </c>
      <c r="VXB1618" s="55">
        <f t="shared" si="791"/>
        <v>0</v>
      </c>
      <c r="VXC1618" s="55">
        <f t="shared" si="791"/>
        <v>0</v>
      </c>
      <c r="VXD1618" s="55">
        <f t="shared" ref="VXD1618:VZO1618" si="792">+(VXD1627+VXD1608)*1.18*1.1</f>
        <v>0</v>
      </c>
      <c r="VXE1618" s="55">
        <f t="shared" si="792"/>
        <v>0</v>
      </c>
      <c r="VXF1618" s="55">
        <f t="shared" si="792"/>
        <v>0</v>
      </c>
      <c r="VXG1618" s="55">
        <f t="shared" si="792"/>
        <v>0</v>
      </c>
      <c r="VXH1618" s="55">
        <f t="shared" si="792"/>
        <v>0</v>
      </c>
      <c r="VXI1618" s="55">
        <f t="shared" si="792"/>
        <v>0</v>
      </c>
      <c r="VXJ1618" s="55">
        <f t="shared" si="792"/>
        <v>0</v>
      </c>
      <c r="VXK1618" s="55">
        <f t="shared" si="792"/>
        <v>0</v>
      </c>
      <c r="VXL1618" s="55">
        <f t="shared" si="792"/>
        <v>0</v>
      </c>
      <c r="VXM1618" s="55">
        <f t="shared" si="792"/>
        <v>0</v>
      </c>
      <c r="VXN1618" s="55">
        <f t="shared" si="792"/>
        <v>0</v>
      </c>
      <c r="VXO1618" s="55">
        <f t="shared" si="792"/>
        <v>0</v>
      </c>
      <c r="VXP1618" s="55">
        <f t="shared" si="792"/>
        <v>0</v>
      </c>
      <c r="VXQ1618" s="55">
        <f t="shared" si="792"/>
        <v>0</v>
      </c>
      <c r="VXR1618" s="55">
        <f t="shared" si="792"/>
        <v>0</v>
      </c>
      <c r="VXS1618" s="55">
        <f t="shared" si="792"/>
        <v>0</v>
      </c>
      <c r="VXT1618" s="55">
        <f t="shared" si="792"/>
        <v>0</v>
      </c>
      <c r="VXU1618" s="55">
        <f t="shared" si="792"/>
        <v>0</v>
      </c>
      <c r="VXV1618" s="55">
        <f t="shared" si="792"/>
        <v>0</v>
      </c>
      <c r="VXW1618" s="55">
        <f t="shared" si="792"/>
        <v>0</v>
      </c>
      <c r="VXX1618" s="55">
        <f t="shared" si="792"/>
        <v>0</v>
      </c>
      <c r="VXY1618" s="55">
        <f t="shared" si="792"/>
        <v>0</v>
      </c>
      <c r="VXZ1618" s="55">
        <f t="shared" si="792"/>
        <v>0</v>
      </c>
      <c r="VYA1618" s="55">
        <f t="shared" si="792"/>
        <v>0</v>
      </c>
      <c r="VYB1618" s="55">
        <f t="shared" si="792"/>
        <v>0</v>
      </c>
      <c r="VYC1618" s="55">
        <f t="shared" si="792"/>
        <v>0</v>
      </c>
      <c r="VYD1618" s="55">
        <f t="shared" si="792"/>
        <v>0</v>
      </c>
      <c r="VYE1618" s="55">
        <f t="shared" si="792"/>
        <v>0</v>
      </c>
      <c r="VYF1618" s="55">
        <f t="shared" si="792"/>
        <v>0</v>
      </c>
      <c r="VYG1618" s="55">
        <f t="shared" si="792"/>
        <v>0</v>
      </c>
      <c r="VYH1618" s="55">
        <f t="shared" si="792"/>
        <v>0</v>
      </c>
      <c r="VYI1618" s="55">
        <f t="shared" si="792"/>
        <v>0</v>
      </c>
      <c r="VYJ1618" s="55">
        <f t="shared" si="792"/>
        <v>0</v>
      </c>
      <c r="VYK1618" s="55">
        <f t="shared" si="792"/>
        <v>0</v>
      </c>
      <c r="VYL1618" s="55">
        <f t="shared" si="792"/>
        <v>0</v>
      </c>
      <c r="VYM1618" s="55">
        <f t="shared" si="792"/>
        <v>0</v>
      </c>
      <c r="VYN1618" s="55">
        <f t="shared" si="792"/>
        <v>0</v>
      </c>
      <c r="VYO1618" s="55">
        <f t="shared" si="792"/>
        <v>0</v>
      </c>
      <c r="VYP1618" s="55">
        <f t="shared" si="792"/>
        <v>0</v>
      </c>
      <c r="VYQ1618" s="55">
        <f t="shared" si="792"/>
        <v>0</v>
      </c>
      <c r="VYR1618" s="55">
        <f t="shared" si="792"/>
        <v>0</v>
      </c>
      <c r="VYS1618" s="55">
        <f t="shared" si="792"/>
        <v>0</v>
      </c>
      <c r="VYT1618" s="55">
        <f t="shared" si="792"/>
        <v>0</v>
      </c>
      <c r="VYU1618" s="55">
        <f t="shared" si="792"/>
        <v>0</v>
      </c>
      <c r="VYV1618" s="55">
        <f t="shared" si="792"/>
        <v>0</v>
      </c>
      <c r="VYW1618" s="55">
        <f t="shared" si="792"/>
        <v>0</v>
      </c>
      <c r="VYX1618" s="55">
        <f t="shared" si="792"/>
        <v>0</v>
      </c>
      <c r="VYY1618" s="55">
        <f t="shared" si="792"/>
        <v>0</v>
      </c>
      <c r="VYZ1618" s="55">
        <f t="shared" si="792"/>
        <v>0</v>
      </c>
      <c r="VZA1618" s="55">
        <f t="shared" si="792"/>
        <v>0</v>
      </c>
      <c r="VZB1618" s="55">
        <f t="shared" si="792"/>
        <v>0</v>
      </c>
      <c r="VZC1618" s="55">
        <f t="shared" si="792"/>
        <v>0</v>
      </c>
      <c r="VZD1618" s="55">
        <f t="shared" si="792"/>
        <v>0</v>
      </c>
      <c r="VZE1618" s="55">
        <f t="shared" si="792"/>
        <v>0</v>
      </c>
      <c r="VZF1618" s="55">
        <f t="shared" si="792"/>
        <v>0</v>
      </c>
      <c r="VZG1618" s="55">
        <f t="shared" si="792"/>
        <v>0</v>
      </c>
      <c r="VZH1618" s="55">
        <f t="shared" si="792"/>
        <v>0</v>
      </c>
      <c r="VZI1618" s="55">
        <f t="shared" si="792"/>
        <v>0</v>
      </c>
      <c r="VZJ1618" s="55">
        <f t="shared" si="792"/>
        <v>0</v>
      </c>
      <c r="VZK1618" s="55">
        <f t="shared" si="792"/>
        <v>0</v>
      </c>
      <c r="VZL1618" s="55">
        <f t="shared" si="792"/>
        <v>0</v>
      </c>
      <c r="VZM1618" s="55">
        <f t="shared" si="792"/>
        <v>0</v>
      </c>
      <c r="VZN1618" s="55">
        <f t="shared" si="792"/>
        <v>0</v>
      </c>
      <c r="VZO1618" s="55">
        <f t="shared" si="792"/>
        <v>0</v>
      </c>
      <c r="VZP1618" s="55">
        <f t="shared" ref="VZP1618:WCA1618" si="793">+(VZP1627+VZP1608)*1.18*1.1</f>
        <v>0</v>
      </c>
      <c r="VZQ1618" s="55">
        <f t="shared" si="793"/>
        <v>0</v>
      </c>
      <c r="VZR1618" s="55">
        <f t="shared" si="793"/>
        <v>0</v>
      </c>
      <c r="VZS1618" s="55">
        <f t="shared" si="793"/>
        <v>0</v>
      </c>
      <c r="VZT1618" s="55">
        <f t="shared" si="793"/>
        <v>0</v>
      </c>
      <c r="VZU1618" s="55">
        <f t="shared" si="793"/>
        <v>0</v>
      </c>
      <c r="VZV1618" s="55">
        <f t="shared" si="793"/>
        <v>0</v>
      </c>
      <c r="VZW1618" s="55">
        <f t="shared" si="793"/>
        <v>0</v>
      </c>
      <c r="VZX1618" s="55">
        <f t="shared" si="793"/>
        <v>0</v>
      </c>
      <c r="VZY1618" s="55">
        <f t="shared" si="793"/>
        <v>0</v>
      </c>
      <c r="VZZ1618" s="55">
        <f t="shared" si="793"/>
        <v>0</v>
      </c>
      <c r="WAA1618" s="55">
        <f t="shared" si="793"/>
        <v>0</v>
      </c>
      <c r="WAB1618" s="55">
        <f t="shared" si="793"/>
        <v>0</v>
      </c>
      <c r="WAC1618" s="55">
        <f t="shared" si="793"/>
        <v>0</v>
      </c>
      <c r="WAD1618" s="55">
        <f t="shared" si="793"/>
        <v>0</v>
      </c>
      <c r="WAE1618" s="55">
        <f t="shared" si="793"/>
        <v>0</v>
      </c>
      <c r="WAF1618" s="55">
        <f t="shared" si="793"/>
        <v>0</v>
      </c>
      <c r="WAG1618" s="55">
        <f t="shared" si="793"/>
        <v>0</v>
      </c>
      <c r="WAH1618" s="55">
        <f t="shared" si="793"/>
        <v>0</v>
      </c>
      <c r="WAI1618" s="55">
        <f t="shared" si="793"/>
        <v>0</v>
      </c>
      <c r="WAJ1618" s="55">
        <f t="shared" si="793"/>
        <v>0</v>
      </c>
      <c r="WAK1618" s="55">
        <f t="shared" si="793"/>
        <v>0</v>
      </c>
      <c r="WAL1618" s="55">
        <f t="shared" si="793"/>
        <v>0</v>
      </c>
      <c r="WAM1618" s="55">
        <f t="shared" si="793"/>
        <v>0</v>
      </c>
      <c r="WAN1618" s="55">
        <f t="shared" si="793"/>
        <v>0</v>
      </c>
      <c r="WAO1618" s="55">
        <f t="shared" si="793"/>
        <v>0</v>
      </c>
      <c r="WAP1618" s="55">
        <f t="shared" si="793"/>
        <v>0</v>
      </c>
      <c r="WAQ1618" s="55">
        <f t="shared" si="793"/>
        <v>0</v>
      </c>
      <c r="WAR1618" s="55">
        <f t="shared" si="793"/>
        <v>0</v>
      </c>
      <c r="WAS1618" s="55">
        <f t="shared" si="793"/>
        <v>0</v>
      </c>
      <c r="WAT1618" s="55">
        <f t="shared" si="793"/>
        <v>0</v>
      </c>
      <c r="WAU1618" s="55">
        <f t="shared" si="793"/>
        <v>0</v>
      </c>
      <c r="WAV1618" s="55">
        <f t="shared" si="793"/>
        <v>0</v>
      </c>
      <c r="WAW1618" s="55">
        <f t="shared" si="793"/>
        <v>0</v>
      </c>
      <c r="WAX1618" s="55">
        <f t="shared" si="793"/>
        <v>0</v>
      </c>
      <c r="WAY1618" s="55">
        <f t="shared" si="793"/>
        <v>0</v>
      </c>
      <c r="WAZ1618" s="55">
        <f t="shared" si="793"/>
        <v>0</v>
      </c>
      <c r="WBA1618" s="55">
        <f t="shared" si="793"/>
        <v>0</v>
      </c>
      <c r="WBB1618" s="55">
        <f t="shared" si="793"/>
        <v>0</v>
      </c>
      <c r="WBC1618" s="55">
        <f t="shared" si="793"/>
        <v>0</v>
      </c>
      <c r="WBD1618" s="55">
        <f t="shared" si="793"/>
        <v>0</v>
      </c>
      <c r="WBE1618" s="55">
        <f t="shared" si="793"/>
        <v>0</v>
      </c>
      <c r="WBF1618" s="55">
        <f t="shared" si="793"/>
        <v>0</v>
      </c>
      <c r="WBG1618" s="55">
        <f t="shared" si="793"/>
        <v>0</v>
      </c>
      <c r="WBH1618" s="55">
        <f t="shared" si="793"/>
        <v>0</v>
      </c>
      <c r="WBI1618" s="55">
        <f t="shared" si="793"/>
        <v>0</v>
      </c>
      <c r="WBJ1618" s="55">
        <f t="shared" si="793"/>
        <v>0</v>
      </c>
      <c r="WBK1618" s="55">
        <f t="shared" si="793"/>
        <v>0</v>
      </c>
      <c r="WBL1618" s="55">
        <f t="shared" si="793"/>
        <v>0</v>
      </c>
      <c r="WBM1618" s="55">
        <f t="shared" si="793"/>
        <v>0</v>
      </c>
      <c r="WBN1618" s="55">
        <f t="shared" si="793"/>
        <v>0</v>
      </c>
      <c r="WBO1618" s="55">
        <f t="shared" si="793"/>
        <v>0</v>
      </c>
      <c r="WBP1618" s="55">
        <f t="shared" si="793"/>
        <v>0</v>
      </c>
      <c r="WBQ1618" s="55">
        <f t="shared" si="793"/>
        <v>0</v>
      </c>
      <c r="WBR1618" s="55">
        <f t="shared" si="793"/>
        <v>0</v>
      </c>
      <c r="WBS1618" s="55">
        <f t="shared" si="793"/>
        <v>0</v>
      </c>
      <c r="WBT1618" s="55">
        <f t="shared" si="793"/>
        <v>0</v>
      </c>
      <c r="WBU1618" s="55">
        <f t="shared" si="793"/>
        <v>0</v>
      </c>
      <c r="WBV1618" s="55">
        <f t="shared" si="793"/>
        <v>0</v>
      </c>
      <c r="WBW1618" s="55">
        <f t="shared" si="793"/>
        <v>0</v>
      </c>
      <c r="WBX1618" s="55">
        <f t="shared" si="793"/>
        <v>0</v>
      </c>
      <c r="WBY1618" s="55">
        <f t="shared" si="793"/>
        <v>0</v>
      </c>
      <c r="WBZ1618" s="55">
        <f t="shared" si="793"/>
        <v>0</v>
      </c>
      <c r="WCA1618" s="55">
        <f t="shared" si="793"/>
        <v>0</v>
      </c>
      <c r="WCB1618" s="55">
        <f t="shared" ref="WCB1618:WEM1618" si="794">+(WCB1627+WCB1608)*1.18*1.1</f>
        <v>0</v>
      </c>
      <c r="WCC1618" s="55">
        <f t="shared" si="794"/>
        <v>0</v>
      </c>
      <c r="WCD1618" s="55">
        <f t="shared" si="794"/>
        <v>0</v>
      </c>
      <c r="WCE1618" s="55">
        <f t="shared" si="794"/>
        <v>0</v>
      </c>
      <c r="WCF1618" s="55">
        <f t="shared" si="794"/>
        <v>0</v>
      </c>
      <c r="WCG1618" s="55">
        <f t="shared" si="794"/>
        <v>0</v>
      </c>
      <c r="WCH1618" s="55">
        <f t="shared" si="794"/>
        <v>0</v>
      </c>
      <c r="WCI1618" s="55">
        <f t="shared" si="794"/>
        <v>0</v>
      </c>
      <c r="WCJ1618" s="55">
        <f t="shared" si="794"/>
        <v>0</v>
      </c>
      <c r="WCK1618" s="55">
        <f t="shared" si="794"/>
        <v>0</v>
      </c>
      <c r="WCL1618" s="55">
        <f t="shared" si="794"/>
        <v>0</v>
      </c>
      <c r="WCM1618" s="55">
        <f t="shared" si="794"/>
        <v>0</v>
      </c>
      <c r="WCN1618" s="55">
        <f t="shared" si="794"/>
        <v>0</v>
      </c>
      <c r="WCO1618" s="55">
        <f t="shared" si="794"/>
        <v>0</v>
      </c>
      <c r="WCP1618" s="55">
        <f t="shared" si="794"/>
        <v>0</v>
      </c>
      <c r="WCQ1618" s="55">
        <f t="shared" si="794"/>
        <v>0</v>
      </c>
      <c r="WCR1618" s="55">
        <f t="shared" si="794"/>
        <v>0</v>
      </c>
      <c r="WCS1618" s="55">
        <f t="shared" si="794"/>
        <v>0</v>
      </c>
      <c r="WCT1618" s="55">
        <f t="shared" si="794"/>
        <v>0</v>
      </c>
      <c r="WCU1618" s="55">
        <f t="shared" si="794"/>
        <v>0</v>
      </c>
      <c r="WCV1618" s="55">
        <f t="shared" si="794"/>
        <v>0</v>
      </c>
      <c r="WCW1618" s="55">
        <f t="shared" si="794"/>
        <v>0</v>
      </c>
      <c r="WCX1618" s="55">
        <f t="shared" si="794"/>
        <v>0</v>
      </c>
      <c r="WCY1618" s="55">
        <f t="shared" si="794"/>
        <v>0</v>
      </c>
      <c r="WCZ1618" s="55">
        <f t="shared" si="794"/>
        <v>0</v>
      </c>
      <c r="WDA1618" s="55">
        <f t="shared" si="794"/>
        <v>0</v>
      </c>
      <c r="WDB1618" s="55">
        <f t="shared" si="794"/>
        <v>0</v>
      </c>
      <c r="WDC1618" s="55">
        <f t="shared" si="794"/>
        <v>0</v>
      </c>
      <c r="WDD1618" s="55">
        <f t="shared" si="794"/>
        <v>0</v>
      </c>
      <c r="WDE1618" s="55">
        <f t="shared" si="794"/>
        <v>0</v>
      </c>
      <c r="WDF1618" s="55">
        <f t="shared" si="794"/>
        <v>0</v>
      </c>
      <c r="WDG1618" s="55">
        <f t="shared" si="794"/>
        <v>0</v>
      </c>
      <c r="WDH1618" s="55">
        <f t="shared" si="794"/>
        <v>0</v>
      </c>
      <c r="WDI1618" s="55">
        <f t="shared" si="794"/>
        <v>0</v>
      </c>
      <c r="WDJ1618" s="55">
        <f t="shared" si="794"/>
        <v>0</v>
      </c>
      <c r="WDK1618" s="55">
        <f t="shared" si="794"/>
        <v>0</v>
      </c>
      <c r="WDL1618" s="55">
        <f t="shared" si="794"/>
        <v>0</v>
      </c>
      <c r="WDM1618" s="55">
        <f t="shared" si="794"/>
        <v>0</v>
      </c>
      <c r="WDN1618" s="55">
        <f t="shared" si="794"/>
        <v>0</v>
      </c>
      <c r="WDO1618" s="55">
        <f t="shared" si="794"/>
        <v>0</v>
      </c>
      <c r="WDP1618" s="55">
        <f t="shared" si="794"/>
        <v>0</v>
      </c>
      <c r="WDQ1618" s="55">
        <f t="shared" si="794"/>
        <v>0</v>
      </c>
      <c r="WDR1618" s="55">
        <f t="shared" si="794"/>
        <v>0</v>
      </c>
      <c r="WDS1618" s="55">
        <f t="shared" si="794"/>
        <v>0</v>
      </c>
      <c r="WDT1618" s="55">
        <f t="shared" si="794"/>
        <v>0</v>
      </c>
      <c r="WDU1618" s="55">
        <f t="shared" si="794"/>
        <v>0</v>
      </c>
      <c r="WDV1618" s="55">
        <f t="shared" si="794"/>
        <v>0</v>
      </c>
      <c r="WDW1618" s="55">
        <f t="shared" si="794"/>
        <v>0</v>
      </c>
      <c r="WDX1618" s="55">
        <f t="shared" si="794"/>
        <v>0</v>
      </c>
      <c r="WDY1618" s="55">
        <f t="shared" si="794"/>
        <v>0</v>
      </c>
      <c r="WDZ1618" s="55">
        <f t="shared" si="794"/>
        <v>0</v>
      </c>
      <c r="WEA1618" s="55">
        <f t="shared" si="794"/>
        <v>0</v>
      </c>
      <c r="WEB1618" s="55">
        <f t="shared" si="794"/>
        <v>0</v>
      </c>
      <c r="WEC1618" s="55">
        <f t="shared" si="794"/>
        <v>0</v>
      </c>
      <c r="WED1618" s="55">
        <f t="shared" si="794"/>
        <v>0</v>
      </c>
      <c r="WEE1618" s="55">
        <f t="shared" si="794"/>
        <v>0</v>
      </c>
      <c r="WEF1618" s="55">
        <f t="shared" si="794"/>
        <v>0</v>
      </c>
      <c r="WEG1618" s="55">
        <f t="shared" si="794"/>
        <v>0</v>
      </c>
      <c r="WEH1618" s="55">
        <f t="shared" si="794"/>
        <v>0</v>
      </c>
      <c r="WEI1618" s="55">
        <f t="shared" si="794"/>
        <v>0</v>
      </c>
      <c r="WEJ1618" s="55">
        <f t="shared" si="794"/>
        <v>0</v>
      </c>
      <c r="WEK1618" s="55">
        <f t="shared" si="794"/>
        <v>0</v>
      </c>
      <c r="WEL1618" s="55">
        <f t="shared" si="794"/>
        <v>0</v>
      </c>
      <c r="WEM1618" s="55">
        <f t="shared" si="794"/>
        <v>0</v>
      </c>
      <c r="WEN1618" s="55">
        <f t="shared" ref="WEN1618:WGY1618" si="795">+(WEN1627+WEN1608)*1.18*1.1</f>
        <v>0</v>
      </c>
      <c r="WEO1618" s="55">
        <f t="shared" si="795"/>
        <v>0</v>
      </c>
      <c r="WEP1618" s="55">
        <f t="shared" si="795"/>
        <v>0</v>
      </c>
      <c r="WEQ1618" s="55">
        <f t="shared" si="795"/>
        <v>0</v>
      </c>
      <c r="WER1618" s="55">
        <f t="shared" si="795"/>
        <v>0</v>
      </c>
      <c r="WES1618" s="55">
        <f t="shared" si="795"/>
        <v>0</v>
      </c>
      <c r="WET1618" s="55">
        <f t="shared" si="795"/>
        <v>0</v>
      </c>
      <c r="WEU1618" s="55">
        <f t="shared" si="795"/>
        <v>0</v>
      </c>
      <c r="WEV1618" s="55">
        <f t="shared" si="795"/>
        <v>0</v>
      </c>
      <c r="WEW1618" s="55">
        <f t="shared" si="795"/>
        <v>0</v>
      </c>
      <c r="WEX1618" s="55">
        <f t="shared" si="795"/>
        <v>0</v>
      </c>
      <c r="WEY1618" s="55">
        <f t="shared" si="795"/>
        <v>0</v>
      </c>
      <c r="WEZ1618" s="55">
        <f t="shared" si="795"/>
        <v>0</v>
      </c>
      <c r="WFA1618" s="55">
        <f t="shared" si="795"/>
        <v>0</v>
      </c>
      <c r="WFB1618" s="55">
        <f t="shared" si="795"/>
        <v>0</v>
      </c>
      <c r="WFC1618" s="55">
        <f t="shared" si="795"/>
        <v>0</v>
      </c>
      <c r="WFD1618" s="55">
        <f t="shared" si="795"/>
        <v>0</v>
      </c>
      <c r="WFE1618" s="55">
        <f t="shared" si="795"/>
        <v>0</v>
      </c>
      <c r="WFF1618" s="55">
        <f t="shared" si="795"/>
        <v>0</v>
      </c>
      <c r="WFG1618" s="55">
        <f t="shared" si="795"/>
        <v>0</v>
      </c>
      <c r="WFH1618" s="55">
        <f t="shared" si="795"/>
        <v>0</v>
      </c>
      <c r="WFI1618" s="55">
        <f t="shared" si="795"/>
        <v>0</v>
      </c>
      <c r="WFJ1618" s="55">
        <f t="shared" si="795"/>
        <v>0</v>
      </c>
      <c r="WFK1618" s="55">
        <f t="shared" si="795"/>
        <v>0</v>
      </c>
      <c r="WFL1618" s="55">
        <f t="shared" si="795"/>
        <v>0</v>
      </c>
      <c r="WFM1618" s="55">
        <f t="shared" si="795"/>
        <v>0</v>
      </c>
      <c r="WFN1618" s="55">
        <f t="shared" si="795"/>
        <v>0</v>
      </c>
      <c r="WFO1618" s="55">
        <f t="shared" si="795"/>
        <v>0</v>
      </c>
      <c r="WFP1618" s="55">
        <f t="shared" si="795"/>
        <v>0</v>
      </c>
      <c r="WFQ1618" s="55">
        <f t="shared" si="795"/>
        <v>0</v>
      </c>
      <c r="WFR1618" s="55">
        <f t="shared" si="795"/>
        <v>0</v>
      </c>
      <c r="WFS1618" s="55">
        <f t="shared" si="795"/>
        <v>0</v>
      </c>
      <c r="WFT1618" s="55">
        <f t="shared" si="795"/>
        <v>0</v>
      </c>
      <c r="WFU1618" s="55">
        <f t="shared" si="795"/>
        <v>0</v>
      </c>
      <c r="WFV1618" s="55">
        <f t="shared" si="795"/>
        <v>0</v>
      </c>
      <c r="WFW1618" s="55">
        <f t="shared" si="795"/>
        <v>0</v>
      </c>
      <c r="WFX1618" s="55">
        <f t="shared" si="795"/>
        <v>0</v>
      </c>
      <c r="WFY1618" s="55">
        <f t="shared" si="795"/>
        <v>0</v>
      </c>
      <c r="WFZ1618" s="55">
        <f t="shared" si="795"/>
        <v>0</v>
      </c>
      <c r="WGA1618" s="55">
        <f t="shared" si="795"/>
        <v>0</v>
      </c>
      <c r="WGB1618" s="55">
        <f t="shared" si="795"/>
        <v>0</v>
      </c>
      <c r="WGC1618" s="55">
        <f t="shared" si="795"/>
        <v>0</v>
      </c>
      <c r="WGD1618" s="55">
        <f t="shared" si="795"/>
        <v>0</v>
      </c>
      <c r="WGE1618" s="55">
        <f t="shared" si="795"/>
        <v>0</v>
      </c>
      <c r="WGF1618" s="55">
        <f t="shared" si="795"/>
        <v>0</v>
      </c>
      <c r="WGG1618" s="55">
        <f t="shared" si="795"/>
        <v>0</v>
      </c>
      <c r="WGH1618" s="55">
        <f t="shared" si="795"/>
        <v>0</v>
      </c>
      <c r="WGI1618" s="55">
        <f t="shared" si="795"/>
        <v>0</v>
      </c>
      <c r="WGJ1618" s="55">
        <f t="shared" si="795"/>
        <v>0</v>
      </c>
      <c r="WGK1618" s="55">
        <f t="shared" si="795"/>
        <v>0</v>
      </c>
      <c r="WGL1618" s="55">
        <f t="shared" si="795"/>
        <v>0</v>
      </c>
      <c r="WGM1618" s="55">
        <f t="shared" si="795"/>
        <v>0</v>
      </c>
      <c r="WGN1618" s="55">
        <f t="shared" si="795"/>
        <v>0</v>
      </c>
      <c r="WGO1618" s="55">
        <f t="shared" si="795"/>
        <v>0</v>
      </c>
      <c r="WGP1618" s="55">
        <f t="shared" si="795"/>
        <v>0</v>
      </c>
      <c r="WGQ1618" s="55">
        <f t="shared" si="795"/>
        <v>0</v>
      </c>
      <c r="WGR1618" s="55">
        <f t="shared" si="795"/>
        <v>0</v>
      </c>
      <c r="WGS1618" s="55">
        <f t="shared" si="795"/>
        <v>0</v>
      </c>
      <c r="WGT1618" s="55">
        <f t="shared" si="795"/>
        <v>0</v>
      </c>
      <c r="WGU1618" s="55">
        <f t="shared" si="795"/>
        <v>0</v>
      </c>
      <c r="WGV1618" s="55">
        <f t="shared" si="795"/>
        <v>0</v>
      </c>
      <c r="WGW1618" s="55">
        <f t="shared" si="795"/>
        <v>0</v>
      </c>
      <c r="WGX1618" s="55">
        <f t="shared" si="795"/>
        <v>0</v>
      </c>
      <c r="WGY1618" s="55">
        <f t="shared" si="795"/>
        <v>0</v>
      </c>
      <c r="WGZ1618" s="55">
        <f t="shared" ref="WGZ1618:WJK1618" si="796">+(WGZ1627+WGZ1608)*1.18*1.1</f>
        <v>0</v>
      </c>
      <c r="WHA1618" s="55">
        <f t="shared" si="796"/>
        <v>0</v>
      </c>
      <c r="WHB1618" s="55">
        <f t="shared" si="796"/>
        <v>0</v>
      </c>
      <c r="WHC1618" s="55">
        <f t="shared" si="796"/>
        <v>0</v>
      </c>
      <c r="WHD1618" s="55">
        <f t="shared" si="796"/>
        <v>0</v>
      </c>
      <c r="WHE1618" s="55">
        <f t="shared" si="796"/>
        <v>0</v>
      </c>
      <c r="WHF1618" s="55">
        <f t="shared" si="796"/>
        <v>0</v>
      </c>
      <c r="WHG1618" s="55">
        <f t="shared" si="796"/>
        <v>0</v>
      </c>
      <c r="WHH1618" s="55">
        <f t="shared" si="796"/>
        <v>0</v>
      </c>
      <c r="WHI1618" s="55">
        <f t="shared" si="796"/>
        <v>0</v>
      </c>
      <c r="WHJ1618" s="55">
        <f t="shared" si="796"/>
        <v>0</v>
      </c>
      <c r="WHK1618" s="55">
        <f t="shared" si="796"/>
        <v>0</v>
      </c>
      <c r="WHL1618" s="55">
        <f t="shared" si="796"/>
        <v>0</v>
      </c>
      <c r="WHM1618" s="55">
        <f t="shared" si="796"/>
        <v>0</v>
      </c>
      <c r="WHN1618" s="55">
        <f t="shared" si="796"/>
        <v>0</v>
      </c>
      <c r="WHO1618" s="55">
        <f t="shared" si="796"/>
        <v>0</v>
      </c>
      <c r="WHP1618" s="55">
        <f t="shared" si="796"/>
        <v>0</v>
      </c>
      <c r="WHQ1618" s="55">
        <f t="shared" si="796"/>
        <v>0</v>
      </c>
      <c r="WHR1618" s="55">
        <f t="shared" si="796"/>
        <v>0</v>
      </c>
      <c r="WHS1618" s="55">
        <f t="shared" si="796"/>
        <v>0</v>
      </c>
      <c r="WHT1618" s="55">
        <f t="shared" si="796"/>
        <v>0</v>
      </c>
      <c r="WHU1618" s="55">
        <f t="shared" si="796"/>
        <v>0</v>
      </c>
      <c r="WHV1618" s="55">
        <f t="shared" si="796"/>
        <v>0</v>
      </c>
      <c r="WHW1618" s="55">
        <f t="shared" si="796"/>
        <v>0</v>
      </c>
      <c r="WHX1618" s="55">
        <f t="shared" si="796"/>
        <v>0</v>
      </c>
      <c r="WHY1618" s="55">
        <f t="shared" si="796"/>
        <v>0</v>
      </c>
      <c r="WHZ1618" s="55">
        <f t="shared" si="796"/>
        <v>0</v>
      </c>
      <c r="WIA1618" s="55">
        <f t="shared" si="796"/>
        <v>0</v>
      </c>
      <c r="WIB1618" s="55">
        <f t="shared" si="796"/>
        <v>0</v>
      </c>
      <c r="WIC1618" s="55">
        <f t="shared" si="796"/>
        <v>0</v>
      </c>
      <c r="WID1618" s="55">
        <f t="shared" si="796"/>
        <v>0</v>
      </c>
      <c r="WIE1618" s="55">
        <f t="shared" si="796"/>
        <v>0</v>
      </c>
      <c r="WIF1618" s="55">
        <f t="shared" si="796"/>
        <v>0</v>
      </c>
      <c r="WIG1618" s="55">
        <f t="shared" si="796"/>
        <v>0</v>
      </c>
      <c r="WIH1618" s="55">
        <f t="shared" si="796"/>
        <v>0</v>
      </c>
      <c r="WII1618" s="55">
        <f t="shared" si="796"/>
        <v>0</v>
      </c>
      <c r="WIJ1618" s="55">
        <f t="shared" si="796"/>
        <v>0</v>
      </c>
      <c r="WIK1618" s="55">
        <f t="shared" si="796"/>
        <v>0</v>
      </c>
      <c r="WIL1618" s="55">
        <f t="shared" si="796"/>
        <v>0</v>
      </c>
      <c r="WIM1618" s="55">
        <f t="shared" si="796"/>
        <v>0</v>
      </c>
      <c r="WIN1618" s="55">
        <f t="shared" si="796"/>
        <v>0</v>
      </c>
      <c r="WIO1618" s="55">
        <f t="shared" si="796"/>
        <v>0</v>
      </c>
      <c r="WIP1618" s="55">
        <f t="shared" si="796"/>
        <v>0</v>
      </c>
      <c r="WIQ1618" s="55">
        <f t="shared" si="796"/>
        <v>0</v>
      </c>
      <c r="WIR1618" s="55">
        <f t="shared" si="796"/>
        <v>0</v>
      </c>
      <c r="WIS1618" s="55">
        <f t="shared" si="796"/>
        <v>0</v>
      </c>
      <c r="WIT1618" s="55">
        <f t="shared" si="796"/>
        <v>0</v>
      </c>
      <c r="WIU1618" s="55">
        <f t="shared" si="796"/>
        <v>0</v>
      </c>
      <c r="WIV1618" s="55">
        <f t="shared" si="796"/>
        <v>0</v>
      </c>
      <c r="WIW1618" s="55">
        <f t="shared" si="796"/>
        <v>0</v>
      </c>
      <c r="WIX1618" s="55">
        <f t="shared" si="796"/>
        <v>0</v>
      </c>
      <c r="WIY1618" s="55">
        <f t="shared" si="796"/>
        <v>0</v>
      </c>
      <c r="WIZ1618" s="55">
        <f t="shared" si="796"/>
        <v>0</v>
      </c>
      <c r="WJA1618" s="55">
        <f t="shared" si="796"/>
        <v>0</v>
      </c>
      <c r="WJB1618" s="55">
        <f t="shared" si="796"/>
        <v>0</v>
      </c>
      <c r="WJC1618" s="55">
        <f t="shared" si="796"/>
        <v>0</v>
      </c>
      <c r="WJD1618" s="55">
        <f t="shared" si="796"/>
        <v>0</v>
      </c>
      <c r="WJE1618" s="55">
        <f t="shared" si="796"/>
        <v>0</v>
      </c>
      <c r="WJF1618" s="55">
        <f t="shared" si="796"/>
        <v>0</v>
      </c>
      <c r="WJG1618" s="55">
        <f t="shared" si="796"/>
        <v>0</v>
      </c>
      <c r="WJH1618" s="55">
        <f t="shared" si="796"/>
        <v>0</v>
      </c>
      <c r="WJI1618" s="55">
        <f t="shared" si="796"/>
        <v>0</v>
      </c>
      <c r="WJJ1618" s="55">
        <f t="shared" si="796"/>
        <v>0</v>
      </c>
      <c r="WJK1618" s="55">
        <f t="shared" si="796"/>
        <v>0</v>
      </c>
      <c r="WJL1618" s="55">
        <f t="shared" ref="WJL1618:WLW1618" si="797">+(WJL1627+WJL1608)*1.18*1.1</f>
        <v>0</v>
      </c>
      <c r="WJM1618" s="55">
        <f t="shared" si="797"/>
        <v>0</v>
      </c>
      <c r="WJN1618" s="55">
        <f t="shared" si="797"/>
        <v>0</v>
      </c>
      <c r="WJO1618" s="55">
        <f t="shared" si="797"/>
        <v>0</v>
      </c>
      <c r="WJP1618" s="55">
        <f t="shared" si="797"/>
        <v>0</v>
      </c>
      <c r="WJQ1618" s="55">
        <f t="shared" si="797"/>
        <v>0</v>
      </c>
      <c r="WJR1618" s="55">
        <f t="shared" si="797"/>
        <v>0</v>
      </c>
      <c r="WJS1618" s="55">
        <f t="shared" si="797"/>
        <v>0</v>
      </c>
      <c r="WJT1618" s="55">
        <f t="shared" si="797"/>
        <v>0</v>
      </c>
      <c r="WJU1618" s="55">
        <f t="shared" si="797"/>
        <v>0</v>
      </c>
      <c r="WJV1618" s="55">
        <f t="shared" si="797"/>
        <v>0</v>
      </c>
      <c r="WJW1618" s="55">
        <f t="shared" si="797"/>
        <v>0</v>
      </c>
      <c r="WJX1618" s="55">
        <f t="shared" si="797"/>
        <v>0</v>
      </c>
      <c r="WJY1618" s="55">
        <f t="shared" si="797"/>
        <v>0</v>
      </c>
      <c r="WJZ1618" s="55">
        <f t="shared" si="797"/>
        <v>0</v>
      </c>
      <c r="WKA1618" s="55">
        <f t="shared" si="797"/>
        <v>0</v>
      </c>
      <c r="WKB1618" s="55">
        <f t="shared" si="797"/>
        <v>0</v>
      </c>
      <c r="WKC1618" s="55">
        <f t="shared" si="797"/>
        <v>0</v>
      </c>
      <c r="WKD1618" s="55">
        <f t="shared" si="797"/>
        <v>0</v>
      </c>
      <c r="WKE1618" s="55">
        <f t="shared" si="797"/>
        <v>0</v>
      </c>
      <c r="WKF1618" s="55">
        <f t="shared" si="797"/>
        <v>0</v>
      </c>
      <c r="WKG1618" s="55">
        <f t="shared" si="797"/>
        <v>0</v>
      </c>
      <c r="WKH1618" s="55">
        <f t="shared" si="797"/>
        <v>0</v>
      </c>
      <c r="WKI1618" s="55">
        <f t="shared" si="797"/>
        <v>0</v>
      </c>
      <c r="WKJ1618" s="55">
        <f t="shared" si="797"/>
        <v>0</v>
      </c>
      <c r="WKK1618" s="55">
        <f t="shared" si="797"/>
        <v>0</v>
      </c>
      <c r="WKL1618" s="55">
        <f t="shared" si="797"/>
        <v>0</v>
      </c>
      <c r="WKM1618" s="55">
        <f t="shared" si="797"/>
        <v>0</v>
      </c>
      <c r="WKN1618" s="55">
        <f t="shared" si="797"/>
        <v>0</v>
      </c>
      <c r="WKO1618" s="55">
        <f t="shared" si="797"/>
        <v>0</v>
      </c>
      <c r="WKP1618" s="55">
        <f t="shared" si="797"/>
        <v>0</v>
      </c>
      <c r="WKQ1618" s="55">
        <f t="shared" si="797"/>
        <v>0</v>
      </c>
      <c r="WKR1618" s="55">
        <f t="shared" si="797"/>
        <v>0</v>
      </c>
      <c r="WKS1618" s="55">
        <f t="shared" si="797"/>
        <v>0</v>
      </c>
      <c r="WKT1618" s="55">
        <f t="shared" si="797"/>
        <v>0</v>
      </c>
      <c r="WKU1618" s="55">
        <f t="shared" si="797"/>
        <v>0</v>
      </c>
      <c r="WKV1618" s="55">
        <f t="shared" si="797"/>
        <v>0</v>
      </c>
      <c r="WKW1618" s="55">
        <f t="shared" si="797"/>
        <v>0</v>
      </c>
      <c r="WKX1618" s="55">
        <f t="shared" si="797"/>
        <v>0</v>
      </c>
      <c r="WKY1618" s="55">
        <f t="shared" si="797"/>
        <v>0</v>
      </c>
      <c r="WKZ1618" s="55">
        <f t="shared" si="797"/>
        <v>0</v>
      </c>
      <c r="WLA1618" s="55">
        <f t="shared" si="797"/>
        <v>0</v>
      </c>
      <c r="WLB1618" s="55">
        <f t="shared" si="797"/>
        <v>0</v>
      </c>
      <c r="WLC1618" s="55">
        <f t="shared" si="797"/>
        <v>0</v>
      </c>
      <c r="WLD1618" s="55">
        <f t="shared" si="797"/>
        <v>0</v>
      </c>
      <c r="WLE1618" s="55">
        <f t="shared" si="797"/>
        <v>0</v>
      </c>
      <c r="WLF1618" s="55">
        <f t="shared" si="797"/>
        <v>0</v>
      </c>
      <c r="WLG1618" s="55">
        <f t="shared" si="797"/>
        <v>0</v>
      </c>
      <c r="WLH1618" s="55">
        <f t="shared" si="797"/>
        <v>0</v>
      </c>
      <c r="WLI1618" s="55">
        <f t="shared" si="797"/>
        <v>0</v>
      </c>
      <c r="WLJ1618" s="55">
        <f t="shared" si="797"/>
        <v>0</v>
      </c>
      <c r="WLK1618" s="55">
        <f t="shared" si="797"/>
        <v>0</v>
      </c>
      <c r="WLL1618" s="55">
        <f t="shared" si="797"/>
        <v>0</v>
      </c>
      <c r="WLM1618" s="55">
        <f t="shared" si="797"/>
        <v>0</v>
      </c>
      <c r="WLN1618" s="55">
        <f t="shared" si="797"/>
        <v>0</v>
      </c>
      <c r="WLO1618" s="55">
        <f t="shared" si="797"/>
        <v>0</v>
      </c>
      <c r="WLP1618" s="55">
        <f t="shared" si="797"/>
        <v>0</v>
      </c>
      <c r="WLQ1618" s="55">
        <f t="shared" si="797"/>
        <v>0</v>
      </c>
      <c r="WLR1618" s="55">
        <f t="shared" si="797"/>
        <v>0</v>
      </c>
      <c r="WLS1618" s="55">
        <f t="shared" si="797"/>
        <v>0</v>
      </c>
      <c r="WLT1618" s="55">
        <f t="shared" si="797"/>
        <v>0</v>
      </c>
      <c r="WLU1618" s="55">
        <f t="shared" si="797"/>
        <v>0</v>
      </c>
      <c r="WLV1618" s="55">
        <f t="shared" si="797"/>
        <v>0</v>
      </c>
      <c r="WLW1618" s="55">
        <f t="shared" si="797"/>
        <v>0</v>
      </c>
      <c r="WLX1618" s="55">
        <f t="shared" ref="WLX1618:WOI1618" si="798">+(WLX1627+WLX1608)*1.18*1.1</f>
        <v>0</v>
      </c>
      <c r="WLY1618" s="55">
        <f t="shared" si="798"/>
        <v>0</v>
      </c>
      <c r="WLZ1618" s="55">
        <f t="shared" si="798"/>
        <v>0</v>
      </c>
      <c r="WMA1618" s="55">
        <f t="shared" si="798"/>
        <v>0</v>
      </c>
      <c r="WMB1618" s="55">
        <f t="shared" si="798"/>
        <v>0</v>
      </c>
      <c r="WMC1618" s="55">
        <f t="shared" si="798"/>
        <v>0</v>
      </c>
      <c r="WMD1618" s="55">
        <f t="shared" si="798"/>
        <v>0</v>
      </c>
      <c r="WME1618" s="55">
        <f t="shared" si="798"/>
        <v>0</v>
      </c>
      <c r="WMF1618" s="55">
        <f t="shared" si="798"/>
        <v>0</v>
      </c>
      <c r="WMG1618" s="55">
        <f t="shared" si="798"/>
        <v>0</v>
      </c>
      <c r="WMH1618" s="55">
        <f t="shared" si="798"/>
        <v>0</v>
      </c>
      <c r="WMI1618" s="55">
        <f t="shared" si="798"/>
        <v>0</v>
      </c>
      <c r="WMJ1618" s="55">
        <f t="shared" si="798"/>
        <v>0</v>
      </c>
      <c r="WMK1618" s="55">
        <f t="shared" si="798"/>
        <v>0</v>
      </c>
      <c r="WML1618" s="55">
        <f t="shared" si="798"/>
        <v>0</v>
      </c>
      <c r="WMM1618" s="55">
        <f t="shared" si="798"/>
        <v>0</v>
      </c>
      <c r="WMN1618" s="55">
        <f t="shared" si="798"/>
        <v>0</v>
      </c>
      <c r="WMO1618" s="55">
        <f t="shared" si="798"/>
        <v>0</v>
      </c>
      <c r="WMP1618" s="55">
        <f t="shared" si="798"/>
        <v>0</v>
      </c>
      <c r="WMQ1618" s="55">
        <f t="shared" si="798"/>
        <v>0</v>
      </c>
      <c r="WMR1618" s="55">
        <f t="shared" si="798"/>
        <v>0</v>
      </c>
      <c r="WMS1618" s="55">
        <f t="shared" si="798"/>
        <v>0</v>
      </c>
      <c r="WMT1618" s="55">
        <f t="shared" si="798"/>
        <v>0</v>
      </c>
      <c r="WMU1618" s="55">
        <f t="shared" si="798"/>
        <v>0</v>
      </c>
      <c r="WMV1618" s="55">
        <f t="shared" si="798"/>
        <v>0</v>
      </c>
      <c r="WMW1618" s="55">
        <f t="shared" si="798"/>
        <v>0</v>
      </c>
      <c r="WMX1618" s="55">
        <f t="shared" si="798"/>
        <v>0</v>
      </c>
      <c r="WMY1618" s="55">
        <f t="shared" si="798"/>
        <v>0</v>
      </c>
      <c r="WMZ1618" s="55">
        <f t="shared" si="798"/>
        <v>0</v>
      </c>
      <c r="WNA1618" s="55">
        <f t="shared" si="798"/>
        <v>0</v>
      </c>
      <c r="WNB1618" s="55">
        <f t="shared" si="798"/>
        <v>0</v>
      </c>
      <c r="WNC1618" s="55">
        <f t="shared" si="798"/>
        <v>0</v>
      </c>
      <c r="WND1618" s="55">
        <f t="shared" si="798"/>
        <v>0</v>
      </c>
      <c r="WNE1618" s="55">
        <f t="shared" si="798"/>
        <v>0</v>
      </c>
      <c r="WNF1618" s="55">
        <f t="shared" si="798"/>
        <v>0</v>
      </c>
      <c r="WNG1618" s="55">
        <f t="shared" si="798"/>
        <v>0</v>
      </c>
      <c r="WNH1618" s="55">
        <f t="shared" si="798"/>
        <v>0</v>
      </c>
      <c r="WNI1618" s="55">
        <f t="shared" si="798"/>
        <v>0</v>
      </c>
      <c r="WNJ1618" s="55">
        <f t="shared" si="798"/>
        <v>0</v>
      </c>
      <c r="WNK1618" s="55">
        <f t="shared" si="798"/>
        <v>0</v>
      </c>
      <c r="WNL1618" s="55">
        <f t="shared" si="798"/>
        <v>0</v>
      </c>
      <c r="WNM1618" s="55">
        <f t="shared" si="798"/>
        <v>0</v>
      </c>
      <c r="WNN1618" s="55">
        <f t="shared" si="798"/>
        <v>0</v>
      </c>
      <c r="WNO1618" s="55">
        <f t="shared" si="798"/>
        <v>0</v>
      </c>
      <c r="WNP1618" s="55">
        <f t="shared" si="798"/>
        <v>0</v>
      </c>
      <c r="WNQ1618" s="55">
        <f t="shared" si="798"/>
        <v>0</v>
      </c>
      <c r="WNR1618" s="55">
        <f t="shared" si="798"/>
        <v>0</v>
      </c>
      <c r="WNS1618" s="55">
        <f t="shared" si="798"/>
        <v>0</v>
      </c>
      <c r="WNT1618" s="55">
        <f t="shared" si="798"/>
        <v>0</v>
      </c>
      <c r="WNU1618" s="55">
        <f t="shared" si="798"/>
        <v>0</v>
      </c>
      <c r="WNV1618" s="55">
        <f t="shared" si="798"/>
        <v>0</v>
      </c>
      <c r="WNW1618" s="55">
        <f t="shared" si="798"/>
        <v>0</v>
      </c>
      <c r="WNX1618" s="55">
        <f t="shared" si="798"/>
        <v>0</v>
      </c>
      <c r="WNY1618" s="55">
        <f t="shared" si="798"/>
        <v>0</v>
      </c>
      <c r="WNZ1618" s="55">
        <f t="shared" si="798"/>
        <v>0</v>
      </c>
      <c r="WOA1618" s="55">
        <f t="shared" si="798"/>
        <v>0</v>
      </c>
      <c r="WOB1618" s="55">
        <f t="shared" si="798"/>
        <v>0</v>
      </c>
      <c r="WOC1618" s="55">
        <f t="shared" si="798"/>
        <v>0</v>
      </c>
      <c r="WOD1618" s="55">
        <f t="shared" si="798"/>
        <v>0</v>
      </c>
      <c r="WOE1618" s="55">
        <f t="shared" si="798"/>
        <v>0</v>
      </c>
      <c r="WOF1618" s="55">
        <f t="shared" si="798"/>
        <v>0</v>
      </c>
      <c r="WOG1618" s="55">
        <f t="shared" si="798"/>
        <v>0</v>
      </c>
      <c r="WOH1618" s="55">
        <f t="shared" si="798"/>
        <v>0</v>
      </c>
      <c r="WOI1618" s="55">
        <f t="shared" si="798"/>
        <v>0</v>
      </c>
      <c r="WOJ1618" s="55">
        <f t="shared" ref="WOJ1618:WQU1618" si="799">+(WOJ1627+WOJ1608)*1.18*1.1</f>
        <v>0</v>
      </c>
      <c r="WOK1618" s="55">
        <f t="shared" si="799"/>
        <v>0</v>
      </c>
      <c r="WOL1618" s="55">
        <f t="shared" si="799"/>
        <v>0</v>
      </c>
      <c r="WOM1618" s="55">
        <f t="shared" si="799"/>
        <v>0</v>
      </c>
      <c r="WON1618" s="55">
        <f t="shared" si="799"/>
        <v>0</v>
      </c>
      <c r="WOO1618" s="55">
        <f t="shared" si="799"/>
        <v>0</v>
      </c>
      <c r="WOP1618" s="55">
        <f t="shared" si="799"/>
        <v>0</v>
      </c>
      <c r="WOQ1618" s="55">
        <f t="shared" si="799"/>
        <v>0</v>
      </c>
      <c r="WOR1618" s="55">
        <f t="shared" si="799"/>
        <v>0</v>
      </c>
      <c r="WOS1618" s="55">
        <f t="shared" si="799"/>
        <v>0</v>
      </c>
      <c r="WOT1618" s="55">
        <f t="shared" si="799"/>
        <v>0</v>
      </c>
      <c r="WOU1618" s="55">
        <f t="shared" si="799"/>
        <v>0</v>
      </c>
      <c r="WOV1618" s="55">
        <f t="shared" si="799"/>
        <v>0</v>
      </c>
      <c r="WOW1618" s="55">
        <f t="shared" si="799"/>
        <v>0</v>
      </c>
      <c r="WOX1618" s="55">
        <f t="shared" si="799"/>
        <v>0</v>
      </c>
      <c r="WOY1618" s="55">
        <f t="shared" si="799"/>
        <v>0</v>
      </c>
      <c r="WOZ1618" s="55">
        <f t="shared" si="799"/>
        <v>0</v>
      </c>
      <c r="WPA1618" s="55">
        <f t="shared" si="799"/>
        <v>0</v>
      </c>
      <c r="WPB1618" s="55">
        <f t="shared" si="799"/>
        <v>0</v>
      </c>
      <c r="WPC1618" s="55">
        <f t="shared" si="799"/>
        <v>0</v>
      </c>
      <c r="WPD1618" s="55">
        <f t="shared" si="799"/>
        <v>0</v>
      </c>
      <c r="WPE1618" s="55">
        <f t="shared" si="799"/>
        <v>0</v>
      </c>
      <c r="WPF1618" s="55">
        <f t="shared" si="799"/>
        <v>0</v>
      </c>
      <c r="WPG1618" s="55">
        <f t="shared" si="799"/>
        <v>0</v>
      </c>
      <c r="WPH1618" s="55">
        <f t="shared" si="799"/>
        <v>0</v>
      </c>
      <c r="WPI1618" s="55">
        <f t="shared" si="799"/>
        <v>0</v>
      </c>
      <c r="WPJ1618" s="55">
        <f t="shared" si="799"/>
        <v>0</v>
      </c>
      <c r="WPK1618" s="55">
        <f t="shared" si="799"/>
        <v>0</v>
      </c>
      <c r="WPL1618" s="55">
        <f t="shared" si="799"/>
        <v>0</v>
      </c>
      <c r="WPM1618" s="55">
        <f t="shared" si="799"/>
        <v>0</v>
      </c>
      <c r="WPN1618" s="55">
        <f t="shared" si="799"/>
        <v>0</v>
      </c>
      <c r="WPO1618" s="55">
        <f t="shared" si="799"/>
        <v>0</v>
      </c>
      <c r="WPP1618" s="55">
        <f t="shared" si="799"/>
        <v>0</v>
      </c>
      <c r="WPQ1618" s="55">
        <f t="shared" si="799"/>
        <v>0</v>
      </c>
      <c r="WPR1618" s="55">
        <f t="shared" si="799"/>
        <v>0</v>
      </c>
      <c r="WPS1618" s="55">
        <f t="shared" si="799"/>
        <v>0</v>
      </c>
      <c r="WPT1618" s="55">
        <f t="shared" si="799"/>
        <v>0</v>
      </c>
      <c r="WPU1618" s="55">
        <f t="shared" si="799"/>
        <v>0</v>
      </c>
      <c r="WPV1618" s="55">
        <f t="shared" si="799"/>
        <v>0</v>
      </c>
      <c r="WPW1618" s="55">
        <f t="shared" si="799"/>
        <v>0</v>
      </c>
      <c r="WPX1618" s="55">
        <f t="shared" si="799"/>
        <v>0</v>
      </c>
      <c r="WPY1618" s="55">
        <f t="shared" si="799"/>
        <v>0</v>
      </c>
      <c r="WPZ1618" s="55">
        <f t="shared" si="799"/>
        <v>0</v>
      </c>
      <c r="WQA1618" s="55">
        <f t="shared" si="799"/>
        <v>0</v>
      </c>
      <c r="WQB1618" s="55">
        <f t="shared" si="799"/>
        <v>0</v>
      </c>
      <c r="WQC1618" s="55">
        <f t="shared" si="799"/>
        <v>0</v>
      </c>
      <c r="WQD1618" s="55">
        <f t="shared" si="799"/>
        <v>0</v>
      </c>
      <c r="WQE1618" s="55">
        <f t="shared" si="799"/>
        <v>0</v>
      </c>
      <c r="WQF1618" s="55">
        <f t="shared" si="799"/>
        <v>0</v>
      </c>
      <c r="WQG1618" s="55">
        <f t="shared" si="799"/>
        <v>0</v>
      </c>
      <c r="WQH1618" s="55">
        <f t="shared" si="799"/>
        <v>0</v>
      </c>
      <c r="WQI1618" s="55">
        <f t="shared" si="799"/>
        <v>0</v>
      </c>
      <c r="WQJ1618" s="55">
        <f t="shared" si="799"/>
        <v>0</v>
      </c>
      <c r="WQK1618" s="55">
        <f t="shared" si="799"/>
        <v>0</v>
      </c>
      <c r="WQL1618" s="55">
        <f t="shared" si="799"/>
        <v>0</v>
      </c>
      <c r="WQM1618" s="55">
        <f t="shared" si="799"/>
        <v>0</v>
      </c>
      <c r="WQN1618" s="55">
        <f t="shared" si="799"/>
        <v>0</v>
      </c>
      <c r="WQO1618" s="55">
        <f t="shared" si="799"/>
        <v>0</v>
      </c>
      <c r="WQP1618" s="55">
        <f t="shared" si="799"/>
        <v>0</v>
      </c>
      <c r="WQQ1618" s="55">
        <f t="shared" si="799"/>
        <v>0</v>
      </c>
      <c r="WQR1618" s="55">
        <f t="shared" si="799"/>
        <v>0</v>
      </c>
      <c r="WQS1618" s="55">
        <f t="shared" si="799"/>
        <v>0</v>
      </c>
      <c r="WQT1618" s="55">
        <f t="shared" si="799"/>
        <v>0</v>
      </c>
      <c r="WQU1618" s="55">
        <f t="shared" si="799"/>
        <v>0</v>
      </c>
      <c r="WQV1618" s="55">
        <f t="shared" ref="WQV1618:WTG1618" si="800">+(WQV1627+WQV1608)*1.18*1.1</f>
        <v>0</v>
      </c>
      <c r="WQW1618" s="55">
        <f t="shared" si="800"/>
        <v>0</v>
      </c>
      <c r="WQX1618" s="55">
        <f t="shared" si="800"/>
        <v>0</v>
      </c>
      <c r="WQY1618" s="55">
        <f t="shared" si="800"/>
        <v>0</v>
      </c>
      <c r="WQZ1618" s="55">
        <f t="shared" si="800"/>
        <v>0</v>
      </c>
      <c r="WRA1618" s="55">
        <f t="shared" si="800"/>
        <v>0</v>
      </c>
      <c r="WRB1618" s="55">
        <f t="shared" si="800"/>
        <v>0</v>
      </c>
      <c r="WRC1618" s="55">
        <f t="shared" si="800"/>
        <v>0</v>
      </c>
      <c r="WRD1618" s="55">
        <f t="shared" si="800"/>
        <v>0</v>
      </c>
      <c r="WRE1618" s="55">
        <f t="shared" si="800"/>
        <v>0</v>
      </c>
      <c r="WRF1618" s="55">
        <f t="shared" si="800"/>
        <v>0</v>
      </c>
      <c r="WRG1618" s="55">
        <f t="shared" si="800"/>
        <v>0</v>
      </c>
      <c r="WRH1618" s="55">
        <f t="shared" si="800"/>
        <v>0</v>
      </c>
      <c r="WRI1618" s="55">
        <f t="shared" si="800"/>
        <v>0</v>
      </c>
      <c r="WRJ1618" s="55">
        <f t="shared" si="800"/>
        <v>0</v>
      </c>
      <c r="WRK1618" s="55">
        <f t="shared" si="800"/>
        <v>0</v>
      </c>
      <c r="WRL1618" s="55">
        <f t="shared" si="800"/>
        <v>0</v>
      </c>
      <c r="WRM1618" s="55">
        <f t="shared" si="800"/>
        <v>0</v>
      </c>
      <c r="WRN1618" s="55">
        <f t="shared" si="800"/>
        <v>0</v>
      </c>
      <c r="WRO1618" s="55">
        <f t="shared" si="800"/>
        <v>0</v>
      </c>
      <c r="WRP1618" s="55">
        <f t="shared" si="800"/>
        <v>0</v>
      </c>
      <c r="WRQ1618" s="55">
        <f t="shared" si="800"/>
        <v>0</v>
      </c>
      <c r="WRR1618" s="55">
        <f t="shared" si="800"/>
        <v>0</v>
      </c>
      <c r="WRS1618" s="55">
        <f t="shared" si="800"/>
        <v>0</v>
      </c>
      <c r="WRT1618" s="55">
        <f t="shared" si="800"/>
        <v>0</v>
      </c>
      <c r="WRU1618" s="55">
        <f t="shared" si="800"/>
        <v>0</v>
      </c>
      <c r="WRV1618" s="55">
        <f t="shared" si="800"/>
        <v>0</v>
      </c>
      <c r="WRW1618" s="55">
        <f t="shared" si="800"/>
        <v>0</v>
      </c>
      <c r="WRX1618" s="55">
        <f t="shared" si="800"/>
        <v>0</v>
      </c>
      <c r="WRY1618" s="55">
        <f t="shared" si="800"/>
        <v>0</v>
      </c>
      <c r="WRZ1618" s="55">
        <f t="shared" si="800"/>
        <v>0</v>
      </c>
      <c r="WSA1618" s="55">
        <f t="shared" si="800"/>
        <v>0</v>
      </c>
      <c r="WSB1618" s="55">
        <f t="shared" si="800"/>
        <v>0</v>
      </c>
      <c r="WSC1618" s="55">
        <f t="shared" si="800"/>
        <v>0</v>
      </c>
      <c r="WSD1618" s="55">
        <f t="shared" si="800"/>
        <v>0</v>
      </c>
      <c r="WSE1618" s="55">
        <f t="shared" si="800"/>
        <v>0</v>
      </c>
      <c r="WSF1618" s="55">
        <f t="shared" si="800"/>
        <v>0</v>
      </c>
      <c r="WSG1618" s="55">
        <f t="shared" si="800"/>
        <v>0</v>
      </c>
      <c r="WSH1618" s="55">
        <f t="shared" si="800"/>
        <v>0</v>
      </c>
      <c r="WSI1618" s="55">
        <f t="shared" si="800"/>
        <v>0</v>
      </c>
      <c r="WSJ1618" s="55">
        <f t="shared" si="800"/>
        <v>0</v>
      </c>
      <c r="WSK1618" s="55">
        <f t="shared" si="800"/>
        <v>0</v>
      </c>
      <c r="WSL1618" s="55">
        <f t="shared" si="800"/>
        <v>0</v>
      </c>
      <c r="WSM1618" s="55">
        <f t="shared" si="800"/>
        <v>0</v>
      </c>
      <c r="WSN1618" s="55">
        <f t="shared" si="800"/>
        <v>0</v>
      </c>
      <c r="WSO1618" s="55">
        <f t="shared" si="800"/>
        <v>0</v>
      </c>
      <c r="WSP1618" s="55">
        <f t="shared" si="800"/>
        <v>0</v>
      </c>
      <c r="WSQ1618" s="55">
        <f t="shared" si="800"/>
        <v>0</v>
      </c>
      <c r="WSR1618" s="55">
        <f t="shared" si="800"/>
        <v>0</v>
      </c>
      <c r="WSS1618" s="55">
        <f t="shared" si="800"/>
        <v>0</v>
      </c>
      <c r="WST1618" s="55">
        <f t="shared" si="800"/>
        <v>0</v>
      </c>
      <c r="WSU1618" s="55">
        <f t="shared" si="800"/>
        <v>0</v>
      </c>
      <c r="WSV1618" s="55">
        <f t="shared" si="800"/>
        <v>0</v>
      </c>
      <c r="WSW1618" s="55">
        <f t="shared" si="800"/>
        <v>0</v>
      </c>
      <c r="WSX1618" s="55">
        <f t="shared" si="800"/>
        <v>0</v>
      </c>
      <c r="WSY1618" s="55">
        <f t="shared" si="800"/>
        <v>0</v>
      </c>
      <c r="WSZ1618" s="55">
        <f t="shared" si="800"/>
        <v>0</v>
      </c>
      <c r="WTA1618" s="55">
        <f t="shared" si="800"/>
        <v>0</v>
      </c>
      <c r="WTB1618" s="55">
        <f t="shared" si="800"/>
        <v>0</v>
      </c>
      <c r="WTC1618" s="55">
        <f t="shared" si="800"/>
        <v>0</v>
      </c>
      <c r="WTD1618" s="55">
        <f t="shared" si="800"/>
        <v>0</v>
      </c>
      <c r="WTE1618" s="55">
        <f t="shared" si="800"/>
        <v>0</v>
      </c>
      <c r="WTF1618" s="55">
        <f t="shared" si="800"/>
        <v>0</v>
      </c>
      <c r="WTG1618" s="55">
        <f t="shared" si="800"/>
        <v>0</v>
      </c>
      <c r="WTH1618" s="55">
        <f t="shared" ref="WTH1618:WVS1618" si="801">+(WTH1627+WTH1608)*1.18*1.1</f>
        <v>0</v>
      </c>
      <c r="WTI1618" s="55">
        <f t="shared" si="801"/>
        <v>0</v>
      </c>
      <c r="WTJ1618" s="55">
        <f t="shared" si="801"/>
        <v>0</v>
      </c>
      <c r="WTK1618" s="55">
        <f t="shared" si="801"/>
        <v>0</v>
      </c>
      <c r="WTL1618" s="55">
        <f t="shared" si="801"/>
        <v>0</v>
      </c>
      <c r="WTM1618" s="55">
        <f t="shared" si="801"/>
        <v>0</v>
      </c>
      <c r="WTN1618" s="55">
        <f t="shared" si="801"/>
        <v>0</v>
      </c>
      <c r="WTO1618" s="55">
        <f t="shared" si="801"/>
        <v>0</v>
      </c>
      <c r="WTP1618" s="55">
        <f t="shared" si="801"/>
        <v>0</v>
      </c>
      <c r="WTQ1618" s="55">
        <f t="shared" si="801"/>
        <v>0</v>
      </c>
      <c r="WTR1618" s="55">
        <f t="shared" si="801"/>
        <v>0</v>
      </c>
      <c r="WTS1618" s="55">
        <f t="shared" si="801"/>
        <v>0</v>
      </c>
      <c r="WTT1618" s="55">
        <f t="shared" si="801"/>
        <v>0</v>
      </c>
      <c r="WTU1618" s="55">
        <f t="shared" si="801"/>
        <v>0</v>
      </c>
      <c r="WTV1618" s="55">
        <f t="shared" si="801"/>
        <v>0</v>
      </c>
      <c r="WTW1618" s="55">
        <f t="shared" si="801"/>
        <v>0</v>
      </c>
      <c r="WTX1618" s="55">
        <f t="shared" si="801"/>
        <v>0</v>
      </c>
      <c r="WTY1618" s="55">
        <f t="shared" si="801"/>
        <v>0</v>
      </c>
      <c r="WTZ1618" s="55">
        <f t="shared" si="801"/>
        <v>0</v>
      </c>
      <c r="WUA1618" s="55">
        <f t="shared" si="801"/>
        <v>0</v>
      </c>
      <c r="WUB1618" s="55">
        <f t="shared" si="801"/>
        <v>0</v>
      </c>
      <c r="WUC1618" s="55">
        <f t="shared" si="801"/>
        <v>0</v>
      </c>
      <c r="WUD1618" s="55">
        <f t="shared" si="801"/>
        <v>0</v>
      </c>
      <c r="WUE1618" s="55">
        <f t="shared" si="801"/>
        <v>0</v>
      </c>
      <c r="WUF1618" s="55">
        <f t="shared" si="801"/>
        <v>0</v>
      </c>
      <c r="WUG1618" s="55">
        <f t="shared" si="801"/>
        <v>0</v>
      </c>
      <c r="WUH1618" s="55">
        <f t="shared" si="801"/>
        <v>0</v>
      </c>
      <c r="WUI1618" s="55">
        <f t="shared" si="801"/>
        <v>0</v>
      </c>
      <c r="WUJ1618" s="55">
        <f t="shared" si="801"/>
        <v>0</v>
      </c>
      <c r="WUK1618" s="55">
        <f t="shared" si="801"/>
        <v>0</v>
      </c>
      <c r="WUL1618" s="55">
        <f t="shared" si="801"/>
        <v>0</v>
      </c>
      <c r="WUM1618" s="55">
        <f t="shared" si="801"/>
        <v>0</v>
      </c>
      <c r="WUN1618" s="55">
        <f t="shared" si="801"/>
        <v>0</v>
      </c>
      <c r="WUO1618" s="55">
        <f t="shared" si="801"/>
        <v>0</v>
      </c>
      <c r="WUP1618" s="55">
        <f t="shared" si="801"/>
        <v>0</v>
      </c>
      <c r="WUQ1618" s="55">
        <f t="shared" si="801"/>
        <v>0</v>
      </c>
      <c r="WUR1618" s="55">
        <f t="shared" si="801"/>
        <v>0</v>
      </c>
      <c r="WUS1618" s="55">
        <f t="shared" si="801"/>
        <v>0</v>
      </c>
      <c r="WUT1618" s="55">
        <f t="shared" si="801"/>
        <v>0</v>
      </c>
      <c r="WUU1618" s="55">
        <f t="shared" si="801"/>
        <v>0</v>
      </c>
      <c r="WUV1618" s="55">
        <f t="shared" si="801"/>
        <v>0</v>
      </c>
      <c r="WUW1618" s="55">
        <f t="shared" si="801"/>
        <v>0</v>
      </c>
      <c r="WUX1618" s="55">
        <f t="shared" si="801"/>
        <v>0</v>
      </c>
      <c r="WUY1618" s="55">
        <f t="shared" si="801"/>
        <v>0</v>
      </c>
      <c r="WUZ1618" s="55">
        <f t="shared" si="801"/>
        <v>0</v>
      </c>
      <c r="WVA1618" s="55">
        <f t="shared" si="801"/>
        <v>0</v>
      </c>
      <c r="WVB1618" s="55">
        <f t="shared" si="801"/>
        <v>0</v>
      </c>
      <c r="WVC1618" s="55">
        <f t="shared" si="801"/>
        <v>0</v>
      </c>
      <c r="WVD1618" s="55">
        <f t="shared" si="801"/>
        <v>0</v>
      </c>
      <c r="WVE1618" s="55">
        <f t="shared" si="801"/>
        <v>0</v>
      </c>
      <c r="WVF1618" s="55">
        <f t="shared" si="801"/>
        <v>0</v>
      </c>
      <c r="WVG1618" s="55">
        <f t="shared" si="801"/>
        <v>0</v>
      </c>
      <c r="WVH1618" s="55">
        <f t="shared" si="801"/>
        <v>0</v>
      </c>
      <c r="WVI1618" s="55">
        <f t="shared" si="801"/>
        <v>0</v>
      </c>
      <c r="WVJ1618" s="55">
        <f t="shared" si="801"/>
        <v>0</v>
      </c>
      <c r="WVK1618" s="55">
        <f t="shared" si="801"/>
        <v>0</v>
      </c>
      <c r="WVL1618" s="55">
        <f t="shared" si="801"/>
        <v>0</v>
      </c>
      <c r="WVM1618" s="55">
        <f t="shared" si="801"/>
        <v>0</v>
      </c>
      <c r="WVN1618" s="55">
        <f t="shared" si="801"/>
        <v>0</v>
      </c>
      <c r="WVO1618" s="55">
        <f t="shared" si="801"/>
        <v>0</v>
      </c>
      <c r="WVP1618" s="55">
        <f t="shared" si="801"/>
        <v>0</v>
      </c>
      <c r="WVQ1618" s="55">
        <f t="shared" si="801"/>
        <v>0</v>
      </c>
      <c r="WVR1618" s="55">
        <f t="shared" si="801"/>
        <v>0</v>
      </c>
      <c r="WVS1618" s="55">
        <f t="shared" si="801"/>
        <v>0</v>
      </c>
      <c r="WVT1618" s="55">
        <f t="shared" ref="WVT1618:WYE1618" si="802">+(WVT1627+WVT1608)*1.18*1.1</f>
        <v>0</v>
      </c>
      <c r="WVU1618" s="55">
        <f t="shared" si="802"/>
        <v>0</v>
      </c>
      <c r="WVV1618" s="55">
        <f t="shared" si="802"/>
        <v>0</v>
      </c>
      <c r="WVW1618" s="55">
        <f t="shared" si="802"/>
        <v>0</v>
      </c>
      <c r="WVX1618" s="55">
        <f t="shared" si="802"/>
        <v>0</v>
      </c>
      <c r="WVY1618" s="55">
        <f t="shared" si="802"/>
        <v>0</v>
      </c>
      <c r="WVZ1618" s="55">
        <f t="shared" si="802"/>
        <v>0</v>
      </c>
      <c r="WWA1618" s="55">
        <f t="shared" si="802"/>
        <v>0</v>
      </c>
      <c r="WWB1618" s="55">
        <f t="shared" si="802"/>
        <v>0</v>
      </c>
      <c r="WWC1618" s="55">
        <f t="shared" si="802"/>
        <v>0</v>
      </c>
      <c r="WWD1618" s="55">
        <f t="shared" si="802"/>
        <v>0</v>
      </c>
      <c r="WWE1618" s="55">
        <f t="shared" si="802"/>
        <v>0</v>
      </c>
      <c r="WWF1618" s="55">
        <f t="shared" si="802"/>
        <v>0</v>
      </c>
      <c r="WWG1618" s="55">
        <f t="shared" si="802"/>
        <v>0</v>
      </c>
      <c r="WWH1618" s="55">
        <f t="shared" si="802"/>
        <v>0</v>
      </c>
      <c r="WWI1618" s="55">
        <f t="shared" si="802"/>
        <v>0</v>
      </c>
      <c r="WWJ1618" s="55">
        <f t="shared" si="802"/>
        <v>0</v>
      </c>
      <c r="WWK1618" s="55">
        <f t="shared" si="802"/>
        <v>0</v>
      </c>
      <c r="WWL1618" s="55">
        <f t="shared" si="802"/>
        <v>0</v>
      </c>
      <c r="WWM1618" s="55">
        <f t="shared" si="802"/>
        <v>0</v>
      </c>
      <c r="WWN1618" s="55">
        <f t="shared" si="802"/>
        <v>0</v>
      </c>
      <c r="WWO1618" s="55">
        <f t="shared" si="802"/>
        <v>0</v>
      </c>
      <c r="WWP1618" s="55">
        <f t="shared" si="802"/>
        <v>0</v>
      </c>
      <c r="WWQ1618" s="55">
        <f t="shared" si="802"/>
        <v>0</v>
      </c>
      <c r="WWR1618" s="55">
        <f t="shared" si="802"/>
        <v>0</v>
      </c>
      <c r="WWS1618" s="55">
        <f t="shared" si="802"/>
        <v>0</v>
      </c>
      <c r="WWT1618" s="55">
        <f t="shared" si="802"/>
        <v>0</v>
      </c>
      <c r="WWU1618" s="55">
        <f t="shared" si="802"/>
        <v>0</v>
      </c>
      <c r="WWV1618" s="55">
        <f t="shared" si="802"/>
        <v>0</v>
      </c>
      <c r="WWW1618" s="55">
        <f t="shared" si="802"/>
        <v>0</v>
      </c>
      <c r="WWX1618" s="55">
        <f t="shared" si="802"/>
        <v>0</v>
      </c>
      <c r="WWY1618" s="55">
        <f t="shared" si="802"/>
        <v>0</v>
      </c>
      <c r="WWZ1618" s="55">
        <f t="shared" si="802"/>
        <v>0</v>
      </c>
      <c r="WXA1618" s="55">
        <f t="shared" si="802"/>
        <v>0</v>
      </c>
      <c r="WXB1618" s="55">
        <f t="shared" si="802"/>
        <v>0</v>
      </c>
      <c r="WXC1618" s="55">
        <f t="shared" si="802"/>
        <v>0</v>
      </c>
      <c r="WXD1618" s="55">
        <f t="shared" si="802"/>
        <v>0</v>
      </c>
      <c r="WXE1618" s="55">
        <f t="shared" si="802"/>
        <v>0</v>
      </c>
      <c r="WXF1618" s="55">
        <f t="shared" si="802"/>
        <v>0</v>
      </c>
      <c r="WXG1618" s="55">
        <f t="shared" si="802"/>
        <v>0</v>
      </c>
      <c r="WXH1618" s="55">
        <f t="shared" si="802"/>
        <v>0</v>
      </c>
      <c r="WXI1618" s="55">
        <f t="shared" si="802"/>
        <v>0</v>
      </c>
      <c r="WXJ1618" s="55">
        <f t="shared" si="802"/>
        <v>0</v>
      </c>
      <c r="WXK1618" s="55">
        <f t="shared" si="802"/>
        <v>0</v>
      </c>
      <c r="WXL1618" s="55">
        <f t="shared" si="802"/>
        <v>0</v>
      </c>
      <c r="WXM1618" s="55">
        <f t="shared" si="802"/>
        <v>0</v>
      </c>
      <c r="WXN1618" s="55">
        <f t="shared" si="802"/>
        <v>0</v>
      </c>
      <c r="WXO1618" s="55">
        <f t="shared" si="802"/>
        <v>0</v>
      </c>
      <c r="WXP1618" s="55">
        <f t="shared" si="802"/>
        <v>0</v>
      </c>
      <c r="WXQ1618" s="55">
        <f t="shared" si="802"/>
        <v>0</v>
      </c>
      <c r="WXR1618" s="55">
        <f t="shared" si="802"/>
        <v>0</v>
      </c>
      <c r="WXS1618" s="55">
        <f t="shared" si="802"/>
        <v>0</v>
      </c>
      <c r="WXT1618" s="55">
        <f t="shared" si="802"/>
        <v>0</v>
      </c>
      <c r="WXU1618" s="55">
        <f t="shared" si="802"/>
        <v>0</v>
      </c>
      <c r="WXV1618" s="55">
        <f t="shared" si="802"/>
        <v>0</v>
      </c>
      <c r="WXW1618" s="55">
        <f t="shared" si="802"/>
        <v>0</v>
      </c>
      <c r="WXX1618" s="55">
        <f t="shared" si="802"/>
        <v>0</v>
      </c>
      <c r="WXY1618" s="55">
        <f t="shared" si="802"/>
        <v>0</v>
      </c>
      <c r="WXZ1618" s="55">
        <f t="shared" si="802"/>
        <v>0</v>
      </c>
      <c r="WYA1618" s="55">
        <f t="shared" si="802"/>
        <v>0</v>
      </c>
      <c r="WYB1618" s="55">
        <f t="shared" si="802"/>
        <v>0</v>
      </c>
      <c r="WYC1618" s="55">
        <f t="shared" si="802"/>
        <v>0</v>
      </c>
      <c r="WYD1618" s="55">
        <f t="shared" si="802"/>
        <v>0</v>
      </c>
      <c r="WYE1618" s="55">
        <f t="shared" si="802"/>
        <v>0</v>
      </c>
      <c r="WYF1618" s="55">
        <f t="shared" ref="WYF1618:XAQ1618" si="803">+(WYF1627+WYF1608)*1.18*1.1</f>
        <v>0</v>
      </c>
      <c r="WYG1618" s="55">
        <f t="shared" si="803"/>
        <v>0</v>
      </c>
      <c r="WYH1618" s="55">
        <f t="shared" si="803"/>
        <v>0</v>
      </c>
      <c r="WYI1618" s="55">
        <f t="shared" si="803"/>
        <v>0</v>
      </c>
      <c r="WYJ1618" s="55">
        <f t="shared" si="803"/>
        <v>0</v>
      </c>
      <c r="WYK1618" s="55">
        <f t="shared" si="803"/>
        <v>0</v>
      </c>
      <c r="WYL1618" s="55">
        <f t="shared" si="803"/>
        <v>0</v>
      </c>
      <c r="WYM1618" s="55">
        <f t="shared" si="803"/>
        <v>0</v>
      </c>
      <c r="WYN1618" s="55">
        <f t="shared" si="803"/>
        <v>0</v>
      </c>
      <c r="WYO1618" s="55">
        <f t="shared" si="803"/>
        <v>0</v>
      </c>
      <c r="WYP1618" s="55">
        <f t="shared" si="803"/>
        <v>0</v>
      </c>
      <c r="WYQ1618" s="55">
        <f t="shared" si="803"/>
        <v>0</v>
      </c>
      <c r="WYR1618" s="55">
        <f t="shared" si="803"/>
        <v>0</v>
      </c>
      <c r="WYS1618" s="55">
        <f t="shared" si="803"/>
        <v>0</v>
      </c>
      <c r="WYT1618" s="55">
        <f t="shared" si="803"/>
        <v>0</v>
      </c>
      <c r="WYU1618" s="55">
        <f t="shared" si="803"/>
        <v>0</v>
      </c>
      <c r="WYV1618" s="55">
        <f t="shared" si="803"/>
        <v>0</v>
      </c>
      <c r="WYW1618" s="55">
        <f t="shared" si="803"/>
        <v>0</v>
      </c>
      <c r="WYX1618" s="55">
        <f t="shared" si="803"/>
        <v>0</v>
      </c>
      <c r="WYY1618" s="55">
        <f t="shared" si="803"/>
        <v>0</v>
      </c>
      <c r="WYZ1618" s="55">
        <f t="shared" si="803"/>
        <v>0</v>
      </c>
      <c r="WZA1618" s="55">
        <f t="shared" si="803"/>
        <v>0</v>
      </c>
      <c r="WZB1618" s="55">
        <f t="shared" si="803"/>
        <v>0</v>
      </c>
      <c r="WZC1618" s="55">
        <f t="shared" si="803"/>
        <v>0</v>
      </c>
      <c r="WZD1618" s="55">
        <f t="shared" si="803"/>
        <v>0</v>
      </c>
      <c r="WZE1618" s="55">
        <f t="shared" si="803"/>
        <v>0</v>
      </c>
      <c r="WZF1618" s="55">
        <f t="shared" si="803"/>
        <v>0</v>
      </c>
      <c r="WZG1618" s="55">
        <f t="shared" si="803"/>
        <v>0</v>
      </c>
      <c r="WZH1618" s="55">
        <f t="shared" si="803"/>
        <v>0</v>
      </c>
      <c r="WZI1618" s="55">
        <f t="shared" si="803"/>
        <v>0</v>
      </c>
      <c r="WZJ1618" s="55">
        <f t="shared" si="803"/>
        <v>0</v>
      </c>
      <c r="WZK1618" s="55">
        <f t="shared" si="803"/>
        <v>0</v>
      </c>
      <c r="WZL1618" s="55">
        <f t="shared" si="803"/>
        <v>0</v>
      </c>
      <c r="WZM1618" s="55">
        <f t="shared" si="803"/>
        <v>0</v>
      </c>
      <c r="WZN1618" s="55">
        <f t="shared" si="803"/>
        <v>0</v>
      </c>
      <c r="WZO1618" s="55">
        <f t="shared" si="803"/>
        <v>0</v>
      </c>
      <c r="WZP1618" s="55">
        <f t="shared" si="803"/>
        <v>0</v>
      </c>
      <c r="WZQ1618" s="55">
        <f t="shared" si="803"/>
        <v>0</v>
      </c>
      <c r="WZR1618" s="55">
        <f t="shared" si="803"/>
        <v>0</v>
      </c>
      <c r="WZS1618" s="55">
        <f t="shared" si="803"/>
        <v>0</v>
      </c>
      <c r="WZT1618" s="55">
        <f t="shared" si="803"/>
        <v>0</v>
      </c>
      <c r="WZU1618" s="55">
        <f t="shared" si="803"/>
        <v>0</v>
      </c>
      <c r="WZV1618" s="55">
        <f t="shared" si="803"/>
        <v>0</v>
      </c>
      <c r="WZW1618" s="55">
        <f t="shared" si="803"/>
        <v>0</v>
      </c>
      <c r="WZX1618" s="55">
        <f t="shared" si="803"/>
        <v>0</v>
      </c>
      <c r="WZY1618" s="55">
        <f t="shared" si="803"/>
        <v>0</v>
      </c>
      <c r="WZZ1618" s="55">
        <f t="shared" si="803"/>
        <v>0</v>
      </c>
      <c r="XAA1618" s="55">
        <f t="shared" si="803"/>
        <v>0</v>
      </c>
      <c r="XAB1618" s="55">
        <f t="shared" si="803"/>
        <v>0</v>
      </c>
      <c r="XAC1618" s="55">
        <f t="shared" si="803"/>
        <v>0</v>
      </c>
      <c r="XAD1618" s="55">
        <f t="shared" si="803"/>
        <v>0</v>
      </c>
      <c r="XAE1618" s="55">
        <f t="shared" si="803"/>
        <v>0</v>
      </c>
      <c r="XAF1618" s="55">
        <f t="shared" si="803"/>
        <v>0</v>
      </c>
      <c r="XAG1618" s="55">
        <f t="shared" si="803"/>
        <v>0</v>
      </c>
      <c r="XAH1618" s="55">
        <f t="shared" si="803"/>
        <v>0</v>
      </c>
      <c r="XAI1618" s="55">
        <f t="shared" si="803"/>
        <v>0</v>
      </c>
      <c r="XAJ1618" s="55">
        <f t="shared" si="803"/>
        <v>0</v>
      </c>
      <c r="XAK1618" s="55">
        <f t="shared" si="803"/>
        <v>0</v>
      </c>
      <c r="XAL1618" s="55">
        <f t="shared" si="803"/>
        <v>0</v>
      </c>
      <c r="XAM1618" s="55">
        <f t="shared" si="803"/>
        <v>0</v>
      </c>
      <c r="XAN1618" s="55">
        <f t="shared" si="803"/>
        <v>0</v>
      </c>
      <c r="XAO1618" s="55">
        <f t="shared" si="803"/>
        <v>0</v>
      </c>
      <c r="XAP1618" s="55">
        <f t="shared" si="803"/>
        <v>0</v>
      </c>
      <c r="XAQ1618" s="55">
        <f t="shared" si="803"/>
        <v>0</v>
      </c>
      <c r="XAR1618" s="55">
        <f t="shared" ref="XAR1618:XDC1618" si="804">+(XAR1627+XAR1608)*1.18*1.1</f>
        <v>0</v>
      </c>
      <c r="XAS1618" s="55">
        <f t="shared" si="804"/>
        <v>0</v>
      </c>
      <c r="XAT1618" s="55">
        <f t="shared" si="804"/>
        <v>0</v>
      </c>
      <c r="XAU1618" s="55">
        <f t="shared" si="804"/>
        <v>0</v>
      </c>
      <c r="XAV1618" s="55">
        <f t="shared" si="804"/>
        <v>0</v>
      </c>
      <c r="XAW1618" s="55">
        <f t="shared" si="804"/>
        <v>0</v>
      </c>
      <c r="XAX1618" s="55">
        <f t="shared" si="804"/>
        <v>0</v>
      </c>
      <c r="XAY1618" s="55">
        <f t="shared" si="804"/>
        <v>0</v>
      </c>
      <c r="XAZ1618" s="55">
        <f t="shared" si="804"/>
        <v>0</v>
      </c>
      <c r="XBA1618" s="55">
        <f t="shared" si="804"/>
        <v>0</v>
      </c>
      <c r="XBB1618" s="55">
        <f t="shared" si="804"/>
        <v>0</v>
      </c>
      <c r="XBC1618" s="55">
        <f t="shared" si="804"/>
        <v>0</v>
      </c>
      <c r="XBD1618" s="55">
        <f t="shared" si="804"/>
        <v>0</v>
      </c>
      <c r="XBE1618" s="55">
        <f t="shared" si="804"/>
        <v>0</v>
      </c>
      <c r="XBF1618" s="55">
        <f t="shared" si="804"/>
        <v>0</v>
      </c>
      <c r="XBG1618" s="55">
        <f t="shared" si="804"/>
        <v>0</v>
      </c>
      <c r="XBH1618" s="55">
        <f t="shared" si="804"/>
        <v>0</v>
      </c>
      <c r="XBI1618" s="55">
        <f t="shared" si="804"/>
        <v>0</v>
      </c>
      <c r="XBJ1618" s="55">
        <f t="shared" si="804"/>
        <v>0</v>
      </c>
      <c r="XBK1618" s="55">
        <f t="shared" si="804"/>
        <v>0</v>
      </c>
      <c r="XBL1618" s="55">
        <f t="shared" si="804"/>
        <v>0</v>
      </c>
      <c r="XBM1618" s="55">
        <f t="shared" si="804"/>
        <v>0</v>
      </c>
      <c r="XBN1618" s="55">
        <f t="shared" si="804"/>
        <v>0</v>
      </c>
      <c r="XBO1618" s="55">
        <f t="shared" si="804"/>
        <v>0</v>
      </c>
      <c r="XBP1618" s="55">
        <f t="shared" si="804"/>
        <v>0</v>
      </c>
      <c r="XBQ1618" s="55">
        <f t="shared" si="804"/>
        <v>0</v>
      </c>
      <c r="XBR1618" s="55">
        <f t="shared" si="804"/>
        <v>0</v>
      </c>
      <c r="XBS1618" s="55">
        <f t="shared" si="804"/>
        <v>0</v>
      </c>
      <c r="XBT1618" s="55">
        <f t="shared" si="804"/>
        <v>0</v>
      </c>
      <c r="XBU1618" s="55">
        <f t="shared" si="804"/>
        <v>0</v>
      </c>
      <c r="XBV1618" s="55">
        <f t="shared" si="804"/>
        <v>0</v>
      </c>
      <c r="XBW1618" s="55">
        <f t="shared" si="804"/>
        <v>0</v>
      </c>
      <c r="XBX1618" s="55">
        <f t="shared" si="804"/>
        <v>0</v>
      </c>
      <c r="XBY1618" s="55">
        <f t="shared" si="804"/>
        <v>0</v>
      </c>
      <c r="XBZ1618" s="55">
        <f t="shared" si="804"/>
        <v>0</v>
      </c>
      <c r="XCA1618" s="55">
        <f t="shared" si="804"/>
        <v>0</v>
      </c>
      <c r="XCB1618" s="55">
        <f t="shared" si="804"/>
        <v>0</v>
      </c>
      <c r="XCC1618" s="55">
        <f t="shared" si="804"/>
        <v>0</v>
      </c>
      <c r="XCD1618" s="55">
        <f t="shared" si="804"/>
        <v>0</v>
      </c>
      <c r="XCE1618" s="55">
        <f t="shared" si="804"/>
        <v>0</v>
      </c>
      <c r="XCF1618" s="55">
        <f t="shared" si="804"/>
        <v>0</v>
      </c>
      <c r="XCG1618" s="55">
        <f t="shared" si="804"/>
        <v>0</v>
      </c>
      <c r="XCH1618" s="55">
        <f t="shared" si="804"/>
        <v>0</v>
      </c>
      <c r="XCI1618" s="55">
        <f t="shared" si="804"/>
        <v>0</v>
      </c>
      <c r="XCJ1618" s="55">
        <f t="shared" si="804"/>
        <v>0</v>
      </c>
      <c r="XCK1618" s="55">
        <f t="shared" si="804"/>
        <v>0</v>
      </c>
      <c r="XCL1618" s="55">
        <f t="shared" si="804"/>
        <v>0</v>
      </c>
      <c r="XCM1618" s="55">
        <f t="shared" si="804"/>
        <v>0</v>
      </c>
      <c r="XCN1618" s="55">
        <f t="shared" si="804"/>
        <v>0</v>
      </c>
      <c r="XCO1618" s="55">
        <f t="shared" si="804"/>
        <v>0</v>
      </c>
      <c r="XCP1618" s="55">
        <f t="shared" si="804"/>
        <v>0</v>
      </c>
      <c r="XCQ1618" s="55">
        <f t="shared" si="804"/>
        <v>0</v>
      </c>
      <c r="XCR1618" s="55">
        <f t="shared" si="804"/>
        <v>0</v>
      </c>
      <c r="XCS1618" s="55">
        <f t="shared" si="804"/>
        <v>0</v>
      </c>
      <c r="XCT1618" s="55">
        <f t="shared" si="804"/>
        <v>0</v>
      </c>
      <c r="XCU1618" s="55">
        <f t="shared" si="804"/>
        <v>0</v>
      </c>
      <c r="XCV1618" s="55">
        <f t="shared" si="804"/>
        <v>0</v>
      </c>
      <c r="XCW1618" s="55">
        <f t="shared" si="804"/>
        <v>0</v>
      </c>
      <c r="XCX1618" s="55">
        <f t="shared" si="804"/>
        <v>0</v>
      </c>
      <c r="XCY1618" s="55">
        <f t="shared" si="804"/>
        <v>0</v>
      </c>
      <c r="XCZ1618" s="55">
        <f t="shared" si="804"/>
        <v>0</v>
      </c>
      <c r="XDA1618" s="55">
        <f t="shared" si="804"/>
        <v>0</v>
      </c>
      <c r="XDB1618" s="55">
        <f t="shared" si="804"/>
        <v>0</v>
      </c>
      <c r="XDC1618" s="55">
        <f t="shared" si="804"/>
        <v>0</v>
      </c>
      <c r="XDD1618" s="55">
        <f t="shared" ref="XDD1618:XFC1618" si="805">+(XDD1627+XDD1608)*1.18*1.1</f>
        <v>0</v>
      </c>
      <c r="XDE1618" s="55">
        <f t="shared" si="805"/>
        <v>0</v>
      </c>
      <c r="XDF1618" s="55">
        <f t="shared" si="805"/>
        <v>0</v>
      </c>
      <c r="XDG1618" s="55">
        <f t="shared" si="805"/>
        <v>0</v>
      </c>
      <c r="XDH1618" s="55">
        <f t="shared" si="805"/>
        <v>0</v>
      </c>
      <c r="XDI1618" s="55">
        <f t="shared" si="805"/>
        <v>0</v>
      </c>
      <c r="XDJ1618" s="55">
        <f t="shared" si="805"/>
        <v>0</v>
      </c>
      <c r="XDK1618" s="55">
        <f t="shared" si="805"/>
        <v>0</v>
      </c>
      <c r="XDL1618" s="55">
        <f t="shared" si="805"/>
        <v>0</v>
      </c>
      <c r="XDM1618" s="55">
        <f t="shared" si="805"/>
        <v>0</v>
      </c>
      <c r="XDN1618" s="55">
        <f t="shared" si="805"/>
        <v>0</v>
      </c>
      <c r="XDO1618" s="55">
        <f t="shared" si="805"/>
        <v>0</v>
      </c>
      <c r="XDP1618" s="55">
        <f t="shared" si="805"/>
        <v>0</v>
      </c>
      <c r="XDQ1618" s="55">
        <f t="shared" si="805"/>
        <v>0</v>
      </c>
      <c r="XDR1618" s="55">
        <f t="shared" si="805"/>
        <v>0</v>
      </c>
      <c r="XDS1618" s="55">
        <f t="shared" si="805"/>
        <v>0</v>
      </c>
      <c r="XDT1618" s="55">
        <f t="shared" si="805"/>
        <v>0</v>
      </c>
      <c r="XDU1618" s="55">
        <f t="shared" si="805"/>
        <v>0</v>
      </c>
      <c r="XDV1618" s="55">
        <f t="shared" si="805"/>
        <v>0</v>
      </c>
      <c r="XDW1618" s="55">
        <f t="shared" si="805"/>
        <v>0</v>
      </c>
      <c r="XDX1618" s="55">
        <f t="shared" si="805"/>
        <v>0</v>
      </c>
      <c r="XDY1618" s="55">
        <f t="shared" si="805"/>
        <v>0</v>
      </c>
      <c r="XDZ1618" s="55">
        <f t="shared" si="805"/>
        <v>0</v>
      </c>
      <c r="XEA1618" s="55">
        <f t="shared" si="805"/>
        <v>0</v>
      </c>
      <c r="XEB1618" s="55">
        <f t="shared" si="805"/>
        <v>0</v>
      </c>
      <c r="XEC1618" s="55">
        <f t="shared" si="805"/>
        <v>0</v>
      </c>
      <c r="XED1618" s="55">
        <f t="shared" si="805"/>
        <v>0</v>
      </c>
      <c r="XEE1618" s="55">
        <f t="shared" si="805"/>
        <v>0</v>
      </c>
      <c r="XEF1618" s="55">
        <f t="shared" si="805"/>
        <v>0</v>
      </c>
      <c r="XEG1618" s="55">
        <f t="shared" si="805"/>
        <v>0</v>
      </c>
      <c r="XEH1618" s="55">
        <f t="shared" si="805"/>
        <v>0</v>
      </c>
      <c r="XEI1618" s="55">
        <f t="shared" si="805"/>
        <v>0</v>
      </c>
      <c r="XEJ1618" s="55">
        <f t="shared" si="805"/>
        <v>0</v>
      </c>
      <c r="XEK1618" s="55">
        <f t="shared" si="805"/>
        <v>0</v>
      </c>
      <c r="XEL1618" s="55">
        <f t="shared" si="805"/>
        <v>0</v>
      </c>
      <c r="XEM1618" s="55">
        <f t="shared" si="805"/>
        <v>0</v>
      </c>
      <c r="XEN1618" s="55">
        <f t="shared" si="805"/>
        <v>0</v>
      </c>
      <c r="XEO1618" s="55">
        <f t="shared" si="805"/>
        <v>0</v>
      </c>
      <c r="XEP1618" s="55">
        <f t="shared" si="805"/>
        <v>0</v>
      </c>
      <c r="XEQ1618" s="55">
        <f t="shared" si="805"/>
        <v>0</v>
      </c>
      <c r="XER1618" s="55">
        <f t="shared" si="805"/>
        <v>0</v>
      </c>
      <c r="XES1618" s="55">
        <f t="shared" si="805"/>
        <v>0</v>
      </c>
      <c r="XET1618" s="55">
        <f t="shared" si="805"/>
        <v>0</v>
      </c>
      <c r="XEU1618" s="55">
        <f t="shared" si="805"/>
        <v>0</v>
      </c>
      <c r="XEV1618" s="55">
        <f t="shared" si="805"/>
        <v>0</v>
      </c>
      <c r="XEW1618" s="55">
        <f t="shared" si="805"/>
        <v>0</v>
      </c>
      <c r="XEX1618" s="55">
        <f t="shared" si="805"/>
        <v>0</v>
      </c>
      <c r="XEY1618" s="55">
        <f t="shared" si="805"/>
        <v>0</v>
      </c>
      <c r="XEZ1618" s="55">
        <f t="shared" si="805"/>
        <v>0</v>
      </c>
      <c r="XFA1618" s="55">
        <f t="shared" si="805"/>
        <v>0</v>
      </c>
      <c r="XFB1618" s="55">
        <f t="shared" si="805"/>
        <v>0</v>
      </c>
      <c r="XFC1618" s="55">
        <f t="shared" si="805"/>
        <v>0</v>
      </c>
    </row>
    <row r="1619" spans="1:16383" x14ac:dyDescent="0.25">
      <c r="A1619" s="90"/>
      <c r="B1619" s="41" t="s">
        <v>408</v>
      </c>
      <c r="C1619" s="53">
        <f>0.3*0.13</f>
        <v>3.9E-2</v>
      </c>
      <c r="D1619" s="41" t="s">
        <v>409</v>
      </c>
      <c r="E1619" s="54">
        <f>+$E$1608</f>
        <v>1350</v>
      </c>
      <c r="F1619" s="53">
        <f>E1619*C1619</f>
        <v>52.65</v>
      </c>
      <c r="G1619" s="58"/>
      <c r="H1619" s="41"/>
      <c r="I1619" s="153"/>
    </row>
    <row r="1620" spans="1:16383" x14ac:dyDescent="0.25">
      <c r="A1620" s="90"/>
      <c r="B1620" s="41" t="s">
        <v>411</v>
      </c>
      <c r="C1620" s="53">
        <f>0.05*0.3</f>
        <v>1.4999999999999999E-2</v>
      </c>
      <c r="D1620" s="41" t="s">
        <v>82</v>
      </c>
      <c r="E1620" s="54">
        <f>+$E$1609</f>
        <v>80.850000000000009</v>
      </c>
      <c r="F1620" s="53">
        <f>E1620*C1620</f>
        <v>1.21275</v>
      </c>
      <c r="G1620" s="58"/>
      <c r="H1620" s="41"/>
      <c r="I1620" s="153"/>
    </row>
    <row r="1621" spans="1:16383" x14ac:dyDescent="0.25">
      <c r="A1621" s="90"/>
      <c r="B1621" s="41" t="s">
        <v>535</v>
      </c>
      <c r="C1621" s="53">
        <f>(1/10.7)*0.5</f>
        <v>4.6728971962616828E-2</v>
      </c>
      <c r="D1621" s="41" t="s">
        <v>82</v>
      </c>
      <c r="E1621" s="54">
        <f>+$E$1610</f>
        <v>15.807777777777778</v>
      </c>
      <c r="F1621" s="53">
        <f>E1621*C1621</f>
        <v>0.73868120456905517</v>
      </c>
      <c r="G1621" s="58"/>
      <c r="I1621" s="153"/>
    </row>
    <row r="1622" spans="1:16383" x14ac:dyDescent="0.25">
      <c r="A1622" s="90"/>
      <c r="B1622" s="41" t="s">
        <v>67</v>
      </c>
      <c r="C1622" s="53">
        <v>10</v>
      </c>
      <c r="D1622" s="41" t="s">
        <v>34</v>
      </c>
      <c r="E1622" s="54">
        <f>SUM(F1617:F1621)</f>
        <v>656.12006120456897</v>
      </c>
      <c r="F1622" s="53">
        <f>E1622*C1622/100</f>
        <v>65.612006120456897</v>
      </c>
      <c r="G1622" s="58"/>
      <c r="I1622" s="153"/>
    </row>
    <row r="1623" spans="1:16383" x14ac:dyDescent="0.25">
      <c r="A1623" s="90"/>
      <c r="B1623" s="41" t="s">
        <v>412</v>
      </c>
      <c r="C1623" s="53">
        <v>1</v>
      </c>
      <c r="D1623" s="41" t="s">
        <v>150</v>
      </c>
      <c r="E1623" s="54">
        <f>+$E$1612</f>
        <v>60.375</v>
      </c>
      <c r="F1623" s="53">
        <f>E1623*C1623</f>
        <v>60.375</v>
      </c>
      <c r="G1623" s="58"/>
      <c r="I1623" s="153"/>
    </row>
    <row r="1624" spans="1:16383" x14ac:dyDescent="0.25">
      <c r="A1624" s="16"/>
      <c r="B1624" s="41" t="s">
        <v>508</v>
      </c>
      <c r="C1624" s="53">
        <v>1</v>
      </c>
      <c r="D1624" s="41" t="s">
        <v>150</v>
      </c>
      <c r="E1624" s="54">
        <f>+$E$1613</f>
        <v>362.25</v>
      </c>
      <c r="F1624" s="53">
        <f>E1624*C1624</f>
        <v>362.25</v>
      </c>
      <c r="G1624" s="58"/>
      <c r="I1624" s="153"/>
    </row>
    <row r="1625" spans="1:16383" x14ac:dyDescent="0.25">
      <c r="A1625" s="90"/>
      <c r="B1625" s="41" t="s">
        <v>435</v>
      </c>
      <c r="C1625" s="53">
        <v>0</v>
      </c>
      <c r="D1625" s="41" t="s">
        <v>150</v>
      </c>
      <c r="E1625" s="54">
        <f>+$E$1614</f>
        <v>310.5</v>
      </c>
      <c r="F1625" s="53">
        <f>E1625*C1625</f>
        <v>0</v>
      </c>
      <c r="G1625" s="58"/>
      <c r="I1625" s="153"/>
    </row>
    <row r="1626" spans="1:16383" ht="15.6" x14ac:dyDescent="0.3">
      <c r="A1626" s="90"/>
      <c r="B1626" s="41"/>
      <c r="C1626" s="53"/>
      <c r="D1626" s="41"/>
      <c r="E1626" s="54"/>
      <c r="F1626" s="53"/>
      <c r="G1626" s="59">
        <f>SUM(F1617:F1625)</f>
        <v>1144.3570673250258</v>
      </c>
      <c r="H1626" s="3" t="s">
        <v>150</v>
      </c>
      <c r="I1626" s="153"/>
    </row>
    <row r="1627" spans="1:16383" x14ac:dyDescent="0.25">
      <c r="A1627" s="90"/>
      <c r="B1627" s="41"/>
      <c r="C1627" s="53"/>
      <c r="D1627" s="41"/>
      <c r="E1627" s="54"/>
      <c r="F1627" s="53"/>
      <c r="G1627" s="40"/>
      <c r="H1627" s="41"/>
      <c r="I1627" s="153"/>
    </row>
    <row r="1628" spans="1:16383" ht="15.6" x14ac:dyDescent="0.3">
      <c r="A1628" s="90"/>
      <c r="B1628" s="3" t="s">
        <v>536</v>
      </c>
      <c r="C1628" s="8"/>
      <c r="E1628" s="46"/>
      <c r="F1628" s="8"/>
      <c r="G1628" s="58"/>
    </row>
    <row r="1629" spans="1:16383" x14ac:dyDescent="0.25">
      <c r="A1629" s="90">
        <f>+A1617+0.01</f>
        <v>13.389999999999992</v>
      </c>
      <c r="B1629" s="41" t="s">
        <v>537</v>
      </c>
      <c r="C1629" s="53">
        <v>1</v>
      </c>
      <c r="D1629" s="41" t="s">
        <v>150</v>
      </c>
      <c r="E1629" s="54">
        <f>+$E$1371*0.2*1.5</f>
        <v>403.22015999999996</v>
      </c>
      <c r="F1629" s="53">
        <f>E1629*C1629</f>
        <v>403.22015999999996</v>
      </c>
      <c r="G1629" s="58"/>
    </row>
    <row r="1630" spans="1:16383" x14ac:dyDescent="0.25">
      <c r="A1630" s="90"/>
      <c r="B1630" s="41" t="s">
        <v>407</v>
      </c>
      <c r="C1630" s="53">
        <f>0.2*0.05</f>
        <v>1.0000000000000002E-2</v>
      </c>
      <c r="D1630" s="41" t="s">
        <v>54</v>
      </c>
      <c r="E1630" s="54">
        <f>+$G$55</f>
        <v>9859.73</v>
      </c>
      <c r="F1630" s="53">
        <f>E1630*C1630</f>
        <v>98.597300000000018</v>
      </c>
      <c r="G1630" s="58"/>
    </row>
    <row r="1631" spans="1:16383" x14ac:dyDescent="0.25">
      <c r="A1631" s="90"/>
      <c r="B1631" s="41" t="s">
        <v>408</v>
      </c>
      <c r="C1631" s="53">
        <f>0.2*0.13</f>
        <v>2.6000000000000002E-2</v>
      </c>
      <c r="D1631" s="41" t="s">
        <v>409</v>
      </c>
      <c r="E1631" s="54">
        <f>+'[1]Lista de precios MAY25'!$E$138</f>
        <v>1350</v>
      </c>
      <c r="F1631" s="53">
        <f>E1631*C1631</f>
        <v>35.1</v>
      </c>
      <c r="G1631" s="58"/>
      <c r="H1631" s="41"/>
    </row>
    <row r="1632" spans="1:16383" x14ac:dyDescent="0.25">
      <c r="A1632" s="90"/>
      <c r="B1632" s="41" t="s">
        <v>411</v>
      </c>
      <c r="C1632" s="53">
        <f>0.05*0.2</f>
        <v>1.0000000000000002E-2</v>
      </c>
      <c r="D1632" s="41" t="s">
        <v>82</v>
      </c>
      <c r="E1632" s="54">
        <f>+'[1]Lista de precios MAY25'!$E$141</f>
        <v>80.850000000000009</v>
      </c>
      <c r="F1632" s="53">
        <f>E1632*C1632</f>
        <v>0.80850000000000022</v>
      </c>
      <c r="G1632" s="58"/>
      <c r="H1632" s="41"/>
    </row>
    <row r="1633" spans="1:9" x14ac:dyDescent="0.25">
      <c r="A1633" s="90"/>
      <c r="B1633" s="41" t="s">
        <v>410</v>
      </c>
      <c r="C1633" s="53">
        <f>0.07*0.2*1.35</f>
        <v>1.8900000000000004E-2</v>
      </c>
      <c r="D1633" s="41" t="s">
        <v>82</v>
      </c>
      <c r="E1633" s="54">
        <f>+'[1]Lista de precios MAY25'!$E$144</f>
        <v>3135.0270679999999</v>
      </c>
      <c r="F1633" s="53">
        <f>E1633*C1633</f>
        <v>59.252011585200009</v>
      </c>
      <c r="G1633" s="58"/>
    </row>
    <row r="1634" spans="1:9" x14ac:dyDescent="0.25">
      <c r="A1634" s="90"/>
      <c r="B1634" s="41" t="s">
        <v>67</v>
      </c>
      <c r="C1634" s="53">
        <v>10</v>
      </c>
      <c r="D1634" s="41" t="s">
        <v>34</v>
      </c>
      <c r="E1634" s="54">
        <f>SUM(F1629:F1633)</f>
        <v>596.97797158519995</v>
      </c>
      <c r="F1634" s="53">
        <f>E1634*C1634/100</f>
        <v>59.697797158519997</v>
      </c>
      <c r="G1634" s="58"/>
    </row>
    <row r="1635" spans="1:9" x14ac:dyDescent="0.25">
      <c r="A1635" s="90"/>
      <c r="B1635" s="41" t="s">
        <v>412</v>
      </c>
      <c r="C1635" s="53">
        <v>1</v>
      </c>
      <c r="D1635" s="41" t="s">
        <v>150</v>
      </c>
      <c r="E1635" s="54">
        <f>+'[1]MO MAY25'!$N$587*1.5</f>
        <v>60.375</v>
      </c>
      <c r="F1635" s="53">
        <f>E1635*C1635</f>
        <v>60.375</v>
      </c>
      <c r="G1635" s="58"/>
    </row>
    <row r="1636" spans="1:9" x14ac:dyDescent="0.25">
      <c r="A1636" s="16"/>
      <c r="B1636" s="41" t="s">
        <v>508</v>
      </c>
      <c r="C1636" s="53">
        <v>1</v>
      </c>
      <c r="D1636" s="41" t="s">
        <v>150</v>
      </c>
      <c r="E1636" s="54">
        <f>+'[1]MO MAY25'!N573</f>
        <v>362.25</v>
      </c>
      <c r="F1636" s="53">
        <f>E1636*C1636</f>
        <v>362.25</v>
      </c>
      <c r="G1636" s="58"/>
    </row>
    <row r="1637" spans="1:9" x14ac:dyDescent="0.25">
      <c r="A1637" s="90"/>
      <c r="B1637" s="41" t="s">
        <v>435</v>
      </c>
      <c r="C1637" s="53">
        <v>1</v>
      </c>
      <c r="D1637" s="41" t="s">
        <v>150</v>
      </c>
      <c r="E1637" s="54"/>
      <c r="F1637" s="53">
        <f>E1637*C1637</f>
        <v>0</v>
      </c>
      <c r="G1637" s="58"/>
    </row>
    <row r="1638" spans="1:9" x14ac:dyDescent="0.25">
      <c r="A1638" s="90"/>
      <c r="B1638" s="41" t="s">
        <v>538</v>
      </c>
      <c r="C1638" s="53">
        <v>1</v>
      </c>
      <c r="D1638" s="41" t="s">
        <v>150</v>
      </c>
      <c r="E1638" s="54">
        <f>+'[1]MO MAY25'!N430</f>
        <v>99.1875</v>
      </c>
      <c r="F1638" s="53">
        <f>E1638*C1638</f>
        <v>99.1875</v>
      </c>
      <c r="G1638" s="58"/>
    </row>
    <row r="1639" spans="1:9" ht="15.6" x14ac:dyDescent="0.3">
      <c r="A1639" s="90"/>
      <c r="B1639" s="41"/>
      <c r="C1639" s="53"/>
      <c r="D1639" s="41"/>
      <c r="E1639" s="54"/>
      <c r="F1639" s="53"/>
      <c r="G1639" s="56">
        <f>SUM(F1629:F1638)</f>
        <v>1178.4882687437198</v>
      </c>
      <c r="H1639" s="57" t="s">
        <v>150</v>
      </c>
    </row>
    <row r="1640" spans="1:9" x14ac:dyDescent="0.25">
      <c r="A1640" s="90"/>
      <c r="B1640" s="41"/>
      <c r="C1640" s="53"/>
      <c r="D1640" s="41"/>
      <c r="E1640" s="54"/>
      <c r="F1640" s="53"/>
      <c r="G1640" s="40"/>
      <c r="H1640" s="41"/>
      <c r="I1640" s="153"/>
    </row>
    <row r="1641" spans="1:9" ht="15.6" x14ac:dyDescent="0.3">
      <c r="A1641" s="90"/>
      <c r="B1641" s="3" t="s">
        <v>539</v>
      </c>
      <c r="C1641" s="8"/>
      <c r="E1641" s="46"/>
      <c r="F1641" s="8"/>
      <c r="G1641" s="58"/>
    </row>
    <row r="1642" spans="1:9" x14ac:dyDescent="0.25">
      <c r="A1642" s="90">
        <f>+A1606+0.01</f>
        <v>13.379999999999992</v>
      </c>
      <c r="B1642" s="41" t="s">
        <v>540</v>
      </c>
      <c r="C1642" s="53">
        <v>1</v>
      </c>
      <c r="D1642" s="41" t="s">
        <v>184</v>
      </c>
      <c r="E1642" s="54">
        <f>+E1208*0.2*1.4</f>
        <v>367.07440000000003</v>
      </c>
      <c r="F1642" s="53">
        <f>E1642*C1642</f>
        <v>367.07440000000003</v>
      </c>
      <c r="G1642" s="58"/>
    </row>
    <row r="1643" spans="1:9" x14ac:dyDescent="0.25">
      <c r="A1643" s="90"/>
      <c r="B1643" s="41" t="s">
        <v>408</v>
      </c>
      <c r="C1643" s="53">
        <f>0.13*0.5</f>
        <v>6.5000000000000002E-2</v>
      </c>
      <c r="D1643" s="41" t="s">
        <v>409</v>
      </c>
      <c r="E1643" s="54">
        <f>+'[1]Lista de precios MAY25'!$E$145</f>
        <v>3271.4678719999997</v>
      </c>
      <c r="F1643" s="53">
        <f>E1643*C1643</f>
        <v>212.64541168</v>
      </c>
      <c r="G1643" s="58"/>
      <c r="H1643" s="41"/>
    </row>
    <row r="1644" spans="1:9" x14ac:dyDescent="0.25">
      <c r="A1644" s="90"/>
      <c r="B1644" s="41" t="s">
        <v>410</v>
      </c>
      <c r="C1644" s="53">
        <v>0.06</v>
      </c>
      <c r="D1644" s="41" t="s">
        <v>82</v>
      </c>
      <c r="E1644" s="54">
        <f>+$G$95</f>
        <v>15.807777777777778</v>
      </c>
      <c r="F1644" s="53">
        <f>E1644*C1644</f>
        <v>0.94846666666666668</v>
      </c>
      <c r="G1644" s="58"/>
    </row>
    <row r="1645" spans="1:9" x14ac:dyDescent="0.25">
      <c r="A1645" s="90"/>
      <c r="B1645" s="41" t="s">
        <v>411</v>
      </c>
      <c r="C1645" s="53">
        <f>0.05*0.3</f>
        <v>1.4999999999999999E-2</v>
      </c>
      <c r="D1645" s="41" t="s">
        <v>82</v>
      </c>
      <c r="E1645" s="54">
        <f>+'[1]Lista de precios MAY25'!$E$141</f>
        <v>80.850000000000009</v>
      </c>
      <c r="F1645" s="53">
        <f>E1645*C1645</f>
        <v>1.21275</v>
      </c>
      <c r="G1645" s="58"/>
    </row>
    <row r="1646" spans="1:9" x14ac:dyDescent="0.25">
      <c r="A1646" s="90"/>
      <c r="B1646" s="41" t="s">
        <v>67</v>
      </c>
      <c r="C1646" s="53">
        <v>10</v>
      </c>
      <c r="D1646" s="41" t="s">
        <v>34</v>
      </c>
      <c r="E1646" s="46">
        <f>SUM(F1642:F1645)</f>
        <v>581.88102834666677</v>
      </c>
      <c r="F1646" s="53">
        <f>E1646*C1646/100</f>
        <v>58.18810283466668</v>
      </c>
      <c r="G1646" s="58"/>
    </row>
    <row r="1647" spans="1:9" x14ac:dyDescent="0.25">
      <c r="A1647" s="90"/>
      <c r="B1647" s="41" t="s">
        <v>271</v>
      </c>
      <c r="C1647" s="53">
        <v>1</v>
      </c>
      <c r="D1647" s="41" t="s">
        <v>150</v>
      </c>
      <c r="E1647" s="54">
        <f>+'[1]MO MAY25'!$N$581</f>
        <v>258.75</v>
      </c>
      <c r="F1647" s="53">
        <f>E1647*C1647</f>
        <v>258.75</v>
      </c>
      <c r="G1647" s="58"/>
    </row>
    <row r="1648" spans="1:9" x14ac:dyDescent="0.25">
      <c r="A1648" s="90"/>
      <c r="B1648" s="41" t="s">
        <v>541</v>
      </c>
      <c r="C1648" s="53">
        <v>1</v>
      </c>
      <c r="D1648" s="41" t="s">
        <v>150</v>
      </c>
      <c r="E1648" s="168">
        <f>+'[1]MO MAY25'!$N$589</f>
        <v>80.5</v>
      </c>
      <c r="F1648" s="53">
        <f>E1648*C1648</f>
        <v>80.5</v>
      </c>
      <c r="G1648" s="58"/>
    </row>
    <row r="1649" spans="1:8" ht="15.6" x14ac:dyDescent="0.3">
      <c r="A1649" s="90"/>
      <c r="B1649" s="41"/>
      <c r="C1649" s="8"/>
      <c r="E1649" s="46"/>
      <c r="F1649" s="8"/>
      <c r="G1649" s="159">
        <f>SUM(F1642:F1648)</f>
        <v>979.31913118133343</v>
      </c>
      <c r="H1649" s="115" t="s">
        <v>19</v>
      </c>
    </row>
    <row r="1650" spans="1:8" ht="15.6" x14ac:dyDescent="0.3">
      <c r="A1650" s="90"/>
      <c r="B1650" s="41"/>
      <c r="C1650" s="8"/>
      <c r="E1650" s="46"/>
      <c r="F1650" s="8"/>
      <c r="G1650" s="114">
        <f>SUM(F1642:F1648)+(F1647+F1648)*0.05</f>
        <v>996.28163118133341</v>
      </c>
      <c r="H1650" s="115" t="s">
        <v>19</v>
      </c>
    </row>
    <row r="1651" spans="1:8" ht="15.6" x14ac:dyDescent="0.3">
      <c r="A1651" s="90"/>
      <c r="B1651" s="3" t="s">
        <v>542</v>
      </c>
      <c r="C1651" s="8"/>
      <c r="E1651" s="46"/>
      <c r="F1651" s="8"/>
      <c r="G1651" s="58"/>
    </row>
    <row r="1652" spans="1:8" x14ac:dyDescent="0.25">
      <c r="A1652" s="90">
        <f>+A1642+0.01</f>
        <v>13.389999999999992</v>
      </c>
      <c r="B1652" s="41" t="s">
        <v>543</v>
      </c>
      <c r="C1652" s="53">
        <v>1</v>
      </c>
      <c r="D1652" s="41" t="s">
        <v>184</v>
      </c>
      <c r="E1652" s="54">
        <f>+E1182</f>
        <v>1791.2154166666667</v>
      </c>
      <c r="F1652" s="53">
        <f>E1652*C1652</f>
        <v>1791.2154166666667</v>
      </c>
      <c r="G1652" s="117" t="s">
        <v>544</v>
      </c>
      <c r="H1652" s="123"/>
    </row>
    <row r="1653" spans="1:8" x14ac:dyDescent="0.25">
      <c r="A1653" s="90"/>
      <c r="B1653" s="41" t="s">
        <v>408</v>
      </c>
      <c r="C1653" s="53">
        <f>0.13*0.5</f>
        <v>6.5000000000000002E-2</v>
      </c>
      <c r="D1653" s="41" t="s">
        <v>409</v>
      </c>
      <c r="E1653" s="54">
        <f>+$E$1643</f>
        <v>3271.4678719999997</v>
      </c>
      <c r="F1653" s="53">
        <f>E1653*C1653</f>
        <v>212.64541168</v>
      </c>
      <c r="G1653" s="58"/>
      <c r="H1653" s="41"/>
    </row>
    <row r="1654" spans="1:8" x14ac:dyDescent="0.25">
      <c r="A1654" s="90"/>
      <c r="B1654" s="41" t="s">
        <v>410</v>
      </c>
      <c r="C1654" s="53">
        <v>0.06</v>
      </c>
      <c r="D1654" s="41" t="s">
        <v>82</v>
      </c>
      <c r="E1654" s="54">
        <f>+$G$95</f>
        <v>15.807777777777778</v>
      </c>
      <c r="F1654" s="53">
        <f>E1654*C1654</f>
        <v>0.94846666666666668</v>
      </c>
      <c r="G1654" s="58"/>
    </row>
    <row r="1655" spans="1:8" x14ac:dyDescent="0.25">
      <c r="A1655" s="90"/>
      <c r="B1655" s="41" t="s">
        <v>411</v>
      </c>
      <c r="C1655" s="53">
        <f>0.05*0.3</f>
        <v>1.4999999999999999E-2</v>
      </c>
      <c r="D1655" s="41" t="s">
        <v>82</v>
      </c>
      <c r="E1655" s="54">
        <f>+$E$1645</f>
        <v>80.850000000000009</v>
      </c>
      <c r="F1655" s="53">
        <f>E1655*C1655</f>
        <v>1.21275</v>
      </c>
      <c r="G1655" s="58"/>
    </row>
    <row r="1656" spans="1:8" x14ac:dyDescent="0.25">
      <c r="A1656" s="90"/>
      <c r="B1656" s="41" t="s">
        <v>67</v>
      </c>
      <c r="C1656" s="53">
        <v>10</v>
      </c>
      <c r="D1656" s="41" t="s">
        <v>34</v>
      </c>
      <c r="E1656" s="46">
        <f>SUM(F1652:F1655)</f>
        <v>2006.0220450133334</v>
      </c>
      <c r="F1656" s="53">
        <f>E1656*C1656/100</f>
        <v>200.60220450133332</v>
      </c>
      <c r="G1656" s="58"/>
    </row>
    <row r="1657" spans="1:8" x14ac:dyDescent="0.25">
      <c r="A1657" s="90"/>
      <c r="B1657" s="41" t="s">
        <v>271</v>
      </c>
      <c r="C1657" s="53">
        <v>1</v>
      </c>
      <c r="D1657" s="41" t="s">
        <v>150</v>
      </c>
      <c r="E1657" s="54">
        <f>+E1647</f>
        <v>258.75</v>
      </c>
      <c r="F1657" s="53">
        <f>E1657*C1657</f>
        <v>258.75</v>
      </c>
      <c r="G1657" s="58"/>
    </row>
    <row r="1658" spans="1:8" x14ac:dyDescent="0.25">
      <c r="A1658" s="90"/>
      <c r="B1658" s="41" t="s">
        <v>541</v>
      </c>
      <c r="C1658" s="53">
        <v>1</v>
      </c>
      <c r="D1658" s="41" t="s">
        <v>150</v>
      </c>
      <c r="E1658" s="54">
        <f>+$E$1648</f>
        <v>80.5</v>
      </c>
      <c r="F1658" s="53">
        <f>E1658*C1658</f>
        <v>80.5</v>
      </c>
      <c r="G1658" s="58"/>
    </row>
    <row r="1659" spans="1:8" ht="15.6" x14ac:dyDescent="0.3">
      <c r="A1659" s="90"/>
      <c r="B1659" s="41"/>
      <c r="C1659" s="8"/>
      <c r="E1659" s="46"/>
      <c r="F1659" s="8"/>
      <c r="G1659" s="59">
        <f>SUM(F1652:F1658)</f>
        <v>2545.8742495146666</v>
      </c>
      <c r="H1659" s="3" t="s">
        <v>19</v>
      </c>
    </row>
    <row r="1660" spans="1:8" x14ac:dyDescent="0.25">
      <c r="A1660" s="90"/>
      <c r="B1660" s="41"/>
      <c r="C1660" s="8"/>
      <c r="E1660" s="46"/>
      <c r="F1660" s="8"/>
      <c r="G1660" s="58"/>
      <c r="H1660" s="41"/>
    </row>
    <row r="1661" spans="1:8" ht="15.6" x14ac:dyDescent="0.3">
      <c r="A1661" s="90"/>
      <c r="B1661" s="3" t="s">
        <v>545</v>
      </c>
      <c r="C1661" s="8"/>
      <c r="E1661" s="46"/>
      <c r="F1661" s="8"/>
      <c r="G1661" s="58"/>
    </row>
    <row r="1662" spans="1:8" x14ac:dyDescent="0.25">
      <c r="A1662" s="90">
        <f>+A1652+0.01</f>
        <v>13.399999999999991</v>
      </c>
      <c r="B1662" s="41" t="s">
        <v>546</v>
      </c>
      <c r="C1662" s="53">
        <v>1</v>
      </c>
      <c r="D1662" s="41" t="s">
        <v>21</v>
      </c>
      <c r="E1662" s="54">
        <f>E1804*0.2*1.35</f>
        <v>543.61125000000004</v>
      </c>
      <c r="F1662" s="53">
        <f>E1662*C1662</f>
        <v>543.61125000000004</v>
      </c>
      <c r="G1662" s="58"/>
    </row>
    <row r="1663" spans="1:8" x14ac:dyDescent="0.25">
      <c r="A1663" s="90"/>
      <c r="B1663" s="41" t="s">
        <v>408</v>
      </c>
      <c r="C1663" s="53">
        <f>0.13*0.5</f>
        <v>6.5000000000000002E-2</v>
      </c>
      <c r="D1663" s="41" t="s">
        <v>409</v>
      </c>
      <c r="E1663" s="54">
        <f>+'[1]Lista de precios MAY25'!$E$138</f>
        <v>1350</v>
      </c>
      <c r="F1663" s="53">
        <f>E1663*C1663</f>
        <v>87.75</v>
      </c>
      <c r="G1663" s="58"/>
      <c r="H1663" s="41"/>
    </row>
    <row r="1664" spans="1:8" x14ac:dyDescent="0.25">
      <c r="A1664" s="90"/>
      <c r="B1664" s="41" t="s">
        <v>410</v>
      </c>
      <c r="C1664" s="53">
        <v>0.06</v>
      </c>
      <c r="D1664" s="41" t="s">
        <v>82</v>
      </c>
      <c r="E1664" s="54">
        <f>+$G$95</f>
        <v>15.807777777777778</v>
      </c>
      <c r="F1664" s="53">
        <f>E1664*C1664</f>
        <v>0.94846666666666668</v>
      </c>
      <c r="G1664" s="58"/>
    </row>
    <row r="1665" spans="1:8" x14ac:dyDescent="0.25">
      <c r="A1665" s="90"/>
      <c r="B1665" s="41" t="s">
        <v>411</v>
      </c>
      <c r="C1665" s="53">
        <f>0.05*0.3</f>
        <v>1.4999999999999999E-2</v>
      </c>
      <c r="D1665" s="41" t="s">
        <v>82</v>
      </c>
      <c r="E1665" s="54">
        <f>+$E$1655</f>
        <v>80.850000000000009</v>
      </c>
      <c r="F1665" s="53">
        <f>E1665*C1665</f>
        <v>1.21275</v>
      </c>
      <c r="G1665" s="58"/>
    </row>
    <row r="1666" spans="1:8" x14ac:dyDescent="0.25">
      <c r="A1666" s="90"/>
      <c r="B1666" s="41" t="s">
        <v>67</v>
      </c>
      <c r="C1666" s="53">
        <v>10</v>
      </c>
      <c r="D1666" s="41" t="s">
        <v>34</v>
      </c>
      <c r="E1666" s="46">
        <f>SUM(F1662:F1665)</f>
        <v>633.52246666666679</v>
      </c>
      <c r="F1666" s="53">
        <f>E1666*C1666/100</f>
        <v>63.35224666666668</v>
      </c>
      <c r="G1666" s="58"/>
    </row>
    <row r="1667" spans="1:8" x14ac:dyDescent="0.25">
      <c r="A1667" s="90"/>
      <c r="B1667" s="41" t="s">
        <v>271</v>
      </c>
      <c r="C1667" s="53">
        <v>1</v>
      </c>
      <c r="D1667" s="41" t="s">
        <v>150</v>
      </c>
      <c r="E1667" s="54">
        <f>+$E$1657</f>
        <v>258.75</v>
      </c>
      <c r="F1667" s="53">
        <f>E1667*C1667</f>
        <v>258.75</v>
      </c>
      <c r="G1667" s="58"/>
    </row>
    <row r="1668" spans="1:8" x14ac:dyDescent="0.25">
      <c r="A1668" s="90"/>
      <c r="B1668" s="41" t="s">
        <v>547</v>
      </c>
      <c r="C1668" s="53">
        <v>1</v>
      </c>
      <c r="D1668" s="41" t="s">
        <v>150</v>
      </c>
      <c r="E1668" s="54">
        <f>+'[1]MO MAY25'!$N$429</f>
        <v>85.962500000000006</v>
      </c>
      <c r="F1668" s="53">
        <f>E1668*C1668</f>
        <v>85.962500000000006</v>
      </c>
      <c r="G1668" s="58"/>
    </row>
    <row r="1669" spans="1:8" x14ac:dyDescent="0.25">
      <c r="A1669" s="90"/>
      <c r="B1669" s="41" t="s">
        <v>541</v>
      </c>
      <c r="C1669" s="53">
        <v>1</v>
      </c>
      <c r="D1669" s="41" t="s">
        <v>150</v>
      </c>
      <c r="E1669" s="54">
        <f>+$E$1658</f>
        <v>80.5</v>
      </c>
      <c r="F1669" s="53">
        <f>E1669*C1669</f>
        <v>80.5</v>
      </c>
      <c r="G1669" s="58"/>
    </row>
    <row r="1670" spans="1:8" ht="15.6" x14ac:dyDescent="0.3">
      <c r="A1670" s="90"/>
      <c r="B1670" s="41"/>
      <c r="C1670" s="8"/>
      <c r="E1670" s="46"/>
      <c r="F1670" s="8"/>
      <c r="G1670" s="59">
        <f>SUM(F1662:F1669)</f>
        <v>1122.0872133333335</v>
      </c>
      <c r="H1670" s="3" t="s">
        <v>19</v>
      </c>
    </row>
    <row r="1671" spans="1:8" x14ac:dyDescent="0.25">
      <c r="A1671" s="90"/>
      <c r="B1671" s="41"/>
      <c r="C1671" s="8"/>
      <c r="E1671" s="46"/>
      <c r="F1671" s="8"/>
      <c r="G1671" s="58"/>
      <c r="H1671" s="41"/>
    </row>
    <row r="1672" spans="1:8" ht="15.6" x14ac:dyDescent="0.3">
      <c r="A1672" s="90"/>
      <c r="B1672" s="3" t="s">
        <v>548</v>
      </c>
      <c r="C1672" s="8"/>
      <c r="E1672" s="46"/>
      <c r="F1672" s="8"/>
      <c r="G1672" s="58"/>
    </row>
    <row r="1673" spans="1:8" x14ac:dyDescent="0.25">
      <c r="A1673" s="90">
        <f>0.01+A1662</f>
        <v>13.409999999999991</v>
      </c>
      <c r="B1673" s="41" t="s">
        <v>549</v>
      </c>
      <c r="C1673" s="53">
        <v>1</v>
      </c>
      <c r="D1673" s="41" t="s">
        <v>184</v>
      </c>
      <c r="E1673" s="54"/>
      <c r="F1673" s="53">
        <f>E1673*C1673</f>
        <v>0</v>
      </c>
      <c r="G1673" s="58"/>
    </row>
    <row r="1674" spans="1:8" x14ac:dyDescent="0.25">
      <c r="A1674" s="90"/>
      <c r="B1674" s="41" t="s">
        <v>408</v>
      </c>
      <c r="C1674" s="53">
        <f>0.13*0.5</f>
        <v>6.5000000000000002E-2</v>
      </c>
      <c r="D1674" s="41" t="s">
        <v>409</v>
      </c>
      <c r="E1674" s="54">
        <f>+$E$1663</f>
        <v>1350</v>
      </c>
      <c r="F1674" s="53">
        <f>E1674*C1674</f>
        <v>87.75</v>
      </c>
      <c r="G1674" s="58"/>
      <c r="H1674" s="41"/>
    </row>
    <row r="1675" spans="1:8" x14ac:dyDescent="0.25">
      <c r="A1675" s="90"/>
      <c r="B1675" s="41" t="s">
        <v>410</v>
      </c>
      <c r="C1675" s="53">
        <v>0.06</v>
      </c>
      <c r="D1675" s="41" t="s">
        <v>82</v>
      </c>
      <c r="E1675" s="54">
        <f>+$G$95</f>
        <v>15.807777777777778</v>
      </c>
      <c r="F1675" s="53">
        <f>E1675*C1675</f>
        <v>0.94846666666666668</v>
      </c>
      <c r="G1675" s="58"/>
    </row>
    <row r="1676" spans="1:8" x14ac:dyDescent="0.25">
      <c r="A1676" s="90"/>
      <c r="B1676" s="41" t="s">
        <v>411</v>
      </c>
      <c r="C1676" s="53">
        <f>0.05*0.3</f>
        <v>1.4999999999999999E-2</v>
      </c>
      <c r="D1676" s="41" t="s">
        <v>82</v>
      </c>
      <c r="E1676" s="54">
        <f>+$E$1665</f>
        <v>80.850000000000009</v>
      </c>
      <c r="F1676" s="53">
        <f>E1676*C1676</f>
        <v>1.21275</v>
      </c>
      <c r="G1676" s="58"/>
    </row>
    <row r="1677" spans="1:8" x14ac:dyDescent="0.25">
      <c r="A1677" s="90"/>
      <c r="B1677" s="41" t="s">
        <v>67</v>
      </c>
      <c r="C1677" s="53">
        <v>10</v>
      </c>
      <c r="D1677" s="41" t="s">
        <v>34</v>
      </c>
      <c r="E1677" s="46">
        <f>SUM(F1673:F1676)</f>
        <v>89.911216666666661</v>
      </c>
      <c r="F1677" s="53">
        <f>E1677*C1677/100</f>
        <v>8.9911216666666647</v>
      </c>
      <c r="G1677" s="58"/>
    </row>
    <row r="1678" spans="1:8" x14ac:dyDescent="0.25">
      <c r="A1678" s="90"/>
      <c r="B1678" s="41" t="s">
        <v>271</v>
      </c>
      <c r="C1678" s="53">
        <v>1</v>
      </c>
      <c r="D1678" s="41" t="s">
        <v>150</v>
      </c>
      <c r="E1678" s="54">
        <f>+$E$1667</f>
        <v>258.75</v>
      </c>
      <c r="F1678" s="53">
        <f>E1678*C1678</f>
        <v>258.75</v>
      </c>
      <c r="G1678" s="58"/>
    </row>
    <row r="1679" spans="1:8" x14ac:dyDescent="0.25">
      <c r="A1679" s="90"/>
      <c r="B1679" s="41" t="s">
        <v>541</v>
      </c>
      <c r="C1679" s="53">
        <v>1</v>
      </c>
      <c r="D1679" s="41" t="s">
        <v>150</v>
      </c>
      <c r="E1679" s="54">
        <f>+$E$1669</f>
        <v>80.5</v>
      </c>
      <c r="F1679" s="53">
        <f>E1679*C1679</f>
        <v>80.5</v>
      </c>
      <c r="G1679" s="58"/>
    </row>
    <row r="1680" spans="1:8" ht="15.6" x14ac:dyDescent="0.3">
      <c r="A1680" s="90"/>
      <c r="B1680" s="41"/>
      <c r="C1680" s="8"/>
      <c r="E1680" s="46"/>
      <c r="F1680" s="8"/>
      <c r="G1680" s="59">
        <f>SUM(F1673:F1679)</f>
        <v>438.15233833333332</v>
      </c>
      <c r="H1680" s="3" t="s">
        <v>19</v>
      </c>
    </row>
    <row r="1681" spans="1:8" x14ac:dyDescent="0.25">
      <c r="A1681" s="90"/>
      <c r="B1681" s="41"/>
      <c r="C1681" s="8"/>
      <c r="E1681" s="46"/>
      <c r="F1681" s="8"/>
      <c r="G1681" s="58"/>
      <c r="H1681" s="41"/>
    </row>
    <row r="1682" spans="1:8" ht="15.6" x14ac:dyDescent="0.3">
      <c r="A1682" s="90"/>
      <c r="B1682" s="3" t="s">
        <v>550</v>
      </c>
      <c r="C1682" s="8"/>
      <c r="E1682" s="46"/>
      <c r="F1682" s="8"/>
      <c r="G1682" s="58"/>
    </row>
    <row r="1683" spans="1:8" x14ac:dyDescent="0.25">
      <c r="A1683" s="90">
        <f>0.01+A1673</f>
        <v>13.419999999999991</v>
      </c>
      <c r="B1683" s="41" t="s">
        <v>551</v>
      </c>
      <c r="C1683" s="53">
        <v>0.17</v>
      </c>
      <c r="D1683" s="41" t="s">
        <v>21</v>
      </c>
      <c r="E1683" s="54">
        <f>+$E$1271</f>
        <v>0</v>
      </c>
      <c r="F1683" s="53">
        <f>E1683*C1683</f>
        <v>0</v>
      </c>
      <c r="G1683" s="58"/>
    </row>
    <row r="1684" spans="1:8" x14ac:dyDescent="0.25">
      <c r="A1684" s="90"/>
      <c r="B1684" s="41" t="s">
        <v>408</v>
      </c>
      <c r="C1684" s="53">
        <v>7.0000000000000007E-2</v>
      </c>
      <c r="D1684" s="41" t="s">
        <v>409</v>
      </c>
      <c r="E1684" s="54">
        <f>+$E$1674</f>
        <v>1350</v>
      </c>
      <c r="F1684" s="53">
        <f>E1684*C1684</f>
        <v>94.500000000000014</v>
      </c>
      <c r="G1684" s="58"/>
      <c r="H1684" s="41"/>
    </row>
    <row r="1685" spans="1:8" x14ac:dyDescent="0.25">
      <c r="A1685" s="90"/>
      <c r="B1685" s="41" t="s">
        <v>410</v>
      </c>
      <c r="C1685" s="53">
        <v>0.06</v>
      </c>
      <c r="D1685" s="41" t="s">
        <v>82</v>
      </c>
      <c r="E1685" s="54">
        <f>+$G$95</f>
        <v>15.807777777777778</v>
      </c>
      <c r="F1685" s="53">
        <f>E1685*C1685</f>
        <v>0.94846666666666668</v>
      </c>
      <c r="G1685" s="58"/>
    </row>
    <row r="1686" spans="1:8" x14ac:dyDescent="0.25">
      <c r="A1686" s="90"/>
      <c r="B1686" s="41" t="s">
        <v>411</v>
      </c>
      <c r="C1686" s="53">
        <v>0.1</v>
      </c>
      <c r="D1686" s="41" t="s">
        <v>82</v>
      </c>
      <c r="E1686" s="54">
        <f>+$E$1676</f>
        <v>80.850000000000009</v>
      </c>
      <c r="F1686" s="53">
        <f>E1686*C1686</f>
        <v>8.0850000000000009</v>
      </c>
      <c r="G1686" s="58"/>
    </row>
    <row r="1687" spans="1:8" x14ac:dyDescent="0.25">
      <c r="A1687" s="90"/>
      <c r="B1687" s="41" t="s">
        <v>67</v>
      </c>
      <c r="C1687" s="53">
        <v>10</v>
      </c>
      <c r="D1687" s="41" t="s">
        <v>34</v>
      </c>
      <c r="E1687" s="46">
        <f>SUM(F1683:F1686)</f>
        <v>103.53346666666667</v>
      </c>
      <c r="F1687" s="53">
        <f>E1687*C1687/100</f>
        <v>10.353346666666667</v>
      </c>
      <c r="G1687" s="58"/>
    </row>
    <row r="1688" spans="1:8" x14ac:dyDescent="0.25">
      <c r="A1688" s="90"/>
      <c r="B1688" s="41" t="s">
        <v>271</v>
      </c>
      <c r="C1688" s="53">
        <v>1</v>
      </c>
      <c r="D1688" s="41" t="s">
        <v>150</v>
      </c>
      <c r="E1688" s="54">
        <f>+$E$1678</f>
        <v>258.75</v>
      </c>
      <c r="F1688" s="53">
        <f>E1688*C1688</f>
        <v>258.75</v>
      </c>
      <c r="G1688" s="58"/>
    </row>
    <row r="1689" spans="1:8" x14ac:dyDescent="0.25">
      <c r="A1689" s="90"/>
      <c r="B1689" s="41" t="s">
        <v>541</v>
      </c>
      <c r="C1689" s="53">
        <v>1</v>
      </c>
      <c r="D1689" s="41" t="s">
        <v>150</v>
      </c>
      <c r="E1689" s="54">
        <f>+$E$1679</f>
        <v>80.5</v>
      </c>
      <c r="F1689" s="53">
        <f>E1689*C1689</f>
        <v>80.5</v>
      </c>
      <c r="G1689" s="58"/>
    </row>
    <row r="1690" spans="1:8" ht="15.6" x14ac:dyDescent="0.3">
      <c r="A1690" s="90"/>
      <c r="B1690" s="41"/>
      <c r="C1690" s="8"/>
      <c r="E1690" s="46"/>
      <c r="F1690" s="8"/>
      <c r="G1690" s="59">
        <f>SUM(F1683:F1689)</f>
        <v>453.13681333333335</v>
      </c>
      <c r="H1690" s="3" t="s">
        <v>19</v>
      </c>
    </row>
    <row r="1691" spans="1:8" x14ac:dyDescent="0.25">
      <c r="A1691" s="90"/>
      <c r="B1691" s="41"/>
      <c r="C1691" s="8"/>
      <c r="E1691" s="46"/>
      <c r="F1691" s="8"/>
      <c r="G1691" s="58"/>
    </row>
    <row r="1692" spans="1:8" ht="15.6" x14ac:dyDescent="0.3">
      <c r="A1692" s="90"/>
      <c r="B1692" s="3" t="s">
        <v>552</v>
      </c>
      <c r="C1692" s="8"/>
      <c r="E1692" s="46"/>
      <c r="F1692" s="8"/>
      <c r="G1692" s="58"/>
    </row>
    <row r="1693" spans="1:8" x14ac:dyDescent="0.25">
      <c r="A1693" s="90">
        <f>+A1683+0.01</f>
        <v>13.429999999999991</v>
      </c>
      <c r="B1693" s="41" t="s">
        <v>462</v>
      </c>
      <c r="C1693" s="53">
        <f>0.15*1.3</f>
        <v>0.19500000000000001</v>
      </c>
      <c r="D1693" s="41" t="s">
        <v>81</v>
      </c>
      <c r="E1693" s="54">
        <f>+$E$1582</f>
        <v>2012.5</v>
      </c>
      <c r="F1693" s="53">
        <f>E1693*C1693</f>
        <v>392.4375</v>
      </c>
      <c r="G1693" s="58"/>
    </row>
    <row r="1694" spans="1:8" x14ac:dyDescent="0.25">
      <c r="A1694" s="90"/>
      <c r="B1694" s="41" t="s">
        <v>408</v>
      </c>
      <c r="C1694" s="53">
        <v>7.0000000000000007E-2</v>
      </c>
      <c r="D1694" s="41" t="s">
        <v>409</v>
      </c>
      <c r="E1694" s="54">
        <f>+'[1]Lista de precios MAY25'!$E$138</f>
        <v>1350</v>
      </c>
      <c r="F1694" s="53">
        <f>E1694*C1694</f>
        <v>94.500000000000014</v>
      </c>
      <c r="G1694" s="58"/>
      <c r="H1694" s="41"/>
    </row>
    <row r="1695" spans="1:8" x14ac:dyDescent="0.25">
      <c r="A1695" s="90"/>
      <c r="B1695" s="41" t="s">
        <v>458</v>
      </c>
      <c r="C1695" s="53">
        <v>0.06</v>
      </c>
      <c r="D1695" s="41" t="s">
        <v>409</v>
      </c>
      <c r="E1695" s="54">
        <f>+'[1]Lista de precios MAY25'!$E$144</f>
        <v>3135.0270679999999</v>
      </c>
      <c r="F1695" s="53">
        <f>E1695*C1695</f>
        <v>188.10162407999999</v>
      </c>
      <c r="G1695" s="58"/>
    </row>
    <row r="1696" spans="1:8" x14ac:dyDescent="0.25">
      <c r="A1696" s="90"/>
      <c r="B1696" s="41" t="s">
        <v>411</v>
      </c>
      <c r="C1696" s="53">
        <f>0.05*0.3</f>
        <v>1.4999999999999999E-2</v>
      </c>
      <c r="D1696" s="41" t="s">
        <v>82</v>
      </c>
      <c r="E1696" s="54">
        <f>+'[1]Lista de precios MAY25'!$E$141</f>
        <v>80.850000000000009</v>
      </c>
      <c r="F1696" s="53">
        <f>E1696*C1696</f>
        <v>1.21275</v>
      </c>
      <c r="G1696" s="58"/>
    </row>
    <row r="1697" spans="1:8" x14ac:dyDescent="0.25">
      <c r="A1697" s="90"/>
      <c r="B1697" s="41" t="s">
        <v>67</v>
      </c>
      <c r="C1697" s="53">
        <v>15</v>
      </c>
      <c r="D1697" s="41" t="s">
        <v>34</v>
      </c>
      <c r="E1697" s="46">
        <f>SUM(F1693:F1696)</f>
        <v>676.25187407999999</v>
      </c>
      <c r="F1697" s="53">
        <f>E1697*C1697/100</f>
        <v>101.437781112</v>
      </c>
      <c r="G1697" s="58"/>
    </row>
    <row r="1698" spans="1:8" ht="14.25" customHeight="1" x14ac:dyDescent="0.25">
      <c r="A1698" s="16"/>
      <c r="B1698" s="41" t="s">
        <v>271</v>
      </c>
      <c r="C1698" s="53">
        <v>1</v>
      </c>
      <c r="D1698" s="41" t="s">
        <v>150</v>
      </c>
      <c r="E1698" s="54">
        <f>+'[1]MO MAY25'!$N$583</f>
        <v>230</v>
      </c>
      <c r="F1698" s="53">
        <f>E1698*C1698</f>
        <v>230</v>
      </c>
      <c r="G1698" s="58"/>
    </row>
    <row r="1699" spans="1:8" x14ac:dyDescent="0.25">
      <c r="A1699" s="90"/>
      <c r="B1699" s="41" t="s">
        <v>459</v>
      </c>
      <c r="C1699" s="53">
        <v>1</v>
      </c>
      <c r="D1699" s="41" t="s">
        <v>150</v>
      </c>
      <c r="E1699" s="54">
        <f>+$E$1689</f>
        <v>80.5</v>
      </c>
      <c r="F1699" s="53">
        <f>E1699*C1699</f>
        <v>80.5</v>
      </c>
      <c r="G1699" s="58"/>
    </row>
    <row r="1700" spans="1:8" ht="15.6" x14ac:dyDescent="0.3">
      <c r="A1700" s="90"/>
      <c r="B1700" s="41"/>
      <c r="C1700" s="53"/>
      <c r="D1700" s="41"/>
      <c r="E1700" s="54"/>
      <c r="F1700" s="53"/>
      <c r="G1700" s="56">
        <f>SUM(F1693:F1699)</f>
        <v>1088.1896551919999</v>
      </c>
      <c r="H1700" s="57" t="s">
        <v>19</v>
      </c>
    </row>
    <row r="1701" spans="1:8" ht="15.6" x14ac:dyDescent="0.3">
      <c r="A1701" s="90"/>
      <c r="B1701" s="3" t="s">
        <v>553</v>
      </c>
      <c r="C1701" s="8"/>
      <c r="E1701" s="46"/>
      <c r="F1701" s="8"/>
      <c r="G1701" s="56">
        <f>SUM(F1693:F1699)+(F1699+F1698)*0.05</f>
        <v>1103.714655192</v>
      </c>
      <c r="H1701" s="57" t="s">
        <v>19</v>
      </c>
    </row>
    <row r="1702" spans="1:8" x14ac:dyDescent="0.25">
      <c r="A1702" s="90">
        <f>+A1693+0.01</f>
        <v>13.439999999999991</v>
      </c>
      <c r="B1702" s="41" t="s">
        <v>462</v>
      </c>
      <c r="C1702" s="53">
        <f>0.15*1.3</f>
        <v>0.19500000000000001</v>
      </c>
      <c r="D1702" s="41" t="s">
        <v>81</v>
      </c>
      <c r="E1702" s="54">
        <f>+$E$1297</f>
        <v>1508.75</v>
      </c>
      <c r="F1702" s="53">
        <f>E1702*C1702</f>
        <v>294.20625000000001</v>
      </c>
      <c r="G1702" s="58"/>
    </row>
    <row r="1703" spans="1:8" x14ac:dyDescent="0.25">
      <c r="A1703" s="90"/>
      <c r="B1703" s="41" t="s">
        <v>408</v>
      </c>
      <c r="C1703" s="53">
        <v>7.0000000000000007E-2</v>
      </c>
      <c r="D1703" s="41" t="s">
        <v>409</v>
      </c>
      <c r="E1703" s="54">
        <f>+'[1]Lista de precios MAY25'!$E$138</f>
        <v>1350</v>
      </c>
      <c r="F1703" s="53">
        <f>E1703*C1703</f>
        <v>94.500000000000014</v>
      </c>
      <c r="G1703" s="58"/>
      <c r="H1703" s="41"/>
    </row>
    <row r="1704" spans="1:8" x14ac:dyDescent="0.25">
      <c r="A1704" s="90"/>
      <c r="B1704" s="41" t="s">
        <v>458</v>
      </c>
      <c r="C1704" s="53">
        <v>0.06</v>
      </c>
      <c r="D1704" s="41" t="s">
        <v>409</v>
      </c>
      <c r="E1704" s="54">
        <f>+'[1]Lista de precios MAY25'!$E$144</f>
        <v>3135.0270679999999</v>
      </c>
      <c r="F1704" s="53">
        <f>E1704*C1704</f>
        <v>188.10162407999999</v>
      </c>
      <c r="G1704" s="58"/>
    </row>
    <row r="1705" spans="1:8" x14ac:dyDescent="0.25">
      <c r="A1705" s="90"/>
      <c r="B1705" s="41" t="s">
        <v>411</v>
      </c>
      <c r="C1705" s="53">
        <f>0.05*0.3</f>
        <v>1.4999999999999999E-2</v>
      </c>
      <c r="D1705" s="41" t="s">
        <v>82</v>
      </c>
      <c r="E1705" s="54">
        <f>+'[1]Lista de precios MAY25'!$E$141</f>
        <v>80.850000000000009</v>
      </c>
      <c r="F1705" s="53">
        <f>E1705*C1705</f>
        <v>1.21275</v>
      </c>
      <c r="G1705" s="58"/>
    </row>
    <row r="1706" spans="1:8" x14ac:dyDescent="0.25">
      <c r="A1706" s="90"/>
      <c r="B1706" s="41" t="s">
        <v>67</v>
      </c>
      <c r="C1706" s="53">
        <v>15</v>
      </c>
      <c r="D1706" s="41" t="s">
        <v>34</v>
      </c>
      <c r="E1706" s="54">
        <f>SUM(F1702:F1705)</f>
        <v>578.02062408000006</v>
      </c>
      <c r="F1706" s="53">
        <f>E1706*C1706/100</f>
        <v>86.703093612000018</v>
      </c>
      <c r="G1706" s="58"/>
    </row>
    <row r="1707" spans="1:8" x14ac:dyDescent="0.25">
      <c r="A1707" s="16"/>
      <c r="B1707" s="41" t="s">
        <v>271</v>
      </c>
      <c r="C1707" s="53">
        <v>1</v>
      </c>
      <c r="D1707" s="41" t="s">
        <v>150</v>
      </c>
      <c r="E1707" s="54">
        <f>+'[1]MO MAY25'!$N$583</f>
        <v>230</v>
      </c>
      <c r="F1707" s="53">
        <f>E1707*C1707</f>
        <v>230</v>
      </c>
      <c r="G1707" s="58"/>
    </row>
    <row r="1708" spans="1:8" x14ac:dyDescent="0.25">
      <c r="A1708" s="90"/>
      <c r="B1708" s="41" t="s">
        <v>459</v>
      </c>
      <c r="C1708" s="53">
        <v>1</v>
      </c>
      <c r="D1708" s="41" t="s">
        <v>150</v>
      </c>
      <c r="E1708" s="54">
        <f>+'[1]MO MAY25'!$N$587*1.5</f>
        <v>60.375</v>
      </c>
      <c r="F1708" s="53">
        <f>E1708*C1708</f>
        <v>60.375</v>
      </c>
      <c r="G1708" s="58"/>
    </row>
    <row r="1709" spans="1:8" ht="15.6" x14ac:dyDescent="0.3">
      <c r="A1709" s="90"/>
      <c r="B1709" s="41"/>
      <c r="C1709" s="53"/>
      <c r="D1709" s="41"/>
      <c r="E1709" s="54"/>
      <c r="F1709" s="53"/>
      <c r="G1709" s="159">
        <f>SUM(F1702:F1708)</f>
        <v>955.09871769200004</v>
      </c>
      <c r="H1709" s="115" t="s">
        <v>19</v>
      </c>
    </row>
    <row r="1710" spans="1:8" ht="15.6" x14ac:dyDescent="0.3">
      <c r="A1710" s="90"/>
      <c r="B1710" s="41"/>
      <c r="C1710" s="53"/>
      <c r="D1710" s="41"/>
      <c r="E1710" s="54"/>
      <c r="F1710" s="53"/>
      <c r="G1710" s="114">
        <f>SUM(F1702:F1708)+(F1708+F1707)*0.05</f>
        <v>969.61746769199999</v>
      </c>
      <c r="H1710" s="115" t="s">
        <v>19</v>
      </c>
    </row>
    <row r="1711" spans="1:8" ht="15.6" x14ac:dyDescent="0.3">
      <c r="A1711" s="90"/>
      <c r="B1711" s="3" t="s">
        <v>554</v>
      </c>
      <c r="C1711" s="8"/>
      <c r="E1711" s="46"/>
      <c r="F1711" s="8"/>
      <c r="G1711" s="58"/>
    </row>
    <row r="1712" spans="1:8" x14ac:dyDescent="0.25">
      <c r="A1712" s="90">
        <f>+A1702+0.01</f>
        <v>13.44999999999999</v>
      </c>
      <c r="B1712" s="41" t="s">
        <v>462</v>
      </c>
      <c r="C1712" s="53">
        <v>0.25</v>
      </c>
      <c r="D1712" s="41" t="s">
        <v>81</v>
      </c>
      <c r="E1712" s="54">
        <f>+$E$1371*1.3</f>
        <v>1747.2873599999998</v>
      </c>
      <c r="F1712" s="53">
        <f>E1712*C1712</f>
        <v>436.82183999999995</v>
      </c>
      <c r="G1712" s="58"/>
    </row>
    <row r="1713" spans="1:8" x14ac:dyDescent="0.25">
      <c r="A1713" s="90"/>
      <c r="B1713" s="41" t="s">
        <v>408</v>
      </c>
      <c r="C1713" s="53">
        <v>7.0000000000000007E-2</v>
      </c>
      <c r="D1713" s="41" t="s">
        <v>409</v>
      </c>
      <c r="E1713" s="54">
        <f>+'[1]Lista de precios MAY25'!$E$138</f>
        <v>1350</v>
      </c>
      <c r="F1713" s="53">
        <f>E1713*C1713</f>
        <v>94.500000000000014</v>
      </c>
      <c r="G1713" s="58"/>
      <c r="H1713" s="41"/>
    </row>
    <row r="1714" spans="1:8" x14ac:dyDescent="0.25">
      <c r="A1714" s="90"/>
      <c r="B1714" s="41" t="s">
        <v>555</v>
      </c>
      <c r="C1714" s="53">
        <v>0.06</v>
      </c>
      <c r="D1714" s="41" t="s">
        <v>409</v>
      </c>
      <c r="E1714" s="54">
        <f>+'[1]Lista de precios MAY25'!$E$144</f>
        <v>3135.0270679999999</v>
      </c>
      <c r="F1714" s="53">
        <f>E1714*C1714</f>
        <v>188.10162407999999</v>
      </c>
      <c r="G1714" s="58"/>
    </row>
    <row r="1715" spans="1:8" x14ac:dyDescent="0.25">
      <c r="A1715" s="90"/>
      <c r="B1715" s="41" t="s">
        <v>411</v>
      </c>
      <c r="C1715" s="53">
        <f>0.05*0.3</f>
        <v>1.4999999999999999E-2</v>
      </c>
      <c r="D1715" s="41" t="s">
        <v>82</v>
      </c>
      <c r="E1715" s="54">
        <f>+'[1]Lista de precios MAY25'!$E$141</f>
        <v>80.850000000000009</v>
      </c>
      <c r="F1715" s="53">
        <f>E1715*C1715</f>
        <v>1.21275</v>
      </c>
      <c r="G1715" s="58"/>
    </row>
    <row r="1716" spans="1:8" x14ac:dyDescent="0.25">
      <c r="A1716" s="90"/>
      <c r="B1716" s="41" t="s">
        <v>67</v>
      </c>
      <c r="C1716" s="53">
        <v>10</v>
      </c>
      <c r="D1716" s="41" t="s">
        <v>34</v>
      </c>
      <c r="E1716" s="54">
        <f>SUM(F1712:F1715)</f>
        <v>720.63621407999995</v>
      </c>
      <c r="F1716" s="53">
        <f>E1716*C1716/100</f>
        <v>72.063621408000003</v>
      </c>
      <c r="G1716" s="58"/>
    </row>
    <row r="1717" spans="1:8" x14ac:dyDescent="0.25">
      <c r="A1717" s="16"/>
      <c r="B1717" s="41" t="s">
        <v>271</v>
      </c>
      <c r="C1717" s="53">
        <v>1</v>
      </c>
      <c r="D1717" s="41" t="s">
        <v>150</v>
      </c>
      <c r="E1717" s="54">
        <f>+'[1]MO MAY25'!$N$583</f>
        <v>230</v>
      </c>
      <c r="F1717" s="53">
        <f>E1717*C1717</f>
        <v>230</v>
      </c>
      <c r="G1717" s="58"/>
    </row>
    <row r="1718" spans="1:8" x14ac:dyDescent="0.25">
      <c r="A1718" s="90"/>
      <c r="B1718" s="41" t="s">
        <v>459</v>
      </c>
      <c r="C1718" s="53">
        <v>1</v>
      </c>
      <c r="D1718" s="41" t="s">
        <v>150</v>
      </c>
      <c r="E1718" s="54">
        <f>+'[1]MO MAY25'!$N$587*1.5</f>
        <v>60.375</v>
      </c>
      <c r="F1718" s="53">
        <f>E1718*C1718</f>
        <v>60.375</v>
      </c>
      <c r="G1718" s="58"/>
    </row>
    <row r="1719" spans="1:8" ht="15.6" x14ac:dyDescent="0.3">
      <c r="A1719" s="90"/>
      <c r="B1719" s="41"/>
      <c r="C1719" s="53"/>
      <c r="D1719" s="41"/>
      <c r="E1719" s="54"/>
      <c r="F1719" s="53"/>
      <c r="G1719" s="56">
        <f>SUM(F1712:F1718)</f>
        <v>1083.074835488</v>
      </c>
      <c r="H1719" s="57" t="s">
        <v>19</v>
      </c>
    </row>
    <row r="1720" spans="1:8" ht="15.6" x14ac:dyDescent="0.3">
      <c r="A1720" s="90"/>
      <c r="B1720" s="3" t="s">
        <v>556</v>
      </c>
      <c r="C1720" s="8"/>
      <c r="E1720" s="46"/>
      <c r="F1720" s="8"/>
      <c r="G1720" s="58"/>
    </row>
    <row r="1721" spans="1:8" x14ac:dyDescent="0.25">
      <c r="A1721" s="90">
        <f>+A1711+0.01</f>
        <v>0.01</v>
      </c>
      <c r="B1721" s="41" t="s">
        <v>487</v>
      </c>
      <c r="C1721" s="53">
        <v>0.25</v>
      </c>
      <c r="D1721" s="41" t="s">
        <v>81</v>
      </c>
      <c r="E1721" s="54">
        <f>+$E$1396</f>
        <v>1949.9971999999998</v>
      </c>
      <c r="F1721" s="53">
        <f>E1721*C1721</f>
        <v>487.49929999999995</v>
      </c>
      <c r="G1721" s="58"/>
    </row>
    <row r="1722" spans="1:8" x14ac:dyDescent="0.25">
      <c r="A1722" s="90"/>
      <c r="B1722" s="41" t="s">
        <v>408</v>
      </c>
      <c r="C1722" s="53">
        <v>7.0000000000000007E-2</v>
      </c>
      <c r="D1722" s="41" t="s">
        <v>409</v>
      </c>
      <c r="E1722" s="54">
        <f>+'[1]Lista de precios MAY25'!$E$138</f>
        <v>1350</v>
      </c>
      <c r="F1722" s="53">
        <f>E1722*C1722</f>
        <v>94.500000000000014</v>
      </c>
      <c r="G1722" s="58"/>
      <c r="H1722" s="41"/>
    </row>
    <row r="1723" spans="1:8" x14ac:dyDescent="0.25">
      <c r="A1723" s="90"/>
      <c r="B1723" s="41" t="s">
        <v>555</v>
      </c>
      <c r="C1723" s="53">
        <v>0.06</v>
      </c>
      <c r="D1723" s="41" t="s">
        <v>409</v>
      </c>
      <c r="E1723" s="54">
        <f>+'[1]Lista de precios MAY25'!$E$144</f>
        <v>3135.0270679999999</v>
      </c>
      <c r="F1723" s="53">
        <f>E1723*C1723</f>
        <v>188.10162407999999</v>
      </c>
      <c r="G1723" s="58"/>
    </row>
    <row r="1724" spans="1:8" x14ac:dyDescent="0.25">
      <c r="A1724" s="90"/>
      <c r="B1724" s="41" t="s">
        <v>411</v>
      </c>
      <c r="C1724" s="53">
        <f>0.05*0.3</f>
        <v>1.4999999999999999E-2</v>
      </c>
      <c r="D1724" s="41" t="s">
        <v>82</v>
      </c>
      <c r="E1724" s="54">
        <f>+'[1]Lista de precios MAY25'!$E$141</f>
        <v>80.850000000000009</v>
      </c>
      <c r="F1724" s="53">
        <f>E1724*C1724</f>
        <v>1.21275</v>
      </c>
      <c r="G1724" s="58"/>
    </row>
    <row r="1725" spans="1:8" x14ac:dyDescent="0.25">
      <c r="A1725" s="90"/>
      <c r="B1725" s="41" t="s">
        <v>67</v>
      </c>
      <c r="C1725" s="53">
        <v>10</v>
      </c>
      <c r="D1725" s="41" t="s">
        <v>34</v>
      </c>
      <c r="E1725" s="54">
        <f>SUM(F1721:F1724)</f>
        <v>771.31367407999994</v>
      </c>
      <c r="F1725" s="53">
        <f>E1725*C1725/100</f>
        <v>77.131367408000003</v>
      </c>
      <c r="G1725" s="58"/>
    </row>
    <row r="1726" spans="1:8" x14ac:dyDescent="0.25">
      <c r="A1726" s="16"/>
      <c r="B1726" s="41" t="s">
        <v>271</v>
      </c>
      <c r="C1726" s="53">
        <v>1</v>
      </c>
      <c r="D1726" s="41" t="s">
        <v>150</v>
      </c>
      <c r="E1726" s="54">
        <f>+'[1]MO MAY25'!$N$583</f>
        <v>230</v>
      </c>
      <c r="F1726" s="53">
        <f>E1726*C1726</f>
        <v>230</v>
      </c>
      <c r="G1726" s="58"/>
    </row>
    <row r="1727" spans="1:8" x14ac:dyDescent="0.25">
      <c r="A1727" s="90"/>
      <c r="B1727" s="41" t="s">
        <v>459</v>
      </c>
      <c r="C1727" s="53">
        <v>1</v>
      </c>
      <c r="D1727" s="41" t="s">
        <v>150</v>
      </c>
      <c r="E1727" s="54">
        <f>+'[1]MO MAY25'!$N$587*1.5</f>
        <v>60.375</v>
      </c>
      <c r="F1727" s="53">
        <f>E1727*C1727</f>
        <v>60.375</v>
      </c>
      <c r="G1727" s="58"/>
    </row>
    <row r="1728" spans="1:8" ht="15.6" x14ac:dyDescent="0.3">
      <c r="A1728" s="90"/>
      <c r="B1728" s="41"/>
      <c r="C1728" s="53"/>
      <c r="D1728" s="41"/>
      <c r="E1728" s="54"/>
      <c r="F1728" s="53"/>
      <c r="G1728" s="56">
        <f>SUM(F1721:F1727)</f>
        <v>1138.8200414879998</v>
      </c>
      <c r="H1728" s="57" t="s">
        <v>19</v>
      </c>
    </row>
    <row r="1729" spans="1:10" x14ac:dyDescent="0.25">
      <c r="A1729" s="90"/>
      <c r="B1729" s="41"/>
      <c r="C1729" s="53"/>
      <c r="D1729" s="41"/>
      <c r="E1729" s="54"/>
      <c r="F1729" s="53"/>
      <c r="G1729" s="58"/>
      <c r="H1729" s="41"/>
    </row>
    <row r="1730" spans="1:10" ht="15.6" x14ac:dyDescent="0.3">
      <c r="A1730" s="90"/>
      <c r="B1730" s="3" t="s">
        <v>557</v>
      </c>
      <c r="E1730" s="46"/>
      <c r="G1730" s="58"/>
      <c r="H1730" s="41"/>
    </row>
    <row r="1731" spans="1:10" ht="15.6" x14ac:dyDescent="0.3">
      <c r="A1731" s="20">
        <f>+A1130+1</f>
        <v>14</v>
      </c>
      <c r="B1731" s="3"/>
      <c r="E1731" s="46"/>
      <c r="G1731" s="58"/>
      <c r="H1731" s="41"/>
    </row>
    <row r="1732" spans="1:10" ht="15.6" x14ac:dyDescent="0.3">
      <c r="A1732" s="20"/>
      <c r="B1732" s="3" t="s">
        <v>558</v>
      </c>
      <c r="E1732" s="46"/>
      <c r="G1732" s="58"/>
    </row>
    <row r="1733" spans="1:10" x14ac:dyDescent="0.25">
      <c r="A1733" s="90">
        <f>+A1731+0.01</f>
        <v>14.01</v>
      </c>
      <c r="B1733" s="41" t="s">
        <v>559</v>
      </c>
      <c r="C1733" s="53">
        <v>1</v>
      </c>
      <c r="D1733" s="41" t="s">
        <v>81</v>
      </c>
      <c r="E1733" s="168">
        <f>+(148.5*57.85)*1.18</f>
        <v>10137.0555</v>
      </c>
      <c r="F1733" s="53">
        <f>E1733*C1733</f>
        <v>10137.0555</v>
      </c>
      <c r="G1733" s="160"/>
    </row>
    <row r="1734" spans="1:10" x14ac:dyDescent="0.25">
      <c r="A1734" s="90"/>
      <c r="B1734" s="41" t="s">
        <v>516</v>
      </c>
      <c r="C1734" s="53">
        <v>0.15</v>
      </c>
      <c r="D1734" s="41" t="s">
        <v>517</v>
      </c>
      <c r="E1734" s="168">
        <f>+'[1]Lista de precios MAY25'!$E$138</f>
        <v>1350</v>
      </c>
      <c r="F1734" s="53">
        <f>E1734*C1734</f>
        <v>202.5</v>
      </c>
      <c r="G1734" s="58"/>
    </row>
    <row r="1735" spans="1:10" x14ac:dyDescent="0.25">
      <c r="A1735" s="90"/>
      <c r="B1735" s="41" t="s">
        <v>518</v>
      </c>
      <c r="C1735" s="53">
        <v>5</v>
      </c>
      <c r="D1735" s="41" t="s">
        <v>82</v>
      </c>
      <c r="E1735" s="168">
        <f>+$G$95</f>
        <v>15.807777777777778</v>
      </c>
      <c r="F1735" s="53">
        <f>E1735*C1735</f>
        <v>79.038888888888891</v>
      </c>
      <c r="G1735" s="58"/>
    </row>
    <row r="1736" spans="1:10" x14ac:dyDescent="0.25">
      <c r="A1736" s="90"/>
      <c r="B1736" s="41" t="s">
        <v>411</v>
      </c>
      <c r="C1736" s="53">
        <v>0.05</v>
      </c>
      <c r="D1736" s="41" t="s">
        <v>82</v>
      </c>
      <c r="E1736" s="172">
        <f>+'[1]Lista de precios MAY25'!$E$141</f>
        <v>80.850000000000009</v>
      </c>
      <c r="F1736" s="53">
        <f>E1736*C1736</f>
        <v>4.0425000000000004</v>
      </c>
      <c r="G1736" s="58"/>
      <c r="H1736" s="2">
        <f>60*120</f>
        <v>7200</v>
      </c>
    </row>
    <row r="1737" spans="1:10" x14ac:dyDescent="0.25">
      <c r="A1737" s="90"/>
      <c r="B1737" s="41" t="s">
        <v>268</v>
      </c>
      <c r="C1737" s="53">
        <v>10</v>
      </c>
      <c r="D1737" s="41" t="s">
        <v>34</v>
      </c>
      <c r="E1737" s="172">
        <f>SUM(F1733:F1736)</f>
        <v>10422.636888888888</v>
      </c>
      <c r="F1737" s="53">
        <f>E1737*C1737/100</f>
        <v>1042.263688888889</v>
      </c>
      <c r="G1737" s="58"/>
    </row>
    <row r="1738" spans="1:10" x14ac:dyDescent="0.25">
      <c r="A1738" s="90"/>
      <c r="B1738" s="41" t="s">
        <v>459</v>
      </c>
      <c r="C1738" s="53">
        <v>1.5</v>
      </c>
      <c r="D1738" s="41" t="s">
        <v>184</v>
      </c>
      <c r="E1738" s="54">
        <f>+'[1]MO MAY25'!$N$587*1.5</f>
        <v>60.375</v>
      </c>
      <c r="F1738" s="53">
        <f>E1738*C1738</f>
        <v>90.5625</v>
      </c>
      <c r="G1738" s="58"/>
    </row>
    <row r="1739" spans="1:10" x14ac:dyDescent="0.25">
      <c r="A1739" s="90"/>
      <c r="B1739" s="41" t="s">
        <v>271</v>
      </c>
      <c r="C1739" s="53">
        <v>1</v>
      </c>
      <c r="D1739" s="41" t="s">
        <v>81</v>
      </c>
      <c r="E1739" s="54">
        <f>+'[1]MO MAY25'!$N$568</f>
        <v>1035</v>
      </c>
      <c r="F1739" s="53">
        <f>E1739*C1739</f>
        <v>1035</v>
      </c>
      <c r="G1739" s="58"/>
    </row>
    <row r="1740" spans="1:10" x14ac:dyDescent="0.25">
      <c r="A1740" s="90"/>
      <c r="B1740" s="41" t="s">
        <v>560</v>
      </c>
      <c r="C1740" s="53">
        <v>1</v>
      </c>
      <c r="D1740" s="41" t="s">
        <v>81</v>
      </c>
      <c r="E1740" s="54">
        <f>+'[1]MO MAY25'!$N$581</f>
        <v>258.75</v>
      </c>
      <c r="F1740" s="53">
        <f>E1740*C1740</f>
        <v>258.75</v>
      </c>
      <c r="G1740" s="58"/>
    </row>
    <row r="1741" spans="1:10" x14ac:dyDescent="0.25">
      <c r="A1741" s="90"/>
      <c r="B1741" s="41" t="s">
        <v>561</v>
      </c>
      <c r="C1741" s="53">
        <v>1</v>
      </c>
      <c r="D1741" s="41" t="s">
        <v>79</v>
      </c>
      <c r="E1741" s="168">
        <f>+'[1]MO MAY25'!$N$435</f>
        <v>1725</v>
      </c>
      <c r="F1741" s="53">
        <f>E1741*C1741</f>
        <v>1725</v>
      </c>
      <c r="G1741" s="58"/>
    </row>
    <row r="1742" spans="1:10" ht="15.6" x14ac:dyDescent="0.3">
      <c r="A1742" s="90"/>
      <c r="B1742" s="41"/>
      <c r="D1742" s="41"/>
      <c r="E1742" s="46"/>
      <c r="G1742" s="39">
        <f>SUM(F1733:F1741)</f>
        <v>14574.213077777777</v>
      </c>
      <c r="H1742" s="3" t="s">
        <v>141</v>
      </c>
      <c r="J1742" s="40"/>
    </row>
    <row r="1743" spans="1:10" x14ac:dyDescent="0.25">
      <c r="A1743" s="90"/>
      <c r="B1743" s="41"/>
      <c r="E1743" s="46"/>
      <c r="G1743" s="58"/>
      <c r="H1743" s="41"/>
    </row>
    <row r="1744" spans="1:10" ht="15.6" x14ac:dyDescent="0.3">
      <c r="A1744" s="90"/>
      <c r="B1744" s="3" t="s">
        <v>562</v>
      </c>
      <c r="E1744" s="46"/>
      <c r="G1744" s="58"/>
    </row>
    <row r="1745" spans="1:11" x14ac:dyDescent="0.25">
      <c r="A1745" s="90">
        <f>+A1733+0.01</f>
        <v>14.02</v>
      </c>
      <c r="B1745" s="41" t="s">
        <v>563</v>
      </c>
      <c r="C1745" s="53">
        <v>1</v>
      </c>
      <c r="D1745" s="41" t="s">
        <v>81</v>
      </c>
      <c r="E1745" s="168"/>
      <c r="F1745" s="53">
        <f>E1745*C1745</f>
        <v>0</v>
      </c>
      <c r="G1745" s="160" t="s">
        <v>443</v>
      </c>
      <c r="J1745" s="173"/>
    </row>
    <row r="1746" spans="1:11" x14ac:dyDescent="0.25">
      <c r="A1746" s="90"/>
      <c r="B1746" s="41" t="s">
        <v>516</v>
      </c>
      <c r="C1746" s="53">
        <v>0.15</v>
      </c>
      <c r="D1746" s="41" t="s">
        <v>517</v>
      </c>
      <c r="E1746" s="168">
        <f>+$E$1734</f>
        <v>1350</v>
      </c>
      <c r="F1746" s="53">
        <f>E1746*C1746</f>
        <v>202.5</v>
      </c>
      <c r="G1746" s="58"/>
      <c r="J1746" s="173"/>
    </row>
    <row r="1747" spans="1:11" x14ac:dyDescent="0.25">
      <c r="A1747" s="90"/>
      <c r="B1747" s="41" t="s">
        <v>518</v>
      </c>
      <c r="C1747" s="53">
        <v>5</v>
      </c>
      <c r="D1747" s="41" t="s">
        <v>82</v>
      </c>
      <c r="E1747" s="168">
        <f>+$G$95</f>
        <v>15.807777777777778</v>
      </c>
      <c r="F1747" s="53">
        <f>E1747*C1747</f>
        <v>79.038888888888891</v>
      </c>
      <c r="G1747" s="58"/>
      <c r="J1747" s="173"/>
    </row>
    <row r="1748" spans="1:11" x14ac:dyDescent="0.25">
      <c r="A1748" s="90"/>
      <c r="B1748" s="41" t="s">
        <v>411</v>
      </c>
      <c r="C1748" s="53">
        <v>0.05</v>
      </c>
      <c r="D1748" s="41" t="s">
        <v>82</v>
      </c>
      <c r="E1748" s="172">
        <f>+$E$1736</f>
        <v>80.850000000000009</v>
      </c>
      <c r="F1748" s="53">
        <f>E1748*C1748</f>
        <v>4.0425000000000004</v>
      </c>
      <c r="G1748" s="58"/>
      <c r="J1748" s="173"/>
    </row>
    <row r="1749" spans="1:11" x14ac:dyDescent="0.25">
      <c r="A1749" s="90"/>
      <c r="B1749" s="41" t="s">
        <v>268</v>
      </c>
      <c r="C1749" s="53">
        <v>10</v>
      </c>
      <c r="D1749" s="41" t="s">
        <v>34</v>
      </c>
      <c r="E1749" s="172">
        <f>SUM(F1745:F1748)</f>
        <v>285.58138888888891</v>
      </c>
      <c r="F1749" s="53">
        <f>E1749*C1749/100</f>
        <v>28.558138888888887</v>
      </c>
      <c r="G1749" s="58"/>
      <c r="J1749" s="173"/>
    </row>
    <row r="1750" spans="1:11" x14ac:dyDescent="0.25">
      <c r="A1750" s="90"/>
      <c r="B1750" s="41" t="s">
        <v>459</v>
      </c>
      <c r="C1750" s="53">
        <v>1.8</v>
      </c>
      <c r="D1750" s="41" t="s">
        <v>184</v>
      </c>
      <c r="E1750" s="168">
        <f>+$E$1738</f>
        <v>60.375</v>
      </c>
      <c r="F1750" s="53">
        <f>E1750*C1750</f>
        <v>108.675</v>
      </c>
      <c r="G1750" s="58"/>
      <c r="J1750" s="173"/>
    </row>
    <row r="1751" spans="1:11" x14ac:dyDescent="0.25">
      <c r="A1751" s="90"/>
      <c r="B1751" s="41" t="s">
        <v>271</v>
      </c>
      <c r="C1751" s="53">
        <v>1</v>
      </c>
      <c r="D1751" s="41" t="s">
        <v>81</v>
      </c>
      <c r="E1751" s="168">
        <f>+'[1]MO MAY25'!$N$597</f>
        <v>977.5</v>
      </c>
      <c r="F1751" s="53">
        <f>E1751*C1751</f>
        <v>977.5</v>
      </c>
      <c r="G1751" s="58"/>
      <c r="K1751" s="173"/>
    </row>
    <row r="1752" spans="1:11" ht="15.6" x14ac:dyDescent="0.3">
      <c r="A1752" s="90"/>
      <c r="B1752" s="41" t="s">
        <v>564</v>
      </c>
      <c r="C1752" s="53">
        <v>1</v>
      </c>
      <c r="D1752" s="41" t="s">
        <v>81</v>
      </c>
      <c r="E1752" s="54"/>
      <c r="F1752" s="53">
        <f>E1752*C1752</f>
        <v>0</v>
      </c>
      <c r="G1752" s="59"/>
      <c r="H1752" s="21"/>
      <c r="K1752" s="173"/>
    </row>
    <row r="1753" spans="1:11" x14ac:dyDescent="0.25">
      <c r="A1753" s="90"/>
      <c r="B1753" s="41" t="s">
        <v>561</v>
      </c>
      <c r="C1753" s="53">
        <v>1</v>
      </c>
      <c r="D1753" s="41" t="s">
        <v>79</v>
      </c>
      <c r="E1753" s="168">
        <f>+$E$1741</f>
        <v>1725</v>
      </c>
      <c r="F1753" s="53">
        <f>E1753*C1753</f>
        <v>1725</v>
      </c>
      <c r="G1753" s="58"/>
    </row>
    <row r="1754" spans="1:11" ht="15.6" x14ac:dyDescent="0.3">
      <c r="A1754" s="90"/>
      <c r="B1754" s="41"/>
      <c r="E1754" s="46"/>
      <c r="G1754" s="59">
        <f>SUM(F1745:F1753)</f>
        <v>3125.3145277777776</v>
      </c>
      <c r="H1754" s="3" t="s">
        <v>141</v>
      </c>
      <c r="K1754" s="173"/>
    </row>
    <row r="1755" spans="1:11" x14ac:dyDescent="0.25">
      <c r="A1755" s="90"/>
      <c r="B1755" s="41"/>
      <c r="E1755" s="46"/>
      <c r="G1755" s="58"/>
      <c r="H1755" s="41"/>
      <c r="K1755" s="173"/>
    </row>
    <row r="1756" spans="1:11" ht="15.6" x14ac:dyDescent="0.3">
      <c r="A1756" s="90"/>
      <c r="B1756" s="3" t="s">
        <v>565</v>
      </c>
      <c r="E1756" s="46"/>
      <c r="G1756" s="58"/>
    </row>
    <row r="1757" spans="1:11" ht="19.5" customHeight="1" x14ac:dyDescent="0.25">
      <c r="A1757" s="90">
        <f>+A1745+0.01</f>
        <v>14.03</v>
      </c>
      <c r="B1757" s="41" t="s">
        <v>566</v>
      </c>
      <c r="C1757" s="53">
        <v>1</v>
      </c>
      <c r="D1757" s="41" t="s">
        <v>81</v>
      </c>
      <c r="E1757" s="168">
        <f>+K1751*57.7</f>
        <v>0</v>
      </c>
      <c r="F1757" s="53">
        <f>E1757*C1757</f>
        <v>0</v>
      </c>
      <c r="G1757" s="58"/>
    </row>
    <row r="1758" spans="1:11" x14ac:dyDescent="0.25">
      <c r="A1758" s="90"/>
      <c r="B1758" s="41" t="s">
        <v>567</v>
      </c>
      <c r="C1758" s="53">
        <f>1/6</f>
        <v>0.16666666666666666</v>
      </c>
      <c r="D1758" s="41" t="s">
        <v>517</v>
      </c>
      <c r="E1758" s="168">
        <f>+'[1]Lista de precios MAY25'!$E$137</f>
        <v>3658.4719999999998</v>
      </c>
      <c r="F1758" s="53">
        <f>E1758*C1758</f>
        <v>609.74533333333329</v>
      </c>
      <c r="G1758" s="160" t="s">
        <v>443</v>
      </c>
    </row>
    <row r="1759" spans="1:11" x14ac:dyDescent="0.25">
      <c r="A1759" s="90"/>
      <c r="B1759" s="41" t="s">
        <v>535</v>
      </c>
      <c r="C1759" s="53">
        <f>1/8.5</f>
        <v>0.11764705882352941</v>
      </c>
      <c r="D1759" s="41" t="s">
        <v>82</v>
      </c>
      <c r="E1759" s="168">
        <f>+$G$95</f>
        <v>15.807777777777778</v>
      </c>
      <c r="F1759" s="53">
        <f>E1759*C1759</f>
        <v>1.8597385620915032</v>
      </c>
      <c r="G1759" s="58"/>
    </row>
    <row r="1760" spans="1:11" x14ac:dyDescent="0.25">
      <c r="A1760" s="90"/>
      <c r="B1760" s="41" t="s">
        <v>411</v>
      </c>
      <c r="C1760" s="53">
        <v>1</v>
      </c>
      <c r="D1760" s="41" t="s">
        <v>82</v>
      </c>
      <c r="E1760" s="172">
        <f>+$E$1748</f>
        <v>80.850000000000009</v>
      </c>
      <c r="F1760" s="53">
        <f>E1760*C1760</f>
        <v>80.850000000000009</v>
      </c>
      <c r="G1760" s="58"/>
    </row>
    <row r="1761" spans="1:8" x14ac:dyDescent="0.25">
      <c r="A1761" s="90"/>
      <c r="B1761" s="41" t="s">
        <v>268</v>
      </c>
      <c r="C1761" s="53">
        <v>10</v>
      </c>
      <c r="D1761" s="41" t="s">
        <v>34</v>
      </c>
      <c r="E1761" s="172">
        <f>SUM(F1757:F1760)</f>
        <v>692.45507189542479</v>
      </c>
      <c r="F1761" s="53">
        <f>E1761*C1761/100</f>
        <v>69.245507189542479</v>
      </c>
      <c r="G1761" s="58"/>
    </row>
    <row r="1762" spans="1:8" x14ac:dyDescent="0.25">
      <c r="A1762" s="90"/>
      <c r="B1762" s="41" t="s">
        <v>459</v>
      </c>
      <c r="C1762" s="53">
        <v>1.3</v>
      </c>
      <c r="D1762" s="41" t="s">
        <v>184</v>
      </c>
      <c r="E1762" s="168">
        <f>+$E$1750</f>
        <v>60.375</v>
      </c>
      <c r="F1762" s="53">
        <f>E1762*C1762</f>
        <v>78.487499999999997</v>
      </c>
      <c r="G1762" s="58"/>
    </row>
    <row r="1763" spans="1:8" x14ac:dyDescent="0.25">
      <c r="A1763" s="90"/>
      <c r="B1763" s="41" t="s">
        <v>271</v>
      </c>
      <c r="C1763" s="53">
        <v>1</v>
      </c>
      <c r="D1763" s="41" t="s">
        <v>81</v>
      </c>
      <c r="E1763" s="168">
        <f>+$E$1751</f>
        <v>977.5</v>
      </c>
      <c r="F1763" s="53">
        <f>E1763*C1763</f>
        <v>977.5</v>
      </c>
      <c r="G1763" s="58"/>
    </row>
    <row r="1764" spans="1:8" x14ac:dyDescent="0.25">
      <c r="A1764" s="90"/>
      <c r="B1764" s="41" t="s">
        <v>564</v>
      </c>
      <c r="C1764" s="53">
        <v>1</v>
      </c>
      <c r="D1764" s="41" t="s">
        <v>81</v>
      </c>
      <c r="E1764" s="54"/>
      <c r="F1764" s="53">
        <f>E1764*C1764</f>
        <v>0</v>
      </c>
      <c r="G1764" s="58"/>
    </row>
    <row r="1765" spans="1:8" x14ac:dyDescent="0.25">
      <c r="A1765" s="90"/>
      <c r="B1765" s="41" t="s">
        <v>122</v>
      </c>
      <c r="C1765" s="53">
        <v>1</v>
      </c>
      <c r="D1765" s="41" t="s">
        <v>81</v>
      </c>
      <c r="E1765" s="168">
        <v>400</v>
      </c>
      <c r="F1765" s="53">
        <f>E1765*C1765</f>
        <v>400</v>
      </c>
      <c r="G1765" s="160" t="s">
        <v>568</v>
      </c>
    </row>
    <row r="1766" spans="1:8" x14ac:dyDescent="0.25">
      <c r="A1766" s="90"/>
      <c r="B1766" s="41" t="s">
        <v>561</v>
      </c>
      <c r="C1766" s="53">
        <v>1</v>
      </c>
      <c r="D1766" s="41" t="s">
        <v>79</v>
      </c>
      <c r="E1766" s="168">
        <f>+$E$1753</f>
        <v>1725</v>
      </c>
      <c r="F1766" s="53">
        <f>E1766*C1766</f>
        <v>1725</v>
      </c>
      <c r="G1766" s="58"/>
    </row>
    <row r="1767" spans="1:8" ht="15.6" x14ac:dyDescent="0.3">
      <c r="A1767" s="90"/>
      <c r="B1767" s="41"/>
      <c r="C1767" s="53"/>
      <c r="D1767" s="41"/>
      <c r="E1767" s="46"/>
      <c r="G1767" s="59">
        <f>SUM(F1757:F1766)</f>
        <v>3942.6880790849673</v>
      </c>
      <c r="H1767" s="3" t="s">
        <v>141</v>
      </c>
    </row>
    <row r="1768" spans="1:8" x14ac:dyDescent="0.25">
      <c r="A1768" s="90"/>
      <c r="B1768" s="41"/>
      <c r="D1768" s="41"/>
      <c r="E1768" s="46"/>
      <c r="G1768" s="58"/>
      <c r="H1768" s="41"/>
    </row>
    <row r="1769" spans="1:8" ht="15.6" x14ac:dyDescent="0.3">
      <c r="A1769" s="90"/>
      <c r="B1769" s="3" t="s">
        <v>569</v>
      </c>
      <c r="E1769" s="46"/>
      <c r="G1769" s="58"/>
    </row>
    <row r="1770" spans="1:8" x14ac:dyDescent="0.25">
      <c r="A1770" s="90">
        <f>+A1757+0.01</f>
        <v>14.04</v>
      </c>
      <c r="B1770" s="41" t="s">
        <v>570</v>
      </c>
      <c r="C1770" s="53">
        <v>1.1499999999999999</v>
      </c>
      <c r="D1770" s="41" t="s">
        <v>81</v>
      </c>
      <c r="E1770" s="168"/>
      <c r="F1770" s="53">
        <f>E1770*C1770</f>
        <v>0</v>
      </c>
      <c r="G1770" s="58"/>
    </row>
    <row r="1771" spans="1:8" x14ac:dyDescent="0.25">
      <c r="A1771" s="90"/>
      <c r="B1771" s="41" t="s">
        <v>516</v>
      </c>
      <c r="C1771" s="53">
        <f>1/6</f>
        <v>0.16666666666666666</v>
      </c>
      <c r="D1771" s="41" t="s">
        <v>517</v>
      </c>
      <c r="E1771" s="168">
        <f>+'[1]Lista de precios MAY25'!$E$138</f>
        <v>1350</v>
      </c>
      <c r="F1771" s="53">
        <f>E1771*C1771</f>
        <v>225</v>
      </c>
      <c r="G1771" s="58"/>
    </row>
    <row r="1772" spans="1:8" x14ac:dyDescent="0.25">
      <c r="A1772" s="90"/>
      <c r="B1772" s="41" t="s">
        <v>518</v>
      </c>
      <c r="C1772" s="53">
        <f>1/8.5</f>
        <v>0.11764705882352941</v>
      </c>
      <c r="D1772" s="41" t="s">
        <v>82</v>
      </c>
      <c r="E1772" s="168">
        <f>+'[1]Lista de precios MAY25'!$E$144</f>
        <v>3135.0270679999999</v>
      </c>
      <c r="F1772" s="53">
        <f>E1772*C1772</f>
        <v>368.82671388235292</v>
      </c>
      <c r="G1772" s="58"/>
    </row>
    <row r="1773" spans="1:8" x14ac:dyDescent="0.25">
      <c r="A1773" s="90"/>
      <c r="B1773" s="41" t="s">
        <v>411</v>
      </c>
      <c r="C1773" s="53">
        <v>0.05</v>
      </c>
      <c r="D1773" s="41" t="s">
        <v>82</v>
      </c>
      <c r="E1773" s="172">
        <f>+$E$1760</f>
        <v>80.850000000000009</v>
      </c>
      <c r="F1773" s="53">
        <f>E1773*C1773</f>
        <v>4.0425000000000004</v>
      </c>
      <c r="G1773" s="58"/>
    </row>
    <row r="1774" spans="1:8" x14ac:dyDescent="0.25">
      <c r="A1774" s="90"/>
      <c r="B1774" s="41" t="s">
        <v>268</v>
      </c>
      <c r="C1774" s="53">
        <v>10</v>
      </c>
      <c r="D1774" s="41" t="s">
        <v>34</v>
      </c>
      <c r="E1774" s="172">
        <f>SUM(F1770:F1773)</f>
        <v>597.86921388235294</v>
      </c>
      <c r="F1774" s="53">
        <f>E1774*C1774/100</f>
        <v>59.786921388235299</v>
      </c>
      <c r="G1774" s="58"/>
    </row>
    <row r="1775" spans="1:8" x14ac:dyDescent="0.25">
      <c r="A1775" s="90"/>
      <c r="B1775" s="41" t="s">
        <v>459</v>
      </c>
      <c r="C1775" s="53">
        <v>1.3</v>
      </c>
      <c r="D1775" s="41" t="s">
        <v>184</v>
      </c>
      <c r="E1775" s="168">
        <f>+'[1]MO MAY25'!$N$582</f>
        <v>230</v>
      </c>
      <c r="F1775" s="53">
        <f>E1775*C1775</f>
        <v>299</v>
      </c>
      <c r="G1775" s="58"/>
    </row>
    <row r="1776" spans="1:8" x14ac:dyDescent="0.25">
      <c r="A1776" s="90"/>
      <c r="B1776" s="41" t="s">
        <v>271</v>
      </c>
      <c r="C1776" s="53">
        <v>1</v>
      </c>
      <c r="D1776" s="41" t="s">
        <v>81</v>
      </c>
      <c r="E1776" s="168">
        <f>+$E$1763</f>
        <v>977.5</v>
      </c>
      <c r="F1776" s="53">
        <f>E1776*C1776</f>
        <v>977.5</v>
      </c>
      <c r="G1776" s="58"/>
    </row>
    <row r="1777" spans="1:11" x14ac:dyDescent="0.25">
      <c r="A1777" s="90"/>
      <c r="B1777" s="41" t="s">
        <v>564</v>
      </c>
      <c r="C1777" s="53">
        <v>1</v>
      </c>
      <c r="D1777" s="41" t="s">
        <v>81</v>
      </c>
      <c r="E1777" s="54"/>
      <c r="F1777" s="53">
        <f>E1777*C1777</f>
        <v>0</v>
      </c>
      <c r="G1777" s="58"/>
    </row>
    <row r="1778" spans="1:11" x14ac:dyDescent="0.25">
      <c r="A1778" s="90"/>
      <c r="B1778" s="41" t="s">
        <v>122</v>
      </c>
      <c r="C1778" s="53">
        <v>1</v>
      </c>
      <c r="D1778" s="41" t="s">
        <v>81</v>
      </c>
      <c r="E1778" s="168">
        <v>400</v>
      </c>
      <c r="F1778" s="53">
        <f>E1778*C1778</f>
        <v>400</v>
      </c>
      <c r="G1778" s="160" t="s">
        <v>568</v>
      </c>
    </row>
    <row r="1779" spans="1:11" x14ac:dyDescent="0.25">
      <c r="A1779" s="90"/>
      <c r="B1779" s="41" t="s">
        <v>561</v>
      </c>
      <c r="C1779" s="53">
        <v>1</v>
      </c>
      <c r="D1779" s="41" t="s">
        <v>79</v>
      </c>
      <c r="E1779" s="168">
        <f>+$E$1766</f>
        <v>1725</v>
      </c>
      <c r="F1779" s="53">
        <f>E1779*C1779</f>
        <v>1725</v>
      </c>
      <c r="G1779" s="58"/>
    </row>
    <row r="1780" spans="1:11" ht="15.6" x14ac:dyDescent="0.3">
      <c r="A1780" s="90"/>
      <c r="B1780" s="41"/>
      <c r="D1780" s="41"/>
      <c r="E1780" s="46"/>
      <c r="G1780" s="59">
        <f>SUM(F1770:F1779)</f>
        <v>4059.1561352705885</v>
      </c>
      <c r="H1780" s="3" t="s">
        <v>141</v>
      </c>
    </row>
    <row r="1781" spans="1:11" x14ac:dyDescent="0.25">
      <c r="A1781" s="90"/>
      <c r="B1781" s="41"/>
      <c r="D1781" s="41"/>
      <c r="E1781" s="46"/>
      <c r="G1781" s="58"/>
      <c r="H1781" s="41"/>
    </row>
    <row r="1782" spans="1:11" ht="15.6" x14ac:dyDescent="0.3">
      <c r="A1782" s="90"/>
      <c r="B1782" s="3" t="s">
        <v>571</v>
      </c>
      <c r="E1782" s="46"/>
      <c r="G1782" s="58"/>
    </row>
    <row r="1783" spans="1:11" x14ac:dyDescent="0.25">
      <c r="A1783" s="90">
        <f>+A1770+0.01</f>
        <v>14.049999999999999</v>
      </c>
      <c r="B1783" s="41" t="s">
        <v>572</v>
      </c>
      <c r="C1783" s="53">
        <f>0.2*1.3</f>
        <v>0.26</v>
      </c>
      <c r="D1783" s="41" t="s">
        <v>81</v>
      </c>
      <c r="E1783" s="168">
        <f>+$E$1770</f>
        <v>0</v>
      </c>
      <c r="F1783" s="53">
        <f>E1783*C1783</f>
        <v>0</v>
      </c>
      <c r="G1783" s="58"/>
    </row>
    <row r="1784" spans="1:11" x14ac:dyDescent="0.25">
      <c r="A1784" s="90"/>
      <c r="B1784" s="41" t="s">
        <v>516</v>
      </c>
      <c r="C1784" s="53">
        <f>0.15*0.2</f>
        <v>0.03</v>
      </c>
      <c r="D1784" s="41" t="s">
        <v>517</v>
      </c>
      <c r="E1784" s="168">
        <f>+'[1]Lista de precios MAY25'!$E$137</f>
        <v>3658.4719999999998</v>
      </c>
      <c r="F1784" s="53">
        <f>E1784*C1784</f>
        <v>109.75415999999998</v>
      </c>
      <c r="G1784" s="58"/>
    </row>
    <row r="1785" spans="1:11" x14ac:dyDescent="0.25">
      <c r="A1785" s="90"/>
      <c r="B1785" s="41" t="s">
        <v>518</v>
      </c>
      <c r="C1785" s="53">
        <f>5*0.2</f>
        <v>1</v>
      </c>
      <c r="D1785" s="41" t="s">
        <v>82</v>
      </c>
      <c r="E1785" s="168">
        <f>+$G$95</f>
        <v>15.807777777777778</v>
      </c>
      <c r="F1785" s="53">
        <f>E1785*C1785</f>
        <v>15.807777777777778</v>
      </c>
      <c r="G1785" s="58"/>
    </row>
    <row r="1786" spans="1:11" x14ac:dyDescent="0.25">
      <c r="A1786" s="90"/>
      <c r="B1786" s="41" t="s">
        <v>411</v>
      </c>
      <c r="C1786" s="53">
        <v>0.05</v>
      </c>
      <c r="D1786" s="41" t="s">
        <v>82</v>
      </c>
      <c r="E1786" s="172">
        <f>+$E$1773</f>
        <v>80.850000000000009</v>
      </c>
      <c r="F1786" s="53">
        <f>E1786*C1786</f>
        <v>4.0425000000000004</v>
      </c>
      <c r="G1786" s="58"/>
    </row>
    <row r="1787" spans="1:11" x14ac:dyDescent="0.25">
      <c r="A1787" s="90"/>
      <c r="B1787" s="41" t="s">
        <v>268</v>
      </c>
      <c r="C1787" s="53">
        <v>10</v>
      </c>
      <c r="D1787" s="41" t="s">
        <v>34</v>
      </c>
      <c r="E1787" s="172">
        <f>SUM(F1783:F1786)</f>
        <v>129.60443777777775</v>
      </c>
      <c r="F1787" s="53">
        <f>E1787*C1787/100</f>
        <v>12.960443777777776</v>
      </c>
      <c r="G1787" s="58"/>
    </row>
    <row r="1788" spans="1:11" x14ac:dyDescent="0.25">
      <c r="A1788" s="90"/>
      <c r="B1788" s="41" t="s">
        <v>459</v>
      </c>
      <c r="C1788" s="53">
        <v>1</v>
      </c>
      <c r="D1788" s="41" t="s">
        <v>184</v>
      </c>
      <c r="E1788" s="168">
        <f>+'[1]MO MAY25'!$N$589</f>
        <v>80.5</v>
      </c>
      <c r="F1788" s="53">
        <f>E1788*C1788</f>
        <v>80.5</v>
      </c>
      <c r="G1788" s="58"/>
    </row>
    <row r="1789" spans="1:11" x14ac:dyDescent="0.25">
      <c r="A1789" s="90"/>
      <c r="B1789" s="41" t="s">
        <v>573</v>
      </c>
      <c r="C1789" s="53">
        <v>2</v>
      </c>
      <c r="D1789" s="41" t="s">
        <v>184</v>
      </c>
      <c r="E1789" s="168">
        <f>+'[1]MO MAY25'!$N$590</f>
        <v>80.5</v>
      </c>
      <c r="F1789" s="53">
        <f>E1789*C1789</f>
        <v>161</v>
      </c>
      <c r="G1789" s="58"/>
    </row>
    <row r="1790" spans="1:11" x14ac:dyDescent="0.25">
      <c r="A1790" s="90"/>
      <c r="B1790" s="41" t="s">
        <v>271</v>
      </c>
      <c r="C1790" s="53">
        <v>1</v>
      </c>
      <c r="D1790" s="41" t="s">
        <v>81</v>
      </c>
      <c r="E1790" s="168"/>
      <c r="F1790" s="53">
        <f>E1790*C1790</f>
        <v>0</v>
      </c>
      <c r="G1790" s="58"/>
    </row>
    <row r="1791" spans="1:11" ht="15.6" x14ac:dyDescent="0.3">
      <c r="A1791" s="90"/>
      <c r="B1791" s="71"/>
      <c r="D1791" s="41"/>
      <c r="E1791" s="46"/>
      <c r="G1791" s="59">
        <f>SUM(F1783:F1790)</f>
        <v>384.06488155555553</v>
      </c>
      <c r="H1791" s="3" t="s">
        <v>141</v>
      </c>
      <c r="K1791" s="55">
        <f>+(K1865+K1794)*1.18*1.1</f>
        <v>0</v>
      </c>
    </row>
    <row r="1792" spans="1:11" x14ac:dyDescent="0.25">
      <c r="A1792" s="90"/>
      <c r="B1792" s="41"/>
      <c r="D1792" s="41"/>
      <c r="E1792" s="46"/>
      <c r="G1792" s="58"/>
      <c r="H1792" s="41"/>
    </row>
    <row r="1793" spans="1:11" ht="15.6" x14ac:dyDescent="0.3">
      <c r="A1793" s="90"/>
      <c r="B1793" s="3" t="s">
        <v>574</v>
      </c>
      <c r="E1793" s="46"/>
      <c r="G1793" s="58"/>
    </row>
    <row r="1794" spans="1:11" x14ac:dyDescent="0.25">
      <c r="A1794" s="90">
        <f>+A1783+0.01</f>
        <v>14.059999999999999</v>
      </c>
      <c r="B1794" s="41" t="s">
        <v>575</v>
      </c>
      <c r="C1794" s="53">
        <v>1</v>
      </c>
      <c r="D1794" s="41" t="s">
        <v>81</v>
      </c>
      <c r="E1794" s="168"/>
      <c r="F1794" s="53">
        <f>E1794*C1794</f>
        <v>0</v>
      </c>
      <c r="G1794" s="117" t="s">
        <v>261</v>
      </c>
      <c r="H1794" s="123"/>
    </row>
    <row r="1795" spans="1:11" x14ac:dyDescent="0.25">
      <c r="A1795" s="90"/>
      <c r="B1795" s="41" t="s">
        <v>516</v>
      </c>
      <c r="C1795" s="53">
        <v>0.15</v>
      </c>
      <c r="D1795" s="41" t="s">
        <v>517</v>
      </c>
      <c r="E1795" s="168">
        <f>+$E$1784</f>
        <v>3658.4719999999998</v>
      </c>
      <c r="F1795" s="53">
        <f>E1795*C1795</f>
        <v>548.77079999999989</v>
      </c>
      <c r="G1795" s="58"/>
    </row>
    <row r="1796" spans="1:11" x14ac:dyDescent="0.25">
      <c r="A1796" s="90"/>
      <c r="B1796" s="41" t="s">
        <v>518</v>
      </c>
      <c r="C1796" s="53">
        <v>0.17</v>
      </c>
      <c r="D1796" s="41" t="s">
        <v>82</v>
      </c>
      <c r="E1796" s="168">
        <f>+$G$95</f>
        <v>15.807777777777778</v>
      </c>
      <c r="F1796" s="53">
        <f>E1796*C1796</f>
        <v>2.6873222222222224</v>
      </c>
      <c r="G1796" s="58"/>
    </row>
    <row r="1797" spans="1:11" x14ac:dyDescent="0.25">
      <c r="A1797" s="90"/>
      <c r="B1797" s="41" t="s">
        <v>411</v>
      </c>
      <c r="C1797" s="53">
        <v>0.05</v>
      </c>
      <c r="D1797" s="41" t="s">
        <v>82</v>
      </c>
      <c r="E1797" s="172">
        <f>+$E$1786</f>
        <v>80.850000000000009</v>
      </c>
      <c r="F1797" s="53">
        <f>E1797*C1797</f>
        <v>4.0425000000000004</v>
      </c>
      <c r="G1797" s="58"/>
      <c r="K1797" s="55">
        <f>+(K1806+K1810)*1.18*1.1</f>
        <v>0</v>
      </c>
    </row>
    <row r="1798" spans="1:11" x14ac:dyDescent="0.25">
      <c r="A1798" s="90"/>
      <c r="B1798" s="41" t="s">
        <v>268</v>
      </c>
      <c r="C1798" s="53">
        <v>10</v>
      </c>
      <c r="D1798" s="41" t="s">
        <v>34</v>
      </c>
      <c r="E1798" s="168">
        <f>SUM(F1794:F1797)</f>
        <v>555.50062222222209</v>
      </c>
      <c r="F1798" s="53">
        <f>E1798*C1798/100</f>
        <v>55.550062222222202</v>
      </c>
      <c r="G1798" s="58"/>
    </row>
    <row r="1799" spans="1:11" x14ac:dyDescent="0.25">
      <c r="A1799" s="90"/>
      <c r="B1799" s="41" t="s">
        <v>459</v>
      </c>
      <c r="C1799" s="53">
        <v>1.5</v>
      </c>
      <c r="D1799" s="41" t="s">
        <v>184</v>
      </c>
      <c r="E1799" s="168">
        <f>+$E$1788</f>
        <v>80.5</v>
      </c>
      <c r="F1799" s="53">
        <f>E1799*C1799</f>
        <v>120.75</v>
      </c>
      <c r="G1799" s="58"/>
    </row>
    <row r="1800" spans="1:11" x14ac:dyDescent="0.25">
      <c r="A1800" s="90"/>
      <c r="B1800" s="41" t="s">
        <v>271</v>
      </c>
      <c r="C1800" s="53">
        <v>1</v>
      </c>
      <c r="D1800" s="41" t="s">
        <v>81</v>
      </c>
      <c r="E1800" s="168">
        <f>+'[1]MO MAY25'!$N$597</f>
        <v>977.5</v>
      </c>
      <c r="F1800" s="53">
        <f>E1800*C1800</f>
        <v>977.5</v>
      </c>
      <c r="G1800" s="58"/>
    </row>
    <row r="1801" spans="1:11" x14ac:dyDescent="0.25">
      <c r="A1801" s="90"/>
      <c r="B1801" s="41" t="s">
        <v>538</v>
      </c>
      <c r="C1801" s="53">
        <v>1</v>
      </c>
      <c r="D1801" s="41" t="s">
        <v>81</v>
      </c>
      <c r="E1801" s="168"/>
      <c r="F1801" s="53">
        <f>E1801*C1801</f>
        <v>0</v>
      </c>
      <c r="G1801" s="58"/>
    </row>
    <row r="1802" spans="1:11" ht="15.6" x14ac:dyDescent="0.3">
      <c r="A1802" s="90"/>
      <c r="B1802" s="41"/>
      <c r="D1802" s="41"/>
      <c r="E1802" s="46"/>
      <c r="G1802" s="59">
        <f>SUM(F1794:F1801)</f>
        <v>1709.3006844444444</v>
      </c>
      <c r="H1802" s="3" t="s">
        <v>141</v>
      </c>
    </row>
    <row r="1803" spans="1:11" ht="15.6" x14ac:dyDescent="0.3">
      <c r="A1803" s="90"/>
      <c r="B1803" s="3" t="s">
        <v>576</v>
      </c>
      <c r="E1803" s="46"/>
      <c r="G1803" s="58"/>
    </row>
    <row r="1804" spans="1:11" x14ac:dyDescent="0.25">
      <c r="A1804" s="90">
        <f>+A1794+0.01</f>
        <v>14.069999999999999</v>
      </c>
      <c r="B1804" s="41" t="s">
        <v>577</v>
      </c>
      <c r="C1804" s="53">
        <v>1</v>
      </c>
      <c r="D1804" s="41" t="s">
        <v>81</v>
      </c>
      <c r="E1804" s="168">
        <f>1625*1.18*1.05</f>
        <v>2013.375</v>
      </c>
      <c r="F1804" s="53">
        <f>E1804*C1804</f>
        <v>2013.375</v>
      </c>
      <c r="G1804" s="117"/>
      <c r="H1804" s="123"/>
    </row>
    <row r="1805" spans="1:11" x14ac:dyDescent="0.25">
      <c r="A1805" s="90"/>
      <c r="B1805" s="41" t="s">
        <v>516</v>
      </c>
      <c r="C1805" s="53">
        <v>0.15</v>
      </c>
      <c r="D1805" s="41" t="s">
        <v>517</v>
      </c>
      <c r="E1805" s="168">
        <f>+'[1]Lista de precios MAY25'!$E$138</f>
        <v>1350</v>
      </c>
      <c r="F1805" s="53">
        <f>E1805*C1805</f>
        <v>202.5</v>
      </c>
      <c r="G1805" s="58"/>
    </row>
    <row r="1806" spans="1:11" x14ac:dyDescent="0.25">
      <c r="A1806" s="90"/>
      <c r="B1806" s="41" t="s">
        <v>518</v>
      </c>
      <c r="C1806" s="53">
        <v>5</v>
      </c>
      <c r="D1806" s="41" t="s">
        <v>82</v>
      </c>
      <c r="E1806" s="168">
        <f>+$G$95</f>
        <v>15.807777777777778</v>
      </c>
      <c r="F1806" s="53">
        <f>E1806*C1806</f>
        <v>79.038888888888891</v>
      </c>
      <c r="G1806" s="58"/>
    </row>
    <row r="1807" spans="1:11" x14ac:dyDescent="0.25">
      <c r="A1807" s="90"/>
      <c r="B1807" s="41" t="s">
        <v>411</v>
      </c>
      <c r="C1807" s="53">
        <v>0.05</v>
      </c>
      <c r="D1807" s="41" t="s">
        <v>82</v>
      </c>
      <c r="E1807" s="172">
        <f>+'[1]Lista de precios MAY25'!$E$141</f>
        <v>80.850000000000009</v>
      </c>
      <c r="F1807" s="53">
        <f>E1807*C1807</f>
        <v>4.0425000000000004</v>
      </c>
      <c r="G1807" s="58"/>
    </row>
    <row r="1808" spans="1:11" x14ac:dyDescent="0.25">
      <c r="A1808" s="90"/>
      <c r="B1808" s="41" t="s">
        <v>268</v>
      </c>
      <c r="C1808" s="53">
        <v>10</v>
      </c>
      <c r="D1808" s="41" t="s">
        <v>34</v>
      </c>
      <c r="E1808" s="172">
        <f>SUM(F1804:F1807)</f>
        <v>2298.9563888888888</v>
      </c>
      <c r="F1808" s="53">
        <f>E1808*C1808/100</f>
        <v>229.89563888888887</v>
      </c>
      <c r="G1808" s="58"/>
    </row>
    <row r="1809" spans="1:9" x14ac:dyDescent="0.25">
      <c r="A1809" s="90"/>
      <c r="B1809" s="41" t="s">
        <v>459</v>
      </c>
      <c r="C1809" s="53">
        <v>1.5</v>
      </c>
      <c r="D1809" s="41" t="s">
        <v>184</v>
      </c>
      <c r="E1809" s="168">
        <f>+'[1]MO MAY25'!$N$589</f>
        <v>80.5</v>
      </c>
      <c r="F1809" s="53">
        <f>E1809*C1809</f>
        <v>120.75</v>
      </c>
      <c r="G1809" s="58"/>
    </row>
    <row r="1810" spans="1:9" x14ac:dyDescent="0.25">
      <c r="A1810" s="90"/>
      <c r="B1810" s="41" t="s">
        <v>271</v>
      </c>
      <c r="C1810" s="53">
        <v>1</v>
      </c>
      <c r="D1810" s="41" t="s">
        <v>81</v>
      </c>
      <c r="E1810" s="168">
        <f>+'[1]MO MAY25'!$N$596</f>
        <v>805</v>
      </c>
      <c r="F1810" s="53">
        <f>E1810*C1810</f>
        <v>805</v>
      </c>
      <c r="G1810" s="58" t="s">
        <v>578</v>
      </c>
      <c r="I1810" s="55">
        <f>+'[1]MO MAY25'!N597</f>
        <v>977.5</v>
      </c>
    </row>
    <row r="1811" spans="1:9" x14ac:dyDescent="0.25">
      <c r="A1811" s="90"/>
      <c r="B1811" s="41" t="s">
        <v>560</v>
      </c>
      <c r="C1811" s="53">
        <v>1</v>
      </c>
      <c r="D1811" s="41" t="s">
        <v>81</v>
      </c>
      <c r="E1811" s="168">
        <f>+'[1]MO MAY25'!N435/4</f>
        <v>431.25</v>
      </c>
      <c r="F1811" s="53">
        <f>E1811*C1811</f>
        <v>431.25</v>
      </c>
      <c r="G1811" s="58"/>
      <c r="I1811" s="55"/>
    </row>
    <row r="1812" spans="1:9" ht="15.6" x14ac:dyDescent="0.3">
      <c r="A1812" s="90"/>
      <c r="B1812" s="41"/>
      <c r="D1812" s="41"/>
      <c r="E1812" s="46"/>
      <c r="G1812" s="114">
        <f>SUM(F1804:F1811)</f>
        <v>3885.8520277777775</v>
      </c>
      <c r="H1812" s="115" t="s">
        <v>141</v>
      </c>
      <c r="I1812" s="40"/>
    </row>
    <row r="1813" spans="1:9" ht="15.6" x14ac:dyDescent="0.3">
      <c r="A1813" s="90"/>
      <c r="B1813" s="41"/>
      <c r="E1813" s="46"/>
      <c r="G1813" s="59"/>
      <c r="H1813" s="3"/>
    </row>
    <row r="1814" spans="1:9" ht="15.6" x14ac:dyDescent="0.3">
      <c r="A1814" s="90"/>
      <c r="B1814" s="3" t="s">
        <v>579</v>
      </c>
      <c r="E1814" s="46"/>
      <c r="G1814" s="58"/>
    </row>
    <row r="1815" spans="1:9" x14ac:dyDescent="0.25">
      <c r="A1815" s="90">
        <f>+A1804+0.01</f>
        <v>14.079999999999998</v>
      </c>
      <c r="B1815" s="41" t="s">
        <v>580</v>
      </c>
      <c r="C1815" s="53">
        <v>1</v>
      </c>
      <c r="D1815" s="41" t="s">
        <v>81</v>
      </c>
      <c r="E1815" s="168"/>
      <c r="F1815" s="53">
        <f>E1815*C1815</f>
        <v>0</v>
      </c>
      <c r="G1815" s="117" t="s">
        <v>261</v>
      </c>
      <c r="H1815" s="123"/>
    </row>
    <row r="1816" spans="1:9" x14ac:dyDescent="0.25">
      <c r="A1816" s="90"/>
      <c r="B1816" s="41" t="s">
        <v>516</v>
      </c>
      <c r="C1816" s="53">
        <v>0.15</v>
      </c>
      <c r="D1816" s="41" t="s">
        <v>517</v>
      </c>
      <c r="E1816" s="168">
        <f>+$E$1805</f>
        <v>1350</v>
      </c>
      <c r="F1816" s="53">
        <f>E1816*C1816</f>
        <v>202.5</v>
      </c>
      <c r="G1816" s="58"/>
    </row>
    <row r="1817" spans="1:9" x14ac:dyDescent="0.25">
      <c r="A1817" s="90"/>
      <c r="B1817" s="41" t="s">
        <v>518</v>
      </c>
      <c r="C1817" s="53">
        <v>5</v>
      </c>
      <c r="D1817" s="41" t="s">
        <v>82</v>
      </c>
      <c r="E1817" s="168">
        <f>+$G$95</f>
        <v>15.807777777777778</v>
      </c>
      <c r="F1817" s="53">
        <f>E1817*C1817</f>
        <v>79.038888888888891</v>
      </c>
      <c r="G1817" s="58"/>
    </row>
    <row r="1818" spans="1:9" x14ac:dyDescent="0.25">
      <c r="A1818" s="90"/>
      <c r="B1818" s="41" t="s">
        <v>411</v>
      </c>
      <c r="C1818" s="53">
        <v>0.05</v>
      </c>
      <c r="D1818" s="41" t="s">
        <v>82</v>
      </c>
      <c r="E1818" s="172">
        <f>+$E$1807</f>
        <v>80.850000000000009</v>
      </c>
      <c r="F1818" s="53">
        <f>E1818*C1818</f>
        <v>4.0425000000000004</v>
      </c>
      <c r="G1818" s="58"/>
    </row>
    <row r="1819" spans="1:9" x14ac:dyDescent="0.25">
      <c r="A1819" s="90"/>
      <c r="B1819" s="41" t="s">
        <v>268</v>
      </c>
      <c r="C1819" s="53">
        <v>10</v>
      </c>
      <c r="D1819" s="41" t="s">
        <v>34</v>
      </c>
      <c r="E1819" s="172">
        <f>SUM(F1815:F1818)</f>
        <v>285.58138888888891</v>
      </c>
      <c r="F1819" s="53">
        <f>E1819*C1819/100</f>
        <v>28.558138888888887</v>
      </c>
      <c r="G1819" s="58"/>
    </row>
    <row r="1820" spans="1:9" x14ac:dyDescent="0.25">
      <c r="A1820" s="90"/>
      <c r="B1820" s="41" t="s">
        <v>459</v>
      </c>
      <c r="C1820" s="53">
        <v>1.5</v>
      </c>
      <c r="D1820" s="41" t="s">
        <v>184</v>
      </c>
      <c r="E1820" s="168">
        <f>+$E$1809</f>
        <v>80.5</v>
      </c>
      <c r="F1820" s="53">
        <f>E1820*C1820</f>
        <v>120.75</v>
      </c>
      <c r="G1820" s="58"/>
    </row>
    <row r="1821" spans="1:9" x14ac:dyDescent="0.25">
      <c r="A1821" s="90"/>
      <c r="B1821" s="41" t="s">
        <v>271</v>
      </c>
      <c r="C1821" s="53">
        <v>1</v>
      </c>
      <c r="D1821" s="41" t="s">
        <v>81</v>
      </c>
      <c r="E1821" s="168">
        <f>+$E$1810</f>
        <v>805</v>
      </c>
      <c r="F1821" s="53">
        <f>E1821*C1821</f>
        <v>805</v>
      </c>
      <c r="G1821" s="117" t="s">
        <v>581</v>
      </c>
    </row>
    <row r="1822" spans="1:9" x14ac:dyDescent="0.25">
      <c r="A1822" s="90"/>
      <c r="B1822" s="41" t="s">
        <v>560</v>
      </c>
      <c r="C1822" s="53">
        <v>1</v>
      </c>
      <c r="D1822" s="41" t="s">
        <v>81</v>
      </c>
      <c r="E1822" s="168"/>
      <c r="F1822" s="53">
        <f>E1822*C1822</f>
        <v>0</v>
      </c>
      <c r="G1822" s="58"/>
      <c r="I1822" s="55"/>
    </row>
    <row r="1823" spans="1:9" ht="15.6" x14ac:dyDescent="0.3">
      <c r="A1823" s="90"/>
      <c r="B1823" s="41"/>
      <c r="D1823" s="41"/>
      <c r="E1823" s="46"/>
      <c r="G1823" s="59">
        <f>SUM(F1815:F1822)</f>
        <v>1239.8895277777779</v>
      </c>
      <c r="H1823" s="3" t="s">
        <v>141</v>
      </c>
    </row>
    <row r="1824" spans="1:9" x14ac:dyDescent="0.25">
      <c r="A1824" s="90"/>
      <c r="B1824" s="41"/>
      <c r="E1824" s="46"/>
      <c r="G1824" s="58"/>
      <c r="H1824" s="41"/>
    </row>
    <row r="1825" spans="1:8" ht="15.6" x14ac:dyDescent="0.3">
      <c r="A1825" s="90"/>
      <c r="B1825" s="3" t="s">
        <v>582</v>
      </c>
      <c r="E1825" s="46"/>
      <c r="G1825" s="58"/>
    </row>
    <row r="1826" spans="1:8" x14ac:dyDescent="0.25">
      <c r="A1826" s="90">
        <f>+A1815+0.01</f>
        <v>14.089999999999998</v>
      </c>
      <c r="B1826" s="41" t="s">
        <v>583</v>
      </c>
      <c r="C1826" s="53">
        <v>1</v>
      </c>
      <c r="D1826" s="41" t="s">
        <v>81</v>
      </c>
      <c r="E1826" s="168">
        <f>+(46.4*57.85)*1.18</f>
        <v>3167.4031999999997</v>
      </c>
      <c r="F1826" s="53">
        <f>E1826*C1826</f>
        <v>3167.4031999999997</v>
      </c>
      <c r="G1826" s="117" t="s">
        <v>261</v>
      </c>
      <c r="H1826" s="123"/>
    </row>
    <row r="1827" spans="1:8" x14ac:dyDescent="0.25">
      <c r="A1827" s="90"/>
      <c r="B1827" s="41" t="s">
        <v>516</v>
      </c>
      <c r="C1827" s="53">
        <v>0.15</v>
      </c>
      <c r="D1827" s="41" t="s">
        <v>517</v>
      </c>
      <c r="E1827" s="168">
        <f>+'[1]Lista de precios MAY25'!$E$138</f>
        <v>1350</v>
      </c>
      <c r="F1827" s="53">
        <f>E1827*C1827</f>
        <v>202.5</v>
      </c>
      <c r="G1827" s="58"/>
    </row>
    <row r="1828" spans="1:8" x14ac:dyDescent="0.25">
      <c r="A1828" s="90"/>
      <c r="B1828" s="41" t="s">
        <v>518</v>
      </c>
      <c r="C1828" s="53">
        <v>5</v>
      </c>
      <c r="D1828" s="41" t="s">
        <v>82</v>
      </c>
      <c r="E1828" s="168">
        <f>+$G$95</f>
        <v>15.807777777777778</v>
      </c>
      <c r="F1828" s="53">
        <f>E1828*C1828</f>
        <v>79.038888888888891</v>
      </c>
      <c r="G1828" s="58"/>
    </row>
    <row r="1829" spans="1:8" x14ac:dyDescent="0.25">
      <c r="A1829" s="90"/>
      <c r="B1829" s="41" t="s">
        <v>411</v>
      </c>
      <c r="C1829" s="53">
        <v>0.05</v>
      </c>
      <c r="D1829" s="41" t="s">
        <v>82</v>
      </c>
      <c r="E1829" s="172">
        <f>+'[1]Lista de precios MAY25'!$E$141</f>
        <v>80.850000000000009</v>
      </c>
      <c r="F1829" s="53">
        <f>E1829*C1829</f>
        <v>4.0425000000000004</v>
      </c>
      <c r="G1829" s="58"/>
    </row>
    <row r="1830" spans="1:8" x14ac:dyDescent="0.25">
      <c r="A1830" s="90"/>
      <c r="B1830" s="41" t="s">
        <v>268</v>
      </c>
      <c r="C1830" s="53">
        <v>10</v>
      </c>
      <c r="D1830" s="41" t="s">
        <v>34</v>
      </c>
      <c r="E1830" s="172">
        <f>SUM(F1826:F1829)</f>
        <v>3452.9845888888885</v>
      </c>
      <c r="F1830" s="53">
        <f>E1830*C1830/100</f>
        <v>345.29845888888883</v>
      </c>
      <c r="G1830" s="58"/>
    </row>
    <row r="1831" spans="1:8" x14ac:dyDescent="0.25">
      <c r="A1831" s="90"/>
      <c r="B1831" s="41" t="s">
        <v>459</v>
      </c>
      <c r="C1831" s="53">
        <v>1.5</v>
      </c>
      <c r="D1831" s="41" t="s">
        <v>184</v>
      </c>
      <c r="E1831" s="168">
        <f>+'[1]MO MAY25'!$N$589</f>
        <v>80.5</v>
      </c>
      <c r="F1831" s="53">
        <f>E1831*C1831</f>
        <v>120.75</v>
      </c>
      <c r="G1831" s="58"/>
    </row>
    <row r="1832" spans="1:8" x14ac:dyDescent="0.25">
      <c r="A1832" s="90"/>
      <c r="B1832" s="41" t="s">
        <v>271</v>
      </c>
      <c r="C1832" s="53">
        <v>1</v>
      </c>
      <c r="D1832" s="41" t="s">
        <v>81</v>
      </c>
      <c r="E1832" s="168">
        <f>+'[1]MO MAY25'!$N$597</f>
        <v>977.5</v>
      </c>
      <c r="F1832" s="53">
        <f>E1832*C1832</f>
        <v>977.5</v>
      </c>
      <c r="G1832" s="58"/>
    </row>
    <row r="1833" spans="1:8" x14ac:dyDescent="0.25">
      <c r="A1833" s="90"/>
      <c r="B1833" s="41" t="s">
        <v>560</v>
      </c>
      <c r="C1833" s="53">
        <v>1</v>
      </c>
      <c r="D1833" s="41" t="s">
        <v>81</v>
      </c>
      <c r="E1833" s="168">
        <f>+'[1]MO MAY25'!$N$434</f>
        <v>431.25</v>
      </c>
      <c r="F1833" s="53">
        <f>E1833*C1833</f>
        <v>431.25</v>
      </c>
      <c r="G1833" s="58"/>
    </row>
    <row r="1834" spans="1:8" ht="15.6" x14ac:dyDescent="0.3">
      <c r="A1834" s="90"/>
      <c r="B1834" s="41"/>
      <c r="D1834" s="41"/>
      <c r="E1834" s="46"/>
      <c r="G1834" s="59">
        <f>SUM(F1826:F1833)</f>
        <v>5327.783047777777</v>
      </c>
      <c r="H1834" s="3" t="s">
        <v>141</v>
      </c>
    </row>
    <row r="1835" spans="1:8" x14ac:dyDescent="0.25">
      <c r="A1835" s="90"/>
      <c r="B1835" s="41"/>
      <c r="E1835" s="46"/>
      <c r="G1835" s="58"/>
      <c r="H1835" s="41"/>
    </row>
    <row r="1836" spans="1:8" ht="15.6" x14ac:dyDescent="0.3">
      <c r="A1836" s="90"/>
      <c r="B1836" s="3" t="s">
        <v>584</v>
      </c>
      <c r="E1836" s="46"/>
      <c r="G1836" s="58"/>
    </row>
    <row r="1837" spans="1:8" x14ac:dyDescent="0.25">
      <c r="A1837" s="90">
        <f>+A1826+0.01</f>
        <v>14.099999999999998</v>
      </c>
      <c r="B1837" s="41" t="s">
        <v>585</v>
      </c>
      <c r="C1837" s="53">
        <v>1</v>
      </c>
      <c r="D1837" s="41" t="s">
        <v>81</v>
      </c>
      <c r="E1837" s="168"/>
      <c r="F1837" s="53">
        <f>E1837*C1837</f>
        <v>0</v>
      </c>
      <c r="G1837" s="117" t="s">
        <v>261</v>
      </c>
      <c r="H1837" s="123"/>
    </row>
    <row r="1838" spans="1:8" x14ac:dyDescent="0.25">
      <c r="A1838" s="90"/>
      <c r="B1838" s="41" t="s">
        <v>516</v>
      </c>
      <c r="C1838" s="53">
        <v>0.15</v>
      </c>
      <c r="D1838" s="41" t="s">
        <v>517</v>
      </c>
      <c r="E1838" s="168">
        <f>+$E$1827</f>
        <v>1350</v>
      </c>
      <c r="F1838" s="53">
        <f>E1838*C1838</f>
        <v>202.5</v>
      </c>
      <c r="G1838" s="58"/>
    </row>
    <row r="1839" spans="1:8" x14ac:dyDescent="0.25">
      <c r="A1839" s="90"/>
      <c r="B1839" s="41" t="s">
        <v>518</v>
      </c>
      <c r="C1839" s="53">
        <v>5</v>
      </c>
      <c r="D1839" s="41" t="s">
        <v>82</v>
      </c>
      <c r="E1839" s="168">
        <f>+$G$95</f>
        <v>15.807777777777778</v>
      </c>
      <c r="F1839" s="53">
        <f>E1839*C1839</f>
        <v>79.038888888888891</v>
      </c>
      <c r="G1839" s="58"/>
    </row>
    <row r="1840" spans="1:8" x14ac:dyDescent="0.25">
      <c r="A1840" s="90"/>
      <c r="B1840" s="41" t="s">
        <v>411</v>
      </c>
      <c r="C1840" s="53">
        <v>0.05</v>
      </c>
      <c r="D1840" s="41" t="s">
        <v>82</v>
      </c>
      <c r="E1840" s="172">
        <f>+$E$1829</f>
        <v>80.850000000000009</v>
      </c>
      <c r="F1840" s="53">
        <f>E1840*C1840</f>
        <v>4.0425000000000004</v>
      </c>
      <c r="G1840" s="58"/>
    </row>
    <row r="1841" spans="1:11" x14ac:dyDescent="0.25">
      <c r="A1841" s="90"/>
      <c r="B1841" s="41" t="s">
        <v>268</v>
      </c>
      <c r="C1841" s="53">
        <v>10</v>
      </c>
      <c r="D1841" s="41" t="s">
        <v>34</v>
      </c>
      <c r="E1841" s="172">
        <f>SUM(F1837:F1840)</f>
        <v>285.58138888888891</v>
      </c>
      <c r="F1841" s="53">
        <f>E1841*C1841/100</f>
        <v>28.558138888888887</v>
      </c>
      <c r="G1841" s="58"/>
    </row>
    <row r="1842" spans="1:11" x14ac:dyDescent="0.25">
      <c r="A1842" s="90"/>
      <c r="B1842" s="41" t="s">
        <v>459</v>
      </c>
      <c r="C1842" s="53">
        <v>1.5</v>
      </c>
      <c r="D1842" s="41" t="s">
        <v>184</v>
      </c>
      <c r="E1842" s="168">
        <f>+$E$1831</f>
        <v>80.5</v>
      </c>
      <c r="F1842" s="53">
        <f>E1842*C1842</f>
        <v>120.75</v>
      </c>
      <c r="G1842" s="58"/>
    </row>
    <row r="1843" spans="1:11" x14ac:dyDescent="0.25">
      <c r="A1843" s="90"/>
      <c r="B1843" s="41" t="s">
        <v>271</v>
      </c>
      <c r="C1843" s="53">
        <v>1</v>
      </c>
      <c r="D1843" s="41" t="s">
        <v>81</v>
      </c>
      <c r="E1843" s="168"/>
      <c r="F1843" s="53">
        <f>E1843*C1843</f>
        <v>0</v>
      </c>
      <c r="G1843" s="58"/>
    </row>
    <row r="1844" spans="1:11" x14ac:dyDescent="0.25">
      <c r="A1844" s="90"/>
      <c r="B1844" s="41" t="s">
        <v>560</v>
      </c>
      <c r="C1844" s="53">
        <v>1</v>
      </c>
      <c r="D1844" s="41" t="s">
        <v>81</v>
      </c>
      <c r="E1844" s="168"/>
      <c r="F1844" s="53">
        <f>E1844*C1844</f>
        <v>0</v>
      </c>
      <c r="G1844" s="58"/>
    </row>
    <row r="1845" spans="1:11" ht="15.6" x14ac:dyDescent="0.3">
      <c r="A1845" s="90"/>
      <c r="B1845" s="41"/>
      <c r="D1845" s="41"/>
      <c r="E1845" s="46"/>
      <c r="G1845" s="59">
        <f>SUM(F1837:F1844)</f>
        <v>434.8895277777778</v>
      </c>
      <c r="H1845" s="3" t="s">
        <v>141</v>
      </c>
    </row>
    <row r="1846" spans="1:11" ht="15.6" x14ac:dyDescent="0.3">
      <c r="A1846" s="90"/>
      <c r="B1846" s="3" t="s">
        <v>586</v>
      </c>
      <c r="E1846" s="46"/>
      <c r="G1846" s="58"/>
      <c r="K1846" s="173"/>
    </row>
    <row r="1847" spans="1:11" x14ac:dyDescent="0.25">
      <c r="A1847" s="90">
        <f>+A1837+0.01</f>
        <v>14.109999999999998</v>
      </c>
      <c r="B1847" s="41" t="s">
        <v>587</v>
      </c>
      <c r="C1847" s="53">
        <v>1</v>
      </c>
      <c r="D1847" s="41" t="s">
        <v>81</v>
      </c>
      <c r="E1847" s="168"/>
      <c r="F1847" s="53">
        <f>E1847*C1847</f>
        <v>0</v>
      </c>
      <c r="G1847" s="160" t="s">
        <v>443</v>
      </c>
      <c r="K1847" s="173"/>
    </row>
    <row r="1848" spans="1:11" x14ac:dyDescent="0.25">
      <c r="A1848" s="90"/>
      <c r="B1848" s="41" t="s">
        <v>516</v>
      </c>
      <c r="C1848" s="53">
        <f>1/6</f>
        <v>0.16666666666666666</v>
      </c>
      <c r="D1848" s="41" t="s">
        <v>517</v>
      </c>
      <c r="E1848" s="168">
        <f>+$E$1827</f>
        <v>1350</v>
      </c>
      <c r="F1848" s="53">
        <f>E1848*C1848</f>
        <v>225</v>
      </c>
      <c r="G1848" s="58"/>
      <c r="K1848" s="173"/>
    </row>
    <row r="1849" spans="1:11" x14ac:dyDescent="0.25">
      <c r="A1849" s="90"/>
      <c r="B1849" s="41" t="s">
        <v>588</v>
      </c>
      <c r="C1849" s="170">
        <v>6.6666666666666666E-2</v>
      </c>
      <c r="D1849" s="41" t="s">
        <v>517</v>
      </c>
      <c r="E1849" s="168">
        <f>+'[1]Lista de precios MAY25'!$E$144</f>
        <v>3135.0270679999999</v>
      </c>
      <c r="F1849" s="53">
        <f>E1849*C1849</f>
        <v>209.00180453333331</v>
      </c>
      <c r="G1849" s="58"/>
      <c r="K1849" s="173"/>
    </row>
    <row r="1850" spans="1:11" x14ac:dyDescent="0.25">
      <c r="A1850" s="90"/>
      <c r="B1850" s="41" t="s">
        <v>411</v>
      </c>
      <c r="C1850" s="53">
        <v>0.05</v>
      </c>
      <c r="D1850" s="41" t="s">
        <v>82</v>
      </c>
      <c r="E1850" s="172">
        <f>+$E$1840</f>
        <v>80.850000000000009</v>
      </c>
      <c r="F1850" s="53">
        <f>E1850*C1850</f>
        <v>4.0425000000000004</v>
      </c>
      <c r="G1850" s="58"/>
    </row>
    <row r="1851" spans="1:11" x14ac:dyDescent="0.25">
      <c r="A1851" s="90"/>
      <c r="B1851" s="41" t="s">
        <v>268</v>
      </c>
      <c r="C1851" s="53">
        <v>10</v>
      </c>
      <c r="D1851" s="41" t="s">
        <v>34</v>
      </c>
      <c r="E1851" s="172">
        <f>SUM(F1847:F1850)</f>
        <v>438.04430453333333</v>
      </c>
      <c r="F1851" s="53">
        <f>E1851*C1851/100</f>
        <v>43.804430453333332</v>
      </c>
      <c r="G1851" s="58"/>
    </row>
    <row r="1852" spans="1:11" x14ac:dyDescent="0.25">
      <c r="A1852" s="90"/>
      <c r="B1852" s="41" t="s">
        <v>459</v>
      </c>
      <c r="C1852" s="53">
        <v>1.8</v>
      </c>
      <c r="D1852" s="41" t="s">
        <v>184</v>
      </c>
      <c r="E1852" s="168">
        <f>+$E$1842</f>
        <v>80.5</v>
      </c>
      <c r="F1852" s="53">
        <f>E1852*C1852</f>
        <v>144.9</v>
      </c>
      <c r="G1852" s="58"/>
    </row>
    <row r="1853" spans="1:11" x14ac:dyDescent="0.25">
      <c r="A1853" s="90"/>
      <c r="B1853" s="41" t="s">
        <v>271</v>
      </c>
      <c r="C1853" s="53">
        <v>1</v>
      </c>
      <c r="D1853" s="41" t="s">
        <v>81</v>
      </c>
      <c r="E1853" s="168"/>
      <c r="F1853" s="53">
        <f>E1853*C1853</f>
        <v>0</v>
      </c>
      <c r="G1853" s="160" t="s">
        <v>568</v>
      </c>
    </row>
    <row r="1854" spans="1:11" x14ac:dyDescent="0.25">
      <c r="A1854" s="90"/>
      <c r="B1854" s="41" t="s">
        <v>560</v>
      </c>
      <c r="C1854" s="53">
        <v>1</v>
      </c>
      <c r="D1854" s="41" t="s">
        <v>81</v>
      </c>
      <c r="E1854" s="168">
        <f>+$E$1752</f>
        <v>0</v>
      </c>
      <c r="F1854" s="53">
        <f>E1854*C1854</f>
        <v>0</v>
      </c>
      <c r="G1854" s="58"/>
    </row>
    <row r="1855" spans="1:11" x14ac:dyDescent="0.25">
      <c r="A1855" s="90"/>
      <c r="B1855" s="41" t="s">
        <v>561</v>
      </c>
      <c r="C1855" s="53">
        <v>1</v>
      </c>
      <c r="D1855" s="41" t="s">
        <v>79</v>
      </c>
      <c r="E1855" s="168"/>
      <c r="F1855" s="53">
        <f>E1855*C1855</f>
        <v>0</v>
      </c>
      <c r="G1855" s="58"/>
    </row>
    <row r="1856" spans="1:11" ht="15.6" x14ac:dyDescent="0.3">
      <c r="A1856" s="90"/>
      <c r="B1856" s="41"/>
      <c r="D1856" s="41"/>
      <c r="E1856" s="46"/>
      <c r="G1856" s="59">
        <f>SUM(F1847:F1855)</f>
        <v>626.7487349866667</v>
      </c>
      <c r="H1856" s="3" t="s">
        <v>141</v>
      </c>
      <c r="I1856" s="2">
        <f>25*59.15</f>
        <v>1478.75</v>
      </c>
    </row>
    <row r="1857" spans="1:11" x14ac:dyDescent="0.25">
      <c r="A1857" s="90"/>
      <c r="B1857" s="41"/>
      <c r="E1857" s="46"/>
      <c r="G1857" s="58"/>
      <c r="H1857" s="41"/>
    </row>
    <row r="1858" spans="1:11" ht="15" customHeight="1" x14ac:dyDescent="0.3">
      <c r="A1858" s="90"/>
      <c r="B1858" s="3" t="s">
        <v>589</v>
      </c>
      <c r="E1858" s="46"/>
      <c r="G1858" s="58"/>
    </row>
    <row r="1859" spans="1:11" x14ac:dyDescent="0.25">
      <c r="A1859" s="90">
        <f>+A1847+0.01</f>
        <v>14.119999999999997</v>
      </c>
      <c r="B1859" s="41" t="s">
        <v>590</v>
      </c>
      <c r="C1859" s="53">
        <v>1</v>
      </c>
      <c r="D1859" s="41" t="s">
        <v>81</v>
      </c>
      <c r="E1859" s="168">
        <f>25*59.15*1.18</f>
        <v>1744.925</v>
      </c>
      <c r="F1859" s="53">
        <f>E1859*C1859</f>
        <v>1744.925</v>
      </c>
      <c r="G1859" s="58"/>
    </row>
    <row r="1860" spans="1:11" x14ac:dyDescent="0.25">
      <c r="A1860" s="90"/>
      <c r="B1860" s="41" t="s">
        <v>516</v>
      </c>
      <c r="C1860" s="53">
        <v>0.15</v>
      </c>
      <c r="D1860" s="41" t="s">
        <v>517</v>
      </c>
      <c r="E1860" s="168">
        <f>+'[1]Lista de precios MAY25'!$E$138</f>
        <v>1350</v>
      </c>
      <c r="F1860" s="53">
        <f>E1860*C1860</f>
        <v>202.5</v>
      </c>
      <c r="G1860" s="58"/>
    </row>
    <row r="1861" spans="1:11" x14ac:dyDescent="0.25">
      <c r="A1861" s="90"/>
      <c r="B1861" s="41" t="s">
        <v>518</v>
      </c>
      <c r="C1861" s="53">
        <v>10</v>
      </c>
      <c r="D1861" s="41" t="s">
        <v>591</v>
      </c>
      <c r="E1861" s="168">
        <f>+$G$95</f>
        <v>15.807777777777778</v>
      </c>
      <c r="F1861" s="53">
        <f>E1861*C1861</f>
        <v>158.07777777777778</v>
      </c>
      <c r="G1861" s="58"/>
      <c r="I1861" s="2">
        <f>+E1865*11.46</f>
        <v>17190</v>
      </c>
    </row>
    <row r="1862" spans="1:11" x14ac:dyDescent="0.25">
      <c r="A1862" s="90"/>
      <c r="B1862" s="41" t="s">
        <v>411</v>
      </c>
      <c r="C1862" s="53">
        <v>0.05</v>
      </c>
      <c r="D1862" s="41" t="s">
        <v>82</v>
      </c>
      <c r="E1862" s="172">
        <f>+'[1]Lista de precios MAY25'!$E$141</f>
        <v>80.850000000000009</v>
      </c>
      <c r="F1862" s="53">
        <f>E1862*C1862</f>
        <v>4.0425000000000004</v>
      </c>
      <c r="G1862" s="58"/>
    </row>
    <row r="1863" spans="1:11" x14ac:dyDescent="0.25">
      <c r="A1863" s="90"/>
      <c r="B1863" s="41" t="s">
        <v>268</v>
      </c>
      <c r="C1863" s="53">
        <v>10</v>
      </c>
      <c r="D1863" s="41" t="s">
        <v>34</v>
      </c>
      <c r="E1863" s="172">
        <f>SUM(F1859:F1862)</f>
        <v>2109.5452777777778</v>
      </c>
      <c r="F1863" s="53">
        <f>E1863*C1863/100</f>
        <v>210.95452777777777</v>
      </c>
      <c r="G1863" s="58"/>
    </row>
    <row r="1864" spans="1:11" x14ac:dyDescent="0.25">
      <c r="A1864" s="90"/>
      <c r="B1864" s="41" t="s">
        <v>459</v>
      </c>
      <c r="C1864" s="53">
        <v>2</v>
      </c>
      <c r="D1864" s="41" t="s">
        <v>184</v>
      </c>
      <c r="E1864" s="54">
        <f>+'[1]MO MAY25'!$N$587</f>
        <v>40.25</v>
      </c>
      <c r="F1864" s="53">
        <f>E1864*C1864</f>
        <v>80.5</v>
      </c>
      <c r="G1864" s="58"/>
      <c r="K1864" s="55">
        <f>+(K1798+K1802)*1.18*1.1</f>
        <v>0</v>
      </c>
    </row>
    <row r="1865" spans="1:11" x14ac:dyDescent="0.25">
      <c r="A1865" s="90"/>
      <c r="B1865" s="41" t="s">
        <v>271</v>
      </c>
      <c r="C1865" s="53">
        <v>1</v>
      </c>
      <c r="D1865" s="41" t="s">
        <v>81</v>
      </c>
      <c r="E1865" s="168">
        <v>1500</v>
      </c>
      <c r="F1865" s="53">
        <f>E1865*C1865</f>
        <v>1500</v>
      </c>
      <c r="G1865" s="58" t="s">
        <v>578</v>
      </c>
    </row>
    <row r="1866" spans="1:11" x14ac:dyDescent="0.25">
      <c r="A1866" s="90"/>
      <c r="B1866" s="41" t="s">
        <v>460</v>
      </c>
      <c r="C1866" s="53">
        <v>1</v>
      </c>
      <c r="D1866" s="41" t="s">
        <v>79</v>
      </c>
      <c r="E1866" s="168">
        <f>+'[1]MO MAY25'!N435/10.46</f>
        <v>164.91395793499044</v>
      </c>
      <c r="F1866" s="53">
        <f>E1866*C1866</f>
        <v>164.91395793499044</v>
      </c>
      <c r="G1866" s="58"/>
      <c r="I1866" s="62">
        <f>+F1866*11.79</f>
        <v>1944.3355640535372</v>
      </c>
    </row>
    <row r="1867" spans="1:11" ht="15.6" x14ac:dyDescent="0.3">
      <c r="A1867" s="90"/>
      <c r="B1867" s="41"/>
      <c r="D1867" s="41"/>
      <c r="E1867" s="46"/>
      <c r="G1867" s="59">
        <f>SUM(F1859:F1866)</f>
        <v>4065.913763490546</v>
      </c>
      <c r="H1867" s="3" t="s">
        <v>141</v>
      </c>
    </row>
    <row r="1868" spans="1:11" x14ac:dyDescent="0.25">
      <c r="A1868" s="90"/>
      <c r="B1868" s="41"/>
      <c r="D1868" s="41"/>
      <c r="E1868" s="46"/>
      <c r="G1868" s="58"/>
      <c r="H1868" s="41"/>
    </row>
    <row r="1869" spans="1:11" ht="15.6" x14ac:dyDescent="0.3">
      <c r="A1869" s="90"/>
      <c r="B1869" s="3" t="s">
        <v>592</v>
      </c>
      <c r="E1869" s="46"/>
      <c r="G1869" s="58"/>
    </row>
    <row r="1870" spans="1:11" x14ac:dyDescent="0.25">
      <c r="A1870" s="90">
        <f>+A1859+0.01</f>
        <v>14.129999999999997</v>
      </c>
      <c r="B1870" s="41" t="s">
        <v>593</v>
      </c>
      <c r="C1870" s="53">
        <v>1.05</v>
      </c>
      <c r="D1870" s="41" t="s">
        <v>81</v>
      </c>
      <c r="E1870" s="168">
        <f>+$G$655</f>
        <v>1396.8325582137502</v>
      </c>
      <c r="F1870" s="53">
        <f t="shared" ref="F1870:F1875" si="806">E1870*C1870</f>
        <v>1466.6741861244377</v>
      </c>
      <c r="G1870" s="58"/>
    </row>
    <row r="1871" spans="1:11" x14ac:dyDescent="0.25">
      <c r="A1871" s="90"/>
      <c r="B1871" s="41" t="s">
        <v>594</v>
      </c>
      <c r="C1871" s="53">
        <f>(2.2*2+1*2)*0.6</f>
        <v>3.84</v>
      </c>
      <c r="D1871" s="41" t="s">
        <v>81</v>
      </c>
      <c r="E1871" s="168">
        <f>+$G$715</f>
        <v>2625.8107690215229</v>
      </c>
      <c r="F1871" s="53">
        <f t="shared" si="806"/>
        <v>10083.113353042647</v>
      </c>
      <c r="G1871" s="58"/>
    </row>
    <row r="1872" spans="1:11" x14ac:dyDescent="0.25">
      <c r="A1872" s="90"/>
      <c r="B1872" s="41" t="s">
        <v>595</v>
      </c>
      <c r="C1872" s="53">
        <f>(2*2+1*2)*0.7</f>
        <v>4.1999999999999993</v>
      </c>
      <c r="D1872" s="41" t="s">
        <v>81</v>
      </c>
      <c r="E1872" s="168">
        <f>+$G$1097</f>
        <v>728.11892857142857</v>
      </c>
      <c r="F1872" s="53">
        <f t="shared" si="806"/>
        <v>3058.0994999999994</v>
      </c>
      <c r="G1872" s="58"/>
    </row>
    <row r="1873" spans="1:11" x14ac:dyDescent="0.25">
      <c r="A1873" s="90"/>
      <c r="B1873" s="41" t="s">
        <v>596</v>
      </c>
      <c r="C1873" s="53">
        <f>+C1874</f>
        <v>4.74</v>
      </c>
      <c r="D1873" s="41" t="s">
        <v>81</v>
      </c>
      <c r="E1873" s="168">
        <f>+$G$940</f>
        <v>540.08692150000002</v>
      </c>
      <c r="F1873" s="53">
        <f t="shared" si="806"/>
        <v>2560.0120079100002</v>
      </c>
      <c r="G1873" s="58"/>
    </row>
    <row r="1874" spans="1:11" x14ac:dyDescent="0.25">
      <c r="A1874" s="90"/>
      <c r="B1874" s="41" t="s">
        <v>597</v>
      </c>
      <c r="C1874" s="53">
        <f>2.2*0.7+(2.2*2+1*2)*0.5</f>
        <v>4.74</v>
      </c>
      <c r="D1874" s="41" t="s">
        <v>81</v>
      </c>
      <c r="E1874" s="172">
        <f>+$G$1812</f>
        <v>3885.8520277777775</v>
      </c>
      <c r="F1874" s="53">
        <f t="shared" si="806"/>
        <v>18418.938611666665</v>
      </c>
      <c r="G1874" s="58"/>
    </row>
    <row r="1875" spans="1:11" x14ac:dyDescent="0.25">
      <c r="A1875" s="90"/>
      <c r="B1875" s="41" t="s">
        <v>598</v>
      </c>
      <c r="C1875" s="53">
        <v>4.41</v>
      </c>
      <c r="D1875" s="41" t="s">
        <v>150</v>
      </c>
      <c r="E1875" s="172">
        <f>+$G$1507</f>
        <v>1159.9447797444445</v>
      </c>
      <c r="F1875" s="53">
        <f t="shared" si="806"/>
        <v>5115.3564786730003</v>
      </c>
      <c r="G1875" s="58"/>
    </row>
    <row r="1876" spans="1:11" x14ac:dyDescent="0.25">
      <c r="A1876" s="90"/>
      <c r="B1876" s="41"/>
      <c r="C1876" s="53"/>
      <c r="D1876" s="41"/>
      <c r="E1876" s="172"/>
      <c r="F1876" s="53"/>
      <c r="G1876" s="58"/>
    </row>
    <row r="1877" spans="1:11" ht="15.6" x14ac:dyDescent="0.3">
      <c r="A1877" s="90"/>
      <c r="B1877" s="3" t="s">
        <v>599</v>
      </c>
      <c r="E1877" s="46"/>
      <c r="G1877" s="58"/>
    </row>
    <row r="1878" spans="1:11" x14ac:dyDescent="0.25">
      <c r="A1878" s="90">
        <f>+A1866+0.01</f>
        <v>0.01</v>
      </c>
      <c r="B1878" s="41" t="s">
        <v>575</v>
      </c>
      <c r="C1878" s="53">
        <v>1</v>
      </c>
      <c r="D1878" s="41" t="s">
        <v>81</v>
      </c>
      <c r="E1878" s="168">
        <f>+(46.4*57.85)*1.18</f>
        <v>3167.4031999999997</v>
      </c>
      <c r="F1878" s="53">
        <f>E1878*C1878</f>
        <v>3167.4031999999997</v>
      </c>
      <c r="G1878" s="117" t="s">
        <v>261</v>
      </c>
      <c r="H1878" s="123"/>
    </row>
    <row r="1879" spans="1:11" x14ac:dyDescent="0.25">
      <c r="A1879" s="90"/>
      <c r="B1879" s="41" t="s">
        <v>516</v>
      </c>
      <c r="C1879" s="53">
        <v>0.15</v>
      </c>
      <c r="D1879" s="41" t="s">
        <v>517</v>
      </c>
      <c r="E1879" s="168">
        <f>+$E$1860</f>
        <v>1350</v>
      </c>
      <c r="F1879" s="53">
        <f>E1879*C1879</f>
        <v>202.5</v>
      </c>
      <c r="G1879" s="58"/>
    </row>
    <row r="1880" spans="1:11" x14ac:dyDescent="0.25">
      <c r="A1880" s="90"/>
      <c r="B1880" s="41" t="s">
        <v>518</v>
      </c>
      <c r="C1880" s="53">
        <v>0.17</v>
      </c>
      <c r="D1880" s="41" t="s">
        <v>82</v>
      </c>
      <c r="E1880" s="168">
        <f>+$G$95</f>
        <v>15.807777777777778</v>
      </c>
      <c r="F1880" s="53">
        <f>E1880*C1880</f>
        <v>2.6873222222222224</v>
      </c>
      <c r="G1880" s="58"/>
    </row>
    <row r="1881" spans="1:11" x14ac:dyDescent="0.25">
      <c r="A1881" s="90"/>
      <c r="B1881" s="41" t="s">
        <v>411</v>
      </c>
      <c r="C1881" s="53">
        <v>0.05</v>
      </c>
      <c r="D1881" s="41" t="s">
        <v>82</v>
      </c>
      <c r="E1881" s="172">
        <f>+$E$1862</f>
        <v>80.850000000000009</v>
      </c>
      <c r="F1881" s="53">
        <f>E1881*C1881</f>
        <v>4.0425000000000004</v>
      </c>
      <c r="G1881" s="58"/>
      <c r="K1881" s="55">
        <f>+(K1890+K1894)*1.18*1.1</f>
        <v>0</v>
      </c>
    </row>
    <row r="1882" spans="1:11" x14ac:dyDescent="0.25">
      <c r="A1882" s="90"/>
      <c r="B1882" s="41" t="s">
        <v>268</v>
      </c>
      <c r="C1882" s="53">
        <v>10</v>
      </c>
      <c r="D1882" s="41" t="s">
        <v>34</v>
      </c>
      <c r="E1882" s="168">
        <f>SUM(F1878:F1881)</f>
        <v>3376.6330222222218</v>
      </c>
      <c r="F1882" s="53">
        <f>E1882*C1882/100</f>
        <v>337.66330222222217</v>
      </c>
      <c r="G1882" s="58"/>
    </row>
    <row r="1883" spans="1:11" x14ac:dyDescent="0.25">
      <c r="A1883" s="90"/>
      <c r="B1883" s="41" t="s">
        <v>459</v>
      </c>
      <c r="C1883" s="53">
        <v>1.5</v>
      </c>
      <c r="D1883" s="41" t="s">
        <v>184</v>
      </c>
      <c r="E1883" s="54">
        <f>+'[1]MO MAY25'!$N$590</f>
        <v>80.5</v>
      </c>
      <c r="F1883" s="53">
        <f>E1883*C1883</f>
        <v>120.75</v>
      </c>
      <c r="G1883" s="58"/>
    </row>
    <row r="1884" spans="1:11" x14ac:dyDescent="0.25">
      <c r="A1884" s="90"/>
      <c r="B1884" s="41" t="s">
        <v>271</v>
      </c>
      <c r="C1884" s="53">
        <v>1</v>
      </c>
      <c r="D1884" s="41" t="s">
        <v>81</v>
      </c>
      <c r="E1884" s="168">
        <f>+'[1]MO MAY25'!$N$597</f>
        <v>977.5</v>
      </c>
      <c r="F1884" s="53">
        <f>E1884*C1884</f>
        <v>977.5</v>
      </c>
      <c r="G1884" s="58"/>
    </row>
    <row r="1885" spans="1:11" x14ac:dyDescent="0.25">
      <c r="A1885" s="90"/>
      <c r="B1885" s="41" t="s">
        <v>600</v>
      </c>
      <c r="C1885" s="53">
        <v>1</v>
      </c>
      <c r="D1885" s="41" t="s">
        <v>81</v>
      </c>
      <c r="E1885" s="168">
        <f>+'[1]MO MAY25'!$N$434</f>
        <v>431.25</v>
      </c>
      <c r="F1885" s="53">
        <f>E1885*C1885</f>
        <v>431.25</v>
      </c>
      <c r="G1885" s="58"/>
    </row>
    <row r="1886" spans="1:11" ht="15.6" x14ac:dyDescent="0.3">
      <c r="A1886" s="90"/>
      <c r="B1886" s="41"/>
      <c r="D1886" s="41"/>
      <c r="E1886" s="46"/>
      <c r="G1886" s="59">
        <f>SUM(F1878:F1885)</f>
        <v>5243.7963244444436</v>
      </c>
      <c r="H1886" s="3" t="s">
        <v>141</v>
      </c>
    </row>
    <row r="1887" spans="1:11" ht="15.6" x14ac:dyDescent="0.3">
      <c r="A1887" s="90"/>
      <c r="B1887" s="41"/>
      <c r="D1887" s="41"/>
      <c r="E1887" s="46"/>
      <c r="G1887" s="59">
        <f>SUM(F1870:F1875)</f>
        <v>40702.194137416751</v>
      </c>
      <c r="H1887" s="3" t="s">
        <v>141</v>
      </c>
    </row>
    <row r="1888" spans="1:11" ht="15.6" x14ac:dyDescent="0.3">
      <c r="A1888" s="90"/>
      <c r="B1888" s="3" t="s">
        <v>601</v>
      </c>
      <c r="E1888" s="46"/>
      <c r="G1888" s="58"/>
      <c r="H1888" s="41"/>
    </row>
    <row r="1889" spans="1:8" ht="15.6" x14ac:dyDescent="0.3">
      <c r="A1889" s="20">
        <f>+A1731+1</f>
        <v>15</v>
      </c>
      <c r="B1889" s="3"/>
      <c r="E1889" s="46"/>
      <c r="G1889" s="58"/>
      <c r="H1889" s="41"/>
    </row>
    <row r="1890" spans="1:8" ht="15.6" x14ac:dyDescent="0.3">
      <c r="A1890" s="20"/>
      <c r="B1890" s="3" t="s">
        <v>602</v>
      </c>
      <c r="E1890" s="46"/>
      <c r="G1890" s="58"/>
    </row>
    <row r="1891" spans="1:8" x14ac:dyDescent="0.25">
      <c r="A1891" s="90">
        <f>+A1889+0.01</f>
        <v>15.01</v>
      </c>
      <c r="B1891" s="41" t="s">
        <v>603</v>
      </c>
      <c r="C1891" s="53">
        <f>(0.3+0.18)</f>
        <v>0.48</v>
      </c>
      <c r="D1891" s="41" t="s">
        <v>81</v>
      </c>
      <c r="E1891" s="168">
        <v>0</v>
      </c>
      <c r="F1891" s="53">
        <f>E1891*C1891</f>
        <v>0</v>
      </c>
      <c r="G1891" s="160" t="s">
        <v>443</v>
      </c>
    </row>
    <row r="1892" spans="1:8" x14ac:dyDescent="0.25">
      <c r="A1892" s="90"/>
      <c r="B1892" s="41" t="s">
        <v>516</v>
      </c>
      <c r="C1892" s="53">
        <f>0.15*0.5</f>
        <v>7.4999999999999997E-2</v>
      </c>
      <c r="D1892" s="41" t="s">
        <v>517</v>
      </c>
      <c r="E1892" s="168">
        <f>+$E$1879</f>
        <v>1350</v>
      </c>
      <c r="F1892" s="53">
        <f>E1892*C1892</f>
        <v>101.25</v>
      </c>
      <c r="G1892" s="58"/>
    </row>
    <row r="1893" spans="1:8" x14ac:dyDescent="0.25">
      <c r="A1893" s="90"/>
      <c r="B1893" s="41" t="s">
        <v>518</v>
      </c>
      <c r="C1893" s="53">
        <f>5*0.5</f>
        <v>2.5</v>
      </c>
      <c r="D1893" s="41" t="s">
        <v>82</v>
      </c>
      <c r="E1893" s="168">
        <f>+$G$95</f>
        <v>15.807777777777778</v>
      </c>
      <c r="F1893" s="53">
        <f>E1893*C1893</f>
        <v>39.519444444444446</v>
      </c>
      <c r="G1893" s="58"/>
    </row>
    <row r="1894" spans="1:8" x14ac:dyDescent="0.25">
      <c r="A1894" s="90"/>
      <c r="B1894" s="41" t="s">
        <v>411</v>
      </c>
      <c r="C1894" s="53">
        <v>0.05</v>
      </c>
      <c r="D1894" s="41" t="s">
        <v>82</v>
      </c>
      <c r="E1894" s="172">
        <f>+$E$1881</f>
        <v>80.850000000000009</v>
      </c>
      <c r="F1894" s="53">
        <f>E1894*C1894</f>
        <v>4.0425000000000004</v>
      </c>
      <c r="G1894" s="58"/>
    </row>
    <row r="1895" spans="1:8" x14ac:dyDescent="0.25">
      <c r="A1895" s="90"/>
      <c r="B1895" s="41" t="s">
        <v>268</v>
      </c>
      <c r="C1895" s="53">
        <v>10</v>
      </c>
      <c r="D1895" s="41" t="s">
        <v>34</v>
      </c>
      <c r="E1895" s="172">
        <f>SUM(F1891:F1894)</f>
        <v>144.81194444444444</v>
      </c>
      <c r="F1895" s="53">
        <f>E1895*C1895/100</f>
        <v>14.481194444444442</v>
      </c>
      <c r="G1895" s="58"/>
    </row>
    <row r="1896" spans="1:8" x14ac:dyDescent="0.25">
      <c r="A1896" s="90"/>
      <c r="B1896" s="41" t="s">
        <v>459</v>
      </c>
      <c r="C1896" s="53">
        <v>1</v>
      </c>
      <c r="D1896" s="41" t="s">
        <v>184</v>
      </c>
      <c r="E1896" s="168">
        <f>+E$1883</f>
        <v>80.5</v>
      </c>
      <c r="F1896" s="53">
        <f>E1896*C1896</f>
        <v>80.5</v>
      </c>
      <c r="G1896" s="58"/>
    </row>
    <row r="1897" spans="1:8" x14ac:dyDescent="0.25">
      <c r="A1897" s="90"/>
      <c r="B1897" s="41" t="s">
        <v>271</v>
      </c>
      <c r="C1897" s="53">
        <v>1</v>
      </c>
      <c r="D1897" s="41" t="s">
        <v>81</v>
      </c>
      <c r="E1897" s="168"/>
      <c r="F1897" s="53">
        <f>E1897*C1897</f>
        <v>0</v>
      </c>
      <c r="G1897" s="58"/>
    </row>
    <row r="1898" spans="1:8" ht="15.6" x14ac:dyDescent="0.3">
      <c r="A1898" s="90"/>
      <c r="B1898" s="41"/>
      <c r="D1898" s="41"/>
      <c r="E1898" s="46"/>
      <c r="G1898" s="59">
        <f>SUM(F1891:F1897)</f>
        <v>239.79313888888888</v>
      </c>
      <c r="H1898" s="3" t="s">
        <v>19</v>
      </c>
    </row>
    <row r="1899" spans="1:8" ht="15.6" x14ac:dyDescent="0.3">
      <c r="A1899" s="90"/>
      <c r="B1899" s="3" t="s">
        <v>604</v>
      </c>
      <c r="E1899" s="46"/>
      <c r="G1899" s="58"/>
    </row>
    <row r="1900" spans="1:8" ht="21.75" customHeight="1" x14ac:dyDescent="0.25">
      <c r="A1900" s="90">
        <f>+A1891+0.01</f>
        <v>15.02</v>
      </c>
      <c r="B1900" s="41" t="s">
        <v>605</v>
      </c>
      <c r="C1900" s="174">
        <f>0.86*15*0.35</f>
        <v>4.5149999999999997</v>
      </c>
      <c r="D1900" s="41" t="s">
        <v>81</v>
      </c>
      <c r="E1900" s="54">
        <f>+$E$1321</f>
        <v>2012.5</v>
      </c>
      <c r="F1900" s="175">
        <f t="shared" ref="F1900:F1905" si="807">ROUND((C1900*E1900),2)</f>
        <v>9086.44</v>
      </c>
      <c r="G1900" s="58"/>
    </row>
    <row r="1901" spans="1:8" outlineLevel="1" x14ac:dyDescent="0.25">
      <c r="A1901" s="90"/>
      <c r="B1901" s="41" t="s">
        <v>606</v>
      </c>
      <c r="C1901" s="174">
        <f>0.86*15*0.2</f>
        <v>2.58</v>
      </c>
      <c r="D1901" s="41" t="s">
        <v>21</v>
      </c>
      <c r="E1901" s="54">
        <f>+E1900</f>
        <v>2012.5</v>
      </c>
      <c r="F1901" s="175">
        <f t="shared" si="807"/>
        <v>5192.25</v>
      </c>
      <c r="G1901" s="58"/>
    </row>
    <row r="1902" spans="1:8" x14ac:dyDescent="0.25">
      <c r="A1902" s="90"/>
      <c r="B1902" s="41" t="s">
        <v>607</v>
      </c>
      <c r="C1902" s="53">
        <f>0.2*0.33/2*0.9*15</f>
        <v>0.44550000000000001</v>
      </c>
      <c r="D1902" s="41" t="s">
        <v>54</v>
      </c>
      <c r="E1902" s="54">
        <f>+'[1]Lista de precios MAY25'!$E$44</f>
        <v>9027</v>
      </c>
      <c r="F1902" s="175">
        <f t="shared" si="807"/>
        <v>4021.53</v>
      </c>
      <c r="G1902" s="58"/>
    </row>
    <row r="1903" spans="1:8" x14ac:dyDescent="0.25">
      <c r="A1903" s="90"/>
      <c r="B1903" s="41" t="s">
        <v>608</v>
      </c>
      <c r="C1903" s="53">
        <f>1/(15/0.9)*(C1900+C1901)</f>
        <v>0.42569999999999997</v>
      </c>
      <c r="D1903" s="174" t="s">
        <v>52</v>
      </c>
      <c r="E1903" s="54">
        <f>+'[1]Lista de precios MAY25'!$E$138</f>
        <v>1350</v>
      </c>
      <c r="F1903" s="53">
        <f t="shared" si="807"/>
        <v>574.70000000000005</v>
      </c>
      <c r="G1903" s="58"/>
    </row>
    <row r="1904" spans="1:8" x14ac:dyDescent="0.25">
      <c r="A1904" s="90"/>
      <c r="B1904" s="41" t="s">
        <v>609</v>
      </c>
      <c r="C1904" s="53">
        <v>15</v>
      </c>
      <c r="D1904" s="41" t="s">
        <v>8</v>
      </c>
      <c r="E1904" s="54">
        <f>+'[1]Lista de precios MAY25'!$E$63</f>
        <v>2209.1370000000002</v>
      </c>
      <c r="F1904" s="53">
        <f t="shared" si="807"/>
        <v>33137.06</v>
      </c>
      <c r="G1904" s="58"/>
    </row>
    <row r="1905" spans="1:8" x14ac:dyDescent="0.25">
      <c r="A1905" s="90"/>
      <c r="B1905" s="41" t="s">
        <v>411</v>
      </c>
      <c r="C1905" s="53">
        <f>15*1.7*0.04</f>
        <v>1.02</v>
      </c>
      <c r="D1905" s="41" t="s">
        <v>82</v>
      </c>
      <c r="E1905" s="54">
        <f>+'[1]Lista de precios MAY25'!$E$141</f>
        <v>80.850000000000009</v>
      </c>
      <c r="F1905" s="53">
        <f t="shared" si="807"/>
        <v>82.47</v>
      </c>
      <c r="G1905" s="58"/>
    </row>
    <row r="1906" spans="1:8" x14ac:dyDescent="0.25">
      <c r="A1906" s="90"/>
      <c r="B1906" s="41" t="s">
        <v>67</v>
      </c>
      <c r="C1906" s="53">
        <v>15</v>
      </c>
      <c r="D1906" s="41" t="s">
        <v>34</v>
      </c>
      <c r="E1906" s="46">
        <f>SUM(F1900:F1905)</f>
        <v>52094.45</v>
      </c>
      <c r="F1906" s="53">
        <f>+C1906*E1906/100</f>
        <v>7814.1674999999996</v>
      </c>
      <c r="G1906" s="58"/>
    </row>
    <row r="1907" spans="1:8" x14ac:dyDescent="0.25">
      <c r="A1907" s="90"/>
      <c r="B1907" s="41" t="s">
        <v>610</v>
      </c>
      <c r="C1907" s="2">
        <f>15*0.3*2+15*0.2*2</f>
        <v>15</v>
      </c>
      <c r="D1907" s="41" t="s">
        <v>150</v>
      </c>
      <c r="E1907" s="54">
        <f>+$G$1700</f>
        <v>1088.1896551919999</v>
      </c>
      <c r="F1907" s="53">
        <f>ROUND((C1907*E1907),2)</f>
        <v>16322.84</v>
      </c>
      <c r="G1907" s="58"/>
    </row>
    <row r="1908" spans="1:8" x14ac:dyDescent="0.25">
      <c r="A1908" s="90"/>
      <c r="B1908" s="41" t="s">
        <v>611</v>
      </c>
      <c r="C1908" s="53">
        <f>0.9*15</f>
        <v>13.5</v>
      </c>
      <c r="D1908" s="174" t="s">
        <v>150</v>
      </c>
      <c r="E1908" s="54">
        <f>+'[1]Lista de precios MAY25'!$E$142</f>
        <v>312.5</v>
      </c>
      <c r="F1908" s="54">
        <f>+'[1]MO MAY25'!$N$417</f>
        <v>391</v>
      </c>
      <c r="G1908" s="58"/>
    </row>
    <row r="1909" spans="1:8" x14ac:dyDescent="0.25">
      <c r="A1909" s="90"/>
      <c r="B1909" s="41" t="s">
        <v>612</v>
      </c>
      <c r="C1909" s="53">
        <f>+$C$1908</f>
        <v>13.5</v>
      </c>
      <c r="D1909" s="41" t="s">
        <v>150</v>
      </c>
      <c r="E1909" s="54">
        <f>+'[1]MO MAY25'!$N$631*1.05</f>
        <v>1328.25</v>
      </c>
      <c r="F1909" s="53">
        <f>ROUND((C1909*E1909),2)</f>
        <v>17931.38</v>
      </c>
      <c r="G1909" s="58"/>
    </row>
    <row r="1910" spans="1:8" x14ac:dyDescent="0.25">
      <c r="A1910" s="90"/>
      <c r="B1910" s="41" t="s">
        <v>613</v>
      </c>
      <c r="C1910" s="53">
        <v>1</v>
      </c>
      <c r="D1910" s="41" t="s">
        <v>614</v>
      </c>
      <c r="E1910" s="54">
        <v>25000</v>
      </c>
      <c r="F1910" s="53">
        <f>ROUND((C1910*E1910),2)</f>
        <v>25000</v>
      </c>
      <c r="G1910" s="160"/>
    </row>
    <row r="1911" spans="1:8" ht="15.6" x14ac:dyDescent="0.3">
      <c r="A1911" s="90"/>
      <c r="B1911" s="41"/>
      <c r="C1911" s="53"/>
      <c r="D1911" s="176"/>
      <c r="E1911" s="54"/>
      <c r="F1911" s="53"/>
      <c r="G1911" s="47">
        <f>SUM(F1900:F1910)</f>
        <v>119553.83749999999</v>
      </c>
      <c r="H1911" s="57" t="s">
        <v>615</v>
      </c>
    </row>
    <row r="1912" spans="1:8" x14ac:dyDescent="0.25">
      <c r="A1912" s="90"/>
      <c r="E1912" s="46"/>
    </row>
    <row r="1913" spans="1:8" ht="15.6" x14ac:dyDescent="0.3">
      <c r="A1913" s="90"/>
      <c r="B1913" s="3" t="s">
        <v>616</v>
      </c>
      <c r="C1913" s="8"/>
      <c r="D1913" s="41"/>
      <c r="E1913" s="46"/>
      <c r="F1913" s="53">
        <f t="shared" ref="F1913:F1920" si="808">E1913*C1913</f>
        <v>0</v>
      </c>
      <c r="G1913" s="58"/>
    </row>
    <row r="1914" spans="1:8" x14ac:dyDescent="0.25">
      <c r="A1914" s="90">
        <f>+A1900+0.01</f>
        <v>15.03</v>
      </c>
      <c r="B1914" s="41" t="s">
        <v>617</v>
      </c>
      <c r="C1914" s="174">
        <f>(1.22*18*(0.2+0.3))*1.12</f>
        <v>12.297600000000001</v>
      </c>
      <c r="D1914" s="41" t="s">
        <v>81</v>
      </c>
      <c r="E1914" s="54">
        <f>+$E$1285</f>
        <v>0</v>
      </c>
      <c r="F1914" s="53">
        <f t="shared" si="808"/>
        <v>0</v>
      </c>
      <c r="G1914" s="58"/>
    </row>
    <row r="1915" spans="1:8" x14ac:dyDescent="0.25">
      <c r="A1915" s="90"/>
      <c r="B1915" s="41" t="s">
        <v>618</v>
      </c>
      <c r="C1915" s="174">
        <f>2.6*1.22*1.1</f>
        <v>3.4892000000000003</v>
      </c>
      <c r="D1915" s="41" t="s">
        <v>81</v>
      </c>
      <c r="E1915" s="54">
        <f>+E1914</f>
        <v>0</v>
      </c>
      <c r="F1915" s="53">
        <f t="shared" si="808"/>
        <v>0</v>
      </c>
      <c r="G1915" s="58"/>
    </row>
    <row r="1916" spans="1:8" x14ac:dyDescent="0.25">
      <c r="A1916" s="90"/>
      <c r="B1916" s="41" t="s">
        <v>619</v>
      </c>
      <c r="C1916" s="174">
        <v>24.41</v>
      </c>
      <c r="D1916" s="41" t="s">
        <v>81</v>
      </c>
      <c r="E1916" s="54"/>
      <c r="F1916" s="53">
        <f t="shared" si="808"/>
        <v>0</v>
      </c>
      <c r="G1916" s="58"/>
    </row>
    <row r="1917" spans="1:8" x14ac:dyDescent="0.25">
      <c r="A1917" s="90"/>
      <c r="B1917" s="41" t="s">
        <v>607</v>
      </c>
      <c r="C1917" s="174">
        <f>0.2*0.5/2*1.2*17*1.5</f>
        <v>1.53</v>
      </c>
      <c r="D1917" s="41" t="s">
        <v>54</v>
      </c>
      <c r="E1917" s="54">
        <f>+'[1]Lista de precios MAY25'!$E$44</f>
        <v>9027</v>
      </c>
      <c r="F1917" s="53">
        <f t="shared" si="808"/>
        <v>13811.31</v>
      </c>
      <c r="G1917" s="58"/>
    </row>
    <row r="1918" spans="1:8" x14ac:dyDescent="0.25">
      <c r="A1918" s="90"/>
      <c r="B1918" s="41" t="s">
        <v>620</v>
      </c>
      <c r="C1918" s="174">
        <f>17*7/22.72*1.5</f>
        <v>7.856514084507042</v>
      </c>
      <c r="D1918" s="41" t="s">
        <v>409</v>
      </c>
      <c r="E1918" s="54">
        <f>+'[1]Lista de precios MAY25'!$E$140</f>
        <v>3983.88</v>
      </c>
      <c r="F1918" s="53">
        <f t="shared" si="808"/>
        <v>31299.409330985916</v>
      </c>
      <c r="G1918" s="58"/>
    </row>
    <row r="1919" spans="1:8" x14ac:dyDescent="0.25">
      <c r="A1919" s="90"/>
      <c r="B1919" s="41" t="s">
        <v>411</v>
      </c>
      <c r="C1919" s="174">
        <f>17*1.7*0.04*1.5</f>
        <v>1.734</v>
      </c>
      <c r="D1919" s="41" t="s">
        <v>82</v>
      </c>
      <c r="E1919" s="54">
        <f>+$E$1905</f>
        <v>80.850000000000009</v>
      </c>
      <c r="F1919" s="53">
        <f t="shared" si="808"/>
        <v>140.19390000000001</v>
      </c>
      <c r="G1919" s="58"/>
    </row>
    <row r="1920" spans="1:8" x14ac:dyDescent="0.25">
      <c r="A1920" s="90"/>
      <c r="B1920" s="177" t="s">
        <v>621</v>
      </c>
      <c r="C1920" s="174">
        <f>17*1.5*0.65</f>
        <v>16.574999999999999</v>
      </c>
      <c r="D1920" s="41" t="s">
        <v>409</v>
      </c>
      <c r="E1920" s="54"/>
      <c r="F1920" s="53">
        <f t="shared" si="808"/>
        <v>0</v>
      </c>
      <c r="G1920" s="58"/>
    </row>
    <row r="1921" spans="1:9" x14ac:dyDescent="0.25">
      <c r="A1921" s="90"/>
      <c r="B1921" s="41" t="s">
        <v>67</v>
      </c>
      <c r="C1921" s="174">
        <v>10</v>
      </c>
      <c r="D1921" s="41" t="s">
        <v>34</v>
      </c>
      <c r="E1921" s="54">
        <f>SUM(F1914:F1920)</f>
        <v>45250.913230985912</v>
      </c>
      <c r="F1921" s="53">
        <f>E1921*C1921/100</f>
        <v>4525.0913230985916</v>
      </c>
      <c r="G1921" s="58"/>
    </row>
    <row r="1922" spans="1:9" x14ac:dyDescent="0.25">
      <c r="A1922" s="90"/>
      <c r="B1922" s="41" t="s">
        <v>435</v>
      </c>
      <c r="C1922" s="174">
        <f>+(C1923*0.2+C1925*0.2+C1926*0.3)*2</f>
        <v>29.456000000000003</v>
      </c>
      <c r="D1922" s="41" t="s">
        <v>184</v>
      </c>
      <c r="E1922" s="54"/>
      <c r="F1922" s="53">
        <f t="shared" ref="F1922:F1929" si="809">E1922*C1922</f>
        <v>0</v>
      </c>
      <c r="G1922" s="58"/>
    </row>
    <row r="1923" spans="1:9" x14ac:dyDescent="0.25">
      <c r="A1923" s="90"/>
      <c r="B1923" s="41" t="s">
        <v>622</v>
      </c>
      <c r="C1923" s="174">
        <f>(0.45+0.3)*18+1.22*2+2.8</f>
        <v>18.739999999999998</v>
      </c>
      <c r="D1923" s="41" t="s">
        <v>184</v>
      </c>
      <c r="E1923" s="54">
        <f>+$E$1914*0.15*1.35</f>
        <v>0</v>
      </c>
      <c r="F1923" s="53">
        <f t="shared" si="809"/>
        <v>0</v>
      </c>
      <c r="G1923" s="58"/>
    </row>
    <row r="1924" spans="1:9" x14ac:dyDescent="0.25">
      <c r="A1924" s="90"/>
      <c r="B1924" s="41" t="s">
        <v>623</v>
      </c>
      <c r="C1924" s="174">
        <f>+C1915</f>
        <v>3.4892000000000003</v>
      </c>
      <c r="D1924" s="174" t="s">
        <v>81</v>
      </c>
      <c r="E1924" s="54"/>
      <c r="F1924" s="53">
        <f t="shared" si="809"/>
        <v>0</v>
      </c>
      <c r="G1924" s="58"/>
    </row>
    <row r="1925" spans="1:9" x14ac:dyDescent="0.25">
      <c r="A1925" s="90"/>
      <c r="B1925" s="41" t="s">
        <v>624</v>
      </c>
      <c r="C1925" s="174">
        <f>1.22*18</f>
        <v>21.96</v>
      </c>
      <c r="D1925" s="174" t="s">
        <v>150</v>
      </c>
      <c r="E1925" s="54"/>
      <c r="F1925" s="53">
        <f t="shared" si="809"/>
        <v>0</v>
      </c>
      <c r="G1925" s="58"/>
    </row>
    <row r="1926" spans="1:9" x14ac:dyDescent="0.25">
      <c r="A1926" s="90"/>
      <c r="B1926" s="41" t="s">
        <v>625</v>
      </c>
      <c r="C1926" s="174">
        <f>+C1925</f>
        <v>21.96</v>
      </c>
      <c r="D1926" s="174" t="s">
        <v>150</v>
      </c>
      <c r="E1926" s="54"/>
      <c r="F1926" s="53">
        <f t="shared" si="809"/>
        <v>0</v>
      </c>
      <c r="G1926" s="58"/>
    </row>
    <row r="1927" spans="1:9" x14ac:dyDescent="0.25">
      <c r="A1927" s="90"/>
      <c r="B1927" s="41" t="s">
        <v>626</v>
      </c>
      <c r="C1927" s="174">
        <v>12.3</v>
      </c>
      <c r="D1927" s="174" t="s">
        <v>81</v>
      </c>
      <c r="E1927" s="54"/>
      <c r="F1927" s="53">
        <f t="shared" si="809"/>
        <v>0</v>
      </c>
      <c r="G1927" s="58"/>
    </row>
    <row r="1928" spans="1:9" x14ac:dyDescent="0.25">
      <c r="A1928" s="90"/>
      <c r="B1928" s="41" t="s">
        <v>449</v>
      </c>
      <c r="C1928" s="53">
        <v>1</v>
      </c>
      <c r="D1928" s="41" t="s">
        <v>15</v>
      </c>
      <c r="E1928" s="54">
        <v>25000</v>
      </c>
      <c r="F1928" s="53">
        <f t="shared" si="809"/>
        <v>25000</v>
      </c>
      <c r="G1928" s="160" t="s">
        <v>505</v>
      </c>
    </row>
    <row r="1929" spans="1:9" ht="15.6" x14ac:dyDescent="0.3">
      <c r="A1929" s="90"/>
      <c r="B1929" s="41"/>
      <c r="C1929" s="53"/>
      <c r="D1929" s="41"/>
      <c r="E1929" s="54"/>
      <c r="F1929" s="53">
        <f t="shared" si="809"/>
        <v>0</v>
      </c>
      <c r="G1929" s="56">
        <f>SUM(F1914:F1928)</f>
        <v>74776.004554084502</v>
      </c>
      <c r="H1929" s="57" t="s">
        <v>141</v>
      </c>
    </row>
    <row r="1930" spans="1:9" x14ac:dyDescent="0.25">
      <c r="A1930" s="90"/>
      <c r="B1930" s="41"/>
      <c r="E1930" s="46"/>
      <c r="G1930" s="58"/>
      <c r="H1930" s="41"/>
    </row>
    <row r="1931" spans="1:9" ht="15.6" x14ac:dyDescent="0.3">
      <c r="A1931" s="90"/>
      <c r="B1931" s="3" t="s">
        <v>627</v>
      </c>
      <c r="E1931" s="46"/>
      <c r="G1931" s="58"/>
      <c r="I1931" s="94"/>
    </row>
    <row r="1932" spans="1:9" x14ac:dyDescent="0.25">
      <c r="A1932" s="90">
        <f>+A1914+0.014</f>
        <v>15.043999999999999</v>
      </c>
      <c r="B1932" s="41" t="s">
        <v>628</v>
      </c>
      <c r="C1932" s="174">
        <f>1.22*23</f>
        <v>28.06</v>
      </c>
      <c r="D1932" s="174" t="s">
        <v>150</v>
      </c>
      <c r="E1932" s="54">
        <f>+$E$1948</f>
        <v>3660.6077999999998</v>
      </c>
      <c r="F1932" s="175">
        <f>ROUND((C1932*E1932),2)</f>
        <v>102716.65</v>
      </c>
      <c r="G1932" s="58" t="s">
        <v>629</v>
      </c>
      <c r="I1932" s="94"/>
    </row>
    <row r="1933" spans="1:9" x14ac:dyDescent="0.25">
      <c r="A1933" s="90">
        <f>+A1915+0.014</f>
        <v>1.4E-2</v>
      </c>
      <c r="B1933" s="41" t="s">
        <v>630</v>
      </c>
      <c r="C1933" s="174">
        <f>1.22*23</f>
        <v>28.06</v>
      </c>
      <c r="D1933" s="174" t="s">
        <v>150</v>
      </c>
      <c r="E1933" s="54">
        <f>2150.81*1.18</f>
        <v>2537.9557999999997</v>
      </c>
      <c r="F1933" s="175">
        <f>ROUND((C1933*E1933),2)</f>
        <v>71215.039999999994</v>
      </c>
      <c r="G1933" s="58" t="s">
        <v>629</v>
      </c>
      <c r="I1933" s="94"/>
    </row>
    <row r="1934" spans="1:9" x14ac:dyDescent="0.25">
      <c r="A1934" s="90"/>
      <c r="B1934" s="41" t="s">
        <v>631</v>
      </c>
      <c r="C1934" s="174">
        <v>3.36</v>
      </c>
      <c r="D1934" s="174" t="s">
        <v>81</v>
      </c>
      <c r="E1934" s="54">
        <f>+$G$1205</f>
        <v>2380.6403444444445</v>
      </c>
      <c r="F1934" s="175">
        <f t="shared" ref="F1934:F1938" si="810">ROUND((C1934*E1934),2)</f>
        <v>7998.95</v>
      </c>
      <c r="G1934" s="58"/>
      <c r="I1934" s="94"/>
    </row>
    <row r="1935" spans="1:9" x14ac:dyDescent="0.25">
      <c r="A1935" s="90"/>
      <c r="B1935" s="41" t="s">
        <v>607</v>
      </c>
      <c r="C1935" s="53">
        <f>0.2*0.33/2*1.23*23</f>
        <v>0.93357000000000001</v>
      </c>
      <c r="D1935" s="174" t="s">
        <v>54</v>
      </c>
      <c r="E1935" s="54">
        <f>+'[1]Lista de precios MAY25'!$E$44</f>
        <v>9027</v>
      </c>
      <c r="F1935" s="175">
        <f t="shared" si="810"/>
        <v>8427.34</v>
      </c>
      <c r="G1935" s="58"/>
    </row>
    <row r="1936" spans="1:9" x14ac:dyDescent="0.25">
      <c r="A1936" s="90"/>
      <c r="B1936" s="41" t="s">
        <v>608</v>
      </c>
      <c r="C1936" s="53">
        <f>1/(25/1.3)*(C1932+C1934)</f>
        <v>1.63384</v>
      </c>
      <c r="D1936" s="174" t="s">
        <v>52</v>
      </c>
      <c r="E1936" s="54">
        <f>+'[1]Lista de precios MAY25'!$E$138</f>
        <v>1350</v>
      </c>
      <c r="F1936" s="53">
        <f t="shared" si="810"/>
        <v>2205.6799999999998</v>
      </c>
      <c r="G1936" s="117" t="s">
        <v>456</v>
      </c>
    </row>
    <row r="1937" spans="1:10" x14ac:dyDescent="0.25">
      <c r="A1937" s="90"/>
      <c r="B1937" s="41" t="s">
        <v>518</v>
      </c>
      <c r="C1937" s="53">
        <f>23*1.23*0.65</f>
        <v>18.388500000000001</v>
      </c>
      <c r="D1937" s="174" t="s">
        <v>82</v>
      </c>
      <c r="E1937" s="54">
        <f>+$G$95</f>
        <v>15.807777777777778</v>
      </c>
      <c r="F1937" s="53">
        <f t="shared" si="810"/>
        <v>290.68</v>
      </c>
      <c r="G1937" s="58"/>
    </row>
    <row r="1938" spans="1:10" x14ac:dyDescent="0.25">
      <c r="A1938" s="90"/>
      <c r="B1938" s="41" t="s">
        <v>411</v>
      </c>
      <c r="C1938" s="53">
        <f>23*1.23*0.04</f>
        <v>1.1315999999999999</v>
      </c>
      <c r="D1938" s="174" t="s">
        <v>82</v>
      </c>
      <c r="E1938" s="54">
        <f>+'[1]Lista de precios MAY25'!$E$141</f>
        <v>80.850000000000009</v>
      </c>
      <c r="F1938" s="53">
        <f t="shared" si="810"/>
        <v>91.49</v>
      </c>
      <c r="G1938" s="58"/>
    </row>
    <row r="1939" spans="1:10" x14ac:dyDescent="0.25">
      <c r="A1939" s="90"/>
      <c r="B1939" s="41" t="s">
        <v>67</v>
      </c>
      <c r="C1939" s="53">
        <v>15</v>
      </c>
      <c r="D1939" s="174" t="s">
        <v>34</v>
      </c>
      <c r="E1939" s="46">
        <f>SUM(F1932:F1938)</f>
        <v>192945.83</v>
      </c>
      <c r="F1939" s="53">
        <f>+C1939*E1939/100</f>
        <v>28941.874499999998</v>
      </c>
      <c r="G1939" s="58"/>
      <c r="I1939" s="46"/>
    </row>
    <row r="1940" spans="1:10" x14ac:dyDescent="0.25">
      <c r="A1940" s="90"/>
      <c r="B1940" s="41" t="s">
        <v>622</v>
      </c>
      <c r="C1940" s="53">
        <f>23*0.3*2+23*0.2*2</f>
        <v>23</v>
      </c>
      <c r="D1940" s="174" t="s">
        <v>150</v>
      </c>
      <c r="E1940" s="54">
        <f>+$G$1670</f>
        <v>1122.0872133333335</v>
      </c>
      <c r="F1940" s="53">
        <f t="shared" ref="F1940:F1944" si="811">ROUND((C1940*E1940),2)</f>
        <v>25808.01</v>
      </c>
      <c r="G1940" s="58"/>
    </row>
    <row r="1941" spans="1:10" x14ac:dyDescent="0.25">
      <c r="A1941" s="90"/>
      <c r="B1941" s="41" t="s">
        <v>632</v>
      </c>
      <c r="C1941" s="53">
        <f>1.23*23</f>
        <v>28.29</v>
      </c>
      <c r="D1941" s="174" t="s">
        <v>150</v>
      </c>
      <c r="E1941" s="54">
        <f>+'[1]MO MAY25'!$N$631*1.05</f>
        <v>1328.25</v>
      </c>
      <c r="F1941" s="53">
        <f t="shared" si="811"/>
        <v>37576.19</v>
      </c>
      <c r="G1941" s="58"/>
    </row>
    <row r="1942" spans="1:10" x14ac:dyDescent="0.25">
      <c r="A1942" s="90"/>
      <c r="B1942" s="41" t="s">
        <v>633</v>
      </c>
      <c r="C1942" s="53">
        <f>+$C$1941</f>
        <v>28.29</v>
      </c>
      <c r="D1942" s="174" t="s">
        <v>150</v>
      </c>
      <c r="E1942" s="54">
        <f>+'[1]MO MAY25'!$N$417</f>
        <v>391</v>
      </c>
      <c r="F1942" s="53">
        <f t="shared" si="811"/>
        <v>11061.39</v>
      </c>
      <c r="G1942" s="58"/>
    </row>
    <row r="1943" spans="1:10" x14ac:dyDescent="0.25">
      <c r="A1943" s="90"/>
      <c r="B1943" s="41" t="s">
        <v>538</v>
      </c>
      <c r="C1943" s="53">
        <v>1</v>
      </c>
      <c r="D1943" s="174" t="s">
        <v>634</v>
      </c>
      <c r="E1943" s="54">
        <f>+'[1]MO MAY25'!N441</f>
        <v>3105</v>
      </c>
      <c r="F1943" s="53">
        <f t="shared" si="811"/>
        <v>3105</v>
      </c>
      <c r="G1943" s="58"/>
    </row>
    <row r="1944" spans="1:10" x14ac:dyDescent="0.25">
      <c r="A1944" s="90"/>
      <c r="B1944" s="41" t="s">
        <v>613</v>
      </c>
      <c r="C1944" s="53">
        <v>1</v>
      </c>
      <c r="D1944" s="174" t="s">
        <v>614</v>
      </c>
      <c r="E1944" s="54">
        <f>(941.73*58.85)*1.18</f>
        <v>65396.556389999998</v>
      </c>
      <c r="F1944" s="53">
        <f t="shared" si="811"/>
        <v>65396.56</v>
      </c>
      <c r="G1944" s="58"/>
    </row>
    <row r="1945" spans="1:10" ht="15.6" x14ac:dyDescent="0.3">
      <c r="A1945" s="90"/>
      <c r="B1945" s="41"/>
      <c r="C1945" s="53"/>
      <c r="D1945" s="174"/>
      <c r="E1945" s="54"/>
      <c r="F1945" s="53"/>
      <c r="G1945" s="59"/>
      <c r="H1945" s="21"/>
      <c r="I1945" s="2">
        <f>28.04*3102.21</f>
        <v>86985.968399999998</v>
      </c>
    </row>
    <row r="1946" spans="1:10" ht="15.6" x14ac:dyDescent="0.3">
      <c r="A1946" s="90"/>
      <c r="B1946" s="41"/>
      <c r="C1946" s="8"/>
      <c r="D1946" s="8"/>
      <c r="E1946" s="46"/>
      <c r="F1946" s="8"/>
      <c r="G1946" s="47">
        <f>SUM(F1932:F1944)</f>
        <v>364834.85450000002</v>
      </c>
      <c r="H1946" s="57" t="s">
        <v>615</v>
      </c>
    </row>
    <row r="1947" spans="1:10" ht="15.6" x14ac:dyDescent="0.3">
      <c r="A1947" s="90"/>
      <c r="B1947" s="3" t="s">
        <v>635</v>
      </c>
      <c r="E1947" s="46"/>
      <c r="G1947" s="58"/>
      <c r="I1947" s="94"/>
      <c r="J1947" s="94"/>
    </row>
    <row r="1948" spans="1:10" x14ac:dyDescent="0.25">
      <c r="A1948" s="90">
        <f>+A1932+0.01</f>
        <v>15.053999999999998</v>
      </c>
      <c r="B1948" s="41" t="s">
        <v>636</v>
      </c>
      <c r="C1948" s="174">
        <f>10*0.9</f>
        <v>9</v>
      </c>
      <c r="D1948" s="174" t="s">
        <v>150</v>
      </c>
      <c r="E1948" s="54">
        <f>3102.21*1.18</f>
        <v>3660.6077999999998</v>
      </c>
      <c r="F1948" s="175">
        <f t="shared" ref="F1948:F1953" si="812">ROUND((C1948*E1948),2)</f>
        <v>32945.47</v>
      </c>
      <c r="G1948" s="58" t="s">
        <v>637</v>
      </c>
      <c r="I1948" s="94">
        <f>24*2300</f>
        <v>55200</v>
      </c>
      <c r="J1948" s="94"/>
    </row>
    <row r="1949" spans="1:10" x14ac:dyDescent="0.25">
      <c r="A1949" s="90">
        <f>+A1933+0.01</f>
        <v>2.4E-2</v>
      </c>
      <c r="B1949" s="41" t="s">
        <v>638</v>
      </c>
      <c r="C1949" s="174">
        <f>10*0.9</f>
        <v>9</v>
      </c>
      <c r="D1949" s="174" t="s">
        <v>150</v>
      </c>
      <c r="E1949" s="54">
        <f>+$E$1933</f>
        <v>2537.9557999999997</v>
      </c>
      <c r="F1949" s="175">
        <f t="shared" si="812"/>
        <v>22841.599999999999</v>
      </c>
      <c r="G1949" s="58"/>
      <c r="I1949" s="94"/>
      <c r="J1949" s="94"/>
    </row>
    <row r="1950" spans="1:10" x14ac:dyDescent="0.25">
      <c r="A1950" s="90"/>
      <c r="B1950" s="41" t="s">
        <v>607</v>
      </c>
      <c r="C1950" s="53">
        <f>0.2*0.33/2*0.9*10</f>
        <v>0.29699999999999999</v>
      </c>
      <c r="D1950" s="174" t="s">
        <v>54</v>
      </c>
      <c r="E1950" s="54">
        <f>+'[1]Lista de precios MAY25'!$E$44</f>
        <v>9027</v>
      </c>
      <c r="F1950" s="175">
        <f t="shared" si="812"/>
        <v>2681.02</v>
      </c>
      <c r="G1950" s="58"/>
      <c r="I1950" s="94"/>
      <c r="J1950" s="94">
        <f>3500/35*140</f>
        <v>14000</v>
      </c>
    </row>
    <row r="1951" spans="1:10" x14ac:dyDescent="0.25">
      <c r="A1951" s="90"/>
      <c r="B1951" s="41" t="s">
        <v>639</v>
      </c>
      <c r="C1951" s="53">
        <f>1/(25/1.3)*C1948</f>
        <v>0.46800000000000003</v>
      </c>
      <c r="D1951" s="174" t="s">
        <v>52</v>
      </c>
      <c r="E1951" s="54">
        <f>+'[1]Lista de precios MAY25'!$E$138</f>
        <v>1350</v>
      </c>
      <c r="F1951" s="53">
        <f t="shared" si="812"/>
        <v>631.79999999999995</v>
      </c>
      <c r="G1951" s="58"/>
      <c r="I1951" s="94"/>
      <c r="J1951" s="94"/>
    </row>
    <row r="1952" spans="1:10" x14ac:dyDescent="0.25">
      <c r="A1952" s="90"/>
      <c r="B1952" s="41" t="s">
        <v>518</v>
      </c>
      <c r="C1952" s="53">
        <v>2</v>
      </c>
      <c r="D1952" s="174" t="s">
        <v>82</v>
      </c>
      <c r="E1952" s="54">
        <f>+$G$95</f>
        <v>15.807777777777778</v>
      </c>
      <c r="F1952" s="53">
        <f t="shared" si="812"/>
        <v>31.62</v>
      </c>
      <c r="G1952" s="58"/>
      <c r="I1952" s="94">
        <f>0.35*1.4</f>
        <v>0.48999999999999994</v>
      </c>
      <c r="J1952" s="94"/>
    </row>
    <row r="1953" spans="1:10" x14ac:dyDescent="0.25">
      <c r="A1953" s="90"/>
      <c r="B1953" s="41" t="s">
        <v>411</v>
      </c>
      <c r="C1953" s="53">
        <v>1</v>
      </c>
      <c r="D1953" s="174" t="s">
        <v>82</v>
      </c>
      <c r="E1953" s="54">
        <f>+'[1]Lista de precios MAY25'!$E$141</f>
        <v>80.850000000000009</v>
      </c>
      <c r="F1953" s="53">
        <f t="shared" si="812"/>
        <v>80.849999999999994</v>
      </c>
      <c r="G1953" s="58"/>
      <c r="I1953" s="94">
        <f>+I1952/3500</f>
        <v>1.3999999999999999E-4</v>
      </c>
      <c r="J1953" s="94"/>
    </row>
    <row r="1954" spans="1:10" x14ac:dyDescent="0.25">
      <c r="A1954" s="90"/>
      <c r="B1954" s="41" t="s">
        <v>67</v>
      </c>
      <c r="C1954" s="53">
        <v>10</v>
      </c>
      <c r="D1954" s="174" t="s">
        <v>34</v>
      </c>
      <c r="E1954" s="46">
        <f>SUM(F1948:F1953)</f>
        <v>59212.36</v>
      </c>
      <c r="F1954" s="53">
        <f>+C1954*E1954/100</f>
        <v>5921.2359999999999</v>
      </c>
      <c r="G1954" s="58"/>
      <c r="I1954" s="94">
        <f>3500*I1952</f>
        <v>1714.9999999999998</v>
      </c>
      <c r="J1954" s="94"/>
    </row>
    <row r="1955" spans="1:10" x14ac:dyDescent="0.25">
      <c r="A1955" s="90"/>
      <c r="B1955" s="41" t="s">
        <v>612</v>
      </c>
      <c r="C1955" s="53">
        <f>+C1956</f>
        <v>9.9</v>
      </c>
      <c r="D1955" s="174" t="s">
        <v>150</v>
      </c>
      <c r="E1955" s="54">
        <f>+'[1]MO MAY25'!$N$631*1.05</f>
        <v>1328.25</v>
      </c>
      <c r="F1955" s="53">
        <f>ROUND((C1955*E1955),2)</f>
        <v>13149.68</v>
      </c>
      <c r="G1955" s="58"/>
      <c r="I1955" s="94"/>
      <c r="J1955" s="94"/>
    </row>
    <row r="1956" spans="1:10" x14ac:dyDescent="0.25">
      <c r="A1956" s="90"/>
      <c r="B1956" s="41" t="s">
        <v>633</v>
      </c>
      <c r="C1956" s="53">
        <f>0.9*11</f>
        <v>9.9</v>
      </c>
      <c r="D1956" s="174" t="s">
        <v>150</v>
      </c>
      <c r="E1956" s="54">
        <f>+'[1]MO MAY25'!$N$417</f>
        <v>391</v>
      </c>
      <c r="F1956" s="53">
        <f t="shared" ref="F1956:F1958" si="813">ROUND((C1956*E1956),2)</f>
        <v>3870.9</v>
      </c>
      <c r="G1956" s="58"/>
    </row>
    <row r="1957" spans="1:10" x14ac:dyDescent="0.25">
      <c r="A1957" s="90"/>
      <c r="B1957" s="41" t="s">
        <v>538</v>
      </c>
      <c r="C1957" s="53">
        <v>1</v>
      </c>
      <c r="D1957" s="174" t="s">
        <v>634</v>
      </c>
      <c r="E1957" s="54">
        <f>+'[1]MO MAY25'!N454</f>
        <v>460</v>
      </c>
      <c r="F1957" s="53">
        <f t="shared" si="813"/>
        <v>460</v>
      </c>
      <c r="G1957" s="58"/>
    </row>
    <row r="1958" spans="1:10" x14ac:dyDescent="0.25">
      <c r="A1958" s="90"/>
      <c r="B1958" s="41" t="s">
        <v>613</v>
      </c>
      <c r="C1958" s="53">
        <v>1</v>
      </c>
      <c r="D1958" s="174" t="s">
        <v>614</v>
      </c>
      <c r="E1958" s="54">
        <v>35000</v>
      </c>
      <c r="F1958" s="53">
        <f t="shared" si="813"/>
        <v>35000</v>
      </c>
      <c r="G1958" s="58"/>
    </row>
    <row r="1959" spans="1:10" x14ac:dyDescent="0.25">
      <c r="A1959" s="90"/>
      <c r="B1959" s="41"/>
      <c r="C1959" s="53"/>
      <c r="D1959" s="174"/>
      <c r="E1959" s="54"/>
      <c r="F1959" s="53"/>
      <c r="G1959" s="58"/>
      <c r="I1959" s="178"/>
      <c r="J1959" s="94"/>
    </row>
    <row r="1960" spans="1:10" x14ac:dyDescent="0.25">
      <c r="A1960" s="90"/>
      <c r="B1960" s="41"/>
      <c r="C1960" s="53"/>
      <c r="D1960" s="174"/>
      <c r="E1960" s="54"/>
      <c r="F1960" s="53"/>
      <c r="G1960" s="58"/>
      <c r="I1960" s="94"/>
      <c r="J1960" s="94"/>
    </row>
    <row r="1961" spans="1:10" ht="15.6" x14ac:dyDescent="0.3">
      <c r="A1961" s="90"/>
      <c r="B1961" s="41"/>
      <c r="C1961" s="8"/>
      <c r="D1961" s="179"/>
      <c r="E1961" s="46"/>
      <c r="F1961" s="8"/>
      <c r="G1961" s="180">
        <f>SUM(F1948:F1959)</f>
        <v>117614.17599999999</v>
      </c>
      <c r="H1961" s="57" t="s">
        <v>615</v>
      </c>
      <c r="I1961" s="181"/>
      <c r="J1961" s="94"/>
    </row>
    <row r="1962" spans="1:10" ht="15.6" x14ac:dyDescent="0.3">
      <c r="A1962" s="90"/>
      <c r="B1962" s="3" t="s">
        <v>640</v>
      </c>
      <c r="D1962" s="41"/>
      <c r="E1962" s="46"/>
      <c r="G1962" s="58"/>
      <c r="I1962" s="94"/>
      <c r="J1962" s="94"/>
    </row>
    <row r="1963" spans="1:10" x14ac:dyDescent="0.25">
      <c r="A1963" s="90">
        <f>+A1948+0.01</f>
        <v>15.063999999999998</v>
      </c>
      <c r="B1963" s="41" t="s">
        <v>641</v>
      </c>
      <c r="C1963" s="182">
        <v>1</v>
      </c>
      <c r="D1963" s="183" t="s">
        <v>184</v>
      </c>
      <c r="E1963" s="54">
        <f>3102.21*1.18</f>
        <v>3660.6077999999998</v>
      </c>
      <c r="F1963" s="175">
        <f>ROUND((C1963*E1963),2)</f>
        <v>3660.61</v>
      </c>
      <c r="G1963" s="58"/>
      <c r="I1963" s="178"/>
      <c r="J1963" s="94"/>
    </row>
    <row r="1964" spans="1:10" x14ac:dyDescent="0.25">
      <c r="A1964" s="90"/>
      <c r="B1964" s="41" t="s">
        <v>642</v>
      </c>
      <c r="C1964" s="182">
        <f>1*0.05</f>
        <v>0.05</v>
      </c>
      <c r="D1964" s="183" t="s">
        <v>54</v>
      </c>
      <c r="E1964" s="54">
        <f>+'[1]Lista de precios MAY25'!$E$44</f>
        <v>9027</v>
      </c>
      <c r="F1964" s="175">
        <f>ROUND((C1964*E1964),2)</f>
        <v>451.35</v>
      </c>
      <c r="G1964" s="58"/>
    </row>
    <row r="1965" spans="1:10" x14ac:dyDescent="0.25">
      <c r="A1965" s="90"/>
      <c r="B1965" s="41" t="s">
        <v>639</v>
      </c>
      <c r="C1965" s="182">
        <v>0.3</v>
      </c>
      <c r="D1965" s="183" t="s">
        <v>643</v>
      </c>
      <c r="E1965" s="54">
        <f>+'[1]Lista de precios MAY25'!$E$138</f>
        <v>1350</v>
      </c>
      <c r="F1965" s="53">
        <f>ROUND((C1965*E1965),2)</f>
        <v>405</v>
      </c>
      <c r="G1965" s="58"/>
    </row>
    <row r="1966" spans="1:10" x14ac:dyDescent="0.25">
      <c r="A1966" s="90"/>
      <c r="B1966" s="41" t="s">
        <v>518</v>
      </c>
      <c r="C1966" s="182">
        <v>1.5</v>
      </c>
      <c r="D1966" s="183" t="s">
        <v>82</v>
      </c>
      <c r="E1966" s="54">
        <f>+$G$95</f>
        <v>15.807777777777778</v>
      </c>
      <c r="F1966" s="53">
        <f>ROUND((C1966*E1966),2)</f>
        <v>23.71</v>
      </c>
      <c r="G1966" s="58"/>
    </row>
    <row r="1967" spans="1:10" x14ac:dyDescent="0.25">
      <c r="A1967" s="90"/>
      <c r="B1967" s="41" t="s">
        <v>411</v>
      </c>
      <c r="C1967" s="182">
        <v>0.5</v>
      </c>
      <c r="D1967" s="183" t="s">
        <v>82</v>
      </c>
      <c r="E1967" s="54">
        <f>+'[1]Lista de precios MAY25'!$E$141</f>
        <v>80.850000000000009</v>
      </c>
      <c r="F1967" s="53">
        <f>ROUND((C1967*E1967),2)</f>
        <v>40.43</v>
      </c>
      <c r="G1967" s="58"/>
    </row>
    <row r="1968" spans="1:10" x14ac:dyDescent="0.25">
      <c r="A1968" s="90"/>
      <c r="B1968" s="41" t="s">
        <v>67</v>
      </c>
      <c r="C1968" s="182">
        <v>5</v>
      </c>
      <c r="D1968" s="183" t="s">
        <v>34</v>
      </c>
      <c r="E1968" s="46">
        <f>SUM(F1963:F1967)</f>
        <v>4581.1000000000004</v>
      </c>
      <c r="F1968" s="53">
        <f>+C1968*E1968/100</f>
        <v>229.05500000000001</v>
      </c>
      <c r="G1968" s="58"/>
    </row>
    <row r="1969" spans="1:10" x14ac:dyDescent="0.25">
      <c r="A1969" s="90"/>
      <c r="B1969" s="41" t="s">
        <v>624</v>
      </c>
      <c r="C1969" s="182">
        <v>1</v>
      </c>
      <c r="D1969" s="183" t="s">
        <v>184</v>
      </c>
      <c r="E1969" s="54">
        <f>+E1941*0.6</f>
        <v>796.94999999999993</v>
      </c>
      <c r="F1969" s="53">
        <f>ROUND((C1969*E1969),2)</f>
        <v>796.95</v>
      </c>
      <c r="G1969" s="58"/>
    </row>
    <row r="1970" spans="1:10" x14ac:dyDescent="0.25">
      <c r="A1970" s="90"/>
      <c r="B1970" s="41" t="s">
        <v>613</v>
      </c>
      <c r="C1970" s="182">
        <v>0.01</v>
      </c>
      <c r="D1970" s="183" t="s">
        <v>614</v>
      </c>
      <c r="E1970" s="54">
        <f>+E1944</f>
        <v>65396.556389999998</v>
      </c>
      <c r="F1970" s="53">
        <f>ROUND((C1970*E1970),2)</f>
        <v>653.97</v>
      </c>
      <c r="G1970" s="58"/>
    </row>
    <row r="1971" spans="1:10" x14ac:dyDescent="0.25">
      <c r="A1971" s="90"/>
      <c r="B1971" s="41"/>
      <c r="C1971" s="53"/>
      <c r="D1971" s="176"/>
      <c r="E1971" s="54"/>
      <c r="F1971" s="53"/>
      <c r="G1971" s="58"/>
    </row>
    <row r="1972" spans="1:10" ht="15.6" x14ac:dyDescent="0.3">
      <c r="A1972" s="90"/>
      <c r="B1972" s="41"/>
      <c r="C1972" s="8"/>
      <c r="D1972" s="8"/>
      <c r="E1972" s="46"/>
      <c r="F1972" s="8"/>
      <c r="G1972" s="47">
        <f>SUM(F1963:F1970)</f>
        <v>6261.0750000000007</v>
      </c>
      <c r="H1972" s="57" t="s">
        <v>13</v>
      </c>
    </row>
    <row r="1973" spans="1:10" ht="15.6" x14ac:dyDescent="0.3">
      <c r="A1973" s="90"/>
      <c r="B1973" s="3" t="s">
        <v>644</v>
      </c>
      <c r="E1973" s="46"/>
      <c r="G1973" s="58"/>
      <c r="I1973" s="94"/>
      <c r="J1973" s="94"/>
    </row>
    <row r="1974" spans="1:10" x14ac:dyDescent="0.25">
      <c r="A1974" s="90">
        <f>+A1963+0.01</f>
        <v>15.073999999999998</v>
      </c>
      <c r="B1974" s="41" t="s">
        <v>645</v>
      </c>
      <c r="C1974" s="53">
        <v>1</v>
      </c>
      <c r="D1974" s="174" t="s">
        <v>150</v>
      </c>
      <c r="E1974" s="54">
        <f>+$E$1933</f>
        <v>2537.9557999999997</v>
      </c>
      <c r="F1974" s="175">
        <f>ROUND((C1974*E1974),2)</f>
        <v>2537.96</v>
      </c>
      <c r="G1974" s="58"/>
      <c r="I1974" s="178"/>
      <c r="J1974" s="94"/>
    </row>
    <row r="1975" spans="1:10" x14ac:dyDescent="0.25">
      <c r="A1975" s="90"/>
      <c r="B1975" s="41" t="s">
        <v>646</v>
      </c>
      <c r="C1975" s="53">
        <v>0.2</v>
      </c>
      <c r="D1975" s="174" t="s">
        <v>52</v>
      </c>
      <c r="E1975" s="54">
        <f>+'[1]Lista de precios MAY25'!$E$138</f>
        <v>1350</v>
      </c>
      <c r="F1975" s="40">
        <f>+E1975*C1975</f>
        <v>270</v>
      </c>
      <c r="G1975" s="58"/>
    </row>
    <row r="1976" spans="1:10" x14ac:dyDescent="0.25">
      <c r="A1976" s="90"/>
      <c r="B1976" s="41" t="s">
        <v>518</v>
      </c>
      <c r="C1976" s="53">
        <v>1</v>
      </c>
      <c r="D1976" s="174" t="s">
        <v>82</v>
      </c>
      <c r="E1976" s="54">
        <f>+$G$95</f>
        <v>15.807777777777778</v>
      </c>
      <c r="F1976" s="53">
        <f>ROUND((C1976*E1976),2)</f>
        <v>15.81</v>
      </c>
      <c r="G1976" s="58"/>
    </row>
    <row r="1977" spans="1:10" x14ac:dyDescent="0.25">
      <c r="A1977" s="90"/>
      <c r="B1977" s="41" t="s">
        <v>411</v>
      </c>
      <c r="C1977" s="53">
        <v>1</v>
      </c>
      <c r="D1977" s="174" t="s">
        <v>82</v>
      </c>
      <c r="E1977" s="54">
        <f>+'[1]Lista de precios MAY25'!$E$141</f>
        <v>80.850000000000009</v>
      </c>
      <c r="F1977" s="53">
        <f>ROUND((C1977*E1977),2)</f>
        <v>80.849999999999994</v>
      </c>
      <c r="G1977" s="58"/>
    </row>
    <row r="1978" spans="1:10" x14ac:dyDescent="0.25">
      <c r="A1978" s="90"/>
      <c r="B1978" s="41" t="s">
        <v>67</v>
      </c>
      <c r="C1978" s="53">
        <v>7</v>
      </c>
      <c r="D1978" s="174" t="s">
        <v>34</v>
      </c>
      <c r="E1978" s="46">
        <f>SUM(F1974:F1977)</f>
        <v>2904.62</v>
      </c>
      <c r="F1978" s="53">
        <f>+C1978*E1978/100</f>
        <v>203.32339999999999</v>
      </c>
      <c r="G1978" s="58"/>
    </row>
    <row r="1979" spans="1:10" x14ac:dyDescent="0.25">
      <c r="A1979" s="90"/>
      <c r="B1979" s="41" t="s">
        <v>647</v>
      </c>
      <c r="C1979" s="53">
        <v>1</v>
      </c>
      <c r="D1979" s="174" t="s">
        <v>150</v>
      </c>
      <c r="E1979" s="54">
        <f>+E1941*0.4</f>
        <v>531.30000000000007</v>
      </c>
      <c r="F1979" s="53">
        <f>ROUND((C1979*E1979),2)</f>
        <v>531.29999999999995</v>
      </c>
      <c r="G1979" s="58"/>
    </row>
    <row r="1980" spans="1:10" ht="15.6" x14ac:dyDescent="0.3">
      <c r="A1980" s="90"/>
      <c r="B1980" s="41"/>
      <c r="C1980" s="53"/>
      <c r="D1980" s="176"/>
      <c r="E1980" s="46"/>
      <c r="F1980" s="8"/>
      <c r="G1980" s="59">
        <f>SUM(F1974:F1979)</f>
        <v>3639.2434000000003</v>
      </c>
      <c r="H1980" s="57" t="s">
        <v>19</v>
      </c>
    </row>
    <row r="1981" spans="1:10" x14ac:dyDescent="0.25">
      <c r="A1981" s="90"/>
      <c r="B1981" s="41"/>
      <c r="E1981" s="46"/>
      <c r="G1981" s="58"/>
      <c r="H1981" s="41"/>
    </row>
    <row r="1982" spans="1:10" ht="15.6" x14ac:dyDescent="0.3">
      <c r="A1982" s="90"/>
      <c r="B1982" s="3" t="s">
        <v>648</v>
      </c>
      <c r="C1982" s="8"/>
      <c r="E1982" s="46"/>
      <c r="F1982" s="8"/>
      <c r="G1982" s="58"/>
      <c r="H1982" s="41"/>
    </row>
    <row r="1983" spans="1:10" ht="15.6" x14ac:dyDescent="0.3">
      <c r="A1983" s="20">
        <f>+A1889+1</f>
        <v>16</v>
      </c>
      <c r="B1983" s="41"/>
      <c r="C1983" s="8"/>
      <c r="E1983" s="46"/>
      <c r="F1983" s="8"/>
      <c r="G1983" s="58"/>
    </row>
    <row r="1984" spans="1:10" ht="15.6" x14ac:dyDescent="0.3">
      <c r="A1984" s="90"/>
      <c r="B1984" s="3" t="s">
        <v>649</v>
      </c>
      <c r="C1984" s="8"/>
      <c r="E1984" s="46"/>
      <c r="F1984" s="174" t="s">
        <v>126</v>
      </c>
      <c r="G1984" s="58"/>
    </row>
    <row r="1985" spans="1:10" x14ac:dyDescent="0.25">
      <c r="A1985" s="90">
        <f>0.01+A1983</f>
        <v>16.010000000000002</v>
      </c>
      <c r="B1985" s="41" t="s">
        <v>650</v>
      </c>
      <c r="C1985" s="176">
        <v>1</v>
      </c>
      <c r="D1985" s="2" t="s">
        <v>651</v>
      </c>
      <c r="E1985" s="54">
        <f>+'[1]Lista de precios MAY25'!E61</f>
        <v>1944.2164979999998</v>
      </c>
      <c r="F1985" s="53">
        <f>E1985*C1985</f>
        <v>1944.2164979999998</v>
      </c>
      <c r="G1985" s="58"/>
    </row>
    <row r="1986" spans="1:10" x14ac:dyDescent="0.25">
      <c r="A1986" s="90"/>
      <c r="B1986" s="41" t="s">
        <v>652</v>
      </c>
      <c r="C1986" s="176">
        <v>0.25</v>
      </c>
      <c r="D1986" s="2" t="s">
        <v>651</v>
      </c>
      <c r="E1986" s="54">
        <f>+'[1]Lista de precios MAY25'!$E$60</f>
        <v>2066.1799999999998</v>
      </c>
      <c r="F1986" s="53">
        <f>E1986*C1986</f>
        <v>516.54499999999996</v>
      </c>
      <c r="G1986" s="58"/>
    </row>
    <row r="1987" spans="1:10" x14ac:dyDescent="0.25">
      <c r="A1987" s="90"/>
      <c r="B1987" s="41" t="s">
        <v>653</v>
      </c>
      <c r="C1987" s="176">
        <v>0.05</v>
      </c>
      <c r="D1987" s="2" t="s">
        <v>651</v>
      </c>
      <c r="E1987" s="54">
        <f>+'[1]Lista de precios MAY25'!$E$63</f>
        <v>2209.1370000000002</v>
      </c>
      <c r="F1987" s="53">
        <f>E1987*C1987</f>
        <v>110.45685000000002</v>
      </c>
      <c r="G1987" s="58"/>
      <c r="J1987" s="40"/>
    </row>
    <row r="1988" spans="1:10" x14ac:dyDescent="0.25">
      <c r="A1988" s="90"/>
      <c r="B1988" s="41" t="s">
        <v>654</v>
      </c>
      <c r="C1988" s="176">
        <v>0.1</v>
      </c>
      <c r="D1988" s="2" t="s">
        <v>8</v>
      </c>
      <c r="E1988" s="54">
        <f>+'[1]Lista de precios MAY25'!$E$161</f>
        <v>367.5</v>
      </c>
      <c r="F1988" s="53">
        <f>E1988*C1988</f>
        <v>36.75</v>
      </c>
      <c r="G1988" s="58"/>
    </row>
    <row r="1989" spans="1:10" x14ac:dyDescent="0.25">
      <c r="A1989" s="90"/>
      <c r="B1989" s="41" t="s">
        <v>67</v>
      </c>
      <c r="C1989" s="176">
        <v>10</v>
      </c>
      <c r="D1989" s="2" t="s">
        <v>34</v>
      </c>
      <c r="E1989" s="46">
        <f>SUM(F1985:F1988)</f>
        <v>2607.9683479999999</v>
      </c>
      <c r="F1989" s="53">
        <f>E1989*C1989/100</f>
        <v>260.7968348</v>
      </c>
      <c r="G1989" s="58"/>
    </row>
    <row r="1990" spans="1:10" x14ac:dyDescent="0.25">
      <c r="A1990" s="90"/>
      <c r="B1990" s="41" t="s">
        <v>655</v>
      </c>
      <c r="C1990" s="53">
        <v>10</v>
      </c>
      <c r="D1990" s="2" t="s">
        <v>81</v>
      </c>
      <c r="E1990" s="54">
        <f>+'[1]MO MAY25'!$N$239</f>
        <v>120.75</v>
      </c>
      <c r="F1990" s="53">
        <f>E1990*C1990</f>
        <v>1207.5</v>
      </c>
      <c r="G1990" s="40"/>
    </row>
    <row r="1991" spans="1:10" ht="15.6" x14ac:dyDescent="0.3">
      <c r="A1991" s="90"/>
      <c r="B1991" s="41"/>
      <c r="C1991" s="8"/>
      <c r="E1991" s="46"/>
      <c r="F1991" s="174" t="s">
        <v>126</v>
      </c>
      <c r="G1991" s="56">
        <f>SUM(F1985:F1990)/C1990</f>
        <v>407.62651827999997</v>
      </c>
      <c r="H1991" s="184" t="s">
        <v>141</v>
      </c>
    </row>
    <row r="1992" spans="1:10" x14ac:dyDescent="0.25">
      <c r="A1992" s="90"/>
      <c r="B1992" s="41"/>
      <c r="C1992" s="8"/>
      <c r="E1992" s="46"/>
      <c r="F1992" s="174"/>
      <c r="G1992" s="58"/>
      <c r="H1992" s="185"/>
    </row>
    <row r="1993" spans="1:10" ht="15.6" x14ac:dyDescent="0.3">
      <c r="A1993" s="90"/>
      <c r="B1993" s="3" t="s">
        <v>656</v>
      </c>
      <c r="C1993" s="8"/>
      <c r="E1993" s="46"/>
      <c r="F1993" s="174" t="s">
        <v>126</v>
      </c>
      <c r="G1993" s="58"/>
    </row>
    <row r="1994" spans="1:10" x14ac:dyDescent="0.25">
      <c r="A1994" s="90">
        <f>0.01+A1985</f>
        <v>16.020000000000003</v>
      </c>
      <c r="B1994" s="41" t="s">
        <v>657</v>
      </c>
      <c r="C1994" s="53">
        <v>1</v>
      </c>
      <c r="D1994" s="41" t="s">
        <v>651</v>
      </c>
      <c r="E1994" s="54">
        <f>+'[1]Lista de precios MAY25'!$E$61</f>
        <v>1944.2164979999998</v>
      </c>
      <c r="F1994" s="53">
        <f>E1994*C1994</f>
        <v>1944.2164979999998</v>
      </c>
      <c r="G1994" s="58"/>
    </row>
    <row r="1995" spans="1:10" x14ac:dyDescent="0.25">
      <c r="A1995" s="90"/>
      <c r="B1995" s="41" t="s">
        <v>653</v>
      </c>
      <c r="C1995" s="53">
        <v>0.05</v>
      </c>
      <c r="D1995" s="41" t="s">
        <v>651</v>
      </c>
      <c r="E1995" s="54">
        <f>+'[1]Lista de precios MAY25'!$E$63</f>
        <v>2209.1370000000002</v>
      </c>
      <c r="F1995" s="53">
        <f>E1995*C1995</f>
        <v>110.45685000000002</v>
      </c>
      <c r="G1995" s="58"/>
      <c r="J1995" s="55"/>
    </row>
    <row r="1996" spans="1:10" x14ac:dyDescent="0.25">
      <c r="A1996" s="90"/>
      <c r="B1996" s="41" t="s">
        <v>654</v>
      </c>
      <c r="C1996" s="53">
        <v>0.1</v>
      </c>
      <c r="D1996" s="41" t="s">
        <v>8</v>
      </c>
      <c r="E1996" s="54">
        <f>+'[1]Lista de precios MAY25'!$E$161</f>
        <v>367.5</v>
      </c>
      <c r="F1996" s="53">
        <f>E1996*C1996</f>
        <v>36.75</v>
      </c>
      <c r="G1996" s="58"/>
    </row>
    <row r="1997" spans="1:10" x14ac:dyDescent="0.25">
      <c r="A1997" s="90"/>
      <c r="B1997" s="41" t="s">
        <v>67</v>
      </c>
      <c r="C1997" s="53">
        <v>10</v>
      </c>
      <c r="D1997" s="41" t="s">
        <v>34</v>
      </c>
      <c r="E1997" s="46">
        <f>SUM(F1994:F1996)</f>
        <v>2091.4233479999998</v>
      </c>
      <c r="F1997" s="53">
        <f>E1997*C1997/100</f>
        <v>209.14233479999999</v>
      </c>
      <c r="G1997" s="58"/>
    </row>
    <row r="1998" spans="1:10" x14ac:dyDescent="0.25">
      <c r="A1998" s="90"/>
      <c r="B1998" s="41" t="s">
        <v>655</v>
      </c>
      <c r="C1998" s="53">
        <v>10</v>
      </c>
      <c r="D1998" s="41" t="s">
        <v>81</v>
      </c>
      <c r="E1998" s="54">
        <f>+'[1]MO MAY25'!$N$239</f>
        <v>120.75</v>
      </c>
      <c r="F1998" s="53">
        <f>E1998*C1998</f>
        <v>1207.5</v>
      </c>
      <c r="G1998" s="58"/>
    </row>
    <row r="1999" spans="1:10" ht="15.6" x14ac:dyDescent="0.3">
      <c r="A1999" s="90"/>
      <c r="B1999" s="41"/>
      <c r="C1999" s="8"/>
      <c r="E1999" s="46"/>
      <c r="F1999" s="174" t="s">
        <v>126</v>
      </c>
      <c r="G1999" s="59">
        <f>SUM(F1994:F1998)/C1998</f>
        <v>350.80656827999996</v>
      </c>
      <c r="H1999" s="186" t="s">
        <v>141</v>
      </c>
    </row>
    <row r="2000" spans="1:10" x14ac:dyDescent="0.25">
      <c r="A2000" s="90"/>
      <c r="B2000" s="41"/>
      <c r="C2000" s="8"/>
      <c r="E2000" s="46"/>
      <c r="F2000" s="174"/>
      <c r="G2000" s="58"/>
      <c r="H2000" s="185"/>
    </row>
    <row r="2001" spans="1:10" ht="15.6" x14ac:dyDescent="0.3">
      <c r="A2001" s="90"/>
      <c r="B2001" s="3" t="s">
        <v>658</v>
      </c>
      <c r="C2001" s="8"/>
      <c r="E2001" s="46"/>
      <c r="F2001" s="174" t="s">
        <v>126</v>
      </c>
      <c r="G2001" s="58"/>
    </row>
    <row r="2002" spans="1:10" x14ac:dyDescent="0.25">
      <c r="A2002" s="90">
        <f>0.01+A1994</f>
        <v>16.030000000000005</v>
      </c>
      <c r="B2002" s="41" t="s">
        <v>657</v>
      </c>
      <c r="C2002" s="53">
        <v>1</v>
      </c>
      <c r="D2002" s="41" t="s">
        <v>651</v>
      </c>
      <c r="E2002" s="54">
        <f>+E1985</f>
        <v>1944.2164979999998</v>
      </c>
      <c r="F2002" s="53">
        <f>E2002*C2002</f>
        <v>1944.2164979999998</v>
      </c>
      <c r="G2002" s="58"/>
    </row>
    <row r="2003" spans="1:10" x14ac:dyDescent="0.25">
      <c r="A2003" s="90"/>
      <c r="B2003" s="41" t="s">
        <v>652</v>
      </c>
      <c r="C2003" s="176">
        <v>0.25</v>
      </c>
      <c r="D2003" s="2" t="s">
        <v>651</v>
      </c>
      <c r="E2003" s="54">
        <f>+'[1]Lista de precios MAY25'!$E$60</f>
        <v>2066.1799999999998</v>
      </c>
      <c r="F2003" s="53">
        <f>E2003*C2003</f>
        <v>516.54499999999996</v>
      </c>
      <c r="G2003" s="58"/>
    </row>
    <row r="2004" spans="1:10" x14ac:dyDescent="0.25">
      <c r="A2004" s="90"/>
      <c r="B2004" s="41" t="s">
        <v>470</v>
      </c>
      <c r="C2004" s="53">
        <v>0.2</v>
      </c>
      <c r="D2004" s="41" t="s">
        <v>54</v>
      </c>
      <c r="E2004" s="54">
        <f>+'[1]Lista de precios MAY25'!$E$19</f>
        <v>1700</v>
      </c>
      <c r="F2004" s="53">
        <f>E2004*C2004</f>
        <v>340</v>
      </c>
      <c r="G2004" s="58"/>
    </row>
    <row r="2005" spans="1:10" ht="16.5" customHeight="1" x14ac:dyDescent="0.25">
      <c r="A2005" s="90"/>
      <c r="B2005" s="41" t="s">
        <v>653</v>
      </c>
      <c r="C2005" s="53">
        <v>0.05</v>
      </c>
      <c r="D2005" s="41" t="s">
        <v>651</v>
      </c>
      <c r="E2005" s="54">
        <f>+'[1]Lista de precios MAY25'!$E$63</f>
        <v>2209.1370000000002</v>
      </c>
      <c r="F2005" s="53">
        <f>E2005*C2005</f>
        <v>110.45685000000002</v>
      </c>
      <c r="G2005" s="58"/>
      <c r="J2005" s="55"/>
    </row>
    <row r="2006" spans="1:10" x14ac:dyDescent="0.25">
      <c r="A2006" s="90"/>
      <c r="B2006" s="41" t="s">
        <v>654</v>
      </c>
      <c r="C2006" s="53">
        <v>0.1</v>
      </c>
      <c r="D2006" s="41" t="s">
        <v>8</v>
      </c>
      <c r="E2006" s="54">
        <f>+'[1]Lista de precios MAY25'!$E$161</f>
        <v>367.5</v>
      </c>
      <c r="F2006" s="53">
        <f>E2006*C2006</f>
        <v>36.75</v>
      </c>
      <c r="G2006" s="58"/>
    </row>
    <row r="2007" spans="1:10" x14ac:dyDescent="0.25">
      <c r="A2007" s="90"/>
      <c r="B2007" s="41" t="s">
        <v>67</v>
      </c>
      <c r="C2007" s="53">
        <v>10</v>
      </c>
      <c r="D2007" s="41" t="s">
        <v>34</v>
      </c>
      <c r="E2007" s="46">
        <f>SUM(F2002:F2006)</f>
        <v>2947.9683479999999</v>
      </c>
      <c r="F2007" s="53">
        <f>E2007*C2007/100</f>
        <v>294.7968348</v>
      </c>
      <c r="G2007" s="58"/>
    </row>
    <row r="2008" spans="1:10" x14ac:dyDescent="0.25">
      <c r="A2008" s="90"/>
      <c r="B2008" s="41" t="s">
        <v>278</v>
      </c>
      <c r="C2008" s="54">
        <f>0.25*10</f>
        <v>2.5</v>
      </c>
      <c r="D2008" s="41" t="s">
        <v>81</v>
      </c>
      <c r="E2008" s="40">
        <f>+'[1]MO MAY25'!$N$512</f>
        <v>155.25</v>
      </c>
      <c r="F2008" s="53">
        <f>E2008*C2008</f>
        <v>388.125</v>
      </c>
      <c r="G2008" s="58"/>
    </row>
    <row r="2009" spans="1:10" x14ac:dyDescent="0.25">
      <c r="A2009" s="90"/>
      <c r="B2009" s="41" t="s">
        <v>655</v>
      </c>
      <c r="C2009" s="53">
        <v>10</v>
      </c>
      <c r="D2009" s="41" t="s">
        <v>81</v>
      </c>
      <c r="E2009" s="54">
        <f>+'[1]MO MAY25'!$N$239</f>
        <v>120.75</v>
      </c>
      <c r="F2009" s="53">
        <f>E2009*C2009</f>
        <v>1207.5</v>
      </c>
      <c r="G2009" s="40"/>
    </row>
    <row r="2010" spans="1:10" ht="15.6" x14ac:dyDescent="0.3">
      <c r="A2010" s="90"/>
      <c r="B2010" s="41"/>
      <c r="C2010" s="8"/>
      <c r="E2010" s="46"/>
      <c r="F2010" s="174" t="s">
        <v>126</v>
      </c>
      <c r="G2010" s="56">
        <f>SUM(F2002:F2009)/C2009</f>
        <v>483.83901828</v>
      </c>
      <c r="H2010" s="184" t="s">
        <v>141</v>
      </c>
      <c r="I2010" s="58"/>
    </row>
    <row r="2011" spans="1:10" x14ac:dyDescent="0.25">
      <c r="A2011" s="90"/>
      <c r="B2011" s="41"/>
      <c r="C2011" s="8"/>
      <c r="E2011" s="46"/>
      <c r="F2011" s="174"/>
      <c r="G2011" s="58"/>
      <c r="H2011" s="185"/>
    </row>
    <row r="2012" spans="1:10" ht="15.6" x14ac:dyDescent="0.3">
      <c r="A2012" s="90"/>
      <c r="B2012" s="3" t="s">
        <v>659</v>
      </c>
      <c r="C2012" s="8"/>
      <c r="E2012" s="46"/>
      <c r="F2012" s="174" t="s">
        <v>126</v>
      </c>
      <c r="G2012" s="58"/>
    </row>
    <row r="2013" spans="1:10" x14ac:dyDescent="0.25">
      <c r="A2013" s="90">
        <f>0.01+A1994</f>
        <v>16.030000000000005</v>
      </c>
      <c r="B2013" s="41" t="s">
        <v>652</v>
      </c>
      <c r="C2013" s="53">
        <v>1</v>
      </c>
      <c r="D2013" s="41" t="s">
        <v>651</v>
      </c>
      <c r="E2013" s="54">
        <f>+$E$2003</f>
        <v>2066.1799999999998</v>
      </c>
      <c r="F2013" s="53">
        <f>E2013*C2013</f>
        <v>2066.1799999999998</v>
      </c>
      <c r="G2013" s="58"/>
    </row>
    <row r="2014" spans="1:10" x14ac:dyDescent="0.25">
      <c r="A2014" s="90"/>
      <c r="B2014" s="41" t="s">
        <v>654</v>
      </c>
      <c r="C2014" s="53">
        <v>0.1</v>
      </c>
      <c r="D2014" s="41" t="s">
        <v>8</v>
      </c>
      <c r="E2014" s="54">
        <f>+$E$2006</f>
        <v>367.5</v>
      </c>
      <c r="F2014" s="53">
        <f>E2014*C2014</f>
        <v>36.75</v>
      </c>
      <c r="G2014" s="58"/>
    </row>
    <row r="2015" spans="1:10" x14ac:dyDescent="0.25">
      <c r="A2015" s="90"/>
      <c r="B2015" s="41" t="s">
        <v>67</v>
      </c>
      <c r="C2015" s="53">
        <v>10</v>
      </c>
      <c r="D2015" s="41" t="s">
        <v>34</v>
      </c>
      <c r="E2015" s="46">
        <f>SUM(F2013:F2014)</f>
        <v>2102.9299999999998</v>
      </c>
      <c r="F2015" s="53">
        <f>E2015*C2015/100</f>
        <v>210.29300000000001</v>
      </c>
      <c r="G2015" s="58"/>
    </row>
    <row r="2016" spans="1:10" x14ac:dyDescent="0.25">
      <c r="A2016" s="90"/>
      <c r="B2016" s="41" t="s">
        <v>660</v>
      </c>
      <c r="C2016" s="53">
        <v>10</v>
      </c>
      <c r="D2016" s="41" t="s">
        <v>81</v>
      </c>
      <c r="E2016" s="54">
        <f>+'[1]MO MAY25'!$N$238</f>
        <v>40.25</v>
      </c>
      <c r="F2016" s="53">
        <f>E2016*C2016</f>
        <v>402.5</v>
      </c>
      <c r="G2016" s="58"/>
    </row>
    <row r="2017" spans="1:8" ht="15.6" x14ac:dyDescent="0.3">
      <c r="A2017" s="90"/>
      <c r="B2017" s="41"/>
      <c r="C2017" s="8"/>
      <c r="E2017" s="46"/>
      <c r="F2017" s="174" t="s">
        <v>126</v>
      </c>
      <c r="G2017" s="59">
        <f>SUM(F2013:F2016)/C2016</f>
        <v>271.57229999999998</v>
      </c>
      <c r="H2017" s="186" t="s">
        <v>141</v>
      </c>
    </row>
    <row r="2018" spans="1:8" x14ac:dyDescent="0.25">
      <c r="A2018" s="90"/>
      <c r="B2018" s="41"/>
      <c r="C2018" s="8"/>
      <c r="E2018" s="46"/>
      <c r="F2018" s="174"/>
      <c r="G2018" s="58"/>
      <c r="H2018" s="185"/>
    </row>
    <row r="2019" spans="1:8" ht="15.6" x14ac:dyDescent="0.3">
      <c r="A2019" s="90"/>
      <c r="B2019" s="3" t="s">
        <v>661</v>
      </c>
      <c r="C2019" s="8"/>
      <c r="E2019" s="46"/>
      <c r="F2019" s="174" t="s">
        <v>126</v>
      </c>
      <c r="G2019" s="58"/>
    </row>
    <row r="2020" spans="1:8" x14ac:dyDescent="0.25">
      <c r="A2020" s="90">
        <f>0.01+A1985</f>
        <v>16.020000000000003</v>
      </c>
      <c r="B2020" s="41" t="s">
        <v>657</v>
      </c>
      <c r="C2020" s="53">
        <v>1</v>
      </c>
      <c r="D2020" s="41" t="s">
        <v>651</v>
      </c>
      <c r="E2020" s="54">
        <f>+E2002</f>
        <v>1944.2164979999998</v>
      </c>
      <c r="F2020" s="53">
        <f>E2020*C2020</f>
        <v>1944.2164979999998</v>
      </c>
      <c r="G2020" s="58"/>
    </row>
    <row r="2021" spans="1:8" x14ac:dyDescent="0.25">
      <c r="A2021" s="90"/>
      <c r="B2021" s="41" t="s">
        <v>652</v>
      </c>
      <c r="C2021" s="53">
        <v>0.25</v>
      </c>
      <c r="D2021" s="41" t="s">
        <v>651</v>
      </c>
      <c r="E2021" s="54">
        <f>+'[1]Lista de precios MAY25'!$E$60</f>
        <v>2066.1799999999998</v>
      </c>
      <c r="F2021" s="53">
        <f>E2021*C2021</f>
        <v>516.54499999999996</v>
      </c>
      <c r="G2021" s="58"/>
    </row>
    <row r="2022" spans="1:8" x14ac:dyDescent="0.25">
      <c r="A2022" s="90"/>
      <c r="B2022" s="41" t="s">
        <v>654</v>
      </c>
      <c r="C2022" s="53">
        <v>0.1</v>
      </c>
      <c r="D2022" s="41" t="s">
        <v>8</v>
      </c>
      <c r="E2022" s="54">
        <f>+$E$2014</f>
        <v>367.5</v>
      </c>
      <c r="F2022" s="53">
        <f>E2022*C2022</f>
        <v>36.75</v>
      </c>
      <c r="G2022" s="58"/>
    </row>
    <row r="2023" spans="1:8" x14ac:dyDescent="0.25">
      <c r="A2023" s="90"/>
      <c r="B2023" s="41" t="s">
        <v>67</v>
      </c>
      <c r="C2023" s="53">
        <v>10</v>
      </c>
      <c r="D2023" s="41" t="s">
        <v>34</v>
      </c>
      <c r="E2023" s="46">
        <f>SUM(F2020:F2022)</f>
        <v>2497.5114979999998</v>
      </c>
      <c r="F2023" s="53">
        <f>E2023*C2023/100</f>
        <v>249.75114979999998</v>
      </c>
      <c r="G2023" s="58"/>
    </row>
    <row r="2024" spans="1:8" x14ac:dyDescent="0.25">
      <c r="A2024" s="90"/>
      <c r="B2024" s="41" t="s">
        <v>278</v>
      </c>
      <c r="C2024" s="54">
        <v>2</v>
      </c>
      <c r="D2024" s="41" t="s">
        <v>81</v>
      </c>
      <c r="E2024" s="40">
        <f>+'[1]MO MAY25'!$N$512</f>
        <v>155.25</v>
      </c>
      <c r="F2024" s="53">
        <f>E2024*C2024</f>
        <v>310.5</v>
      </c>
      <c r="G2024" s="58"/>
    </row>
    <row r="2025" spans="1:8" x14ac:dyDescent="0.25">
      <c r="A2025" s="90"/>
      <c r="B2025" s="41" t="s">
        <v>662</v>
      </c>
      <c r="C2025" s="53">
        <v>10</v>
      </c>
      <c r="D2025" s="41" t="s">
        <v>81</v>
      </c>
      <c r="E2025" s="54">
        <f>+'[1]MO MAY25'!$N$239</f>
        <v>120.75</v>
      </c>
      <c r="F2025" s="53">
        <f>E2025*C2025</f>
        <v>1207.5</v>
      </c>
      <c r="G2025" s="58"/>
    </row>
    <row r="2026" spans="1:8" ht="15.6" x14ac:dyDescent="0.3">
      <c r="A2026" s="90"/>
      <c r="B2026" s="41"/>
      <c r="C2026" s="8"/>
      <c r="E2026" s="46"/>
      <c r="F2026" s="174" t="s">
        <v>126</v>
      </c>
      <c r="G2026" s="56">
        <f>SUM(F2020:F2025)/C2025</f>
        <v>426.52626478000002</v>
      </c>
      <c r="H2026" s="184" t="s">
        <v>141</v>
      </c>
    </row>
    <row r="2027" spans="1:8" x14ac:dyDescent="0.25">
      <c r="A2027" s="90"/>
      <c r="B2027" s="41"/>
      <c r="C2027" s="8"/>
      <c r="E2027" s="46"/>
      <c r="F2027" s="174"/>
      <c r="G2027" s="58"/>
      <c r="H2027" s="185"/>
    </row>
    <row r="2028" spans="1:8" ht="15.6" x14ac:dyDescent="0.3">
      <c r="A2028" s="90"/>
      <c r="B2028" s="3" t="s">
        <v>663</v>
      </c>
      <c r="C2028" s="8"/>
      <c r="E2028" s="46"/>
      <c r="F2028" s="174" t="s">
        <v>126</v>
      </c>
      <c r="G2028" s="58"/>
    </row>
    <row r="2029" spans="1:8" x14ac:dyDescent="0.25">
      <c r="A2029" s="90">
        <f>0.01+A1994</f>
        <v>16.030000000000005</v>
      </c>
      <c r="B2029" s="41" t="s">
        <v>657</v>
      </c>
      <c r="C2029" s="53">
        <v>1</v>
      </c>
      <c r="D2029" s="41" t="s">
        <v>651</v>
      </c>
      <c r="E2029" s="54">
        <f>+$E$1994</f>
        <v>1944.2164979999998</v>
      </c>
      <c r="F2029" s="53">
        <f>E2029*C2029</f>
        <v>1944.2164979999998</v>
      </c>
      <c r="G2029" s="58"/>
    </row>
    <row r="2030" spans="1:8" x14ac:dyDescent="0.25">
      <c r="A2030" s="90"/>
      <c r="B2030" s="41" t="s">
        <v>654</v>
      </c>
      <c r="C2030" s="53">
        <v>0.1</v>
      </c>
      <c r="D2030" s="41" t="s">
        <v>8</v>
      </c>
      <c r="E2030" s="54">
        <f>+$E$2022</f>
        <v>367.5</v>
      </c>
      <c r="F2030" s="53">
        <f>E2030*C2030</f>
        <v>36.75</v>
      </c>
      <c r="G2030" s="58"/>
    </row>
    <row r="2031" spans="1:8" x14ac:dyDescent="0.25">
      <c r="A2031" s="90"/>
      <c r="B2031" s="41" t="s">
        <v>67</v>
      </c>
      <c r="C2031" s="53">
        <v>10</v>
      </c>
      <c r="D2031" s="41" t="s">
        <v>34</v>
      </c>
      <c r="E2031" s="46">
        <f>SUM(F2029:F2030)</f>
        <v>1980.9664979999998</v>
      </c>
      <c r="F2031" s="53">
        <f>E2031*C2031/100</f>
        <v>198.09664979999997</v>
      </c>
      <c r="G2031" s="58"/>
    </row>
    <row r="2032" spans="1:8" x14ac:dyDescent="0.25">
      <c r="A2032" s="90"/>
      <c r="B2032" s="41" t="s">
        <v>278</v>
      </c>
      <c r="C2032" s="53">
        <v>1</v>
      </c>
      <c r="D2032" s="41" t="s">
        <v>81</v>
      </c>
      <c r="E2032" s="46">
        <f>+$E$2024</f>
        <v>155.25</v>
      </c>
      <c r="F2032" s="53">
        <f>E2032*C2032/100</f>
        <v>1.5525</v>
      </c>
      <c r="G2032" s="58"/>
    </row>
    <row r="2033" spans="1:8" x14ac:dyDescent="0.25">
      <c r="A2033" s="90"/>
      <c r="B2033" s="41" t="s">
        <v>662</v>
      </c>
      <c r="C2033" s="53">
        <v>10</v>
      </c>
      <c r="D2033" s="41" t="s">
        <v>81</v>
      </c>
      <c r="E2033" s="54">
        <f>+$E$2025</f>
        <v>120.75</v>
      </c>
      <c r="F2033" s="53">
        <f>E2033*C2033</f>
        <v>1207.5</v>
      </c>
      <c r="G2033" s="58"/>
    </row>
    <row r="2034" spans="1:8" ht="15.6" x14ac:dyDescent="0.3">
      <c r="A2034" s="90"/>
      <c r="B2034" s="41"/>
      <c r="C2034" s="8"/>
      <c r="E2034" s="46"/>
      <c r="F2034" s="174" t="s">
        <v>126</v>
      </c>
      <c r="G2034" s="59">
        <f>SUM(F2029:F2033)/C2033</f>
        <v>338.81156477999991</v>
      </c>
      <c r="H2034" s="186" t="s">
        <v>141</v>
      </c>
    </row>
    <row r="2035" spans="1:8" x14ac:dyDescent="0.25">
      <c r="A2035" s="90"/>
      <c r="B2035" s="41"/>
      <c r="C2035" s="8"/>
      <c r="E2035" s="46"/>
      <c r="F2035" s="174"/>
      <c r="G2035" s="58"/>
      <c r="H2035" s="185"/>
    </row>
    <row r="2036" spans="1:8" ht="15.6" x14ac:dyDescent="0.3">
      <c r="A2036" s="90"/>
      <c r="B2036" s="3" t="s">
        <v>664</v>
      </c>
      <c r="C2036" s="8"/>
      <c r="E2036" s="46"/>
      <c r="F2036" s="174" t="s">
        <v>126</v>
      </c>
      <c r="G2036" s="58"/>
    </row>
    <row r="2037" spans="1:8" x14ac:dyDescent="0.25">
      <c r="A2037" s="90">
        <f>0.01+A2029</f>
        <v>16.040000000000006</v>
      </c>
      <c r="B2037" s="41" t="s">
        <v>657</v>
      </c>
      <c r="C2037" s="182">
        <v>1</v>
      </c>
      <c r="D2037" s="41" t="s">
        <v>651</v>
      </c>
      <c r="E2037" s="54">
        <f>+$E$1994</f>
        <v>1944.2164979999998</v>
      </c>
      <c r="F2037" s="53">
        <f>E2037*C2037</f>
        <v>1944.2164979999998</v>
      </c>
      <c r="G2037" s="58"/>
    </row>
    <row r="2038" spans="1:8" x14ac:dyDescent="0.25">
      <c r="A2038" s="90"/>
      <c r="B2038" s="41" t="s">
        <v>653</v>
      </c>
      <c r="C2038" s="182">
        <f>0.08*10</f>
        <v>0.8</v>
      </c>
      <c r="D2038" s="41" t="s">
        <v>651</v>
      </c>
      <c r="E2038" s="54">
        <f>+$E$2005</f>
        <v>2209.1370000000002</v>
      </c>
      <c r="F2038" s="53">
        <f>E2038*C2038</f>
        <v>1767.3096000000003</v>
      </c>
      <c r="G2038" s="58"/>
    </row>
    <row r="2039" spans="1:8" x14ac:dyDescent="0.25">
      <c r="A2039" s="90"/>
      <c r="B2039" s="41" t="s">
        <v>654</v>
      </c>
      <c r="C2039" s="182">
        <v>0.1</v>
      </c>
      <c r="D2039" s="41" t="s">
        <v>8</v>
      </c>
      <c r="E2039" s="54">
        <f>+$E$2022</f>
        <v>367.5</v>
      </c>
      <c r="F2039" s="53">
        <f>E2039*C2039</f>
        <v>36.75</v>
      </c>
      <c r="G2039" s="58"/>
    </row>
    <row r="2040" spans="1:8" x14ac:dyDescent="0.25">
      <c r="A2040" s="90"/>
      <c r="B2040" s="41" t="s">
        <v>67</v>
      </c>
      <c r="C2040" s="182">
        <v>10</v>
      </c>
      <c r="D2040" s="41" t="s">
        <v>34</v>
      </c>
      <c r="E2040" s="46">
        <f>SUM(F2037:F2039)</f>
        <v>3748.2760980000003</v>
      </c>
      <c r="F2040" s="53">
        <f>E2040*C2040/100</f>
        <v>374.82760980000006</v>
      </c>
      <c r="G2040" s="58"/>
    </row>
    <row r="2041" spans="1:8" x14ac:dyDescent="0.25">
      <c r="A2041" s="90"/>
      <c r="B2041" s="41" t="s">
        <v>662</v>
      </c>
      <c r="C2041" s="182">
        <v>10</v>
      </c>
      <c r="D2041" s="41" t="s">
        <v>81</v>
      </c>
      <c r="E2041" s="54">
        <f>+$E$2033</f>
        <v>120.75</v>
      </c>
      <c r="F2041" s="53">
        <f>E2041*C2041</f>
        <v>1207.5</v>
      </c>
      <c r="G2041" s="58"/>
    </row>
    <row r="2042" spans="1:8" ht="15.6" x14ac:dyDescent="0.3">
      <c r="A2042" s="90"/>
      <c r="B2042" s="41"/>
      <c r="C2042" s="187"/>
      <c r="E2042" s="46"/>
      <c r="F2042" s="174" t="s">
        <v>126</v>
      </c>
      <c r="G2042" s="59">
        <f>SUM(F2037:F2041)/C2041</f>
        <v>533.06037077999997</v>
      </c>
      <c r="H2042" s="186" t="s">
        <v>141</v>
      </c>
    </row>
    <row r="2043" spans="1:8" ht="15.6" x14ac:dyDescent="0.3">
      <c r="A2043" s="90"/>
      <c r="B2043" s="3" t="s">
        <v>665</v>
      </c>
      <c r="C2043" s="8"/>
      <c r="E2043" s="46"/>
      <c r="F2043" s="174"/>
      <c r="G2043" s="58"/>
      <c r="H2043" s="185"/>
    </row>
    <row r="2044" spans="1:8" x14ac:dyDescent="0.25">
      <c r="A2044" s="90">
        <f>0.01+A2037</f>
        <v>16.050000000000008</v>
      </c>
      <c r="B2044" s="41" t="s">
        <v>666</v>
      </c>
      <c r="C2044" s="53">
        <v>1</v>
      </c>
      <c r="D2044" s="41" t="s">
        <v>651</v>
      </c>
      <c r="E2044" s="61">
        <f>+'[1]Lista de precios MAY25'!E65</f>
        <v>895</v>
      </c>
      <c r="F2044" s="53">
        <f>E2044*C2044</f>
        <v>895</v>
      </c>
      <c r="G2044" s="117" t="s">
        <v>261</v>
      </c>
      <c r="H2044" s="123"/>
    </row>
    <row r="2045" spans="1:8" x14ac:dyDescent="0.25">
      <c r="A2045" s="90"/>
      <c r="B2045" s="41" t="s">
        <v>67</v>
      </c>
      <c r="C2045" s="53">
        <v>10</v>
      </c>
      <c r="D2045" s="41" t="s">
        <v>34</v>
      </c>
      <c r="E2045" s="46">
        <f>SUM(F2044:F2044)</f>
        <v>895</v>
      </c>
      <c r="F2045" s="53">
        <f>E2045*C2045/100</f>
        <v>89.5</v>
      </c>
      <c r="G2045" s="58"/>
    </row>
    <row r="2046" spans="1:8" x14ac:dyDescent="0.25">
      <c r="A2046" s="90"/>
      <c r="B2046" s="41" t="s">
        <v>662</v>
      </c>
      <c r="C2046" s="53">
        <v>10</v>
      </c>
      <c r="D2046" s="41" t="s">
        <v>81</v>
      </c>
      <c r="E2046" s="54">
        <f>+'[1]MO MAY25'!N239-'[1]MO MAY25'!N236</f>
        <v>101.2</v>
      </c>
      <c r="F2046" s="53">
        <f>E2046*C2046</f>
        <v>1012</v>
      </c>
      <c r="G2046" s="58"/>
    </row>
    <row r="2047" spans="1:8" ht="15.6" x14ac:dyDescent="0.3">
      <c r="A2047" s="90"/>
      <c r="B2047" s="41"/>
      <c r="C2047" s="8"/>
      <c r="E2047" s="46"/>
      <c r="F2047" s="174" t="s">
        <v>126</v>
      </c>
      <c r="G2047" s="56">
        <f>SUM(F2044:F2046)/C2046</f>
        <v>199.65</v>
      </c>
      <c r="H2047" s="184" t="s">
        <v>141</v>
      </c>
    </row>
    <row r="2048" spans="1:8" x14ac:dyDescent="0.25">
      <c r="A2048" s="90"/>
      <c r="B2048" s="41"/>
      <c r="C2048" s="8"/>
      <c r="E2048" s="46"/>
      <c r="F2048" s="174"/>
      <c r="G2048" s="58"/>
      <c r="H2048" s="185"/>
    </row>
    <row r="2049" spans="1:8" ht="15.6" x14ac:dyDescent="0.3">
      <c r="A2049" s="90"/>
      <c r="B2049" s="3" t="s">
        <v>667</v>
      </c>
      <c r="C2049" s="8"/>
      <c r="E2049" s="46"/>
      <c r="F2049" s="8"/>
      <c r="G2049" s="58"/>
      <c r="H2049" s="41"/>
    </row>
    <row r="2050" spans="1:8" ht="15.6" x14ac:dyDescent="0.3">
      <c r="A2050" s="20">
        <f>+A1983+1</f>
        <v>17</v>
      </c>
      <c r="B2050" s="41"/>
      <c r="C2050" s="8"/>
      <c r="E2050" s="46"/>
      <c r="F2050" s="8"/>
      <c r="G2050" s="58"/>
    </row>
    <row r="2051" spans="1:8" ht="15.6" x14ac:dyDescent="0.3">
      <c r="A2051" s="90"/>
      <c r="B2051" s="3" t="s">
        <v>668</v>
      </c>
      <c r="C2051" s="3"/>
      <c r="D2051" s="3"/>
      <c r="E2051" s="46"/>
      <c r="F2051" s="174"/>
      <c r="G2051" s="58"/>
      <c r="H2051" s="185"/>
    </row>
    <row r="2052" spans="1:8" x14ac:dyDescent="0.25">
      <c r="A2052" s="90">
        <f>+A2050+0.01</f>
        <v>17.010000000000002</v>
      </c>
      <c r="B2052" s="41" t="s">
        <v>594</v>
      </c>
      <c r="C2052" s="119">
        <f>(1.3*2+0.9*2)*0.4</f>
        <v>1.7600000000000002</v>
      </c>
      <c r="D2052" s="41" t="s">
        <v>81</v>
      </c>
      <c r="E2052" s="54">
        <f>+$G$715</f>
        <v>2625.8107690215229</v>
      </c>
      <c r="F2052" s="53">
        <f>E2052*C2052</f>
        <v>4621.4269534778805</v>
      </c>
      <c r="G2052" s="58"/>
    </row>
    <row r="2053" spans="1:8" x14ac:dyDescent="0.25">
      <c r="B2053" s="41" t="s">
        <v>669</v>
      </c>
      <c r="C2053" s="119">
        <f>0.9*0.5*0.4</f>
        <v>0.18000000000000002</v>
      </c>
      <c r="D2053" s="41" t="s">
        <v>54</v>
      </c>
      <c r="E2053" s="54">
        <f>+$G$55</f>
        <v>9859.73</v>
      </c>
      <c r="F2053" s="53">
        <f>E2053*C2053</f>
        <v>1774.7514000000001</v>
      </c>
      <c r="G2053" s="58"/>
    </row>
    <row r="2054" spans="1:8" x14ac:dyDescent="0.25">
      <c r="B2054" s="41" t="s">
        <v>670</v>
      </c>
      <c r="C2054" s="119">
        <f>+C2052</f>
        <v>1.7600000000000002</v>
      </c>
      <c r="D2054" s="41" t="s">
        <v>81</v>
      </c>
      <c r="E2054" s="54">
        <f>+$G$904</f>
        <v>737.20648224999991</v>
      </c>
      <c r="F2054" s="53">
        <f>E2054*C2054</f>
        <v>1297.48340876</v>
      </c>
      <c r="G2054" s="58"/>
    </row>
    <row r="2055" spans="1:8" x14ac:dyDescent="0.25">
      <c r="B2055" s="41" t="s">
        <v>671</v>
      </c>
      <c r="C2055" s="119">
        <f>1/2</f>
        <v>0.5</v>
      </c>
      <c r="D2055" s="41" t="s">
        <v>672</v>
      </c>
      <c r="E2055" s="54"/>
      <c r="F2055" s="53">
        <f>E2055*C2055</f>
        <v>0</v>
      </c>
      <c r="G2055" s="58"/>
    </row>
    <row r="2056" spans="1:8" x14ac:dyDescent="0.25">
      <c r="B2056" s="41"/>
      <c r="C2056" s="119"/>
      <c r="D2056" s="41"/>
      <c r="E2056" s="46"/>
      <c r="F2056" s="53">
        <f>E2055*C2056</f>
        <v>0</v>
      </c>
      <c r="G2056" s="58"/>
    </row>
    <row r="2057" spans="1:8" ht="15.6" x14ac:dyDescent="0.3">
      <c r="A2057" s="90"/>
      <c r="B2057" s="188" t="s">
        <v>673</v>
      </c>
      <c r="E2057" s="46"/>
      <c r="G2057" s="59">
        <f>SUM(F2052:F2056)</f>
        <v>7693.6617622378808</v>
      </c>
      <c r="H2057" s="59" t="s">
        <v>48</v>
      </c>
    </row>
    <row r="2058" spans="1:8" ht="15.6" x14ac:dyDescent="0.3">
      <c r="A2058" s="90"/>
      <c r="B2058" s="41"/>
      <c r="E2058" s="46"/>
      <c r="G2058" s="59"/>
      <c r="H2058" s="59"/>
    </row>
    <row r="2059" spans="1:8" ht="15.6" x14ac:dyDescent="0.3">
      <c r="A2059" s="90"/>
      <c r="B2059" s="3" t="s">
        <v>674</v>
      </c>
      <c r="C2059" s="3"/>
      <c r="D2059" s="3"/>
      <c r="E2059" s="46"/>
    </row>
    <row r="2060" spans="1:8" x14ac:dyDescent="0.25">
      <c r="A2060" s="90">
        <f>0.01+A2052</f>
        <v>17.020000000000003</v>
      </c>
      <c r="B2060" s="41" t="s">
        <v>594</v>
      </c>
      <c r="C2060" s="119">
        <f>(1.25)*0.4</f>
        <v>0.5</v>
      </c>
      <c r="D2060" s="41" t="s">
        <v>81</v>
      </c>
      <c r="E2060" s="54">
        <f>+$E$2052</f>
        <v>2625.8107690215229</v>
      </c>
      <c r="F2060" s="53">
        <f>E2060*C2060</f>
        <v>1312.9053845107615</v>
      </c>
      <c r="G2060" s="58"/>
    </row>
    <row r="2061" spans="1:8" x14ac:dyDescent="0.25">
      <c r="B2061" s="41" t="s">
        <v>675</v>
      </c>
      <c r="C2061" s="119">
        <v>1</v>
      </c>
      <c r="D2061" s="41" t="s">
        <v>159</v>
      </c>
      <c r="E2061" s="54">
        <f>+$G$655</f>
        <v>1396.8325582137502</v>
      </c>
      <c r="F2061" s="53">
        <f>E2061*C2061</f>
        <v>1396.8325582137502</v>
      </c>
      <c r="G2061" s="58"/>
    </row>
    <row r="2062" spans="1:8" x14ac:dyDescent="0.25">
      <c r="B2062" s="41" t="s">
        <v>670</v>
      </c>
      <c r="C2062" s="119">
        <v>1</v>
      </c>
      <c r="D2062" s="41" t="s">
        <v>81</v>
      </c>
      <c r="E2062" s="54">
        <f>+$G$904</f>
        <v>737.20648224999991</v>
      </c>
      <c r="F2062" s="53">
        <f>E2062*C2062</f>
        <v>737.20648224999991</v>
      </c>
      <c r="G2062" s="58"/>
    </row>
    <row r="2063" spans="1:8" x14ac:dyDescent="0.25">
      <c r="B2063" s="41" t="s">
        <v>671</v>
      </c>
      <c r="C2063" s="119">
        <f>1/2</f>
        <v>0.5</v>
      </c>
      <c r="D2063" s="41" t="s">
        <v>672</v>
      </c>
      <c r="E2063" s="54"/>
      <c r="F2063" s="53">
        <f>E2063*C2063</f>
        <v>0</v>
      </c>
      <c r="G2063" s="58"/>
    </row>
    <row r="2064" spans="1:8" x14ac:dyDescent="0.25">
      <c r="B2064" s="41"/>
      <c r="C2064" s="119"/>
      <c r="D2064" s="41"/>
      <c r="E2064" s="54"/>
      <c r="F2064" s="53"/>
      <c r="G2064" s="58"/>
    </row>
    <row r="2065" spans="1:10" ht="15.6" x14ac:dyDescent="0.3">
      <c r="B2065" s="188" t="s">
        <v>673</v>
      </c>
      <c r="E2065" s="46"/>
      <c r="G2065" s="59">
        <f>SUM(F2060:F2064)</f>
        <v>3446.9444249745111</v>
      </c>
      <c r="H2065" s="59" t="s">
        <v>48</v>
      </c>
    </row>
    <row r="2066" spans="1:10" x14ac:dyDescent="0.25">
      <c r="B2066" s="41"/>
      <c r="E2066" s="46"/>
    </row>
    <row r="2067" spans="1:10" ht="15.6" x14ac:dyDescent="0.3">
      <c r="B2067" s="189" t="s">
        <v>676</v>
      </c>
      <c r="C2067" s="190"/>
      <c r="D2067" s="191"/>
      <c r="E2067" s="192"/>
      <c r="F2067" s="193"/>
      <c r="G2067" s="194"/>
      <c r="H2067" s="195"/>
    </row>
    <row r="2068" spans="1:10" ht="15.6" x14ac:dyDescent="0.3">
      <c r="A2068" s="90">
        <f>+A2060+0.01</f>
        <v>17.030000000000005</v>
      </c>
      <c r="B2068" s="196" t="s">
        <v>677</v>
      </c>
      <c r="C2068" s="197"/>
      <c r="D2068" s="198"/>
      <c r="E2068" s="199"/>
      <c r="F2068" s="175"/>
      <c r="G2068" s="200">
        <f>SUM(F2070:F2071)</f>
        <v>51678.487550565173</v>
      </c>
      <c r="H2068" s="201"/>
      <c r="I2068" s="40"/>
    </row>
    <row r="2069" spans="1:10" x14ac:dyDescent="0.25">
      <c r="B2069" s="202" t="s">
        <v>678</v>
      </c>
      <c r="C2069" s="197"/>
      <c r="D2069" s="198"/>
      <c r="E2069" s="199"/>
      <c r="F2069" s="175"/>
      <c r="G2069" s="58"/>
      <c r="H2069" s="201"/>
    </row>
    <row r="2070" spans="1:10" x14ac:dyDescent="0.25">
      <c r="B2070" s="202" t="s">
        <v>679</v>
      </c>
      <c r="C2070" s="175">
        <f>(0.8*1)*2+(3.6*0.8)-(3.4*0.4)+(3.6*0.8)</f>
        <v>6</v>
      </c>
      <c r="D2070" s="203" t="s">
        <v>81</v>
      </c>
      <c r="E2070" s="199">
        <f>+$G$727</f>
        <v>2742.2482690215229</v>
      </c>
      <c r="F2070" s="175">
        <f>E2070*C2070</f>
        <v>16453.489614129139</v>
      </c>
      <c r="G2070" s="58"/>
      <c r="H2070" s="201"/>
    </row>
    <row r="2071" spans="1:10" x14ac:dyDescent="0.25">
      <c r="B2071" s="202" t="s">
        <v>680</v>
      </c>
      <c r="C2071" s="175">
        <v>1</v>
      </c>
      <c r="D2071" s="203" t="s">
        <v>15</v>
      </c>
      <c r="E2071" s="199">
        <f>+$G$2204</f>
        <v>35224.997936436033</v>
      </c>
      <c r="F2071" s="175">
        <f>E2071*C2071</f>
        <v>35224.997936436033</v>
      </c>
      <c r="G2071" s="58"/>
      <c r="H2071" s="201"/>
      <c r="I2071" s="2">
        <f>3.6*1</f>
        <v>3.6</v>
      </c>
    </row>
    <row r="2072" spans="1:10" ht="15.6" x14ac:dyDescent="0.3">
      <c r="B2072" s="202"/>
      <c r="C2072" s="175"/>
      <c r="D2072" s="203"/>
      <c r="E2072" s="199"/>
      <c r="F2072" s="175"/>
      <c r="G2072" s="59"/>
      <c r="H2072" s="204"/>
    </row>
    <row r="2073" spans="1:10" ht="15.6" x14ac:dyDescent="0.3">
      <c r="B2073" s="196" t="s">
        <v>681</v>
      </c>
      <c r="C2073" s="175"/>
      <c r="D2073" s="203"/>
      <c r="E2073" s="199"/>
      <c r="F2073" s="175"/>
      <c r="G2073" s="200">
        <f>SUM(F2074:F2080)</f>
        <v>60306.439519385269</v>
      </c>
      <c r="H2073" s="201"/>
    </row>
    <row r="2074" spans="1:10" ht="15.6" x14ac:dyDescent="0.3">
      <c r="A2074" s="98"/>
      <c r="B2074" s="202" t="s">
        <v>682</v>
      </c>
      <c r="C2074" s="175">
        <f>3.6*2*0.8*2</f>
        <v>11.520000000000001</v>
      </c>
      <c r="D2074" s="203" t="s">
        <v>81</v>
      </c>
      <c r="E2074" s="199">
        <f>+'[1]Lista de precios MAY25'!$E$13</f>
        <v>207</v>
      </c>
      <c r="F2074" s="175">
        <f t="shared" ref="F2074:F2079" si="814">E2074*C2074</f>
        <v>2384.6400000000003</v>
      </c>
      <c r="G2074" s="58"/>
      <c r="H2074" s="201"/>
    </row>
    <row r="2075" spans="1:10" x14ac:dyDescent="0.25">
      <c r="B2075" s="202" t="s">
        <v>683</v>
      </c>
      <c r="C2075" s="175">
        <f>+C2074*2</f>
        <v>23.040000000000003</v>
      </c>
      <c r="D2075" s="203" t="s">
        <v>31</v>
      </c>
      <c r="E2075" s="199">
        <f>+'[2]Lista de precios MAY23'!$E$15</f>
        <v>79.001000000000005</v>
      </c>
      <c r="F2075" s="175">
        <f t="shared" si="814"/>
        <v>1820.1830400000003</v>
      </c>
      <c r="G2075" s="58"/>
      <c r="H2075" s="201"/>
    </row>
    <row r="2076" spans="1:10" x14ac:dyDescent="0.25">
      <c r="B2076" s="202" t="s">
        <v>684</v>
      </c>
      <c r="C2076" s="175">
        <v>1</v>
      </c>
      <c r="D2076" s="203" t="s">
        <v>8</v>
      </c>
      <c r="E2076" s="199">
        <v>30000</v>
      </c>
      <c r="F2076" s="175">
        <f t="shared" si="814"/>
        <v>30000</v>
      </c>
      <c r="G2076" s="205" t="s">
        <v>685</v>
      </c>
      <c r="H2076" s="201"/>
      <c r="J2076" s="2">
        <f>+J2078*3.6*0.8</f>
        <v>212976</v>
      </c>
    </row>
    <row r="2077" spans="1:10" x14ac:dyDescent="0.25">
      <c r="B2077" s="202" t="s">
        <v>168</v>
      </c>
      <c r="C2077" s="175">
        <f>3.58/13.33</f>
        <v>0.26856714178544638</v>
      </c>
      <c r="D2077" s="203" t="s">
        <v>147</v>
      </c>
      <c r="E2077" s="199">
        <f>+'[1]Lista de precios MAY25'!$E$9</f>
        <v>3221.6681776971895</v>
      </c>
      <c r="F2077" s="175">
        <f t="shared" si="814"/>
        <v>865.23421426526181</v>
      </c>
      <c r="G2077" s="206"/>
      <c r="H2077" s="201"/>
    </row>
    <row r="2078" spans="1:10" x14ac:dyDescent="0.25">
      <c r="B2078" s="202" t="s">
        <v>686</v>
      </c>
      <c r="C2078" s="175">
        <f>+C2074*0.1+(0.8*2*0.9*0.2)</f>
        <v>1.4400000000000002</v>
      </c>
      <c r="D2078" s="203" t="s">
        <v>54</v>
      </c>
      <c r="E2078" s="199">
        <f>+'[1]Lista de precios MAY25'!$E$45</f>
        <v>9449.7350000000006</v>
      </c>
      <c r="F2078" s="175">
        <f t="shared" si="814"/>
        <v>13607.618400000003</v>
      </c>
      <c r="H2078" s="201"/>
      <c r="J2078" s="2">
        <f>14500/0.6*3.06</f>
        <v>73950</v>
      </c>
    </row>
    <row r="2079" spans="1:10" x14ac:dyDescent="0.25">
      <c r="B2079" s="202" t="s">
        <v>687</v>
      </c>
      <c r="C2079" s="175">
        <f>+C2070*2+(C2074/3)*2</f>
        <v>19.68</v>
      </c>
      <c r="D2079" s="203" t="s">
        <v>81</v>
      </c>
      <c r="E2079" s="199">
        <f>+$G$940</f>
        <v>540.08692150000002</v>
      </c>
      <c r="F2079" s="175">
        <f t="shared" si="814"/>
        <v>10628.910615119999</v>
      </c>
      <c r="G2079" s="58"/>
      <c r="H2079" s="201"/>
      <c r="J2079" s="2">
        <f>9900/0.6*1</f>
        <v>16500</v>
      </c>
    </row>
    <row r="2080" spans="1:10" x14ac:dyDescent="0.25">
      <c r="B2080" s="202" t="s">
        <v>688</v>
      </c>
      <c r="C2080" s="175">
        <f>+$C$2074/3</f>
        <v>3.8400000000000003</v>
      </c>
      <c r="D2080" s="203" t="s">
        <v>21</v>
      </c>
      <c r="E2080" s="199">
        <f>+$G$940</f>
        <v>540.08692150000002</v>
      </c>
      <c r="F2080" s="207">
        <f>+$G$1037</f>
        <v>999.85325000000012</v>
      </c>
      <c r="G2080" s="58"/>
      <c r="H2080" s="201"/>
    </row>
    <row r="2081" spans="1:11" ht="15.6" x14ac:dyDescent="0.3">
      <c r="B2081" s="202"/>
      <c r="C2081" s="175"/>
      <c r="D2081" s="203"/>
      <c r="E2081" s="199"/>
      <c r="F2081" s="175"/>
      <c r="G2081" s="59"/>
      <c r="H2081" s="204"/>
    </row>
    <row r="2082" spans="1:11" ht="15.6" x14ac:dyDescent="0.3">
      <c r="B2082" s="196" t="s">
        <v>689</v>
      </c>
      <c r="C2082" s="175"/>
      <c r="D2082" s="203"/>
      <c r="E2082" s="199"/>
      <c r="F2082" s="175"/>
      <c r="G2082" s="200">
        <f>SUM(F2083:F2087)</f>
        <v>281725.33163377777</v>
      </c>
      <c r="H2082" s="201"/>
    </row>
    <row r="2083" spans="1:11" ht="15.6" x14ac:dyDescent="0.3">
      <c r="A2083" s="90"/>
      <c r="B2083" s="202" t="s">
        <v>690</v>
      </c>
      <c r="C2083" s="175">
        <f>+C2070*2+0.8*2+3.6*2*0.8+7.2*0.8*4</f>
        <v>42.400000000000006</v>
      </c>
      <c r="D2083" s="203" t="s">
        <v>81</v>
      </c>
      <c r="E2083" s="199">
        <f>+$G$1886</f>
        <v>5243.7963244444436</v>
      </c>
      <c r="F2083" s="175">
        <f>E2083*C2083</f>
        <v>222336.96415644445</v>
      </c>
      <c r="G2083" s="39"/>
      <c r="H2083" s="201"/>
    </row>
    <row r="2084" spans="1:11" x14ac:dyDescent="0.25">
      <c r="B2084" s="208" t="s">
        <v>691</v>
      </c>
      <c r="C2084" s="175">
        <v>1</v>
      </c>
      <c r="D2084" s="203" t="s">
        <v>8</v>
      </c>
      <c r="E2084" s="209">
        <v>7500</v>
      </c>
      <c r="F2084" s="173">
        <f>+C2084*E2084</f>
        <v>7500</v>
      </c>
      <c r="G2084" s="210"/>
      <c r="H2084" s="201"/>
    </row>
    <row r="2085" spans="1:11" x14ac:dyDescent="0.25">
      <c r="B2085" s="202" t="s">
        <v>692</v>
      </c>
      <c r="C2085" s="175">
        <v>1</v>
      </c>
      <c r="D2085" s="203" t="s">
        <v>8</v>
      </c>
      <c r="E2085" s="209">
        <f>+$G$2232</f>
        <v>38796.5</v>
      </c>
      <c r="F2085" s="2">
        <f>+C2085*E2085</f>
        <v>38796.5</v>
      </c>
      <c r="G2085" s="201" t="s">
        <v>693</v>
      </c>
      <c r="H2085" s="201"/>
      <c r="K2085" s="40"/>
    </row>
    <row r="2086" spans="1:11" x14ac:dyDescent="0.25">
      <c r="B2086" s="202" t="s">
        <v>694</v>
      </c>
      <c r="C2086" s="175">
        <v>8.8000000000000007</v>
      </c>
      <c r="D2086" s="203" t="s">
        <v>150</v>
      </c>
      <c r="E2086" s="209">
        <f>+$G$1670</f>
        <v>1122.0872133333335</v>
      </c>
      <c r="F2086" s="40">
        <f>+C2086*E2086</f>
        <v>9874.367477333335</v>
      </c>
      <c r="G2086" s="210"/>
      <c r="H2086" s="201"/>
      <c r="K2086" s="40"/>
    </row>
    <row r="2087" spans="1:11" ht="15.6" x14ac:dyDescent="0.3">
      <c r="B2087" s="202" t="s">
        <v>695</v>
      </c>
      <c r="C2087" s="175">
        <v>2</v>
      </c>
      <c r="D2087" s="203" t="s">
        <v>8</v>
      </c>
      <c r="E2087" s="209">
        <f>25*58.5*1.1</f>
        <v>1608.7500000000002</v>
      </c>
      <c r="F2087" s="2">
        <f>+C2087*E2087</f>
        <v>3217.5000000000005</v>
      </c>
      <c r="G2087" s="210"/>
      <c r="H2087" s="204"/>
      <c r="K2087" s="40"/>
    </row>
    <row r="2088" spans="1:11" ht="15.6" x14ac:dyDescent="0.3">
      <c r="B2088" s="211"/>
      <c r="C2088" s="1"/>
      <c r="D2088" s="1"/>
      <c r="E2088" s="212"/>
      <c r="F2088" s="1"/>
      <c r="G2088" s="213">
        <f>SUM(F2069:F2087)</f>
        <v>393710.25870372826</v>
      </c>
      <c r="H2088" s="214" t="s">
        <v>48</v>
      </c>
      <c r="K2088" s="40"/>
    </row>
    <row r="2089" spans="1:11" ht="15.6" x14ac:dyDescent="0.3">
      <c r="A2089" s="90"/>
      <c r="B2089" s="3" t="s">
        <v>696</v>
      </c>
      <c r="E2089" s="46"/>
      <c r="G2089" s="58"/>
    </row>
    <row r="2090" spans="1:11" customFormat="1" ht="15.6" x14ac:dyDescent="0.3">
      <c r="B2090" s="215" t="s">
        <v>697</v>
      </c>
      <c r="C2090" s="215">
        <v>1</v>
      </c>
      <c r="D2090" s="216" t="s">
        <v>8</v>
      </c>
      <c r="E2090" s="216">
        <v>2500</v>
      </c>
      <c r="F2090" s="53">
        <f>+C2090*E2090</f>
        <v>2500</v>
      </c>
      <c r="G2090" s="39" t="e">
        <f>SUM(F2090:F2105)</f>
        <v>#REF!</v>
      </c>
      <c r="H2090" s="40" t="s">
        <v>615</v>
      </c>
    </row>
    <row r="2091" spans="1:11" customFormat="1" ht="15.6" x14ac:dyDescent="0.3">
      <c r="B2091" s="215" t="s">
        <v>698</v>
      </c>
      <c r="C2091" s="215">
        <v>1</v>
      </c>
      <c r="D2091" s="216" t="s">
        <v>8</v>
      </c>
      <c r="E2091" s="216">
        <v>45000</v>
      </c>
      <c r="F2091" s="53">
        <f>+C2091*E2091</f>
        <v>45000</v>
      </c>
    </row>
    <row r="2092" spans="1:11" customFormat="1" ht="15.6" x14ac:dyDescent="0.3">
      <c r="B2092" s="215" t="s">
        <v>699</v>
      </c>
      <c r="C2092" s="217">
        <v>1</v>
      </c>
      <c r="D2092" s="215" t="s">
        <v>15</v>
      </c>
      <c r="E2092" s="216" t="e">
        <f>+$G$2111</f>
        <v>#REF!</v>
      </c>
      <c r="F2092" s="53" t="e">
        <f>+C2092*E2092</f>
        <v>#REF!</v>
      </c>
    </row>
    <row r="2093" spans="1:11" customFormat="1" ht="15.6" x14ac:dyDescent="0.3">
      <c r="B2093" s="2" t="s">
        <v>700</v>
      </c>
      <c r="C2093" s="216">
        <v>1</v>
      </c>
      <c r="D2093" s="215" t="s">
        <v>15</v>
      </c>
      <c r="E2093" s="216">
        <v>40000</v>
      </c>
      <c r="F2093" s="216">
        <f t="shared" ref="F2093:F2098" si="815">+C2093*E2093</f>
        <v>40000</v>
      </c>
      <c r="H2093" s="218">
        <f>2.93*0.85</f>
        <v>2.4904999999999999</v>
      </c>
      <c r="K2093" s="219" t="str">
        <f t="shared" ref="K2093" si="816">+B2093</f>
        <v>Albañil y terminador</v>
      </c>
    </row>
    <row r="2094" spans="1:11" customFormat="1" ht="15.6" x14ac:dyDescent="0.3">
      <c r="B2094" s="215" t="s">
        <v>701</v>
      </c>
      <c r="C2094" s="217">
        <f>+C2096</f>
        <v>7.9816000000000003</v>
      </c>
      <c r="D2094" s="215" t="str">
        <f>+D2096</f>
        <v>M2</v>
      </c>
      <c r="E2094" s="216">
        <f>+'[3]Analisis SEP23'!$G$861</f>
        <v>172.7735625</v>
      </c>
      <c r="F2094" s="53">
        <f t="shared" si="815"/>
        <v>1379.00946645</v>
      </c>
    </row>
    <row r="2095" spans="1:11" customFormat="1" ht="15.6" x14ac:dyDescent="0.3">
      <c r="B2095" s="215" t="s">
        <v>702</v>
      </c>
      <c r="C2095" s="217">
        <v>1</v>
      </c>
      <c r="D2095" s="215" t="s">
        <v>15</v>
      </c>
      <c r="E2095" s="216">
        <v>25000</v>
      </c>
      <c r="F2095" s="53">
        <f t="shared" si="815"/>
        <v>25000</v>
      </c>
    </row>
    <row r="2096" spans="1:11" customFormat="1" ht="15.6" x14ac:dyDescent="0.3">
      <c r="B2096" s="215" t="s">
        <v>703</v>
      </c>
      <c r="C2096" s="217">
        <f>0.602*0.8+7.5*1</f>
        <v>7.9816000000000003</v>
      </c>
      <c r="D2096" s="215" t="s">
        <v>81</v>
      </c>
      <c r="E2096" s="220">
        <f>+E2075</f>
        <v>79.001000000000005</v>
      </c>
      <c r="F2096" s="53">
        <f t="shared" si="815"/>
        <v>630.55438160000006</v>
      </c>
    </row>
    <row r="2097" spans="1:9" customFormat="1" ht="16.5" customHeight="1" x14ac:dyDescent="0.3">
      <c r="B2097" s="215" t="s">
        <v>704</v>
      </c>
      <c r="C2097" s="215">
        <f>+C2098*2</f>
        <v>15.02</v>
      </c>
      <c r="D2097" s="216" t="s">
        <v>150</v>
      </c>
      <c r="E2097" s="220">
        <f>+$G$975</f>
        <v>396.20320822500003</v>
      </c>
      <c r="F2097" s="53">
        <f t="shared" si="815"/>
        <v>5950.9721875394998</v>
      </c>
      <c r="I2097" t="s">
        <v>705</v>
      </c>
    </row>
    <row r="2098" spans="1:9" customFormat="1" ht="15.6" x14ac:dyDescent="0.3">
      <c r="B2098" s="215" t="s">
        <v>706</v>
      </c>
      <c r="C2098" s="215">
        <v>7.51</v>
      </c>
      <c r="D2098" s="215" t="s">
        <v>150</v>
      </c>
      <c r="E2098" s="220">
        <f>+$G$997</f>
        <v>460.94938715000001</v>
      </c>
      <c r="F2098" s="53">
        <f t="shared" si="815"/>
        <v>3461.7298974965001</v>
      </c>
      <c r="G2098" s="2"/>
      <c r="H2098" s="2"/>
      <c r="I2098" t="s">
        <v>707</v>
      </c>
    </row>
    <row r="2099" spans="1:9" x14ac:dyDescent="0.25">
      <c r="A2099" s="90"/>
      <c r="B2099" s="41" t="s">
        <v>708</v>
      </c>
      <c r="C2099" s="53">
        <v>1</v>
      </c>
      <c r="D2099" s="41" t="s">
        <v>15</v>
      </c>
      <c r="E2099" s="172">
        <f>+$G$2268</f>
        <v>126098.82876337779</v>
      </c>
      <c r="F2099" s="53">
        <f t="shared" ref="F2099:F2101" si="817">E2099*C2099</f>
        <v>126098.82876337779</v>
      </c>
      <c r="G2099" s="58"/>
    </row>
    <row r="2100" spans="1:9" x14ac:dyDescent="0.25">
      <c r="A2100" s="90"/>
      <c r="B2100" s="41" t="s">
        <v>690</v>
      </c>
      <c r="C2100" s="53">
        <f>+$C$2096</f>
        <v>7.9816000000000003</v>
      </c>
      <c r="D2100" s="41" t="s">
        <v>21</v>
      </c>
      <c r="E2100" s="172">
        <f>+$E$2083</f>
        <v>5243.7963244444436</v>
      </c>
      <c r="F2100" s="53">
        <f t="shared" si="817"/>
        <v>41853.884743185772</v>
      </c>
      <c r="G2100" s="58"/>
    </row>
    <row r="2101" spans="1:9" x14ac:dyDescent="0.25">
      <c r="A2101" s="90"/>
      <c r="B2101" s="41" t="s">
        <v>709</v>
      </c>
      <c r="C2101" s="53">
        <v>1</v>
      </c>
      <c r="D2101" s="41" t="s">
        <v>15</v>
      </c>
      <c r="E2101" s="172">
        <v>30000</v>
      </c>
      <c r="F2101" s="53">
        <f t="shared" si="817"/>
        <v>30000</v>
      </c>
      <c r="G2101" s="58"/>
    </row>
    <row r="2102" spans="1:9" x14ac:dyDescent="0.25">
      <c r="A2102" s="90"/>
      <c r="B2102" s="41" t="s">
        <v>710</v>
      </c>
      <c r="C2102" s="53">
        <f>7.51*1+0.8*0.2</f>
        <v>7.67</v>
      </c>
      <c r="D2102" s="41" t="s">
        <v>81</v>
      </c>
      <c r="E2102" s="172">
        <f>+'[1]MO MAY25'!$N$401*1+(7.5*'[1]MO MAY25'!N405)/139.44</f>
        <v>2119.6735423838209</v>
      </c>
      <c r="F2102" s="53">
        <f>E2102*C2102</f>
        <v>16257.896070083905</v>
      </c>
      <c r="G2102" s="58"/>
    </row>
    <row r="2103" spans="1:9" x14ac:dyDescent="0.25">
      <c r="A2103" s="90"/>
      <c r="B2103" s="41" t="s">
        <v>711</v>
      </c>
      <c r="C2103" s="53">
        <v>2</v>
      </c>
      <c r="D2103" s="41" t="s">
        <v>15</v>
      </c>
      <c r="E2103" s="172">
        <v>75000</v>
      </c>
      <c r="F2103" s="53">
        <f t="shared" ref="F2103:F2105" si="818">E2103*C2103</f>
        <v>150000</v>
      </c>
      <c r="G2103" s="58"/>
    </row>
    <row r="2104" spans="1:9" x14ac:dyDescent="0.25">
      <c r="A2104" s="90"/>
      <c r="B2104" s="41" t="s">
        <v>395</v>
      </c>
      <c r="C2104" s="53">
        <f>1*0.6+0.5*0.2+7.5*0.4</f>
        <v>3.7</v>
      </c>
      <c r="D2104" s="41" t="s">
        <v>21</v>
      </c>
      <c r="E2104" s="172">
        <f>+$G$1128</f>
        <v>1374.4828677916666</v>
      </c>
      <c r="F2104" s="53">
        <f t="shared" si="818"/>
        <v>5085.5866108291666</v>
      </c>
      <c r="G2104" s="58"/>
    </row>
    <row r="2105" spans="1:9" x14ac:dyDescent="0.25">
      <c r="A2105" s="90"/>
      <c r="B2105" s="41" t="s">
        <v>712</v>
      </c>
      <c r="C2105" s="53">
        <v>1</v>
      </c>
      <c r="D2105" s="41" t="s">
        <v>15</v>
      </c>
      <c r="E2105" s="172">
        <v>8500</v>
      </c>
      <c r="F2105" s="53">
        <f t="shared" si="818"/>
        <v>8500</v>
      </c>
      <c r="G2105" s="58" t="s">
        <v>713</v>
      </c>
    </row>
    <row r="2106" spans="1:9" x14ac:dyDescent="0.25">
      <c r="A2106" s="90"/>
      <c r="B2106" s="41"/>
      <c r="C2106" s="53"/>
      <c r="D2106" s="41"/>
      <c r="E2106" s="172"/>
      <c r="F2106" s="53"/>
      <c r="G2106" s="58"/>
    </row>
    <row r="2107" spans="1:9" ht="16.5" customHeight="1" x14ac:dyDescent="0.3">
      <c r="A2107" s="90"/>
      <c r="B2107" s="3" t="s">
        <v>714</v>
      </c>
      <c r="C2107" s="53"/>
      <c r="D2107" s="41"/>
      <c r="E2107" s="172"/>
      <c r="F2107" s="39"/>
      <c r="G2107" s="39">
        <f>SUM(F2108:F2109)</f>
        <v>3647</v>
      </c>
      <c r="H2107" s="40" t="s">
        <v>615</v>
      </c>
    </row>
    <row r="2108" spans="1:9" ht="16.5" customHeight="1" x14ac:dyDescent="0.25">
      <c r="A2108" s="90"/>
      <c r="B2108" s="41" t="s">
        <v>715</v>
      </c>
      <c r="C2108" s="53">
        <v>1</v>
      </c>
      <c r="D2108" s="41" t="s">
        <v>15</v>
      </c>
      <c r="E2108" s="172">
        <v>3500</v>
      </c>
      <c r="F2108" s="53">
        <f t="shared" ref="F2108:F2109" si="819">E2108*C2108</f>
        <v>3500</v>
      </c>
      <c r="G2108" s="58"/>
    </row>
    <row r="2109" spans="1:9" ht="16.5" customHeight="1" x14ac:dyDescent="0.25">
      <c r="A2109" s="90"/>
      <c r="B2109" s="41" t="s">
        <v>716</v>
      </c>
      <c r="C2109" s="53">
        <f>1*0.25*0.4</f>
        <v>0.1</v>
      </c>
      <c r="D2109" s="41" t="s">
        <v>304</v>
      </c>
      <c r="E2109" s="172">
        <f>+'[1]Lista de precios MAY25'!$E$21</f>
        <v>1470</v>
      </c>
      <c r="F2109" s="53">
        <f t="shared" si="819"/>
        <v>147</v>
      </c>
      <c r="G2109" s="58"/>
    </row>
    <row r="2110" spans="1:9" ht="16.5" customHeight="1" x14ac:dyDescent="0.25">
      <c r="A2110" s="90"/>
      <c r="B2110" s="41"/>
      <c r="C2110" s="53"/>
      <c r="D2110" s="41"/>
      <c r="E2110" s="172"/>
      <c r="F2110" s="53"/>
      <c r="G2110" s="58"/>
    </row>
    <row r="2111" spans="1:9" ht="15.6" x14ac:dyDescent="0.3">
      <c r="A2111" s="90"/>
      <c r="B2111" s="3" t="s">
        <v>717</v>
      </c>
      <c r="E2111" s="46"/>
      <c r="G2111" s="39" t="e">
        <f>SUM(F2112:F2122)</f>
        <v>#REF!</v>
      </c>
      <c r="H2111" s="3" t="s">
        <v>59</v>
      </c>
    </row>
    <row r="2112" spans="1:9" x14ac:dyDescent="0.25">
      <c r="A2112" s="16"/>
      <c r="B2112" s="95" t="s">
        <v>187</v>
      </c>
      <c r="C2112" s="217">
        <f>(0.93*0.6*2+0.5*0.2*2+0.26*(7.5+1.9+0.679)*3)</f>
        <v>9.177620000000001</v>
      </c>
      <c r="D2112" s="41" t="s">
        <v>54</v>
      </c>
      <c r="E2112" s="54">
        <f>+'[1]Lista de precios MAY25'!$E$45</f>
        <v>9449.7350000000006</v>
      </c>
      <c r="F2112" s="91">
        <f>ROUND((C2112*E2112),2)</f>
        <v>86726.080000000002</v>
      </c>
      <c r="G2112" s="58"/>
      <c r="H2112" s="41"/>
    </row>
    <row r="2113" spans="1:11" x14ac:dyDescent="0.25">
      <c r="A2113" s="16"/>
      <c r="B2113" s="2" t="s">
        <v>179</v>
      </c>
      <c r="C2113" s="53"/>
      <c r="D2113" s="2" t="s">
        <v>147</v>
      </c>
      <c r="E2113" s="54">
        <f>+'[1]Lista de precios MAY25'!$E$9</f>
        <v>3221.6681776971895</v>
      </c>
      <c r="F2113" s="53">
        <f>ROUND((C2113*E2113),2)</f>
        <v>0</v>
      </c>
      <c r="G2113" s="58"/>
      <c r="H2113" s="41"/>
    </row>
    <row r="2114" spans="1:11" x14ac:dyDescent="0.25">
      <c r="A2114" s="16"/>
      <c r="B2114" s="2" t="s">
        <v>180</v>
      </c>
      <c r="C2114" s="53" t="e">
        <f>+'[2]20. Piscina y espejo de agua'!Y1908</f>
        <v>#REF!</v>
      </c>
      <c r="D2114" s="2" t="s">
        <v>147</v>
      </c>
      <c r="E2114" s="54">
        <f>+'[1]Lista de precios MAY25'!$E$9</f>
        <v>3221.6681776971895</v>
      </c>
      <c r="F2114" s="53" t="e">
        <f>ROUND((C2114*E2114),2)</f>
        <v>#REF!</v>
      </c>
      <c r="G2114" s="58"/>
      <c r="H2114" s="41"/>
    </row>
    <row r="2115" spans="1:11" x14ac:dyDescent="0.25">
      <c r="A2115" s="16"/>
      <c r="B2115" s="2" t="s">
        <v>181</v>
      </c>
      <c r="C2115" s="175">
        <f>2.4*0.6+7.51*0.4/13.33</f>
        <v>1.6653563390847712</v>
      </c>
      <c r="D2115" s="2" t="s">
        <v>147</v>
      </c>
      <c r="E2115" s="54">
        <f>+'[1]Lista de precios MAY25'!$E$9</f>
        <v>3221.6681776971895</v>
      </c>
      <c r="F2115" s="53">
        <f>ROUND((C2115*E2115),2)</f>
        <v>5365.23</v>
      </c>
      <c r="G2115" s="58"/>
      <c r="H2115" s="41"/>
    </row>
    <row r="2116" spans="1:11" x14ac:dyDescent="0.25">
      <c r="A2116" s="16"/>
      <c r="B2116" s="2" t="s">
        <v>148</v>
      </c>
      <c r="C2116" s="53" t="e">
        <f>SUM(C2113:C2115)*2</f>
        <v>#REF!</v>
      </c>
      <c r="D2116" s="2" t="s">
        <v>82</v>
      </c>
      <c r="E2116" s="54">
        <f>+'[1]Lista de precios MAY25'!$E$15</f>
        <v>79.001000000000005</v>
      </c>
      <c r="F2116" s="91" t="e">
        <f>ROUND((C2116*E2116),2)</f>
        <v>#REF!</v>
      </c>
      <c r="G2116" s="58"/>
      <c r="H2116" s="41"/>
    </row>
    <row r="2117" spans="1:11" x14ac:dyDescent="0.25">
      <c r="A2117" s="16"/>
      <c r="B2117" s="2" t="s">
        <v>67</v>
      </c>
      <c r="C2117" s="91">
        <v>10</v>
      </c>
      <c r="D2117" s="2" t="s">
        <v>34</v>
      </c>
      <c r="E2117" s="46" t="e">
        <f>SUM(F2112:F2116)</f>
        <v>#REF!</v>
      </c>
      <c r="F2117" s="92" t="e">
        <f>+E2117*C2117/100</f>
        <v>#REF!</v>
      </c>
      <c r="G2117" s="58"/>
      <c r="H2117" s="41"/>
    </row>
    <row r="2118" spans="1:11" x14ac:dyDescent="0.25">
      <c r="A2118" s="16"/>
      <c r="B2118" s="2" t="s">
        <v>168</v>
      </c>
      <c r="C2118" s="91">
        <f>1/0.2*2</f>
        <v>10</v>
      </c>
      <c r="D2118" s="2" t="s">
        <v>81</v>
      </c>
      <c r="E2118" s="46">
        <f>+'[1]MO MAY25'!$N$108</f>
        <v>287.5</v>
      </c>
      <c r="F2118" s="91">
        <f>ROUND((C2118*E2118),2)</f>
        <v>2875</v>
      </c>
      <c r="G2118" s="58"/>
      <c r="H2118" s="41"/>
    </row>
    <row r="2119" spans="1:11" x14ac:dyDescent="0.25">
      <c r="A2119" s="16"/>
      <c r="B2119" s="89" t="s">
        <v>182</v>
      </c>
      <c r="C2119" s="91">
        <f>+C2118</f>
        <v>10</v>
      </c>
      <c r="D2119" s="2" t="s">
        <v>81</v>
      </c>
      <c r="E2119" s="46">
        <f>+'[1]MO MAY25'!$N$476</f>
        <v>1029.25</v>
      </c>
      <c r="F2119" s="91">
        <f>ROUND((C2119*E2119),2)</f>
        <v>10292.5</v>
      </c>
      <c r="G2119" s="58"/>
      <c r="H2119" s="41"/>
    </row>
    <row r="2120" spans="1:11" x14ac:dyDescent="0.25">
      <c r="A2120" s="16"/>
      <c r="B2120" s="2" t="s">
        <v>151</v>
      </c>
      <c r="C2120" s="91">
        <v>1</v>
      </c>
      <c r="D2120" s="2" t="s">
        <v>54</v>
      </c>
      <c r="E2120" s="46">
        <v>20</v>
      </c>
      <c r="F2120" s="91">
        <f>ROUND((C2120*E2120),2)</f>
        <v>20</v>
      </c>
      <c r="G2120" s="58"/>
      <c r="H2120" s="41"/>
      <c r="J2120" s="40"/>
    </row>
    <row r="2121" spans="1:11" x14ac:dyDescent="0.25">
      <c r="A2121" s="16"/>
      <c r="B2121" s="2" t="s">
        <v>170</v>
      </c>
      <c r="C2121" s="53">
        <v>1</v>
      </c>
      <c r="D2121" s="2" t="s">
        <v>8</v>
      </c>
      <c r="E2121" s="46">
        <f>500*1.24</f>
        <v>620</v>
      </c>
      <c r="F2121" s="53">
        <f>ROUND((C2121*E2121),2)</f>
        <v>620</v>
      </c>
      <c r="G2121" s="58"/>
      <c r="H2121" s="41"/>
    </row>
    <row r="2122" spans="1:11" x14ac:dyDescent="0.25">
      <c r="A2122" s="16"/>
      <c r="B2122" s="2" t="s">
        <v>183</v>
      </c>
      <c r="C2122" s="53">
        <f>1/(0.25*4)</f>
        <v>1</v>
      </c>
      <c r="D2122" s="2" t="s">
        <v>184</v>
      </c>
      <c r="E2122" s="46">
        <f>180*1.1</f>
        <v>198.00000000000003</v>
      </c>
      <c r="F2122" s="53">
        <f>ROUND((C2122*E2122),2)</f>
        <v>198</v>
      </c>
      <c r="G2122" s="58"/>
      <c r="H2122" s="41"/>
    </row>
    <row r="2123" spans="1:11" ht="15.6" x14ac:dyDescent="0.3">
      <c r="A2123" s="16"/>
      <c r="B2123" s="2" t="s">
        <v>126</v>
      </c>
      <c r="E2123" s="46"/>
      <c r="G2123" s="39"/>
      <c r="H2123" s="3"/>
    </row>
    <row r="2124" spans="1:11" ht="15.6" x14ac:dyDescent="0.3">
      <c r="B2124" s="41"/>
      <c r="E2124" s="46"/>
      <c r="G2124" s="180" t="e">
        <f>+G2090+G2107</f>
        <v>#REF!</v>
      </c>
      <c r="H2124" s="221" t="s">
        <v>48</v>
      </c>
      <c r="I2124" s="2" t="s">
        <v>718</v>
      </c>
      <c r="K2124" s="40"/>
    </row>
    <row r="2125" spans="1:11" ht="15.6" x14ac:dyDescent="0.3">
      <c r="A2125" s="90"/>
      <c r="B2125" s="3" t="s">
        <v>719</v>
      </c>
      <c r="C2125" s="8"/>
      <c r="E2125" s="46"/>
      <c r="F2125" s="8"/>
      <c r="G2125" s="58"/>
    </row>
    <row r="2126" spans="1:11" x14ac:dyDescent="0.25">
      <c r="A2126" s="90">
        <f>+A2114+0.01</f>
        <v>0.01</v>
      </c>
      <c r="B2126" s="41" t="s">
        <v>512</v>
      </c>
      <c r="C2126" s="53">
        <v>8</v>
      </c>
      <c r="D2126" s="41" t="s">
        <v>720</v>
      </c>
      <c r="E2126" s="54">
        <f>7475*1.18*1.1</f>
        <v>9702.5500000000011</v>
      </c>
      <c r="F2126" s="53">
        <f>E2126*C2126</f>
        <v>77620.400000000009</v>
      </c>
      <c r="G2126" s="58"/>
    </row>
    <row r="2127" spans="1:11" x14ac:dyDescent="0.25">
      <c r="A2127" s="90"/>
      <c r="B2127" s="41" t="s">
        <v>513</v>
      </c>
      <c r="C2127" s="53">
        <f>(0.4*0.05)*$C$2098</f>
        <v>0.15020000000000003</v>
      </c>
      <c r="D2127" s="41" t="s">
        <v>54</v>
      </c>
      <c r="E2127" s="54">
        <f>+$G$55</f>
        <v>9859.73</v>
      </c>
      <c r="F2127" s="53">
        <f>E2127*C2127</f>
        <v>1480.9314460000003</v>
      </c>
      <c r="G2127" s="58"/>
    </row>
    <row r="2128" spans="1:11" x14ac:dyDescent="0.25">
      <c r="A2128" s="90"/>
      <c r="B2128" s="41" t="s">
        <v>408</v>
      </c>
      <c r="C2128" s="53">
        <f>(0.4*0.13)*$C$2098</f>
        <v>0.39052000000000003</v>
      </c>
      <c r="D2128" s="41" t="s">
        <v>409</v>
      </c>
      <c r="E2128" s="54">
        <f>+'[1]Lista de precios MAY25'!$E$138</f>
        <v>1350</v>
      </c>
      <c r="F2128" s="53">
        <f>E2128*C2128</f>
        <v>527.202</v>
      </c>
      <c r="G2128" s="58"/>
      <c r="H2128" s="41"/>
    </row>
    <row r="2129" spans="1:8" x14ac:dyDescent="0.25">
      <c r="A2129" s="90"/>
      <c r="B2129" s="41" t="s">
        <v>411</v>
      </c>
      <c r="C2129" s="53">
        <f>(0.05*0.4)*$C$2098</f>
        <v>0.15020000000000003</v>
      </c>
      <c r="D2129" s="41" t="s">
        <v>82</v>
      </c>
      <c r="E2129" s="54">
        <f>+'[1]Lista de precios MAY25'!$E$141</f>
        <v>80.850000000000009</v>
      </c>
      <c r="F2129" s="53">
        <f>E2129*C2129</f>
        <v>12.143670000000004</v>
      </c>
      <c r="G2129" s="58"/>
      <c r="H2129" s="41"/>
    </row>
    <row r="2130" spans="1:8" x14ac:dyDescent="0.25">
      <c r="A2130" s="90"/>
      <c r="B2130" s="41" t="s">
        <v>410</v>
      </c>
      <c r="C2130" s="53">
        <f>(0.4*6.5)*$C$2098</f>
        <v>19.526</v>
      </c>
      <c r="D2130" s="41" t="s">
        <v>82</v>
      </c>
      <c r="E2130" s="54">
        <f>+$G$95</f>
        <v>15.807777777777778</v>
      </c>
      <c r="F2130" s="53">
        <f>E2130*C2130</f>
        <v>308.6626688888889</v>
      </c>
      <c r="G2130" s="58"/>
    </row>
    <row r="2131" spans="1:8" x14ac:dyDescent="0.25">
      <c r="A2131" s="90"/>
      <c r="B2131" s="41" t="s">
        <v>67</v>
      </c>
      <c r="C2131" s="53">
        <v>10</v>
      </c>
      <c r="D2131" s="41" t="s">
        <v>34</v>
      </c>
      <c r="E2131" s="54">
        <f>SUM(F2126:F2130)</f>
        <v>79949.339784888914</v>
      </c>
      <c r="F2131" s="53">
        <f>E2131*C2131/100</f>
        <v>7994.9339784888907</v>
      </c>
      <c r="G2131" s="58"/>
    </row>
    <row r="2132" spans="1:8" x14ac:dyDescent="0.25">
      <c r="A2132" s="90"/>
      <c r="B2132" s="41" t="s">
        <v>412</v>
      </c>
      <c r="C2132" s="53">
        <f>+$C$2098</f>
        <v>7.51</v>
      </c>
      <c r="D2132" s="41" t="s">
        <v>150</v>
      </c>
      <c r="E2132" s="168">
        <f>+'[1]MO MAY25'!$N$589</f>
        <v>80.5</v>
      </c>
      <c r="F2132" s="53">
        <f>E2132*C2132</f>
        <v>604.55499999999995</v>
      </c>
      <c r="G2132" s="58"/>
    </row>
    <row r="2133" spans="1:8" x14ac:dyDescent="0.25">
      <c r="A2133" s="16"/>
      <c r="B2133" s="41" t="s">
        <v>508</v>
      </c>
      <c r="C2133" s="53">
        <f>+$C$2266</f>
        <v>7.51</v>
      </c>
      <c r="D2133" s="41" t="s">
        <v>150</v>
      </c>
      <c r="E2133" s="54">
        <v>5000</v>
      </c>
      <c r="F2133" s="53">
        <f>E2133*C2133</f>
        <v>37550</v>
      </c>
      <c r="G2133" s="58"/>
    </row>
    <row r="2134" spans="1:8" ht="15.6" x14ac:dyDescent="0.3">
      <c r="A2134" s="90"/>
      <c r="B2134" s="41"/>
      <c r="C2134" s="53"/>
      <c r="D2134" s="41"/>
      <c r="E2134" s="54"/>
      <c r="F2134" s="53"/>
      <c r="G2134" s="47">
        <f>SUM(F2126:F2133)</f>
        <v>126098.82876337779</v>
      </c>
      <c r="H2134" s="57" t="s">
        <v>8</v>
      </c>
    </row>
    <row r="2135" spans="1:8" ht="15.6" x14ac:dyDescent="0.3">
      <c r="B2135" s="3" t="s">
        <v>721</v>
      </c>
      <c r="E2135" s="46"/>
      <c r="G2135" s="39"/>
      <c r="H2135" s="59"/>
    </row>
    <row r="2136" spans="1:8" x14ac:dyDescent="0.25">
      <c r="A2136" s="90">
        <f>+A2068+0.01</f>
        <v>17.040000000000006</v>
      </c>
      <c r="B2136" s="41" t="s">
        <v>722</v>
      </c>
      <c r="C2136" s="2">
        <v>0.5</v>
      </c>
      <c r="D2136" s="2" t="s">
        <v>81</v>
      </c>
      <c r="E2136" s="46">
        <f>+$G$715</f>
        <v>2625.8107690215229</v>
      </c>
      <c r="F2136" s="46">
        <f>E2136*C2136</f>
        <v>1312.9053845107615</v>
      </c>
    </row>
    <row r="2137" spans="1:8" x14ac:dyDescent="0.25">
      <c r="B2137" s="41" t="s">
        <v>723</v>
      </c>
      <c r="C2137" s="2">
        <v>1</v>
      </c>
      <c r="D2137" s="2" t="s">
        <v>184</v>
      </c>
      <c r="E2137" s="46"/>
      <c r="F2137" s="46">
        <f>E2137*C2137</f>
        <v>0</v>
      </c>
    </row>
    <row r="2138" spans="1:8" s="46" customFormat="1" x14ac:dyDescent="0.25">
      <c r="A2138" s="2"/>
      <c r="B2138" s="41" t="s">
        <v>724</v>
      </c>
      <c r="C2138" s="2">
        <v>0.2</v>
      </c>
      <c r="D2138" s="46" t="s">
        <v>81</v>
      </c>
      <c r="E2138" s="46">
        <f>+$G$655</f>
        <v>1396.8325582137502</v>
      </c>
      <c r="F2138" s="46">
        <f>E2138*C2138</f>
        <v>279.36651164275003</v>
      </c>
    </row>
    <row r="2139" spans="1:8" ht="15.6" x14ac:dyDescent="0.3">
      <c r="A2139" s="46"/>
      <c r="B2139" s="41" t="s">
        <v>725</v>
      </c>
      <c r="C2139" s="2">
        <v>0.4</v>
      </c>
      <c r="D2139" s="2" t="s">
        <v>54</v>
      </c>
      <c r="E2139" s="46">
        <f>+$I$162</f>
        <v>972.40367041721527</v>
      </c>
      <c r="F2139" s="46">
        <f>E2139*C2139</f>
        <v>388.96146816688611</v>
      </c>
      <c r="G2139" s="39"/>
      <c r="H2139" s="59"/>
    </row>
    <row r="2140" spans="1:8" ht="15.6" x14ac:dyDescent="0.3">
      <c r="B2140" s="41"/>
      <c r="G2140" s="222">
        <f>SUM(F2136:F2139)</f>
        <v>1981.2333643203976</v>
      </c>
      <c r="H2140" s="59" t="s">
        <v>726</v>
      </c>
    </row>
    <row r="2141" spans="1:8" ht="15.6" x14ac:dyDescent="0.3">
      <c r="B2141" s="3" t="s">
        <v>727</v>
      </c>
    </row>
    <row r="2142" spans="1:8" ht="15.6" x14ac:dyDescent="0.3">
      <c r="A2142" s="98">
        <v>16</v>
      </c>
      <c r="B2142" s="41"/>
    </row>
    <row r="2143" spans="1:8" ht="15.6" x14ac:dyDescent="0.3">
      <c r="B2143" s="3" t="s">
        <v>728</v>
      </c>
      <c r="F2143" s="46"/>
    </row>
    <row r="2144" spans="1:8" x14ac:dyDescent="0.25">
      <c r="A2144" s="90">
        <f>0.01+$A$2142</f>
        <v>16.010000000000002</v>
      </c>
      <c r="B2144" s="41" t="s">
        <v>729</v>
      </c>
      <c r="C2144" s="223">
        <v>1</v>
      </c>
      <c r="D2144" s="2" t="s">
        <v>81</v>
      </c>
      <c r="E2144" s="40">
        <f>+'[1]MO MAY25'!$N$540</f>
        <v>2990</v>
      </c>
      <c r="F2144" s="46">
        <f>E2144*C2144</f>
        <v>2990</v>
      </c>
    </row>
    <row r="2145" spans="1:10" x14ac:dyDescent="0.25">
      <c r="B2145" s="71" t="s">
        <v>378</v>
      </c>
      <c r="C2145" s="223">
        <v>0.1</v>
      </c>
      <c r="D2145" s="2" t="s">
        <v>54</v>
      </c>
      <c r="E2145" s="46">
        <f>+$G$73</f>
        <v>11656.8915</v>
      </c>
      <c r="F2145" s="46">
        <f>E2145*C2145</f>
        <v>1165.6891499999999</v>
      </c>
    </row>
    <row r="2146" spans="1:10" x14ac:dyDescent="0.25">
      <c r="B2146" s="41" t="s">
        <v>538</v>
      </c>
      <c r="C2146" s="223">
        <v>1</v>
      </c>
      <c r="D2146" s="2" t="s">
        <v>81</v>
      </c>
      <c r="E2146" s="40">
        <f>+'[1]MO MAY25'!$N$434</f>
        <v>431.25</v>
      </c>
      <c r="F2146" s="46">
        <f>E2146*C2146</f>
        <v>431.25</v>
      </c>
      <c r="G2146" s="224"/>
      <c r="H2146" s="224"/>
    </row>
    <row r="2147" spans="1:10" ht="15.6" x14ac:dyDescent="0.3">
      <c r="B2147" s="2" t="s">
        <v>278</v>
      </c>
      <c r="C2147" s="223">
        <v>1</v>
      </c>
      <c r="D2147" s="2" t="s">
        <v>81</v>
      </c>
      <c r="E2147" s="40">
        <f>+'[1]MO MAY25'!$N$512</f>
        <v>155.25</v>
      </c>
      <c r="F2147" s="46">
        <f>+C2147*E2147</f>
        <v>155.25</v>
      </c>
      <c r="G2147" s="56">
        <f>SUM(F2144:F2147)</f>
        <v>4742.1891500000002</v>
      </c>
      <c r="H2147" s="56" t="s">
        <v>141</v>
      </c>
    </row>
    <row r="2148" spans="1:10" ht="15.6" x14ac:dyDescent="0.3">
      <c r="B2148" s="41"/>
      <c r="C2148" s="223"/>
      <c r="E2148" s="40"/>
      <c r="F2148" s="46"/>
      <c r="G2148" s="39"/>
      <c r="H2148" s="59"/>
    </row>
    <row r="2149" spans="1:10" ht="15.6" x14ac:dyDescent="0.3">
      <c r="B2149" s="3" t="s">
        <v>730</v>
      </c>
    </row>
    <row r="2150" spans="1:10" x14ac:dyDescent="0.25">
      <c r="A2150" s="90">
        <f>0.01+$A$2144</f>
        <v>16.020000000000003</v>
      </c>
      <c r="B2150" s="41" t="s">
        <v>729</v>
      </c>
      <c r="C2150" s="223">
        <v>1</v>
      </c>
      <c r="D2150" s="2" t="s">
        <v>81</v>
      </c>
      <c r="E2150" s="40">
        <f>+'[1]MO MAY25'!$N$541</f>
        <v>3220</v>
      </c>
      <c r="F2150" s="46">
        <f>E2150*C2150</f>
        <v>3220</v>
      </c>
    </row>
    <row r="2151" spans="1:10" x14ac:dyDescent="0.25">
      <c r="B2151" s="71" t="s">
        <v>378</v>
      </c>
      <c r="C2151" s="223">
        <v>0.1</v>
      </c>
      <c r="D2151" s="2" t="s">
        <v>54</v>
      </c>
      <c r="E2151" s="46">
        <f>+$G$73</f>
        <v>11656.8915</v>
      </c>
      <c r="F2151" s="46">
        <f>E2151*C2151</f>
        <v>1165.6891499999999</v>
      </c>
    </row>
    <row r="2152" spans="1:10" x14ac:dyDescent="0.25">
      <c r="B2152" s="41" t="s">
        <v>731</v>
      </c>
      <c r="C2152" s="223">
        <v>1</v>
      </c>
      <c r="D2152" s="2" t="s">
        <v>21</v>
      </c>
      <c r="E2152" s="46">
        <f>+$G$1097</f>
        <v>728.11892857142857</v>
      </c>
      <c r="F2152" s="46">
        <f>E2152*C2152</f>
        <v>728.11892857142857</v>
      </c>
    </row>
    <row r="2153" spans="1:10" x14ac:dyDescent="0.25">
      <c r="B2153" s="41" t="s">
        <v>538</v>
      </c>
      <c r="C2153" s="223">
        <v>1</v>
      </c>
      <c r="D2153" s="2" t="s">
        <v>81</v>
      </c>
      <c r="E2153" s="40">
        <f>+'[1]MO MAY25'!$N$434</f>
        <v>431.25</v>
      </c>
      <c r="F2153" s="46">
        <f>E2153*C2153</f>
        <v>431.25</v>
      </c>
    </row>
    <row r="2154" spans="1:10" x14ac:dyDescent="0.25">
      <c r="B2154" s="2" t="s">
        <v>278</v>
      </c>
      <c r="C2154" s="223">
        <v>1</v>
      </c>
      <c r="D2154" s="2" t="s">
        <v>81</v>
      </c>
      <c r="E2154" s="40">
        <f>+'[1]MO MAY25'!$N$512</f>
        <v>155.25</v>
      </c>
      <c r="F2154" s="46">
        <f>E2154*C2154</f>
        <v>155.25</v>
      </c>
    </row>
    <row r="2155" spans="1:10" ht="15.6" x14ac:dyDescent="0.3">
      <c r="B2155" s="41"/>
      <c r="G2155" s="56">
        <f>SUM(F2150:F2154)</f>
        <v>5700.3080785714283</v>
      </c>
      <c r="H2155" s="56" t="s">
        <v>141</v>
      </c>
    </row>
    <row r="2156" spans="1:10" ht="15.6" x14ac:dyDescent="0.3">
      <c r="B2156" s="3" t="s">
        <v>732</v>
      </c>
    </row>
    <row r="2157" spans="1:10" x14ac:dyDescent="0.25">
      <c r="A2157" s="90">
        <f>0.01+$A$2150</f>
        <v>16.030000000000005</v>
      </c>
      <c r="B2157" s="41" t="s">
        <v>729</v>
      </c>
      <c r="C2157" s="223">
        <v>1</v>
      </c>
      <c r="D2157" s="2" t="s">
        <v>81</v>
      </c>
      <c r="E2157" s="40">
        <f>+'[1]MO MAY25'!$N$542</f>
        <v>3565</v>
      </c>
      <c r="F2157" s="46">
        <f>E2157*C2157</f>
        <v>3565</v>
      </c>
    </row>
    <row r="2158" spans="1:10" x14ac:dyDescent="0.25">
      <c r="B2158" s="71" t="s">
        <v>378</v>
      </c>
      <c r="C2158" s="223">
        <v>0.1</v>
      </c>
      <c r="D2158" s="223" t="s">
        <v>54</v>
      </c>
      <c r="E2158" s="46">
        <f>+$G$73</f>
        <v>11656.8915</v>
      </c>
      <c r="F2158" s="46">
        <f>E2158*C2158</f>
        <v>1165.6891499999999</v>
      </c>
      <c r="J2158" s="2">
        <f>0.6*3.06</f>
        <v>1.8359999999999999</v>
      </c>
    </row>
    <row r="2159" spans="1:10" ht="15.6" x14ac:dyDescent="0.3">
      <c r="B2159" s="41" t="s">
        <v>538</v>
      </c>
      <c r="C2159" s="223">
        <v>1</v>
      </c>
      <c r="D2159" s="223" t="s">
        <v>81</v>
      </c>
      <c r="E2159" s="40">
        <f>+'[1]MO MAY25'!$N$434</f>
        <v>431.25</v>
      </c>
      <c r="F2159" s="46">
        <f>E2159*C2159</f>
        <v>431.25</v>
      </c>
      <c r="G2159" s="59"/>
      <c r="J2159" s="2">
        <f>14500/J2158</f>
        <v>7897.6034858387802</v>
      </c>
    </row>
    <row r="2160" spans="1:10" ht="15.6" x14ac:dyDescent="0.3">
      <c r="B2160" s="2" t="s">
        <v>278</v>
      </c>
      <c r="C2160" s="223">
        <v>1</v>
      </c>
      <c r="D2160" s="2" t="s">
        <v>81</v>
      </c>
      <c r="E2160" s="40">
        <f>+'[1]MO MAY25'!$N$512</f>
        <v>155.25</v>
      </c>
      <c r="F2160" s="46">
        <f>E2160*C2160</f>
        <v>155.25</v>
      </c>
      <c r="G2160" s="56">
        <f>SUM(F2157:F2160)</f>
        <v>5317.1891500000002</v>
      </c>
      <c r="H2160" s="56" t="s">
        <v>141</v>
      </c>
      <c r="J2160" s="2">
        <f>+J2159*3.6*0.8</f>
        <v>22745.098039215689</v>
      </c>
    </row>
    <row r="2161" spans="1:8" ht="15.6" x14ac:dyDescent="0.3">
      <c r="G2161" s="39"/>
      <c r="H2161" s="59"/>
    </row>
    <row r="2162" spans="1:8" ht="15.6" x14ac:dyDescent="0.3">
      <c r="B2162" s="3" t="s">
        <v>733</v>
      </c>
    </row>
    <row r="2163" spans="1:8" x14ac:dyDescent="0.25">
      <c r="A2163" s="90">
        <f>0.01+$A$2157</f>
        <v>16.040000000000006</v>
      </c>
      <c r="B2163" s="41" t="s">
        <v>729</v>
      </c>
      <c r="C2163" s="223">
        <v>1</v>
      </c>
      <c r="D2163" s="2" t="s">
        <v>150</v>
      </c>
      <c r="E2163" s="40">
        <f>+'[1]MO MAY25'!$N$543</f>
        <v>1610</v>
      </c>
      <c r="F2163" s="46">
        <f>E2163*C2163</f>
        <v>1610</v>
      </c>
    </row>
    <row r="2164" spans="1:8" x14ac:dyDescent="0.25">
      <c r="B2164" s="71" t="s">
        <v>378</v>
      </c>
      <c r="C2164" s="223"/>
      <c r="D2164" s="2" t="s">
        <v>54</v>
      </c>
      <c r="E2164" s="46">
        <f>+$G$73</f>
        <v>11656.8915</v>
      </c>
      <c r="F2164" s="46">
        <f>E2164*C2164</f>
        <v>0</v>
      </c>
    </row>
    <row r="2165" spans="1:8" x14ac:dyDescent="0.25">
      <c r="B2165" s="41" t="s">
        <v>538</v>
      </c>
      <c r="C2165" s="223">
        <v>1</v>
      </c>
      <c r="D2165" s="2" t="s">
        <v>150</v>
      </c>
      <c r="E2165" s="40">
        <f>+'[1]MO MAY25'!$N$434</f>
        <v>431.25</v>
      </c>
      <c r="F2165" s="46">
        <f>E2165*C2165</f>
        <v>431.25</v>
      </c>
    </row>
    <row r="2166" spans="1:8" x14ac:dyDescent="0.25">
      <c r="B2166" s="2" t="s">
        <v>278</v>
      </c>
      <c r="C2166" s="223">
        <v>1</v>
      </c>
      <c r="D2166" s="2" t="s">
        <v>81</v>
      </c>
      <c r="E2166" s="40">
        <f>+'[1]MO MAY25'!$N$512</f>
        <v>155.25</v>
      </c>
      <c r="F2166" s="46">
        <f>E2166*C2166</f>
        <v>155.25</v>
      </c>
    </row>
    <row r="2167" spans="1:8" ht="15.6" x14ac:dyDescent="0.3">
      <c r="B2167" s="41"/>
      <c r="G2167" s="56">
        <f>SUM(F2163:F2166)</f>
        <v>2196.5</v>
      </c>
      <c r="H2167" s="56" t="s">
        <v>19</v>
      </c>
    </row>
    <row r="2168" spans="1:8" ht="15.6" x14ac:dyDescent="0.3">
      <c r="B2168" s="3" t="s">
        <v>734</v>
      </c>
    </row>
    <row r="2169" spans="1:8" x14ac:dyDescent="0.25">
      <c r="A2169" s="90">
        <f>0.01+$A$2163</f>
        <v>16.050000000000008</v>
      </c>
      <c r="B2169" s="41" t="s">
        <v>735</v>
      </c>
      <c r="C2169" s="223">
        <v>1</v>
      </c>
      <c r="D2169" s="2" t="s">
        <v>150</v>
      </c>
      <c r="E2169" s="40">
        <f>+'[1]MO MAY25'!N545</f>
        <v>287.5</v>
      </c>
      <c r="F2169" s="46">
        <f>E2169*C2169</f>
        <v>287.5</v>
      </c>
    </row>
    <row r="2170" spans="1:8" x14ac:dyDescent="0.25">
      <c r="A2170" s="90"/>
      <c r="B2170" s="2" t="s">
        <v>278</v>
      </c>
      <c r="C2170" s="223">
        <v>1</v>
      </c>
      <c r="D2170" s="41" t="s">
        <v>81</v>
      </c>
      <c r="E2170" s="40">
        <f>+'[1]MO MAY25'!$N$512</f>
        <v>155.25</v>
      </c>
      <c r="F2170" s="46">
        <f>E2170*C2170</f>
        <v>155.25</v>
      </c>
    </row>
    <row r="2171" spans="1:8" ht="15.6" x14ac:dyDescent="0.3">
      <c r="G2171" s="56">
        <f>SUM(F2169:F2170)</f>
        <v>442.75</v>
      </c>
      <c r="H2171" s="56" t="s">
        <v>19</v>
      </c>
    </row>
    <row r="2172" spans="1:8" ht="15.6" x14ac:dyDescent="0.3">
      <c r="B2172" s="3" t="s">
        <v>736</v>
      </c>
    </row>
    <row r="2173" spans="1:8" x14ac:dyDescent="0.25">
      <c r="A2173" s="90">
        <f>0.01+$A$2169</f>
        <v>16.060000000000009</v>
      </c>
      <c r="B2173" s="41" t="s">
        <v>737</v>
      </c>
      <c r="C2173" s="223">
        <v>1</v>
      </c>
      <c r="D2173" s="2" t="s">
        <v>150</v>
      </c>
      <c r="E2173" s="40">
        <f>+(46.4*57.85)*1.18</f>
        <v>3167.4031999999997</v>
      </c>
      <c r="F2173" s="46">
        <f>E2173*C2173</f>
        <v>3167.4031999999997</v>
      </c>
    </row>
    <row r="2174" spans="1:8" x14ac:dyDescent="0.25">
      <c r="B2174" s="41" t="s">
        <v>378</v>
      </c>
      <c r="C2174" s="223">
        <v>0.1</v>
      </c>
      <c r="D2174" s="2" t="s">
        <v>54</v>
      </c>
      <c r="E2174" s="46">
        <f>+$G$73</f>
        <v>11656.8915</v>
      </c>
      <c r="F2174" s="46">
        <f>E2174*C2174</f>
        <v>1165.6891499999999</v>
      </c>
    </row>
    <row r="2175" spans="1:8" x14ac:dyDescent="0.25">
      <c r="B2175" s="41" t="s">
        <v>538</v>
      </c>
      <c r="C2175" s="223">
        <v>1</v>
      </c>
      <c r="D2175" s="2" t="s">
        <v>150</v>
      </c>
      <c r="E2175" s="40">
        <f>+'[1]MO MAY25'!$N$434</f>
        <v>431.25</v>
      </c>
      <c r="F2175" s="46">
        <f>E2175*C2175</f>
        <v>431.25</v>
      </c>
    </row>
    <row r="2176" spans="1:8" ht="15.6" x14ac:dyDescent="0.3">
      <c r="B2176" s="2" t="s">
        <v>278</v>
      </c>
      <c r="C2176" s="223">
        <v>1</v>
      </c>
      <c r="D2176" s="2" t="s">
        <v>81</v>
      </c>
      <c r="E2176" s="40">
        <f>+'[1]MO MAY25'!$N$512</f>
        <v>155.25</v>
      </c>
      <c r="F2176" s="46">
        <f>E2176*C2176</f>
        <v>155.25</v>
      </c>
      <c r="G2176" s="56">
        <f>SUM(F2173:F2176)</f>
        <v>4919.5923499999999</v>
      </c>
      <c r="H2176" s="56" t="s">
        <v>19</v>
      </c>
    </row>
    <row r="2177" spans="1:8" ht="15.6" x14ac:dyDescent="0.3">
      <c r="B2177" s="41"/>
      <c r="G2177" s="39"/>
      <c r="H2177" s="59"/>
    </row>
    <row r="2178" spans="1:8" ht="16.5" customHeight="1" x14ac:dyDescent="0.3">
      <c r="B2178" s="3" t="s">
        <v>738</v>
      </c>
    </row>
    <row r="2179" spans="1:8" ht="16.5" customHeight="1" x14ac:dyDescent="0.25">
      <c r="A2179" s="90">
        <f>+A2173+0.01</f>
        <v>16.070000000000011</v>
      </c>
      <c r="B2179" s="223" t="s">
        <v>739</v>
      </c>
      <c r="C2179" s="223">
        <v>1</v>
      </c>
      <c r="D2179" s="2" t="s">
        <v>21</v>
      </c>
      <c r="E2179" s="46">
        <f>+'[1]MO MAY25'!N540*1.1</f>
        <v>3289.0000000000005</v>
      </c>
      <c r="F2179" s="46">
        <f>+E2179*C2179</f>
        <v>3289.0000000000005</v>
      </c>
    </row>
    <row r="2180" spans="1:8" ht="16.5" customHeight="1" x14ac:dyDescent="0.25">
      <c r="B2180" s="223" t="s">
        <v>740</v>
      </c>
      <c r="C2180" s="223">
        <v>0.1</v>
      </c>
      <c r="D2180" s="2" t="s">
        <v>54</v>
      </c>
      <c r="E2180" s="46">
        <f>+$G$73</f>
        <v>11656.8915</v>
      </c>
      <c r="F2180" s="46">
        <f>+E2180*C2180</f>
        <v>1165.6891499999999</v>
      </c>
    </row>
    <row r="2181" spans="1:8" x14ac:dyDescent="0.25">
      <c r="B2181" s="2" t="s">
        <v>538</v>
      </c>
      <c r="C2181" s="223">
        <v>1</v>
      </c>
      <c r="D2181" s="2" t="s">
        <v>81</v>
      </c>
      <c r="E2181" s="40">
        <f>+'[1]MO MAY25'!$N$434</f>
        <v>431.25</v>
      </c>
      <c r="F2181" s="40">
        <f>+C2181*E2181</f>
        <v>431.25</v>
      </c>
    </row>
    <row r="2182" spans="1:8" x14ac:dyDescent="0.25">
      <c r="B2182" s="2" t="s">
        <v>278</v>
      </c>
      <c r="C2182" s="223">
        <v>3</v>
      </c>
      <c r="D2182" s="2" t="s">
        <v>81</v>
      </c>
      <c r="E2182" s="40">
        <f>+'[1]MO MAY25'!$N$512</f>
        <v>155.25</v>
      </c>
      <c r="F2182" s="40">
        <f>+C2182*E2182</f>
        <v>465.75</v>
      </c>
    </row>
    <row r="2183" spans="1:8" ht="15.6" x14ac:dyDescent="0.3">
      <c r="G2183" s="56">
        <f>SUM(F2179:F2182)</f>
        <v>5351.6891500000002</v>
      </c>
      <c r="H2183" s="56" t="s">
        <v>141</v>
      </c>
    </row>
    <row r="2184" spans="1:8" x14ac:dyDescent="0.25">
      <c r="B2184" s="41"/>
    </row>
    <row r="2185" spans="1:8" ht="15.6" x14ac:dyDescent="0.3">
      <c r="B2185" s="3" t="s">
        <v>741</v>
      </c>
    </row>
    <row r="2186" spans="1:8" x14ac:dyDescent="0.25">
      <c r="A2186" s="2">
        <v>17.010000000000002</v>
      </c>
      <c r="B2186" s="41" t="s">
        <v>742</v>
      </c>
      <c r="C2186" s="2">
        <v>2</v>
      </c>
      <c r="D2186" s="2" t="s">
        <v>150</v>
      </c>
      <c r="E2186" s="40">
        <f>+'[1]MO MAY25'!$N$300</f>
        <v>920</v>
      </c>
      <c r="F2186" s="40">
        <f t="shared" ref="F2186:F2188" si="820">+C2186*E2186</f>
        <v>1840</v>
      </c>
    </row>
    <row r="2187" spans="1:8" x14ac:dyDescent="0.25">
      <c r="B2187" s="2" t="s">
        <v>278</v>
      </c>
      <c r="C2187" s="2">
        <v>2</v>
      </c>
      <c r="D2187" s="2" t="s">
        <v>150</v>
      </c>
      <c r="E2187" s="40">
        <f>+'[1]MO MAY25'!$N$512</f>
        <v>155.25</v>
      </c>
      <c r="F2187" s="40">
        <f t="shared" si="820"/>
        <v>310.5</v>
      </c>
    </row>
    <row r="2188" spans="1:8" x14ac:dyDescent="0.25">
      <c r="B2188" s="41" t="s">
        <v>743</v>
      </c>
      <c r="C2188" s="2">
        <v>1</v>
      </c>
      <c r="D2188" s="2" t="s">
        <v>150</v>
      </c>
      <c r="E2188" s="2">
        <f>+'[1]Lista de precios MAY25'!E195*3.28/3</f>
        <v>153.06141866666664</v>
      </c>
      <c r="F2188" s="40">
        <f t="shared" si="820"/>
        <v>153.06141866666664</v>
      </c>
    </row>
    <row r="2189" spans="1:8" ht="15.6" x14ac:dyDescent="0.3">
      <c r="B2189" s="41"/>
      <c r="G2189" s="56">
        <f>SUM(F2185:F2188)</f>
        <v>2303.5614186666667</v>
      </c>
      <c r="H2189" s="56" t="s">
        <v>141</v>
      </c>
    </row>
    <row r="2190" spans="1:8" ht="15.6" x14ac:dyDescent="0.3">
      <c r="B2190" s="3" t="s">
        <v>744</v>
      </c>
      <c r="E2190" s="46"/>
      <c r="G2190" s="39"/>
      <c r="H2190" s="59"/>
    </row>
    <row r="2191" spans="1:8" x14ac:dyDescent="0.25">
      <c r="A2191" s="90">
        <f>+A2186+0.01</f>
        <v>17.020000000000003</v>
      </c>
      <c r="B2191" s="41" t="s">
        <v>723</v>
      </c>
      <c r="C2191" s="2">
        <v>1.2</v>
      </c>
      <c r="D2191" s="2" t="s">
        <v>184</v>
      </c>
      <c r="E2191" s="46">
        <f>+'[1]MO MAY25'!$N$605</f>
        <v>690</v>
      </c>
      <c r="F2191" s="46">
        <f>E2191*C2191</f>
        <v>828</v>
      </c>
    </row>
    <row r="2192" spans="1:8" s="46" customFormat="1" x14ac:dyDescent="0.25">
      <c r="A2192" s="2"/>
      <c r="B2192" s="41" t="s">
        <v>724</v>
      </c>
      <c r="C2192" s="2">
        <v>0.2</v>
      </c>
      <c r="D2192" s="46" t="s">
        <v>81</v>
      </c>
      <c r="E2192" s="46">
        <f>+$G$655</f>
        <v>1396.8325582137502</v>
      </c>
      <c r="F2192" s="46">
        <f>E2192*C2192</f>
        <v>279.36651164275003</v>
      </c>
    </row>
    <row r="2193" spans="1:10" ht="15.6" x14ac:dyDescent="0.3">
      <c r="A2193" s="46"/>
      <c r="B2193" s="41" t="s">
        <v>725</v>
      </c>
      <c r="C2193" s="2">
        <v>0.4</v>
      </c>
      <c r="D2193" s="2" t="s">
        <v>54</v>
      </c>
      <c r="E2193" s="46">
        <f>+$I$162</f>
        <v>972.40367041721527</v>
      </c>
      <c r="F2193" s="46">
        <f>E2193*C2193</f>
        <v>388.96146816688611</v>
      </c>
      <c r="G2193" s="39"/>
      <c r="H2193" s="59"/>
    </row>
    <row r="2194" spans="1:10" ht="15.6" x14ac:dyDescent="0.3">
      <c r="A2194" s="46"/>
      <c r="B2194" s="41" t="s">
        <v>745</v>
      </c>
      <c r="C2194" s="2">
        <v>0.4</v>
      </c>
      <c r="D2194" s="2" t="s">
        <v>81</v>
      </c>
      <c r="E2194" s="46"/>
      <c r="F2194" s="46">
        <f>E2194*C2194</f>
        <v>0</v>
      </c>
      <c r="G2194" s="39"/>
      <c r="H2194" s="59"/>
    </row>
    <row r="2195" spans="1:10" ht="15.6" x14ac:dyDescent="0.3">
      <c r="B2195" s="41"/>
      <c r="G2195" s="222">
        <f>SUM(F2191:F2193)</f>
        <v>1496.3279798096362</v>
      </c>
      <c r="H2195" s="59" t="s">
        <v>726</v>
      </c>
      <c r="J2195" s="2">
        <f>1.2*0.5</f>
        <v>0.6</v>
      </c>
    </row>
    <row r="2196" spans="1:10" ht="15.6" x14ac:dyDescent="0.3">
      <c r="A2196" s="99">
        <f>+A2268+0.01</f>
        <v>0.01</v>
      </c>
      <c r="B2196" s="104" t="s">
        <v>746</v>
      </c>
      <c r="C2196" s="8"/>
      <c r="D2196" s="97"/>
      <c r="E2196" s="46"/>
      <c r="F2196" s="8"/>
      <c r="G2196" s="101"/>
      <c r="H2196" s="97"/>
      <c r="I2196" s="97"/>
      <c r="J2196" s="40"/>
    </row>
    <row r="2197" spans="1:10" x14ac:dyDescent="0.25">
      <c r="A2197" s="99"/>
      <c r="B2197" s="95" t="s">
        <v>197</v>
      </c>
      <c r="C2197" s="53">
        <f>8.35*0.25</f>
        <v>2.0874999999999999</v>
      </c>
      <c r="D2197" s="95" t="s">
        <v>54</v>
      </c>
      <c r="E2197" s="54">
        <f>+'[1]Lista de precios MAY25'!$E$45</f>
        <v>9449.7350000000006</v>
      </c>
      <c r="F2197" s="53">
        <f>ROUND((C2197*E2197),2)</f>
        <v>19726.32</v>
      </c>
      <c r="G2197" s="101"/>
      <c r="H2197" s="97"/>
      <c r="I2197" s="97"/>
    </row>
    <row r="2198" spans="1:10" x14ac:dyDescent="0.25">
      <c r="A2198" s="99"/>
      <c r="B2198" s="95" t="s">
        <v>202</v>
      </c>
      <c r="C2198" s="53">
        <f>12.95/13.33</f>
        <v>0.97149287321830446</v>
      </c>
      <c r="D2198" s="95" t="s">
        <v>147</v>
      </c>
      <c r="E2198" s="54">
        <f>+'[1]Lista de precios MAY25'!$E$9</f>
        <v>3221.6681776971895</v>
      </c>
      <c r="F2198" s="53">
        <f>ROUND((C2198*E2198),2)</f>
        <v>3129.83</v>
      </c>
      <c r="G2198" s="101"/>
      <c r="H2198" s="97"/>
      <c r="I2198" s="97"/>
    </row>
    <row r="2199" spans="1:10" x14ac:dyDescent="0.25">
      <c r="A2199" s="99"/>
      <c r="B2199" s="95" t="s">
        <v>148</v>
      </c>
      <c r="C2199" s="53">
        <f>SUM(C2198:C2198)*2*1.5</f>
        <v>2.9144786196549135</v>
      </c>
      <c r="D2199" s="95" t="s">
        <v>82</v>
      </c>
      <c r="E2199" s="54">
        <f>+'[1]Lista de precios MAY25'!$E$15</f>
        <v>79.001000000000005</v>
      </c>
      <c r="F2199" s="53">
        <f>E2199*C2199</f>
        <v>230.24672543135785</v>
      </c>
      <c r="G2199" s="101"/>
      <c r="H2199" s="97"/>
      <c r="I2199" s="97"/>
    </row>
    <row r="2200" spans="1:10" x14ac:dyDescent="0.25">
      <c r="A2200" s="99"/>
      <c r="B2200" s="95" t="s">
        <v>67</v>
      </c>
      <c r="C2200" s="53">
        <v>10</v>
      </c>
      <c r="D2200" s="95" t="s">
        <v>34</v>
      </c>
      <c r="E2200" s="46">
        <f>SUM(F2197:F2199)</f>
        <v>23086.396725431361</v>
      </c>
      <c r="F2200" s="53">
        <f>E2200*C2200/100</f>
        <v>2308.6396725431359</v>
      </c>
      <c r="G2200" s="101"/>
      <c r="H2200" s="97"/>
      <c r="I2200" s="97"/>
    </row>
    <row r="2201" spans="1:10" x14ac:dyDescent="0.25">
      <c r="A2201" s="99"/>
      <c r="B2201" s="95" t="s">
        <v>168</v>
      </c>
      <c r="C2201" s="53">
        <f>1/0.13</f>
        <v>7.6923076923076916</v>
      </c>
      <c r="D2201" s="95" t="s">
        <v>81</v>
      </c>
      <c r="E2201" s="54">
        <f>+'[1]MO MAY25'!$N$94*1.1</f>
        <v>297.27500000000003</v>
      </c>
      <c r="F2201" s="53">
        <f>E2201*C2201</f>
        <v>2286.7307692307695</v>
      </c>
      <c r="G2201" s="101"/>
      <c r="H2201" s="97"/>
      <c r="I2201" s="97"/>
      <c r="J2201" s="40"/>
    </row>
    <row r="2202" spans="1:10" x14ac:dyDescent="0.25">
      <c r="A2202" s="99"/>
      <c r="B2202" s="95" t="s">
        <v>151</v>
      </c>
      <c r="C2202" s="8">
        <v>1</v>
      </c>
      <c r="D2202" s="97" t="s">
        <v>54</v>
      </c>
      <c r="E2202" s="46">
        <f>20*1.2</f>
        <v>24</v>
      </c>
      <c r="F2202" s="53">
        <f>E2202*C2202</f>
        <v>24</v>
      </c>
      <c r="G2202" s="101"/>
      <c r="H2202" s="97"/>
      <c r="I2202" s="97"/>
    </row>
    <row r="2203" spans="1:10" x14ac:dyDescent="0.25">
      <c r="A2203" s="99"/>
      <c r="B2203" s="95" t="s">
        <v>203</v>
      </c>
      <c r="C2203" s="53">
        <f>+C2201</f>
        <v>7.6923076923076916</v>
      </c>
      <c r="D2203" s="95" t="s">
        <v>81</v>
      </c>
      <c r="E2203" s="54">
        <f>+'[1]MO MAY25'!$N$506</f>
        <v>977.5</v>
      </c>
      <c r="F2203" s="53">
        <f>E2203*C2203</f>
        <v>7519.2307692307686</v>
      </c>
      <c r="G2203" s="102"/>
      <c r="H2203" s="97"/>
      <c r="I2203" s="97"/>
    </row>
    <row r="2204" spans="1:10" ht="15.6" x14ac:dyDescent="0.3">
      <c r="A2204" s="99"/>
      <c r="B2204" s="95"/>
      <c r="C2204" s="8" t="s">
        <v>126</v>
      </c>
      <c r="D2204" s="97"/>
      <c r="E2204" s="46"/>
      <c r="F2204" s="8"/>
      <c r="G2204" s="39">
        <f>SUM(F2197:F2203)</f>
        <v>35224.997936436033</v>
      </c>
      <c r="H2204" s="3" t="s">
        <v>615</v>
      </c>
      <c r="I2204" s="97"/>
    </row>
    <row r="2205" spans="1:10" x14ac:dyDescent="0.25">
      <c r="B2205" s="41"/>
    </row>
    <row r="2206" spans="1:10" x14ac:dyDescent="0.25">
      <c r="B2206" s="41"/>
    </row>
    <row r="2207" spans="1:10" x14ac:dyDescent="0.25">
      <c r="B2207" s="41"/>
    </row>
    <row r="2208" spans="1:10" x14ac:dyDescent="0.25">
      <c r="B2208" s="41"/>
    </row>
    <row r="2209" spans="2:9" x14ac:dyDescent="0.25">
      <c r="B2209" s="41"/>
    </row>
    <row r="2210" spans="2:9" x14ac:dyDescent="0.25">
      <c r="B2210" s="41"/>
    </row>
    <row r="2211" spans="2:9" x14ac:dyDescent="0.25">
      <c r="B2211" s="41"/>
    </row>
    <row r="2212" spans="2:9" x14ac:dyDescent="0.25">
      <c r="B2212" s="41"/>
    </row>
    <row r="2213" spans="2:9" ht="15.6" x14ac:dyDescent="0.3">
      <c r="B2213" s="3" t="s">
        <v>747</v>
      </c>
      <c r="F2213" s="40">
        <f t="shared" ref="F2213:F2220" si="821">+C2213*E2213</f>
        <v>0</v>
      </c>
    </row>
    <row r="2214" spans="2:9" x14ac:dyDescent="0.25">
      <c r="B2214" s="2" t="s">
        <v>748</v>
      </c>
      <c r="C2214" s="2">
        <v>10</v>
      </c>
      <c r="D2214" s="2" t="s">
        <v>159</v>
      </c>
      <c r="E2214" s="46">
        <f>2550*1.18*1.1</f>
        <v>3309.9</v>
      </c>
      <c r="F2214" s="40">
        <f t="shared" si="821"/>
        <v>33099</v>
      </c>
    </row>
    <row r="2215" spans="2:9" x14ac:dyDescent="0.25">
      <c r="B2215" s="2" t="s">
        <v>749</v>
      </c>
      <c r="C2215" s="2">
        <v>10</v>
      </c>
      <c r="D2215" s="2" t="s">
        <v>159</v>
      </c>
      <c r="E2215" s="46">
        <v>1900</v>
      </c>
      <c r="F2215" s="40">
        <f t="shared" si="821"/>
        <v>19000</v>
      </c>
    </row>
    <row r="2216" spans="2:9" x14ac:dyDescent="0.25">
      <c r="B2216" s="41" t="s">
        <v>750</v>
      </c>
      <c r="C2216" s="2">
        <f>2+1+1+2</f>
        <v>6</v>
      </c>
      <c r="D2216" s="2" t="s">
        <v>159</v>
      </c>
      <c r="E2216" s="2">
        <f>6*5.27*1.17*1.018*57.5*1.05</f>
        <v>2273.8020259500004</v>
      </c>
      <c r="F2216" s="40">
        <f t="shared" si="821"/>
        <v>13642.812155700001</v>
      </c>
    </row>
    <row r="2217" spans="2:9" x14ac:dyDescent="0.25">
      <c r="B2217" s="41" t="s">
        <v>751</v>
      </c>
      <c r="C2217" s="2">
        <v>4</v>
      </c>
      <c r="D2217" s="2" t="s">
        <v>159</v>
      </c>
      <c r="E2217" s="2">
        <f>+E2216</f>
        <v>2273.8020259500004</v>
      </c>
      <c r="F2217" s="40">
        <f t="shared" si="821"/>
        <v>9095.2081038000015</v>
      </c>
    </row>
    <row r="2218" spans="2:9" x14ac:dyDescent="0.25">
      <c r="B2218" s="41" t="s">
        <v>752</v>
      </c>
      <c r="C2218" s="2">
        <v>2</v>
      </c>
      <c r="D2218" s="2" t="s">
        <v>159</v>
      </c>
      <c r="E2218" s="2">
        <f t="shared" ref="E2218:E2220" si="822">+E2217</f>
        <v>2273.8020259500004</v>
      </c>
      <c r="F2218" s="40">
        <f t="shared" si="821"/>
        <v>4547.6040519000007</v>
      </c>
    </row>
    <row r="2219" spans="2:9" x14ac:dyDescent="0.25">
      <c r="B2219" s="41" t="s">
        <v>753</v>
      </c>
      <c r="C2219" s="2">
        <v>1</v>
      </c>
      <c r="D2219" s="2" t="s">
        <v>159</v>
      </c>
      <c r="E2219" s="2">
        <f t="shared" si="822"/>
        <v>2273.8020259500004</v>
      </c>
      <c r="F2219" s="40">
        <f t="shared" si="821"/>
        <v>2273.8020259500004</v>
      </c>
    </row>
    <row r="2220" spans="2:9" x14ac:dyDescent="0.25">
      <c r="B2220" s="41" t="s">
        <v>754</v>
      </c>
      <c r="C2220" s="2">
        <v>1</v>
      </c>
      <c r="D2220" s="2" t="s">
        <v>159</v>
      </c>
      <c r="E2220" s="2">
        <f t="shared" si="822"/>
        <v>2273.8020259500004</v>
      </c>
      <c r="F2220" s="40">
        <f t="shared" si="821"/>
        <v>2273.8020259500004</v>
      </c>
      <c r="I2220" s="2">
        <f>+(1.23+2.5)*0.6</f>
        <v>2.238</v>
      </c>
    </row>
    <row r="2221" spans="2:9" ht="15.6" x14ac:dyDescent="0.3">
      <c r="B2221" s="41"/>
      <c r="G2221" s="47">
        <f>SUM(F2214:F2220)</f>
        <v>83932.228363300004</v>
      </c>
      <c r="I2221" s="2">
        <f>13118.18/I2220</f>
        <v>5861.5638963360143</v>
      </c>
    </row>
    <row r="2222" spans="2:9" x14ac:dyDescent="0.25">
      <c r="B2222" s="41"/>
    </row>
    <row r="2223" spans="2:9" x14ac:dyDescent="0.25">
      <c r="B2223" s="41"/>
    </row>
    <row r="2224" spans="2:9" x14ac:dyDescent="0.25">
      <c r="B2224" s="41" t="s">
        <v>755</v>
      </c>
      <c r="H2224" s="2">
        <f>+G2226*1.8*0.6+2.8</f>
        <v>24.397656250000001</v>
      </c>
    </row>
    <row r="2225" spans="2:10" x14ac:dyDescent="0.25">
      <c r="B2225" s="41"/>
    </row>
    <row r="2226" spans="2:10" x14ac:dyDescent="0.25">
      <c r="B2226" s="41" t="s">
        <v>756</v>
      </c>
      <c r="C2226" s="2">
        <v>1</v>
      </c>
      <c r="D2226" s="2" t="s">
        <v>159</v>
      </c>
      <c r="E2226" s="46">
        <f>14500*1.18*1.1</f>
        <v>18821</v>
      </c>
      <c r="F2226" s="40">
        <f t="shared" ref="F2226:F2230" si="823">+C2226*E2226</f>
        <v>18821</v>
      </c>
      <c r="G2226" s="2">
        <f>460.75/23.04</f>
        <v>19.997829861111111</v>
      </c>
    </row>
    <row r="2227" spans="2:10" x14ac:dyDescent="0.25">
      <c r="B2227" s="41" t="s">
        <v>757</v>
      </c>
      <c r="C2227" s="2">
        <v>1</v>
      </c>
      <c r="D2227" s="2" t="s">
        <v>159</v>
      </c>
      <c r="E2227" s="46">
        <f>+'[1]MO MAY25'!$N$616*1.5</f>
        <v>6900</v>
      </c>
      <c r="F2227" s="40">
        <f t="shared" si="823"/>
        <v>6900</v>
      </c>
      <c r="H2227" s="2">
        <f>+G2226*59.15</f>
        <v>1182.8716362847222</v>
      </c>
      <c r="J2227" s="2">
        <f>1.8*0.6</f>
        <v>1.08</v>
      </c>
    </row>
    <row r="2228" spans="2:10" x14ac:dyDescent="0.25">
      <c r="B2228" s="41" t="s">
        <v>695</v>
      </c>
      <c r="C2228" s="2">
        <v>2</v>
      </c>
      <c r="D2228" s="2" t="s">
        <v>159</v>
      </c>
      <c r="E2228" s="46">
        <f>+'[1]MO MAY25'!$N$619*1.1</f>
        <v>1960.7500000000002</v>
      </c>
      <c r="F2228" s="40">
        <f t="shared" si="823"/>
        <v>3921.5000000000005</v>
      </c>
    </row>
    <row r="2229" spans="2:10" x14ac:dyDescent="0.25">
      <c r="B2229" s="41" t="s">
        <v>758</v>
      </c>
      <c r="C2229" s="2">
        <v>2</v>
      </c>
      <c r="D2229" s="2" t="s">
        <v>159</v>
      </c>
      <c r="E2229" s="46">
        <f>+'[1]MO MAY25'!$N$621</f>
        <v>2300</v>
      </c>
      <c r="F2229" s="40">
        <f t="shared" si="823"/>
        <v>4600</v>
      </c>
    </row>
    <row r="2230" spans="2:10" x14ac:dyDescent="0.25">
      <c r="B2230" s="41" t="s">
        <v>759</v>
      </c>
      <c r="C2230" s="2">
        <v>1</v>
      </c>
      <c r="D2230" s="2" t="s">
        <v>159</v>
      </c>
      <c r="E2230" s="46">
        <f>+'[1]MO MAY25'!$N$622*1.2</f>
        <v>4554</v>
      </c>
      <c r="F2230" s="40">
        <f t="shared" si="823"/>
        <v>4554</v>
      </c>
    </row>
    <row r="2231" spans="2:10" ht="14.25" customHeight="1" x14ac:dyDescent="0.25">
      <c r="B2231" s="41"/>
      <c r="E2231" s="46"/>
      <c r="F2231" s="40"/>
      <c r="I2231" s="2">
        <f>460.75/23.04</f>
        <v>19.997829861111111</v>
      </c>
    </row>
    <row r="2232" spans="2:10" ht="15.6" x14ac:dyDescent="0.3">
      <c r="B2232" s="41"/>
      <c r="G2232" s="225">
        <f>SUM(F2226:F2231)</f>
        <v>38796.5</v>
      </c>
      <c r="I2232" s="2">
        <f>460.75/1.08</f>
        <v>426.62037037037032</v>
      </c>
    </row>
    <row r="2233" spans="2:10" x14ac:dyDescent="0.25">
      <c r="B2233" s="41" t="s">
        <v>760</v>
      </c>
      <c r="C2233" s="2">
        <v>1</v>
      </c>
      <c r="D2233" s="2" t="s">
        <v>159</v>
      </c>
      <c r="E2233" s="46">
        <f>(13118.18/I2237)*1.18*1.1</f>
        <v>5912.2908472222225</v>
      </c>
      <c r="F2233" s="40">
        <f t="shared" ref="F2233:F2237" si="824">+C2233*E2233</f>
        <v>5912.2908472222225</v>
      </c>
    </row>
    <row r="2234" spans="2:10" x14ac:dyDescent="0.25">
      <c r="B2234" s="41" t="s">
        <v>757</v>
      </c>
      <c r="C2234" s="2">
        <v>1</v>
      </c>
      <c r="D2234" s="2" t="s">
        <v>159</v>
      </c>
      <c r="E2234" s="46">
        <f>95*1.18*59.15</f>
        <v>6630.7149999999992</v>
      </c>
      <c r="F2234" s="40">
        <f t="shared" si="824"/>
        <v>6630.7149999999992</v>
      </c>
    </row>
    <row r="2235" spans="2:10" x14ac:dyDescent="0.25">
      <c r="B2235" s="41" t="s">
        <v>695</v>
      </c>
      <c r="C2235" s="2">
        <v>1</v>
      </c>
      <c r="D2235" s="2" t="s">
        <v>159</v>
      </c>
      <c r="E2235" s="46">
        <f>60*1.18*59.15</f>
        <v>4187.82</v>
      </c>
      <c r="F2235" s="40">
        <f t="shared" si="824"/>
        <v>4187.82</v>
      </c>
      <c r="I2235" s="2" t="s">
        <v>761</v>
      </c>
    </row>
    <row r="2236" spans="2:10" x14ac:dyDescent="0.25">
      <c r="B2236" s="41" t="s">
        <v>758</v>
      </c>
      <c r="C2236" s="2">
        <v>2</v>
      </c>
      <c r="D2236" s="2" t="s">
        <v>159</v>
      </c>
      <c r="E2236" s="46">
        <f>+'[1]MO MAY25'!$N$621</f>
        <v>2300</v>
      </c>
      <c r="F2236" s="40">
        <f t="shared" si="824"/>
        <v>4600</v>
      </c>
      <c r="I2236" s="2">
        <f>2.3*0.6+2.5</f>
        <v>3.88</v>
      </c>
    </row>
    <row r="2237" spans="2:10" x14ac:dyDescent="0.25">
      <c r="B2237" s="41" t="s">
        <v>759</v>
      </c>
      <c r="C2237" s="2">
        <v>1</v>
      </c>
      <c r="D2237" s="2" t="s">
        <v>159</v>
      </c>
      <c r="E2237" s="46">
        <f>65*1.18*59.15</f>
        <v>4536.8050000000003</v>
      </c>
      <c r="F2237" s="40">
        <f t="shared" si="824"/>
        <v>4536.8050000000003</v>
      </c>
      <c r="I2237" s="2">
        <f>4.8*0.6</f>
        <v>2.88</v>
      </c>
    </row>
    <row r="2238" spans="2:10" ht="14.25" customHeight="1" x14ac:dyDescent="0.3">
      <c r="B2238" s="41"/>
      <c r="E2238" s="46"/>
      <c r="G2238" s="225">
        <f>SUM(F2233:F2237)</f>
        <v>25867.630847222223</v>
      </c>
      <c r="I2238" s="2">
        <f>13118.18/I2237</f>
        <v>4554.9236111111113</v>
      </c>
    </row>
    <row r="2239" spans="2:10" x14ac:dyDescent="0.25">
      <c r="B2239" s="41" t="s">
        <v>762</v>
      </c>
      <c r="C2239" s="2">
        <v>1</v>
      </c>
      <c r="D2239" s="2" t="s">
        <v>159</v>
      </c>
      <c r="E2239" s="46">
        <f>7020*1.18*1.1</f>
        <v>9111.9600000000009</v>
      </c>
      <c r="F2239" s="40">
        <f t="shared" ref="F2239:F2243" si="825">+C2239*E2239</f>
        <v>9111.9600000000009</v>
      </c>
    </row>
    <row r="2240" spans="2:10" x14ac:dyDescent="0.25">
      <c r="B2240" s="41" t="s">
        <v>757</v>
      </c>
      <c r="C2240" s="2">
        <v>1</v>
      </c>
      <c r="D2240" s="2" t="s">
        <v>159</v>
      </c>
      <c r="E2240" s="46">
        <f>+'[1]MO MAY25'!$N$616*1.2</f>
        <v>5520</v>
      </c>
      <c r="F2240" s="40">
        <f t="shared" si="825"/>
        <v>5520</v>
      </c>
    </row>
    <row r="2241" spans="2:7" x14ac:dyDescent="0.25">
      <c r="B2241" s="41" t="s">
        <v>695</v>
      </c>
      <c r="C2241" s="2">
        <v>2</v>
      </c>
      <c r="D2241" s="2" t="s">
        <v>159</v>
      </c>
      <c r="E2241" s="46">
        <f>+'[1]MO MAY25'!$N$619*1.1</f>
        <v>1960.7500000000002</v>
      </c>
      <c r="F2241" s="40">
        <f t="shared" si="825"/>
        <v>3921.5000000000005</v>
      </c>
    </row>
    <row r="2242" spans="2:7" x14ac:dyDescent="0.25">
      <c r="B2242" s="41" t="s">
        <v>758</v>
      </c>
      <c r="C2242" s="2">
        <v>2</v>
      </c>
      <c r="D2242" s="2" t="s">
        <v>159</v>
      </c>
      <c r="E2242" s="46">
        <f>+'[1]MO MAY25'!$N$621</f>
        <v>2300</v>
      </c>
      <c r="F2242" s="40">
        <f t="shared" si="825"/>
        <v>4600</v>
      </c>
    </row>
    <row r="2243" spans="2:7" x14ac:dyDescent="0.25">
      <c r="B2243" s="41" t="s">
        <v>759</v>
      </c>
      <c r="C2243" s="2">
        <v>1</v>
      </c>
      <c r="D2243" s="2" t="s">
        <v>159</v>
      </c>
      <c r="E2243" s="46">
        <f>+'[1]MO MAY25'!$N$622*1.2</f>
        <v>4554</v>
      </c>
      <c r="F2243" s="40">
        <f t="shared" si="825"/>
        <v>4554</v>
      </c>
    </row>
    <row r="2244" spans="2:7" ht="15.6" x14ac:dyDescent="0.3">
      <c r="B2244" s="41"/>
      <c r="E2244" s="46"/>
      <c r="G2244" s="225">
        <f>SUM(F2239:F2243)</f>
        <v>27707.460000000003</v>
      </c>
    </row>
    <row r="2245" spans="2:7" x14ac:dyDescent="0.25">
      <c r="B2245" s="41" t="s">
        <v>763</v>
      </c>
      <c r="C2245" s="2">
        <v>1</v>
      </c>
      <c r="D2245" s="2" t="s">
        <v>159</v>
      </c>
      <c r="E2245" s="46">
        <f>13200*1.18*1.1</f>
        <v>17133.600000000002</v>
      </c>
      <c r="F2245" s="40">
        <f t="shared" ref="F2245:F2249" si="826">+C2245*E2245</f>
        <v>17133.600000000002</v>
      </c>
    </row>
    <row r="2246" spans="2:7" x14ac:dyDescent="0.25">
      <c r="B2246" s="41" t="s">
        <v>757</v>
      </c>
      <c r="C2246" s="2">
        <v>1</v>
      </c>
      <c r="D2246" s="2" t="s">
        <v>159</v>
      </c>
      <c r="E2246" s="46">
        <f>+'[1]MO MAY25'!$N$616*2</f>
        <v>9200</v>
      </c>
      <c r="F2246" s="40">
        <f t="shared" si="826"/>
        <v>9200</v>
      </c>
    </row>
    <row r="2247" spans="2:7" x14ac:dyDescent="0.25">
      <c r="B2247" s="41" t="s">
        <v>695</v>
      </c>
      <c r="C2247" s="2">
        <v>4</v>
      </c>
      <c r="D2247" s="2" t="s">
        <v>159</v>
      </c>
      <c r="E2247" s="46">
        <f>+'[1]MO MAY25'!$N$619*1.1</f>
        <v>1960.7500000000002</v>
      </c>
      <c r="F2247" s="40">
        <f t="shared" si="826"/>
        <v>7843.0000000000009</v>
      </c>
    </row>
    <row r="2248" spans="2:7" x14ac:dyDescent="0.25">
      <c r="B2248" s="41" t="s">
        <v>758</v>
      </c>
      <c r="C2248" s="2">
        <v>2</v>
      </c>
      <c r="D2248" s="2" t="s">
        <v>159</v>
      </c>
      <c r="E2248" s="46">
        <f>+'[1]MO MAY25'!$N$621</f>
        <v>2300</v>
      </c>
      <c r="F2248" s="40">
        <f t="shared" si="826"/>
        <v>4600</v>
      </c>
    </row>
    <row r="2249" spans="2:7" x14ac:dyDescent="0.25">
      <c r="B2249" s="41" t="s">
        <v>759</v>
      </c>
      <c r="C2249" s="2">
        <v>2</v>
      </c>
      <c r="D2249" s="2" t="s">
        <v>159</v>
      </c>
      <c r="E2249" s="46">
        <f>+'[1]MO MAY25'!$N$622*1.2</f>
        <v>4554</v>
      </c>
      <c r="F2249" s="40">
        <f t="shared" si="826"/>
        <v>9108</v>
      </c>
    </row>
    <row r="2250" spans="2:7" ht="15.6" x14ac:dyDescent="0.3">
      <c r="B2250" s="41"/>
      <c r="E2250" s="46"/>
      <c r="G2250" s="225">
        <f>SUM(F2245:F2249)</f>
        <v>47884.600000000006</v>
      </c>
    </row>
    <row r="2251" spans="2:7" x14ac:dyDescent="0.25">
      <c r="B2251" s="41" t="s">
        <v>764</v>
      </c>
      <c r="C2251" s="2">
        <v>1</v>
      </c>
      <c r="D2251" s="2" t="s">
        <v>159</v>
      </c>
      <c r="E2251" s="46">
        <f>9475*1.18*1.1</f>
        <v>12298.550000000001</v>
      </c>
      <c r="F2251" s="40">
        <f t="shared" ref="F2251:F2255" si="827">+C2251*E2251</f>
        <v>12298.550000000001</v>
      </c>
    </row>
    <row r="2252" spans="2:7" x14ac:dyDescent="0.25">
      <c r="B2252" s="41" t="s">
        <v>757</v>
      </c>
      <c r="C2252" s="2">
        <v>1</v>
      </c>
      <c r="D2252" s="2" t="s">
        <v>159</v>
      </c>
      <c r="E2252" s="46">
        <f>+'[1]MO MAY25'!$N$616*1.2</f>
        <v>5520</v>
      </c>
      <c r="F2252" s="40">
        <f t="shared" si="827"/>
        <v>5520</v>
      </c>
    </row>
    <row r="2253" spans="2:7" x14ac:dyDescent="0.25">
      <c r="B2253" s="41" t="s">
        <v>695</v>
      </c>
      <c r="C2253" s="2">
        <v>2</v>
      </c>
      <c r="D2253" s="2" t="s">
        <v>159</v>
      </c>
      <c r="E2253" s="46">
        <f>+'[1]MO MAY25'!$N$619*1.1</f>
        <v>1960.7500000000002</v>
      </c>
      <c r="F2253" s="40">
        <f t="shared" si="827"/>
        <v>3921.5000000000005</v>
      </c>
    </row>
    <row r="2254" spans="2:7" x14ac:dyDescent="0.25">
      <c r="B2254" s="41" t="s">
        <v>758</v>
      </c>
      <c r="C2254" s="2">
        <v>2</v>
      </c>
      <c r="D2254" s="2" t="s">
        <v>159</v>
      </c>
      <c r="E2254" s="46">
        <f>+'[1]MO MAY25'!$N$621</f>
        <v>2300</v>
      </c>
      <c r="F2254" s="40">
        <f t="shared" si="827"/>
        <v>4600</v>
      </c>
    </row>
    <row r="2255" spans="2:7" x14ac:dyDescent="0.25">
      <c r="B2255" s="41" t="s">
        <v>759</v>
      </c>
      <c r="C2255" s="2">
        <v>1</v>
      </c>
      <c r="D2255" s="2" t="s">
        <v>159</v>
      </c>
      <c r="E2255" s="46">
        <f>+'[1]MO MAY25'!$N$622*1.2</f>
        <v>4554</v>
      </c>
      <c r="F2255" s="40">
        <f t="shared" si="827"/>
        <v>4554</v>
      </c>
    </row>
    <row r="2256" spans="2:7" ht="15.6" x14ac:dyDescent="0.3">
      <c r="B2256" s="41"/>
      <c r="G2256" s="225">
        <f>SUM(F2251:F2255)</f>
        <v>30894.050000000003</v>
      </c>
    </row>
    <row r="2257" spans="1:8" x14ac:dyDescent="0.25">
      <c r="B2257" s="41"/>
    </row>
    <row r="2258" spans="1:8" x14ac:dyDescent="0.25">
      <c r="B2258" s="41"/>
    </row>
    <row r="2259" spans="1:8" ht="15.6" x14ac:dyDescent="0.3">
      <c r="A2259" s="90"/>
      <c r="B2259" s="3" t="s">
        <v>719</v>
      </c>
      <c r="C2259" s="8"/>
      <c r="E2259" s="46"/>
      <c r="F2259" s="8"/>
      <c r="G2259" s="58"/>
    </row>
    <row r="2260" spans="1:8" x14ac:dyDescent="0.25">
      <c r="A2260" s="90">
        <f>+A2248+0.01</f>
        <v>0.01</v>
      </c>
      <c r="B2260" s="41" t="s">
        <v>512</v>
      </c>
      <c r="C2260" s="53">
        <v>8</v>
      </c>
      <c r="D2260" s="41" t="s">
        <v>720</v>
      </c>
      <c r="E2260" s="54">
        <f>7475*1.18*1.1</f>
        <v>9702.5500000000011</v>
      </c>
      <c r="F2260" s="53">
        <f>E2260*C2260</f>
        <v>77620.400000000009</v>
      </c>
      <c r="G2260" s="58"/>
    </row>
    <row r="2261" spans="1:8" x14ac:dyDescent="0.25">
      <c r="A2261" s="90"/>
      <c r="B2261" s="41" t="s">
        <v>513</v>
      </c>
      <c r="C2261" s="53">
        <f>(0.4*0.05)*$C$2098</f>
        <v>0.15020000000000003</v>
      </c>
      <c r="D2261" s="41" t="s">
        <v>54</v>
      </c>
      <c r="E2261" s="54">
        <f>+$G$55</f>
        <v>9859.73</v>
      </c>
      <c r="F2261" s="53">
        <f>E2261*C2261</f>
        <v>1480.9314460000003</v>
      </c>
      <c r="G2261" s="58"/>
    </row>
    <row r="2262" spans="1:8" x14ac:dyDescent="0.25">
      <c r="A2262" s="90"/>
      <c r="B2262" s="41" t="s">
        <v>408</v>
      </c>
      <c r="C2262" s="53">
        <f>(0.4*0.13)*$C$2098</f>
        <v>0.39052000000000003</v>
      </c>
      <c r="D2262" s="41" t="s">
        <v>409</v>
      </c>
      <c r="E2262" s="54">
        <f>+'[1]Lista de precios MAY25'!$E$138</f>
        <v>1350</v>
      </c>
      <c r="F2262" s="53">
        <f>E2262*C2262</f>
        <v>527.202</v>
      </c>
      <c r="G2262" s="58"/>
      <c r="H2262" s="41"/>
    </row>
    <row r="2263" spans="1:8" x14ac:dyDescent="0.25">
      <c r="A2263" s="90"/>
      <c r="B2263" s="41" t="s">
        <v>411</v>
      </c>
      <c r="C2263" s="53">
        <f>(0.05*0.4)*$C$2098</f>
        <v>0.15020000000000003</v>
      </c>
      <c r="D2263" s="41" t="s">
        <v>82</v>
      </c>
      <c r="E2263" s="54">
        <f>+'[1]Lista de precios MAY25'!$E$141</f>
        <v>80.850000000000009</v>
      </c>
      <c r="F2263" s="53">
        <f>E2263*C2263</f>
        <v>12.143670000000004</v>
      </c>
      <c r="G2263" s="58"/>
      <c r="H2263" s="41"/>
    </row>
    <row r="2264" spans="1:8" x14ac:dyDescent="0.25">
      <c r="A2264" s="90"/>
      <c r="B2264" s="41" t="s">
        <v>410</v>
      </c>
      <c r="C2264" s="53">
        <f>(0.4*6.5)*$C$2098</f>
        <v>19.526</v>
      </c>
      <c r="D2264" s="41" t="s">
        <v>82</v>
      </c>
      <c r="E2264" s="54">
        <f>+$G$95</f>
        <v>15.807777777777778</v>
      </c>
      <c r="F2264" s="53">
        <f>E2264*C2264</f>
        <v>308.6626688888889</v>
      </c>
      <c r="G2264" s="58"/>
    </row>
    <row r="2265" spans="1:8" x14ac:dyDescent="0.25">
      <c r="A2265" s="90"/>
      <c r="B2265" s="41" t="s">
        <v>67</v>
      </c>
      <c r="C2265" s="53">
        <v>10</v>
      </c>
      <c r="D2265" s="41" t="s">
        <v>34</v>
      </c>
      <c r="E2265" s="54">
        <f>SUM(F2260:F2264)</f>
        <v>79949.339784888914</v>
      </c>
      <c r="F2265" s="53">
        <f>E2265*C2265/100</f>
        <v>7994.9339784888907</v>
      </c>
      <c r="G2265" s="58"/>
    </row>
    <row r="2266" spans="1:8" x14ac:dyDescent="0.25">
      <c r="A2266" s="90"/>
      <c r="B2266" s="41" t="s">
        <v>412</v>
      </c>
      <c r="C2266" s="53">
        <f>+$C$2098</f>
        <v>7.51</v>
      </c>
      <c r="D2266" s="41" t="s">
        <v>150</v>
      </c>
      <c r="E2266" s="168">
        <f>+'[1]MO MAY25'!$N$589</f>
        <v>80.5</v>
      </c>
      <c r="F2266" s="53">
        <f>E2266*C2266</f>
        <v>604.55499999999995</v>
      </c>
      <c r="G2266" s="58"/>
    </row>
    <row r="2267" spans="1:8" x14ac:dyDescent="0.25">
      <c r="A2267" s="16"/>
      <c r="B2267" s="41" t="s">
        <v>508</v>
      </c>
      <c r="C2267" s="53">
        <f>+$C$2266</f>
        <v>7.51</v>
      </c>
      <c r="D2267" s="41" t="s">
        <v>150</v>
      </c>
      <c r="E2267" s="54">
        <v>5000</v>
      </c>
      <c r="F2267" s="53">
        <f>E2267*C2267</f>
        <v>37550</v>
      </c>
      <c r="G2267" s="58"/>
    </row>
    <row r="2268" spans="1:8" ht="15.6" x14ac:dyDescent="0.3">
      <c r="A2268" s="90"/>
      <c r="B2268" s="41"/>
      <c r="C2268" s="53"/>
      <c r="D2268" s="41"/>
      <c r="E2268" s="54"/>
      <c r="F2268" s="53"/>
      <c r="G2268" s="47">
        <f>SUM(F2260:F2267)</f>
        <v>126098.82876337779</v>
      </c>
      <c r="H2268" s="57" t="s">
        <v>8</v>
      </c>
    </row>
    <row r="2269" spans="1:8" x14ac:dyDescent="0.25">
      <c r="B2269" s="41"/>
    </row>
    <row r="2270" spans="1:8" x14ac:dyDescent="0.25">
      <c r="B2270" s="41"/>
      <c r="E2270" s="2">
        <f>1/20</f>
        <v>0.05</v>
      </c>
    </row>
    <row r="2271" spans="1:8" ht="15.6" x14ac:dyDescent="0.3">
      <c r="B2271" s="3" t="s">
        <v>765</v>
      </c>
    </row>
    <row r="2272" spans="1:8" x14ac:dyDescent="0.25">
      <c r="B2272" s="41"/>
    </row>
    <row r="2273" spans="2:8" x14ac:dyDescent="0.25">
      <c r="B2273" s="41" t="s">
        <v>766</v>
      </c>
      <c r="C2273" s="2">
        <v>5.5E-2</v>
      </c>
      <c r="D2273" s="2" t="s">
        <v>767</v>
      </c>
      <c r="E2273" s="62">
        <v>11714.96</v>
      </c>
      <c r="F2273" s="53">
        <f t="shared" ref="F2273:F2279" si="828">E2273*C2273</f>
        <v>644.32279999999992</v>
      </c>
    </row>
    <row r="2274" spans="2:8" x14ac:dyDescent="0.25">
      <c r="B2274" s="41" t="s">
        <v>768</v>
      </c>
      <c r="C2274" s="2">
        <v>5.6000000000000001E-2</v>
      </c>
      <c r="D2274" s="2" t="s">
        <v>651</v>
      </c>
      <c r="E2274" s="62">
        <v>3360.04</v>
      </c>
      <c r="F2274" s="53">
        <f t="shared" si="828"/>
        <v>188.16224</v>
      </c>
    </row>
    <row r="2275" spans="2:8" x14ac:dyDescent="0.25">
      <c r="B2275" s="41" t="s">
        <v>769</v>
      </c>
      <c r="C2275" s="62">
        <v>1</v>
      </c>
      <c r="D2275" s="2" t="s">
        <v>15</v>
      </c>
      <c r="E2275" s="62">
        <v>75</v>
      </c>
      <c r="F2275" s="53">
        <f t="shared" si="828"/>
        <v>75</v>
      </c>
    </row>
    <row r="2276" spans="2:8" x14ac:dyDescent="0.25">
      <c r="B2276" s="41" t="s">
        <v>652</v>
      </c>
      <c r="C2276" s="62">
        <v>0.25</v>
      </c>
      <c r="D2276" s="2" t="s">
        <v>81</v>
      </c>
      <c r="E2276" s="62">
        <f>+E2003</f>
        <v>2066.1799999999998</v>
      </c>
      <c r="F2276" s="53">
        <f t="shared" si="828"/>
        <v>516.54499999999996</v>
      </c>
    </row>
    <row r="2277" spans="2:8" x14ac:dyDescent="0.25">
      <c r="B2277" s="41" t="s">
        <v>770</v>
      </c>
      <c r="C2277" s="2">
        <v>10</v>
      </c>
      <c r="D2277" s="2" t="s">
        <v>34</v>
      </c>
      <c r="E2277" s="62">
        <f>SUM(F2273:F2276)</f>
        <v>1424.0300399999999</v>
      </c>
      <c r="F2277" s="53">
        <f>+C2277*E2277/100</f>
        <v>142.40300399999998</v>
      </c>
    </row>
    <row r="2278" spans="2:8" x14ac:dyDescent="0.25">
      <c r="B2278" s="41" t="s">
        <v>771</v>
      </c>
      <c r="C2278" s="2">
        <v>1</v>
      </c>
      <c r="D2278" s="2" t="s">
        <v>81</v>
      </c>
      <c r="E2278" s="62">
        <f>275*1.5</f>
        <v>412.5</v>
      </c>
      <c r="F2278" s="53">
        <f t="shared" si="828"/>
        <v>412.5</v>
      </c>
    </row>
    <row r="2279" spans="2:8" x14ac:dyDescent="0.25">
      <c r="B2279" s="41" t="s">
        <v>772</v>
      </c>
      <c r="C2279" s="2">
        <v>1</v>
      </c>
      <c r="D2279" s="2" t="s">
        <v>81</v>
      </c>
      <c r="E2279" s="62">
        <f>+'[1]MO MAY25'!N512</f>
        <v>155.25</v>
      </c>
      <c r="F2279" s="53">
        <f t="shared" si="828"/>
        <v>155.25</v>
      </c>
    </row>
    <row r="2280" spans="2:8" x14ac:dyDescent="0.25">
      <c r="B2280" s="41" t="s">
        <v>773</v>
      </c>
      <c r="C2280" s="2">
        <v>5</v>
      </c>
      <c r="D2280" s="2" t="s">
        <v>34</v>
      </c>
      <c r="E2280" s="62">
        <f>+F2278</f>
        <v>412.5</v>
      </c>
      <c r="F2280" s="53">
        <f>E2280*C2280/100</f>
        <v>20.625</v>
      </c>
    </row>
    <row r="2281" spans="2:8" ht="15.6" x14ac:dyDescent="0.3">
      <c r="G2281" s="47">
        <f>SUM(F2273:F2280)</f>
        <v>2154.8080439999999</v>
      </c>
      <c r="H2281" s="57" t="s">
        <v>81</v>
      </c>
    </row>
    <row r="2282" spans="2:8" x14ac:dyDescent="0.25">
      <c r="B2282" s="41"/>
    </row>
    <row r="2283" spans="2:8" ht="15.6" x14ac:dyDescent="0.3">
      <c r="B2283" s="3" t="s">
        <v>765</v>
      </c>
    </row>
    <row r="2284" spans="2:8" x14ac:dyDescent="0.25">
      <c r="B2284" s="41"/>
    </row>
    <row r="2285" spans="2:8" x14ac:dyDescent="0.25">
      <c r="B2285" s="41" t="s">
        <v>774</v>
      </c>
      <c r="C2285" s="2">
        <f>1/5</f>
        <v>0.2</v>
      </c>
      <c r="D2285" s="2" t="s">
        <v>767</v>
      </c>
      <c r="E2285" s="62">
        <f>540*1.18</f>
        <v>637.19999999999993</v>
      </c>
      <c r="F2285" s="53">
        <f t="shared" ref="F2285:F2288" si="829">E2285*C2285</f>
        <v>127.44</v>
      </c>
    </row>
    <row r="2286" spans="2:8" x14ac:dyDescent="0.25">
      <c r="B2286" s="41" t="s">
        <v>768</v>
      </c>
      <c r="C2286" s="2">
        <v>5.6000000000000001E-2</v>
      </c>
      <c r="D2286" s="2" t="s">
        <v>651</v>
      </c>
      <c r="E2286" s="62">
        <v>3360.04</v>
      </c>
      <c r="F2286" s="53">
        <f t="shared" si="829"/>
        <v>188.16224</v>
      </c>
    </row>
    <row r="2287" spans="2:8" x14ac:dyDescent="0.25">
      <c r="B2287" s="41" t="s">
        <v>769</v>
      </c>
      <c r="C2287" s="62">
        <v>1</v>
      </c>
      <c r="D2287" s="2" t="s">
        <v>15</v>
      </c>
      <c r="E2287" s="62">
        <v>75</v>
      </c>
      <c r="F2287" s="53">
        <f t="shared" si="829"/>
        <v>75</v>
      </c>
    </row>
    <row r="2288" spans="2:8" x14ac:dyDescent="0.25">
      <c r="B2288" s="41" t="s">
        <v>652</v>
      </c>
      <c r="C2288" s="62">
        <v>0.25</v>
      </c>
      <c r="D2288" s="2" t="s">
        <v>81</v>
      </c>
      <c r="E2288" s="62">
        <f>+'[1]Lista de precios MAY25'!E60</f>
        <v>2066.1799999999998</v>
      </c>
      <c r="F2288" s="53">
        <f t="shared" si="829"/>
        <v>516.54499999999996</v>
      </c>
    </row>
    <row r="2289" spans="2:8" x14ac:dyDescent="0.25">
      <c r="B2289" s="41" t="s">
        <v>770</v>
      </c>
      <c r="C2289" s="2">
        <v>10</v>
      </c>
      <c r="D2289" s="2" t="s">
        <v>34</v>
      </c>
      <c r="E2289" s="62">
        <f>SUM(F2285:F2288)</f>
        <v>907.14724000000001</v>
      </c>
      <c r="F2289" s="53">
        <f>+C2289*E2289/100</f>
        <v>90.714724000000004</v>
      </c>
    </row>
    <row r="2290" spans="2:8" x14ac:dyDescent="0.25">
      <c r="B2290" s="41" t="s">
        <v>775</v>
      </c>
      <c r="C2290" s="2">
        <v>1</v>
      </c>
      <c r="D2290" s="2" t="s">
        <v>81</v>
      </c>
      <c r="E2290" s="62">
        <f>+'[1]MO MAY25'!N229</f>
        <v>69</v>
      </c>
      <c r="F2290" s="53">
        <f t="shared" ref="F2290:F2292" si="830">E2290*C2290</f>
        <v>69</v>
      </c>
    </row>
    <row r="2291" spans="2:8" x14ac:dyDescent="0.25">
      <c r="B2291" s="41" t="s">
        <v>771</v>
      </c>
      <c r="C2291" s="2">
        <v>1</v>
      </c>
      <c r="D2291" s="2" t="s">
        <v>81</v>
      </c>
      <c r="E2291" s="62">
        <f>275*1.15</f>
        <v>316.25</v>
      </c>
      <c r="F2291" s="53">
        <f t="shared" si="830"/>
        <v>316.25</v>
      </c>
    </row>
    <row r="2292" spans="2:8" x14ac:dyDescent="0.25">
      <c r="B2292" s="41" t="s">
        <v>772</v>
      </c>
      <c r="C2292" s="2">
        <v>1</v>
      </c>
      <c r="D2292" s="2" t="s">
        <v>81</v>
      </c>
      <c r="E2292" s="62">
        <f>+'[1]MO MAY25'!N512</f>
        <v>155.25</v>
      </c>
      <c r="F2292" s="53">
        <f t="shared" si="830"/>
        <v>155.25</v>
      </c>
    </row>
    <row r="2293" spans="2:8" x14ac:dyDescent="0.25">
      <c r="B2293" s="41" t="s">
        <v>773</v>
      </c>
      <c r="C2293" s="2">
        <v>5</v>
      </c>
      <c r="D2293" s="2" t="s">
        <v>34</v>
      </c>
      <c r="E2293" s="62">
        <f>+F2291+F2290</f>
        <v>385.25</v>
      </c>
      <c r="F2293" s="53">
        <f>E2293*C2293/100</f>
        <v>19.262499999999999</v>
      </c>
    </row>
    <row r="2294" spans="2:8" ht="15.6" x14ac:dyDescent="0.3">
      <c r="G2294" s="47">
        <f>SUM(F2285:F2293)</f>
        <v>1557.6244640000002</v>
      </c>
      <c r="H2294" s="57" t="s">
        <v>81</v>
      </c>
    </row>
    <row r="2295" spans="2:8" ht="15.6" x14ac:dyDescent="0.3">
      <c r="G2295" s="39"/>
      <c r="H2295" s="3"/>
    </row>
    <row r="2296" spans="2:8" ht="15.6" x14ac:dyDescent="0.3">
      <c r="B2296" s="2" t="s">
        <v>776</v>
      </c>
      <c r="G2296" s="39"/>
      <c r="H2296" s="3"/>
    </row>
    <row r="2297" spans="2:8" ht="15.6" x14ac:dyDescent="0.3">
      <c r="B2297" s="2" t="s">
        <v>777</v>
      </c>
      <c r="C2297" s="2">
        <v>1</v>
      </c>
      <c r="D2297" s="2" t="s">
        <v>81</v>
      </c>
      <c r="E2297" s="40">
        <f>+'[1]MO MAY25'!N233</f>
        <v>316.25</v>
      </c>
      <c r="F2297" s="53">
        <f t="shared" ref="F2297:F2301" si="831">E2297*C2297</f>
        <v>316.25</v>
      </c>
      <c r="G2297" s="39"/>
      <c r="H2297" s="3"/>
    </row>
    <row r="2298" spans="2:8" ht="15.6" x14ac:dyDescent="0.3">
      <c r="B2298" s="2" t="s">
        <v>652</v>
      </c>
      <c r="C2298" s="2">
        <v>0.11</v>
      </c>
      <c r="D2298" s="2" t="s">
        <v>651</v>
      </c>
      <c r="E2298" s="2">
        <f>+'[1]Lista de precios MAY25'!E60</f>
        <v>2066.1799999999998</v>
      </c>
      <c r="F2298" s="53">
        <f t="shared" si="831"/>
        <v>227.27979999999999</v>
      </c>
      <c r="G2298" s="39"/>
      <c r="H2298" s="3"/>
    </row>
    <row r="2299" spans="2:8" ht="15.6" x14ac:dyDescent="0.3">
      <c r="B2299" s="2" t="s">
        <v>778</v>
      </c>
      <c r="C2299" s="2">
        <v>1</v>
      </c>
      <c r="D2299" s="2" t="s">
        <v>81</v>
      </c>
      <c r="E2299" s="40">
        <f>+'[1]MO MAY25'!N236+'[1]MO MAY25'!N238</f>
        <v>59.8</v>
      </c>
      <c r="F2299" s="53">
        <f t="shared" si="831"/>
        <v>59.8</v>
      </c>
      <c r="G2299" s="39"/>
      <c r="H2299" s="3"/>
    </row>
    <row r="2300" spans="2:8" ht="15.6" x14ac:dyDescent="0.3">
      <c r="B2300" s="2" t="s">
        <v>779</v>
      </c>
      <c r="C2300" s="2">
        <v>1</v>
      </c>
      <c r="D2300" s="2" t="s">
        <v>81</v>
      </c>
      <c r="E2300" s="58">
        <f>+G1999</f>
        <v>350.80656827999996</v>
      </c>
      <c r="F2300" s="53">
        <f t="shared" si="831"/>
        <v>350.80656827999996</v>
      </c>
      <c r="G2300" s="39"/>
      <c r="H2300" s="3"/>
    </row>
    <row r="2301" spans="2:8" ht="15.6" x14ac:dyDescent="0.3">
      <c r="B2301" s="2" t="s">
        <v>278</v>
      </c>
      <c r="C2301" s="2">
        <v>1</v>
      </c>
      <c r="D2301" s="2" t="s">
        <v>81</v>
      </c>
      <c r="E2301" s="40">
        <f>+'[1]MO MAY25'!N512</f>
        <v>155.25</v>
      </c>
      <c r="F2301" s="53">
        <f t="shared" si="831"/>
        <v>155.25</v>
      </c>
      <c r="G2301" s="39"/>
      <c r="H2301" s="3"/>
    </row>
    <row r="2302" spans="2:8" ht="15.6" x14ac:dyDescent="0.3">
      <c r="G2302" s="159">
        <f>SUM(F2297:F2301)</f>
        <v>1109.3863682799999</v>
      </c>
      <c r="H2302" s="115" t="s">
        <v>81</v>
      </c>
    </row>
    <row r="2303" spans="2:8" x14ac:dyDescent="0.25">
      <c r="B2303" s="41"/>
    </row>
    <row r="2304" spans="2:8" ht="15.6" x14ac:dyDescent="0.3">
      <c r="B2304" s="3" t="s">
        <v>780</v>
      </c>
    </row>
    <row r="2305" spans="2:8" x14ac:dyDescent="0.25">
      <c r="B2305" s="41" t="s">
        <v>781</v>
      </c>
      <c r="C2305" s="62">
        <v>1</v>
      </c>
      <c r="D2305" s="2" t="s">
        <v>81</v>
      </c>
      <c r="E2305" s="2">
        <f>75*1.18*58</f>
        <v>5133</v>
      </c>
      <c r="F2305" s="53">
        <f t="shared" ref="F2305:F2307" si="832">E2305*C2305</f>
        <v>5133</v>
      </c>
    </row>
    <row r="2306" spans="2:8" x14ac:dyDescent="0.25">
      <c r="B2306" s="41" t="s">
        <v>782</v>
      </c>
      <c r="C2306" s="62">
        <f>1/56.95</f>
        <v>1.755926251097454E-2</v>
      </c>
      <c r="D2306" s="2" t="s">
        <v>81</v>
      </c>
      <c r="E2306" s="2">
        <f>600*1.18*58</f>
        <v>41064</v>
      </c>
      <c r="F2306" s="53">
        <f t="shared" si="832"/>
        <v>721.05355575065846</v>
      </c>
    </row>
    <row r="2307" spans="2:8" x14ac:dyDescent="0.25">
      <c r="B2307" s="41" t="s">
        <v>122</v>
      </c>
      <c r="C2307" s="62">
        <f>1/56.95</f>
        <v>1.755926251097454E-2</v>
      </c>
      <c r="D2307" s="2" t="s">
        <v>81</v>
      </c>
      <c r="E2307" s="2">
        <f>150*1.18*58</f>
        <v>10266</v>
      </c>
      <c r="F2307" s="53">
        <f t="shared" si="832"/>
        <v>180.26338893766462</v>
      </c>
    </row>
    <row r="2308" spans="2:8" ht="15.6" x14ac:dyDescent="0.3">
      <c r="B2308" s="41"/>
      <c r="F2308" s="53">
        <f t="shared" ref="F2308" si="833">E2308*C2308/100</f>
        <v>0</v>
      </c>
      <c r="G2308" s="159">
        <f>SUM(F2305:F2307)</f>
        <v>6034.316944688323</v>
      </c>
      <c r="H2308" s="115" t="s">
        <v>81</v>
      </c>
    </row>
    <row r="2309" spans="2:8" x14ac:dyDescent="0.25">
      <c r="B2309" s="41"/>
    </row>
    <row r="2310" spans="2:8" x14ac:dyDescent="0.25">
      <c r="B2310" s="41"/>
    </row>
    <row r="2311" spans="2:8" x14ac:dyDescent="0.25">
      <c r="B2311" s="41"/>
    </row>
    <row r="2312" spans="2:8" ht="15.6" x14ac:dyDescent="0.3">
      <c r="B2312" s="3" t="s">
        <v>783</v>
      </c>
    </row>
    <row r="2313" spans="2:8" x14ac:dyDescent="0.25">
      <c r="B2313" s="41" t="s">
        <v>784</v>
      </c>
      <c r="C2313" s="2">
        <v>1</v>
      </c>
      <c r="D2313" s="2" t="s">
        <v>81</v>
      </c>
      <c r="E2313" s="40">
        <f>+'[1]MO MAY25'!N541*1.1</f>
        <v>3542.0000000000005</v>
      </c>
      <c r="F2313" s="53">
        <f t="shared" ref="F2313:F2316" si="834">E2313*C2313</f>
        <v>3542.0000000000005</v>
      </c>
    </row>
    <row r="2314" spans="2:8" x14ac:dyDescent="0.25">
      <c r="B2314" s="41" t="s">
        <v>785</v>
      </c>
      <c r="C2314" s="2">
        <v>0.33</v>
      </c>
      <c r="D2314" s="2" t="s">
        <v>184</v>
      </c>
      <c r="E2314" s="40">
        <f>+'[1]MO MAY25'!N545</f>
        <v>287.5</v>
      </c>
      <c r="F2314" s="53">
        <f t="shared" si="834"/>
        <v>94.875</v>
      </c>
    </row>
    <row r="2315" spans="2:8" x14ac:dyDescent="0.25">
      <c r="B2315" s="41" t="s">
        <v>786</v>
      </c>
      <c r="C2315" s="2">
        <v>0.33</v>
      </c>
      <c r="D2315" s="2" t="s">
        <v>150</v>
      </c>
      <c r="E2315" s="40">
        <f>+'[1]MO MAY25'!N544*1.1</f>
        <v>1518.0000000000002</v>
      </c>
      <c r="F2315" s="53">
        <f t="shared" si="834"/>
        <v>500.94000000000011</v>
      </c>
    </row>
    <row r="2316" spans="2:8" x14ac:dyDescent="0.25">
      <c r="B2316" s="41" t="s">
        <v>787</v>
      </c>
      <c r="C2316" s="2">
        <v>0.1</v>
      </c>
      <c r="D2316" s="2" t="s">
        <v>54</v>
      </c>
      <c r="E2316" s="58">
        <f>+G73</f>
        <v>11656.8915</v>
      </c>
      <c r="F2316" s="53">
        <f t="shared" si="834"/>
        <v>1165.6891499999999</v>
      </c>
    </row>
    <row r="2317" spans="2:8" ht="15.6" x14ac:dyDescent="0.3">
      <c r="B2317" s="41"/>
      <c r="G2317" s="159">
        <f>SUM(F2313:F2316)</f>
        <v>5303.5041500000007</v>
      </c>
      <c r="H2317" s="115" t="s">
        <v>81</v>
      </c>
    </row>
    <row r="2318" spans="2:8" x14ac:dyDescent="0.25">
      <c r="B2318" s="41"/>
    </row>
    <row r="2319" spans="2:8" x14ac:dyDescent="0.25">
      <c r="B2319" s="41"/>
    </row>
    <row r="2320" spans="2:8" ht="15.6" x14ac:dyDescent="0.3">
      <c r="B2320" s="3" t="s">
        <v>788</v>
      </c>
    </row>
    <row r="2321" spans="2:8" x14ac:dyDescent="0.25">
      <c r="B2321" s="41" t="s">
        <v>789</v>
      </c>
      <c r="C2321" s="2">
        <v>0.15</v>
      </c>
      <c r="D2321" s="16" t="s">
        <v>54</v>
      </c>
      <c r="E2321" s="62">
        <v>1662</v>
      </c>
      <c r="F2321" s="53">
        <f t="shared" ref="F2321:F2323" si="835">E2321*C2321</f>
        <v>249.29999999999998</v>
      </c>
    </row>
    <row r="2322" spans="2:8" x14ac:dyDescent="0.25">
      <c r="B2322" s="41" t="s">
        <v>130</v>
      </c>
      <c r="C2322" s="2">
        <v>0.15</v>
      </c>
      <c r="D2322" s="16" t="s">
        <v>54</v>
      </c>
      <c r="E2322" s="62">
        <f>+'[1]MO MAY25'!N29</f>
        <v>302.5</v>
      </c>
      <c r="F2322" s="53">
        <f t="shared" si="835"/>
        <v>45.375</v>
      </c>
    </row>
    <row r="2323" spans="2:8" x14ac:dyDescent="0.25">
      <c r="B2323" s="41" t="s">
        <v>790</v>
      </c>
      <c r="C2323" s="2">
        <v>0.15</v>
      </c>
      <c r="D2323" s="16" t="s">
        <v>54</v>
      </c>
      <c r="E2323" s="62">
        <f>+G163</f>
        <v>1298.645170417215</v>
      </c>
      <c r="F2323" s="53">
        <f t="shared" si="835"/>
        <v>194.79677556258224</v>
      </c>
    </row>
    <row r="2324" spans="2:8" ht="15.6" x14ac:dyDescent="0.3">
      <c r="B2324" s="41"/>
      <c r="G2324" s="159">
        <f>SUM(F2321:F2323)</f>
        <v>489.4717755625822</v>
      </c>
      <c r="H2324" s="115" t="s">
        <v>81</v>
      </c>
    </row>
    <row r="2325" spans="2:8" x14ac:dyDescent="0.25">
      <c r="B2325" s="41"/>
    </row>
    <row r="2326" spans="2:8" ht="15.6" x14ac:dyDescent="0.3">
      <c r="B2326" s="3" t="s">
        <v>791</v>
      </c>
    </row>
    <row r="2327" spans="2:8" x14ac:dyDescent="0.25">
      <c r="B2327" s="41" t="s">
        <v>792</v>
      </c>
      <c r="C2327" s="62">
        <v>1</v>
      </c>
      <c r="D2327" s="16" t="s">
        <v>8</v>
      </c>
      <c r="E2327" s="62">
        <f>12000*1.18*1.1</f>
        <v>15576.000000000002</v>
      </c>
      <c r="F2327" s="53">
        <f t="shared" ref="F2327:F2335" si="836">E2327*C2327</f>
        <v>15576.000000000002</v>
      </c>
    </row>
    <row r="2328" spans="2:8" x14ac:dyDescent="0.25">
      <c r="B2328" s="41" t="s">
        <v>793</v>
      </c>
      <c r="C2328" s="62">
        <v>1</v>
      </c>
      <c r="D2328" s="16" t="s">
        <v>8</v>
      </c>
      <c r="E2328" s="62">
        <f>10204.86*1.18*1.1</f>
        <v>13245.908280000001</v>
      </c>
      <c r="F2328" s="53">
        <f t="shared" si="836"/>
        <v>13245.908280000001</v>
      </c>
    </row>
    <row r="2329" spans="2:8" x14ac:dyDescent="0.25">
      <c r="B2329" s="41" t="s">
        <v>794</v>
      </c>
      <c r="C2329" s="62">
        <v>2</v>
      </c>
      <c r="D2329" s="16" t="s">
        <v>8</v>
      </c>
      <c r="E2329" s="62">
        <f>10200*1.18*1.018</f>
        <v>12252.648000000001</v>
      </c>
      <c r="F2329" s="53">
        <f t="shared" si="836"/>
        <v>24505.296000000002</v>
      </c>
    </row>
    <row r="2330" spans="2:8" x14ac:dyDescent="0.25">
      <c r="B2330" s="41" t="s">
        <v>795</v>
      </c>
      <c r="C2330" s="62">
        <v>1</v>
      </c>
      <c r="D2330" s="16" t="s">
        <v>8</v>
      </c>
      <c r="E2330" s="62">
        <f>10200*1.18*1.018</f>
        <v>12252.648000000001</v>
      </c>
      <c r="F2330" s="53">
        <f t="shared" si="836"/>
        <v>12252.648000000001</v>
      </c>
    </row>
    <row r="2331" spans="2:8" x14ac:dyDescent="0.25">
      <c r="B2331" s="41" t="s">
        <v>796</v>
      </c>
      <c r="C2331" s="62">
        <v>1</v>
      </c>
      <c r="D2331" s="16" t="s">
        <v>8</v>
      </c>
      <c r="E2331" s="62">
        <f>6500*1.18*1.1</f>
        <v>8437</v>
      </c>
      <c r="F2331" s="53"/>
    </row>
    <row r="2332" spans="2:8" x14ac:dyDescent="0.25">
      <c r="B2332" s="41" t="s">
        <v>797</v>
      </c>
      <c r="C2332" s="62">
        <f>2.25+1.9+1.8*3</f>
        <v>9.5500000000000007</v>
      </c>
      <c r="D2332" s="16" t="s">
        <v>150</v>
      </c>
      <c r="E2332" s="62">
        <v>5500</v>
      </c>
      <c r="F2332" s="53">
        <f t="shared" si="836"/>
        <v>52525.000000000007</v>
      </c>
    </row>
    <row r="2333" spans="2:8" x14ac:dyDescent="0.25">
      <c r="B2333" s="41" t="s">
        <v>798</v>
      </c>
      <c r="C2333" s="62">
        <f>1*2</f>
        <v>2</v>
      </c>
      <c r="D2333" s="16" t="s">
        <v>150</v>
      </c>
      <c r="E2333" s="62">
        <v>6000</v>
      </c>
      <c r="F2333" s="53"/>
    </row>
    <row r="2334" spans="2:8" x14ac:dyDescent="0.25">
      <c r="B2334" s="41" t="s">
        <v>695</v>
      </c>
      <c r="C2334" s="62">
        <f>+(2+1*4)</f>
        <v>6</v>
      </c>
      <c r="D2334" s="16" t="s">
        <v>8</v>
      </c>
      <c r="E2334" s="62">
        <f>+'[1]MO MAY25'!N619+'[1]MO MAY25'!N618</f>
        <v>7245</v>
      </c>
      <c r="F2334" s="53">
        <f t="shared" si="836"/>
        <v>43470</v>
      </c>
    </row>
    <row r="2335" spans="2:8" x14ac:dyDescent="0.25">
      <c r="B2335" s="41" t="s">
        <v>799</v>
      </c>
      <c r="C2335" s="62">
        <f>2.25+1.9+1.8*3</f>
        <v>9.5500000000000007</v>
      </c>
      <c r="D2335" s="16" t="s">
        <v>150</v>
      </c>
      <c r="E2335" s="62">
        <f>115.35*58</f>
        <v>6690.2999999999993</v>
      </c>
      <c r="F2335" s="53">
        <f t="shared" si="836"/>
        <v>63892.364999999998</v>
      </c>
    </row>
    <row r="2336" spans="2:8" ht="15.6" x14ac:dyDescent="0.3">
      <c r="B2336" s="41"/>
      <c r="G2336" s="159">
        <f>SUM(F2327:F2335)</f>
        <v>225467.21728000001</v>
      </c>
      <c r="H2336" s="115" t="s">
        <v>15</v>
      </c>
    </row>
    <row r="2337" spans="2:8" x14ac:dyDescent="0.25">
      <c r="B2337" s="41"/>
    </row>
    <row r="2338" spans="2:8" ht="15.6" x14ac:dyDescent="0.3">
      <c r="B2338" s="3" t="s">
        <v>800</v>
      </c>
      <c r="F2338" s="40"/>
    </row>
    <row r="2339" spans="2:8" x14ac:dyDescent="0.25">
      <c r="B2339" s="41" t="s">
        <v>801</v>
      </c>
      <c r="C2339" s="2">
        <v>2</v>
      </c>
      <c r="D2339" s="2" t="s">
        <v>8</v>
      </c>
      <c r="E2339" s="62">
        <f>26000*1.05*1.018</f>
        <v>27791.4</v>
      </c>
      <c r="F2339" s="53">
        <f t="shared" ref="F2339:F2344" si="837">E2339*C2339</f>
        <v>55582.8</v>
      </c>
    </row>
    <row r="2340" spans="2:8" x14ac:dyDescent="0.25">
      <c r="B2340" s="41" t="s">
        <v>802</v>
      </c>
      <c r="C2340" s="2">
        <v>1</v>
      </c>
      <c r="D2340" s="2" t="s">
        <v>8</v>
      </c>
      <c r="E2340" s="62">
        <f>32000*1.05*1.018</f>
        <v>34204.800000000003</v>
      </c>
      <c r="F2340" s="53">
        <f t="shared" si="837"/>
        <v>34204.800000000003</v>
      </c>
    </row>
    <row r="2341" spans="2:8" x14ac:dyDescent="0.25">
      <c r="B2341" s="41" t="s">
        <v>803</v>
      </c>
      <c r="C2341" s="2">
        <v>2</v>
      </c>
      <c r="D2341" s="2" t="s">
        <v>8</v>
      </c>
      <c r="E2341" s="62">
        <f>32000*1.05*1.018</f>
        <v>34204.800000000003</v>
      </c>
      <c r="F2341" s="53">
        <f t="shared" si="837"/>
        <v>68409.600000000006</v>
      </c>
    </row>
    <row r="2342" spans="2:8" x14ac:dyDescent="0.25">
      <c r="B2342" s="41" t="s">
        <v>804</v>
      </c>
      <c r="C2342" s="2">
        <v>1</v>
      </c>
      <c r="D2342" s="2" t="s">
        <v>8</v>
      </c>
      <c r="E2342" s="62">
        <f>52000*1.018*1.05</f>
        <v>55582.8</v>
      </c>
      <c r="F2342" s="53">
        <f t="shared" si="837"/>
        <v>55582.8</v>
      </c>
    </row>
    <row r="2343" spans="2:8" x14ac:dyDescent="0.25">
      <c r="B2343" s="41" t="s">
        <v>805</v>
      </c>
      <c r="C2343" s="2">
        <v>1</v>
      </c>
      <c r="D2343" s="2" t="s">
        <v>8</v>
      </c>
      <c r="E2343" s="62">
        <f>18000*1.018*1.05</f>
        <v>19240.2</v>
      </c>
      <c r="F2343" s="53">
        <f t="shared" si="837"/>
        <v>19240.2</v>
      </c>
    </row>
    <row r="2344" spans="2:8" x14ac:dyDescent="0.25">
      <c r="B2344" s="41" t="s">
        <v>806</v>
      </c>
      <c r="C2344" s="2">
        <v>1</v>
      </c>
      <c r="D2344" s="2" t="s">
        <v>8</v>
      </c>
      <c r="E2344" s="62">
        <f>24000*1.018*1.05</f>
        <v>25653.600000000002</v>
      </c>
      <c r="F2344" s="53">
        <f t="shared" si="837"/>
        <v>25653.600000000002</v>
      </c>
    </row>
    <row r="2345" spans="2:8" ht="15.6" x14ac:dyDescent="0.3">
      <c r="B2345" s="41"/>
      <c r="G2345" s="159">
        <f>SUM(F2339:F2344)</f>
        <v>258673.80000000002</v>
      </c>
      <c r="H2345" s="115" t="s">
        <v>15</v>
      </c>
    </row>
    <row r="2346" spans="2:8" x14ac:dyDescent="0.25">
      <c r="B2346" s="41"/>
    </row>
    <row r="2347" spans="2:8" ht="15.6" x14ac:dyDescent="0.3">
      <c r="B2347" s="3" t="s">
        <v>807</v>
      </c>
    </row>
    <row r="2348" spans="2:8" x14ac:dyDescent="0.25">
      <c r="B2348" s="41" t="s">
        <v>808</v>
      </c>
      <c r="C2348" s="2">
        <v>1</v>
      </c>
      <c r="D2348" s="2" t="s">
        <v>8</v>
      </c>
      <c r="E2348" s="62">
        <f>78208.25*58*1.03</f>
        <v>4672160.8550000004</v>
      </c>
      <c r="F2348" s="53">
        <f t="shared" ref="F2348:F2350" si="838">E2348*C2348</f>
        <v>4672160.8550000004</v>
      </c>
      <c r="G2348" s="62">
        <f>+E2348/58</f>
        <v>80554.497500000012</v>
      </c>
    </row>
    <row r="2349" spans="2:8" x14ac:dyDescent="0.25">
      <c r="B2349" s="41" t="s">
        <v>809</v>
      </c>
      <c r="C2349" s="2">
        <v>1</v>
      </c>
      <c r="D2349" s="2" t="s">
        <v>8</v>
      </c>
      <c r="E2349" s="62">
        <f>+(133000+24000)*1.18*1.15*1.05</f>
        <v>223701.44999999998</v>
      </c>
      <c r="F2349" s="53">
        <f t="shared" si="838"/>
        <v>223701.44999999998</v>
      </c>
      <c r="G2349" s="62">
        <f t="shared" ref="G2349:G2350" si="839">+E2349/58</f>
        <v>3856.9215517241378</v>
      </c>
    </row>
    <row r="2350" spans="2:8" x14ac:dyDescent="0.25">
      <c r="B2350" s="41" t="s">
        <v>810</v>
      </c>
      <c r="C2350" s="2">
        <v>1</v>
      </c>
      <c r="D2350" s="2" t="s">
        <v>8</v>
      </c>
      <c r="E2350" s="62">
        <f>+(270000+24000)*1.18*1.15*1.05</f>
        <v>418905.89999999997</v>
      </c>
      <c r="F2350" s="53">
        <f t="shared" si="838"/>
        <v>418905.89999999997</v>
      </c>
      <c r="G2350" s="62">
        <f t="shared" si="839"/>
        <v>7222.5155172413788</v>
      </c>
    </row>
    <row r="2351" spans="2:8" ht="15.6" x14ac:dyDescent="0.3">
      <c r="B2351" s="41"/>
      <c r="E2351" s="62"/>
      <c r="G2351" s="159">
        <f>SUM(F2348:F2350)</f>
        <v>5314768.205000001</v>
      </c>
      <c r="H2351" s="115" t="s">
        <v>15</v>
      </c>
    </row>
    <row r="2352" spans="2:8" x14ac:dyDescent="0.25">
      <c r="B2352" s="41"/>
    </row>
    <row r="2353" spans="2:9" ht="15.6" x14ac:dyDescent="0.3">
      <c r="B2353" s="3" t="s">
        <v>807</v>
      </c>
    </row>
    <row r="2354" spans="2:9" x14ac:dyDescent="0.25">
      <c r="B2354" s="41" t="s">
        <v>808</v>
      </c>
      <c r="C2354" s="2">
        <v>1</v>
      </c>
      <c r="D2354" s="2" t="s">
        <v>8</v>
      </c>
      <c r="E2354" s="62">
        <f>78208.25*58*1.03</f>
        <v>4672160.8550000004</v>
      </c>
      <c r="F2354" s="53">
        <f t="shared" ref="F2354:F2355" si="840">E2354*C2354</f>
        <v>4672160.8550000004</v>
      </c>
      <c r="G2354" s="62">
        <f>+E2354/58</f>
        <v>80554.497500000012</v>
      </c>
    </row>
    <row r="2355" spans="2:9" x14ac:dyDescent="0.25">
      <c r="B2355" s="41" t="s">
        <v>811</v>
      </c>
      <c r="C2355" s="2">
        <v>1</v>
      </c>
      <c r="D2355" s="2" t="s">
        <v>8</v>
      </c>
      <c r="E2355" s="62">
        <f>21170.13*58*1.03</f>
        <v>1264703.5662</v>
      </c>
      <c r="F2355" s="53">
        <f t="shared" si="840"/>
        <v>1264703.5662</v>
      </c>
      <c r="G2355" s="62">
        <f t="shared" ref="G2355" si="841">+E2355/58</f>
        <v>21805.233899999999</v>
      </c>
      <c r="I2355" s="63"/>
    </row>
    <row r="2356" spans="2:9" ht="15.6" x14ac:dyDescent="0.3">
      <c r="B2356" s="41"/>
      <c r="C2356" s="2">
        <v>1</v>
      </c>
      <c r="D2356" s="2" t="s">
        <v>8</v>
      </c>
      <c r="E2356" s="62"/>
      <c r="F2356" s="53"/>
      <c r="G2356" s="159">
        <f>SUM(F2354:F2356)</f>
        <v>5936864.4212000007</v>
      </c>
      <c r="H2356" s="115" t="s">
        <v>15</v>
      </c>
      <c r="I2356" s="40"/>
    </row>
    <row r="2357" spans="2:9" x14ac:dyDescent="0.25">
      <c r="B2357" s="41"/>
      <c r="E2357" s="62"/>
    </row>
    <row r="2358" spans="2:9" ht="15.6" x14ac:dyDescent="0.3">
      <c r="B2358" s="3" t="s">
        <v>812</v>
      </c>
    </row>
    <row r="2359" spans="2:9" ht="15.6" x14ac:dyDescent="0.25">
      <c r="B2359" s="41" t="s">
        <v>813</v>
      </c>
      <c r="C2359" s="2" t="s">
        <v>814</v>
      </c>
      <c r="E2359" s="226">
        <f>+(405.51+24.5)</f>
        <v>430.01</v>
      </c>
      <c r="F2359" s="227">
        <f>+E2359*1.2*1.18*(1.01+0.05)</f>
        <v>645.42780959999993</v>
      </c>
      <c r="G2359" s="40">
        <f>+F2359*1.05</f>
        <v>677.69920007999997</v>
      </c>
      <c r="H2359" s="40"/>
    </row>
    <row r="2360" spans="2:9" x14ac:dyDescent="0.25">
      <c r="B2360" s="41" t="s">
        <v>815</v>
      </c>
      <c r="C2360" s="2" t="s">
        <v>816</v>
      </c>
      <c r="E2360" s="62">
        <v>342.97</v>
      </c>
      <c r="G2360" s="40">
        <f>+E2360*1.05</f>
        <v>360.11850000000004</v>
      </c>
    </row>
    <row r="2361" spans="2:9" ht="15.6" x14ac:dyDescent="0.25">
      <c r="B2361" s="41" t="s">
        <v>817</v>
      </c>
      <c r="C2361" s="2" t="s">
        <v>814</v>
      </c>
      <c r="E2361" s="226">
        <v>101.11</v>
      </c>
      <c r="F2361" s="227">
        <f>+E2361*1.2*1.18*(1.01+0.05)</f>
        <v>151.76206559999997</v>
      </c>
      <c r="G2361" s="40">
        <f t="shared" ref="G2361:G2376" si="842">+F2361*1.05</f>
        <v>159.35016887999998</v>
      </c>
    </row>
    <row r="2362" spans="2:9" x14ac:dyDescent="0.25">
      <c r="B2362" s="41" t="s">
        <v>818</v>
      </c>
      <c r="C2362" s="2" t="s">
        <v>819</v>
      </c>
      <c r="E2362" s="62">
        <f>27722.46*1.18/58</f>
        <v>564.00866896551724</v>
      </c>
      <c r="G2362" s="40">
        <f>+E2362*1.05</f>
        <v>592.20910241379318</v>
      </c>
    </row>
    <row r="2363" spans="2:9" ht="15.6" x14ac:dyDescent="0.25">
      <c r="B2363" s="41" t="s">
        <v>820</v>
      </c>
      <c r="C2363" s="2" t="s">
        <v>814</v>
      </c>
      <c r="E2363" s="226">
        <f>+(39.2+25.2+32.2+36.4)</f>
        <v>133</v>
      </c>
      <c r="F2363" s="227">
        <f t="shared" ref="F2363:F2368" si="843">+E2363*1.2*1.18*(1.01+0.05)</f>
        <v>199.62767999999997</v>
      </c>
      <c r="G2363" s="40">
        <f t="shared" si="842"/>
        <v>209.60906399999999</v>
      </c>
    </row>
    <row r="2364" spans="2:9" ht="15.6" x14ac:dyDescent="0.25">
      <c r="B2364" s="41" t="s">
        <v>821</v>
      </c>
      <c r="C2364" s="2" t="s">
        <v>814</v>
      </c>
      <c r="E2364" s="226">
        <v>469</v>
      </c>
      <c r="F2364" s="227">
        <f t="shared" si="843"/>
        <v>703.95024000000001</v>
      </c>
      <c r="G2364" s="40">
        <f t="shared" si="842"/>
        <v>739.14775200000008</v>
      </c>
    </row>
    <row r="2365" spans="2:9" ht="15.6" x14ac:dyDescent="0.25">
      <c r="B2365" s="41" t="s">
        <v>822</v>
      </c>
      <c r="C2365" s="2" t="s">
        <v>814</v>
      </c>
      <c r="E2365" s="226">
        <v>188.58</v>
      </c>
      <c r="F2365" s="227">
        <f t="shared" si="843"/>
        <v>283.05103680000002</v>
      </c>
      <c r="G2365" s="40">
        <f t="shared" si="842"/>
        <v>297.20358864000002</v>
      </c>
    </row>
    <row r="2366" spans="2:9" ht="15.6" x14ac:dyDescent="0.25">
      <c r="B2366" s="41" t="s">
        <v>823</v>
      </c>
      <c r="C2366" s="2" t="s">
        <v>814</v>
      </c>
      <c r="E2366" s="226">
        <v>144.59</v>
      </c>
      <c r="F2366" s="227">
        <f t="shared" si="843"/>
        <v>217.02380640000001</v>
      </c>
      <c r="G2366" s="40">
        <f t="shared" si="842"/>
        <v>227.87499672000001</v>
      </c>
    </row>
    <row r="2367" spans="2:9" ht="15.6" x14ac:dyDescent="0.25">
      <c r="B2367" s="41" t="s">
        <v>824</v>
      </c>
      <c r="C2367" s="2" t="s">
        <v>814</v>
      </c>
      <c r="E2367" s="226">
        <f>+(421.4+142.1+57.4+45.36)</f>
        <v>666.26</v>
      </c>
      <c r="F2367" s="227">
        <f t="shared" si="843"/>
        <v>1000.0296096</v>
      </c>
      <c r="G2367" s="40">
        <f t="shared" si="842"/>
        <v>1050.03109008</v>
      </c>
    </row>
    <row r="2368" spans="2:9" ht="15.6" x14ac:dyDescent="0.25">
      <c r="B2368" s="41" t="s">
        <v>825</v>
      </c>
      <c r="C2368" s="2" t="s">
        <v>814</v>
      </c>
      <c r="E2368" s="226">
        <f>+(39.2+25.2+32.2+36.4)*1.5</f>
        <v>199.5</v>
      </c>
      <c r="F2368" s="227">
        <f t="shared" si="843"/>
        <v>299.44151999999997</v>
      </c>
      <c r="G2368" s="40">
        <f t="shared" si="842"/>
        <v>314.41359599999998</v>
      </c>
    </row>
    <row r="2369" spans="2:7" x14ac:dyDescent="0.25">
      <c r="B2369" s="41" t="s">
        <v>826</v>
      </c>
      <c r="C2369" s="2" t="s">
        <v>827</v>
      </c>
      <c r="E2369" s="62">
        <v>26.64</v>
      </c>
      <c r="G2369" s="40">
        <f>+E2369*1.05</f>
        <v>27.972000000000001</v>
      </c>
    </row>
    <row r="2370" spans="2:7" x14ac:dyDescent="0.25">
      <c r="B2370" s="41" t="s">
        <v>828</v>
      </c>
      <c r="C2370" s="2" t="s">
        <v>827</v>
      </c>
      <c r="E2370" s="62">
        <v>205.84</v>
      </c>
      <c r="G2370" s="40">
        <f>+E2370*1.05</f>
        <v>216.13200000000001</v>
      </c>
    </row>
    <row r="2371" spans="2:7" ht="15.6" x14ac:dyDescent="0.25">
      <c r="B2371" s="41" t="s">
        <v>829</v>
      </c>
      <c r="C2371" s="2" t="s">
        <v>814</v>
      </c>
      <c r="E2371" s="226">
        <v>312.56</v>
      </c>
      <c r="F2371" s="227">
        <f t="shared" ref="F2371:F2377" si="844">+E2371*1.2*1.18*(1.01+0.05)</f>
        <v>469.14005759999998</v>
      </c>
      <c r="G2371" s="40">
        <f t="shared" si="842"/>
        <v>492.59706047999998</v>
      </c>
    </row>
    <row r="2372" spans="2:7" ht="15.6" x14ac:dyDescent="0.25">
      <c r="B2372" s="41" t="s">
        <v>830</v>
      </c>
      <c r="C2372" s="2" t="s">
        <v>814</v>
      </c>
      <c r="E2372" s="226">
        <v>267.39999999999998</v>
      </c>
      <c r="F2372" s="227">
        <f t="shared" si="844"/>
        <v>401.35670399999992</v>
      </c>
      <c r="G2372" s="40">
        <f t="shared" si="842"/>
        <v>421.42453919999991</v>
      </c>
    </row>
    <row r="2373" spans="2:7" ht="15.6" x14ac:dyDescent="0.25">
      <c r="B2373" s="41" t="s">
        <v>831</v>
      </c>
      <c r="C2373" s="2" t="s">
        <v>814</v>
      </c>
      <c r="E2373" s="226">
        <v>267.39999999999998</v>
      </c>
      <c r="F2373" s="227">
        <f t="shared" si="844"/>
        <v>401.35670399999992</v>
      </c>
      <c r="G2373" s="40">
        <f t="shared" si="842"/>
        <v>421.42453919999991</v>
      </c>
    </row>
    <row r="2374" spans="2:7" ht="15.6" x14ac:dyDescent="0.25">
      <c r="B2374" s="41" t="s">
        <v>832</v>
      </c>
      <c r="C2374" s="2" t="s">
        <v>814</v>
      </c>
      <c r="E2374" s="226">
        <v>275.24</v>
      </c>
      <c r="F2374" s="227">
        <f t="shared" si="844"/>
        <v>413.12423040000004</v>
      </c>
      <c r="G2374" s="40">
        <f t="shared" si="842"/>
        <v>433.78044192000004</v>
      </c>
    </row>
    <row r="2375" spans="2:7" ht="15.6" x14ac:dyDescent="0.25">
      <c r="B2375" s="41" t="s">
        <v>833</v>
      </c>
      <c r="C2375" s="2" t="s">
        <v>814</v>
      </c>
      <c r="E2375" s="226">
        <v>166.67</v>
      </c>
      <c r="F2375" s="227">
        <f t="shared" si="844"/>
        <v>250.16500319999997</v>
      </c>
      <c r="G2375" s="40">
        <f t="shared" si="842"/>
        <v>262.67325335999999</v>
      </c>
    </row>
    <row r="2376" spans="2:7" ht="15.6" x14ac:dyDescent="0.25">
      <c r="B2376" s="41" t="s">
        <v>834</v>
      </c>
      <c r="C2376" s="2" t="s">
        <v>814</v>
      </c>
      <c r="E2376" s="226">
        <v>166.67</v>
      </c>
      <c r="F2376" s="227">
        <f t="shared" si="844"/>
        <v>250.16500319999997</v>
      </c>
      <c r="G2376" s="40">
        <f t="shared" si="842"/>
        <v>262.67325335999999</v>
      </c>
    </row>
    <row r="2377" spans="2:7" ht="15.6" x14ac:dyDescent="0.25">
      <c r="B2377" s="41" t="s">
        <v>835</v>
      </c>
      <c r="C2377" s="2" t="s">
        <v>827</v>
      </c>
      <c r="E2377" s="226">
        <v>275.24</v>
      </c>
      <c r="F2377" s="227">
        <f t="shared" si="844"/>
        <v>413.12423040000004</v>
      </c>
      <c r="G2377" s="40">
        <f>+F2377*1.05</f>
        <v>433.78044192000004</v>
      </c>
    </row>
    <row r="2378" spans="2:7" x14ac:dyDescent="0.25">
      <c r="B2378" s="41" t="s">
        <v>836</v>
      </c>
      <c r="C2378" s="2" t="s">
        <v>827</v>
      </c>
      <c r="E2378" s="62">
        <f>+(114.16+134.92)*1.18</f>
        <v>293.91439999999994</v>
      </c>
      <c r="G2378" s="40">
        <f>+E2378*1.05</f>
        <v>308.61011999999994</v>
      </c>
    </row>
    <row r="2379" spans="2:7" x14ac:dyDescent="0.25">
      <c r="B2379" s="41"/>
      <c r="G2379" s="2" t="s">
        <v>837</v>
      </c>
    </row>
    <row r="2380" spans="2:7" x14ac:dyDescent="0.25">
      <c r="B2380" s="41"/>
    </row>
    <row r="2381" spans="2:7" ht="15.6" x14ac:dyDescent="0.3">
      <c r="B2381" s="3" t="s">
        <v>838</v>
      </c>
    </row>
    <row r="2382" spans="2:7" x14ac:dyDescent="0.25">
      <c r="B2382" s="41" t="s">
        <v>839</v>
      </c>
      <c r="C2382" s="2">
        <v>1</v>
      </c>
      <c r="D2382" s="2" t="s">
        <v>150</v>
      </c>
      <c r="E2382" s="62"/>
      <c r="F2382" s="62">
        <f>+C2382*E2382</f>
        <v>0</v>
      </c>
    </row>
    <row r="2383" spans="2:7" x14ac:dyDescent="0.25">
      <c r="B2383" s="41" t="s">
        <v>840</v>
      </c>
      <c r="C2383" s="2">
        <v>3.2810000000000001</v>
      </c>
      <c r="D2383" s="2" t="s">
        <v>841</v>
      </c>
      <c r="E2383" s="62">
        <f>1350*1.18</f>
        <v>1593</v>
      </c>
      <c r="F2383" s="62">
        <f t="shared" ref="F2383:F2386" si="845">+C2383*E2383</f>
        <v>5226.6329999999998</v>
      </c>
    </row>
    <row r="2384" spans="2:7" x14ac:dyDescent="0.25">
      <c r="B2384" s="41" t="s">
        <v>839</v>
      </c>
      <c r="C2384" s="2">
        <v>1</v>
      </c>
      <c r="D2384" s="2" t="s">
        <v>150</v>
      </c>
      <c r="E2384" s="62">
        <f>+'[1]MO MAY25'!N264*3</f>
        <v>1345.5</v>
      </c>
      <c r="F2384" s="62">
        <f t="shared" si="845"/>
        <v>1345.5</v>
      </c>
    </row>
    <row r="2385" spans="2:10" x14ac:dyDescent="0.25">
      <c r="B2385" s="41" t="s">
        <v>370</v>
      </c>
      <c r="C2385" s="2">
        <v>5</v>
      </c>
      <c r="D2385" s="2" t="s">
        <v>34</v>
      </c>
      <c r="E2385" s="62">
        <f>SUM(F2382:F2384)</f>
        <v>6572.1329999999998</v>
      </c>
      <c r="F2385" s="62">
        <f>+C2385*E2385/100</f>
        <v>328.60665</v>
      </c>
    </row>
    <row r="2386" spans="2:10" x14ac:dyDescent="0.25">
      <c r="B2386" s="41" t="s">
        <v>772</v>
      </c>
      <c r="C2386" s="2">
        <v>1</v>
      </c>
      <c r="D2386" s="2" t="s">
        <v>184</v>
      </c>
      <c r="E2386" s="62">
        <v>165</v>
      </c>
      <c r="F2386" s="62">
        <f t="shared" si="845"/>
        <v>165</v>
      </c>
    </row>
    <row r="2387" spans="2:10" ht="15.6" x14ac:dyDescent="0.3">
      <c r="B2387" s="41"/>
      <c r="G2387" s="159">
        <f>SUM(F2382:F2386)</f>
        <v>7065.7396499999995</v>
      </c>
      <c r="H2387" s="115" t="s">
        <v>150</v>
      </c>
    </row>
    <row r="2388" spans="2:10" ht="15.6" x14ac:dyDescent="0.3">
      <c r="B2388" s="41"/>
      <c r="G2388" s="62">
        <f>+G2387/3.281</f>
        <v>2153.5323529411762</v>
      </c>
      <c r="H2388" s="115" t="s">
        <v>842</v>
      </c>
    </row>
    <row r="2389" spans="2:10" ht="15.6" x14ac:dyDescent="0.25">
      <c r="B2389" s="41"/>
      <c r="G2389" s="228">
        <f>5.75*4.65*2+140</f>
        <v>193.47499999999999</v>
      </c>
      <c r="H2389" s="229">
        <f>+(59.06+332.69+213.59)</f>
        <v>605.34</v>
      </c>
      <c r="I2389" s="228">
        <f>+H2389/G2389</f>
        <v>3.1287763276909164</v>
      </c>
      <c r="J2389" s="2" t="s">
        <v>843</v>
      </c>
    </row>
    <row r="2390" spans="2:10" x14ac:dyDescent="0.25">
      <c r="B2390" s="41" t="s">
        <v>844</v>
      </c>
      <c r="C2390" s="2">
        <v>3</v>
      </c>
      <c r="D2390" s="2" t="s">
        <v>81</v>
      </c>
      <c r="E2390" s="62">
        <f>494*58</f>
        <v>28652</v>
      </c>
      <c r="F2390" s="2">
        <f>+C2390*E2390</f>
        <v>85956</v>
      </c>
    </row>
    <row r="2391" spans="2:10" ht="15.6" x14ac:dyDescent="0.3">
      <c r="B2391" s="41"/>
      <c r="G2391" s="159">
        <f>SUM(F2390)</f>
        <v>85956</v>
      </c>
      <c r="H2391" s="115" t="s">
        <v>150</v>
      </c>
    </row>
    <row r="2392" spans="2:10" x14ac:dyDescent="0.25">
      <c r="B2392" s="41"/>
    </row>
    <row r="2393" spans="2:10" x14ac:dyDescent="0.25">
      <c r="B2393" s="41"/>
    </row>
    <row r="2394" spans="2:10" x14ac:dyDescent="0.25">
      <c r="B2394" s="41"/>
    </row>
    <row r="2395" spans="2:10" x14ac:dyDescent="0.25">
      <c r="B2395" s="41" t="s">
        <v>845</v>
      </c>
    </row>
    <row r="2396" spans="2:10" x14ac:dyDescent="0.25">
      <c r="B2396" s="41"/>
      <c r="G2396" s="2" t="s">
        <v>846</v>
      </c>
    </row>
    <row r="2397" spans="2:10" x14ac:dyDescent="0.25">
      <c r="B2397" s="41" t="s">
        <v>847</v>
      </c>
      <c r="C2397" s="2">
        <v>1</v>
      </c>
      <c r="D2397" s="2" t="s">
        <v>8</v>
      </c>
      <c r="E2397" s="62">
        <f>+(22881.36+2*5508.47)*1.18*1.15</f>
        <v>45999.993099999992</v>
      </c>
      <c r="F2397" s="62">
        <f>+C2397*E2397</f>
        <v>45999.993099999992</v>
      </c>
      <c r="G2397" s="2">
        <v>5000</v>
      </c>
      <c r="H2397" s="2">
        <f>+C2397*G2397</f>
        <v>5000</v>
      </c>
    </row>
    <row r="2398" spans="2:10" x14ac:dyDescent="0.25">
      <c r="B2398" s="41" t="s">
        <v>848</v>
      </c>
      <c r="C2398" s="2">
        <v>13</v>
      </c>
      <c r="D2398" s="2" t="s">
        <v>8</v>
      </c>
      <c r="E2398" s="62">
        <f>3435*1.18*1.05</f>
        <v>4255.9650000000001</v>
      </c>
      <c r="F2398" s="62">
        <f t="shared" ref="F2398:F2407" si="846">+C2398*E2398</f>
        <v>55327.544999999998</v>
      </c>
      <c r="G2398" s="2">
        <v>900</v>
      </c>
      <c r="H2398" s="2">
        <f t="shared" ref="H2398:H2407" si="847">+C2398*G2398</f>
        <v>11700</v>
      </c>
    </row>
    <row r="2399" spans="2:10" x14ac:dyDescent="0.25">
      <c r="B2399" s="41" t="s">
        <v>849</v>
      </c>
      <c r="C2399" s="2">
        <v>1</v>
      </c>
      <c r="D2399" s="2" t="s">
        <v>8</v>
      </c>
      <c r="E2399" s="62">
        <f>3500*1.18*1.05</f>
        <v>4336.5</v>
      </c>
      <c r="F2399" s="62">
        <f t="shared" si="846"/>
        <v>4336.5</v>
      </c>
      <c r="G2399" s="2">
        <v>900</v>
      </c>
      <c r="H2399" s="2">
        <f t="shared" si="847"/>
        <v>900</v>
      </c>
    </row>
    <row r="2400" spans="2:10" x14ac:dyDescent="0.25">
      <c r="B2400" s="41" t="s">
        <v>850</v>
      </c>
      <c r="C2400" s="2">
        <f>9+6</f>
        <v>15</v>
      </c>
      <c r="D2400" s="2" t="s">
        <v>8</v>
      </c>
      <c r="E2400" s="62">
        <f>1905*1.18*1.05</f>
        <v>2360.2950000000001</v>
      </c>
      <c r="F2400" s="62">
        <f t="shared" si="846"/>
        <v>35404.425000000003</v>
      </c>
      <c r="G2400" s="2">
        <v>900</v>
      </c>
      <c r="H2400" s="2">
        <f t="shared" si="847"/>
        <v>13500</v>
      </c>
    </row>
    <row r="2401" spans="2:8" x14ac:dyDescent="0.25">
      <c r="B2401" s="41" t="s">
        <v>851</v>
      </c>
      <c r="C2401" s="2">
        <f>9+5+2*3</f>
        <v>20</v>
      </c>
      <c r="D2401" s="2" t="s">
        <v>8</v>
      </c>
      <c r="E2401" s="62">
        <f>685*1.18*1.15</f>
        <v>929.54499999999985</v>
      </c>
      <c r="F2401" s="62">
        <f t="shared" si="846"/>
        <v>18590.899999999998</v>
      </c>
      <c r="G2401" s="2">
        <v>500</v>
      </c>
      <c r="H2401" s="2">
        <f t="shared" si="847"/>
        <v>10000</v>
      </c>
    </row>
    <row r="2402" spans="2:8" x14ac:dyDescent="0.25">
      <c r="B2402" s="41" t="s">
        <v>852</v>
      </c>
      <c r="C2402" s="2">
        <v>14</v>
      </c>
      <c r="D2402" s="2" t="s">
        <v>8</v>
      </c>
      <c r="E2402" s="62">
        <f>325*1.18*1.05</f>
        <v>402.67500000000001</v>
      </c>
      <c r="F2402" s="62">
        <f t="shared" si="846"/>
        <v>5637.45</v>
      </c>
      <c r="G2402" s="2">
        <v>300</v>
      </c>
      <c r="H2402" s="2">
        <f t="shared" si="847"/>
        <v>4200</v>
      </c>
    </row>
    <row r="2403" spans="2:8" x14ac:dyDescent="0.25">
      <c r="B2403" s="41" t="s">
        <v>853</v>
      </c>
      <c r="C2403" s="2">
        <v>2</v>
      </c>
      <c r="D2403" s="2" t="s">
        <v>8</v>
      </c>
      <c r="E2403" s="62">
        <f>26500*1.18*1.15</f>
        <v>35960.5</v>
      </c>
      <c r="F2403" s="62">
        <f t="shared" si="846"/>
        <v>71921</v>
      </c>
      <c r="G2403" s="2">
        <v>750</v>
      </c>
      <c r="H2403" s="2">
        <f t="shared" si="847"/>
        <v>1500</v>
      </c>
    </row>
    <row r="2404" spans="2:8" x14ac:dyDescent="0.25">
      <c r="B2404" s="41" t="s">
        <v>854</v>
      </c>
      <c r="C2404" s="2">
        <v>3</v>
      </c>
      <c r="D2404" s="2" t="s">
        <v>8</v>
      </c>
      <c r="E2404" s="62">
        <f>7200*1.18*1.018</f>
        <v>8648.9279999999999</v>
      </c>
      <c r="F2404" s="62">
        <f t="shared" si="846"/>
        <v>25946.784</v>
      </c>
      <c r="G2404" s="2">
        <v>750</v>
      </c>
      <c r="H2404" s="2">
        <f t="shared" si="847"/>
        <v>2250</v>
      </c>
    </row>
    <row r="2405" spans="2:8" x14ac:dyDescent="0.25">
      <c r="B2405" s="41" t="s">
        <v>855</v>
      </c>
      <c r="C2405" s="2">
        <f>+C2402*4</f>
        <v>56</v>
      </c>
      <c r="D2405" s="2" t="s">
        <v>8</v>
      </c>
      <c r="E2405" s="62">
        <f>410*1.18*1.05</f>
        <v>507.98999999999995</v>
      </c>
      <c r="F2405" s="62">
        <f t="shared" si="846"/>
        <v>28447.439999999999</v>
      </c>
      <c r="G2405" s="2">
        <f>1200/4</f>
        <v>300</v>
      </c>
      <c r="H2405" s="2">
        <f t="shared" si="847"/>
        <v>16800</v>
      </c>
    </row>
    <row r="2406" spans="2:8" x14ac:dyDescent="0.25">
      <c r="B2406" s="41" t="s">
        <v>856</v>
      </c>
      <c r="C2406" s="2">
        <v>9</v>
      </c>
      <c r="D2406" s="2" t="s">
        <v>8</v>
      </c>
      <c r="E2406" s="62">
        <f>+(2293.12+922.23+229.31*2+692.92*2)*1.18*1.35</f>
        <v>8060.277329999999</v>
      </c>
      <c r="F2406" s="62">
        <f t="shared" si="846"/>
        <v>72542.495969999989</v>
      </c>
      <c r="G2406" s="2">
        <v>1500</v>
      </c>
      <c r="H2406" s="2">
        <f t="shared" si="847"/>
        <v>13500</v>
      </c>
    </row>
    <row r="2407" spans="2:8" x14ac:dyDescent="0.25">
      <c r="B2407" s="41" t="s">
        <v>857</v>
      </c>
      <c r="C2407" s="2">
        <v>4</v>
      </c>
      <c r="D2407" s="2" t="s">
        <v>8</v>
      </c>
      <c r="E2407" s="62">
        <f>+(3434.69+922.23*2+229.31*2+692.92*2)*1.18*1.35</f>
        <v>11347.910729999998</v>
      </c>
      <c r="F2407" s="62">
        <f t="shared" si="846"/>
        <v>45391.642919999991</v>
      </c>
      <c r="G2407" s="2">
        <v>1500</v>
      </c>
      <c r="H2407" s="2">
        <f t="shared" si="847"/>
        <v>6000</v>
      </c>
    </row>
    <row r="2408" spans="2:8" ht="15.6" x14ac:dyDescent="0.3">
      <c r="B2408" s="41"/>
      <c r="E2408" s="62"/>
      <c r="F2408" s="62"/>
      <c r="G2408" s="159">
        <f>SUM(F2397:F2407)+SUM(H2397:H2407)</f>
        <v>494896.17599000002</v>
      </c>
      <c r="H2408" s="115" t="s">
        <v>858</v>
      </c>
    </row>
    <row r="2409" spans="2:8" x14ac:dyDescent="0.25">
      <c r="B2409" s="41"/>
      <c r="E2409" s="62"/>
      <c r="F2409" s="62"/>
    </row>
    <row r="2410" spans="2:8" x14ac:dyDescent="0.25">
      <c r="B2410" s="41"/>
    </row>
    <row r="2411" spans="2:8" x14ac:dyDescent="0.25">
      <c r="B2411" s="41"/>
    </row>
    <row r="2412" spans="2:8" x14ac:dyDescent="0.25">
      <c r="B2412" s="41"/>
    </row>
    <row r="2413" spans="2:8" x14ac:dyDescent="0.25">
      <c r="B2413" s="41"/>
    </row>
    <row r="2414" spans="2:8" x14ac:dyDescent="0.25">
      <c r="B2414" s="41"/>
    </row>
    <row r="2415" spans="2:8" x14ac:dyDescent="0.25">
      <c r="B2415" s="41"/>
    </row>
    <row r="2416" spans="2:8" x14ac:dyDescent="0.25">
      <c r="B2416" s="41"/>
    </row>
    <row r="2417" spans="2:2" x14ac:dyDescent="0.25">
      <c r="B2417" s="41"/>
    </row>
    <row r="2418" spans="2:2" x14ac:dyDescent="0.25">
      <c r="B2418" s="41"/>
    </row>
    <row r="2419" spans="2:2" x14ac:dyDescent="0.25">
      <c r="B2419" s="41"/>
    </row>
    <row r="2420" spans="2:2" x14ac:dyDescent="0.25">
      <c r="B2420" s="41"/>
    </row>
    <row r="2421" spans="2:2" x14ac:dyDescent="0.25">
      <c r="B2421" s="41"/>
    </row>
    <row r="2422" spans="2:2" x14ac:dyDescent="0.25">
      <c r="B2422" s="41"/>
    </row>
    <row r="2423" spans="2:2" x14ac:dyDescent="0.25">
      <c r="B2423" s="41"/>
    </row>
    <row r="2424" spans="2:2" x14ac:dyDescent="0.25">
      <c r="B2424" s="41"/>
    </row>
    <row r="2425" spans="2:2" x14ac:dyDescent="0.25">
      <c r="B2425" s="41"/>
    </row>
    <row r="2426" spans="2:2" x14ac:dyDescent="0.25">
      <c r="B2426" s="41"/>
    </row>
    <row r="2427" spans="2:2" x14ac:dyDescent="0.25">
      <c r="B2427" s="41"/>
    </row>
    <row r="2428" spans="2:2" x14ac:dyDescent="0.25">
      <c r="B2428" s="41"/>
    </row>
    <row r="2429" spans="2:2" x14ac:dyDescent="0.25">
      <c r="B2429" s="41"/>
    </row>
    <row r="2430" spans="2:2" x14ac:dyDescent="0.25">
      <c r="B2430" s="41"/>
    </row>
    <row r="2431" spans="2:2" x14ac:dyDescent="0.25">
      <c r="B2431" s="41"/>
    </row>
    <row r="2432" spans="2:2" x14ac:dyDescent="0.25">
      <c r="B2432" s="41"/>
    </row>
    <row r="2433" spans="2:2" x14ac:dyDescent="0.25">
      <c r="B2433" s="41"/>
    </row>
    <row r="2434" spans="2:2" x14ac:dyDescent="0.25">
      <c r="B2434" s="41"/>
    </row>
    <row r="2435" spans="2:2" x14ac:dyDescent="0.25">
      <c r="B2435" s="41"/>
    </row>
    <row r="2436" spans="2:2" x14ac:dyDescent="0.25">
      <c r="B2436" s="41"/>
    </row>
    <row r="2437" spans="2:2" x14ac:dyDescent="0.25">
      <c r="B2437" s="41"/>
    </row>
    <row r="2438" spans="2:2" x14ac:dyDescent="0.25">
      <c r="B2438" s="41"/>
    </row>
    <row r="2439" spans="2:2" x14ac:dyDescent="0.25">
      <c r="B2439" s="41"/>
    </row>
    <row r="2440" spans="2:2" x14ac:dyDescent="0.25">
      <c r="B2440" s="41"/>
    </row>
    <row r="2441" spans="2:2" x14ac:dyDescent="0.25">
      <c r="B2441" s="41"/>
    </row>
    <row r="2442" spans="2:2" x14ac:dyDescent="0.25">
      <c r="B2442" s="41"/>
    </row>
    <row r="2443" spans="2:2" x14ac:dyDescent="0.25">
      <c r="B2443" s="41"/>
    </row>
    <row r="2444" spans="2:2" x14ac:dyDescent="0.25">
      <c r="B2444" s="41"/>
    </row>
    <row r="2445" spans="2:2" x14ac:dyDescent="0.25">
      <c r="B2445" s="41"/>
    </row>
    <row r="2446" spans="2:2" x14ac:dyDescent="0.25">
      <c r="B2446" s="41"/>
    </row>
    <row r="2447" spans="2:2" x14ac:dyDescent="0.25">
      <c r="B2447" s="41"/>
    </row>
    <row r="2448" spans="2:2" x14ac:dyDescent="0.25">
      <c r="B2448" s="41"/>
    </row>
    <row r="2449" spans="2:2" x14ac:dyDescent="0.25">
      <c r="B2449" s="41"/>
    </row>
    <row r="2450" spans="2:2" x14ac:dyDescent="0.25">
      <c r="B2450" s="41"/>
    </row>
    <row r="2451" spans="2:2" x14ac:dyDescent="0.25">
      <c r="B2451" s="41"/>
    </row>
    <row r="2452" spans="2:2" x14ac:dyDescent="0.25">
      <c r="B2452" s="41"/>
    </row>
    <row r="2453" spans="2:2" x14ac:dyDescent="0.25">
      <c r="B2453" s="41"/>
    </row>
    <row r="2454" spans="2:2" x14ac:dyDescent="0.25">
      <c r="B2454" s="41"/>
    </row>
    <row r="2455" spans="2:2" x14ac:dyDescent="0.25">
      <c r="B2455" s="41"/>
    </row>
    <row r="2456" spans="2:2" x14ac:dyDescent="0.25">
      <c r="B2456" s="41"/>
    </row>
    <row r="2457" spans="2:2" x14ac:dyDescent="0.25">
      <c r="B2457" s="41"/>
    </row>
    <row r="2458" spans="2:2" x14ac:dyDescent="0.25">
      <c r="B2458" s="41"/>
    </row>
    <row r="2459" spans="2:2" x14ac:dyDescent="0.25">
      <c r="B2459" s="41"/>
    </row>
    <row r="2460" spans="2:2" x14ac:dyDescent="0.25">
      <c r="B2460" s="41"/>
    </row>
    <row r="2461" spans="2:2" x14ac:dyDescent="0.25">
      <c r="B2461" s="41"/>
    </row>
    <row r="2462" spans="2:2" x14ac:dyDescent="0.25">
      <c r="B2462" s="41"/>
    </row>
    <row r="2463" spans="2:2" x14ac:dyDescent="0.25">
      <c r="B2463" s="41"/>
    </row>
    <row r="2464" spans="2:2" x14ac:dyDescent="0.25">
      <c r="B2464" s="41"/>
    </row>
    <row r="2465" spans="2:2" x14ac:dyDescent="0.25">
      <c r="B2465" s="41"/>
    </row>
    <row r="2466" spans="2:2" x14ac:dyDescent="0.25">
      <c r="B2466" s="41"/>
    </row>
    <row r="2467" spans="2:2" x14ac:dyDescent="0.25">
      <c r="B2467" s="41"/>
    </row>
    <row r="2468" spans="2:2" x14ac:dyDescent="0.25">
      <c r="B2468" s="41"/>
    </row>
    <row r="2469" spans="2:2" x14ac:dyDescent="0.25">
      <c r="B2469" s="41"/>
    </row>
    <row r="2470" spans="2:2" x14ac:dyDescent="0.25">
      <c r="B2470" s="41"/>
    </row>
    <row r="2471" spans="2:2" x14ac:dyDescent="0.25">
      <c r="B2471" s="41"/>
    </row>
    <row r="2472" spans="2:2" x14ac:dyDescent="0.25">
      <c r="B2472" s="41"/>
    </row>
    <row r="2473" spans="2:2" x14ac:dyDescent="0.25">
      <c r="B2473" s="41"/>
    </row>
    <row r="2474" spans="2:2" x14ac:dyDescent="0.25">
      <c r="B2474" s="41"/>
    </row>
    <row r="2475" spans="2:2" x14ac:dyDescent="0.25">
      <c r="B2475" s="41"/>
    </row>
    <row r="2476" spans="2:2" x14ac:dyDescent="0.25">
      <c r="B2476" s="41"/>
    </row>
    <row r="2477" spans="2:2" x14ac:dyDescent="0.25">
      <c r="B2477" s="41"/>
    </row>
    <row r="2478" spans="2:2" x14ac:dyDescent="0.25">
      <c r="B2478" s="41"/>
    </row>
    <row r="2479" spans="2:2" x14ac:dyDescent="0.25">
      <c r="B2479" s="41"/>
    </row>
    <row r="2480" spans="2:2" x14ac:dyDescent="0.25">
      <c r="B2480" s="41"/>
    </row>
    <row r="2481" spans="2:2" x14ac:dyDescent="0.25">
      <c r="B2481" s="41"/>
    </row>
    <row r="2482" spans="2:2" x14ac:dyDescent="0.25">
      <c r="B2482" s="41"/>
    </row>
    <row r="2483" spans="2:2" x14ac:dyDescent="0.25">
      <c r="B2483" s="41"/>
    </row>
    <row r="2484" spans="2:2" x14ac:dyDescent="0.25">
      <c r="B2484" s="41"/>
    </row>
    <row r="2485" spans="2:2" x14ac:dyDescent="0.25">
      <c r="B2485" s="41"/>
    </row>
    <row r="2486" spans="2:2" x14ac:dyDescent="0.25">
      <c r="B2486" s="41"/>
    </row>
    <row r="2487" spans="2:2" x14ac:dyDescent="0.25">
      <c r="B2487" s="41"/>
    </row>
    <row r="2488" spans="2:2" x14ac:dyDescent="0.25">
      <c r="B2488" s="41"/>
    </row>
    <row r="2489" spans="2:2" x14ac:dyDescent="0.25">
      <c r="B2489" s="41"/>
    </row>
    <row r="2490" spans="2:2" x14ac:dyDescent="0.25">
      <c r="B2490" s="41"/>
    </row>
    <row r="2491" spans="2:2" x14ac:dyDescent="0.25">
      <c r="B2491" s="41"/>
    </row>
    <row r="2492" spans="2:2" x14ac:dyDescent="0.25">
      <c r="B2492" s="41"/>
    </row>
    <row r="2493" spans="2:2" x14ac:dyDescent="0.25">
      <c r="B2493" s="41"/>
    </row>
    <row r="2494" spans="2:2" x14ac:dyDescent="0.25">
      <c r="B2494" s="41"/>
    </row>
    <row r="2495" spans="2:2" x14ac:dyDescent="0.25">
      <c r="B2495" s="41"/>
    </row>
    <row r="2496" spans="2:2" x14ac:dyDescent="0.25">
      <c r="B2496" s="41"/>
    </row>
    <row r="2497" spans="2:2" x14ac:dyDescent="0.25">
      <c r="B2497" s="41"/>
    </row>
    <row r="2498" spans="2:2" x14ac:dyDescent="0.25">
      <c r="B2498" s="41"/>
    </row>
    <row r="2499" spans="2:2" x14ac:dyDescent="0.25">
      <c r="B2499" s="41"/>
    </row>
    <row r="2500" spans="2:2" x14ac:dyDescent="0.25">
      <c r="B2500" s="41"/>
    </row>
    <row r="2501" spans="2:2" x14ac:dyDescent="0.25">
      <c r="B2501" s="41"/>
    </row>
    <row r="2502" spans="2:2" x14ac:dyDescent="0.25">
      <c r="B2502" s="41"/>
    </row>
    <row r="2503" spans="2:2" x14ac:dyDescent="0.25">
      <c r="B2503" s="41"/>
    </row>
    <row r="2504" spans="2:2" x14ac:dyDescent="0.25">
      <c r="B2504" s="41"/>
    </row>
    <row r="2505" spans="2:2" x14ac:dyDescent="0.25">
      <c r="B2505" s="41"/>
    </row>
    <row r="2506" spans="2:2" x14ac:dyDescent="0.25">
      <c r="B2506" s="41"/>
    </row>
    <row r="2507" spans="2:2" x14ac:dyDescent="0.25">
      <c r="B2507" s="41"/>
    </row>
    <row r="2508" spans="2:2" x14ac:dyDescent="0.25">
      <c r="B2508" s="41"/>
    </row>
    <row r="2509" spans="2:2" x14ac:dyDescent="0.25">
      <c r="B2509" s="41"/>
    </row>
    <row r="2510" spans="2:2" x14ac:dyDescent="0.25">
      <c r="B2510" s="41"/>
    </row>
    <row r="2511" spans="2:2" x14ac:dyDescent="0.25">
      <c r="B2511" s="41"/>
    </row>
    <row r="2512" spans="2:2" x14ac:dyDescent="0.25">
      <c r="B2512" s="41"/>
    </row>
    <row r="2513" spans="2:2" x14ac:dyDescent="0.25">
      <c r="B2513" s="41"/>
    </row>
    <row r="2514" spans="2:2" x14ac:dyDescent="0.25">
      <c r="B2514" s="41"/>
    </row>
    <row r="2515" spans="2:2" x14ac:dyDescent="0.25">
      <c r="B2515" s="41"/>
    </row>
    <row r="2516" spans="2:2" x14ac:dyDescent="0.25">
      <c r="B2516" s="41"/>
    </row>
    <row r="2517" spans="2:2" x14ac:dyDescent="0.25">
      <c r="B2517" s="41"/>
    </row>
    <row r="2518" spans="2:2" x14ac:dyDescent="0.25">
      <c r="B2518" s="41"/>
    </row>
    <row r="2519" spans="2:2" x14ac:dyDescent="0.25">
      <c r="B2519" s="41"/>
    </row>
    <row r="2520" spans="2:2" x14ac:dyDescent="0.25">
      <c r="B2520" s="41"/>
    </row>
    <row r="2521" spans="2:2" x14ac:dyDescent="0.25">
      <c r="B2521" s="41"/>
    </row>
    <row r="2522" spans="2:2" x14ac:dyDescent="0.25">
      <c r="B2522" s="41"/>
    </row>
    <row r="2523" spans="2:2" x14ac:dyDescent="0.25">
      <c r="B2523" s="41"/>
    </row>
    <row r="2524" spans="2:2" x14ac:dyDescent="0.25">
      <c r="B2524" s="41"/>
    </row>
    <row r="2525" spans="2:2" x14ac:dyDescent="0.25">
      <c r="B2525" s="41"/>
    </row>
    <row r="2526" spans="2:2" x14ac:dyDescent="0.25">
      <c r="B2526" s="41"/>
    </row>
    <row r="2527" spans="2:2" x14ac:dyDescent="0.25">
      <c r="B2527" s="41"/>
    </row>
    <row r="2528" spans="2:2" x14ac:dyDescent="0.25">
      <c r="B2528" s="41"/>
    </row>
    <row r="2529" spans="2:2" x14ac:dyDescent="0.25">
      <c r="B2529" s="41"/>
    </row>
    <row r="2530" spans="2:2" x14ac:dyDescent="0.25">
      <c r="B2530" s="41"/>
    </row>
    <row r="2531" spans="2:2" x14ac:dyDescent="0.25">
      <c r="B2531" s="41"/>
    </row>
    <row r="2532" spans="2:2" x14ac:dyDescent="0.25">
      <c r="B2532" s="41"/>
    </row>
    <row r="2533" spans="2:2" x14ac:dyDescent="0.25">
      <c r="B2533" s="41"/>
    </row>
    <row r="2534" spans="2:2" x14ac:dyDescent="0.25">
      <c r="B2534" s="41"/>
    </row>
    <row r="2535" spans="2:2" x14ac:dyDescent="0.25">
      <c r="B2535" s="41"/>
    </row>
    <row r="2536" spans="2:2" x14ac:dyDescent="0.25">
      <c r="B2536" s="41"/>
    </row>
    <row r="2537" spans="2:2" x14ac:dyDescent="0.25">
      <c r="B2537" s="41"/>
    </row>
    <row r="2538" spans="2:2" x14ac:dyDescent="0.25">
      <c r="B2538" s="41"/>
    </row>
    <row r="2539" spans="2:2" x14ac:dyDescent="0.25">
      <c r="B2539" s="41"/>
    </row>
    <row r="2540" spans="2:2" x14ac:dyDescent="0.25">
      <c r="B2540" s="41"/>
    </row>
    <row r="2541" spans="2:2" x14ac:dyDescent="0.25">
      <c r="B2541" s="41"/>
    </row>
    <row r="2542" spans="2:2" x14ac:dyDescent="0.25">
      <c r="B2542" s="41"/>
    </row>
    <row r="2543" spans="2:2" x14ac:dyDescent="0.25">
      <c r="B2543" s="41"/>
    </row>
    <row r="2544" spans="2:2" x14ac:dyDescent="0.25">
      <c r="B2544" s="41"/>
    </row>
    <row r="2545" spans="2:2" x14ac:dyDescent="0.25">
      <c r="B2545" s="41"/>
    </row>
    <row r="2546" spans="2:2" x14ac:dyDescent="0.25">
      <c r="B2546" s="41"/>
    </row>
    <row r="2547" spans="2:2" x14ac:dyDescent="0.25">
      <c r="B2547" s="41"/>
    </row>
    <row r="2548" spans="2:2" x14ac:dyDescent="0.25">
      <c r="B2548" s="41"/>
    </row>
    <row r="2549" spans="2:2" x14ac:dyDescent="0.25">
      <c r="B2549" s="41"/>
    </row>
    <row r="2550" spans="2:2" x14ac:dyDescent="0.25">
      <c r="B2550" s="41"/>
    </row>
    <row r="2551" spans="2:2" x14ac:dyDescent="0.25">
      <c r="B2551" s="41"/>
    </row>
    <row r="2552" spans="2:2" x14ac:dyDescent="0.25">
      <c r="B2552" s="41"/>
    </row>
    <row r="2553" spans="2:2" x14ac:dyDescent="0.25">
      <c r="B2553" s="41"/>
    </row>
    <row r="2554" spans="2:2" x14ac:dyDescent="0.25">
      <c r="B2554" s="41"/>
    </row>
    <row r="2555" spans="2:2" x14ac:dyDescent="0.25">
      <c r="B2555" s="41"/>
    </row>
    <row r="2556" spans="2:2" x14ac:dyDescent="0.25">
      <c r="B2556" s="41"/>
    </row>
    <row r="2557" spans="2:2" x14ac:dyDescent="0.25">
      <c r="B2557" s="41"/>
    </row>
    <row r="2558" spans="2:2" x14ac:dyDescent="0.25">
      <c r="B2558" s="41"/>
    </row>
    <row r="2559" spans="2:2" x14ac:dyDescent="0.25">
      <c r="B2559" s="41"/>
    </row>
    <row r="2560" spans="2:2" x14ac:dyDescent="0.25">
      <c r="B2560" s="41"/>
    </row>
    <row r="2561" spans="2:2" x14ac:dyDescent="0.25">
      <c r="B2561" s="41"/>
    </row>
    <row r="2562" spans="2:2" x14ac:dyDescent="0.25">
      <c r="B2562" s="41"/>
    </row>
    <row r="2563" spans="2:2" x14ac:dyDescent="0.25">
      <c r="B2563" s="41"/>
    </row>
    <row r="2564" spans="2:2" x14ac:dyDescent="0.25">
      <c r="B2564" s="41"/>
    </row>
    <row r="2565" spans="2:2" x14ac:dyDescent="0.25">
      <c r="B2565" s="41"/>
    </row>
    <row r="2566" spans="2:2" x14ac:dyDescent="0.25">
      <c r="B2566" s="41"/>
    </row>
    <row r="2567" spans="2:2" x14ac:dyDescent="0.25">
      <c r="B2567" s="41"/>
    </row>
    <row r="2568" spans="2:2" x14ac:dyDescent="0.25">
      <c r="B2568" s="41"/>
    </row>
    <row r="2569" spans="2:2" x14ac:dyDescent="0.25">
      <c r="B2569" s="41"/>
    </row>
    <row r="2570" spans="2:2" x14ac:dyDescent="0.25">
      <c r="B2570" s="41"/>
    </row>
    <row r="2571" spans="2:2" x14ac:dyDescent="0.25">
      <c r="B2571" s="41"/>
    </row>
    <row r="2572" spans="2:2" x14ac:dyDescent="0.25">
      <c r="B2572" s="41"/>
    </row>
    <row r="2573" spans="2:2" x14ac:dyDescent="0.25">
      <c r="B2573" s="41"/>
    </row>
    <row r="2574" spans="2:2" x14ac:dyDescent="0.25">
      <c r="B2574" s="41"/>
    </row>
    <row r="2575" spans="2:2" x14ac:dyDescent="0.25">
      <c r="B2575" s="41"/>
    </row>
    <row r="2576" spans="2:2" x14ac:dyDescent="0.25">
      <c r="B2576" s="41"/>
    </row>
    <row r="2577" spans="2:2" x14ac:dyDescent="0.25">
      <c r="B2577" s="41"/>
    </row>
    <row r="2578" spans="2:2" x14ac:dyDescent="0.25">
      <c r="B2578" s="41"/>
    </row>
    <row r="2579" spans="2:2" x14ac:dyDescent="0.25">
      <c r="B2579" s="41"/>
    </row>
    <row r="2580" spans="2:2" x14ac:dyDescent="0.25">
      <c r="B2580" s="41"/>
    </row>
    <row r="2581" spans="2:2" x14ac:dyDescent="0.25">
      <c r="B2581" s="41"/>
    </row>
    <row r="2582" spans="2:2" x14ac:dyDescent="0.25">
      <c r="B2582" s="41"/>
    </row>
    <row r="2583" spans="2:2" x14ac:dyDescent="0.25">
      <c r="B2583" s="41"/>
    </row>
    <row r="2584" spans="2:2" x14ac:dyDescent="0.25">
      <c r="B2584" s="41"/>
    </row>
    <row r="2585" spans="2:2" x14ac:dyDescent="0.25">
      <c r="B2585" s="41"/>
    </row>
    <row r="2586" spans="2:2" x14ac:dyDescent="0.25">
      <c r="B2586" s="41"/>
    </row>
    <row r="2587" spans="2:2" x14ac:dyDescent="0.25">
      <c r="B2587" s="41"/>
    </row>
    <row r="2588" spans="2:2" x14ac:dyDescent="0.25">
      <c r="B2588" s="41"/>
    </row>
    <row r="2589" spans="2:2" x14ac:dyDescent="0.25">
      <c r="B2589" s="41"/>
    </row>
    <row r="2590" spans="2:2" x14ac:dyDescent="0.25">
      <c r="B2590" s="41"/>
    </row>
    <row r="2591" spans="2:2" x14ac:dyDescent="0.25">
      <c r="B2591" s="41"/>
    </row>
    <row r="2592" spans="2:2" x14ac:dyDescent="0.25">
      <c r="B2592" s="41"/>
    </row>
    <row r="2593" spans="2:2" x14ac:dyDescent="0.25">
      <c r="B2593" s="41"/>
    </row>
    <row r="2594" spans="2:2" x14ac:dyDescent="0.25">
      <c r="B2594" s="41"/>
    </row>
    <row r="2595" spans="2:2" x14ac:dyDescent="0.25">
      <c r="B2595" s="41"/>
    </row>
    <row r="2596" spans="2:2" x14ac:dyDescent="0.25">
      <c r="B2596" s="41"/>
    </row>
    <row r="2597" spans="2:2" x14ac:dyDescent="0.25">
      <c r="B2597" s="41"/>
    </row>
    <row r="2598" spans="2:2" x14ac:dyDescent="0.25">
      <c r="B2598" s="41"/>
    </row>
    <row r="2599" spans="2:2" x14ac:dyDescent="0.25">
      <c r="B2599" s="41"/>
    </row>
    <row r="2600" spans="2:2" x14ac:dyDescent="0.25">
      <c r="B2600" s="41"/>
    </row>
    <row r="2601" spans="2:2" x14ac:dyDescent="0.25">
      <c r="B2601" s="41"/>
    </row>
    <row r="2602" spans="2:2" x14ac:dyDescent="0.25">
      <c r="B2602" s="41"/>
    </row>
    <row r="2603" spans="2:2" x14ac:dyDescent="0.25">
      <c r="B2603" s="41"/>
    </row>
    <row r="2604" spans="2:2" x14ac:dyDescent="0.25">
      <c r="B2604" s="41"/>
    </row>
    <row r="2605" spans="2:2" x14ac:dyDescent="0.25">
      <c r="B2605" s="41"/>
    </row>
    <row r="2606" spans="2:2" x14ac:dyDescent="0.25">
      <c r="B2606" s="41"/>
    </row>
    <row r="2607" spans="2:2" x14ac:dyDescent="0.25">
      <c r="B2607" s="41"/>
    </row>
    <row r="2608" spans="2:2" x14ac:dyDescent="0.25">
      <c r="B2608" s="41"/>
    </row>
    <row r="2609" spans="2:2" x14ac:dyDescent="0.25">
      <c r="B2609" s="41"/>
    </row>
    <row r="2610" spans="2:2" x14ac:dyDescent="0.25">
      <c r="B2610" s="41"/>
    </row>
    <row r="2611" spans="2:2" x14ac:dyDescent="0.25">
      <c r="B2611" s="41"/>
    </row>
    <row r="2612" spans="2:2" x14ac:dyDescent="0.25">
      <c r="B2612" s="41"/>
    </row>
    <row r="2613" spans="2:2" x14ac:dyDescent="0.25">
      <c r="B2613" s="41"/>
    </row>
    <row r="2614" spans="2:2" x14ac:dyDescent="0.25">
      <c r="B2614" s="41"/>
    </row>
    <row r="2615" spans="2:2" x14ac:dyDescent="0.25">
      <c r="B2615" s="41"/>
    </row>
    <row r="2616" spans="2:2" x14ac:dyDescent="0.25">
      <c r="B2616" s="41"/>
    </row>
    <row r="2617" spans="2:2" x14ac:dyDescent="0.25">
      <c r="B2617" s="41"/>
    </row>
    <row r="2618" spans="2:2" x14ac:dyDescent="0.25">
      <c r="B2618" s="41"/>
    </row>
    <row r="2619" spans="2:2" x14ac:dyDescent="0.25">
      <c r="B2619" s="41"/>
    </row>
    <row r="2620" spans="2:2" x14ac:dyDescent="0.25">
      <c r="B2620" s="41"/>
    </row>
    <row r="2621" spans="2:2" x14ac:dyDescent="0.25">
      <c r="B2621" s="41"/>
    </row>
    <row r="2622" spans="2:2" x14ac:dyDescent="0.25">
      <c r="B2622" s="41"/>
    </row>
    <row r="2623" spans="2:2" x14ac:dyDescent="0.25">
      <c r="B2623" s="41"/>
    </row>
    <row r="2624" spans="2:2" x14ac:dyDescent="0.25">
      <c r="B2624" s="41"/>
    </row>
    <row r="2625" spans="2:2" x14ac:dyDescent="0.25">
      <c r="B2625" s="41"/>
    </row>
    <row r="2626" spans="2:2" x14ac:dyDescent="0.25">
      <c r="B2626" s="41"/>
    </row>
    <row r="2627" spans="2:2" x14ac:dyDescent="0.25">
      <c r="B2627" s="41"/>
    </row>
    <row r="2628" spans="2:2" x14ac:dyDescent="0.25">
      <c r="B2628" s="41"/>
    </row>
    <row r="2629" spans="2:2" x14ac:dyDescent="0.25">
      <c r="B2629" s="41"/>
    </row>
    <row r="2630" spans="2:2" x14ac:dyDescent="0.25">
      <c r="B2630" s="41"/>
    </row>
    <row r="2631" spans="2:2" x14ac:dyDescent="0.25">
      <c r="B2631" s="41"/>
    </row>
    <row r="2632" spans="2:2" x14ac:dyDescent="0.25">
      <c r="B2632" s="41"/>
    </row>
    <row r="2633" spans="2:2" x14ac:dyDescent="0.25">
      <c r="B2633" s="41"/>
    </row>
    <row r="2634" spans="2:2" x14ac:dyDescent="0.25">
      <c r="B2634" s="41"/>
    </row>
    <row r="2635" spans="2:2" x14ac:dyDescent="0.25">
      <c r="B2635" s="41"/>
    </row>
    <row r="2636" spans="2:2" x14ac:dyDescent="0.25">
      <c r="B2636" s="41"/>
    </row>
    <row r="2637" spans="2:2" x14ac:dyDescent="0.25">
      <c r="B2637" s="41"/>
    </row>
    <row r="2638" spans="2:2" x14ac:dyDescent="0.25">
      <c r="B2638" s="41"/>
    </row>
    <row r="2639" spans="2:2" x14ac:dyDescent="0.25">
      <c r="B2639" s="41"/>
    </row>
    <row r="2640" spans="2:2" x14ac:dyDescent="0.25">
      <c r="B2640" s="41"/>
    </row>
    <row r="2641" spans="2:2" x14ac:dyDescent="0.25">
      <c r="B2641" s="41"/>
    </row>
    <row r="2642" spans="2:2" x14ac:dyDescent="0.25">
      <c r="B2642" s="41"/>
    </row>
    <row r="2643" spans="2:2" x14ac:dyDescent="0.25">
      <c r="B2643" s="41"/>
    </row>
    <row r="2644" spans="2:2" x14ac:dyDescent="0.25">
      <c r="B2644" s="41"/>
    </row>
    <row r="2645" spans="2:2" x14ac:dyDescent="0.25">
      <c r="B2645" s="41"/>
    </row>
    <row r="2646" spans="2:2" x14ac:dyDescent="0.25">
      <c r="B2646" s="41"/>
    </row>
    <row r="2647" spans="2:2" x14ac:dyDescent="0.25">
      <c r="B2647" s="41"/>
    </row>
    <row r="2648" spans="2:2" x14ac:dyDescent="0.25">
      <c r="B2648" s="41"/>
    </row>
    <row r="2649" spans="2:2" x14ac:dyDescent="0.25">
      <c r="B2649" s="41"/>
    </row>
    <row r="2650" spans="2:2" x14ac:dyDescent="0.25">
      <c r="B2650" s="41"/>
    </row>
    <row r="2651" spans="2:2" x14ac:dyDescent="0.25">
      <c r="B2651" s="41"/>
    </row>
    <row r="2652" spans="2:2" x14ac:dyDescent="0.25">
      <c r="B2652" s="41"/>
    </row>
    <row r="2653" spans="2:2" x14ac:dyDescent="0.25">
      <c r="B2653" s="41"/>
    </row>
    <row r="2654" spans="2:2" x14ac:dyDescent="0.25">
      <c r="B2654" s="41"/>
    </row>
    <row r="2655" spans="2:2" x14ac:dyDescent="0.25">
      <c r="B2655" s="41"/>
    </row>
    <row r="2656" spans="2:2" x14ac:dyDescent="0.25">
      <c r="B2656" s="41"/>
    </row>
    <row r="2657" spans="2:2" x14ac:dyDescent="0.25">
      <c r="B2657" s="41"/>
    </row>
    <row r="2658" spans="2:2" x14ac:dyDescent="0.25">
      <c r="B2658" s="41"/>
    </row>
    <row r="2659" spans="2:2" x14ac:dyDescent="0.25">
      <c r="B2659" s="41"/>
    </row>
    <row r="2660" spans="2:2" x14ac:dyDescent="0.25">
      <c r="B2660" s="41"/>
    </row>
    <row r="2661" spans="2:2" x14ac:dyDescent="0.25">
      <c r="B2661" s="41"/>
    </row>
    <row r="2662" spans="2:2" x14ac:dyDescent="0.25">
      <c r="B2662" s="41"/>
    </row>
    <row r="2663" spans="2:2" x14ac:dyDescent="0.25">
      <c r="B2663" s="41"/>
    </row>
    <row r="2664" spans="2:2" x14ac:dyDescent="0.25">
      <c r="B2664" s="41"/>
    </row>
    <row r="2665" spans="2:2" x14ac:dyDescent="0.25">
      <c r="B2665" s="41"/>
    </row>
    <row r="2666" spans="2:2" x14ac:dyDescent="0.25">
      <c r="B2666" s="41"/>
    </row>
    <row r="2667" spans="2:2" x14ac:dyDescent="0.25">
      <c r="B2667" s="41"/>
    </row>
    <row r="2668" spans="2:2" x14ac:dyDescent="0.25">
      <c r="B2668" s="41"/>
    </row>
    <row r="2669" spans="2:2" x14ac:dyDescent="0.25">
      <c r="B2669" s="41"/>
    </row>
    <row r="2670" spans="2:2" x14ac:dyDescent="0.25">
      <c r="B2670" s="41"/>
    </row>
    <row r="2671" spans="2:2" x14ac:dyDescent="0.25">
      <c r="B2671" s="41"/>
    </row>
    <row r="2672" spans="2:2" x14ac:dyDescent="0.25">
      <c r="B2672" s="41"/>
    </row>
    <row r="2673" spans="2:2" x14ac:dyDescent="0.25">
      <c r="B2673" s="41"/>
    </row>
    <row r="2674" spans="2:2" x14ac:dyDescent="0.25">
      <c r="B2674" s="41"/>
    </row>
    <row r="2675" spans="2:2" x14ac:dyDescent="0.25">
      <c r="B2675" s="41"/>
    </row>
    <row r="2676" spans="2:2" x14ac:dyDescent="0.25">
      <c r="B2676" s="41"/>
    </row>
    <row r="2677" spans="2:2" x14ac:dyDescent="0.25">
      <c r="B2677" s="41"/>
    </row>
    <row r="2678" spans="2:2" x14ac:dyDescent="0.25">
      <c r="B2678" s="41"/>
    </row>
    <row r="2679" spans="2:2" x14ac:dyDescent="0.25">
      <c r="B2679" s="41"/>
    </row>
    <row r="2680" spans="2:2" x14ac:dyDescent="0.25">
      <c r="B2680" s="41"/>
    </row>
    <row r="2681" spans="2:2" x14ac:dyDescent="0.25">
      <c r="B2681" s="41"/>
    </row>
    <row r="2682" spans="2:2" x14ac:dyDescent="0.25">
      <c r="B2682" s="41"/>
    </row>
    <row r="2683" spans="2:2" x14ac:dyDescent="0.25">
      <c r="B2683" s="41"/>
    </row>
    <row r="2684" spans="2:2" x14ac:dyDescent="0.25">
      <c r="B2684" s="41"/>
    </row>
    <row r="2685" spans="2:2" x14ac:dyDescent="0.25">
      <c r="B2685" s="41"/>
    </row>
    <row r="2686" spans="2:2" x14ac:dyDescent="0.25">
      <c r="B2686" s="41"/>
    </row>
    <row r="2687" spans="2:2" x14ac:dyDescent="0.25">
      <c r="B2687" s="41"/>
    </row>
    <row r="2688" spans="2:2" x14ac:dyDescent="0.25">
      <c r="B2688" s="41"/>
    </row>
    <row r="2689" spans="2:2" x14ac:dyDescent="0.25">
      <c r="B2689" s="41"/>
    </row>
    <row r="2690" spans="2:2" x14ac:dyDescent="0.25">
      <c r="B2690" s="41"/>
    </row>
    <row r="2691" spans="2:2" x14ac:dyDescent="0.25">
      <c r="B2691" s="41"/>
    </row>
    <row r="2692" spans="2:2" x14ac:dyDescent="0.25">
      <c r="B2692" s="41"/>
    </row>
    <row r="2693" spans="2:2" x14ac:dyDescent="0.25">
      <c r="B2693" s="41"/>
    </row>
    <row r="2694" spans="2:2" x14ac:dyDescent="0.25">
      <c r="B2694" s="41"/>
    </row>
    <row r="2695" spans="2:2" x14ac:dyDescent="0.25">
      <c r="B2695" s="41"/>
    </row>
    <row r="2696" spans="2:2" x14ac:dyDescent="0.25">
      <c r="B2696" s="41"/>
    </row>
    <row r="2697" spans="2:2" x14ac:dyDescent="0.25">
      <c r="B2697" s="41"/>
    </row>
    <row r="2698" spans="2:2" x14ac:dyDescent="0.25">
      <c r="B2698" s="41"/>
    </row>
    <row r="2699" spans="2:2" x14ac:dyDescent="0.25">
      <c r="B2699" s="41"/>
    </row>
    <row r="2700" spans="2:2" x14ac:dyDescent="0.25">
      <c r="B2700" s="41"/>
    </row>
    <row r="2701" spans="2:2" x14ac:dyDescent="0.25">
      <c r="B2701" s="41"/>
    </row>
    <row r="2702" spans="2:2" x14ac:dyDescent="0.25">
      <c r="B2702" s="41"/>
    </row>
    <row r="2703" spans="2:2" x14ac:dyDescent="0.25">
      <c r="B2703" s="41"/>
    </row>
    <row r="2704" spans="2:2" x14ac:dyDescent="0.25">
      <c r="B2704" s="41"/>
    </row>
    <row r="2705" spans="2:2" x14ac:dyDescent="0.25">
      <c r="B2705" s="41"/>
    </row>
    <row r="2706" spans="2:2" x14ac:dyDescent="0.25">
      <c r="B2706" s="41"/>
    </row>
    <row r="2707" spans="2:2" x14ac:dyDescent="0.25">
      <c r="B2707" s="41"/>
    </row>
    <row r="2708" spans="2:2" x14ac:dyDescent="0.25">
      <c r="B2708" s="41"/>
    </row>
    <row r="2709" spans="2:2" x14ac:dyDescent="0.25">
      <c r="B2709" s="41"/>
    </row>
    <row r="2710" spans="2:2" x14ac:dyDescent="0.25">
      <c r="B2710" s="41"/>
    </row>
    <row r="2711" spans="2:2" x14ac:dyDescent="0.25">
      <c r="B2711" s="41"/>
    </row>
    <row r="2712" spans="2:2" x14ac:dyDescent="0.25">
      <c r="B2712" s="41"/>
    </row>
    <row r="2713" spans="2:2" x14ac:dyDescent="0.25">
      <c r="B2713" s="41"/>
    </row>
    <row r="2714" spans="2:2" x14ac:dyDescent="0.25">
      <c r="B2714" s="41"/>
    </row>
    <row r="2715" spans="2:2" x14ac:dyDescent="0.25">
      <c r="B2715" s="41"/>
    </row>
    <row r="2716" spans="2:2" x14ac:dyDescent="0.25">
      <c r="B2716" s="41"/>
    </row>
    <row r="2717" spans="2:2" x14ac:dyDescent="0.25">
      <c r="B2717" s="41"/>
    </row>
    <row r="2718" spans="2:2" x14ac:dyDescent="0.25">
      <c r="B2718" s="41"/>
    </row>
    <row r="2719" spans="2:2" x14ac:dyDescent="0.25">
      <c r="B2719" s="41"/>
    </row>
    <row r="2720" spans="2:2" x14ac:dyDescent="0.25">
      <c r="B2720" s="41"/>
    </row>
    <row r="2721" spans="2:2" x14ac:dyDescent="0.25">
      <c r="B2721" s="41"/>
    </row>
    <row r="2722" spans="2:2" x14ac:dyDescent="0.25">
      <c r="B2722" s="41"/>
    </row>
    <row r="2723" spans="2:2" x14ac:dyDescent="0.25">
      <c r="B2723" s="41"/>
    </row>
    <row r="2724" spans="2:2" x14ac:dyDescent="0.25">
      <c r="B2724" s="41"/>
    </row>
    <row r="2725" spans="2:2" x14ac:dyDescent="0.25">
      <c r="B2725" s="41"/>
    </row>
    <row r="2726" spans="2:2" x14ac:dyDescent="0.25">
      <c r="B2726" s="41"/>
    </row>
    <row r="2727" spans="2:2" x14ac:dyDescent="0.25">
      <c r="B2727" s="41"/>
    </row>
    <row r="2728" spans="2:2" x14ac:dyDescent="0.25">
      <c r="B2728" s="41"/>
    </row>
    <row r="2729" spans="2:2" x14ac:dyDescent="0.25">
      <c r="B2729" s="41"/>
    </row>
    <row r="2730" spans="2:2" x14ac:dyDescent="0.25">
      <c r="B2730" s="41"/>
    </row>
    <row r="2731" spans="2:2" x14ac:dyDescent="0.25">
      <c r="B2731" s="41"/>
    </row>
    <row r="2732" spans="2:2" x14ac:dyDescent="0.25">
      <c r="B2732" s="41"/>
    </row>
    <row r="2733" spans="2:2" x14ac:dyDescent="0.25">
      <c r="B2733" s="41"/>
    </row>
    <row r="2734" spans="2:2" x14ac:dyDescent="0.25">
      <c r="B2734" s="41"/>
    </row>
    <row r="2735" spans="2:2" x14ac:dyDescent="0.25">
      <c r="B2735" s="41"/>
    </row>
    <row r="2736" spans="2:2" x14ac:dyDescent="0.25">
      <c r="B2736" s="41"/>
    </row>
    <row r="2737" spans="2:2" x14ac:dyDescent="0.25">
      <c r="B2737" s="41"/>
    </row>
    <row r="2738" spans="2:2" x14ac:dyDescent="0.25">
      <c r="B2738" s="41"/>
    </row>
    <row r="2739" spans="2:2" x14ac:dyDescent="0.25">
      <c r="B2739" s="41"/>
    </row>
    <row r="2740" spans="2:2" x14ac:dyDescent="0.25">
      <c r="B2740" s="41"/>
    </row>
    <row r="2741" spans="2:2" x14ac:dyDescent="0.25">
      <c r="B2741" s="41"/>
    </row>
    <row r="2742" spans="2:2" x14ac:dyDescent="0.25">
      <c r="B2742" s="41"/>
    </row>
    <row r="2743" spans="2:2" x14ac:dyDescent="0.25">
      <c r="B2743" s="41"/>
    </row>
    <row r="2744" spans="2:2" x14ac:dyDescent="0.25">
      <c r="B2744" s="41"/>
    </row>
    <row r="2745" spans="2:2" x14ac:dyDescent="0.25">
      <c r="B2745" s="41"/>
    </row>
    <row r="2746" spans="2:2" x14ac:dyDescent="0.25">
      <c r="B2746" s="41"/>
    </row>
    <row r="2747" spans="2:2" x14ac:dyDescent="0.25">
      <c r="B2747" s="41"/>
    </row>
    <row r="2748" spans="2:2" x14ac:dyDescent="0.25">
      <c r="B2748" s="41"/>
    </row>
    <row r="2749" spans="2:2" x14ac:dyDescent="0.25">
      <c r="B2749" s="41"/>
    </row>
    <row r="2750" spans="2:2" x14ac:dyDescent="0.25">
      <c r="B2750" s="41"/>
    </row>
    <row r="2751" spans="2:2" x14ac:dyDescent="0.25">
      <c r="B2751" s="41"/>
    </row>
    <row r="2752" spans="2:2" x14ac:dyDescent="0.25">
      <c r="B2752" s="41"/>
    </row>
    <row r="2753" spans="2:2" x14ac:dyDescent="0.25">
      <c r="B2753" s="41"/>
    </row>
    <row r="2754" spans="2:2" x14ac:dyDescent="0.25">
      <c r="B2754" s="41"/>
    </row>
    <row r="2755" spans="2:2" x14ac:dyDescent="0.25">
      <c r="B2755" s="41"/>
    </row>
    <row r="2756" spans="2:2" x14ac:dyDescent="0.25">
      <c r="B2756" s="41"/>
    </row>
    <row r="2757" spans="2:2" x14ac:dyDescent="0.25">
      <c r="B2757" s="41"/>
    </row>
    <row r="2758" spans="2:2" x14ac:dyDescent="0.25">
      <c r="B2758" s="41"/>
    </row>
    <row r="2759" spans="2:2" x14ac:dyDescent="0.25">
      <c r="B2759" s="41"/>
    </row>
    <row r="2760" spans="2:2" x14ac:dyDescent="0.25">
      <c r="B2760" s="41"/>
    </row>
    <row r="2761" spans="2:2" x14ac:dyDescent="0.25">
      <c r="B2761" s="41"/>
    </row>
    <row r="2762" spans="2:2" x14ac:dyDescent="0.25">
      <c r="B2762" s="41"/>
    </row>
    <row r="2763" spans="2:2" x14ac:dyDescent="0.25">
      <c r="B2763" s="41"/>
    </row>
    <row r="2764" spans="2:2" x14ac:dyDescent="0.25">
      <c r="B2764" s="41"/>
    </row>
    <row r="2765" spans="2:2" x14ac:dyDescent="0.25">
      <c r="B2765" s="41"/>
    </row>
    <row r="2766" spans="2:2" x14ac:dyDescent="0.25">
      <c r="B2766" s="41"/>
    </row>
    <row r="2767" spans="2:2" x14ac:dyDescent="0.25">
      <c r="B2767" s="41"/>
    </row>
    <row r="2768" spans="2:2" x14ac:dyDescent="0.25">
      <c r="B2768" s="41"/>
    </row>
    <row r="2769" spans="2:2" x14ac:dyDescent="0.25">
      <c r="B2769" s="41"/>
    </row>
    <row r="2770" spans="2:2" x14ac:dyDescent="0.25">
      <c r="B2770" s="41"/>
    </row>
    <row r="2771" spans="2:2" x14ac:dyDescent="0.25">
      <c r="B2771" s="41"/>
    </row>
    <row r="2772" spans="2:2" x14ac:dyDescent="0.25">
      <c r="B2772" s="41"/>
    </row>
    <row r="2773" spans="2:2" x14ac:dyDescent="0.25">
      <c r="B2773" s="41"/>
    </row>
    <row r="2774" spans="2:2" x14ac:dyDescent="0.25">
      <c r="B2774" s="41"/>
    </row>
    <row r="2775" spans="2:2" x14ac:dyDescent="0.25">
      <c r="B2775" s="41"/>
    </row>
    <row r="2776" spans="2:2" x14ac:dyDescent="0.25">
      <c r="B2776" s="41"/>
    </row>
    <row r="2777" spans="2:2" x14ac:dyDescent="0.25">
      <c r="B2777" s="41"/>
    </row>
    <row r="2778" spans="2:2" x14ac:dyDescent="0.25">
      <c r="B2778" s="41"/>
    </row>
    <row r="2779" spans="2:2" x14ac:dyDescent="0.25">
      <c r="B2779" s="41"/>
    </row>
    <row r="2780" spans="2:2" x14ac:dyDescent="0.25">
      <c r="B2780" s="41"/>
    </row>
    <row r="2781" spans="2:2" x14ac:dyDescent="0.25">
      <c r="B2781" s="41"/>
    </row>
    <row r="2782" spans="2:2" x14ac:dyDescent="0.25">
      <c r="B2782" s="41"/>
    </row>
    <row r="2783" spans="2:2" x14ac:dyDescent="0.25">
      <c r="B2783" s="41"/>
    </row>
    <row r="2784" spans="2:2" x14ac:dyDescent="0.25">
      <c r="B2784" s="41"/>
    </row>
    <row r="2785" spans="2:2" x14ac:dyDescent="0.25">
      <c r="B2785" s="41"/>
    </row>
    <row r="2786" spans="2:2" x14ac:dyDescent="0.25">
      <c r="B2786" s="41"/>
    </row>
    <row r="2787" spans="2:2" x14ac:dyDescent="0.25">
      <c r="B2787" s="41"/>
    </row>
    <row r="2788" spans="2:2" x14ac:dyDescent="0.25">
      <c r="B2788" s="41"/>
    </row>
    <row r="2789" spans="2:2" x14ac:dyDescent="0.25">
      <c r="B2789" s="41"/>
    </row>
    <row r="2790" spans="2:2" x14ac:dyDescent="0.25">
      <c r="B2790" s="41"/>
    </row>
    <row r="2791" spans="2:2" x14ac:dyDescent="0.25">
      <c r="B2791" s="41"/>
    </row>
    <row r="2792" spans="2:2" x14ac:dyDescent="0.25">
      <c r="B2792" s="41"/>
    </row>
    <row r="2793" spans="2:2" x14ac:dyDescent="0.25">
      <c r="B2793" s="41"/>
    </row>
    <row r="2794" spans="2:2" x14ac:dyDescent="0.25">
      <c r="B2794" s="41"/>
    </row>
    <row r="2795" spans="2:2" x14ac:dyDescent="0.25">
      <c r="B2795" s="41"/>
    </row>
    <row r="2796" spans="2:2" x14ac:dyDescent="0.25">
      <c r="B2796" s="41"/>
    </row>
    <row r="2797" spans="2:2" x14ac:dyDescent="0.25">
      <c r="B2797" s="41"/>
    </row>
    <row r="2798" spans="2:2" x14ac:dyDescent="0.25">
      <c r="B2798" s="41"/>
    </row>
    <row r="2799" spans="2:2" x14ac:dyDescent="0.25">
      <c r="B2799" s="41"/>
    </row>
    <row r="2800" spans="2:2" x14ac:dyDescent="0.25">
      <c r="B2800" s="41"/>
    </row>
    <row r="2801" spans="2:2" x14ac:dyDescent="0.25">
      <c r="B2801" s="41"/>
    </row>
    <row r="2802" spans="2:2" x14ac:dyDescent="0.25">
      <c r="B2802" s="41"/>
    </row>
    <row r="2803" spans="2:2" x14ac:dyDescent="0.25">
      <c r="B2803" s="41"/>
    </row>
    <row r="2804" spans="2:2" x14ac:dyDescent="0.25">
      <c r="B2804" s="41"/>
    </row>
    <row r="2805" spans="2:2" x14ac:dyDescent="0.25">
      <c r="B2805" s="41"/>
    </row>
    <row r="2806" spans="2:2" x14ac:dyDescent="0.25">
      <c r="B2806" s="41"/>
    </row>
    <row r="2807" spans="2:2" x14ac:dyDescent="0.25">
      <c r="B2807" s="41"/>
    </row>
    <row r="2808" spans="2:2" x14ac:dyDescent="0.25">
      <c r="B2808" s="41"/>
    </row>
    <row r="2809" spans="2:2" x14ac:dyDescent="0.25">
      <c r="B2809" s="41"/>
    </row>
    <row r="2810" spans="2:2" x14ac:dyDescent="0.25">
      <c r="B2810" s="41"/>
    </row>
    <row r="2811" spans="2:2" x14ac:dyDescent="0.25">
      <c r="B2811" s="41"/>
    </row>
    <row r="2812" spans="2:2" x14ac:dyDescent="0.25">
      <c r="B2812" s="41"/>
    </row>
    <row r="2813" spans="2:2" x14ac:dyDescent="0.25">
      <c r="B2813" s="41"/>
    </row>
    <row r="2814" spans="2:2" x14ac:dyDescent="0.25">
      <c r="B2814" s="41"/>
    </row>
    <row r="2815" spans="2:2" x14ac:dyDescent="0.25">
      <c r="B2815" s="41"/>
    </row>
    <row r="2816" spans="2:2" x14ac:dyDescent="0.25">
      <c r="B2816" s="41"/>
    </row>
    <row r="2817" spans="2:2" x14ac:dyDescent="0.25">
      <c r="B2817" s="41"/>
    </row>
    <row r="2818" spans="2:2" x14ac:dyDescent="0.25">
      <c r="B2818" s="41"/>
    </row>
    <row r="2819" spans="2:2" x14ac:dyDescent="0.25">
      <c r="B2819" s="41"/>
    </row>
    <row r="2820" spans="2:2" x14ac:dyDescent="0.25">
      <c r="B2820" s="41"/>
    </row>
    <row r="2821" spans="2:2" x14ac:dyDescent="0.25">
      <c r="B2821" s="41"/>
    </row>
    <row r="2822" spans="2:2" x14ac:dyDescent="0.25">
      <c r="B2822" s="41"/>
    </row>
    <row r="2823" spans="2:2" x14ac:dyDescent="0.25">
      <c r="B2823" s="41"/>
    </row>
    <row r="2824" spans="2:2" x14ac:dyDescent="0.25">
      <c r="B2824" s="41"/>
    </row>
    <row r="2825" spans="2:2" x14ac:dyDescent="0.25">
      <c r="B2825" s="41"/>
    </row>
    <row r="2826" spans="2:2" x14ac:dyDescent="0.25">
      <c r="B2826" s="41"/>
    </row>
    <row r="2827" spans="2:2" x14ac:dyDescent="0.25">
      <c r="B2827" s="41"/>
    </row>
    <row r="2828" spans="2:2" x14ac:dyDescent="0.25">
      <c r="B2828" s="41"/>
    </row>
    <row r="2829" spans="2:2" x14ac:dyDescent="0.25">
      <c r="B2829" s="41"/>
    </row>
    <row r="2830" spans="2:2" x14ac:dyDescent="0.25">
      <c r="B2830" s="41"/>
    </row>
    <row r="2831" spans="2:2" x14ac:dyDescent="0.25">
      <c r="B2831" s="41"/>
    </row>
    <row r="2832" spans="2:2" x14ac:dyDescent="0.25">
      <c r="B2832" s="41"/>
    </row>
    <row r="2833" spans="2:2" x14ac:dyDescent="0.25">
      <c r="B2833" s="41"/>
    </row>
    <row r="2834" spans="2:2" x14ac:dyDescent="0.25">
      <c r="B2834" s="41"/>
    </row>
    <row r="2835" spans="2:2" x14ac:dyDescent="0.25">
      <c r="B2835" s="41"/>
    </row>
    <row r="2836" spans="2:2" x14ac:dyDescent="0.25">
      <c r="B2836" s="41"/>
    </row>
    <row r="2837" spans="2:2" x14ac:dyDescent="0.25">
      <c r="B2837" s="41"/>
    </row>
    <row r="2838" spans="2:2" x14ac:dyDescent="0.25">
      <c r="B2838" s="41"/>
    </row>
    <row r="2839" spans="2:2" x14ac:dyDescent="0.25">
      <c r="B2839" s="41"/>
    </row>
    <row r="2840" spans="2:2" x14ac:dyDescent="0.25">
      <c r="B2840" s="41"/>
    </row>
    <row r="2841" spans="2:2" x14ac:dyDescent="0.25">
      <c r="B2841" s="41"/>
    </row>
    <row r="2842" spans="2:2" x14ac:dyDescent="0.25">
      <c r="B2842" s="41"/>
    </row>
    <row r="2843" spans="2:2" x14ac:dyDescent="0.25">
      <c r="B2843" s="41"/>
    </row>
    <row r="2844" spans="2:2" x14ac:dyDescent="0.25">
      <c r="B2844" s="41"/>
    </row>
    <row r="2845" spans="2:2" x14ac:dyDescent="0.25">
      <c r="B2845" s="41"/>
    </row>
    <row r="2846" spans="2:2" x14ac:dyDescent="0.25">
      <c r="B2846" s="41"/>
    </row>
    <row r="2847" spans="2:2" x14ac:dyDescent="0.25">
      <c r="B2847" s="41"/>
    </row>
    <row r="2848" spans="2:2" x14ac:dyDescent="0.25">
      <c r="B2848" s="41"/>
    </row>
    <row r="2849" spans="2:2" x14ac:dyDescent="0.25">
      <c r="B2849" s="41"/>
    </row>
    <row r="2850" spans="2:2" x14ac:dyDescent="0.25">
      <c r="B2850" s="41"/>
    </row>
    <row r="2851" spans="2:2" x14ac:dyDescent="0.25">
      <c r="B2851" s="41"/>
    </row>
    <row r="2852" spans="2:2" x14ac:dyDescent="0.25">
      <c r="B2852" s="41"/>
    </row>
    <row r="2853" spans="2:2" x14ac:dyDescent="0.25">
      <c r="B2853" s="41"/>
    </row>
    <row r="2854" spans="2:2" x14ac:dyDescent="0.25">
      <c r="B2854" s="41"/>
    </row>
    <row r="2855" spans="2:2" x14ac:dyDescent="0.25">
      <c r="B2855" s="41"/>
    </row>
    <row r="2856" spans="2:2" x14ac:dyDescent="0.25">
      <c r="B2856" s="41"/>
    </row>
    <row r="2857" spans="2:2" x14ac:dyDescent="0.25">
      <c r="B2857" s="41"/>
    </row>
    <row r="2858" spans="2:2" x14ac:dyDescent="0.25">
      <c r="B2858" s="41"/>
    </row>
    <row r="2859" spans="2:2" x14ac:dyDescent="0.25">
      <c r="B2859" s="41"/>
    </row>
    <row r="2860" spans="2:2" x14ac:dyDescent="0.25">
      <c r="B2860" s="41"/>
    </row>
    <row r="2861" spans="2:2" x14ac:dyDescent="0.25">
      <c r="B2861" s="41"/>
    </row>
    <row r="2862" spans="2:2" x14ac:dyDescent="0.25">
      <c r="B2862" s="41"/>
    </row>
    <row r="2863" spans="2:2" x14ac:dyDescent="0.25">
      <c r="B2863" s="41"/>
    </row>
    <row r="2864" spans="2:2" x14ac:dyDescent="0.25">
      <c r="B2864" s="41"/>
    </row>
    <row r="2865" spans="2:2" x14ac:dyDescent="0.25">
      <c r="B2865" s="41"/>
    </row>
    <row r="2866" spans="2:2" x14ac:dyDescent="0.25">
      <c r="B2866" s="41"/>
    </row>
    <row r="2867" spans="2:2" x14ac:dyDescent="0.25">
      <c r="B2867" s="41"/>
    </row>
    <row r="2868" spans="2:2" x14ac:dyDescent="0.25">
      <c r="B2868" s="41"/>
    </row>
    <row r="2869" spans="2:2" x14ac:dyDescent="0.25">
      <c r="B2869" s="41"/>
    </row>
    <row r="2870" spans="2:2" x14ac:dyDescent="0.25">
      <c r="B2870" s="41"/>
    </row>
    <row r="2871" spans="2:2" x14ac:dyDescent="0.25">
      <c r="B2871" s="41"/>
    </row>
    <row r="2872" spans="2:2" x14ac:dyDescent="0.25">
      <c r="B2872" s="41"/>
    </row>
    <row r="2873" spans="2:2" x14ac:dyDescent="0.25">
      <c r="B2873" s="41"/>
    </row>
    <row r="2874" spans="2:2" x14ac:dyDescent="0.25">
      <c r="B2874" s="41"/>
    </row>
    <row r="2875" spans="2:2" x14ac:dyDescent="0.25">
      <c r="B2875" s="41"/>
    </row>
    <row r="2876" spans="2:2" x14ac:dyDescent="0.25">
      <c r="B2876" s="41"/>
    </row>
    <row r="2877" spans="2:2" x14ac:dyDescent="0.25">
      <c r="B2877" s="41"/>
    </row>
    <row r="2878" spans="2:2" x14ac:dyDescent="0.25">
      <c r="B2878" s="41"/>
    </row>
    <row r="2879" spans="2:2" x14ac:dyDescent="0.25">
      <c r="B2879" s="41"/>
    </row>
    <row r="2880" spans="2:2" x14ac:dyDescent="0.25">
      <c r="B2880" s="41"/>
    </row>
    <row r="2881" spans="2:2" x14ac:dyDescent="0.25">
      <c r="B2881" s="41"/>
    </row>
    <row r="2882" spans="2:2" x14ac:dyDescent="0.25">
      <c r="B2882" s="41"/>
    </row>
    <row r="2883" spans="2:2" x14ac:dyDescent="0.25">
      <c r="B2883" s="41"/>
    </row>
    <row r="2884" spans="2:2" x14ac:dyDescent="0.25">
      <c r="B2884" s="41"/>
    </row>
    <row r="2885" spans="2:2" x14ac:dyDescent="0.25">
      <c r="B2885" s="41"/>
    </row>
    <row r="2886" spans="2:2" x14ac:dyDescent="0.25">
      <c r="B2886" s="41"/>
    </row>
    <row r="2887" spans="2:2" x14ac:dyDescent="0.25">
      <c r="B2887" s="41"/>
    </row>
    <row r="2888" spans="2:2" x14ac:dyDescent="0.25">
      <c r="B2888" s="41"/>
    </row>
    <row r="2889" spans="2:2" x14ac:dyDescent="0.25">
      <c r="B2889" s="41"/>
    </row>
    <row r="2890" spans="2:2" x14ac:dyDescent="0.25">
      <c r="B2890" s="41"/>
    </row>
    <row r="2891" spans="2:2" x14ac:dyDescent="0.25">
      <c r="B2891" s="41"/>
    </row>
    <row r="2892" spans="2:2" x14ac:dyDescent="0.25">
      <c r="B2892" s="41"/>
    </row>
    <row r="2893" spans="2:2" x14ac:dyDescent="0.25">
      <c r="B2893" s="41"/>
    </row>
    <row r="2894" spans="2:2" x14ac:dyDescent="0.25">
      <c r="B2894" s="41"/>
    </row>
    <row r="2895" spans="2:2" x14ac:dyDescent="0.25">
      <c r="B2895" s="41"/>
    </row>
    <row r="2896" spans="2:2" x14ac:dyDescent="0.25">
      <c r="B2896" s="41"/>
    </row>
    <row r="2897" spans="2:2" x14ac:dyDescent="0.25">
      <c r="B2897" s="41"/>
    </row>
    <row r="2898" spans="2:2" x14ac:dyDescent="0.25">
      <c r="B2898" s="41"/>
    </row>
    <row r="2899" spans="2:2" x14ac:dyDescent="0.25">
      <c r="B2899" s="41"/>
    </row>
    <row r="2900" spans="2:2" x14ac:dyDescent="0.25">
      <c r="B2900" s="41"/>
    </row>
    <row r="2901" spans="2:2" x14ac:dyDescent="0.25">
      <c r="B2901" s="41"/>
    </row>
    <row r="2902" spans="2:2" x14ac:dyDescent="0.25">
      <c r="B2902" s="41"/>
    </row>
    <row r="2903" spans="2:2" x14ac:dyDescent="0.25">
      <c r="B2903" s="41"/>
    </row>
    <row r="2904" spans="2:2" x14ac:dyDescent="0.25">
      <c r="B2904" s="41"/>
    </row>
    <row r="2905" spans="2:2" x14ac:dyDescent="0.25">
      <c r="B2905" s="41"/>
    </row>
    <row r="2906" spans="2:2" x14ac:dyDescent="0.25">
      <c r="B2906" s="41"/>
    </row>
    <row r="2907" spans="2:2" x14ac:dyDescent="0.25">
      <c r="B2907" s="41"/>
    </row>
    <row r="2908" spans="2:2" x14ac:dyDescent="0.25">
      <c r="B2908" s="41"/>
    </row>
    <row r="2909" spans="2:2" x14ac:dyDescent="0.25">
      <c r="B2909" s="41"/>
    </row>
    <row r="2910" spans="2:2" x14ac:dyDescent="0.25">
      <c r="B2910" s="41"/>
    </row>
    <row r="2911" spans="2:2" x14ac:dyDescent="0.25">
      <c r="B2911" s="41"/>
    </row>
    <row r="2912" spans="2:2" x14ac:dyDescent="0.25">
      <c r="B2912" s="41"/>
    </row>
    <row r="2913" spans="2:2" x14ac:dyDescent="0.25">
      <c r="B2913" s="41"/>
    </row>
    <row r="2914" spans="2:2" x14ac:dyDescent="0.25">
      <c r="B2914" s="41"/>
    </row>
    <row r="2915" spans="2:2" x14ac:dyDescent="0.25">
      <c r="B2915" s="41"/>
    </row>
    <row r="2916" spans="2:2" x14ac:dyDescent="0.25">
      <c r="B2916" s="41"/>
    </row>
    <row r="2917" spans="2:2" x14ac:dyDescent="0.25">
      <c r="B2917" s="41"/>
    </row>
    <row r="2918" spans="2:2" x14ac:dyDescent="0.25">
      <c r="B2918" s="41"/>
    </row>
    <row r="2919" spans="2:2" x14ac:dyDescent="0.25">
      <c r="B2919" s="41"/>
    </row>
    <row r="2920" spans="2:2" x14ac:dyDescent="0.25">
      <c r="B2920" s="41"/>
    </row>
    <row r="2921" spans="2:2" x14ac:dyDescent="0.25">
      <c r="B2921" s="41"/>
    </row>
    <row r="2922" spans="2:2" x14ac:dyDescent="0.25">
      <c r="B2922" s="41"/>
    </row>
    <row r="2923" spans="2:2" x14ac:dyDescent="0.25">
      <c r="B2923" s="41"/>
    </row>
    <row r="2924" spans="2:2" x14ac:dyDescent="0.25">
      <c r="B2924" s="41"/>
    </row>
    <row r="2925" spans="2:2" x14ac:dyDescent="0.25">
      <c r="B2925" s="41"/>
    </row>
    <row r="2926" spans="2:2" x14ac:dyDescent="0.25">
      <c r="B2926" s="41"/>
    </row>
    <row r="2927" spans="2:2" x14ac:dyDescent="0.25">
      <c r="B2927" s="41"/>
    </row>
    <row r="2928" spans="2:2" x14ac:dyDescent="0.25">
      <c r="B2928" s="41"/>
    </row>
    <row r="2929" spans="2:2" x14ac:dyDescent="0.25">
      <c r="B2929" s="41"/>
    </row>
    <row r="2930" spans="2:2" x14ac:dyDescent="0.25">
      <c r="B2930" s="41"/>
    </row>
    <row r="2931" spans="2:2" x14ac:dyDescent="0.25">
      <c r="B2931" s="41"/>
    </row>
    <row r="2932" spans="2:2" x14ac:dyDescent="0.25">
      <c r="B2932" s="41"/>
    </row>
    <row r="2933" spans="2:2" x14ac:dyDescent="0.25">
      <c r="B2933" s="41"/>
    </row>
    <row r="2934" spans="2:2" x14ac:dyDescent="0.25">
      <c r="B2934" s="41"/>
    </row>
    <row r="2935" spans="2:2" x14ac:dyDescent="0.25">
      <c r="B2935" s="41"/>
    </row>
    <row r="2936" spans="2:2" x14ac:dyDescent="0.25">
      <c r="B2936" s="41"/>
    </row>
    <row r="2937" spans="2:2" x14ac:dyDescent="0.25">
      <c r="B2937" s="41"/>
    </row>
    <row r="2938" spans="2:2" x14ac:dyDescent="0.25">
      <c r="B2938" s="41"/>
    </row>
    <row r="2939" spans="2:2" x14ac:dyDescent="0.25">
      <c r="B2939" s="41"/>
    </row>
    <row r="2940" spans="2:2" x14ac:dyDescent="0.25">
      <c r="B2940" s="41"/>
    </row>
    <row r="2941" spans="2:2" x14ac:dyDescent="0.25">
      <c r="B2941" s="41"/>
    </row>
    <row r="2942" spans="2:2" x14ac:dyDescent="0.25">
      <c r="B2942" s="41"/>
    </row>
    <row r="2943" spans="2:2" x14ac:dyDescent="0.25">
      <c r="B2943" s="41"/>
    </row>
    <row r="2944" spans="2:2" x14ac:dyDescent="0.25">
      <c r="B2944" s="41"/>
    </row>
    <row r="2945" spans="2:2" x14ac:dyDescent="0.25">
      <c r="B2945" s="41"/>
    </row>
    <row r="2946" spans="2:2" x14ac:dyDescent="0.25">
      <c r="B2946" s="41"/>
    </row>
    <row r="2947" spans="2:2" x14ac:dyDescent="0.25">
      <c r="B2947" s="41"/>
    </row>
    <row r="2948" spans="2:2" x14ac:dyDescent="0.25">
      <c r="B2948" s="41"/>
    </row>
    <row r="2949" spans="2:2" x14ac:dyDescent="0.25">
      <c r="B2949" s="41"/>
    </row>
    <row r="2950" spans="2:2" x14ac:dyDescent="0.25">
      <c r="B2950" s="41"/>
    </row>
    <row r="2951" spans="2:2" x14ac:dyDescent="0.25">
      <c r="B2951" s="41"/>
    </row>
    <row r="2952" spans="2:2" x14ac:dyDescent="0.25">
      <c r="B2952" s="41"/>
    </row>
    <row r="2953" spans="2:2" x14ac:dyDescent="0.25">
      <c r="B2953" s="41"/>
    </row>
    <row r="2954" spans="2:2" x14ac:dyDescent="0.25">
      <c r="B2954" s="41"/>
    </row>
    <row r="2955" spans="2:2" x14ac:dyDescent="0.25">
      <c r="B2955" s="41"/>
    </row>
    <row r="2956" spans="2:2" x14ac:dyDescent="0.25">
      <c r="B2956" s="41"/>
    </row>
    <row r="2957" spans="2:2" x14ac:dyDescent="0.25">
      <c r="B2957" s="41"/>
    </row>
    <row r="2958" spans="2:2" x14ac:dyDescent="0.25">
      <c r="B2958" s="41"/>
    </row>
    <row r="2959" spans="2:2" x14ac:dyDescent="0.25">
      <c r="B2959" s="41"/>
    </row>
    <row r="2960" spans="2:2" x14ac:dyDescent="0.25">
      <c r="B2960" s="41"/>
    </row>
    <row r="2961" spans="2:2" x14ac:dyDescent="0.25">
      <c r="B2961" s="41"/>
    </row>
    <row r="2962" spans="2:2" x14ac:dyDescent="0.25">
      <c r="B2962" s="41"/>
    </row>
    <row r="2963" spans="2:2" x14ac:dyDescent="0.25">
      <c r="B2963" s="41"/>
    </row>
    <row r="2964" spans="2:2" x14ac:dyDescent="0.25">
      <c r="B2964" s="41"/>
    </row>
    <row r="2965" spans="2:2" x14ac:dyDescent="0.25">
      <c r="B2965" s="41"/>
    </row>
    <row r="2966" spans="2:2" x14ac:dyDescent="0.25">
      <c r="B2966" s="41"/>
    </row>
    <row r="2967" spans="2:2" x14ac:dyDescent="0.25">
      <c r="B2967" s="41"/>
    </row>
    <row r="2968" spans="2:2" x14ac:dyDescent="0.25">
      <c r="B2968" s="41"/>
    </row>
    <row r="2969" spans="2:2" x14ac:dyDescent="0.25">
      <c r="B2969" s="41"/>
    </row>
    <row r="2970" spans="2:2" x14ac:dyDescent="0.25">
      <c r="B2970" s="41"/>
    </row>
    <row r="2971" spans="2:2" x14ac:dyDescent="0.25">
      <c r="B2971" s="41"/>
    </row>
    <row r="2972" spans="2:2" x14ac:dyDescent="0.25">
      <c r="B2972" s="41"/>
    </row>
    <row r="2973" spans="2:2" x14ac:dyDescent="0.25">
      <c r="B2973" s="41"/>
    </row>
    <row r="2974" spans="2:2" x14ac:dyDescent="0.25">
      <c r="B2974" s="41"/>
    </row>
    <row r="2975" spans="2:2" x14ac:dyDescent="0.25">
      <c r="B2975" s="41"/>
    </row>
    <row r="2976" spans="2:2" x14ac:dyDescent="0.25">
      <c r="B2976" s="41"/>
    </row>
    <row r="2977" spans="2:2" x14ac:dyDescent="0.25">
      <c r="B2977" s="41"/>
    </row>
    <row r="2978" spans="2:2" x14ac:dyDescent="0.25">
      <c r="B2978" s="41"/>
    </row>
    <row r="2979" spans="2:2" x14ac:dyDescent="0.25">
      <c r="B2979" s="41"/>
    </row>
    <row r="2980" spans="2:2" x14ac:dyDescent="0.25">
      <c r="B2980" s="41"/>
    </row>
    <row r="2981" spans="2:2" x14ac:dyDescent="0.25">
      <c r="B2981" s="41"/>
    </row>
    <row r="2982" spans="2:2" x14ac:dyDescent="0.25">
      <c r="B2982" s="41"/>
    </row>
    <row r="2983" spans="2:2" x14ac:dyDescent="0.25">
      <c r="B2983" s="41"/>
    </row>
    <row r="2984" spans="2:2" x14ac:dyDescent="0.25">
      <c r="B2984" s="41"/>
    </row>
    <row r="2985" spans="2:2" x14ac:dyDescent="0.25">
      <c r="B2985" s="41"/>
    </row>
    <row r="2986" spans="2:2" x14ac:dyDescent="0.25">
      <c r="B2986" s="41"/>
    </row>
    <row r="2987" spans="2:2" x14ac:dyDescent="0.25">
      <c r="B2987" s="41"/>
    </row>
    <row r="2988" spans="2:2" x14ac:dyDescent="0.25">
      <c r="B2988" s="41"/>
    </row>
    <row r="2989" spans="2:2" x14ac:dyDescent="0.25">
      <c r="B2989" s="41"/>
    </row>
    <row r="2990" spans="2:2" x14ac:dyDescent="0.25">
      <c r="B2990" s="41"/>
    </row>
    <row r="2991" spans="2:2" x14ac:dyDescent="0.25">
      <c r="B2991" s="41"/>
    </row>
    <row r="2992" spans="2:2" x14ac:dyDescent="0.25">
      <c r="B2992" s="41"/>
    </row>
    <row r="2993" spans="2:2" x14ac:dyDescent="0.25">
      <c r="B2993" s="41"/>
    </row>
    <row r="2994" spans="2:2" x14ac:dyDescent="0.25">
      <c r="B2994" s="41"/>
    </row>
    <row r="2995" spans="2:2" x14ac:dyDescent="0.25">
      <c r="B2995" s="41"/>
    </row>
    <row r="2996" spans="2:2" x14ac:dyDescent="0.25">
      <c r="B2996" s="41"/>
    </row>
    <row r="2997" spans="2:2" x14ac:dyDescent="0.25">
      <c r="B2997" s="41"/>
    </row>
    <row r="2998" spans="2:2" x14ac:dyDescent="0.25">
      <c r="B2998" s="41"/>
    </row>
    <row r="2999" spans="2:2" x14ac:dyDescent="0.25">
      <c r="B2999" s="41"/>
    </row>
    <row r="3000" spans="2:2" x14ac:dyDescent="0.25">
      <c r="B3000" s="41"/>
    </row>
    <row r="3001" spans="2:2" x14ac:dyDescent="0.25">
      <c r="B3001" s="41"/>
    </row>
    <row r="3002" spans="2:2" x14ac:dyDescent="0.25">
      <c r="B3002" s="41"/>
    </row>
    <row r="3003" spans="2:2" x14ac:dyDescent="0.25">
      <c r="B3003" s="41"/>
    </row>
    <row r="3004" spans="2:2" x14ac:dyDescent="0.25">
      <c r="B3004" s="41"/>
    </row>
    <row r="3005" spans="2:2" x14ac:dyDescent="0.25">
      <c r="B3005" s="41"/>
    </row>
    <row r="3006" spans="2:2" x14ac:dyDescent="0.25">
      <c r="B3006" s="41"/>
    </row>
    <row r="3007" spans="2:2" x14ac:dyDescent="0.25">
      <c r="B3007" s="41"/>
    </row>
    <row r="3008" spans="2:2" x14ac:dyDescent="0.25">
      <c r="B3008" s="41"/>
    </row>
    <row r="3009" spans="2:2" x14ac:dyDescent="0.25">
      <c r="B3009" s="41"/>
    </row>
    <row r="3010" spans="2:2" x14ac:dyDescent="0.25">
      <c r="B3010" s="41"/>
    </row>
    <row r="3011" spans="2:2" x14ac:dyDescent="0.25">
      <c r="B3011" s="41"/>
    </row>
    <row r="3012" spans="2:2" x14ac:dyDescent="0.25">
      <c r="B3012" s="41"/>
    </row>
    <row r="3013" spans="2:2" x14ac:dyDescent="0.25">
      <c r="B3013" s="41"/>
    </row>
    <row r="3014" spans="2:2" x14ac:dyDescent="0.25">
      <c r="B3014" s="41"/>
    </row>
    <row r="3015" spans="2:2" x14ac:dyDescent="0.25">
      <c r="B3015" s="41"/>
    </row>
    <row r="3016" spans="2:2" x14ac:dyDescent="0.25">
      <c r="B3016" s="41"/>
    </row>
    <row r="3017" spans="2:2" x14ac:dyDescent="0.25">
      <c r="B3017" s="41"/>
    </row>
    <row r="3018" spans="2:2" x14ac:dyDescent="0.25">
      <c r="B3018" s="41"/>
    </row>
    <row r="3019" spans="2:2" x14ac:dyDescent="0.25">
      <c r="B3019" s="41"/>
    </row>
    <row r="3020" spans="2:2" x14ac:dyDescent="0.25">
      <c r="B3020" s="41"/>
    </row>
    <row r="3021" spans="2:2" x14ac:dyDescent="0.25">
      <c r="B3021" s="41"/>
    </row>
    <row r="3022" spans="2:2" x14ac:dyDescent="0.25">
      <c r="B3022" s="41"/>
    </row>
    <row r="3023" spans="2:2" x14ac:dyDescent="0.25">
      <c r="B3023" s="41"/>
    </row>
    <row r="3024" spans="2:2" x14ac:dyDescent="0.25">
      <c r="B3024" s="41"/>
    </row>
  </sheetData>
  <mergeCells count="5">
    <mergeCell ref="G7:H7"/>
    <mergeCell ref="G835:H836"/>
    <mergeCell ref="G847:H850"/>
    <mergeCell ref="G861:H862"/>
    <mergeCell ref="G2076:G2077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D225-144F-4015-8F03-B14D4BD96205}">
  <dimension ref="A1:WVJ503"/>
  <sheetViews>
    <sheetView topLeftCell="B1" workbookViewId="0">
      <selection sqref="A1:XFD1048576"/>
    </sheetView>
  </sheetViews>
  <sheetFormatPr defaultColWidth="11.44140625" defaultRowHeight="13.2" outlineLevelRow="1" x14ac:dyDescent="0.25"/>
  <cols>
    <col min="1" max="1" width="9" style="234" hidden="1" customWidth="1"/>
    <col min="2" max="2" width="48.109375" style="234" bestFit="1" customWidth="1"/>
    <col min="3" max="3" width="9.109375" style="240" customWidth="1"/>
    <col min="4" max="4" width="12.33203125" style="240" customWidth="1"/>
    <col min="5" max="5" width="19.6640625" style="264" customWidth="1"/>
    <col min="6" max="6" width="15" style="234" customWidth="1"/>
    <col min="7" max="8" width="11.5546875" style="234" bestFit="1" customWidth="1"/>
    <col min="9" max="9" width="19.44140625" style="234" customWidth="1"/>
    <col min="10" max="10" width="12" style="234" customWidth="1"/>
    <col min="11" max="11" width="14.109375" style="234" customWidth="1"/>
    <col min="12" max="257" width="9.109375" style="234" customWidth="1"/>
    <col min="258" max="258" width="11.44140625" style="234" hidden="1" customWidth="1"/>
    <col min="259" max="259" width="48.109375" style="234" bestFit="1" customWidth="1"/>
    <col min="260" max="260" width="9.109375" style="234" customWidth="1"/>
    <col min="261" max="261" width="11.33203125" style="234" bestFit="1" customWidth="1"/>
    <col min="262" max="262" width="15" style="234" customWidth="1"/>
    <col min="263" max="263" width="10.44140625" style="234" bestFit="1" customWidth="1"/>
    <col min="264" max="266" width="9.109375" style="234" customWidth="1"/>
    <col min="267" max="267" width="12.44140625" style="234" customWidth="1"/>
    <col min="268" max="513" width="9.109375" style="234" customWidth="1"/>
    <col min="514" max="514" width="11.44140625" style="234" hidden="1" customWidth="1"/>
    <col min="515" max="515" width="48.109375" style="234" bestFit="1" customWidth="1"/>
    <col min="516" max="516" width="9.109375" style="234" customWidth="1"/>
    <col min="517" max="517" width="11.33203125" style="234" bestFit="1" customWidth="1"/>
    <col min="518" max="518" width="15" style="234" customWidth="1"/>
    <col min="519" max="519" width="10.44140625" style="234" bestFit="1" customWidth="1"/>
    <col min="520" max="522" width="9.109375" style="234" customWidth="1"/>
    <col min="523" max="523" width="12.44140625" style="234" customWidth="1"/>
    <col min="524" max="769" width="9.109375" style="234" customWidth="1"/>
    <col min="770" max="770" width="11.44140625" style="234" hidden="1" customWidth="1"/>
    <col min="771" max="771" width="48.109375" style="234" bestFit="1" customWidth="1"/>
    <col min="772" max="772" width="9.109375" style="234" customWidth="1"/>
    <col min="773" max="773" width="11.33203125" style="234" bestFit="1" customWidth="1"/>
    <col min="774" max="774" width="15" style="234" customWidth="1"/>
    <col min="775" max="775" width="10.44140625" style="234" bestFit="1" customWidth="1"/>
    <col min="776" max="778" width="9.109375" style="234" customWidth="1"/>
    <col min="779" max="779" width="12.44140625" style="234" customWidth="1"/>
    <col min="780" max="1025" width="9.109375" style="234" customWidth="1"/>
    <col min="1026" max="1026" width="11.44140625" style="234" hidden="1" customWidth="1"/>
    <col min="1027" max="1027" width="48.109375" style="234" bestFit="1" customWidth="1"/>
    <col min="1028" max="1028" width="9.109375" style="234" customWidth="1"/>
    <col min="1029" max="1029" width="11.33203125" style="234" bestFit="1" customWidth="1"/>
    <col min="1030" max="1030" width="15" style="234" customWidth="1"/>
    <col min="1031" max="1031" width="10.44140625" style="234" bestFit="1" customWidth="1"/>
    <col min="1032" max="1034" width="9.109375" style="234" customWidth="1"/>
    <col min="1035" max="1035" width="12.44140625" style="234" customWidth="1"/>
    <col min="1036" max="1281" width="9.109375" style="234" customWidth="1"/>
    <col min="1282" max="1282" width="11.44140625" style="234" hidden="1" customWidth="1"/>
    <col min="1283" max="1283" width="48.109375" style="234" bestFit="1" customWidth="1"/>
    <col min="1284" max="1284" width="9.109375" style="234" customWidth="1"/>
    <col min="1285" max="1285" width="11.33203125" style="234" bestFit="1" customWidth="1"/>
    <col min="1286" max="1286" width="15" style="234" customWidth="1"/>
    <col min="1287" max="1287" width="10.44140625" style="234" bestFit="1" customWidth="1"/>
    <col min="1288" max="1290" width="9.109375" style="234" customWidth="1"/>
    <col min="1291" max="1291" width="12.44140625" style="234" customWidth="1"/>
    <col min="1292" max="1537" width="9.109375" style="234" customWidth="1"/>
    <col min="1538" max="1538" width="11.44140625" style="234" hidden="1" customWidth="1"/>
    <col min="1539" max="1539" width="48.109375" style="234" bestFit="1" customWidth="1"/>
    <col min="1540" max="1540" width="9.109375" style="234" customWidth="1"/>
    <col min="1541" max="1541" width="11.33203125" style="234" bestFit="1" customWidth="1"/>
    <col min="1542" max="1542" width="15" style="234" customWidth="1"/>
    <col min="1543" max="1543" width="10.44140625" style="234" bestFit="1" customWidth="1"/>
    <col min="1544" max="1546" width="9.109375" style="234" customWidth="1"/>
    <col min="1547" max="1547" width="12.44140625" style="234" customWidth="1"/>
    <col min="1548" max="1793" width="9.109375" style="234" customWidth="1"/>
    <col min="1794" max="1794" width="11.44140625" style="234" hidden="1" customWidth="1"/>
    <col min="1795" max="1795" width="48.109375" style="234" bestFit="1" customWidth="1"/>
    <col min="1796" max="1796" width="9.109375" style="234" customWidth="1"/>
    <col min="1797" max="1797" width="11.33203125" style="234" bestFit="1" customWidth="1"/>
    <col min="1798" max="1798" width="15" style="234" customWidth="1"/>
    <col min="1799" max="1799" width="10.44140625" style="234" bestFit="1" customWidth="1"/>
    <col min="1800" max="1802" width="9.109375" style="234" customWidth="1"/>
    <col min="1803" max="1803" width="12.44140625" style="234" customWidth="1"/>
    <col min="1804" max="2049" width="9.109375" style="234" customWidth="1"/>
    <col min="2050" max="2050" width="11.44140625" style="234" hidden="1" customWidth="1"/>
    <col min="2051" max="2051" width="48.109375" style="234" bestFit="1" customWidth="1"/>
    <col min="2052" max="2052" width="9.109375" style="234" customWidth="1"/>
    <col min="2053" max="2053" width="11.33203125" style="234" bestFit="1" customWidth="1"/>
    <col min="2054" max="2054" width="15" style="234" customWidth="1"/>
    <col min="2055" max="2055" width="10.44140625" style="234" bestFit="1" customWidth="1"/>
    <col min="2056" max="2058" width="9.109375" style="234" customWidth="1"/>
    <col min="2059" max="2059" width="12.44140625" style="234" customWidth="1"/>
    <col min="2060" max="2305" width="9.109375" style="234" customWidth="1"/>
    <col min="2306" max="2306" width="11.44140625" style="234" hidden="1" customWidth="1"/>
    <col min="2307" max="2307" width="48.109375" style="234" bestFit="1" customWidth="1"/>
    <col min="2308" max="2308" width="9.109375" style="234" customWidth="1"/>
    <col min="2309" max="2309" width="11.33203125" style="234" bestFit="1" customWidth="1"/>
    <col min="2310" max="2310" width="15" style="234" customWidth="1"/>
    <col min="2311" max="2311" width="10.44140625" style="234" bestFit="1" customWidth="1"/>
    <col min="2312" max="2314" width="9.109375" style="234" customWidth="1"/>
    <col min="2315" max="2315" width="12.44140625" style="234" customWidth="1"/>
    <col min="2316" max="2561" width="9.109375" style="234" customWidth="1"/>
    <col min="2562" max="2562" width="11.44140625" style="234" hidden="1" customWidth="1"/>
    <col min="2563" max="2563" width="48.109375" style="234" bestFit="1" customWidth="1"/>
    <col min="2564" max="2564" width="9.109375" style="234" customWidth="1"/>
    <col min="2565" max="2565" width="11.33203125" style="234" bestFit="1" customWidth="1"/>
    <col min="2566" max="2566" width="15" style="234" customWidth="1"/>
    <col min="2567" max="2567" width="10.44140625" style="234" bestFit="1" customWidth="1"/>
    <col min="2568" max="2570" width="9.109375" style="234" customWidth="1"/>
    <col min="2571" max="2571" width="12.44140625" style="234" customWidth="1"/>
    <col min="2572" max="2817" width="9.109375" style="234" customWidth="1"/>
    <col min="2818" max="2818" width="11.44140625" style="234" hidden="1" customWidth="1"/>
    <col min="2819" max="2819" width="48.109375" style="234" bestFit="1" customWidth="1"/>
    <col min="2820" max="2820" width="9.109375" style="234" customWidth="1"/>
    <col min="2821" max="2821" width="11.33203125" style="234" bestFit="1" customWidth="1"/>
    <col min="2822" max="2822" width="15" style="234" customWidth="1"/>
    <col min="2823" max="2823" width="10.44140625" style="234" bestFit="1" customWidth="1"/>
    <col min="2824" max="2826" width="9.109375" style="234" customWidth="1"/>
    <col min="2827" max="2827" width="12.44140625" style="234" customWidth="1"/>
    <col min="2828" max="3073" width="9.109375" style="234" customWidth="1"/>
    <col min="3074" max="3074" width="11.44140625" style="234" hidden="1" customWidth="1"/>
    <col min="3075" max="3075" width="48.109375" style="234" bestFit="1" customWidth="1"/>
    <col min="3076" max="3076" width="9.109375" style="234" customWidth="1"/>
    <col min="3077" max="3077" width="11.33203125" style="234" bestFit="1" customWidth="1"/>
    <col min="3078" max="3078" width="15" style="234" customWidth="1"/>
    <col min="3079" max="3079" width="10.44140625" style="234" bestFit="1" customWidth="1"/>
    <col min="3080" max="3082" width="9.109375" style="234" customWidth="1"/>
    <col min="3083" max="3083" width="12.44140625" style="234" customWidth="1"/>
    <col min="3084" max="3329" width="9.109375" style="234" customWidth="1"/>
    <col min="3330" max="3330" width="11.44140625" style="234" hidden="1" customWidth="1"/>
    <col min="3331" max="3331" width="48.109375" style="234" bestFit="1" customWidth="1"/>
    <col min="3332" max="3332" width="9.109375" style="234" customWidth="1"/>
    <col min="3333" max="3333" width="11.33203125" style="234" bestFit="1" customWidth="1"/>
    <col min="3334" max="3334" width="15" style="234" customWidth="1"/>
    <col min="3335" max="3335" width="10.44140625" style="234" bestFit="1" customWidth="1"/>
    <col min="3336" max="3338" width="9.109375" style="234" customWidth="1"/>
    <col min="3339" max="3339" width="12.44140625" style="234" customWidth="1"/>
    <col min="3340" max="3585" width="9.109375" style="234" customWidth="1"/>
    <col min="3586" max="3586" width="11.44140625" style="234" hidden="1" customWidth="1"/>
    <col min="3587" max="3587" width="48.109375" style="234" bestFit="1" customWidth="1"/>
    <col min="3588" max="3588" width="9.109375" style="234" customWidth="1"/>
    <col min="3589" max="3589" width="11.33203125" style="234" bestFit="1" customWidth="1"/>
    <col min="3590" max="3590" width="15" style="234" customWidth="1"/>
    <col min="3591" max="3591" width="10.44140625" style="234" bestFit="1" customWidth="1"/>
    <col min="3592" max="3594" width="9.109375" style="234" customWidth="1"/>
    <col min="3595" max="3595" width="12.44140625" style="234" customWidth="1"/>
    <col min="3596" max="3841" width="9.109375" style="234" customWidth="1"/>
    <col min="3842" max="3842" width="11.44140625" style="234" hidden="1" customWidth="1"/>
    <col min="3843" max="3843" width="48.109375" style="234" bestFit="1" customWidth="1"/>
    <col min="3844" max="3844" width="9.109375" style="234" customWidth="1"/>
    <col min="3845" max="3845" width="11.33203125" style="234" bestFit="1" customWidth="1"/>
    <col min="3846" max="3846" width="15" style="234" customWidth="1"/>
    <col min="3847" max="3847" width="10.44140625" style="234" bestFit="1" customWidth="1"/>
    <col min="3848" max="3850" width="9.109375" style="234" customWidth="1"/>
    <col min="3851" max="3851" width="12.44140625" style="234" customWidth="1"/>
    <col min="3852" max="4097" width="9.109375" style="234" customWidth="1"/>
    <col min="4098" max="4098" width="11.44140625" style="234" hidden="1" customWidth="1"/>
    <col min="4099" max="4099" width="48.109375" style="234" bestFit="1" customWidth="1"/>
    <col min="4100" max="4100" width="9.109375" style="234" customWidth="1"/>
    <col min="4101" max="4101" width="11.33203125" style="234" bestFit="1" customWidth="1"/>
    <col min="4102" max="4102" width="15" style="234" customWidth="1"/>
    <col min="4103" max="4103" width="10.44140625" style="234" bestFit="1" customWidth="1"/>
    <col min="4104" max="4106" width="9.109375" style="234" customWidth="1"/>
    <col min="4107" max="4107" width="12.44140625" style="234" customWidth="1"/>
    <col min="4108" max="4353" width="9.109375" style="234" customWidth="1"/>
    <col min="4354" max="4354" width="11.44140625" style="234" hidden="1" customWidth="1"/>
    <col min="4355" max="4355" width="48.109375" style="234" bestFit="1" customWidth="1"/>
    <col min="4356" max="4356" width="9.109375" style="234" customWidth="1"/>
    <col min="4357" max="4357" width="11.33203125" style="234" bestFit="1" customWidth="1"/>
    <col min="4358" max="4358" width="15" style="234" customWidth="1"/>
    <col min="4359" max="4359" width="10.44140625" style="234" bestFit="1" customWidth="1"/>
    <col min="4360" max="4362" width="9.109375" style="234" customWidth="1"/>
    <col min="4363" max="4363" width="12.44140625" style="234" customWidth="1"/>
    <col min="4364" max="4609" width="9.109375" style="234" customWidth="1"/>
    <col min="4610" max="4610" width="11.44140625" style="234" hidden="1" customWidth="1"/>
    <col min="4611" max="4611" width="48.109375" style="234" bestFit="1" customWidth="1"/>
    <col min="4612" max="4612" width="9.109375" style="234" customWidth="1"/>
    <col min="4613" max="4613" width="11.33203125" style="234" bestFit="1" customWidth="1"/>
    <col min="4614" max="4614" width="15" style="234" customWidth="1"/>
    <col min="4615" max="4615" width="10.44140625" style="234" bestFit="1" customWidth="1"/>
    <col min="4616" max="4618" width="9.109375" style="234" customWidth="1"/>
    <col min="4619" max="4619" width="12.44140625" style="234" customWidth="1"/>
    <col min="4620" max="4865" width="9.109375" style="234" customWidth="1"/>
    <col min="4866" max="4866" width="11.44140625" style="234" hidden="1" customWidth="1"/>
    <col min="4867" max="4867" width="48.109375" style="234" bestFit="1" customWidth="1"/>
    <col min="4868" max="4868" width="9.109375" style="234" customWidth="1"/>
    <col min="4869" max="4869" width="11.33203125" style="234" bestFit="1" customWidth="1"/>
    <col min="4870" max="4870" width="15" style="234" customWidth="1"/>
    <col min="4871" max="4871" width="10.44140625" style="234" bestFit="1" customWidth="1"/>
    <col min="4872" max="4874" width="9.109375" style="234" customWidth="1"/>
    <col min="4875" max="4875" width="12.44140625" style="234" customWidth="1"/>
    <col min="4876" max="5121" width="9.109375" style="234" customWidth="1"/>
    <col min="5122" max="5122" width="11.44140625" style="234" hidden="1" customWidth="1"/>
    <col min="5123" max="5123" width="48.109375" style="234" bestFit="1" customWidth="1"/>
    <col min="5124" max="5124" width="9.109375" style="234" customWidth="1"/>
    <col min="5125" max="5125" width="11.33203125" style="234" bestFit="1" customWidth="1"/>
    <col min="5126" max="5126" width="15" style="234" customWidth="1"/>
    <col min="5127" max="5127" width="10.44140625" style="234" bestFit="1" customWidth="1"/>
    <col min="5128" max="5130" width="9.109375" style="234" customWidth="1"/>
    <col min="5131" max="5131" width="12.44140625" style="234" customWidth="1"/>
    <col min="5132" max="5377" width="9.109375" style="234" customWidth="1"/>
    <col min="5378" max="5378" width="11.44140625" style="234" hidden="1" customWidth="1"/>
    <col min="5379" max="5379" width="48.109375" style="234" bestFit="1" customWidth="1"/>
    <col min="5380" max="5380" width="9.109375" style="234" customWidth="1"/>
    <col min="5381" max="5381" width="11.33203125" style="234" bestFit="1" customWidth="1"/>
    <col min="5382" max="5382" width="15" style="234" customWidth="1"/>
    <col min="5383" max="5383" width="10.44140625" style="234" bestFit="1" customWidth="1"/>
    <col min="5384" max="5386" width="9.109375" style="234" customWidth="1"/>
    <col min="5387" max="5387" width="12.44140625" style="234" customWidth="1"/>
    <col min="5388" max="5633" width="9.109375" style="234" customWidth="1"/>
    <col min="5634" max="5634" width="11.44140625" style="234" hidden="1" customWidth="1"/>
    <col min="5635" max="5635" width="48.109375" style="234" bestFit="1" customWidth="1"/>
    <col min="5636" max="5636" width="9.109375" style="234" customWidth="1"/>
    <col min="5637" max="5637" width="11.33203125" style="234" bestFit="1" customWidth="1"/>
    <col min="5638" max="5638" width="15" style="234" customWidth="1"/>
    <col min="5639" max="5639" width="10.44140625" style="234" bestFit="1" customWidth="1"/>
    <col min="5640" max="5642" width="9.109375" style="234" customWidth="1"/>
    <col min="5643" max="5643" width="12.44140625" style="234" customWidth="1"/>
    <col min="5644" max="5889" width="9.109375" style="234" customWidth="1"/>
    <col min="5890" max="5890" width="11.44140625" style="234" hidden="1" customWidth="1"/>
    <col min="5891" max="5891" width="48.109375" style="234" bestFit="1" customWidth="1"/>
    <col min="5892" max="5892" width="9.109375" style="234" customWidth="1"/>
    <col min="5893" max="5893" width="11.33203125" style="234" bestFit="1" customWidth="1"/>
    <col min="5894" max="5894" width="15" style="234" customWidth="1"/>
    <col min="5895" max="5895" width="10.44140625" style="234" bestFit="1" customWidth="1"/>
    <col min="5896" max="5898" width="9.109375" style="234" customWidth="1"/>
    <col min="5899" max="5899" width="12.44140625" style="234" customWidth="1"/>
    <col min="5900" max="6145" width="9.109375" style="234" customWidth="1"/>
    <col min="6146" max="6146" width="11.44140625" style="234" hidden="1" customWidth="1"/>
    <col min="6147" max="6147" width="48.109375" style="234" bestFit="1" customWidth="1"/>
    <col min="6148" max="6148" width="9.109375" style="234" customWidth="1"/>
    <col min="6149" max="6149" width="11.33203125" style="234" bestFit="1" customWidth="1"/>
    <col min="6150" max="6150" width="15" style="234" customWidth="1"/>
    <col min="6151" max="6151" width="10.44140625" style="234" bestFit="1" customWidth="1"/>
    <col min="6152" max="6154" width="9.109375" style="234" customWidth="1"/>
    <col min="6155" max="6155" width="12.44140625" style="234" customWidth="1"/>
    <col min="6156" max="6401" width="9.109375" style="234" customWidth="1"/>
    <col min="6402" max="6402" width="11.44140625" style="234" hidden="1" customWidth="1"/>
    <col min="6403" max="6403" width="48.109375" style="234" bestFit="1" customWidth="1"/>
    <col min="6404" max="6404" width="9.109375" style="234" customWidth="1"/>
    <col min="6405" max="6405" width="11.33203125" style="234" bestFit="1" customWidth="1"/>
    <col min="6406" max="6406" width="15" style="234" customWidth="1"/>
    <col min="6407" max="6407" width="10.44140625" style="234" bestFit="1" customWidth="1"/>
    <col min="6408" max="6410" width="9.109375" style="234" customWidth="1"/>
    <col min="6411" max="6411" width="12.44140625" style="234" customWidth="1"/>
    <col min="6412" max="6657" width="9.109375" style="234" customWidth="1"/>
    <col min="6658" max="6658" width="11.44140625" style="234" hidden="1" customWidth="1"/>
    <col min="6659" max="6659" width="48.109375" style="234" bestFit="1" customWidth="1"/>
    <col min="6660" max="6660" width="9.109375" style="234" customWidth="1"/>
    <col min="6661" max="6661" width="11.33203125" style="234" bestFit="1" customWidth="1"/>
    <col min="6662" max="6662" width="15" style="234" customWidth="1"/>
    <col min="6663" max="6663" width="10.44140625" style="234" bestFit="1" customWidth="1"/>
    <col min="6664" max="6666" width="9.109375" style="234" customWidth="1"/>
    <col min="6667" max="6667" width="12.44140625" style="234" customWidth="1"/>
    <col min="6668" max="6913" width="9.109375" style="234" customWidth="1"/>
    <col min="6914" max="6914" width="11.44140625" style="234" hidden="1" customWidth="1"/>
    <col min="6915" max="6915" width="48.109375" style="234" bestFit="1" customWidth="1"/>
    <col min="6916" max="6916" width="9.109375" style="234" customWidth="1"/>
    <col min="6917" max="6917" width="11.33203125" style="234" bestFit="1" customWidth="1"/>
    <col min="6918" max="6918" width="15" style="234" customWidth="1"/>
    <col min="6919" max="6919" width="10.44140625" style="234" bestFit="1" customWidth="1"/>
    <col min="6920" max="6922" width="9.109375" style="234" customWidth="1"/>
    <col min="6923" max="6923" width="12.44140625" style="234" customWidth="1"/>
    <col min="6924" max="7169" width="9.109375" style="234" customWidth="1"/>
    <col min="7170" max="7170" width="11.44140625" style="234" hidden="1" customWidth="1"/>
    <col min="7171" max="7171" width="48.109375" style="234" bestFit="1" customWidth="1"/>
    <col min="7172" max="7172" width="9.109375" style="234" customWidth="1"/>
    <col min="7173" max="7173" width="11.33203125" style="234" bestFit="1" customWidth="1"/>
    <col min="7174" max="7174" width="15" style="234" customWidth="1"/>
    <col min="7175" max="7175" width="10.44140625" style="234" bestFit="1" customWidth="1"/>
    <col min="7176" max="7178" width="9.109375" style="234" customWidth="1"/>
    <col min="7179" max="7179" width="12.44140625" style="234" customWidth="1"/>
    <col min="7180" max="7425" width="9.109375" style="234" customWidth="1"/>
    <col min="7426" max="7426" width="11.44140625" style="234" hidden="1" customWidth="1"/>
    <col min="7427" max="7427" width="48.109375" style="234" bestFit="1" customWidth="1"/>
    <col min="7428" max="7428" width="9.109375" style="234" customWidth="1"/>
    <col min="7429" max="7429" width="11.33203125" style="234" bestFit="1" customWidth="1"/>
    <col min="7430" max="7430" width="15" style="234" customWidth="1"/>
    <col min="7431" max="7431" width="10.44140625" style="234" bestFit="1" customWidth="1"/>
    <col min="7432" max="7434" width="9.109375" style="234" customWidth="1"/>
    <col min="7435" max="7435" width="12.44140625" style="234" customWidth="1"/>
    <col min="7436" max="7681" width="9.109375" style="234" customWidth="1"/>
    <col min="7682" max="7682" width="11.44140625" style="234" hidden="1" customWidth="1"/>
    <col min="7683" max="7683" width="48.109375" style="234" bestFit="1" customWidth="1"/>
    <col min="7684" max="7684" width="9.109375" style="234" customWidth="1"/>
    <col min="7685" max="7685" width="11.33203125" style="234" bestFit="1" customWidth="1"/>
    <col min="7686" max="7686" width="15" style="234" customWidth="1"/>
    <col min="7687" max="7687" width="10.44140625" style="234" bestFit="1" customWidth="1"/>
    <col min="7688" max="7690" width="9.109375" style="234" customWidth="1"/>
    <col min="7691" max="7691" width="12.44140625" style="234" customWidth="1"/>
    <col min="7692" max="7937" width="9.109375" style="234" customWidth="1"/>
    <col min="7938" max="7938" width="11.44140625" style="234" hidden="1" customWidth="1"/>
    <col min="7939" max="7939" width="48.109375" style="234" bestFit="1" customWidth="1"/>
    <col min="7940" max="7940" width="9.109375" style="234" customWidth="1"/>
    <col min="7941" max="7941" width="11.33203125" style="234" bestFit="1" customWidth="1"/>
    <col min="7942" max="7942" width="15" style="234" customWidth="1"/>
    <col min="7943" max="7943" width="10.44140625" style="234" bestFit="1" customWidth="1"/>
    <col min="7944" max="7946" width="9.109375" style="234" customWidth="1"/>
    <col min="7947" max="7947" width="12.44140625" style="234" customWidth="1"/>
    <col min="7948" max="8193" width="9.109375" style="234" customWidth="1"/>
    <col min="8194" max="8194" width="11.44140625" style="234" hidden="1" customWidth="1"/>
    <col min="8195" max="8195" width="48.109375" style="234" bestFit="1" customWidth="1"/>
    <col min="8196" max="8196" width="9.109375" style="234" customWidth="1"/>
    <col min="8197" max="8197" width="11.33203125" style="234" bestFit="1" customWidth="1"/>
    <col min="8198" max="8198" width="15" style="234" customWidth="1"/>
    <col min="8199" max="8199" width="10.44140625" style="234" bestFit="1" customWidth="1"/>
    <col min="8200" max="8202" width="9.109375" style="234" customWidth="1"/>
    <col min="8203" max="8203" width="12.44140625" style="234" customWidth="1"/>
    <col min="8204" max="8449" width="9.109375" style="234" customWidth="1"/>
    <col min="8450" max="8450" width="11.44140625" style="234" hidden="1" customWidth="1"/>
    <col min="8451" max="8451" width="48.109375" style="234" bestFit="1" customWidth="1"/>
    <col min="8452" max="8452" width="9.109375" style="234" customWidth="1"/>
    <col min="8453" max="8453" width="11.33203125" style="234" bestFit="1" customWidth="1"/>
    <col min="8454" max="8454" width="15" style="234" customWidth="1"/>
    <col min="8455" max="8455" width="10.44140625" style="234" bestFit="1" customWidth="1"/>
    <col min="8456" max="8458" width="9.109375" style="234" customWidth="1"/>
    <col min="8459" max="8459" width="12.44140625" style="234" customWidth="1"/>
    <col min="8460" max="8705" width="9.109375" style="234" customWidth="1"/>
    <col min="8706" max="8706" width="11.44140625" style="234" hidden="1" customWidth="1"/>
    <col min="8707" max="8707" width="48.109375" style="234" bestFit="1" customWidth="1"/>
    <col min="8708" max="8708" width="9.109375" style="234" customWidth="1"/>
    <col min="8709" max="8709" width="11.33203125" style="234" bestFit="1" customWidth="1"/>
    <col min="8710" max="8710" width="15" style="234" customWidth="1"/>
    <col min="8711" max="8711" width="10.44140625" style="234" bestFit="1" customWidth="1"/>
    <col min="8712" max="8714" width="9.109375" style="234" customWidth="1"/>
    <col min="8715" max="8715" width="12.44140625" style="234" customWidth="1"/>
    <col min="8716" max="8961" width="9.109375" style="234" customWidth="1"/>
    <col min="8962" max="8962" width="11.44140625" style="234" hidden="1" customWidth="1"/>
    <col min="8963" max="8963" width="48.109375" style="234" bestFit="1" customWidth="1"/>
    <col min="8964" max="8964" width="9.109375" style="234" customWidth="1"/>
    <col min="8965" max="8965" width="11.33203125" style="234" bestFit="1" customWidth="1"/>
    <col min="8966" max="8966" width="15" style="234" customWidth="1"/>
    <col min="8967" max="8967" width="10.44140625" style="234" bestFit="1" customWidth="1"/>
    <col min="8968" max="8970" width="9.109375" style="234" customWidth="1"/>
    <col min="8971" max="8971" width="12.44140625" style="234" customWidth="1"/>
    <col min="8972" max="9217" width="9.109375" style="234" customWidth="1"/>
    <col min="9218" max="9218" width="11.44140625" style="234" hidden="1" customWidth="1"/>
    <col min="9219" max="9219" width="48.109375" style="234" bestFit="1" customWidth="1"/>
    <col min="9220" max="9220" width="9.109375" style="234" customWidth="1"/>
    <col min="9221" max="9221" width="11.33203125" style="234" bestFit="1" customWidth="1"/>
    <col min="9222" max="9222" width="15" style="234" customWidth="1"/>
    <col min="9223" max="9223" width="10.44140625" style="234" bestFit="1" customWidth="1"/>
    <col min="9224" max="9226" width="9.109375" style="234" customWidth="1"/>
    <col min="9227" max="9227" width="12.44140625" style="234" customWidth="1"/>
    <col min="9228" max="9473" width="9.109375" style="234" customWidth="1"/>
    <col min="9474" max="9474" width="11.44140625" style="234" hidden="1" customWidth="1"/>
    <col min="9475" max="9475" width="48.109375" style="234" bestFit="1" customWidth="1"/>
    <col min="9476" max="9476" width="9.109375" style="234" customWidth="1"/>
    <col min="9477" max="9477" width="11.33203125" style="234" bestFit="1" customWidth="1"/>
    <col min="9478" max="9478" width="15" style="234" customWidth="1"/>
    <col min="9479" max="9479" width="10.44140625" style="234" bestFit="1" customWidth="1"/>
    <col min="9480" max="9482" width="9.109375" style="234" customWidth="1"/>
    <col min="9483" max="9483" width="12.44140625" style="234" customWidth="1"/>
    <col min="9484" max="9729" width="9.109375" style="234" customWidth="1"/>
    <col min="9730" max="9730" width="11.44140625" style="234" hidden="1" customWidth="1"/>
    <col min="9731" max="9731" width="48.109375" style="234" bestFit="1" customWidth="1"/>
    <col min="9732" max="9732" width="9.109375" style="234" customWidth="1"/>
    <col min="9733" max="9733" width="11.33203125" style="234" bestFit="1" customWidth="1"/>
    <col min="9734" max="9734" width="15" style="234" customWidth="1"/>
    <col min="9735" max="9735" width="10.44140625" style="234" bestFit="1" customWidth="1"/>
    <col min="9736" max="9738" width="9.109375" style="234" customWidth="1"/>
    <col min="9739" max="9739" width="12.44140625" style="234" customWidth="1"/>
    <col min="9740" max="9985" width="9.109375" style="234" customWidth="1"/>
    <col min="9986" max="9986" width="11.44140625" style="234" hidden="1" customWidth="1"/>
    <col min="9987" max="9987" width="48.109375" style="234" bestFit="1" customWidth="1"/>
    <col min="9988" max="9988" width="9.109375" style="234" customWidth="1"/>
    <col min="9989" max="9989" width="11.33203125" style="234" bestFit="1" customWidth="1"/>
    <col min="9990" max="9990" width="15" style="234" customWidth="1"/>
    <col min="9991" max="9991" width="10.44140625" style="234" bestFit="1" customWidth="1"/>
    <col min="9992" max="9994" width="9.109375" style="234" customWidth="1"/>
    <col min="9995" max="9995" width="12.44140625" style="234" customWidth="1"/>
    <col min="9996" max="10241" width="9.109375" style="234" customWidth="1"/>
    <col min="10242" max="10242" width="11.44140625" style="234" hidden="1" customWidth="1"/>
    <col min="10243" max="10243" width="48.109375" style="234" bestFit="1" customWidth="1"/>
    <col min="10244" max="10244" width="9.109375" style="234" customWidth="1"/>
    <col min="10245" max="10245" width="11.33203125" style="234" bestFit="1" customWidth="1"/>
    <col min="10246" max="10246" width="15" style="234" customWidth="1"/>
    <col min="10247" max="10247" width="10.44140625" style="234" bestFit="1" customWidth="1"/>
    <col min="10248" max="10250" width="9.109375" style="234" customWidth="1"/>
    <col min="10251" max="10251" width="12.44140625" style="234" customWidth="1"/>
    <col min="10252" max="10497" width="9.109375" style="234" customWidth="1"/>
    <col min="10498" max="10498" width="11.44140625" style="234" hidden="1" customWidth="1"/>
    <col min="10499" max="10499" width="48.109375" style="234" bestFit="1" customWidth="1"/>
    <col min="10500" max="10500" width="9.109375" style="234" customWidth="1"/>
    <col min="10501" max="10501" width="11.33203125" style="234" bestFit="1" customWidth="1"/>
    <col min="10502" max="10502" width="15" style="234" customWidth="1"/>
    <col min="10503" max="10503" width="10.44140625" style="234" bestFit="1" customWidth="1"/>
    <col min="10504" max="10506" width="9.109375" style="234" customWidth="1"/>
    <col min="10507" max="10507" width="12.44140625" style="234" customWidth="1"/>
    <col min="10508" max="10753" width="9.109375" style="234" customWidth="1"/>
    <col min="10754" max="10754" width="11.44140625" style="234" hidden="1" customWidth="1"/>
    <col min="10755" max="10755" width="48.109375" style="234" bestFit="1" customWidth="1"/>
    <col min="10756" max="10756" width="9.109375" style="234" customWidth="1"/>
    <col min="10757" max="10757" width="11.33203125" style="234" bestFit="1" customWidth="1"/>
    <col min="10758" max="10758" width="15" style="234" customWidth="1"/>
    <col min="10759" max="10759" width="10.44140625" style="234" bestFit="1" customWidth="1"/>
    <col min="10760" max="10762" width="9.109375" style="234" customWidth="1"/>
    <col min="10763" max="10763" width="12.44140625" style="234" customWidth="1"/>
    <col min="10764" max="11009" width="9.109375" style="234" customWidth="1"/>
    <col min="11010" max="11010" width="11.44140625" style="234" hidden="1" customWidth="1"/>
    <col min="11011" max="11011" width="48.109375" style="234" bestFit="1" customWidth="1"/>
    <col min="11012" max="11012" width="9.109375" style="234" customWidth="1"/>
    <col min="11013" max="11013" width="11.33203125" style="234" bestFit="1" customWidth="1"/>
    <col min="11014" max="11014" width="15" style="234" customWidth="1"/>
    <col min="11015" max="11015" width="10.44140625" style="234" bestFit="1" customWidth="1"/>
    <col min="11016" max="11018" width="9.109375" style="234" customWidth="1"/>
    <col min="11019" max="11019" width="12.44140625" style="234" customWidth="1"/>
    <col min="11020" max="11265" width="9.109375" style="234" customWidth="1"/>
    <col min="11266" max="11266" width="11.44140625" style="234" hidden="1" customWidth="1"/>
    <col min="11267" max="11267" width="48.109375" style="234" bestFit="1" customWidth="1"/>
    <col min="11268" max="11268" width="9.109375" style="234" customWidth="1"/>
    <col min="11269" max="11269" width="11.33203125" style="234" bestFit="1" customWidth="1"/>
    <col min="11270" max="11270" width="15" style="234" customWidth="1"/>
    <col min="11271" max="11271" width="10.44140625" style="234" bestFit="1" customWidth="1"/>
    <col min="11272" max="11274" width="9.109375" style="234" customWidth="1"/>
    <col min="11275" max="11275" width="12.44140625" style="234" customWidth="1"/>
    <col min="11276" max="11521" width="9.109375" style="234" customWidth="1"/>
    <col min="11522" max="11522" width="11.44140625" style="234" hidden="1" customWidth="1"/>
    <col min="11523" max="11523" width="48.109375" style="234" bestFit="1" customWidth="1"/>
    <col min="11524" max="11524" width="9.109375" style="234" customWidth="1"/>
    <col min="11525" max="11525" width="11.33203125" style="234" bestFit="1" customWidth="1"/>
    <col min="11526" max="11526" width="15" style="234" customWidth="1"/>
    <col min="11527" max="11527" width="10.44140625" style="234" bestFit="1" customWidth="1"/>
    <col min="11528" max="11530" width="9.109375" style="234" customWidth="1"/>
    <col min="11531" max="11531" width="12.44140625" style="234" customWidth="1"/>
    <col min="11532" max="11777" width="9.109375" style="234" customWidth="1"/>
    <col min="11778" max="11778" width="11.44140625" style="234" hidden="1" customWidth="1"/>
    <col min="11779" max="11779" width="48.109375" style="234" bestFit="1" customWidth="1"/>
    <col min="11780" max="11780" width="9.109375" style="234" customWidth="1"/>
    <col min="11781" max="11781" width="11.33203125" style="234" bestFit="1" customWidth="1"/>
    <col min="11782" max="11782" width="15" style="234" customWidth="1"/>
    <col min="11783" max="11783" width="10.44140625" style="234" bestFit="1" customWidth="1"/>
    <col min="11784" max="11786" width="9.109375" style="234" customWidth="1"/>
    <col min="11787" max="11787" width="12.44140625" style="234" customWidth="1"/>
    <col min="11788" max="12033" width="9.109375" style="234" customWidth="1"/>
    <col min="12034" max="12034" width="11.44140625" style="234" hidden="1" customWidth="1"/>
    <col min="12035" max="12035" width="48.109375" style="234" bestFit="1" customWidth="1"/>
    <col min="12036" max="12036" width="9.109375" style="234" customWidth="1"/>
    <col min="12037" max="12037" width="11.33203125" style="234" bestFit="1" customWidth="1"/>
    <col min="12038" max="12038" width="15" style="234" customWidth="1"/>
    <col min="12039" max="12039" width="10.44140625" style="234" bestFit="1" customWidth="1"/>
    <col min="12040" max="12042" width="9.109375" style="234" customWidth="1"/>
    <col min="12043" max="12043" width="12.44140625" style="234" customWidth="1"/>
    <col min="12044" max="12289" width="9.109375" style="234" customWidth="1"/>
    <col min="12290" max="12290" width="11.44140625" style="234" hidden="1" customWidth="1"/>
    <col min="12291" max="12291" width="48.109375" style="234" bestFit="1" customWidth="1"/>
    <col min="12292" max="12292" width="9.109375" style="234" customWidth="1"/>
    <col min="12293" max="12293" width="11.33203125" style="234" bestFit="1" customWidth="1"/>
    <col min="12294" max="12294" width="15" style="234" customWidth="1"/>
    <col min="12295" max="12295" width="10.44140625" style="234" bestFit="1" customWidth="1"/>
    <col min="12296" max="12298" width="9.109375" style="234" customWidth="1"/>
    <col min="12299" max="12299" width="12.44140625" style="234" customWidth="1"/>
    <col min="12300" max="12545" width="9.109375" style="234" customWidth="1"/>
    <col min="12546" max="12546" width="11.44140625" style="234" hidden="1" customWidth="1"/>
    <col min="12547" max="12547" width="48.109375" style="234" bestFit="1" customWidth="1"/>
    <col min="12548" max="12548" width="9.109375" style="234" customWidth="1"/>
    <col min="12549" max="12549" width="11.33203125" style="234" bestFit="1" customWidth="1"/>
    <col min="12550" max="12550" width="15" style="234" customWidth="1"/>
    <col min="12551" max="12551" width="10.44140625" style="234" bestFit="1" customWidth="1"/>
    <col min="12552" max="12554" width="9.109375" style="234" customWidth="1"/>
    <col min="12555" max="12555" width="12.44140625" style="234" customWidth="1"/>
    <col min="12556" max="12801" width="9.109375" style="234" customWidth="1"/>
    <col min="12802" max="12802" width="11.44140625" style="234" hidden="1" customWidth="1"/>
    <col min="12803" max="12803" width="48.109375" style="234" bestFit="1" customWidth="1"/>
    <col min="12804" max="12804" width="9.109375" style="234" customWidth="1"/>
    <col min="12805" max="12805" width="11.33203125" style="234" bestFit="1" customWidth="1"/>
    <col min="12806" max="12806" width="15" style="234" customWidth="1"/>
    <col min="12807" max="12807" width="10.44140625" style="234" bestFit="1" customWidth="1"/>
    <col min="12808" max="12810" width="9.109375" style="234" customWidth="1"/>
    <col min="12811" max="12811" width="12.44140625" style="234" customWidth="1"/>
    <col min="12812" max="13057" width="9.109375" style="234" customWidth="1"/>
    <col min="13058" max="13058" width="11.44140625" style="234" hidden="1" customWidth="1"/>
    <col min="13059" max="13059" width="48.109375" style="234" bestFit="1" customWidth="1"/>
    <col min="13060" max="13060" width="9.109375" style="234" customWidth="1"/>
    <col min="13061" max="13061" width="11.33203125" style="234" bestFit="1" customWidth="1"/>
    <col min="13062" max="13062" width="15" style="234" customWidth="1"/>
    <col min="13063" max="13063" width="10.44140625" style="234" bestFit="1" customWidth="1"/>
    <col min="13064" max="13066" width="9.109375" style="234" customWidth="1"/>
    <col min="13067" max="13067" width="12.44140625" style="234" customWidth="1"/>
    <col min="13068" max="13313" width="9.109375" style="234" customWidth="1"/>
    <col min="13314" max="13314" width="11.44140625" style="234" hidden="1" customWidth="1"/>
    <col min="13315" max="13315" width="48.109375" style="234" bestFit="1" customWidth="1"/>
    <col min="13316" max="13316" width="9.109375" style="234" customWidth="1"/>
    <col min="13317" max="13317" width="11.33203125" style="234" bestFit="1" customWidth="1"/>
    <col min="13318" max="13318" width="15" style="234" customWidth="1"/>
    <col min="13319" max="13319" width="10.44140625" style="234" bestFit="1" customWidth="1"/>
    <col min="13320" max="13322" width="9.109375" style="234" customWidth="1"/>
    <col min="13323" max="13323" width="12.44140625" style="234" customWidth="1"/>
    <col min="13324" max="13569" width="9.109375" style="234" customWidth="1"/>
    <col min="13570" max="13570" width="11.44140625" style="234" hidden="1" customWidth="1"/>
    <col min="13571" max="13571" width="48.109375" style="234" bestFit="1" customWidth="1"/>
    <col min="13572" max="13572" width="9.109375" style="234" customWidth="1"/>
    <col min="13573" max="13573" width="11.33203125" style="234" bestFit="1" customWidth="1"/>
    <col min="13574" max="13574" width="15" style="234" customWidth="1"/>
    <col min="13575" max="13575" width="10.44140625" style="234" bestFit="1" customWidth="1"/>
    <col min="13576" max="13578" width="9.109375" style="234" customWidth="1"/>
    <col min="13579" max="13579" width="12.44140625" style="234" customWidth="1"/>
    <col min="13580" max="13825" width="9.109375" style="234" customWidth="1"/>
    <col min="13826" max="13826" width="11.44140625" style="234" hidden="1" customWidth="1"/>
    <col min="13827" max="13827" width="48.109375" style="234" bestFit="1" customWidth="1"/>
    <col min="13828" max="13828" width="9.109375" style="234" customWidth="1"/>
    <col min="13829" max="13829" width="11.33203125" style="234" bestFit="1" customWidth="1"/>
    <col min="13830" max="13830" width="15" style="234" customWidth="1"/>
    <col min="13831" max="13831" width="10.44140625" style="234" bestFit="1" customWidth="1"/>
    <col min="13832" max="13834" width="9.109375" style="234" customWidth="1"/>
    <col min="13835" max="13835" width="12.44140625" style="234" customWidth="1"/>
    <col min="13836" max="14081" width="9.109375" style="234" customWidth="1"/>
    <col min="14082" max="14082" width="11.44140625" style="234" hidden="1" customWidth="1"/>
    <col min="14083" max="14083" width="48.109375" style="234" bestFit="1" customWidth="1"/>
    <col min="14084" max="14084" width="9.109375" style="234" customWidth="1"/>
    <col min="14085" max="14085" width="11.33203125" style="234" bestFit="1" customWidth="1"/>
    <col min="14086" max="14086" width="15" style="234" customWidth="1"/>
    <col min="14087" max="14087" width="10.44140625" style="234" bestFit="1" customWidth="1"/>
    <col min="14088" max="14090" width="9.109375" style="234" customWidth="1"/>
    <col min="14091" max="14091" width="12.44140625" style="234" customWidth="1"/>
    <col min="14092" max="14337" width="9.109375" style="234" customWidth="1"/>
    <col min="14338" max="14338" width="11.44140625" style="234" hidden="1" customWidth="1"/>
    <col min="14339" max="14339" width="48.109375" style="234" bestFit="1" customWidth="1"/>
    <col min="14340" max="14340" width="9.109375" style="234" customWidth="1"/>
    <col min="14341" max="14341" width="11.33203125" style="234" bestFit="1" customWidth="1"/>
    <col min="14342" max="14342" width="15" style="234" customWidth="1"/>
    <col min="14343" max="14343" width="10.44140625" style="234" bestFit="1" customWidth="1"/>
    <col min="14344" max="14346" width="9.109375" style="234" customWidth="1"/>
    <col min="14347" max="14347" width="12.44140625" style="234" customWidth="1"/>
    <col min="14348" max="14593" width="9.109375" style="234" customWidth="1"/>
    <col min="14594" max="14594" width="11.44140625" style="234" hidden="1" customWidth="1"/>
    <col min="14595" max="14595" width="48.109375" style="234" bestFit="1" customWidth="1"/>
    <col min="14596" max="14596" width="9.109375" style="234" customWidth="1"/>
    <col min="14597" max="14597" width="11.33203125" style="234" bestFit="1" customWidth="1"/>
    <col min="14598" max="14598" width="15" style="234" customWidth="1"/>
    <col min="14599" max="14599" width="10.44140625" style="234" bestFit="1" customWidth="1"/>
    <col min="14600" max="14602" width="9.109375" style="234" customWidth="1"/>
    <col min="14603" max="14603" width="12.44140625" style="234" customWidth="1"/>
    <col min="14604" max="14849" width="9.109375" style="234" customWidth="1"/>
    <col min="14850" max="14850" width="11.44140625" style="234" hidden="1" customWidth="1"/>
    <col min="14851" max="14851" width="48.109375" style="234" bestFit="1" customWidth="1"/>
    <col min="14852" max="14852" width="9.109375" style="234" customWidth="1"/>
    <col min="14853" max="14853" width="11.33203125" style="234" bestFit="1" customWidth="1"/>
    <col min="14854" max="14854" width="15" style="234" customWidth="1"/>
    <col min="14855" max="14855" width="10.44140625" style="234" bestFit="1" customWidth="1"/>
    <col min="14856" max="14858" width="9.109375" style="234" customWidth="1"/>
    <col min="14859" max="14859" width="12.44140625" style="234" customWidth="1"/>
    <col min="14860" max="15105" width="9.109375" style="234" customWidth="1"/>
    <col min="15106" max="15106" width="11.44140625" style="234" hidden="1" customWidth="1"/>
    <col min="15107" max="15107" width="48.109375" style="234" bestFit="1" customWidth="1"/>
    <col min="15108" max="15108" width="9.109375" style="234" customWidth="1"/>
    <col min="15109" max="15109" width="11.33203125" style="234" bestFit="1" customWidth="1"/>
    <col min="15110" max="15110" width="15" style="234" customWidth="1"/>
    <col min="15111" max="15111" width="10.44140625" style="234" bestFit="1" customWidth="1"/>
    <col min="15112" max="15114" width="9.109375" style="234" customWidth="1"/>
    <col min="15115" max="15115" width="12.44140625" style="234" customWidth="1"/>
    <col min="15116" max="15361" width="9.109375" style="234" customWidth="1"/>
    <col min="15362" max="15362" width="11.44140625" style="234" hidden="1" customWidth="1"/>
    <col min="15363" max="15363" width="48.109375" style="234" bestFit="1" customWidth="1"/>
    <col min="15364" max="15364" width="9.109375" style="234" customWidth="1"/>
    <col min="15365" max="15365" width="11.33203125" style="234" bestFit="1" customWidth="1"/>
    <col min="15366" max="15366" width="15" style="234" customWidth="1"/>
    <col min="15367" max="15367" width="10.44140625" style="234" bestFit="1" customWidth="1"/>
    <col min="15368" max="15370" width="9.109375" style="234" customWidth="1"/>
    <col min="15371" max="15371" width="12.44140625" style="234" customWidth="1"/>
    <col min="15372" max="15617" width="9.109375" style="234" customWidth="1"/>
    <col min="15618" max="15618" width="11.44140625" style="234" hidden="1" customWidth="1"/>
    <col min="15619" max="15619" width="48.109375" style="234" bestFit="1" customWidth="1"/>
    <col min="15620" max="15620" width="9.109375" style="234" customWidth="1"/>
    <col min="15621" max="15621" width="11.33203125" style="234" bestFit="1" customWidth="1"/>
    <col min="15622" max="15622" width="15" style="234" customWidth="1"/>
    <col min="15623" max="15623" width="10.44140625" style="234" bestFit="1" customWidth="1"/>
    <col min="15624" max="15626" width="9.109375" style="234" customWidth="1"/>
    <col min="15627" max="15627" width="12.44140625" style="234" customWidth="1"/>
    <col min="15628" max="15873" width="9.109375" style="234" customWidth="1"/>
    <col min="15874" max="15874" width="11.44140625" style="234" hidden="1" customWidth="1"/>
    <col min="15875" max="15875" width="48.109375" style="234" bestFit="1" customWidth="1"/>
    <col min="15876" max="15876" width="9.109375" style="234" customWidth="1"/>
    <col min="15877" max="15877" width="11.33203125" style="234" bestFit="1" customWidth="1"/>
    <col min="15878" max="15878" width="15" style="234" customWidth="1"/>
    <col min="15879" max="15879" width="10.44140625" style="234" bestFit="1" customWidth="1"/>
    <col min="15880" max="15882" width="9.109375" style="234" customWidth="1"/>
    <col min="15883" max="15883" width="12.44140625" style="234" customWidth="1"/>
    <col min="15884" max="16129" width="9.109375" style="234" customWidth="1"/>
    <col min="16130" max="16130" width="11.44140625" style="234" hidden="1" customWidth="1"/>
    <col min="16131" max="16131" width="48.109375" style="234" bestFit="1" customWidth="1"/>
    <col min="16132" max="16132" width="9.109375" style="234" customWidth="1"/>
    <col min="16133" max="16133" width="11.33203125" style="234" bestFit="1" customWidth="1"/>
    <col min="16134" max="16134" width="15" style="234" customWidth="1"/>
    <col min="16135" max="16135" width="10.44140625" style="234" bestFit="1" customWidth="1"/>
    <col min="16136" max="16138" width="9.109375" style="234" customWidth="1"/>
    <col min="16139" max="16139" width="12.44140625" style="234" customWidth="1"/>
    <col min="16140" max="16384" width="9.109375" style="234" customWidth="1"/>
  </cols>
  <sheetData>
    <row r="1" spans="1:18" ht="15.6" x14ac:dyDescent="0.3">
      <c r="A1" s="230" t="s">
        <v>2</v>
      </c>
      <c r="B1" s="231"/>
      <c r="C1" s="232"/>
      <c r="D1" s="232"/>
      <c r="E1" s="233">
        <v>55</v>
      </c>
      <c r="G1" s="235"/>
      <c r="H1" s="236"/>
      <c r="I1" s="236"/>
    </row>
    <row r="2" spans="1:18" ht="17.399999999999999" x14ac:dyDescent="0.3">
      <c r="A2" s="230" t="s">
        <v>3</v>
      </c>
      <c r="B2" s="237" t="s">
        <v>859</v>
      </c>
      <c r="C2" s="238"/>
      <c r="D2" s="238"/>
      <c r="E2" s="239"/>
      <c r="G2" s="235"/>
      <c r="H2" s="236"/>
      <c r="I2" s="236"/>
    </row>
    <row r="3" spans="1:18" ht="13.8" x14ac:dyDescent="0.25">
      <c r="A3" s="240"/>
      <c r="B3" s="241"/>
      <c r="C3" s="242"/>
      <c r="D3" s="242"/>
      <c r="E3" s="243"/>
      <c r="G3" s="235"/>
      <c r="H3" s="236"/>
      <c r="I3" s="236"/>
    </row>
    <row r="4" spans="1:18" ht="13.8" x14ac:dyDescent="0.25">
      <c r="A4" s="244" t="s">
        <v>860</v>
      </c>
      <c r="B4" s="245" t="s">
        <v>861</v>
      </c>
      <c r="C4" s="246" t="s">
        <v>862</v>
      </c>
      <c r="D4" s="246"/>
      <c r="E4" s="247" t="s">
        <v>863</v>
      </c>
      <c r="F4" s="248" t="s">
        <v>864</v>
      </c>
      <c r="G4" s="235"/>
      <c r="H4" s="236"/>
      <c r="I4" s="236"/>
    </row>
    <row r="5" spans="1:18" ht="15" customHeight="1" x14ac:dyDescent="0.25">
      <c r="A5" s="240"/>
      <c r="B5" s="241"/>
      <c r="C5" s="242"/>
      <c r="D5" s="242"/>
      <c r="E5" s="249"/>
      <c r="G5" s="235"/>
      <c r="H5" s="236"/>
      <c r="I5" s="236"/>
    </row>
    <row r="6" spans="1:18" ht="13.8" x14ac:dyDescent="0.25">
      <c r="A6" s="240"/>
      <c r="B6" s="250" t="s">
        <v>865</v>
      </c>
      <c r="C6" s="242"/>
      <c r="D6" s="242"/>
      <c r="E6" s="249"/>
      <c r="G6" s="235"/>
      <c r="H6" s="236"/>
      <c r="I6" s="236"/>
    </row>
    <row r="7" spans="1:18" ht="13.8" x14ac:dyDescent="0.25">
      <c r="A7" s="240"/>
      <c r="B7" s="251"/>
      <c r="C7" s="242"/>
      <c r="D7" s="242"/>
      <c r="E7" s="249"/>
      <c r="G7" s="235"/>
      <c r="H7" s="236"/>
      <c r="I7" s="236"/>
    </row>
    <row r="8" spans="1:18" ht="13.8" x14ac:dyDescent="0.25">
      <c r="A8" s="252">
        <v>1</v>
      </c>
      <c r="B8" s="253" t="s">
        <v>866</v>
      </c>
      <c r="C8" s="254"/>
      <c r="D8" s="254"/>
      <c r="E8" s="255"/>
      <c r="G8" s="256"/>
      <c r="H8" s="236"/>
      <c r="I8" s="236"/>
    </row>
    <row r="9" spans="1:18" ht="13.8" x14ac:dyDescent="0.25">
      <c r="A9" s="257">
        <f>+A8+0.1</f>
        <v>1.1000000000000001</v>
      </c>
      <c r="B9" s="258" t="s">
        <v>867</v>
      </c>
      <c r="C9" s="254" t="s">
        <v>147</v>
      </c>
      <c r="D9" s="254"/>
      <c r="E9" s="259">
        <f>+F9*1.03</f>
        <v>3221.6681776971895</v>
      </c>
      <c r="F9" s="234">
        <f>69000/22.06</f>
        <v>3127.8331822302812</v>
      </c>
      <c r="G9" s="260">
        <v>45791</v>
      </c>
      <c r="H9" s="236"/>
      <c r="I9" s="261">
        <f>73500/22.06</f>
        <v>3331.8223028105172</v>
      </c>
      <c r="J9" s="262">
        <f>74000*1.05</f>
        <v>77700</v>
      </c>
      <c r="K9" s="262">
        <f>+J9/22.06*1.08</f>
        <v>3803.989120580236</v>
      </c>
    </row>
    <row r="10" spans="1:18" ht="13.8" x14ac:dyDescent="0.25">
      <c r="A10" s="263"/>
      <c r="B10" s="258" t="s">
        <v>868</v>
      </c>
      <c r="C10" s="254" t="s">
        <v>81</v>
      </c>
      <c r="D10" s="254"/>
      <c r="E10" s="259">
        <f>+F10*1.07</f>
        <v>196.13338877500001</v>
      </c>
      <c r="F10" s="234">
        <f>(12427.27)*1.18/(40*2)</f>
        <v>183.3022325</v>
      </c>
      <c r="G10" s="264">
        <f>294*1.18*1.03</f>
        <v>357.32759999999996</v>
      </c>
      <c r="H10" s="236"/>
      <c r="I10" s="236"/>
      <c r="J10" s="262"/>
      <c r="K10" s="262">
        <f>+J10/22.06*1.05</f>
        <v>0</v>
      </c>
    </row>
    <row r="11" spans="1:18" ht="13.8" x14ac:dyDescent="0.25">
      <c r="A11" s="257">
        <f>+A9+0.1</f>
        <v>1.2000000000000002</v>
      </c>
      <c r="B11" s="258" t="s">
        <v>869</v>
      </c>
      <c r="C11" s="254" t="s">
        <v>81</v>
      </c>
      <c r="D11" s="254"/>
      <c r="E11" s="265">
        <f>+G11</f>
        <v>495.51645305</v>
      </c>
      <c r="F11" s="266">
        <f>16307.93*1.18</f>
        <v>19243.357400000001</v>
      </c>
      <c r="G11" s="256">
        <f>+F11/40*1.03</f>
        <v>495.51645305</v>
      </c>
      <c r="H11" s="236"/>
      <c r="I11" s="267">
        <f>294*1.18</f>
        <v>346.91999999999996</v>
      </c>
      <c r="J11" s="268" t="s">
        <v>870</v>
      </c>
      <c r="K11" s="262" t="s">
        <v>871</v>
      </c>
      <c r="N11" s="269"/>
    </row>
    <row r="12" spans="1:18" ht="13.8" x14ac:dyDescent="0.25">
      <c r="A12" s="257">
        <f>+A10+0.1</f>
        <v>0.1</v>
      </c>
      <c r="B12" s="258" t="s">
        <v>872</v>
      </c>
      <c r="C12" s="254" t="s">
        <v>81</v>
      </c>
      <c r="D12" s="254"/>
      <c r="E12" s="265">
        <f>+G12</f>
        <v>297.25341649999996</v>
      </c>
      <c r="F12" s="264">
        <f>9782.9*1.18</f>
        <v>11543.821999999998</v>
      </c>
      <c r="G12" s="256">
        <f>+F12/40*1.03</f>
        <v>297.25341649999996</v>
      </c>
      <c r="H12" s="236"/>
      <c r="I12" s="270">
        <f>392*1.18</f>
        <v>462.56</v>
      </c>
      <c r="J12" s="271" t="s">
        <v>873</v>
      </c>
    </row>
    <row r="13" spans="1:18" ht="13.8" x14ac:dyDescent="0.25">
      <c r="A13" s="257">
        <f>+A10+0.1</f>
        <v>0.1</v>
      </c>
      <c r="B13" s="272" t="s">
        <v>874</v>
      </c>
      <c r="C13" s="242" t="s">
        <v>81</v>
      </c>
      <c r="D13" s="242"/>
      <c r="E13" s="265">
        <v>207</v>
      </c>
      <c r="F13" s="273">
        <f>4175*1.18</f>
        <v>4926.5</v>
      </c>
      <c r="G13" s="235">
        <f>+F13/25*1.05</f>
        <v>206.91300000000001</v>
      </c>
      <c r="H13" s="236"/>
      <c r="I13" s="236"/>
    </row>
    <row r="14" spans="1:18" ht="13.8" x14ac:dyDescent="0.25">
      <c r="A14" s="257"/>
      <c r="B14" s="258"/>
      <c r="C14" s="254"/>
      <c r="D14" s="254"/>
      <c r="E14" s="274"/>
      <c r="G14" s="256"/>
      <c r="H14" s="236"/>
      <c r="I14" s="236"/>
      <c r="R14" s="234">
        <f>62900*1.18</f>
        <v>74222</v>
      </c>
    </row>
    <row r="15" spans="1:18" ht="13.8" x14ac:dyDescent="0.25">
      <c r="A15" s="257">
        <f>+A11+0.1</f>
        <v>1.3000000000000003</v>
      </c>
      <c r="B15" s="258" t="s">
        <v>875</v>
      </c>
      <c r="C15" s="254" t="s">
        <v>82</v>
      </c>
      <c r="D15" s="254"/>
      <c r="E15" s="265">
        <v>79.001000000000005</v>
      </c>
      <c r="F15" s="234">
        <f>65*1.18*1.03</f>
        <v>79.001000000000005</v>
      </c>
      <c r="G15" s="256">
        <f>53536.1/7.5</f>
        <v>7138.1466666666665</v>
      </c>
      <c r="H15" s="236" t="s">
        <v>876</v>
      </c>
      <c r="I15" s="236"/>
    </row>
    <row r="16" spans="1:18" ht="13.8" x14ac:dyDescent="0.25">
      <c r="A16" s="257">
        <f>+A15+0.01</f>
        <v>1.3100000000000003</v>
      </c>
      <c r="B16" s="272" t="s">
        <v>877</v>
      </c>
      <c r="C16" s="242" t="s">
        <v>82</v>
      </c>
      <c r="D16" s="242"/>
      <c r="E16" s="265">
        <f>+E15</f>
        <v>79.001000000000005</v>
      </c>
      <c r="G16" s="235">
        <f>+G15/220.46</f>
        <v>32.378420877559044</v>
      </c>
      <c r="H16" s="236"/>
      <c r="I16" s="236"/>
    </row>
    <row r="17" spans="1:12" ht="13.8" x14ac:dyDescent="0.25">
      <c r="A17" s="257"/>
      <c r="B17" s="272"/>
      <c r="C17" s="242"/>
      <c r="D17" s="242"/>
      <c r="E17" s="265"/>
      <c r="G17" s="256"/>
      <c r="H17" s="236"/>
      <c r="I17" s="236"/>
    </row>
    <row r="18" spans="1:12" ht="13.8" x14ac:dyDescent="0.25">
      <c r="A18" s="252">
        <v>2</v>
      </c>
      <c r="B18" s="253" t="s">
        <v>878</v>
      </c>
      <c r="C18" s="254"/>
      <c r="D18" s="254"/>
      <c r="E18" s="275"/>
      <c r="F18" s="276"/>
      <c r="H18" s="236"/>
      <c r="I18" s="236"/>
      <c r="L18" s="234">
        <f>20000/90</f>
        <v>222.22222222222223</v>
      </c>
    </row>
    <row r="19" spans="1:12" ht="13.8" x14ac:dyDescent="0.25">
      <c r="A19" s="257">
        <f>+A18+0.1</f>
        <v>2.1</v>
      </c>
      <c r="B19" s="258" t="s">
        <v>879</v>
      </c>
      <c r="C19" s="254" t="s">
        <v>54</v>
      </c>
      <c r="D19" s="254"/>
      <c r="E19" s="277">
        <v>1700</v>
      </c>
      <c r="F19" s="278">
        <v>1400</v>
      </c>
      <c r="G19" s="256"/>
      <c r="H19" s="236"/>
      <c r="I19" s="236"/>
      <c r="L19" s="269">
        <f>+E12-L18</f>
        <v>75.031194277777729</v>
      </c>
    </row>
    <row r="20" spans="1:12" ht="13.8" x14ac:dyDescent="0.25">
      <c r="A20" s="257">
        <f>+A19+0.01</f>
        <v>2.11</v>
      </c>
      <c r="B20" s="279" t="s">
        <v>880</v>
      </c>
      <c r="C20" s="254" t="s">
        <v>54</v>
      </c>
      <c r="D20" s="254"/>
      <c r="E20" s="259">
        <f>+E19</f>
        <v>1700</v>
      </c>
      <c r="F20" s="278">
        <v>1400</v>
      </c>
      <c r="G20" s="256"/>
      <c r="H20" s="236"/>
      <c r="I20" s="236"/>
    </row>
    <row r="21" spans="1:12" ht="13.8" x14ac:dyDescent="0.25">
      <c r="A21" s="257">
        <f>+A20+0.01</f>
        <v>2.1199999999999997</v>
      </c>
      <c r="B21" s="258" t="s">
        <v>881</v>
      </c>
      <c r="C21" s="254" t="s">
        <v>54</v>
      </c>
      <c r="D21" s="254"/>
      <c r="E21" s="259">
        <f>+F21*1.05</f>
        <v>1470</v>
      </c>
      <c r="F21" s="278">
        <v>1400</v>
      </c>
      <c r="G21" s="256">
        <f>25*57</f>
        <v>1425</v>
      </c>
      <c r="H21" s="236"/>
      <c r="I21" s="236"/>
    </row>
    <row r="22" spans="1:12" ht="13.8" x14ac:dyDescent="0.25">
      <c r="A22" s="257" t="e">
        <f>+#REF!+0.1</f>
        <v>#REF!</v>
      </c>
      <c r="B22" s="258" t="s">
        <v>882</v>
      </c>
      <c r="C22" s="254" t="s">
        <v>54</v>
      </c>
      <c r="D22" s="254"/>
      <c r="E22" s="259">
        <f>+F22*1.07</f>
        <v>820.69</v>
      </c>
      <c r="F22" s="278">
        <f>650*1.18</f>
        <v>767</v>
      </c>
      <c r="G22" s="280" t="s">
        <v>883</v>
      </c>
      <c r="H22" s="236"/>
      <c r="I22" s="236"/>
    </row>
    <row r="23" spans="1:12" ht="13.8" x14ac:dyDescent="0.25">
      <c r="A23" s="257"/>
      <c r="B23" s="258"/>
      <c r="C23" s="254"/>
      <c r="D23" s="254"/>
      <c r="E23" s="274"/>
      <c r="G23" s="256"/>
      <c r="H23" s="236"/>
      <c r="I23" s="236"/>
    </row>
    <row r="24" spans="1:12" x14ac:dyDescent="0.25">
      <c r="A24" s="252">
        <v>3</v>
      </c>
      <c r="B24" s="253" t="s">
        <v>884</v>
      </c>
      <c r="C24" s="254"/>
      <c r="D24" s="254"/>
      <c r="E24" s="274"/>
    </row>
    <row r="25" spans="1:12" ht="14.4" x14ac:dyDescent="0.3">
      <c r="A25" s="257">
        <f>+A24+0.1</f>
        <v>3.1</v>
      </c>
      <c r="B25" s="258" t="s">
        <v>885</v>
      </c>
      <c r="C25" s="254" t="s">
        <v>8</v>
      </c>
      <c r="D25" s="254"/>
      <c r="E25" s="259">
        <v>43.05</v>
      </c>
      <c r="F25" s="234">
        <v>36</v>
      </c>
      <c r="G25" s="281"/>
      <c r="H25" s="281"/>
      <c r="I25" s="282">
        <f>30.51*1.18</f>
        <v>36.001800000000003</v>
      </c>
      <c r="J25" s="283"/>
      <c r="K25" s="284"/>
    </row>
    <row r="26" spans="1:12" ht="14.4" x14ac:dyDescent="0.3">
      <c r="A26" s="257">
        <f>+A25+0.01</f>
        <v>3.11</v>
      </c>
      <c r="B26" s="258" t="s">
        <v>886</v>
      </c>
      <c r="C26" s="254" t="s">
        <v>8</v>
      </c>
      <c r="D26" s="254"/>
      <c r="E26" s="259">
        <v>44</v>
      </c>
      <c r="F26" s="234">
        <v>41</v>
      </c>
      <c r="G26" s="281"/>
      <c r="H26" s="281"/>
      <c r="I26" s="282"/>
      <c r="J26" s="283"/>
      <c r="K26" s="284"/>
    </row>
    <row r="27" spans="1:12" ht="14.4" x14ac:dyDescent="0.3">
      <c r="A27" s="257">
        <f>+A26+0.01</f>
        <v>3.1199999999999997</v>
      </c>
      <c r="B27" s="258" t="s">
        <v>887</v>
      </c>
      <c r="C27" s="254" t="s">
        <v>8</v>
      </c>
      <c r="D27" s="254"/>
      <c r="E27" s="259">
        <f>+F27*1.05</f>
        <v>56.7</v>
      </c>
      <c r="F27" s="234">
        <v>54</v>
      </c>
      <c r="G27" s="281"/>
      <c r="H27" s="281"/>
      <c r="I27" s="282"/>
      <c r="J27" s="283"/>
      <c r="K27" s="284"/>
    </row>
    <row r="28" spans="1:12" ht="14.4" x14ac:dyDescent="0.3">
      <c r="A28" s="257"/>
      <c r="B28" s="272" t="s">
        <v>888</v>
      </c>
      <c r="C28" s="242" t="s">
        <v>8</v>
      </c>
      <c r="D28" s="242"/>
      <c r="E28" s="265">
        <f>+F28*1.18</f>
        <v>124.9974</v>
      </c>
      <c r="F28" s="234">
        <v>105.93</v>
      </c>
      <c r="G28" s="281"/>
      <c r="H28" s="281"/>
      <c r="I28" s="282"/>
      <c r="J28" s="283"/>
      <c r="K28" s="285"/>
    </row>
    <row r="29" spans="1:12" ht="14.4" x14ac:dyDescent="0.3">
      <c r="A29" s="257"/>
      <c r="B29" s="272" t="s">
        <v>335</v>
      </c>
      <c r="C29" s="242" t="s">
        <v>8</v>
      </c>
      <c r="D29" s="242"/>
      <c r="E29" s="259">
        <v>240</v>
      </c>
      <c r="G29" s="281"/>
      <c r="H29" s="281"/>
      <c r="I29" s="282"/>
      <c r="J29" s="283"/>
      <c r="K29" s="285"/>
    </row>
    <row r="30" spans="1:12" ht="14.4" x14ac:dyDescent="0.3">
      <c r="A30" s="257"/>
      <c r="B30" s="258"/>
      <c r="C30" s="254"/>
      <c r="D30" s="254"/>
      <c r="E30" s="274"/>
      <c r="G30" s="281"/>
      <c r="H30" s="281"/>
      <c r="I30" s="282"/>
      <c r="J30" s="283"/>
      <c r="K30" s="284">
        <f>1144.07*1.18</f>
        <v>1350.0025999999998</v>
      </c>
    </row>
    <row r="31" spans="1:12" ht="13.8" x14ac:dyDescent="0.25">
      <c r="A31" s="252">
        <v>5</v>
      </c>
      <c r="B31" s="253" t="s">
        <v>889</v>
      </c>
      <c r="C31" s="254"/>
      <c r="D31" s="254"/>
      <c r="E31" s="274"/>
      <c r="G31" s="256"/>
      <c r="H31" s="236"/>
      <c r="I31" s="236"/>
    </row>
    <row r="32" spans="1:12" ht="13.8" x14ac:dyDescent="0.25">
      <c r="A32" s="257">
        <f>+A31+0.1</f>
        <v>5.0999999999999996</v>
      </c>
      <c r="B32" s="258" t="s">
        <v>890</v>
      </c>
      <c r="C32" s="254" t="s">
        <v>52</v>
      </c>
      <c r="D32" s="254"/>
      <c r="E32" s="259">
        <f>1350*1.05</f>
        <v>1417.5</v>
      </c>
      <c r="G32" s="256"/>
      <c r="H32" s="236"/>
      <c r="I32" s="236"/>
    </row>
    <row r="33" spans="1:11" ht="13.8" x14ac:dyDescent="0.25">
      <c r="A33" s="257">
        <f>+A32+0.01</f>
        <v>5.1099999999999994</v>
      </c>
      <c r="B33" s="258" t="s">
        <v>51</v>
      </c>
      <c r="C33" s="254" t="s">
        <v>52</v>
      </c>
      <c r="D33" s="254"/>
      <c r="E33" s="259">
        <v>540.75</v>
      </c>
      <c r="G33" s="256"/>
      <c r="H33" s="236"/>
      <c r="I33" s="236"/>
    </row>
    <row r="34" spans="1:11" ht="13.8" x14ac:dyDescent="0.25">
      <c r="A34" s="257">
        <f>+A33+0.01</f>
        <v>5.1199999999999992</v>
      </c>
      <c r="B34" s="286" t="s">
        <v>891</v>
      </c>
      <c r="C34" s="242" t="s">
        <v>52</v>
      </c>
      <c r="D34" s="242"/>
      <c r="E34" s="265">
        <v>250</v>
      </c>
      <c r="G34" s="235"/>
      <c r="H34" s="236"/>
      <c r="I34" s="236"/>
    </row>
    <row r="35" spans="1:11" ht="13.8" x14ac:dyDescent="0.25">
      <c r="A35" s="257"/>
      <c r="B35" s="286" t="s">
        <v>892</v>
      </c>
      <c r="C35" s="242" t="s">
        <v>651</v>
      </c>
      <c r="D35" s="242"/>
      <c r="E35" s="259">
        <v>507</v>
      </c>
      <c r="F35" s="287">
        <v>38169</v>
      </c>
      <c r="G35" s="235"/>
      <c r="H35" s="236"/>
      <c r="I35" s="236"/>
    </row>
    <row r="36" spans="1:11" ht="13.8" x14ac:dyDescent="0.25">
      <c r="A36" s="257"/>
      <c r="B36" s="286" t="s">
        <v>893</v>
      </c>
      <c r="C36" s="242" t="s">
        <v>894</v>
      </c>
      <c r="D36" s="242"/>
      <c r="E36" s="265">
        <v>36.079916000000004</v>
      </c>
      <c r="G36" s="235"/>
      <c r="H36" s="236"/>
      <c r="I36" s="236"/>
    </row>
    <row r="37" spans="1:11" ht="13.8" x14ac:dyDescent="0.25">
      <c r="A37" s="257"/>
      <c r="B37" s="286" t="s">
        <v>608</v>
      </c>
      <c r="C37" s="242" t="s">
        <v>52</v>
      </c>
      <c r="D37" s="242"/>
      <c r="E37" s="265">
        <v>36.08</v>
      </c>
      <c r="G37" s="235"/>
      <c r="H37" s="236"/>
      <c r="I37" s="236"/>
    </row>
    <row r="38" spans="1:11" ht="13.8" x14ac:dyDescent="0.25">
      <c r="A38" s="257"/>
      <c r="B38" s="258"/>
      <c r="C38" s="254"/>
      <c r="D38" s="254"/>
      <c r="E38" s="274"/>
      <c r="G38" s="256"/>
      <c r="H38" s="236"/>
      <c r="I38" s="236"/>
    </row>
    <row r="39" spans="1:11" ht="13.8" x14ac:dyDescent="0.25">
      <c r="A39" s="252">
        <v>6</v>
      </c>
      <c r="B39" s="253" t="s">
        <v>895</v>
      </c>
      <c r="C39" s="254"/>
      <c r="D39" s="254"/>
      <c r="E39" s="274"/>
      <c r="F39" s="262"/>
      <c r="G39" s="256"/>
      <c r="H39" s="288"/>
      <c r="I39" s="236"/>
    </row>
    <row r="40" spans="1:11" ht="13.8" x14ac:dyDescent="0.25">
      <c r="A40" s="257">
        <f>+A36+0.1</f>
        <v>0.1</v>
      </c>
      <c r="B40" s="258" t="s">
        <v>896</v>
      </c>
      <c r="C40" s="254" t="s">
        <v>54</v>
      </c>
      <c r="D40" s="254"/>
      <c r="E40" s="259">
        <f>+F40*1.03</f>
        <v>9171.9542999999994</v>
      </c>
      <c r="F40" s="262">
        <v>8904.81</v>
      </c>
      <c r="G40" s="287">
        <v>38169</v>
      </c>
      <c r="H40" s="289"/>
      <c r="I40" s="236"/>
      <c r="J40" s="264">
        <v>8904.81</v>
      </c>
      <c r="K40" s="269">
        <f>+J40+$E$47</f>
        <v>9730.81</v>
      </c>
    </row>
    <row r="41" spans="1:11" ht="13.8" x14ac:dyDescent="0.25">
      <c r="A41" s="257">
        <f>+A38+0.1</f>
        <v>0.1</v>
      </c>
      <c r="B41" s="258" t="s">
        <v>897</v>
      </c>
      <c r="C41" s="254" t="s">
        <v>54</v>
      </c>
      <c r="D41" s="254"/>
      <c r="E41" s="259">
        <f t="shared" ref="E41:E43" si="0">+F41*1.03</f>
        <v>8972.33</v>
      </c>
      <c r="F41" s="262">
        <v>8711</v>
      </c>
      <c r="G41" s="287">
        <v>38169</v>
      </c>
      <c r="H41" s="289"/>
      <c r="I41" s="236"/>
      <c r="J41" s="264">
        <v>8004.47</v>
      </c>
      <c r="K41" s="269">
        <f t="shared" ref="K41:K46" si="1">+J41+$E$47</f>
        <v>8830.4700000000012</v>
      </c>
    </row>
    <row r="42" spans="1:11" ht="13.8" x14ac:dyDescent="0.25">
      <c r="A42" s="257">
        <f>+A39+0.1</f>
        <v>6.1</v>
      </c>
      <c r="B42" s="258" t="s">
        <v>898</v>
      </c>
      <c r="C42" s="254" t="s">
        <v>54</v>
      </c>
      <c r="D42" s="254"/>
      <c r="E42" s="259">
        <f t="shared" si="0"/>
        <v>8373.9</v>
      </c>
      <c r="F42" s="262">
        <v>8130</v>
      </c>
      <c r="G42" s="287">
        <v>38169</v>
      </c>
      <c r="H42" s="289"/>
      <c r="I42" s="236"/>
      <c r="K42" s="269"/>
    </row>
    <row r="43" spans="1:11" ht="13.8" x14ac:dyDescent="0.25">
      <c r="A43" s="257">
        <f>+A42+0.1</f>
        <v>6.1999999999999993</v>
      </c>
      <c r="B43" s="258" t="s">
        <v>899</v>
      </c>
      <c r="C43" s="254" t="s">
        <v>54</v>
      </c>
      <c r="D43" s="254"/>
      <c r="E43" s="259">
        <f t="shared" si="0"/>
        <v>8872.42</v>
      </c>
      <c r="F43" s="262">
        <v>8614</v>
      </c>
      <c r="G43" s="287">
        <v>38169</v>
      </c>
      <c r="H43" s="289"/>
      <c r="I43" s="236"/>
      <c r="J43" s="264">
        <v>8115.46</v>
      </c>
      <c r="K43" s="269">
        <f t="shared" si="1"/>
        <v>8941.4599999999991</v>
      </c>
    </row>
    <row r="44" spans="1:11" ht="13.8" x14ac:dyDescent="0.25">
      <c r="A44" s="257">
        <f>+A43+0.1</f>
        <v>6.2999999999999989</v>
      </c>
      <c r="B44" s="258" t="s">
        <v>900</v>
      </c>
      <c r="C44" s="254" t="s">
        <v>54</v>
      </c>
      <c r="D44" s="254"/>
      <c r="E44" s="259">
        <f>+F44*1.02</f>
        <v>9027</v>
      </c>
      <c r="F44" s="262">
        <f>7500*1.18</f>
        <v>8850</v>
      </c>
      <c r="G44" s="262">
        <f>7500*1.18</f>
        <v>8850</v>
      </c>
      <c r="H44" s="289"/>
      <c r="I44" s="236"/>
      <c r="J44" s="264">
        <v>8274.16</v>
      </c>
      <c r="K44" s="269">
        <f t="shared" si="1"/>
        <v>9100.16</v>
      </c>
    </row>
    <row r="45" spans="1:11" ht="13.8" x14ac:dyDescent="0.25">
      <c r="A45" s="257">
        <f>+A46+0.1</f>
        <v>6.4999999999999982</v>
      </c>
      <c r="B45" s="258" t="s">
        <v>901</v>
      </c>
      <c r="C45" s="254" t="s">
        <v>54</v>
      </c>
      <c r="D45" s="254"/>
      <c r="E45" s="259">
        <f>+F45*1.03</f>
        <v>9449.7350000000006</v>
      </c>
      <c r="F45" s="262">
        <f>7775*1.18</f>
        <v>9174.5</v>
      </c>
      <c r="G45" s="262"/>
      <c r="H45" s="289"/>
      <c r="I45" s="290">
        <f>7815*1.18</f>
        <v>9221.6999999999989</v>
      </c>
      <c r="J45" s="278">
        <v>7673.54</v>
      </c>
      <c r="K45" s="269">
        <f t="shared" si="1"/>
        <v>8499.5400000000009</v>
      </c>
    </row>
    <row r="46" spans="1:11" ht="13.8" x14ac:dyDescent="0.25">
      <c r="A46" s="257">
        <f>+A44+0.1</f>
        <v>6.3999999999999986</v>
      </c>
      <c r="B46" s="258" t="s">
        <v>902</v>
      </c>
      <c r="C46" s="254" t="s">
        <v>54</v>
      </c>
      <c r="D46" s="254"/>
      <c r="E46" s="259">
        <f>+F46*1.03</f>
        <v>9966.2800000000007</v>
      </c>
      <c r="F46" s="291">
        <v>9676</v>
      </c>
      <c r="G46" s="262">
        <f>+F46+$F$47</f>
        <v>10266</v>
      </c>
      <c r="H46" s="289">
        <f>+G46*1.03</f>
        <v>10573.98</v>
      </c>
      <c r="I46" s="292">
        <v>38169</v>
      </c>
      <c r="J46" s="278">
        <v>7973.52</v>
      </c>
      <c r="K46" s="269">
        <f t="shared" si="1"/>
        <v>8799.52</v>
      </c>
    </row>
    <row r="47" spans="1:11" ht="13.8" x14ac:dyDescent="0.25">
      <c r="A47" s="257"/>
      <c r="B47" s="258" t="s">
        <v>903</v>
      </c>
      <c r="C47" s="254" t="s">
        <v>54</v>
      </c>
      <c r="D47" s="254"/>
      <c r="E47" s="265">
        <v>826</v>
      </c>
      <c r="F47" s="291">
        <v>590</v>
      </c>
      <c r="G47" s="262"/>
      <c r="H47" s="288"/>
      <c r="I47" s="236"/>
      <c r="K47" s="269"/>
    </row>
    <row r="48" spans="1:11" ht="13.8" x14ac:dyDescent="0.25">
      <c r="A48" s="257"/>
      <c r="B48" s="258" t="s">
        <v>904</v>
      </c>
      <c r="C48" s="254" t="s">
        <v>54</v>
      </c>
      <c r="D48" s="254"/>
      <c r="E48" s="265">
        <f>300*1.18*1.05</f>
        <v>371.7</v>
      </c>
      <c r="F48" s="291"/>
      <c r="G48" s="256"/>
      <c r="H48" s="288"/>
      <c r="I48" s="236"/>
      <c r="J48" s="262"/>
    </row>
    <row r="49" spans="1:10" ht="13.8" x14ac:dyDescent="0.25">
      <c r="A49" s="257"/>
      <c r="B49" s="258" t="s">
        <v>248</v>
      </c>
      <c r="C49" s="254" t="s">
        <v>54</v>
      </c>
      <c r="D49" s="254"/>
      <c r="E49" s="293">
        <f>+F49*1.03</f>
        <v>643.75</v>
      </c>
      <c r="F49" s="291">
        <v>625</v>
      </c>
      <c r="G49" s="287">
        <v>38169</v>
      </c>
      <c r="H49" s="288"/>
      <c r="I49" s="236"/>
      <c r="J49" s="262"/>
    </row>
    <row r="50" spans="1:10" ht="13.8" x14ac:dyDescent="0.25">
      <c r="A50" s="257"/>
      <c r="B50" s="258" t="s">
        <v>905</v>
      </c>
      <c r="C50" s="254" t="s">
        <v>54</v>
      </c>
      <c r="D50" s="254"/>
      <c r="E50" s="265">
        <f>350*1.18*1.05</f>
        <v>433.65000000000003</v>
      </c>
      <c r="F50" s="291"/>
      <c r="G50" s="256"/>
      <c r="H50" s="288"/>
      <c r="I50" s="236"/>
      <c r="J50" s="262"/>
    </row>
    <row r="51" spans="1:10" ht="13.8" x14ac:dyDescent="0.25">
      <c r="A51" s="257"/>
      <c r="B51" s="258" t="s">
        <v>906</v>
      </c>
      <c r="C51" s="254" t="s">
        <v>54</v>
      </c>
      <c r="D51" s="254"/>
      <c r="E51" s="265">
        <f>531*1.05</f>
        <v>557.55000000000007</v>
      </c>
      <c r="F51" s="291"/>
      <c r="G51" s="256"/>
      <c r="H51" s="288"/>
      <c r="I51" s="236"/>
      <c r="J51" s="262"/>
    </row>
    <row r="52" spans="1:10" ht="13.8" x14ac:dyDescent="0.25">
      <c r="A52" s="257"/>
      <c r="B52" s="258"/>
      <c r="C52" s="254"/>
      <c r="D52" s="254"/>
      <c r="E52" s="274"/>
      <c r="F52" s="291"/>
      <c r="G52" s="256"/>
      <c r="H52" s="288"/>
      <c r="I52" s="236"/>
      <c r="J52" s="262"/>
    </row>
    <row r="53" spans="1:10" ht="13.8" x14ac:dyDescent="0.25">
      <c r="A53" s="257"/>
      <c r="B53" s="253" t="s">
        <v>907</v>
      </c>
      <c r="C53" s="254"/>
      <c r="D53" s="254"/>
      <c r="E53" s="274"/>
      <c r="G53" s="256"/>
      <c r="H53" s="236"/>
      <c r="I53" s="236"/>
    </row>
    <row r="54" spans="1:10" ht="13.8" x14ac:dyDescent="0.25">
      <c r="A54" s="257" t="e">
        <f>#REF!+0.1</f>
        <v>#REF!</v>
      </c>
      <c r="B54" s="258" t="s">
        <v>30</v>
      </c>
      <c r="C54" s="254" t="s">
        <v>82</v>
      </c>
      <c r="D54" s="254"/>
      <c r="E54" s="277">
        <v>59.2</v>
      </c>
      <c r="F54" s="234">
        <f>44*1.18</f>
        <v>51.919999999999995</v>
      </c>
      <c r="G54" s="287">
        <v>38169</v>
      </c>
      <c r="H54" s="236"/>
      <c r="I54" s="236"/>
    </row>
    <row r="55" spans="1:10" ht="13.8" x14ac:dyDescent="0.25">
      <c r="A55" s="257" t="e">
        <f>#REF!+0.1</f>
        <v>#REF!</v>
      </c>
      <c r="B55" s="258" t="s">
        <v>908</v>
      </c>
      <c r="C55" s="254" t="s">
        <v>82</v>
      </c>
      <c r="D55" s="254"/>
      <c r="E55" s="265">
        <f>65*1.05</f>
        <v>68.25</v>
      </c>
      <c r="G55" s="256"/>
      <c r="H55" s="236"/>
      <c r="I55" s="236"/>
    </row>
    <row r="56" spans="1:10" ht="13.8" x14ac:dyDescent="0.25">
      <c r="A56" s="257" t="e">
        <f>#REF!+0.1</f>
        <v>#REF!</v>
      </c>
      <c r="B56" s="258" t="s">
        <v>909</v>
      </c>
      <c r="C56" s="254" t="s">
        <v>82</v>
      </c>
      <c r="D56" s="254"/>
      <c r="E56" s="259">
        <f>+F56*1.03</f>
        <v>61.099600000000002</v>
      </c>
      <c r="F56" s="234">
        <v>59.32</v>
      </c>
      <c r="G56" s="287">
        <v>38169</v>
      </c>
      <c r="H56" s="236"/>
      <c r="I56" s="236"/>
    </row>
    <row r="57" spans="1:10" ht="13.8" x14ac:dyDescent="0.25">
      <c r="A57" s="257" t="e">
        <f>#REF!+0.1</f>
        <v>#REF!</v>
      </c>
      <c r="B57" s="258" t="s">
        <v>32</v>
      </c>
      <c r="C57" s="254" t="s">
        <v>82</v>
      </c>
      <c r="D57" s="254"/>
      <c r="E57" s="265">
        <f>60*1.05</f>
        <v>63</v>
      </c>
      <c r="G57" s="256"/>
      <c r="H57" s="236"/>
      <c r="I57" s="236"/>
    </row>
    <row r="58" spans="1:10" ht="13.8" x14ac:dyDescent="0.25">
      <c r="A58" s="257"/>
      <c r="C58" s="294"/>
      <c r="D58" s="294"/>
      <c r="E58" s="274"/>
      <c r="G58" s="256"/>
      <c r="H58" s="236"/>
      <c r="I58" s="236"/>
    </row>
    <row r="59" spans="1:10" ht="13.8" x14ac:dyDescent="0.25">
      <c r="A59" s="252">
        <v>8</v>
      </c>
      <c r="B59" s="253" t="s">
        <v>648</v>
      </c>
      <c r="C59" s="254"/>
      <c r="D59" s="254"/>
      <c r="E59" s="274"/>
      <c r="G59" s="256"/>
      <c r="H59" s="236"/>
      <c r="I59" s="236"/>
    </row>
    <row r="60" spans="1:10" ht="13.8" x14ac:dyDescent="0.25">
      <c r="A60" s="257">
        <f>+A58+0.1</f>
        <v>0.1</v>
      </c>
      <c r="B60" s="258" t="s">
        <v>910</v>
      </c>
      <c r="C60" s="254" t="s">
        <v>651</v>
      </c>
      <c r="D60" s="254"/>
      <c r="E60" s="259">
        <f>+F60*1.03</f>
        <v>2066.1799999999998</v>
      </c>
      <c r="F60" s="234">
        <v>2006</v>
      </c>
      <c r="G60" s="287">
        <v>38169</v>
      </c>
      <c r="H60" s="236"/>
      <c r="I60" s="236"/>
    </row>
    <row r="61" spans="1:10" ht="13.8" x14ac:dyDescent="0.25">
      <c r="A61" s="257">
        <f>+A59+0.1</f>
        <v>8.1</v>
      </c>
      <c r="B61" s="258" t="s">
        <v>911</v>
      </c>
      <c r="C61" s="254" t="s">
        <v>651</v>
      </c>
      <c r="D61" s="254"/>
      <c r="E61" s="295">
        <f>(7845.91*1.18*1.05)/5</f>
        <v>1944.2164979999998</v>
      </c>
      <c r="G61" s="256">
        <f>7845.91*1.18</f>
        <v>9258.1737999999987</v>
      </c>
      <c r="H61" s="236"/>
      <c r="I61" s="236"/>
    </row>
    <row r="62" spans="1:10" ht="13.8" x14ac:dyDescent="0.25">
      <c r="A62" s="257" t="e">
        <f>+#REF!+0.01</f>
        <v>#REF!</v>
      </c>
      <c r="B62" s="258" t="s">
        <v>912</v>
      </c>
      <c r="C62" s="254" t="s">
        <v>651</v>
      </c>
      <c r="D62" s="254"/>
      <c r="E62" s="259">
        <f>+F62*1.03</f>
        <v>2117.6799999999998</v>
      </c>
      <c r="F62" s="234">
        <v>2056</v>
      </c>
      <c r="G62" s="287">
        <v>38169</v>
      </c>
      <c r="H62" s="236"/>
      <c r="I62" s="236"/>
    </row>
    <row r="63" spans="1:10" ht="13.8" x14ac:dyDescent="0.25">
      <c r="A63" s="296" t="e">
        <f>+A62+0.01</f>
        <v>#REF!</v>
      </c>
      <c r="B63" s="258" t="s">
        <v>913</v>
      </c>
      <c r="C63" s="254" t="s">
        <v>914</v>
      </c>
      <c r="D63" s="254"/>
      <c r="E63" s="297">
        <f>2103.94*1.05</f>
        <v>2209.1370000000002</v>
      </c>
      <c r="G63" s="256"/>
      <c r="H63" s="236"/>
      <c r="I63" s="236"/>
    </row>
    <row r="64" spans="1:10" ht="13.8" x14ac:dyDescent="0.25">
      <c r="A64" s="296"/>
      <c r="B64" s="258" t="s">
        <v>915</v>
      </c>
      <c r="C64" s="254"/>
      <c r="D64" s="254"/>
      <c r="E64" s="297">
        <f>2410.37*1.18*1.05</f>
        <v>2986.4484299999999</v>
      </c>
      <c r="G64" s="256"/>
      <c r="H64" s="236"/>
      <c r="I64" s="236"/>
    </row>
    <row r="65" spans="1:9" ht="13.8" x14ac:dyDescent="0.25">
      <c r="A65" s="257"/>
      <c r="B65" s="258" t="s">
        <v>916</v>
      </c>
      <c r="C65" s="254" t="s">
        <v>651</v>
      </c>
      <c r="D65" s="254"/>
      <c r="E65" s="297">
        <v>895</v>
      </c>
      <c r="G65" s="256"/>
      <c r="H65" s="236"/>
      <c r="I65" s="236"/>
    </row>
    <row r="66" spans="1:9" ht="13.8" x14ac:dyDescent="0.25">
      <c r="A66" s="252">
        <v>9</v>
      </c>
      <c r="B66" s="253" t="s">
        <v>917</v>
      </c>
      <c r="C66" s="254"/>
      <c r="D66" s="254"/>
      <c r="E66" s="297"/>
      <c r="G66" s="256"/>
      <c r="H66" s="236"/>
      <c r="I66" s="236"/>
    </row>
    <row r="67" spans="1:9" ht="13.8" x14ac:dyDescent="0.25">
      <c r="A67" s="257">
        <f>+A66+0.1</f>
        <v>9.1</v>
      </c>
      <c r="B67" s="286" t="s">
        <v>918</v>
      </c>
      <c r="C67" s="242" t="s">
        <v>81</v>
      </c>
      <c r="D67" s="242"/>
      <c r="E67" s="265">
        <f>180.93*1.18*53.5</f>
        <v>11422.1109</v>
      </c>
      <c r="G67" s="235"/>
      <c r="H67" s="236"/>
      <c r="I67" s="236"/>
    </row>
    <row r="68" spans="1:9" ht="13.8" x14ac:dyDescent="0.25">
      <c r="A68" s="257"/>
      <c r="B68" s="286" t="s">
        <v>919</v>
      </c>
      <c r="C68" s="242" t="s">
        <v>150</v>
      </c>
      <c r="D68" s="242"/>
      <c r="E68" s="265">
        <f>(180.93*53.5*1.18)*0.2*1.3</f>
        <v>2969.7488340000009</v>
      </c>
      <c r="G68" s="235"/>
      <c r="H68" s="236"/>
      <c r="I68" s="236"/>
    </row>
    <row r="69" spans="1:9" ht="13.8" x14ac:dyDescent="0.25">
      <c r="A69" s="257"/>
      <c r="B69" s="286" t="s">
        <v>617</v>
      </c>
      <c r="C69" s="242" t="s">
        <v>150</v>
      </c>
      <c r="D69" s="242"/>
      <c r="E69" s="265">
        <f>(180.93*53.5*1.18)*0.2*1.3</f>
        <v>2969.7488340000009</v>
      </c>
      <c r="G69" s="235"/>
      <c r="H69" s="236"/>
      <c r="I69" s="236"/>
    </row>
    <row r="70" spans="1:9" ht="13.8" x14ac:dyDescent="0.25">
      <c r="A70" s="257">
        <f>+A67+0.1</f>
        <v>9.1999999999999993</v>
      </c>
      <c r="B70" s="286" t="s">
        <v>920</v>
      </c>
      <c r="C70" s="242" t="s">
        <v>81</v>
      </c>
      <c r="D70" s="242"/>
      <c r="E70" s="265">
        <f>45*E1</f>
        <v>2475</v>
      </c>
      <c r="G70" s="235"/>
      <c r="H70" s="236"/>
      <c r="I70" s="236"/>
    </row>
    <row r="71" spans="1:9" ht="13.8" x14ac:dyDescent="0.25">
      <c r="A71" s="257"/>
      <c r="B71" s="298" t="s">
        <v>921</v>
      </c>
      <c r="C71" s="242" t="s">
        <v>81</v>
      </c>
      <c r="D71" s="242"/>
      <c r="E71" s="265">
        <f>45*E1</f>
        <v>2475</v>
      </c>
      <c r="G71" s="235"/>
      <c r="H71" s="236"/>
      <c r="I71" s="236"/>
    </row>
    <row r="72" spans="1:9" ht="13.8" x14ac:dyDescent="0.25">
      <c r="A72" s="257">
        <f>+A70+0.1</f>
        <v>9.2999999999999989</v>
      </c>
      <c r="B72" s="286" t="s">
        <v>922</v>
      </c>
      <c r="C72" s="242" t="s">
        <v>81</v>
      </c>
      <c r="D72" s="242"/>
      <c r="E72" s="265">
        <v>1000</v>
      </c>
      <c r="G72" s="235"/>
      <c r="H72" s="236"/>
      <c r="I72" s="236"/>
    </row>
    <row r="73" spans="1:9" ht="13.8" x14ac:dyDescent="0.25">
      <c r="A73" s="257"/>
      <c r="B73" s="286" t="s">
        <v>923</v>
      </c>
      <c r="C73" s="242" t="s">
        <v>81</v>
      </c>
      <c r="D73" s="242"/>
      <c r="E73" s="265">
        <v>800</v>
      </c>
      <c r="G73" s="235"/>
      <c r="H73" s="236"/>
      <c r="I73" s="236"/>
    </row>
    <row r="74" spans="1:9" ht="13.8" x14ac:dyDescent="0.25">
      <c r="A74" s="257"/>
      <c r="B74" s="286" t="s">
        <v>924</v>
      </c>
      <c r="C74" s="242" t="s">
        <v>81</v>
      </c>
      <c r="D74" s="242"/>
      <c r="E74" s="265">
        <v>2570.9299999999998</v>
      </c>
      <c r="G74" s="235"/>
      <c r="H74" s="236"/>
      <c r="I74" s="236"/>
    </row>
    <row r="75" spans="1:9" ht="13.8" x14ac:dyDescent="0.25">
      <c r="A75" s="257" t="e">
        <f>+#REF!+0.01</f>
        <v>#REF!</v>
      </c>
      <c r="B75" s="272" t="s">
        <v>925</v>
      </c>
      <c r="C75" s="242" t="s">
        <v>81</v>
      </c>
      <c r="D75" s="242"/>
      <c r="E75" s="265">
        <v>2316.9299999999998</v>
      </c>
      <c r="G75" s="235"/>
      <c r="H75" s="236"/>
      <c r="I75" s="236"/>
    </row>
    <row r="76" spans="1:9" ht="13.8" x14ac:dyDescent="0.25">
      <c r="A76" s="257" t="e">
        <f>+#REF!+0.01</f>
        <v>#REF!</v>
      </c>
      <c r="B76" s="272" t="s">
        <v>926</v>
      </c>
      <c r="C76" s="242" t="s">
        <v>81</v>
      </c>
      <c r="D76" s="242"/>
      <c r="E76" s="265">
        <v>2693.63</v>
      </c>
      <c r="G76" s="235"/>
      <c r="H76" s="236"/>
      <c r="I76" s="236"/>
    </row>
    <row r="77" spans="1:9" ht="13.8" x14ac:dyDescent="0.25">
      <c r="A77" s="257"/>
      <c r="B77" s="272" t="s">
        <v>927</v>
      </c>
      <c r="C77" s="242" t="s">
        <v>81</v>
      </c>
      <c r="D77" s="242"/>
      <c r="E77" s="265">
        <v>2693.63</v>
      </c>
      <c r="G77" s="235"/>
      <c r="H77" s="236"/>
      <c r="I77" s="236"/>
    </row>
    <row r="78" spans="1:9" ht="13.8" x14ac:dyDescent="0.25">
      <c r="A78" s="257" t="e">
        <f>+A76+0.01</f>
        <v>#REF!</v>
      </c>
      <c r="B78" s="272" t="s">
        <v>928</v>
      </c>
      <c r="C78" s="242" t="s">
        <v>81</v>
      </c>
      <c r="D78" s="242"/>
      <c r="E78" s="265">
        <f>95*1.18*E1</f>
        <v>6165.5</v>
      </c>
      <c r="G78" s="235"/>
      <c r="H78" s="236"/>
      <c r="I78" s="236"/>
    </row>
    <row r="79" spans="1:9" ht="13.8" x14ac:dyDescent="0.25">
      <c r="A79" s="257" t="e">
        <f>+A78+0.01</f>
        <v>#REF!</v>
      </c>
      <c r="B79" s="272" t="s">
        <v>929</v>
      </c>
      <c r="C79" s="242" t="s">
        <v>81</v>
      </c>
      <c r="D79" s="242"/>
      <c r="E79" s="265">
        <f>85*1.18*E1</f>
        <v>5516.5</v>
      </c>
      <c r="G79" s="235"/>
      <c r="H79" s="236"/>
      <c r="I79" s="236"/>
    </row>
    <row r="80" spans="1:9" ht="13.8" x14ac:dyDescent="0.25">
      <c r="A80" s="257"/>
      <c r="B80" s="272" t="s">
        <v>930</v>
      </c>
      <c r="C80" s="242" t="s">
        <v>81</v>
      </c>
      <c r="D80" s="242"/>
      <c r="E80" s="265">
        <v>1069.55</v>
      </c>
      <c r="G80" s="235"/>
      <c r="H80" s="236"/>
      <c r="I80" s="236"/>
    </row>
    <row r="81" spans="1:9" ht="13.8" x14ac:dyDescent="0.25">
      <c r="A81" s="257"/>
      <c r="B81" s="272" t="s">
        <v>931</v>
      </c>
      <c r="C81" s="242" t="s">
        <v>81</v>
      </c>
      <c r="D81" s="242"/>
      <c r="E81" s="265"/>
      <c r="G81" s="235"/>
      <c r="H81" s="236"/>
      <c r="I81" s="236"/>
    </row>
    <row r="82" spans="1:9" ht="13.8" x14ac:dyDescent="0.25">
      <c r="A82" s="257"/>
      <c r="B82" s="272" t="s">
        <v>932</v>
      </c>
      <c r="C82" s="242" t="s">
        <v>81</v>
      </c>
      <c r="D82" s="242"/>
      <c r="E82" s="265"/>
      <c r="G82" s="235"/>
      <c r="H82" s="236"/>
      <c r="I82" s="236"/>
    </row>
    <row r="83" spans="1:9" ht="13.8" x14ac:dyDescent="0.25">
      <c r="A83" s="257"/>
      <c r="B83" s="272" t="s">
        <v>933</v>
      </c>
      <c r="C83" s="242" t="s">
        <v>81</v>
      </c>
      <c r="D83" s="242"/>
      <c r="E83" s="265">
        <f>18.08*1.18*60*1.05</f>
        <v>1344.0671999999997</v>
      </c>
      <c r="G83" s="235"/>
      <c r="H83" s="236"/>
      <c r="I83" s="236"/>
    </row>
    <row r="84" spans="1:9" ht="13.8" x14ac:dyDescent="0.25">
      <c r="A84" s="257"/>
      <c r="B84" s="272" t="s">
        <v>934</v>
      </c>
      <c r="C84" s="242" t="s">
        <v>81</v>
      </c>
      <c r="D84" s="242"/>
      <c r="E84" s="265">
        <v>1437.24</v>
      </c>
      <c r="G84" s="235"/>
      <c r="H84" s="236"/>
      <c r="I84" s="236"/>
    </row>
    <row r="85" spans="1:9" ht="13.8" x14ac:dyDescent="0.25">
      <c r="A85" s="257"/>
      <c r="B85" s="258" t="s">
        <v>935</v>
      </c>
      <c r="C85" s="254" t="s">
        <v>81</v>
      </c>
      <c r="D85" s="254"/>
      <c r="E85" s="265">
        <f>520.45*1.18*1/(0.6*0.6)*1.05</f>
        <v>1791.2154166666667</v>
      </c>
      <c r="G85" s="256"/>
      <c r="H85" s="299"/>
      <c r="I85" s="236"/>
    </row>
    <row r="86" spans="1:9" ht="13.8" x14ac:dyDescent="0.25">
      <c r="A86" s="257"/>
      <c r="B86" s="258" t="s">
        <v>936</v>
      </c>
      <c r="C86" s="254" t="s">
        <v>81</v>
      </c>
      <c r="D86" s="254"/>
      <c r="E86" s="265">
        <v>1356.41</v>
      </c>
      <c r="G86" s="256"/>
      <c r="H86" s="236"/>
      <c r="I86" s="236"/>
    </row>
    <row r="87" spans="1:9" ht="13.8" x14ac:dyDescent="0.25">
      <c r="A87" s="257"/>
      <c r="B87" s="258" t="s">
        <v>937</v>
      </c>
      <c r="C87" s="254" t="s">
        <v>81</v>
      </c>
      <c r="D87" s="254"/>
      <c r="E87" s="265">
        <v>1025</v>
      </c>
      <c r="G87" s="256"/>
      <c r="H87" s="236"/>
      <c r="I87" s="236"/>
    </row>
    <row r="88" spans="1:9" ht="13.8" x14ac:dyDescent="0.25">
      <c r="A88" s="257"/>
      <c r="B88" s="258" t="s">
        <v>938</v>
      </c>
      <c r="C88" s="254" t="s">
        <v>81</v>
      </c>
      <c r="D88" s="254"/>
      <c r="E88" s="265">
        <v>1100</v>
      </c>
      <c r="G88" s="256"/>
      <c r="H88" s="236"/>
      <c r="I88" s="236"/>
    </row>
    <row r="89" spans="1:9" ht="13.8" x14ac:dyDescent="0.25">
      <c r="A89" s="257"/>
      <c r="B89" s="258" t="s">
        <v>939</v>
      </c>
      <c r="C89" s="254" t="s">
        <v>81</v>
      </c>
      <c r="D89" s="254"/>
      <c r="E89" s="265">
        <v>1100</v>
      </c>
      <c r="G89" s="256"/>
      <c r="H89" s="236"/>
      <c r="I89" s="236"/>
    </row>
    <row r="90" spans="1:9" ht="13.8" x14ac:dyDescent="0.25">
      <c r="A90" s="257"/>
      <c r="B90" s="258" t="s">
        <v>940</v>
      </c>
      <c r="C90" s="254" t="s">
        <v>81</v>
      </c>
      <c r="D90" s="254"/>
      <c r="E90" s="265">
        <f>+F90*1.05</f>
        <v>1300.95</v>
      </c>
      <c r="F90" s="256">
        <f>1050*1.18</f>
        <v>1239</v>
      </c>
      <c r="G90" s="234" t="s">
        <v>941</v>
      </c>
      <c r="H90" s="236"/>
      <c r="I90" s="236"/>
    </row>
    <row r="91" spans="1:9" ht="13.8" x14ac:dyDescent="0.25">
      <c r="A91" s="257"/>
      <c r="B91" s="258" t="s">
        <v>580</v>
      </c>
      <c r="C91" s="254" t="s">
        <v>81</v>
      </c>
      <c r="D91" s="254"/>
      <c r="E91" s="265">
        <f>82*1.18*53.5</f>
        <v>5176.66</v>
      </c>
      <c r="G91" s="256"/>
      <c r="H91" s="236"/>
      <c r="I91" s="236"/>
    </row>
    <row r="92" spans="1:9" ht="13.8" x14ac:dyDescent="0.25">
      <c r="A92" s="257"/>
      <c r="B92" s="258" t="s">
        <v>942</v>
      </c>
      <c r="C92" s="254" t="s">
        <v>81</v>
      </c>
      <c r="D92" s="254"/>
      <c r="E92" s="265">
        <f>43.75*1.18*53.5</f>
        <v>2761.9375</v>
      </c>
      <c r="G92" s="256"/>
      <c r="H92" s="236"/>
      <c r="I92" s="236"/>
    </row>
    <row r="93" spans="1:9" ht="13.8" x14ac:dyDescent="0.25">
      <c r="A93" s="257"/>
      <c r="B93" s="258" t="s">
        <v>943</v>
      </c>
      <c r="C93" s="254" t="s">
        <v>81</v>
      </c>
      <c r="D93" s="254"/>
      <c r="E93" s="265">
        <v>1416</v>
      </c>
      <c r="G93" s="256"/>
      <c r="H93" s="236"/>
      <c r="I93" s="236"/>
    </row>
    <row r="94" spans="1:9" ht="13.8" x14ac:dyDescent="0.25">
      <c r="A94" s="257"/>
      <c r="B94" s="258" t="s">
        <v>944</v>
      </c>
      <c r="C94" s="254" t="s">
        <v>81</v>
      </c>
      <c r="D94" s="254"/>
      <c r="E94" s="265">
        <f>+F94*1.05</f>
        <v>1406.2650000000001</v>
      </c>
      <c r="F94" s="234">
        <f>1135*1.18</f>
        <v>1339.3</v>
      </c>
      <c r="G94" s="256"/>
      <c r="H94" s="236"/>
      <c r="I94" s="236"/>
    </row>
    <row r="95" spans="1:9" ht="13.8" x14ac:dyDescent="0.25">
      <c r="A95" s="257"/>
      <c r="B95" s="258" t="s">
        <v>945</v>
      </c>
      <c r="C95" s="254" t="s">
        <v>81</v>
      </c>
      <c r="D95" s="254"/>
      <c r="E95" s="265">
        <f>1374.97*1.18*1.1</f>
        <v>1784.7110600000001</v>
      </c>
      <c r="G95" s="256"/>
      <c r="H95" s="236"/>
      <c r="I95" s="236"/>
    </row>
    <row r="96" spans="1:9" ht="13.8" x14ac:dyDescent="0.25">
      <c r="A96" s="257"/>
      <c r="B96" s="258" t="s">
        <v>946</v>
      </c>
      <c r="C96" s="254" t="s">
        <v>81</v>
      </c>
      <c r="D96" s="254"/>
      <c r="E96" s="265">
        <v>1976.8303999999998</v>
      </c>
      <c r="G96" s="256"/>
      <c r="H96" s="236"/>
      <c r="I96" s="236"/>
    </row>
    <row r="97" spans="1:9" ht="13.8" x14ac:dyDescent="0.25">
      <c r="A97" s="257"/>
      <c r="B97" s="258" t="s">
        <v>947</v>
      </c>
      <c r="C97" s="254" t="s">
        <v>81</v>
      </c>
      <c r="D97" s="254"/>
      <c r="E97" s="265">
        <v>1680.5088000000001</v>
      </c>
      <c r="G97" s="256"/>
      <c r="H97" s="236"/>
      <c r="I97" s="236"/>
    </row>
    <row r="98" spans="1:9" ht="13.8" x14ac:dyDescent="0.25">
      <c r="A98" s="257"/>
      <c r="B98" s="258" t="s">
        <v>948</v>
      </c>
      <c r="C98" s="254" t="s">
        <v>81</v>
      </c>
      <c r="D98" s="254"/>
      <c r="E98" s="265">
        <v>2464.3910599999999</v>
      </c>
      <c r="G98" s="256"/>
      <c r="H98" s="236"/>
      <c r="I98" s="236"/>
    </row>
    <row r="99" spans="1:9" ht="13.8" x14ac:dyDescent="0.25">
      <c r="A99" s="257"/>
      <c r="B99" s="258" t="s">
        <v>430</v>
      </c>
      <c r="C99" s="254" t="s">
        <v>54</v>
      </c>
      <c r="D99" s="254"/>
      <c r="E99" s="265">
        <f>950*1.18</f>
        <v>1121</v>
      </c>
      <c r="G99" s="256"/>
      <c r="H99" s="236"/>
      <c r="I99" s="236"/>
    </row>
    <row r="100" spans="1:9" ht="13.8" x14ac:dyDescent="0.25">
      <c r="A100" s="257"/>
      <c r="B100" s="258" t="s">
        <v>949</v>
      </c>
      <c r="C100" s="254" t="s">
        <v>81</v>
      </c>
      <c r="D100" s="254"/>
      <c r="E100" s="265">
        <v>5474.4</v>
      </c>
      <c r="G100" s="256"/>
      <c r="H100" s="236"/>
      <c r="I100" s="236"/>
    </row>
    <row r="101" spans="1:9" ht="13.8" x14ac:dyDescent="0.25">
      <c r="A101" s="257"/>
      <c r="B101" s="258" t="s">
        <v>950</v>
      </c>
      <c r="C101" s="254" t="s">
        <v>150</v>
      </c>
      <c r="D101" s="254"/>
      <c r="E101" s="265">
        <v>420.12720000000002</v>
      </c>
      <c r="G101" s="256"/>
      <c r="H101" s="236"/>
      <c r="I101" s="236"/>
    </row>
    <row r="102" spans="1:9" ht="13.8" x14ac:dyDescent="0.25">
      <c r="A102" s="257"/>
      <c r="B102" s="258" t="s">
        <v>951</v>
      </c>
      <c r="C102" s="254" t="s">
        <v>150</v>
      </c>
      <c r="D102" s="254"/>
      <c r="E102" s="265">
        <v>1200</v>
      </c>
      <c r="G102" s="256"/>
      <c r="H102" s="236"/>
      <c r="I102" s="236"/>
    </row>
    <row r="103" spans="1:9" ht="13.8" x14ac:dyDescent="0.25">
      <c r="A103" s="257"/>
      <c r="B103" s="258" t="s">
        <v>952</v>
      </c>
      <c r="C103" s="254" t="s">
        <v>150</v>
      </c>
      <c r="D103" s="254"/>
      <c r="E103" s="265">
        <f>+E79*0.2*1.35</f>
        <v>1489.4549999999999</v>
      </c>
      <c r="G103" s="256"/>
      <c r="H103" s="236"/>
      <c r="I103" s="236"/>
    </row>
    <row r="104" spans="1:9" ht="13.8" x14ac:dyDescent="0.25">
      <c r="A104" s="257"/>
      <c r="B104" s="258" t="s">
        <v>953</v>
      </c>
      <c r="C104" s="254" t="s">
        <v>150</v>
      </c>
      <c r="D104" s="254"/>
      <c r="E104" s="265">
        <v>1142.6165969999997</v>
      </c>
      <c r="G104" s="256"/>
      <c r="H104" s="236"/>
      <c r="I104" s="236"/>
    </row>
    <row r="105" spans="1:9" ht="13.8" x14ac:dyDescent="0.25">
      <c r="A105" s="257"/>
      <c r="B105" s="258" t="s">
        <v>954</v>
      </c>
      <c r="C105" s="254" t="s">
        <v>150</v>
      </c>
      <c r="D105" s="254"/>
      <c r="E105" s="265">
        <v>2094.7970944999997</v>
      </c>
      <c r="G105" s="256"/>
      <c r="H105" s="236"/>
      <c r="I105" s="236"/>
    </row>
    <row r="106" spans="1:9" ht="13.8" x14ac:dyDescent="0.25">
      <c r="A106" s="257"/>
      <c r="B106" s="258" t="s">
        <v>955</v>
      </c>
      <c r="C106" s="254" t="s">
        <v>81</v>
      </c>
      <c r="D106" s="254"/>
      <c r="E106" s="265">
        <v>600</v>
      </c>
      <c r="G106" s="256"/>
      <c r="H106" s="236"/>
      <c r="I106" s="236"/>
    </row>
    <row r="107" spans="1:9" ht="13.8" x14ac:dyDescent="0.25">
      <c r="A107" s="257"/>
      <c r="B107" s="258" t="s">
        <v>956</v>
      </c>
      <c r="C107" s="254" t="s">
        <v>81</v>
      </c>
      <c r="D107" s="254"/>
      <c r="E107" s="265">
        <v>12076.119999999999</v>
      </c>
      <c r="G107" s="256"/>
      <c r="H107" s="236"/>
      <c r="I107" s="236"/>
    </row>
    <row r="108" spans="1:9" ht="13.8" x14ac:dyDescent="0.25">
      <c r="A108" s="257"/>
      <c r="B108" s="258" t="s">
        <v>957</v>
      </c>
      <c r="C108" s="254" t="s">
        <v>81</v>
      </c>
      <c r="D108" s="254"/>
      <c r="E108" s="265">
        <v>5445</v>
      </c>
      <c r="G108" s="256"/>
      <c r="H108" s="236"/>
      <c r="I108" s="236"/>
    </row>
    <row r="109" spans="1:9" ht="13.8" x14ac:dyDescent="0.25">
      <c r="A109" s="257"/>
      <c r="B109" s="258" t="s">
        <v>958</v>
      </c>
      <c r="C109" s="254" t="s">
        <v>81</v>
      </c>
      <c r="D109" s="254"/>
      <c r="E109" s="265">
        <v>5445</v>
      </c>
      <c r="G109" s="256"/>
      <c r="H109" s="236"/>
      <c r="I109" s="236"/>
    </row>
    <row r="110" spans="1:9" ht="13.8" x14ac:dyDescent="0.25">
      <c r="A110" s="257"/>
      <c r="B110" s="258" t="s">
        <v>959</v>
      </c>
      <c r="C110" s="254" t="s">
        <v>81</v>
      </c>
      <c r="D110" s="254"/>
      <c r="E110" s="265">
        <v>2622.44</v>
      </c>
      <c r="G110" s="256"/>
      <c r="H110" s="236"/>
      <c r="I110" s="236"/>
    </row>
    <row r="111" spans="1:9" ht="13.8" x14ac:dyDescent="0.25">
      <c r="A111" s="257"/>
      <c r="B111" s="258" t="s">
        <v>585</v>
      </c>
      <c r="C111" s="254" t="s">
        <v>81</v>
      </c>
      <c r="D111" s="254"/>
      <c r="E111" s="265">
        <v>3066.53</v>
      </c>
      <c r="G111" s="256"/>
      <c r="H111" s="236"/>
      <c r="I111" s="236"/>
    </row>
    <row r="112" spans="1:9" ht="13.8" x14ac:dyDescent="0.25">
      <c r="A112" s="257"/>
      <c r="B112" s="258" t="s">
        <v>618</v>
      </c>
      <c r="C112" s="254" t="s">
        <v>81</v>
      </c>
      <c r="D112" s="254"/>
      <c r="E112" s="265">
        <f>((180.93*1.18*53.5)*3*2)/5.4</f>
        <v>12691.234333333332</v>
      </c>
      <c r="G112" s="256"/>
      <c r="H112" s="236"/>
      <c r="I112" s="236"/>
    </row>
    <row r="113" spans="1:9" ht="13.8" x14ac:dyDescent="0.25">
      <c r="A113" s="257"/>
      <c r="B113" s="258" t="s">
        <v>960</v>
      </c>
      <c r="C113" s="254" t="s">
        <v>150</v>
      </c>
      <c r="D113" s="254"/>
      <c r="E113" s="265">
        <v>1014.9</v>
      </c>
      <c r="G113" s="256"/>
      <c r="H113" s="236"/>
      <c r="I113" s="236"/>
    </row>
    <row r="114" spans="1:9" ht="13.8" x14ac:dyDescent="0.25">
      <c r="A114" s="257"/>
      <c r="B114" s="258" t="s">
        <v>961</v>
      </c>
      <c r="C114" s="254" t="s">
        <v>150</v>
      </c>
      <c r="D114" s="254"/>
      <c r="E114" s="265">
        <v>1523.97</v>
      </c>
      <c r="G114" s="256"/>
      <c r="H114" s="236"/>
      <c r="I114" s="236"/>
    </row>
    <row r="115" spans="1:9" ht="13.8" x14ac:dyDescent="0.25">
      <c r="A115" s="257"/>
      <c r="B115" s="258" t="s">
        <v>962</v>
      </c>
      <c r="C115" s="254" t="s">
        <v>150</v>
      </c>
      <c r="D115" s="254"/>
      <c r="E115" s="265">
        <v>4787.68</v>
      </c>
      <c r="G115" s="256"/>
      <c r="H115" s="236"/>
      <c r="I115" s="236"/>
    </row>
    <row r="116" spans="1:9" ht="13.8" x14ac:dyDescent="0.25">
      <c r="A116" s="257"/>
      <c r="B116" s="258" t="s">
        <v>520</v>
      </c>
      <c r="C116" s="254" t="s">
        <v>150</v>
      </c>
      <c r="D116" s="254"/>
      <c r="E116" s="265">
        <v>1523.97</v>
      </c>
      <c r="G116" s="256"/>
      <c r="H116" s="236"/>
      <c r="I116" s="236"/>
    </row>
    <row r="117" spans="1:9" ht="13.8" x14ac:dyDescent="0.25">
      <c r="A117" s="257"/>
      <c r="B117" s="258" t="s">
        <v>963</v>
      </c>
      <c r="C117" s="254" t="s">
        <v>150</v>
      </c>
      <c r="D117" s="254"/>
      <c r="E117" s="265">
        <f>14.64*1.18*57</f>
        <v>984.68639999999994</v>
      </c>
      <c r="F117" s="234">
        <f>14.64*1.18*57</f>
        <v>984.68639999999994</v>
      </c>
      <c r="G117" s="256"/>
      <c r="H117" s="236"/>
      <c r="I117" s="236"/>
    </row>
    <row r="118" spans="1:9" ht="13.8" x14ac:dyDescent="0.25">
      <c r="A118" s="257"/>
      <c r="B118" s="258" t="s">
        <v>525</v>
      </c>
      <c r="C118" s="254" t="s">
        <v>150</v>
      </c>
      <c r="D118" s="254"/>
      <c r="E118" s="265">
        <v>1142.5999999999999</v>
      </c>
      <c r="G118" s="256"/>
      <c r="H118" s="236"/>
      <c r="I118" s="236"/>
    </row>
    <row r="119" spans="1:9" ht="13.8" x14ac:dyDescent="0.25">
      <c r="A119" s="257"/>
      <c r="B119" s="258" t="s">
        <v>527</v>
      </c>
      <c r="C119" s="254" t="s">
        <v>150</v>
      </c>
      <c r="D119" s="254"/>
      <c r="E119" s="265">
        <v>2094.8000000000002</v>
      </c>
      <c r="G119" s="256"/>
      <c r="H119" s="236"/>
      <c r="I119" s="236"/>
    </row>
    <row r="120" spans="1:9" ht="13.8" x14ac:dyDescent="0.25">
      <c r="A120" s="257"/>
      <c r="B120" s="258" t="s">
        <v>964</v>
      </c>
      <c r="C120" s="254" t="s">
        <v>965</v>
      </c>
      <c r="D120" s="254"/>
      <c r="E120" s="265">
        <f>3180*1.18*1.05</f>
        <v>3940.02</v>
      </c>
      <c r="G120" s="256"/>
      <c r="H120" s="236"/>
      <c r="I120" s="236"/>
    </row>
    <row r="121" spans="1:9" ht="13.8" x14ac:dyDescent="0.25">
      <c r="A121" s="257"/>
      <c r="B121" s="253" t="s">
        <v>966</v>
      </c>
      <c r="C121" s="254"/>
      <c r="D121" s="254"/>
      <c r="E121" s="265"/>
      <c r="G121" s="256"/>
      <c r="H121" s="236"/>
      <c r="I121" s="236"/>
    </row>
    <row r="122" spans="1:9" ht="13.8" x14ac:dyDescent="0.25">
      <c r="A122" s="257"/>
      <c r="B122" s="258" t="s">
        <v>967</v>
      </c>
      <c r="C122" s="254" t="s">
        <v>150</v>
      </c>
      <c r="D122" s="254"/>
      <c r="E122" s="265">
        <v>2183</v>
      </c>
      <c r="G122" s="256"/>
      <c r="H122" s="236"/>
      <c r="I122" s="236"/>
    </row>
    <row r="123" spans="1:9" ht="13.8" x14ac:dyDescent="0.25">
      <c r="A123" s="257" t="e">
        <f>+#REF!+0.01</f>
        <v>#REF!</v>
      </c>
      <c r="B123" s="258" t="s">
        <v>968</v>
      </c>
      <c r="C123" s="254" t="s">
        <v>81</v>
      </c>
      <c r="D123" s="254"/>
      <c r="E123" s="265">
        <v>4059.2</v>
      </c>
      <c r="G123" s="256"/>
      <c r="H123" s="236"/>
      <c r="I123" s="236"/>
    </row>
    <row r="124" spans="1:9" ht="13.8" x14ac:dyDescent="0.25">
      <c r="A124" s="257"/>
      <c r="B124" s="258" t="s">
        <v>967</v>
      </c>
      <c r="C124" s="254" t="s">
        <v>81</v>
      </c>
      <c r="D124" s="254"/>
      <c r="E124" s="265">
        <v>2899.28</v>
      </c>
      <c r="G124" s="256"/>
      <c r="H124" s="236"/>
      <c r="I124" s="236"/>
    </row>
    <row r="125" spans="1:9" ht="13.8" x14ac:dyDescent="0.25">
      <c r="A125" s="257"/>
      <c r="B125" s="258"/>
      <c r="C125" s="254"/>
      <c r="D125" s="254"/>
      <c r="E125" s="265"/>
      <c r="G125" s="256"/>
      <c r="H125" s="236"/>
      <c r="I125" s="236"/>
    </row>
    <row r="126" spans="1:9" ht="13.8" x14ac:dyDescent="0.25">
      <c r="A126" s="257"/>
      <c r="B126" s="253" t="s">
        <v>969</v>
      </c>
      <c r="C126" s="254"/>
      <c r="D126" s="254"/>
      <c r="E126" s="265"/>
      <c r="G126" s="256"/>
      <c r="H126" s="236"/>
      <c r="I126" s="236"/>
    </row>
    <row r="127" spans="1:9" ht="13.8" x14ac:dyDescent="0.25">
      <c r="A127" s="257" t="e">
        <f>+#REF!+0.01</f>
        <v>#REF!</v>
      </c>
      <c r="B127" s="272" t="s">
        <v>970</v>
      </c>
      <c r="C127" s="242" t="s">
        <v>150</v>
      </c>
      <c r="D127" s="242"/>
      <c r="E127" s="265">
        <v>350</v>
      </c>
      <c r="G127" s="235"/>
      <c r="H127" s="236"/>
      <c r="I127" s="236"/>
    </row>
    <row r="128" spans="1:9" ht="13.8" x14ac:dyDescent="0.25">
      <c r="A128" s="257" t="e">
        <f>+#REF!+0.01</f>
        <v>#REF!</v>
      </c>
      <c r="B128" s="272" t="s">
        <v>971</v>
      </c>
      <c r="C128" s="242" t="s">
        <v>150</v>
      </c>
      <c r="D128" s="242"/>
      <c r="E128" s="265">
        <f>+E94*0.15</f>
        <v>210.93975</v>
      </c>
      <c r="G128" s="235"/>
      <c r="H128" s="236"/>
      <c r="I128" s="236"/>
    </row>
    <row r="129" spans="1:9" ht="13.8" x14ac:dyDescent="0.25">
      <c r="A129" s="257"/>
      <c r="B129" s="272" t="s">
        <v>972</v>
      </c>
      <c r="C129" s="242" t="s">
        <v>150</v>
      </c>
      <c r="D129" s="242"/>
      <c r="E129" s="265">
        <f>+E97*0.15</f>
        <v>252.07632000000001</v>
      </c>
      <c r="G129" s="235"/>
      <c r="H129" s="236"/>
      <c r="I129" s="236"/>
    </row>
    <row r="130" spans="1:9" ht="13.8" x14ac:dyDescent="0.25">
      <c r="A130" s="257"/>
      <c r="B130" s="272" t="s">
        <v>540</v>
      </c>
      <c r="C130" s="242" t="s">
        <v>150</v>
      </c>
      <c r="D130" s="242"/>
      <c r="E130" s="265">
        <v>537.64</v>
      </c>
      <c r="G130" s="235"/>
      <c r="H130" s="236"/>
      <c r="I130" s="236"/>
    </row>
    <row r="131" spans="1:9" ht="13.8" x14ac:dyDescent="0.25">
      <c r="A131" s="257"/>
      <c r="B131" s="272"/>
      <c r="C131" s="242"/>
      <c r="D131" s="242"/>
      <c r="E131" s="265"/>
      <c r="G131" s="235"/>
      <c r="H131" s="236"/>
      <c r="I131" s="236"/>
    </row>
    <row r="132" spans="1:9" ht="13.8" x14ac:dyDescent="0.25">
      <c r="A132" s="257"/>
      <c r="B132" s="253" t="s">
        <v>973</v>
      </c>
      <c r="C132" s="242"/>
      <c r="D132" s="242"/>
      <c r="E132" s="265"/>
      <c r="G132" s="235"/>
      <c r="H132" s="236"/>
      <c r="I132" s="236"/>
    </row>
    <row r="133" spans="1:9" ht="13.8" x14ac:dyDescent="0.25">
      <c r="A133" s="257"/>
      <c r="B133" s="272" t="s">
        <v>974</v>
      </c>
      <c r="C133" s="242" t="s">
        <v>975</v>
      </c>
      <c r="D133" s="242"/>
      <c r="E133" s="265">
        <v>12951.6</v>
      </c>
      <c r="G133" s="235"/>
      <c r="H133" s="236">
        <f>41.63*58</f>
        <v>2414.54</v>
      </c>
      <c r="I133" s="236"/>
    </row>
    <row r="134" spans="1:9" ht="13.8" x14ac:dyDescent="0.25">
      <c r="A134" s="257"/>
      <c r="B134" s="272" t="s">
        <v>976</v>
      </c>
      <c r="C134" s="242" t="s">
        <v>975</v>
      </c>
      <c r="D134" s="242"/>
      <c r="E134" s="265">
        <v>37042.35</v>
      </c>
      <c r="G134" s="235"/>
      <c r="H134" s="236"/>
      <c r="I134" s="236"/>
    </row>
    <row r="135" spans="1:9" ht="13.8" x14ac:dyDescent="0.25">
      <c r="A135" s="257"/>
      <c r="B135" s="253"/>
      <c r="C135" s="242"/>
      <c r="D135" s="242"/>
      <c r="E135" s="265"/>
      <c r="G135" s="235"/>
      <c r="H135" s="236"/>
      <c r="I135" s="236"/>
    </row>
    <row r="136" spans="1:9" ht="13.8" x14ac:dyDescent="0.25">
      <c r="A136" s="257"/>
      <c r="B136" s="253" t="s">
        <v>977</v>
      </c>
      <c r="C136" s="242"/>
      <c r="D136" s="242"/>
      <c r="E136" s="265"/>
      <c r="G136" s="235"/>
      <c r="H136" s="236"/>
      <c r="I136" s="236"/>
    </row>
    <row r="137" spans="1:9" ht="13.8" x14ac:dyDescent="0.25">
      <c r="A137" s="257"/>
      <c r="B137" s="258" t="s">
        <v>978</v>
      </c>
      <c r="C137" s="242" t="s">
        <v>52</v>
      </c>
      <c r="D137" s="242"/>
      <c r="E137" s="265">
        <f>(53.92*57.5*1.18)</f>
        <v>3658.4719999999998</v>
      </c>
      <c r="G137" s="235"/>
      <c r="H137" s="236"/>
      <c r="I137" s="236"/>
    </row>
    <row r="138" spans="1:9" ht="13.8" x14ac:dyDescent="0.25">
      <c r="A138" s="257" t="e">
        <f>+#REF!+0.1</f>
        <v>#REF!</v>
      </c>
      <c r="B138" s="234" t="s">
        <v>979</v>
      </c>
      <c r="C138" s="254" t="s">
        <v>52</v>
      </c>
      <c r="D138" s="254"/>
      <c r="E138" s="277">
        <v>1350</v>
      </c>
      <c r="F138" s="234">
        <f>472.03*1.18*1.05</f>
        <v>584.84516999999994</v>
      </c>
      <c r="G138" s="256"/>
      <c r="H138" s="236"/>
      <c r="I138" s="236"/>
    </row>
    <row r="139" spans="1:9" ht="13.8" x14ac:dyDescent="0.25">
      <c r="A139" s="257" t="e">
        <f>+#REF!+0.1</f>
        <v>#REF!</v>
      </c>
      <c r="B139" s="234" t="s">
        <v>980</v>
      </c>
      <c r="C139" s="254" t="s">
        <v>52</v>
      </c>
      <c r="D139" s="254"/>
      <c r="E139" s="265">
        <f>472*1.18</f>
        <v>556.95999999999992</v>
      </c>
      <c r="G139" s="256"/>
      <c r="H139" s="236"/>
      <c r="I139" s="236"/>
    </row>
    <row r="140" spans="1:9" ht="13.8" x14ac:dyDescent="0.25">
      <c r="A140" s="257"/>
      <c r="B140" s="234" t="s">
        <v>620</v>
      </c>
      <c r="C140" s="254" t="s">
        <v>52</v>
      </c>
      <c r="D140" s="254"/>
      <c r="E140" s="265">
        <v>3983.88</v>
      </c>
      <c r="G140" s="256"/>
      <c r="H140" s="236"/>
      <c r="I140" s="236"/>
    </row>
    <row r="141" spans="1:9" ht="13.8" x14ac:dyDescent="0.25">
      <c r="A141" s="257" t="e">
        <f>+#REF!+0.01</f>
        <v>#REF!</v>
      </c>
      <c r="B141" s="258" t="s">
        <v>411</v>
      </c>
      <c r="C141" s="254" t="s">
        <v>82</v>
      </c>
      <c r="D141" s="254"/>
      <c r="E141" s="265">
        <f>77*1.05</f>
        <v>80.850000000000009</v>
      </c>
      <c r="G141" s="256"/>
      <c r="H141" s="236"/>
      <c r="I141" s="236"/>
    </row>
    <row r="142" spans="1:9" ht="13.8" x14ac:dyDescent="0.25">
      <c r="A142" s="257">
        <f>+'[2]MO MAY23'!A429+0.01</f>
        <v>0.01</v>
      </c>
      <c r="B142" s="258" t="s">
        <v>611</v>
      </c>
      <c r="C142" s="254" t="s">
        <v>81</v>
      </c>
      <c r="D142" s="254"/>
      <c r="E142" s="265">
        <f>250*1.25</f>
        <v>312.5</v>
      </c>
      <c r="G142" s="256"/>
      <c r="H142" s="236"/>
      <c r="I142" s="236"/>
    </row>
    <row r="143" spans="1:9" ht="13.8" x14ac:dyDescent="0.25">
      <c r="A143" s="257" t="e">
        <f>+#REF!+0.01</f>
        <v>#REF!</v>
      </c>
      <c r="B143" s="258" t="s">
        <v>981</v>
      </c>
      <c r="C143" s="254" t="s">
        <v>81</v>
      </c>
      <c r="D143" s="254"/>
      <c r="E143" s="265"/>
      <c r="G143" s="256"/>
      <c r="H143" s="236"/>
      <c r="I143" s="236"/>
    </row>
    <row r="144" spans="1:9" ht="13.8" x14ac:dyDescent="0.25">
      <c r="A144" s="300"/>
      <c r="B144" s="258" t="s">
        <v>555</v>
      </c>
      <c r="C144" s="254" t="s">
        <v>52</v>
      </c>
      <c r="D144" s="254"/>
      <c r="E144" s="265">
        <f>+(1985.06+594.36)*1.18*1.03</f>
        <v>3135.0270679999999</v>
      </c>
      <c r="G144" s="256"/>
      <c r="H144" s="236"/>
      <c r="I144" s="236"/>
    </row>
    <row r="145" spans="1:9" ht="13.8" x14ac:dyDescent="0.25">
      <c r="A145" s="300"/>
      <c r="B145" s="258" t="s">
        <v>982</v>
      </c>
      <c r="C145" s="254" t="s">
        <v>52</v>
      </c>
      <c r="D145" s="254"/>
      <c r="E145" s="265">
        <f>(2081.83+609.85)*1.18*1.03</f>
        <v>3271.4678719999997</v>
      </c>
      <c r="G145" s="256"/>
      <c r="H145" s="236"/>
      <c r="I145" s="236"/>
    </row>
    <row r="146" spans="1:9" ht="13.8" x14ac:dyDescent="0.25">
      <c r="A146" s="300"/>
      <c r="B146" s="258" t="s">
        <v>983</v>
      </c>
      <c r="C146" s="254" t="s">
        <v>52</v>
      </c>
      <c r="D146" s="254"/>
      <c r="E146" s="265">
        <f>1325.21*1.18</f>
        <v>1563.7477999999999</v>
      </c>
      <c r="G146" s="256"/>
      <c r="H146" s="236"/>
      <c r="I146" s="236"/>
    </row>
    <row r="147" spans="1:9" ht="13.8" x14ac:dyDescent="0.25">
      <c r="A147" s="300"/>
      <c r="B147" s="258"/>
      <c r="C147" s="254"/>
      <c r="D147" s="254"/>
      <c r="E147" s="265"/>
      <c r="G147" s="256"/>
      <c r="H147" s="236"/>
      <c r="I147" s="236"/>
    </row>
    <row r="148" spans="1:9" ht="13.8" x14ac:dyDescent="0.25">
      <c r="A148" s="300"/>
      <c r="B148" s="301" t="s">
        <v>984</v>
      </c>
      <c r="C148" s="254"/>
      <c r="D148" s="254"/>
      <c r="E148" s="265"/>
      <c r="G148" s="256"/>
      <c r="H148" s="236"/>
      <c r="I148" s="236"/>
    </row>
    <row r="149" spans="1:9" ht="13.8" x14ac:dyDescent="0.25">
      <c r="A149" s="257"/>
      <c r="B149" s="272" t="s">
        <v>985</v>
      </c>
      <c r="C149" s="242" t="s">
        <v>81</v>
      </c>
      <c r="D149" s="242"/>
      <c r="E149" s="265">
        <v>7856.49</v>
      </c>
      <c r="G149" s="235"/>
      <c r="H149" s="236"/>
      <c r="I149" s="236"/>
    </row>
    <row r="150" spans="1:9" ht="13.8" x14ac:dyDescent="0.25">
      <c r="A150" s="257"/>
      <c r="B150" s="272" t="s">
        <v>986</v>
      </c>
      <c r="C150" s="242" t="s">
        <v>81</v>
      </c>
      <c r="D150" s="242"/>
      <c r="E150" s="265">
        <f>95*45*1.18</f>
        <v>5044.5</v>
      </c>
      <c r="G150" s="235"/>
      <c r="H150" s="236"/>
      <c r="I150" s="236"/>
    </row>
    <row r="151" spans="1:9" ht="13.8" x14ac:dyDescent="0.25">
      <c r="A151" s="300"/>
      <c r="B151" s="272"/>
      <c r="C151" s="242"/>
      <c r="D151" s="242"/>
      <c r="E151" s="265"/>
      <c r="G151" s="235"/>
      <c r="H151" s="236"/>
      <c r="I151" s="236"/>
    </row>
    <row r="152" spans="1:9" ht="13.8" x14ac:dyDescent="0.25">
      <c r="A152" s="300"/>
      <c r="B152" s="251" t="s">
        <v>987</v>
      </c>
      <c r="C152" s="242"/>
      <c r="D152" s="242"/>
      <c r="E152" s="265"/>
      <c r="G152" s="235"/>
      <c r="H152" s="236"/>
      <c r="I152" s="236"/>
    </row>
    <row r="153" spans="1:9" ht="13.8" x14ac:dyDescent="0.25">
      <c r="A153" s="257" t="e">
        <f>+#REF!+0.1</f>
        <v>#REF!</v>
      </c>
      <c r="B153" s="272" t="s">
        <v>988</v>
      </c>
      <c r="C153" s="242" t="s">
        <v>81</v>
      </c>
      <c r="D153" s="242"/>
      <c r="E153" s="265">
        <f>843.26*1.18*1.05</f>
        <v>1044.7991400000001</v>
      </c>
      <c r="G153" s="235"/>
      <c r="H153" s="236"/>
      <c r="I153" s="236"/>
    </row>
    <row r="154" spans="1:9" ht="13.8" x14ac:dyDescent="0.25">
      <c r="A154" s="257" t="e">
        <f>+#REF!+0.1</f>
        <v>#REF!</v>
      </c>
      <c r="B154" s="272" t="s">
        <v>989</v>
      </c>
      <c r="C154" s="242" t="s">
        <v>150</v>
      </c>
      <c r="D154" s="242"/>
      <c r="E154" s="265">
        <f>+(529.65*1.18)*1.05</f>
        <v>656.23635000000002</v>
      </c>
      <c r="H154" s="236"/>
      <c r="I154" s="236"/>
    </row>
    <row r="155" spans="1:9" ht="13.8" x14ac:dyDescent="0.25">
      <c r="A155" s="257"/>
      <c r="B155" s="272" t="s">
        <v>990</v>
      </c>
      <c r="C155" s="242" t="s">
        <v>81</v>
      </c>
      <c r="D155" s="242"/>
      <c r="E155" s="265">
        <f>+((190.68+8.54)*1.18*3.281)</f>
        <v>771.29616759999999</v>
      </c>
      <c r="H155" s="236"/>
      <c r="I155" s="236"/>
    </row>
    <row r="156" spans="1:9" ht="13.8" x14ac:dyDescent="0.25">
      <c r="A156" s="296"/>
      <c r="B156" s="272" t="s">
        <v>991</v>
      </c>
      <c r="C156" s="242" t="s">
        <v>327</v>
      </c>
      <c r="D156" s="242"/>
      <c r="E156" s="265">
        <f>45*1.24</f>
        <v>55.8</v>
      </c>
      <c r="G156" s="235"/>
      <c r="H156" s="236"/>
      <c r="I156" s="236"/>
    </row>
    <row r="157" spans="1:9" ht="13.8" x14ac:dyDescent="0.25">
      <c r="A157" s="257"/>
      <c r="B157" s="272"/>
      <c r="C157" s="242"/>
      <c r="D157" s="242"/>
      <c r="E157" s="265"/>
      <c r="G157" s="235"/>
      <c r="H157" s="236"/>
      <c r="I157" s="236"/>
    </row>
    <row r="158" spans="1:9" ht="13.8" x14ac:dyDescent="0.25">
      <c r="A158" s="252">
        <v>15</v>
      </c>
      <c r="B158" s="251" t="s">
        <v>992</v>
      </c>
      <c r="C158" s="242"/>
      <c r="D158" s="242"/>
      <c r="E158" s="265"/>
      <c r="G158" s="235"/>
      <c r="H158" s="236"/>
      <c r="I158" s="236"/>
    </row>
    <row r="159" spans="1:9" ht="13.8" x14ac:dyDescent="0.25">
      <c r="A159" s="296">
        <f>+A158+0.01</f>
        <v>15.01</v>
      </c>
      <c r="B159" s="258" t="s">
        <v>993</v>
      </c>
      <c r="C159" s="254" t="s">
        <v>651</v>
      </c>
      <c r="D159" s="254"/>
      <c r="E159" s="265">
        <v>0.65</v>
      </c>
      <c r="G159" s="256"/>
      <c r="H159" s="236"/>
      <c r="I159" s="236"/>
    </row>
    <row r="160" spans="1:9" ht="13.8" x14ac:dyDescent="0.25">
      <c r="B160" s="302" t="s">
        <v>994</v>
      </c>
      <c r="C160" s="238" t="s">
        <v>150</v>
      </c>
      <c r="D160" s="238"/>
      <c r="E160" s="265">
        <f>220/10*3.28</f>
        <v>72.16</v>
      </c>
      <c r="G160" s="235"/>
      <c r="H160" s="236"/>
      <c r="I160" s="236"/>
    </row>
    <row r="161" spans="1:9" ht="13.8" x14ac:dyDescent="0.25">
      <c r="B161" s="234" t="s">
        <v>995</v>
      </c>
      <c r="C161" s="294" t="s">
        <v>8</v>
      </c>
      <c r="D161" s="294"/>
      <c r="E161" s="265">
        <f>350*1.05</f>
        <v>367.5</v>
      </c>
      <c r="G161" s="256"/>
      <c r="H161" s="236"/>
      <c r="I161" s="236"/>
    </row>
    <row r="162" spans="1:9" ht="13.8" x14ac:dyDescent="0.25">
      <c r="B162" s="258" t="s">
        <v>996</v>
      </c>
      <c r="C162" s="294" t="s">
        <v>997</v>
      </c>
      <c r="D162" s="294"/>
      <c r="E162" s="265">
        <f>+F162*1.05</f>
        <v>9292.5</v>
      </c>
      <c r="F162" s="234">
        <f>7500*1.18</f>
        <v>8850</v>
      </c>
      <c r="G162" s="256"/>
      <c r="H162" s="236"/>
      <c r="I162" s="236"/>
    </row>
    <row r="163" spans="1:9" ht="13.8" x14ac:dyDescent="0.25">
      <c r="B163" s="258" t="s">
        <v>998</v>
      </c>
      <c r="C163" s="294" t="s">
        <v>81</v>
      </c>
      <c r="D163" s="294"/>
      <c r="E163" s="265">
        <v>145</v>
      </c>
      <c r="G163" s="256"/>
      <c r="H163" s="236"/>
      <c r="I163" s="236"/>
    </row>
    <row r="164" spans="1:9" ht="13.8" x14ac:dyDescent="0.25">
      <c r="B164" s="258" t="s">
        <v>999</v>
      </c>
      <c r="C164" s="294" t="s">
        <v>81</v>
      </c>
      <c r="D164" s="294"/>
      <c r="E164" s="265">
        <v>135</v>
      </c>
      <c r="G164" s="256"/>
      <c r="H164" s="236"/>
      <c r="I164" s="236"/>
    </row>
    <row r="165" spans="1:9" ht="13.8" x14ac:dyDescent="0.25">
      <c r="B165" s="258" t="s">
        <v>1000</v>
      </c>
      <c r="C165" s="294" t="s">
        <v>15</v>
      </c>
      <c r="D165" s="294"/>
      <c r="E165" s="265">
        <v>118000</v>
      </c>
      <c r="G165" s="256"/>
      <c r="H165" s="236"/>
      <c r="I165" s="236"/>
    </row>
    <row r="166" spans="1:9" ht="13.8" x14ac:dyDescent="0.25">
      <c r="B166" s="258" t="s">
        <v>35</v>
      </c>
      <c r="C166" s="294" t="s">
        <v>8</v>
      </c>
      <c r="D166" s="294"/>
      <c r="E166" s="265">
        <v>554.29</v>
      </c>
      <c r="G166" s="256"/>
      <c r="H166" s="236"/>
      <c r="I166" s="236"/>
    </row>
    <row r="167" spans="1:9" ht="13.8" x14ac:dyDescent="0.25">
      <c r="B167" s="302" t="s">
        <v>37</v>
      </c>
      <c r="C167" s="294" t="s">
        <v>8</v>
      </c>
      <c r="D167" s="294"/>
      <c r="E167" s="265">
        <v>603.15</v>
      </c>
      <c r="G167" s="256"/>
      <c r="H167" s="236"/>
      <c r="I167" s="236"/>
    </row>
    <row r="168" spans="1:9" ht="13.8" x14ac:dyDescent="0.25">
      <c r="B168" s="234" t="s">
        <v>38</v>
      </c>
      <c r="C168" s="294" t="s">
        <v>8</v>
      </c>
      <c r="D168" s="294"/>
      <c r="E168" s="265">
        <v>1627.86</v>
      </c>
      <c r="G168" s="256"/>
      <c r="H168" s="236"/>
      <c r="I168" s="236"/>
    </row>
    <row r="169" spans="1:9" ht="13.8" x14ac:dyDescent="0.25">
      <c r="B169" s="258" t="s">
        <v>39</v>
      </c>
      <c r="C169" s="294" t="s">
        <v>8</v>
      </c>
      <c r="D169" s="294"/>
      <c r="E169" s="265">
        <v>172.65</v>
      </c>
      <c r="G169" s="256"/>
      <c r="H169" s="236"/>
      <c r="I169" s="236"/>
    </row>
    <row r="170" spans="1:9" ht="13.8" x14ac:dyDescent="0.25">
      <c r="B170" s="258" t="s">
        <v>40</v>
      </c>
      <c r="C170" s="294" t="s">
        <v>8</v>
      </c>
      <c r="D170" s="294"/>
      <c r="E170" s="265">
        <v>891.81</v>
      </c>
      <c r="G170" s="256"/>
      <c r="H170" s="236"/>
      <c r="I170" s="236"/>
    </row>
    <row r="171" spans="1:9" ht="13.8" x14ac:dyDescent="0.25">
      <c r="B171" s="258" t="s">
        <v>41</v>
      </c>
      <c r="C171" s="294" t="s">
        <v>8</v>
      </c>
      <c r="D171" s="294"/>
      <c r="E171" s="265"/>
      <c r="G171" s="256"/>
      <c r="H171" s="236"/>
      <c r="I171" s="236"/>
    </row>
    <row r="172" spans="1:9" ht="13.8" x14ac:dyDescent="0.25">
      <c r="B172" s="258" t="s">
        <v>42</v>
      </c>
      <c r="C172" s="294" t="s">
        <v>8</v>
      </c>
      <c r="D172" s="294"/>
      <c r="E172" s="265"/>
      <c r="G172" s="256"/>
      <c r="H172" s="236"/>
      <c r="I172" s="236"/>
    </row>
    <row r="173" spans="1:9" ht="13.8" x14ac:dyDescent="0.25">
      <c r="B173" s="302" t="s">
        <v>43</v>
      </c>
      <c r="C173" s="294" t="s">
        <v>8</v>
      </c>
      <c r="D173" s="294"/>
      <c r="E173" s="265"/>
      <c r="G173" s="256"/>
      <c r="H173" s="236"/>
      <c r="I173" s="236"/>
    </row>
    <row r="174" spans="1:9" ht="13.8" x14ac:dyDescent="0.25">
      <c r="B174" s="302"/>
      <c r="C174" s="294"/>
      <c r="D174" s="294"/>
      <c r="E174" s="265"/>
      <c r="G174" s="256"/>
      <c r="H174" s="236"/>
      <c r="I174" s="236"/>
    </row>
    <row r="175" spans="1:9" ht="13.8" x14ac:dyDescent="0.25">
      <c r="A175" s="252">
        <v>2</v>
      </c>
      <c r="B175" s="251" t="s">
        <v>1001</v>
      </c>
      <c r="C175" s="242"/>
      <c r="D175" s="242"/>
      <c r="E175" s="265"/>
      <c r="G175" s="235"/>
      <c r="H175" s="236"/>
      <c r="I175" s="236"/>
    </row>
    <row r="176" spans="1:9" ht="13.8" x14ac:dyDescent="0.25">
      <c r="A176" s="257">
        <f>+A175+0.01</f>
        <v>2.0099999999999998</v>
      </c>
      <c r="B176" s="258" t="s">
        <v>1002</v>
      </c>
      <c r="C176" s="254" t="s">
        <v>81</v>
      </c>
      <c r="D176" s="254"/>
      <c r="E176" s="265">
        <f>5773.74/11.61*1.05</f>
        <v>522.17286821705432</v>
      </c>
      <c r="G176" s="256"/>
      <c r="H176" s="236"/>
      <c r="I176" s="236"/>
    </row>
    <row r="177" spans="1:9" ht="13.8" x14ac:dyDescent="0.25">
      <c r="A177" s="257">
        <f>+A176+0.01</f>
        <v>2.0199999999999996</v>
      </c>
      <c r="B177" s="258" t="s">
        <v>1003</v>
      </c>
      <c r="C177" s="254" t="s">
        <v>1004</v>
      </c>
      <c r="D177" s="254"/>
      <c r="E177" s="265">
        <f>2599.54*1.05</f>
        <v>2729.5170000000003</v>
      </c>
      <c r="G177" s="256"/>
      <c r="H177" s="236"/>
      <c r="I177" s="236"/>
    </row>
    <row r="178" spans="1:9" ht="13.8" x14ac:dyDescent="0.25">
      <c r="A178" s="257">
        <f>+A177+0.01</f>
        <v>2.0299999999999994</v>
      </c>
      <c r="B178" s="272" t="s">
        <v>1005</v>
      </c>
      <c r="C178" s="242" t="s">
        <v>81</v>
      </c>
      <c r="D178" s="242"/>
      <c r="E178" s="265"/>
      <c r="G178" s="235"/>
      <c r="H178" s="236"/>
      <c r="I178" s="236"/>
    </row>
    <row r="179" spans="1:9" ht="13.8" x14ac:dyDescent="0.25">
      <c r="A179" s="257"/>
      <c r="B179" s="258" t="s">
        <v>390</v>
      </c>
      <c r="C179" s="254" t="s">
        <v>517</v>
      </c>
      <c r="D179" s="254"/>
      <c r="E179" s="259">
        <f>+F179*1.03</f>
        <v>3629.7200000000003</v>
      </c>
      <c r="F179" s="234">
        <v>3524</v>
      </c>
      <c r="G179" s="287">
        <v>38169</v>
      </c>
      <c r="H179" s="236"/>
      <c r="I179" s="236"/>
    </row>
    <row r="180" spans="1:9" ht="13.8" x14ac:dyDescent="0.25">
      <c r="A180" s="257"/>
      <c r="B180" s="234" t="s">
        <v>1006</v>
      </c>
      <c r="C180" s="254" t="s">
        <v>517</v>
      </c>
      <c r="D180" s="254"/>
      <c r="E180" s="259">
        <f>+F180*1.03</f>
        <v>2099.14</v>
      </c>
      <c r="F180" s="234">
        <v>2038</v>
      </c>
      <c r="G180" s="287">
        <v>38169</v>
      </c>
      <c r="H180" s="236"/>
      <c r="I180" s="236"/>
    </row>
    <row r="181" spans="1:9" ht="13.8" x14ac:dyDescent="0.25">
      <c r="A181" s="257"/>
      <c r="B181" s="234" t="s">
        <v>387</v>
      </c>
      <c r="C181" s="254" t="s">
        <v>81</v>
      </c>
      <c r="D181" s="254"/>
      <c r="E181" s="265">
        <v>72</v>
      </c>
      <c r="G181" s="256"/>
      <c r="H181" s="236"/>
      <c r="I181" s="236"/>
    </row>
    <row r="182" spans="1:9" ht="13.8" x14ac:dyDescent="0.25">
      <c r="A182" s="257"/>
      <c r="C182" s="254"/>
      <c r="D182" s="254"/>
      <c r="E182" s="265"/>
      <c r="G182" s="256"/>
      <c r="H182" s="236"/>
      <c r="I182" s="236"/>
    </row>
    <row r="183" spans="1:9" ht="13.8" x14ac:dyDescent="0.25">
      <c r="A183" s="252">
        <v>3</v>
      </c>
      <c r="B183" s="251" t="s">
        <v>1007</v>
      </c>
      <c r="C183" s="242"/>
      <c r="D183" s="242"/>
      <c r="E183" s="265"/>
      <c r="G183" s="235"/>
      <c r="H183" s="236"/>
      <c r="I183" s="236"/>
    </row>
    <row r="184" spans="1:9" ht="13.8" x14ac:dyDescent="0.25">
      <c r="A184" s="257" t="e">
        <f>+#REF!+0.01</f>
        <v>#REF!</v>
      </c>
      <c r="B184" s="272" t="s">
        <v>1008</v>
      </c>
      <c r="C184" s="242" t="s">
        <v>81</v>
      </c>
      <c r="D184" s="242"/>
      <c r="E184" s="265">
        <v>900</v>
      </c>
      <c r="G184" s="235"/>
      <c r="H184" s="236"/>
      <c r="I184" s="236"/>
    </row>
    <row r="185" spans="1:9" ht="13.8" x14ac:dyDescent="0.25">
      <c r="B185" s="302"/>
      <c r="C185" s="238"/>
      <c r="D185" s="238"/>
      <c r="E185" s="265"/>
      <c r="G185" s="235"/>
      <c r="H185" s="236"/>
      <c r="I185" s="236"/>
    </row>
    <row r="186" spans="1:9" ht="13.8" x14ac:dyDescent="0.25">
      <c r="A186" s="252">
        <v>4</v>
      </c>
      <c r="B186" s="251" t="s">
        <v>1009</v>
      </c>
      <c r="C186" s="242"/>
      <c r="D186" s="242"/>
      <c r="E186" s="265"/>
      <c r="G186" s="235"/>
      <c r="H186" s="236"/>
      <c r="I186" s="236"/>
    </row>
    <row r="187" spans="1:9" ht="13.8" x14ac:dyDescent="0.25">
      <c r="A187" s="257" t="e">
        <f>+#REF!+0.01</f>
        <v>#REF!</v>
      </c>
      <c r="B187" s="272" t="s">
        <v>1010</v>
      </c>
      <c r="C187" s="242" t="s">
        <v>81</v>
      </c>
      <c r="D187" s="242"/>
      <c r="E187" s="265"/>
      <c r="G187" s="235"/>
      <c r="H187" s="236"/>
      <c r="I187" s="236"/>
    </row>
    <row r="188" spans="1:9" ht="13.8" x14ac:dyDescent="0.25">
      <c r="B188" s="302"/>
      <c r="C188" s="238"/>
      <c r="D188" s="238"/>
      <c r="E188" s="265"/>
      <c r="G188" s="235"/>
      <c r="H188" s="236"/>
      <c r="I188" s="236"/>
    </row>
    <row r="189" spans="1:9" ht="13.8" x14ac:dyDescent="0.25">
      <c r="B189" s="251" t="s">
        <v>1011</v>
      </c>
      <c r="C189" s="238"/>
      <c r="D189" s="238"/>
      <c r="E189" s="265"/>
      <c r="F189" s="273"/>
      <c r="G189" s="235"/>
      <c r="H189" s="303"/>
      <c r="I189" s="236"/>
    </row>
    <row r="190" spans="1:9" ht="13.8" x14ac:dyDescent="0.25">
      <c r="A190" s="257"/>
      <c r="B190" s="258" t="s">
        <v>1012</v>
      </c>
      <c r="C190" s="254" t="s">
        <v>159</v>
      </c>
      <c r="D190" s="254"/>
      <c r="E190" s="265">
        <v>1859.9985999999999</v>
      </c>
      <c r="F190" s="291"/>
      <c r="G190" s="256"/>
      <c r="H190" s="288"/>
      <c r="I190" s="236"/>
    </row>
    <row r="191" spans="1:9" ht="11.25" customHeight="1" x14ac:dyDescent="0.25">
      <c r="A191" s="257"/>
      <c r="B191" s="258" t="s">
        <v>29</v>
      </c>
      <c r="C191" s="254" t="s">
        <v>159</v>
      </c>
      <c r="D191" s="254"/>
      <c r="E191" s="265">
        <f>2400*1.05</f>
        <v>2520</v>
      </c>
      <c r="F191" s="291"/>
      <c r="G191" s="256"/>
      <c r="H191" s="288"/>
      <c r="I191" s="236"/>
    </row>
    <row r="192" spans="1:9" ht="13.8" x14ac:dyDescent="0.25">
      <c r="A192" s="257"/>
      <c r="B192" s="258" t="s">
        <v>78</v>
      </c>
      <c r="C192" s="254" t="s">
        <v>159</v>
      </c>
      <c r="D192" s="254"/>
      <c r="E192" s="265">
        <f>816.56*1.05</f>
        <v>857.38800000000003</v>
      </c>
      <c r="F192" s="291"/>
      <c r="G192" s="256"/>
      <c r="H192" s="288"/>
      <c r="I192" s="236"/>
    </row>
    <row r="193" spans="1:9" ht="13.8" x14ac:dyDescent="0.25">
      <c r="A193" s="257"/>
      <c r="B193" s="304" t="s">
        <v>22</v>
      </c>
      <c r="C193" s="254" t="s">
        <v>23</v>
      </c>
      <c r="D193" s="242"/>
      <c r="E193" s="265">
        <v>142.00119999999998</v>
      </c>
      <c r="F193" s="273"/>
      <c r="G193" s="235"/>
      <c r="H193" s="303"/>
      <c r="I193" s="236"/>
    </row>
    <row r="194" spans="1:9" ht="13.8" x14ac:dyDescent="0.25">
      <c r="A194" s="257"/>
      <c r="B194" s="304" t="s">
        <v>24</v>
      </c>
      <c r="C194" s="254" t="s">
        <v>23</v>
      </c>
      <c r="D194" s="242"/>
      <c r="E194" s="265">
        <v>139.99519999999998</v>
      </c>
      <c r="F194" s="273"/>
      <c r="G194" s="235"/>
      <c r="H194" s="303"/>
      <c r="I194" s="236"/>
    </row>
    <row r="195" spans="1:9" ht="13.8" x14ac:dyDescent="0.25">
      <c r="A195" s="257"/>
      <c r="B195" s="304" t="s">
        <v>25</v>
      </c>
      <c r="C195" s="254" t="s">
        <v>23</v>
      </c>
      <c r="D195" s="242"/>
      <c r="E195" s="265">
        <v>139.99519999999998</v>
      </c>
      <c r="F195" s="273"/>
      <c r="G195" s="235"/>
      <c r="H195" s="303"/>
      <c r="I195" s="236"/>
    </row>
    <row r="196" spans="1:9" ht="13.8" x14ac:dyDescent="0.25">
      <c r="A196" s="257"/>
      <c r="B196" s="304" t="s">
        <v>1013</v>
      </c>
      <c r="C196" s="254" t="s">
        <v>159</v>
      </c>
      <c r="D196" s="254"/>
      <c r="E196" s="265">
        <v>3250.0031999999997</v>
      </c>
      <c r="F196" s="291"/>
      <c r="G196" s="256"/>
      <c r="H196" s="288"/>
      <c r="I196" s="236"/>
    </row>
    <row r="197" spans="1:9" ht="13.8" x14ac:dyDescent="0.25">
      <c r="A197" s="257"/>
      <c r="B197" s="304" t="s">
        <v>1014</v>
      </c>
      <c r="C197" s="254" t="s">
        <v>159</v>
      </c>
      <c r="D197" s="254"/>
      <c r="E197" s="265">
        <v>546</v>
      </c>
      <c r="F197" s="291"/>
      <c r="G197" s="256"/>
      <c r="H197" s="288"/>
      <c r="I197" s="236"/>
    </row>
    <row r="198" spans="1:9" ht="13.8" x14ac:dyDescent="0.25">
      <c r="A198" s="257"/>
      <c r="B198" s="304" t="s">
        <v>1015</v>
      </c>
      <c r="C198" s="254"/>
      <c r="D198" s="254"/>
      <c r="E198" s="265">
        <v>1294.7550000000001</v>
      </c>
      <c r="F198" s="291"/>
      <c r="G198" s="256"/>
      <c r="H198" s="288"/>
      <c r="I198" s="236"/>
    </row>
    <row r="199" spans="1:9" ht="13.8" x14ac:dyDescent="0.25">
      <c r="A199" s="257"/>
      <c r="B199" s="258" t="s">
        <v>1016</v>
      </c>
      <c r="C199" s="254" t="s">
        <v>159</v>
      </c>
      <c r="D199" s="254"/>
      <c r="E199" s="265">
        <v>2152.5</v>
      </c>
      <c r="F199" s="291"/>
      <c r="G199" s="256"/>
      <c r="H199" s="288"/>
      <c r="I199" s="236"/>
    </row>
    <row r="200" spans="1:9" ht="13.8" x14ac:dyDescent="0.25">
      <c r="A200" s="240"/>
      <c r="B200" s="234" t="s">
        <v>1017</v>
      </c>
      <c r="C200" s="254" t="s">
        <v>159</v>
      </c>
      <c r="D200" s="294"/>
      <c r="E200" s="305">
        <v>389.55</v>
      </c>
      <c r="G200" s="256"/>
      <c r="H200" s="236"/>
      <c r="I200" s="236"/>
    </row>
    <row r="201" spans="1:9" ht="13.8" x14ac:dyDescent="0.25">
      <c r="A201" s="240"/>
      <c r="C201" s="254"/>
      <c r="D201" s="294"/>
      <c r="E201" s="265"/>
      <c r="G201" s="256"/>
      <c r="H201" s="236"/>
      <c r="I201" s="236"/>
    </row>
    <row r="202" spans="1:9" ht="13.8" x14ac:dyDescent="0.25">
      <c r="A202" s="240"/>
      <c r="B202" s="234" t="s">
        <v>992</v>
      </c>
      <c r="C202" s="254"/>
      <c r="D202" s="294"/>
      <c r="E202" s="265"/>
      <c r="G202" s="256"/>
      <c r="H202" s="236"/>
      <c r="I202" s="236"/>
    </row>
    <row r="203" spans="1:9" ht="13.8" x14ac:dyDescent="0.25">
      <c r="A203" s="240"/>
      <c r="B203" s="234" t="s">
        <v>35</v>
      </c>
      <c r="C203" s="254" t="s">
        <v>8</v>
      </c>
      <c r="D203" s="294"/>
      <c r="E203" s="265">
        <v>483.79999999999995</v>
      </c>
      <c r="G203" s="256"/>
      <c r="H203" s="236"/>
      <c r="I203" s="236"/>
    </row>
    <row r="204" spans="1:9" ht="13.8" x14ac:dyDescent="0.25">
      <c r="A204" s="240"/>
      <c r="B204" s="234" t="s">
        <v>1018</v>
      </c>
      <c r="C204" s="254" t="s">
        <v>8</v>
      </c>
      <c r="D204" s="294"/>
      <c r="E204" s="265">
        <v>603</v>
      </c>
      <c r="G204" s="256"/>
      <c r="H204" s="236"/>
      <c r="I204" s="236"/>
    </row>
    <row r="205" spans="1:9" ht="13.8" x14ac:dyDescent="0.25">
      <c r="A205" s="240"/>
      <c r="B205" s="234" t="s">
        <v>1019</v>
      </c>
      <c r="C205" s="254" t="s">
        <v>8</v>
      </c>
      <c r="D205" s="294"/>
      <c r="E205" s="265">
        <v>755.0702</v>
      </c>
      <c r="G205" s="256"/>
      <c r="H205" s="236"/>
      <c r="I205" s="236"/>
    </row>
    <row r="206" spans="1:9" ht="13.8" x14ac:dyDescent="0.25">
      <c r="A206" s="240"/>
      <c r="B206" s="234" t="s">
        <v>1020</v>
      </c>
      <c r="C206" s="254" t="s">
        <v>8</v>
      </c>
      <c r="D206" s="294"/>
      <c r="E206" s="265">
        <v>119.99419999999999</v>
      </c>
      <c r="G206" s="256"/>
      <c r="H206" s="236"/>
      <c r="I206" s="236"/>
    </row>
    <row r="207" spans="1:9" ht="13.8" x14ac:dyDescent="0.25">
      <c r="A207" s="240"/>
      <c r="B207" s="234" t="s">
        <v>40</v>
      </c>
      <c r="C207" s="254" t="s">
        <v>8</v>
      </c>
      <c r="D207" s="294"/>
      <c r="E207" s="265">
        <v>749.99620000000004</v>
      </c>
      <c r="G207" s="256"/>
      <c r="H207" s="236"/>
      <c r="I207" s="236"/>
    </row>
    <row r="208" spans="1:9" ht="13.8" x14ac:dyDescent="0.25">
      <c r="A208" s="240"/>
      <c r="B208" s="234" t="s">
        <v>993</v>
      </c>
      <c r="C208" s="254" t="s">
        <v>651</v>
      </c>
      <c r="D208" s="294"/>
      <c r="E208" s="265"/>
      <c r="G208" s="256"/>
      <c r="H208" s="236"/>
      <c r="I208" s="236"/>
    </row>
    <row r="209" spans="1:9" ht="13.8" x14ac:dyDescent="0.25">
      <c r="A209" s="240"/>
      <c r="B209" s="234" t="s">
        <v>998</v>
      </c>
      <c r="C209" s="254" t="s">
        <v>81</v>
      </c>
      <c r="D209" s="294"/>
      <c r="E209" s="265"/>
      <c r="G209" s="256"/>
      <c r="H209" s="236"/>
      <c r="I209" s="236"/>
    </row>
    <row r="210" spans="1:9" ht="13.8" x14ac:dyDescent="0.25">
      <c r="A210" s="240"/>
      <c r="B210" s="234" t="s">
        <v>999</v>
      </c>
      <c r="C210" s="254" t="s">
        <v>81</v>
      </c>
      <c r="D210" s="294"/>
      <c r="E210" s="265"/>
      <c r="G210" s="256"/>
      <c r="H210" s="236"/>
      <c r="I210" s="236"/>
    </row>
    <row r="211" spans="1:9" ht="13.8" x14ac:dyDescent="0.25">
      <c r="A211" s="240"/>
      <c r="B211" s="234" t="s">
        <v>1000</v>
      </c>
      <c r="C211" s="254" t="s">
        <v>8</v>
      </c>
      <c r="D211" s="294"/>
      <c r="E211" s="265">
        <v>14160</v>
      </c>
      <c r="G211" s="256"/>
      <c r="H211" s="236"/>
      <c r="I211" s="236"/>
    </row>
    <row r="212" spans="1:9" ht="13.8" hidden="1" outlineLevel="1" x14ac:dyDescent="0.25">
      <c r="A212" s="230" t="s">
        <v>3</v>
      </c>
      <c r="B212" s="306" t="s">
        <v>1021</v>
      </c>
      <c r="C212" s="238"/>
      <c r="D212" s="238"/>
      <c r="E212" s="274"/>
      <c r="F212" s="307"/>
      <c r="G212" s="235"/>
      <c r="H212" s="236"/>
      <c r="I212" s="236"/>
    </row>
    <row r="213" spans="1:9" ht="13.8" hidden="1" outlineLevel="1" x14ac:dyDescent="0.25">
      <c r="A213" s="240"/>
      <c r="B213" s="241"/>
      <c r="C213" s="242"/>
      <c r="D213" s="242"/>
      <c r="E213" s="308" t="s">
        <v>1022</v>
      </c>
      <c r="F213" s="309"/>
      <c r="G213" s="235"/>
      <c r="H213" s="236"/>
      <c r="I213" s="236"/>
    </row>
    <row r="214" spans="1:9" ht="13.8" hidden="1" outlineLevel="1" x14ac:dyDescent="0.25">
      <c r="A214" s="252">
        <v>1</v>
      </c>
      <c r="B214" s="310" t="s">
        <v>1023</v>
      </c>
      <c r="C214" s="311"/>
      <c r="D214" s="311"/>
      <c r="E214" s="312"/>
      <c r="F214" s="309"/>
      <c r="G214" s="235"/>
      <c r="H214" s="236"/>
      <c r="I214" s="236"/>
    </row>
    <row r="215" spans="1:9" ht="13.8" hidden="1" outlineLevel="1" x14ac:dyDescent="0.25">
      <c r="A215" s="313">
        <f>A214+0.1</f>
        <v>1.1000000000000001</v>
      </c>
      <c r="B215" s="310" t="s">
        <v>278</v>
      </c>
      <c r="C215" s="311"/>
      <c r="D215" s="311"/>
      <c r="E215" s="312"/>
      <c r="F215" s="309"/>
      <c r="G215" s="235"/>
      <c r="H215" s="236"/>
      <c r="I215" s="236"/>
    </row>
    <row r="216" spans="1:9" ht="13.8" hidden="1" outlineLevel="1" x14ac:dyDescent="0.25">
      <c r="A216" s="314">
        <f>+A215+0.001</f>
        <v>1.101</v>
      </c>
      <c r="B216" s="315" t="s">
        <v>1024</v>
      </c>
      <c r="C216" s="311" t="s">
        <v>81</v>
      </c>
      <c r="D216" s="311"/>
      <c r="E216" s="312">
        <v>90</v>
      </c>
      <c r="F216" s="309"/>
      <c r="G216" s="235"/>
      <c r="H216" s="236"/>
      <c r="I216" s="236"/>
    </row>
    <row r="217" spans="1:9" ht="13.8" hidden="1" outlineLevel="1" x14ac:dyDescent="0.25">
      <c r="A217" s="314">
        <f>+A216+0.001</f>
        <v>1.1019999999999999</v>
      </c>
      <c r="B217" s="315" t="s">
        <v>1025</v>
      </c>
      <c r="C217" s="311" t="s">
        <v>150</v>
      </c>
      <c r="D217" s="311"/>
      <c r="E217" s="312">
        <v>90</v>
      </c>
      <c r="F217" s="309"/>
      <c r="G217" s="235"/>
      <c r="H217" s="236"/>
      <c r="I217" s="236"/>
    </row>
    <row r="218" spans="1:9" ht="13.8" hidden="1" outlineLevel="1" x14ac:dyDescent="0.25">
      <c r="A218" s="314">
        <f>+A217+0.001</f>
        <v>1.1029999999999998</v>
      </c>
      <c r="B218" s="315" t="s">
        <v>1026</v>
      </c>
      <c r="C218" s="311" t="s">
        <v>81</v>
      </c>
      <c r="D218" s="311"/>
      <c r="E218" s="312">
        <v>90</v>
      </c>
      <c r="F218" s="309"/>
      <c r="G218" s="235"/>
      <c r="H218" s="236"/>
      <c r="I218" s="236"/>
    </row>
    <row r="219" spans="1:9" ht="13.8" hidden="1" outlineLevel="1" x14ac:dyDescent="0.25">
      <c r="A219" s="314">
        <f>+A218+0.001</f>
        <v>1.1039999999999996</v>
      </c>
      <c r="B219" s="316" t="s">
        <v>1027</v>
      </c>
      <c r="C219" s="317" t="s">
        <v>81</v>
      </c>
      <c r="D219" s="317"/>
      <c r="E219" s="312">
        <v>90</v>
      </c>
      <c r="F219" s="309"/>
      <c r="G219" s="256"/>
      <c r="H219" s="236"/>
      <c r="I219" s="236"/>
    </row>
    <row r="220" spans="1:9" ht="13.8" hidden="1" outlineLevel="1" x14ac:dyDescent="0.25">
      <c r="A220" s="314">
        <f>+A219+0.001</f>
        <v>1.1049999999999995</v>
      </c>
      <c r="B220" s="316" t="s">
        <v>1028</v>
      </c>
      <c r="C220" s="317" t="s">
        <v>81</v>
      </c>
      <c r="D220" s="317"/>
      <c r="E220" s="312">
        <v>90</v>
      </c>
      <c r="F220" s="309"/>
      <c r="G220" s="256"/>
      <c r="H220" s="236"/>
      <c r="I220" s="236"/>
    </row>
    <row r="221" spans="1:9" ht="13.8" hidden="1" outlineLevel="1" x14ac:dyDescent="0.25">
      <c r="A221" s="314" t="e">
        <f>+#REF!+0.001</f>
        <v>#REF!</v>
      </c>
      <c r="B221" s="316" t="s">
        <v>1029</v>
      </c>
      <c r="C221" s="317" t="s">
        <v>81</v>
      </c>
      <c r="D221" s="317"/>
      <c r="E221" s="312">
        <v>100</v>
      </c>
      <c r="F221" s="309"/>
      <c r="G221" s="256"/>
      <c r="H221" s="236"/>
      <c r="I221" s="236"/>
    </row>
    <row r="222" spans="1:9" ht="13.8" hidden="1" outlineLevel="1" x14ac:dyDescent="0.25">
      <c r="A222" s="240"/>
      <c r="B222" s="318"/>
      <c r="C222" s="319"/>
      <c r="D222" s="319"/>
      <c r="E222" s="312"/>
      <c r="F222" s="309"/>
      <c r="G222" s="256"/>
      <c r="H222" s="236"/>
      <c r="I222" s="236"/>
    </row>
    <row r="223" spans="1:9" ht="13.8" hidden="1" outlineLevel="1" x14ac:dyDescent="0.25">
      <c r="A223" s="230">
        <f>+A215+0.1</f>
        <v>1.2000000000000002</v>
      </c>
      <c r="B223" s="320" t="s">
        <v>594</v>
      </c>
      <c r="C223" s="317"/>
      <c r="D223" s="317"/>
      <c r="E223" s="312"/>
      <c r="F223" s="309"/>
      <c r="G223" s="256"/>
      <c r="H223" s="236"/>
      <c r="I223" s="236"/>
    </row>
    <row r="224" spans="1:9" ht="13.8" hidden="1" outlineLevel="1" x14ac:dyDescent="0.25">
      <c r="A224" s="314">
        <f>+A223+0.001</f>
        <v>1.2010000000000001</v>
      </c>
      <c r="B224" s="316" t="s">
        <v>1030</v>
      </c>
      <c r="C224" s="317" t="s">
        <v>45</v>
      </c>
      <c r="D224" s="317"/>
      <c r="E224" s="312">
        <v>22</v>
      </c>
      <c r="F224" s="309"/>
      <c r="G224" s="256"/>
      <c r="H224" s="236"/>
      <c r="I224" s="236"/>
    </row>
    <row r="225" spans="1:9" ht="13.8" hidden="1" outlineLevel="1" x14ac:dyDescent="0.25">
      <c r="A225" s="314">
        <f>+A224+0.001</f>
        <v>1.202</v>
      </c>
      <c r="B225" s="316" t="s">
        <v>1031</v>
      </c>
      <c r="C225" s="317" t="s">
        <v>45</v>
      </c>
      <c r="D225" s="317"/>
      <c r="E225" s="312">
        <v>22</v>
      </c>
      <c r="F225" s="309"/>
      <c r="G225" s="256"/>
      <c r="H225" s="236"/>
      <c r="I225" s="236"/>
    </row>
    <row r="226" spans="1:9" ht="13.8" hidden="1" outlineLevel="1" x14ac:dyDescent="0.25">
      <c r="A226" s="314">
        <f>+A225+0.001</f>
        <v>1.2029999999999998</v>
      </c>
      <c r="B226" s="316" t="s">
        <v>1032</v>
      </c>
      <c r="C226" s="317" t="s">
        <v>45</v>
      </c>
      <c r="D226" s="317"/>
      <c r="E226" s="312">
        <v>20</v>
      </c>
      <c r="F226" s="309"/>
      <c r="G226" s="256"/>
      <c r="H226" s="236"/>
      <c r="I226" s="236"/>
    </row>
    <row r="227" spans="1:9" ht="13.8" hidden="1" outlineLevel="1" x14ac:dyDescent="0.25">
      <c r="A227" s="314">
        <f>+A226+0.001</f>
        <v>1.2039999999999997</v>
      </c>
      <c r="B227" s="316" t="s">
        <v>1033</v>
      </c>
      <c r="C227" s="317" t="s">
        <v>45</v>
      </c>
      <c r="D227" s="317"/>
      <c r="E227" s="312">
        <v>20</v>
      </c>
      <c r="F227" s="309"/>
      <c r="G227" s="256"/>
      <c r="H227" s="236"/>
      <c r="I227" s="236"/>
    </row>
    <row r="228" spans="1:9" ht="13.8" hidden="1" outlineLevel="1" x14ac:dyDescent="0.25">
      <c r="A228" s="314" t="e">
        <f>+#REF!+0.001</f>
        <v>#REF!</v>
      </c>
      <c r="B228" s="316" t="s">
        <v>1034</v>
      </c>
      <c r="C228" s="317" t="s">
        <v>45</v>
      </c>
      <c r="D228" s="317"/>
      <c r="E228" s="312">
        <v>2</v>
      </c>
      <c r="F228" s="309"/>
      <c r="G228" s="256"/>
      <c r="H228" s="236"/>
      <c r="I228" s="236"/>
    </row>
    <row r="229" spans="1:9" ht="13.8" hidden="1" outlineLevel="1" x14ac:dyDescent="0.25">
      <c r="A229" s="314"/>
      <c r="B229" s="316" t="s">
        <v>1035</v>
      </c>
      <c r="C229" s="317" t="s">
        <v>8</v>
      </c>
      <c r="D229" s="317"/>
      <c r="E229" s="312">
        <v>1.65</v>
      </c>
      <c r="F229" s="309"/>
      <c r="G229" s="256"/>
      <c r="H229" s="236"/>
      <c r="I229" s="236"/>
    </row>
    <row r="230" spans="1:9" ht="13.8" hidden="1" outlineLevel="1" x14ac:dyDescent="0.25">
      <c r="A230" s="257"/>
      <c r="B230" s="315"/>
      <c r="C230" s="311"/>
      <c r="D230" s="311"/>
      <c r="E230" s="321"/>
      <c r="F230" s="309"/>
      <c r="G230" s="235"/>
      <c r="H230" s="236"/>
      <c r="I230" s="236"/>
    </row>
    <row r="231" spans="1:9" ht="13.8" hidden="1" outlineLevel="1" x14ac:dyDescent="0.25">
      <c r="A231" s="230">
        <f>+A223+0.1</f>
        <v>1.3000000000000003</v>
      </c>
      <c r="B231" s="310" t="s">
        <v>1036</v>
      </c>
      <c r="C231" s="311"/>
      <c r="D231" s="311"/>
      <c r="E231" s="321"/>
      <c r="F231" s="309"/>
      <c r="G231" s="235"/>
      <c r="H231" s="236"/>
      <c r="I231" s="236"/>
    </row>
    <row r="232" spans="1:9" ht="13.8" hidden="1" outlineLevel="1" x14ac:dyDescent="0.25">
      <c r="A232" s="314">
        <f>+A231+0.001</f>
        <v>1.3010000000000002</v>
      </c>
      <c r="B232" s="315" t="s">
        <v>1037</v>
      </c>
      <c r="C232" s="311" t="s">
        <v>81</v>
      </c>
      <c r="D232" s="311"/>
      <c r="E232" s="321">
        <v>800</v>
      </c>
      <c r="F232" s="309"/>
      <c r="G232" s="235"/>
      <c r="H232" s="236"/>
      <c r="I232" s="236"/>
    </row>
    <row r="233" spans="1:9" ht="13.8" hidden="1" outlineLevel="1" x14ac:dyDescent="0.25">
      <c r="A233" s="314">
        <f>+A232+0.001</f>
        <v>1.302</v>
      </c>
      <c r="B233" s="315" t="s">
        <v>1038</v>
      </c>
      <c r="C233" s="311" t="s">
        <v>81</v>
      </c>
      <c r="D233" s="311"/>
      <c r="E233" s="321">
        <v>800</v>
      </c>
      <c r="F233" s="309"/>
      <c r="G233" s="235"/>
      <c r="H233" s="236"/>
      <c r="I233" s="236"/>
    </row>
    <row r="234" spans="1:9" ht="13.8" hidden="1" outlineLevel="1" x14ac:dyDescent="0.25">
      <c r="A234" s="314"/>
      <c r="B234" s="315" t="s">
        <v>1039</v>
      </c>
      <c r="C234" s="311" t="s">
        <v>81</v>
      </c>
      <c r="D234" s="311"/>
      <c r="E234" s="321">
        <v>600</v>
      </c>
      <c r="F234" s="309"/>
      <c r="G234" s="235"/>
      <c r="H234" s="236"/>
      <c r="I234" s="236"/>
    </row>
    <row r="235" spans="1:9" ht="13.8" hidden="1" outlineLevel="1" x14ac:dyDescent="0.25">
      <c r="A235" s="314">
        <f>+A233+0.001</f>
        <v>1.3029999999999999</v>
      </c>
      <c r="B235" s="315" t="s">
        <v>1040</v>
      </c>
      <c r="C235" s="311" t="s">
        <v>81</v>
      </c>
      <c r="D235" s="311"/>
      <c r="E235" s="321">
        <v>600</v>
      </c>
      <c r="F235" s="309"/>
      <c r="G235" s="235"/>
      <c r="H235" s="236"/>
      <c r="I235" s="236"/>
    </row>
    <row r="236" spans="1:9" ht="13.8" hidden="1" outlineLevel="1" x14ac:dyDescent="0.25">
      <c r="A236" s="314">
        <f>+A235+0.001</f>
        <v>1.3039999999999998</v>
      </c>
      <c r="B236" s="315" t="s">
        <v>1041</v>
      </c>
      <c r="C236" s="311" t="s">
        <v>81</v>
      </c>
      <c r="D236" s="311"/>
      <c r="E236" s="321">
        <v>500</v>
      </c>
      <c r="F236" s="309"/>
      <c r="G236" s="235"/>
      <c r="H236" s="236"/>
      <c r="I236" s="236"/>
    </row>
    <row r="237" spans="1:9" ht="13.8" hidden="1" outlineLevel="1" x14ac:dyDescent="0.25">
      <c r="A237" s="314">
        <f>+A236+0.001</f>
        <v>1.3049999999999997</v>
      </c>
      <c r="B237" s="315" t="s">
        <v>1042</v>
      </c>
      <c r="C237" s="311" t="s">
        <v>81</v>
      </c>
      <c r="D237" s="311"/>
      <c r="E237" s="321">
        <v>800</v>
      </c>
      <c r="F237" s="309"/>
      <c r="G237" s="235"/>
      <c r="H237" s="236"/>
      <c r="I237" s="236"/>
    </row>
    <row r="238" spans="1:9" ht="13.8" hidden="1" outlineLevel="1" x14ac:dyDescent="0.25">
      <c r="A238" s="314">
        <f>+A233+0.001</f>
        <v>1.3029999999999999</v>
      </c>
      <c r="B238" s="315" t="s">
        <v>1043</v>
      </c>
      <c r="C238" s="311" t="s">
        <v>81</v>
      </c>
      <c r="D238" s="311"/>
      <c r="E238" s="321">
        <v>600</v>
      </c>
      <c r="F238" s="309"/>
      <c r="G238" s="235"/>
      <c r="H238" s="236"/>
      <c r="I238" s="236"/>
    </row>
    <row r="239" spans="1:9" ht="13.8" hidden="1" outlineLevel="1" x14ac:dyDescent="0.25">
      <c r="A239" s="314">
        <f>+A238+0.001</f>
        <v>1.3039999999999998</v>
      </c>
      <c r="B239" s="315" t="s">
        <v>1044</v>
      </c>
      <c r="C239" s="311" t="s">
        <v>81</v>
      </c>
      <c r="D239" s="311"/>
      <c r="E239" s="321">
        <v>450</v>
      </c>
      <c r="F239" s="309"/>
      <c r="G239" s="235"/>
      <c r="H239" s="236"/>
      <c r="I239" s="236"/>
    </row>
    <row r="240" spans="1:9" ht="13.8" hidden="1" outlineLevel="1" x14ac:dyDescent="0.25">
      <c r="A240" s="314">
        <f>+A239+0.001</f>
        <v>1.3049999999999997</v>
      </c>
      <c r="B240" s="315" t="s">
        <v>1045</v>
      </c>
      <c r="C240" s="311" t="s">
        <v>81</v>
      </c>
      <c r="D240" s="311"/>
      <c r="E240" s="321">
        <v>350</v>
      </c>
      <c r="F240" s="309"/>
      <c r="G240" s="235"/>
      <c r="H240" s="236"/>
      <c r="I240" s="236"/>
    </row>
    <row r="241" spans="1:9" ht="13.8" hidden="1" outlineLevel="1" x14ac:dyDescent="0.25">
      <c r="A241" s="314">
        <f>+A232+0.001</f>
        <v>1.302</v>
      </c>
      <c r="B241" s="315" t="s">
        <v>1046</v>
      </c>
      <c r="C241" s="311" t="s">
        <v>81</v>
      </c>
      <c r="D241" s="311"/>
      <c r="E241" s="321">
        <v>250</v>
      </c>
      <c r="F241" s="309"/>
      <c r="G241" s="235"/>
      <c r="H241" s="236"/>
      <c r="I241" s="236"/>
    </row>
    <row r="242" spans="1:9" ht="13.8" hidden="1" outlineLevel="1" x14ac:dyDescent="0.25">
      <c r="A242" s="314">
        <f>+A240+0.001</f>
        <v>1.3059999999999996</v>
      </c>
      <c r="B242" s="315" t="s">
        <v>1047</v>
      </c>
      <c r="C242" s="311" t="s">
        <v>81</v>
      </c>
      <c r="D242" s="311"/>
      <c r="E242" s="321">
        <v>600</v>
      </c>
      <c r="F242" s="309"/>
      <c r="G242" s="235"/>
      <c r="H242" s="236"/>
      <c r="I242" s="236"/>
    </row>
    <row r="243" spans="1:9" ht="13.8" hidden="1" outlineLevel="1" x14ac:dyDescent="0.25">
      <c r="A243" s="314">
        <f>+A233+0.001</f>
        <v>1.3029999999999999</v>
      </c>
      <c r="B243" s="315" t="s">
        <v>1048</v>
      </c>
      <c r="C243" s="311" t="s">
        <v>81</v>
      </c>
      <c r="D243" s="311"/>
      <c r="E243" s="321">
        <v>300</v>
      </c>
      <c r="F243" s="309"/>
      <c r="G243" s="235"/>
      <c r="H243" s="236"/>
      <c r="I243" s="236"/>
    </row>
    <row r="244" spans="1:9" ht="13.8" hidden="1" outlineLevel="1" x14ac:dyDescent="0.25">
      <c r="A244" s="314">
        <f>+A234+0.001</f>
        <v>1E-3</v>
      </c>
      <c r="B244" s="315" t="s">
        <v>1049</v>
      </c>
      <c r="C244" s="311" t="s">
        <v>81</v>
      </c>
      <c r="D244" s="311"/>
      <c r="E244" s="321">
        <v>350</v>
      </c>
      <c r="F244" s="309"/>
      <c r="G244" s="235"/>
      <c r="H244" s="236"/>
      <c r="I244" s="236"/>
    </row>
    <row r="245" spans="1:9" ht="13.8" hidden="1" outlineLevel="1" x14ac:dyDescent="0.25">
      <c r="A245" s="314"/>
      <c r="B245" s="315" t="s">
        <v>1050</v>
      </c>
      <c r="C245" s="311" t="s">
        <v>81</v>
      </c>
      <c r="D245" s="311"/>
      <c r="E245" s="321">
        <v>400</v>
      </c>
      <c r="F245" s="309"/>
      <c r="G245" s="235"/>
      <c r="H245" s="236"/>
      <c r="I245" s="236"/>
    </row>
    <row r="246" spans="1:9" ht="13.8" hidden="1" outlineLevel="1" x14ac:dyDescent="0.25">
      <c r="A246" s="314"/>
      <c r="B246" s="315" t="s">
        <v>1051</v>
      </c>
      <c r="C246" s="311" t="s">
        <v>81</v>
      </c>
      <c r="D246" s="311"/>
      <c r="E246" s="321">
        <v>400</v>
      </c>
      <c r="F246" s="309"/>
      <c r="G246" s="235"/>
      <c r="H246" s="236"/>
      <c r="I246" s="236"/>
    </row>
    <row r="247" spans="1:9" ht="13.8" hidden="1" outlineLevel="1" x14ac:dyDescent="0.25">
      <c r="A247" s="314"/>
      <c r="B247" s="315" t="s">
        <v>1052</v>
      </c>
      <c r="C247" s="311" t="s">
        <v>81</v>
      </c>
      <c r="D247" s="311"/>
      <c r="E247" s="321">
        <v>350</v>
      </c>
      <c r="F247" s="309"/>
      <c r="G247" s="235"/>
      <c r="H247" s="236"/>
      <c r="I247" s="236"/>
    </row>
    <row r="248" spans="1:9" ht="13.8" hidden="1" outlineLevel="1" x14ac:dyDescent="0.25">
      <c r="A248" s="314"/>
      <c r="B248" s="315" t="s">
        <v>1053</v>
      </c>
      <c r="C248" s="311" t="s">
        <v>81</v>
      </c>
      <c r="D248" s="311"/>
      <c r="E248" s="321">
        <v>300</v>
      </c>
      <c r="F248" s="309"/>
      <c r="G248" s="235"/>
      <c r="H248" s="236"/>
      <c r="I248" s="236"/>
    </row>
    <row r="249" spans="1:9" ht="13.8" hidden="1" outlineLevel="1" x14ac:dyDescent="0.25">
      <c r="A249" s="314"/>
      <c r="B249" s="315" t="s">
        <v>1054</v>
      </c>
      <c r="C249" s="311" t="s">
        <v>81</v>
      </c>
      <c r="D249" s="311"/>
      <c r="E249" s="321">
        <v>550</v>
      </c>
      <c r="F249" s="309"/>
      <c r="G249" s="235"/>
      <c r="H249" s="236"/>
      <c r="I249" s="236"/>
    </row>
    <row r="250" spans="1:9" ht="13.8" hidden="1" outlineLevel="1" x14ac:dyDescent="0.25">
      <c r="A250" s="314"/>
      <c r="B250" s="315" t="s">
        <v>1055</v>
      </c>
      <c r="C250" s="311" t="s">
        <v>81</v>
      </c>
      <c r="D250" s="311"/>
      <c r="E250" s="321">
        <v>550</v>
      </c>
      <c r="F250" s="309"/>
      <c r="G250" s="235"/>
      <c r="H250" s="236"/>
      <c r="I250" s="236"/>
    </row>
    <row r="251" spans="1:9" ht="13.8" hidden="1" outlineLevel="1" x14ac:dyDescent="0.25">
      <c r="A251" s="314"/>
      <c r="B251" s="315" t="s">
        <v>1056</v>
      </c>
      <c r="C251" s="311" t="s">
        <v>81</v>
      </c>
      <c r="D251" s="311"/>
      <c r="E251" s="321">
        <v>150</v>
      </c>
      <c r="F251" s="309"/>
      <c r="G251" s="235"/>
      <c r="H251" s="236"/>
      <c r="I251" s="236"/>
    </row>
    <row r="252" spans="1:9" ht="13.8" hidden="1" outlineLevel="1" x14ac:dyDescent="0.25">
      <c r="A252" s="314"/>
      <c r="B252" s="315" t="s">
        <v>1057</v>
      </c>
      <c r="C252" s="311" t="s">
        <v>81</v>
      </c>
      <c r="D252" s="311"/>
      <c r="E252" s="321">
        <v>150</v>
      </c>
      <c r="F252" s="309"/>
      <c r="G252" s="235"/>
      <c r="H252" s="236"/>
      <c r="I252" s="236"/>
    </row>
    <row r="253" spans="1:9" ht="13.8" hidden="1" outlineLevel="1" x14ac:dyDescent="0.25">
      <c r="A253" s="314"/>
      <c r="B253" s="315" t="s">
        <v>1058</v>
      </c>
      <c r="C253" s="311" t="s">
        <v>8</v>
      </c>
      <c r="D253" s="311"/>
      <c r="E253" s="321">
        <v>800</v>
      </c>
      <c r="F253" s="309"/>
      <c r="G253" s="235"/>
      <c r="H253" s="236"/>
      <c r="I253" s="236"/>
    </row>
    <row r="254" spans="1:9" ht="13.8" hidden="1" outlineLevel="1" x14ac:dyDescent="0.25">
      <c r="A254" s="314">
        <f>+A231+0.001</f>
        <v>1.3010000000000002</v>
      </c>
      <c r="B254" s="315" t="s">
        <v>1059</v>
      </c>
      <c r="C254" s="311" t="s">
        <v>150</v>
      </c>
      <c r="D254" s="311"/>
      <c r="E254" s="321">
        <v>300</v>
      </c>
      <c r="F254" s="309"/>
      <c r="G254" s="235"/>
      <c r="H254" s="236"/>
      <c r="I254" s="236"/>
    </row>
    <row r="255" spans="1:9" ht="13.8" hidden="1" outlineLevel="1" x14ac:dyDescent="0.25">
      <c r="A255" s="314">
        <f>+A232+0.001</f>
        <v>1.302</v>
      </c>
      <c r="B255" s="315" t="s">
        <v>1060</v>
      </c>
      <c r="C255" s="311" t="s">
        <v>150</v>
      </c>
      <c r="D255" s="311"/>
      <c r="E255" s="321">
        <v>400</v>
      </c>
      <c r="F255" s="309"/>
      <c r="G255" s="235"/>
      <c r="H255" s="236"/>
      <c r="I255" s="236"/>
    </row>
    <row r="256" spans="1:9" ht="13.8" hidden="1" outlineLevel="1" x14ac:dyDescent="0.25">
      <c r="A256" s="314">
        <f>+A233+0.001</f>
        <v>1.3029999999999999</v>
      </c>
      <c r="B256" s="315" t="s">
        <v>1061</v>
      </c>
      <c r="C256" s="311" t="s">
        <v>150</v>
      </c>
      <c r="D256" s="311"/>
      <c r="E256" s="321">
        <v>300</v>
      </c>
      <c r="F256" s="309"/>
      <c r="G256" s="235"/>
      <c r="H256" s="236"/>
      <c r="I256" s="236"/>
    </row>
    <row r="257" spans="1:9" ht="13.8" hidden="1" outlineLevel="1" x14ac:dyDescent="0.25">
      <c r="A257" s="314">
        <f>+A233+0.001</f>
        <v>1.3029999999999999</v>
      </c>
      <c r="B257" s="315" t="s">
        <v>1062</v>
      </c>
      <c r="C257" s="311" t="s">
        <v>150</v>
      </c>
      <c r="D257" s="311"/>
      <c r="E257" s="321">
        <v>400</v>
      </c>
      <c r="F257" s="309"/>
      <c r="G257" s="235"/>
      <c r="H257" s="236"/>
      <c r="I257" s="236"/>
    </row>
    <row r="258" spans="1:9" ht="13.8" hidden="1" outlineLevel="1" x14ac:dyDescent="0.25">
      <c r="A258" s="314">
        <f>+A235+0.001</f>
        <v>1.3039999999999998</v>
      </c>
      <c r="B258" s="315" t="s">
        <v>1063</v>
      </c>
      <c r="C258" s="311" t="s">
        <v>150</v>
      </c>
      <c r="D258" s="311"/>
      <c r="E258" s="321">
        <v>350</v>
      </c>
      <c r="F258" s="309"/>
      <c r="G258" s="235"/>
      <c r="H258" s="236"/>
      <c r="I258" s="236"/>
    </row>
    <row r="259" spans="1:9" ht="13.8" hidden="1" outlineLevel="1" x14ac:dyDescent="0.25">
      <c r="A259" s="314">
        <f>+A255+0.001</f>
        <v>1.3029999999999999</v>
      </c>
      <c r="B259" s="315" t="s">
        <v>1064</v>
      </c>
      <c r="C259" s="311" t="s">
        <v>150</v>
      </c>
      <c r="D259" s="311"/>
      <c r="E259" s="321">
        <v>100</v>
      </c>
      <c r="F259" s="309"/>
      <c r="G259" s="235"/>
      <c r="H259" s="236"/>
      <c r="I259" s="236"/>
    </row>
    <row r="260" spans="1:9" ht="13.8" hidden="1" outlineLevel="1" x14ac:dyDescent="0.25">
      <c r="A260" s="314">
        <f>+A255+0.001</f>
        <v>1.3029999999999999</v>
      </c>
      <c r="B260" s="315" t="s">
        <v>1065</v>
      </c>
      <c r="C260" s="311" t="s">
        <v>150</v>
      </c>
      <c r="D260" s="311"/>
      <c r="E260" s="321">
        <v>150</v>
      </c>
      <c r="F260" s="309"/>
      <c r="G260" s="235"/>
      <c r="H260" s="236"/>
      <c r="I260" s="236"/>
    </row>
    <row r="261" spans="1:9" ht="13.8" hidden="1" outlineLevel="1" x14ac:dyDescent="0.25">
      <c r="A261" s="314"/>
      <c r="B261" s="315" t="s">
        <v>1066</v>
      </c>
      <c r="C261" s="311" t="s">
        <v>150</v>
      </c>
      <c r="D261" s="311"/>
      <c r="E261" s="321">
        <v>450</v>
      </c>
      <c r="F261" s="309"/>
      <c r="G261" s="235"/>
      <c r="H261" s="236"/>
      <c r="I261" s="236"/>
    </row>
    <row r="262" spans="1:9" ht="13.8" hidden="1" outlineLevel="1" x14ac:dyDescent="0.25">
      <c r="A262" s="314"/>
      <c r="B262" s="315" t="s">
        <v>1067</v>
      </c>
      <c r="C262" s="311" t="s">
        <v>150</v>
      </c>
      <c r="D262" s="311"/>
      <c r="E262" s="321">
        <v>250</v>
      </c>
      <c r="F262" s="309"/>
      <c r="G262" s="235"/>
      <c r="H262" s="236"/>
      <c r="I262" s="236"/>
    </row>
    <row r="263" spans="1:9" ht="13.8" hidden="1" outlineLevel="1" x14ac:dyDescent="0.25">
      <c r="A263" s="314"/>
      <c r="B263" s="315" t="s">
        <v>1068</v>
      </c>
      <c r="C263" s="311" t="s">
        <v>150</v>
      </c>
      <c r="D263" s="311"/>
      <c r="E263" s="321">
        <v>600</v>
      </c>
      <c r="F263" s="309"/>
      <c r="G263" s="235"/>
      <c r="H263" s="236"/>
      <c r="I263" s="236"/>
    </row>
    <row r="264" spans="1:9" ht="13.8" hidden="1" outlineLevel="1" x14ac:dyDescent="0.25">
      <c r="A264" s="314"/>
      <c r="B264" s="322"/>
      <c r="C264" s="323"/>
      <c r="D264" s="323"/>
      <c r="E264" s="324"/>
      <c r="F264" s="309"/>
      <c r="G264" s="235"/>
      <c r="H264" s="236"/>
      <c r="I264" s="236"/>
    </row>
    <row r="265" spans="1:9" ht="13.8" hidden="1" outlineLevel="1" x14ac:dyDescent="0.25">
      <c r="A265" s="314"/>
      <c r="B265" s="315" t="s">
        <v>1069</v>
      </c>
      <c r="C265" s="311" t="s">
        <v>150</v>
      </c>
      <c r="D265" s="311"/>
      <c r="E265" s="321">
        <v>300</v>
      </c>
      <c r="F265" s="309"/>
      <c r="G265" s="235"/>
      <c r="H265" s="236"/>
      <c r="I265" s="236"/>
    </row>
    <row r="266" spans="1:9" ht="13.8" hidden="1" outlineLevel="1" x14ac:dyDescent="0.25">
      <c r="A266" s="314"/>
      <c r="B266" s="315" t="s">
        <v>1070</v>
      </c>
      <c r="C266" s="323" t="s">
        <v>81</v>
      </c>
      <c r="D266" s="323"/>
      <c r="E266" s="321">
        <v>3000</v>
      </c>
      <c r="F266" s="309"/>
      <c r="G266" s="235"/>
      <c r="H266" s="236"/>
      <c r="I266" s="236"/>
    </row>
    <row r="267" spans="1:9" ht="13.8" hidden="1" outlineLevel="1" x14ac:dyDescent="0.25">
      <c r="A267" s="314"/>
      <c r="B267" s="315" t="s">
        <v>1071</v>
      </c>
      <c r="C267" s="323" t="s">
        <v>81</v>
      </c>
      <c r="D267" s="323"/>
      <c r="E267" s="321">
        <v>6000</v>
      </c>
      <c r="F267" s="309"/>
      <c r="G267" s="235"/>
      <c r="H267" s="236"/>
      <c r="I267" s="236"/>
    </row>
    <row r="268" spans="1:9" ht="13.8" hidden="1" outlineLevel="1" x14ac:dyDescent="0.25">
      <c r="A268" s="314"/>
      <c r="B268" s="315"/>
      <c r="C268" s="311"/>
      <c r="D268" s="311"/>
      <c r="E268" s="321"/>
      <c r="F268" s="309"/>
      <c r="G268" s="235"/>
      <c r="H268" s="236"/>
      <c r="I268" s="236"/>
    </row>
    <row r="269" spans="1:9" ht="13.8" hidden="1" outlineLevel="1" x14ac:dyDescent="0.25">
      <c r="A269" s="257"/>
      <c r="B269" s="315" t="s">
        <v>1072</v>
      </c>
      <c r="C269" s="311" t="s">
        <v>81</v>
      </c>
      <c r="D269" s="311"/>
      <c r="E269" s="321">
        <v>2000</v>
      </c>
      <c r="F269" s="309"/>
      <c r="G269" s="235"/>
      <c r="H269" s="236"/>
      <c r="I269" s="236"/>
    </row>
    <row r="270" spans="1:9" ht="13.8" hidden="1" outlineLevel="1" x14ac:dyDescent="0.25">
      <c r="A270" s="314">
        <f>+A233+0.001</f>
        <v>1.3029999999999999</v>
      </c>
      <c r="B270" s="322"/>
      <c r="C270" s="323"/>
      <c r="D270" s="323"/>
      <c r="E270" s="324"/>
      <c r="F270" s="309"/>
      <c r="G270" s="235"/>
      <c r="H270" s="236"/>
      <c r="I270" s="236"/>
    </row>
    <row r="271" spans="1:9" ht="13.8" hidden="1" outlineLevel="1" x14ac:dyDescent="0.25">
      <c r="A271" s="314"/>
      <c r="B271" s="322"/>
      <c r="C271" s="323"/>
      <c r="D271" s="323"/>
      <c r="E271" s="324"/>
      <c r="F271" s="309"/>
      <c r="G271" s="235"/>
      <c r="H271" s="236"/>
      <c r="I271" s="236"/>
    </row>
    <row r="272" spans="1:9" ht="13.8" hidden="1" outlineLevel="1" x14ac:dyDescent="0.25">
      <c r="A272" s="314">
        <f>+A238+0.001</f>
        <v>1.3039999999999998</v>
      </c>
      <c r="B272" s="315" t="s">
        <v>1073</v>
      </c>
      <c r="C272" s="311" t="s">
        <v>150</v>
      </c>
      <c r="D272" s="311"/>
      <c r="E272" s="321">
        <v>210</v>
      </c>
      <c r="F272" s="309"/>
      <c r="G272" s="235"/>
      <c r="H272" s="236"/>
      <c r="I272" s="236"/>
    </row>
    <row r="273" spans="1:9" ht="13.8" hidden="1" outlineLevel="1" x14ac:dyDescent="0.25">
      <c r="A273" s="314" t="e">
        <f>+#REF!+0.001</f>
        <v>#REF!</v>
      </c>
      <c r="B273" s="315" t="s">
        <v>1074</v>
      </c>
      <c r="C273" s="311" t="s">
        <v>150</v>
      </c>
      <c r="D273" s="311"/>
      <c r="E273" s="321">
        <v>100</v>
      </c>
      <c r="F273" s="309"/>
      <c r="G273" s="235"/>
      <c r="H273" s="236"/>
      <c r="I273" s="236"/>
    </row>
    <row r="274" spans="1:9" ht="13.8" hidden="1" outlineLevel="1" x14ac:dyDescent="0.25">
      <c r="A274" s="314" t="e">
        <f>+#REF!+0.001</f>
        <v>#REF!</v>
      </c>
      <c r="B274" s="315" t="s">
        <v>1075</v>
      </c>
      <c r="C274" s="311" t="s">
        <v>81</v>
      </c>
      <c r="D274" s="311"/>
      <c r="E274" s="321">
        <v>250</v>
      </c>
      <c r="F274" s="309"/>
      <c r="G274" s="235"/>
      <c r="H274" s="236"/>
      <c r="I274" s="236"/>
    </row>
    <row r="275" spans="1:9" ht="13.8" hidden="1" outlineLevel="1" x14ac:dyDescent="0.25">
      <c r="A275" s="314" t="e">
        <f>+#REF!+0.001</f>
        <v>#REF!</v>
      </c>
      <c r="B275" s="315" t="s">
        <v>1076</v>
      </c>
      <c r="C275" s="311" t="s">
        <v>150</v>
      </c>
      <c r="D275" s="311"/>
      <c r="E275" s="321">
        <v>125</v>
      </c>
      <c r="F275" s="309"/>
      <c r="G275" s="235"/>
      <c r="H275" s="236"/>
      <c r="I275" s="236"/>
    </row>
    <row r="276" spans="1:9" ht="13.8" hidden="1" outlineLevel="1" x14ac:dyDescent="0.25">
      <c r="A276" s="314" t="e">
        <f>+#REF!+0.001</f>
        <v>#REF!</v>
      </c>
      <c r="B276" s="315" t="s">
        <v>1077</v>
      </c>
      <c r="C276" s="311" t="s">
        <v>150</v>
      </c>
      <c r="D276" s="311"/>
      <c r="E276" s="321">
        <v>100</v>
      </c>
      <c r="G276" s="235"/>
      <c r="H276" s="236"/>
      <c r="I276" s="236"/>
    </row>
    <row r="277" spans="1:9" ht="13.8" hidden="1" outlineLevel="1" x14ac:dyDescent="0.25">
      <c r="A277" s="314" t="e">
        <f>+A276+0.001</f>
        <v>#REF!</v>
      </c>
      <c r="B277" s="315" t="s">
        <v>1078</v>
      </c>
      <c r="C277" s="311" t="s">
        <v>150</v>
      </c>
      <c r="D277" s="311"/>
      <c r="E277" s="321">
        <v>60</v>
      </c>
      <c r="G277" s="235"/>
      <c r="H277" s="236"/>
      <c r="I277" s="236"/>
    </row>
    <row r="278" spans="1:9" ht="13.8" hidden="1" outlineLevel="1" x14ac:dyDescent="0.25">
      <c r="A278" s="314" t="e">
        <f>+#REF!+0.001</f>
        <v>#REF!</v>
      </c>
      <c r="B278" s="315" t="s">
        <v>1079</v>
      </c>
      <c r="C278" s="311" t="s">
        <v>150</v>
      </c>
      <c r="D278" s="311"/>
      <c r="E278" s="321">
        <v>60</v>
      </c>
      <c r="G278" s="235"/>
      <c r="H278" s="236"/>
      <c r="I278" s="236"/>
    </row>
    <row r="279" spans="1:9" ht="13.8" hidden="1" outlineLevel="1" x14ac:dyDescent="0.25">
      <c r="A279" s="314" t="e">
        <f>+#REF!+0.001</f>
        <v>#REF!</v>
      </c>
      <c r="B279" s="315" t="s">
        <v>1080</v>
      </c>
      <c r="C279" s="311" t="s">
        <v>150</v>
      </c>
      <c r="D279" s="311"/>
      <c r="E279" s="321">
        <v>150</v>
      </c>
      <c r="G279" s="235"/>
      <c r="H279" s="236"/>
      <c r="I279" s="236"/>
    </row>
    <row r="280" spans="1:9" ht="13.8" hidden="1" outlineLevel="1" x14ac:dyDescent="0.25">
      <c r="A280" s="314" t="e">
        <f>+#REF!+0.001</f>
        <v>#REF!</v>
      </c>
      <c r="B280" s="315" t="s">
        <v>1081</v>
      </c>
      <c r="C280" s="311" t="s">
        <v>81</v>
      </c>
      <c r="D280" s="311"/>
      <c r="E280" s="321">
        <v>1100</v>
      </c>
      <c r="F280" s="309"/>
      <c r="G280" s="235"/>
      <c r="H280" s="236"/>
      <c r="I280" s="236"/>
    </row>
    <row r="281" spans="1:9" ht="13.8" hidden="1" outlineLevel="1" x14ac:dyDescent="0.25">
      <c r="A281" s="257"/>
      <c r="B281" s="315" t="s">
        <v>1082</v>
      </c>
      <c r="C281" s="311" t="s">
        <v>79</v>
      </c>
      <c r="D281" s="311"/>
      <c r="E281" s="321">
        <v>1200</v>
      </c>
      <c r="F281" s="309"/>
      <c r="G281" s="235"/>
      <c r="H281" s="236"/>
      <c r="I281" s="236"/>
    </row>
    <row r="282" spans="1:9" ht="13.8" hidden="1" outlineLevel="1" x14ac:dyDescent="0.25">
      <c r="A282" s="257"/>
      <c r="B282" s="315" t="s">
        <v>1083</v>
      </c>
      <c r="C282" s="311" t="s">
        <v>8</v>
      </c>
      <c r="D282" s="311"/>
      <c r="E282" s="321">
        <v>500</v>
      </c>
      <c r="F282" s="309"/>
      <c r="G282" s="235"/>
      <c r="H282" s="236"/>
      <c r="I282" s="236"/>
    </row>
    <row r="283" spans="1:9" hidden="1" outlineLevel="1" x14ac:dyDescent="0.25">
      <c r="B283" s="322"/>
      <c r="C283" s="323"/>
      <c r="D283" s="323"/>
      <c r="E283" s="324"/>
    </row>
    <row r="284" spans="1:9" ht="13.8" hidden="1" outlineLevel="1" x14ac:dyDescent="0.25">
      <c r="A284" s="257"/>
      <c r="B284" s="315"/>
      <c r="C284" s="311"/>
      <c r="D284" s="311"/>
      <c r="E284" s="321"/>
      <c r="F284" s="309"/>
      <c r="G284" s="235"/>
      <c r="H284" s="236"/>
      <c r="I284" s="236"/>
    </row>
    <row r="285" spans="1:9" ht="13.8" hidden="1" outlineLevel="1" x14ac:dyDescent="0.25">
      <c r="A285" s="230">
        <f>+A231+0.1</f>
        <v>1.4000000000000004</v>
      </c>
      <c r="B285" s="310" t="s">
        <v>1084</v>
      </c>
      <c r="C285" s="325"/>
      <c r="D285" s="325"/>
      <c r="E285" s="321"/>
      <c r="F285" s="309"/>
      <c r="G285" s="235"/>
      <c r="H285" s="236"/>
      <c r="I285" s="236"/>
    </row>
    <row r="286" spans="1:9" ht="13.8" hidden="1" outlineLevel="1" x14ac:dyDescent="0.25">
      <c r="A286" s="314">
        <f t="shared" ref="A286:A291" si="2">+A285+0.001</f>
        <v>1.4010000000000002</v>
      </c>
      <c r="B286" s="316" t="s">
        <v>257</v>
      </c>
      <c r="C286" s="317" t="s">
        <v>81</v>
      </c>
      <c r="D286" s="317"/>
      <c r="E286" s="312">
        <v>38</v>
      </c>
      <c r="F286" s="309"/>
      <c r="G286" s="256"/>
      <c r="H286" s="236"/>
      <c r="I286" s="236"/>
    </row>
    <row r="287" spans="1:9" ht="13.8" hidden="1" outlineLevel="1" x14ac:dyDescent="0.25">
      <c r="A287" s="314">
        <f t="shared" si="2"/>
        <v>1.4020000000000001</v>
      </c>
      <c r="B287" s="316" t="s">
        <v>687</v>
      </c>
      <c r="C287" s="317" t="s">
        <v>81</v>
      </c>
      <c r="D287" s="317"/>
      <c r="E287" s="312">
        <v>85</v>
      </c>
      <c r="F287" s="309"/>
      <c r="G287" s="256"/>
      <c r="H287" s="236"/>
      <c r="I287" s="236"/>
    </row>
    <row r="288" spans="1:9" ht="13.8" hidden="1" outlineLevel="1" x14ac:dyDescent="0.25">
      <c r="A288" s="314">
        <f t="shared" si="2"/>
        <v>1.403</v>
      </c>
      <c r="B288" s="315" t="s">
        <v>1085</v>
      </c>
      <c r="C288" s="311" t="s">
        <v>81</v>
      </c>
      <c r="D288" s="311">
        <v>140</v>
      </c>
      <c r="E288" s="321">
        <f>+D288*1.25</f>
        <v>175</v>
      </c>
      <c r="F288" s="309"/>
      <c r="G288" s="235"/>
      <c r="H288" s="236"/>
      <c r="I288" s="236"/>
    </row>
    <row r="289" spans="1:256" ht="13.8" hidden="1" outlineLevel="1" x14ac:dyDescent="0.25">
      <c r="A289" s="314">
        <f t="shared" si="2"/>
        <v>1.4039999999999999</v>
      </c>
      <c r="B289" s="315" t="s">
        <v>1086</v>
      </c>
      <c r="C289" s="311" t="s">
        <v>81</v>
      </c>
      <c r="D289" s="311">
        <v>140</v>
      </c>
      <c r="E289" s="321">
        <f>+D289*1.25</f>
        <v>175</v>
      </c>
      <c r="F289" s="309"/>
      <c r="G289" s="235"/>
      <c r="H289" s="236"/>
      <c r="I289" s="236"/>
    </row>
    <row r="290" spans="1:256" ht="13.8" hidden="1" outlineLevel="1" x14ac:dyDescent="0.25">
      <c r="A290" s="314">
        <f t="shared" si="2"/>
        <v>1.4049999999999998</v>
      </c>
      <c r="B290" s="315" t="s">
        <v>1087</v>
      </c>
      <c r="C290" s="311" t="s">
        <v>81</v>
      </c>
      <c r="D290" s="311"/>
      <c r="E290" s="321">
        <v>160</v>
      </c>
      <c r="F290" s="309"/>
      <c r="G290" s="235"/>
      <c r="H290" s="236"/>
      <c r="I290" s="236"/>
    </row>
    <row r="291" spans="1:256" ht="13.8" hidden="1" outlineLevel="1" x14ac:dyDescent="0.25">
      <c r="A291" s="314">
        <f t="shared" si="2"/>
        <v>1.4059999999999997</v>
      </c>
      <c r="B291" s="315" t="s">
        <v>1088</v>
      </c>
      <c r="C291" s="311" t="s">
        <v>81</v>
      </c>
      <c r="D291" s="311"/>
      <c r="E291" s="321">
        <f>E288*1.5</f>
        <v>262.5</v>
      </c>
      <c r="F291" s="309"/>
      <c r="G291" s="235"/>
      <c r="H291" s="236"/>
      <c r="I291" s="236"/>
    </row>
    <row r="292" spans="1:256" ht="13.8" hidden="1" outlineLevel="1" x14ac:dyDescent="0.25">
      <c r="A292" s="314" t="e">
        <f>+#REF!+0.001</f>
        <v>#REF!</v>
      </c>
      <c r="B292" s="315" t="s">
        <v>1089</v>
      </c>
      <c r="C292" s="311" t="s">
        <v>150</v>
      </c>
      <c r="D292" s="311">
        <v>70</v>
      </c>
      <c r="E292" s="321">
        <f>+D292*1.25</f>
        <v>87.5</v>
      </c>
      <c r="G292" s="235"/>
      <c r="H292" s="236"/>
      <c r="I292" s="236"/>
    </row>
    <row r="293" spans="1:256" ht="13.8" hidden="1" outlineLevel="1" x14ac:dyDescent="0.25">
      <c r="A293" s="314" t="e">
        <f>+A292+0.001</f>
        <v>#REF!</v>
      </c>
      <c r="B293" s="316" t="s">
        <v>1090</v>
      </c>
      <c r="C293" s="317" t="s">
        <v>150</v>
      </c>
      <c r="D293" s="317">
        <v>60</v>
      </c>
      <c r="E293" s="312">
        <f>+D293*1.25</f>
        <v>75</v>
      </c>
      <c r="G293" s="256"/>
      <c r="H293" s="236"/>
      <c r="I293" s="236"/>
    </row>
    <row r="294" spans="1:256" ht="13.8" hidden="1" outlineLevel="1" x14ac:dyDescent="0.25">
      <c r="A294" s="314"/>
      <c r="B294" s="316" t="s">
        <v>1091</v>
      </c>
      <c r="C294" s="317" t="s">
        <v>150</v>
      </c>
      <c r="D294" s="317"/>
      <c r="E294" s="312">
        <v>120</v>
      </c>
      <c r="G294" s="256"/>
      <c r="H294" s="236"/>
      <c r="I294" s="236"/>
    </row>
    <row r="295" spans="1:256" ht="13.8" hidden="1" outlineLevel="1" x14ac:dyDescent="0.25">
      <c r="A295" s="314" t="e">
        <f>+A292+0.001</f>
        <v>#REF!</v>
      </c>
      <c r="B295" s="315" t="s">
        <v>1092</v>
      </c>
      <c r="C295" s="311" t="s">
        <v>150</v>
      </c>
      <c r="D295" s="311"/>
      <c r="E295" s="321">
        <v>50</v>
      </c>
      <c r="G295" s="235"/>
      <c r="H295" s="236"/>
      <c r="I295" s="236"/>
    </row>
    <row r="296" spans="1:256" ht="13.8" hidden="1" outlineLevel="1" x14ac:dyDescent="0.25">
      <c r="A296" s="314" t="e">
        <f>+A295+0.001</f>
        <v>#REF!</v>
      </c>
      <c r="B296" s="315" t="s">
        <v>1093</v>
      </c>
      <c r="C296" s="311" t="s">
        <v>150</v>
      </c>
      <c r="D296" s="311"/>
      <c r="E296" s="321">
        <f>E295*1.5</f>
        <v>75</v>
      </c>
      <c r="G296" s="235"/>
      <c r="H296" s="236"/>
      <c r="I296" s="236"/>
    </row>
    <row r="297" spans="1:256" ht="13.8" hidden="1" outlineLevel="1" x14ac:dyDescent="0.25">
      <c r="A297" s="314" t="e">
        <f>+A296+0.001</f>
        <v>#REF!</v>
      </c>
      <c r="B297" s="316" t="s">
        <v>1094</v>
      </c>
      <c r="C297" s="317" t="s">
        <v>150</v>
      </c>
      <c r="D297" s="317"/>
      <c r="E297" s="312">
        <f>+E293*1.5</f>
        <v>112.5</v>
      </c>
      <c r="G297" s="256"/>
      <c r="H297" s="236"/>
      <c r="I297" s="236"/>
    </row>
    <row r="298" spans="1:256" ht="13.5" hidden="1" customHeight="1" outlineLevel="1" x14ac:dyDescent="0.25">
      <c r="A298" s="41"/>
      <c r="B298" s="315" t="s">
        <v>1095</v>
      </c>
      <c r="C298" s="311" t="s">
        <v>81</v>
      </c>
      <c r="D298" s="311"/>
      <c r="E298" s="321">
        <v>60</v>
      </c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  <c r="GI298" s="41"/>
      <c r="GJ298" s="41"/>
      <c r="GK298" s="41"/>
      <c r="GL298" s="41"/>
      <c r="GM298" s="41"/>
      <c r="GN298" s="41"/>
      <c r="GO298" s="41"/>
      <c r="GP298" s="41"/>
      <c r="GQ298" s="41"/>
      <c r="GR298" s="41"/>
      <c r="GS298" s="41"/>
      <c r="GT298" s="41"/>
      <c r="GU298" s="41"/>
      <c r="GV298" s="41"/>
      <c r="GW298" s="41"/>
      <c r="GX298" s="41"/>
      <c r="GY298" s="41"/>
      <c r="GZ298" s="41"/>
      <c r="HA298" s="41"/>
      <c r="HB298" s="41"/>
      <c r="HC298" s="41"/>
      <c r="HD298" s="41"/>
      <c r="HE298" s="41"/>
      <c r="HF298" s="41"/>
      <c r="HG298" s="41"/>
      <c r="HH298" s="41"/>
      <c r="HI298" s="41"/>
      <c r="HJ298" s="41"/>
      <c r="HK298" s="41"/>
      <c r="HL298" s="41"/>
      <c r="HM298" s="41"/>
      <c r="HN298" s="41"/>
      <c r="HO298" s="41"/>
      <c r="HP298" s="41"/>
      <c r="HQ298" s="41"/>
      <c r="HR298" s="41"/>
      <c r="HS298" s="41"/>
      <c r="HT298" s="41"/>
      <c r="HU298" s="41"/>
      <c r="HV298" s="41"/>
      <c r="HW298" s="41"/>
      <c r="HX298" s="41"/>
      <c r="HY298" s="41"/>
      <c r="HZ298" s="41"/>
      <c r="IA298" s="41"/>
      <c r="IB298" s="41"/>
      <c r="IC298" s="41"/>
      <c r="ID298" s="41"/>
      <c r="IE298" s="41"/>
      <c r="IF298" s="41"/>
      <c r="IG298" s="41"/>
      <c r="IH298" s="41"/>
      <c r="II298" s="41"/>
      <c r="IJ298" s="41"/>
      <c r="IK298" s="41"/>
      <c r="IL298" s="41"/>
      <c r="IM298" s="41"/>
      <c r="IN298" s="41"/>
      <c r="IO298" s="41"/>
      <c r="IP298" s="41"/>
      <c r="IQ298" s="41"/>
      <c r="IR298" s="41"/>
      <c r="IS298" s="41"/>
      <c r="IT298" s="41"/>
      <c r="IU298" s="41"/>
      <c r="IV298" s="41"/>
    </row>
    <row r="299" spans="1:256" ht="13.5" hidden="1" customHeight="1" outlineLevel="1" x14ac:dyDescent="0.25">
      <c r="A299" s="41"/>
      <c r="B299" s="315" t="s">
        <v>1096</v>
      </c>
      <c r="C299" s="311" t="s">
        <v>150</v>
      </c>
      <c r="D299" s="311"/>
      <c r="E299" s="321">
        <v>200</v>
      </c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</row>
    <row r="300" spans="1:256" ht="13.8" hidden="1" outlineLevel="1" x14ac:dyDescent="0.25">
      <c r="A300" s="257"/>
      <c r="B300" s="315"/>
      <c r="C300" s="311"/>
      <c r="D300" s="311"/>
      <c r="E300" s="321"/>
      <c r="G300" s="235"/>
      <c r="H300" s="236"/>
      <c r="I300" s="236"/>
    </row>
    <row r="301" spans="1:256" ht="13.8" hidden="1" outlineLevel="1" x14ac:dyDescent="0.25">
      <c r="A301" s="230">
        <f>+A285+0.1</f>
        <v>1.5000000000000004</v>
      </c>
      <c r="B301" s="310" t="s">
        <v>1097</v>
      </c>
      <c r="C301" s="325"/>
      <c r="D301" s="325"/>
      <c r="E301" s="321"/>
      <c r="G301" s="235"/>
      <c r="H301" s="236"/>
      <c r="I301" s="236"/>
    </row>
    <row r="302" spans="1:256" ht="13.8" hidden="1" outlineLevel="1" x14ac:dyDescent="0.25">
      <c r="A302" s="314">
        <f>+A301+0.001</f>
        <v>1.5010000000000003</v>
      </c>
      <c r="B302" s="315" t="s">
        <v>1098</v>
      </c>
      <c r="C302" s="311" t="s">
        <v>81</v>
      </c>
      <c r="D302" s="311"/>
      <c r="E302" s="321">
        <v>140</v>
      </c>
      <c r="G302" s="235"/>
      <c r="H302" s="236"/>
      <c r="I302" s="236"/>
    </row>
    <row r="303" spans="1:256" ht="13.8" hidden="1" outlineLevel="1" x14ac:dyDescent="0.25">
      <c r="A303" s="314">
        <f>+A302+0.001</f>
        <v>1.5020000000000002</v>
      </c>
      <c r="B303" s="315" t="s">
        <v>1099</v>
      </c>
      <c r="C303" s="311" t="s">
        <v>81</v>
      </c>
      <c r="D303" s="311"/>
      <c r="E303" s="321">
        <v>160</v>
      </c>
      <c r="G303" s="235"/>
      <c r="H303" s="236"/>
      <c r="I303" s="236"/>
    </row>
    <row r="304" spans="1:256" ht="13.8" hidden="1" outlineLevel="1" x14ac:dyDescent="0.25">
      <c r="A304" s="314" t="e">
        <f>+#REF!+0.001</f>
        <v>#REF!</v>
      </c>
      <c r="B304" s="315" t="s">
        <v>1100</v>
      </c>
      <c r="C304" s="311" t="s">
        <v>150</v>
      </c>
      <c r="D304" s="311"/>
      <c r="E304" s="321">
        <v>80</v>
      </c>
      <c r="G304" s="235"/>
      <c r="H304" s="236"/>
      <c r="I304" s="236"/>
    </row>
    <row r="305" spans="1:9" ht="13.8" hidden="1" outlineLevel="1" x14ac:dyDescent="0.25">
      <c r="A305" s="314"/>
      <c r="B305" s="315" t="s">
        <v>494</v>
      </c>
      <c r="C305" s="311" t="s">
        <v>81</v>
      </c>
      <c r="D305" s="311"/>
      <c r="E305" s="321">
        <v>120</v>
      </c>
      <c r="G305" s="235"/>
      <c r="H305" s="236"/>
      <c r="I305" s="236"/>
    </row>
    <row r="306" spans="1:9" ht="13.8" hidden="1" outlineLevel="1" x14ac:dyDescent="0.25">
      <c r="A306" s="257"/>
      <c r="B306" s="315"/>
      <c r="C306" s="311"/>
      <c r="D306" s="311"/>
      <c r="E306" s="321"/>
      <c r="G306" s="235"/>
      <c r="H306" s="236"/>
      <c r="I306" s="236"/>
    </row>
    <row r="307" spans="1:9" ht="13.8" hidden="1" outlineLevel="1" x14ac:dyDescent="0.25">
      <c r="A307" s="230">
        <f>+A301+0.1</f>
        <v>1.6000000000000005</v>
      </c>
      <c r="B307" s="310" t="s">
        <v>1101</v>
      </c>
      <c r="C307" s="325"/>
      <c r="D307" s="325"/>
      <c r="E307" s="321"/>
      <c r="G307" s="235"/>
      <c r="H307" s="236"/>
      <c r="I307" s="236"/>
    </row>
    <row r="308" spans="1:9" ht="13.8" hidden="1" outlineLevel="1" x14ac:dyDescent="0.25">
      <c r="A308" s="314">
        <f t="shared" ref="A308:A316" si="3">+A307+0.001</f>
        <v>1.6010000000000004</v>
      </c>
      <c r="B308" s="315" t="s">
        <v>1102</v>
      </c>
      <c r="C308" s="311" t="s">
        <v>81</v>
      </c>
      <c r="D308" s="311"/>
      <c r="E308" s="321">
        <v>140</v>
      </c>
      <c r="G308" s="235"/>
      <c r="H308" s="236"/>
      <c r="I308" s="236"/>
    </row>
    <row r="309" spans="1:9" ht="13.8" hidden="1" outlineLevel="1" x14ac:dyDescent="0.25">
      <c r="A309" s="314">
        <f t="shared" si="3"/>
        <v>1.6020000000000003</v>
      </c>
      <c r="B309" s="315" t="s">
        <v>1103</v>
      </c>
      <c r="C309" s="311" t="s">
        <v>45</v>
      </c>
      <c r="D309" s="311"/>
      <c r="E309" s="321">
        <v>1000</v>
      </c>
      <c r="G309" s="235"/>
      <c r="H309" s="236"/>
      <c r="I309" s="236"/>
    </row>
    <row r="310" spans="1:9" ht="13.8" hidden="1" outlineLevel="1" x14ac:dyDescent="0.25">
      <c r="A310" s="314">
        <f t="shared" si="3"/>
        <v>1.6030000000000002</v>
      </c>
      <c r="B310" s="315" t="s">
        <v>1104</v>
      </c>
      <c r="C310" s="311" t="s">
        <v>45</v>
      </c>
      <c r="D310" s="311"/>
      <c r="E310" s="321">
        <v>5500</v>
      </c>
      <c r="G310" s="235"/>
      <c r="H310" s="236"/>
      <c r="I310" s="236"/>
    </row>
    <row r="311" spans="1:9" ht="13.8" hidden="1" outlineLevel="1" x14ac:dyDescent="0.25">
      <c r="A311" s="314">
        <f t="shared" si="3"/>
        <v>1.6040000000000001</v>
      </c>
      <c r="B311" s="315" t="s">
        <v>1105</v>
      </c>
      <c r="C311" s="311" t="s">
        <v>45</v>
      </c>
      <c r="D311" s="311"/>
      <c r="E311" s="321">
        <v>1300</v>
      </c>
      <c r="G311" s="235"/>
      <c r="H311" s="236"/>
      <c r="I311" s="236"/>
    </row>
    <row r="312" spans="1:9" ht="13.8" hidden="1" outlineLevel="1" x14ac:dyDescent="0.25">
      <c r="A312" s="314">
        <f t="shared" si="3"/>
        <v>1.605</v>
      </c>
      <c r="B312" s="315" t="s">
        <v>1106</v>
      </c>
      <c r="C312" s="311" t="s">
        <v>45</v>
      </c>
      <c r="D312" s="311"/>
      <c r="E312" s="321">
        <v>3500</v>
      </c>
      <c r="G312" s="235"/>
      <c r="H312" s="236"/>
      <c r="I312" s="236"/>
    </row>
    <row r="313" spans="1:9" ht="13.8" hidden="1" outlineLevel="1" x14ac:dyDescent="0.25">
      <c r="A313" s="314">
        <f t="shared" si="3"/>
        <v>1.6059999999999999</v>
      </c>
      <c r="B313" s="315" t="s">
        <v>1107</v>
      </c>
      <c r="C313" s="311" t="s">
        <v>81</v>
      </c>
      <c r="D313" s="311"/>
      <c r="E313" s="321">
        <v>30</v>
      </c>
      <c r="G313" s="235"/>
      <c r="H313" s="236"/>
      <c r="I313" s="236"/>
    </row>
    <row r="314" spans="1:9" ht="13.8" hidden="1" outlineLevel="1" x14ac:dyDescent="0.25">
      <c r="A314" s="314">
        <f t="shared" si="3"/>
        <v>1.6069999999999998</v>
      </c>
      <c r="B314" s="315" t="s">
        <v>1108</v>
      </c>
      <c r="C314" s="311" t="s">
        <v>81</v>
      </c>
      <c r="D314" s="311"/>
      <c r="E314" s="321"/>
      <c r="G314" s="235"/>
      <c r="H314" s="236"/>
      <c r="I314" s="236"/>
    </row>
    <row r="315" spans="1:9" ht="13.8" hidden="1" outlineLevel="1" x14ac:dyDescent="0.25">
      <c r="A315" s="314">
        <f t="shared" si="3"/>
        <v>1.6079999999999997</v>
      </c>
      <c r="B315" s="315" t="s">
        <v>1109</v>
      </c>
      <c r="C315" s="311" t="s">
        <v>81</v>
      </c>
      <c r="D315" s="311"/>
      <c r="E315" s="321">
        <v>12500</v>
      </c>
      <c r="G315" s="235"/>
      <c r="H315" s="236"/>
      <c r="I315" s="236"/>
    </row>
    <row r="316" spans="1:9" ht="13.8" hidden="1" outlineLevel="1" x14ac:dyDescent="0.25">
      <c r="A316" s="314">
        <f t="shared" si="3"/>
        <v>1.6089999999999995</v>
      </c>
      <c r="B316" s="315" t="s">
        <v>1110</v>
      </c>
      <c r="C316" s="325" t="s">
        <v>8</v>
      </c>
      <c r="D316" s="325"/>
      <c r="E316" s="321"/>
      <c r="G316" s="235"/>
      <c r="H316" s="236"/>
      <c r="I316" s="236"/>
    </row>
    <row r="317" spans="1:9" ht="13.8" hidden="1" outlineLevel="1" x14ac:dyDescent="0.25">
      <c r="A317" s="300"/>
      <c r="B317" s="322"/>
      <c r="C317" s="325"/>
      <c r="D317" s="325"/>
      <c r="E317" s="321"/>
      <c r="G317" s="235"/>
      <c r="H317" s="236"/>
      <c r="I317" s="236"/>
    </row>
    <row r="318" spans="1:9" ht="13.8" hidden="1" outlineLevel="1" x14ac:dyDescent="0.25">
      <c r="A318" s="252">
        <v>2</v>
      </c>
      <c r="B318" s="310" t="s">
        <v>1111</v>
      </c>
      <c r="C318" s="325"/>
      <c r="D318" s="325"/>
      <c r="E318" s="321"/>
      <c r="G318" s="235"/>
      <c r="H318" s="236"/>
      <c r="I318" s="236"/>
    </row>
    <row r="319" spans="1:9" ht="13.8" hidden="1" outlineLevel="1" x14ac:dyDescent="0.25">
      <c r="A319" s="313">
        <f>+A318+0.1</f>
        <v>2.1</v>
      </c>
      <c r="B319" s="310" t="s">
        <v>1112</v>
      </c>
      <c r="C319" s="311"/>
      <c r="D319" s="311"/>
      <c r="E319" s="321"/>
      <c r="F319" s="309"/>
      <c r="G319" s="235"/>
      <c r="H319" s="236"/>
      <c r="I319" s="236"/>
    </row>
    <row r="320" spans="1:9" ht="13.8" hidden="1" outlineLevel="1" x14ac:dyDescent="0.25">
      <c r="A320" s="314">
        <f>+A319+0.001</f>
        <v>2.101</v>
      </c>
      <c r="B320" s="315" t="s">
        <v>1113</v>
      </c>
      <c r="C320" s="311" t="s">
        <v>150</v>
      </c>
      <c r="D320" s="311">
        <v>340</v>
      </c>
      <c r="E320" s="321">
        <f t="shared" ref="E320:E340" si="4">+D320*1.25</f>
        <v>425</v>
      </c>
      <c r="F320" s="309"/>
      <c r="G320" s="235"/>
      <c r="H320" s="236"/>
      <c r="I320" s="236"/>
    </row>
    <row r="321" spans="1:9" ht="13.8" hidden="1" outlineLevel="1" x14ac:dyDescent="0.25">
      <c r="A321" s="314">
        <f>+A320+0.001</f>
        <v>2.1019999999999999</v>
      </c>
      <c r="B321" s="315" t="s">
        <v>1114</v>
      </c>
      <c r="C321" s="311" t="s">
        <v>150</v>
      </c>
      <c r="D321" s="311">
        <v>350</v>
      </c>
      <c r="E321" s="321">
        <f t="shared" si="4"/>
        <v>437.5</v>
      </c>
      <c r="F321" s="309"/>
      <c r="G321" s="235"/>
      <c r="H321" s="236"/>
      <c r="I321" s="236"/>
    </row>
    <row r="322" spans="1:9" ht="13.8" hidden="1" outlineLevel="1" x14ac:dyDescent="0.25">
      <c r="A322" s="314">
        <f>+A321+0.001</f>
        <v>2.1029999999999998</v>
      </c>
      <c r="B322" s="315" t="s">
        <v>1115</v>
      </c>
      <c r="C322" s="311" t="s">
        <v>150</v>
      </c>
      <c r="D322" s="311">
        <v>360</v>
      </c>
      <c r="E322" s="321">
        <f t="shared" si="4"/>
        <v>450</v>
      </c>
      <c r="F322" s="309"/>
      <c r="G322" s="235"/>
      <c r="H322" s="236"/>
      <c r="I322" s="236"/>
    </row>
    <row r="323" spans="1:9" ht="13.8" hidden="1" outlineLevel="1" x14ac:dyDescent="0.25">
      <c r="A323" s="314">
        <f>+A322+0.001</f>
        <v>2.1039999999999996</v>
      </c>
      <c r="B323" s="315" t="s">
        <v>1116</v>
      </c>
      <c r="C323" s="311" t="s">
        <v>150</v>
      </c>
      <c r="D323" s="311">
        <v>370</v>
      </c>
      <c r="E323" s="321">
        <f t="shared" si="4"/>
        <v>462.5</v>
      </c>
      <c r="F323" s="309"/>
      <c r="G323" s="235"/>
      <c r="H323" s="236"/>
      <c r="I323" s="236"/>
    </row>
    <row r="324" spans="1:9" ht="13.8" hidden="1" outlineLevel="1" x14ac:dyDescent="0.25">
      <c r="A324" s="314">
        <f>+A322+0.001</f>
        <v>2.1039999999999996</v>
      </c>
      <c r="B324" s="315" t="s">
        <v>1117</v>
      </c>
      <c r="C324" s="311" t="s">
        <v>150</v>
      </c>
      <c r="D324" s="311">
        <v>380</v>
      </c>
      <c r="E324" s="321">
        <f t="shared" si="4"/>
        <v>475</v>
      </c>
      <c r="F324" s="326"/>
      <c r="G324" s="235"/>
      <c r="H324" s="303"/>
      <c r="I324" s="236"/>
    </row>
    <row r="325" spans="1:9" ht="13.8" hidden="1" outlineLevel="1" x14ac:dyDescent="0.25">
      <c r="A325" s="314">
        <f>+A324+0.001</f>
        <v>2.1049999999999995</v>
      </c>
      <c r="B325" s="315" t="s">
        <v>1118</v>
      </c>
      <c r="C325" s="311" t="s">
        <v>150</v>
      </c>
      <c r="D325" s="311">
        <v>400</v>
      </c>
      <c r="E325" s="321">
        <f t="shared" si="4"/>
        <v>500</v>
      </c>
      <c r="F325" s="326"/>
      <c r="G325" s="235"/>
      <c r="H325" s="303"/>
      <c r="I325" s="236"/>
    </row>
    <row r="326" spans="1:9" ht="13.8" hidden="1" outlineLevel="1" x14ac:dyDescent="0.25">
      <c r="A326" s="314">
        <f>+A323+0.001</f>
        <v>2.1049999999999995</v>
      </c>
      <c r="B326" s="315" t="s">
        <v>1119</v>
      </c>
      <c r="C326" s="311" t="s">
        <v>150</v>
      </c>
      <c r="D326" s="311">
        <v>500</v>
      </c>
      <c r="E326" s="321">
        <f t="shared" si="4"/>
        <v>625</v>
      </c>
      <c r="F326" s="309"/>
      <c r="G326" s="235"/>
      <c r="H326" s="236"/>
      <c r="I326" s="236"/>
    </row>
    <row r="327" spans="1:9" ht="13.8" hidden="1" outlineLevel="1" x14ac:dyDescent="0.25">
      <c r="A327" s="314">
        <f>+A326+0.001</f>
        <v>2.1059999999999994</v>
      </c>
      <c r="B327" s="315" t="s">
        <v>1120</v>
      </c>
      <c r="C327" s="311" t="s">
        <v>150</v>
      </c>
      <c r="D327" s="311">
        <v>465</v>
      </c>
      <c r="E327" s="321">
        <f t="shared" si="4"/>
        <v>581.25</v>
      </c>
      <c r="F327" s="309"/>
      <c r="G327" s="235"/>
      <c r="H327" s="236"/>
      <c r="I327" s="236"/>
    </row>
    <row r="328" spans="1:9" ht="13.8" hidden="1" outlineLevel="1" x14ac:dyDescent="0.25">
      <c r="A328" s="314">
        <f>+A327+0.001</f>
        <v>2.1069999999999993</v>
      </c>
      <c r="B328" s="315" t="s">
        <v>1121</v>
      </c>
      <c r="C328" s="311" t="s">
        <v>150</v>
      </c>
      <c r="D328" s="311">
        <v>480</v>
      </c>
      <c r="E328" s="321">
        <f t="shared" si="4"/>
        <v>600</v>
      </c>
      <c r="F328" s="309"/>
      <c r="G328" s="235"/>
      <c r="H328" s="236"/>
      <c r="I328" s="236"/>
    </row>
    <row r="329" spans="1:9" ht="13.8" hidden="1" outlineLevel="1" x14ac:dyDescent="0.25">
      <c r="A329" s="314">
        <f>+A328+0.001</f>
        <v>2.1079999999999992</v>
      </c>
      <c r="B329" s="315" t="s">
        <v>1122</v>
      </c>
      <c r="C329" s="311" t="s">
        <v>150</v>
      </c>
      <c r="D329" s="311">
        <v>500</v>
      </c>
      <c r="E329" s="321">
        <f t="shared" si="4"/>
        <v>625</v>
      </c>
      <c r="F329" s="309"/>
      <c r="G329" s="235"/>
      <c r="H329" s="236"/>
      <c r="I329" s="236"/>
    </row>
    <row r="330" spans="1:9" ht="13.8" hidden="1" outlineLevel="1" x14ac:dyDescent="0.25">
      <c r="A330" s="257"/>
      <c r="B330" s="315" t="s">
        <v>1123</v>
      </c>
      <c r="C330" s="311" t="s">
        <v>150</v>
      </c>
      <c r="D330" s="311">
        <v>530</v>
      </c>
      <c r="E330" s="321">
        <f t="shared" si="4"/>
        <v>662.5</v>
      </c>
      <c r="F330" s="309"/>
      <c r="G330" s="235"/>
      <c r="H330" s="236"/>
      <c r="I330" s="236"/>
    </row>
    <row r="331" spans="1:9" ht="13.8" hidden="1" outlineLevel="1" x14ac:dyDescent="0.25">
      <c r="A331" s="257"/>
      <c r="B331" s="315" t="s">
        <v>1124</v>
      </c>
      <c r="C331" s="311" t="s">
        <v>150</v>
      </c>
      <c r="D331" s="311">
        <v>570</v>
      </c>
      <c r="E331" s="321">
        <f t="shared" si="4"/>
        <v>712.5</v>
      </c>
      <c r="F331" s="309"/>
      <c r="G331" s="235"/>
      <c r="H331" s="236"/>
      <c r="I331" s="236"/>
    </row>
    <row r="332" spans="1:9" ht="13.8" hidden="1" outlineLevel="1" x14ac:dyDescent="0.25">
      <c r="A332" s="257"/>
      <c r="B332" s="315" t="s">
        <v>1125</v>
      </c>
      <c r="C332" s="311" t="s">
        <v>150</v>
      </c>
      <c r="D332" s="311">
        <v>605</v>
      </c>
      <c r="E332" s="321">
        <f t="shared" si="4"/>
        <v>756.25</v>
      </c>
      <c r="G332" s="327"/>
      <c r="H332" s="236"/>
      <c r="I332" s="236"/>
    </row>
    <row r="333" spans="1:9" ht="13.8" hidden="1" outlineLevel="1" x14ac:dyDescent="0.25">
      <c r="A333" s="257"/>
      <c r="B333" s="315" t="s">
        <v>1126</v>
      </c>
      <c r="C333" s="311" t="s">
        <v>150</v>
      </c>
      <c r="D333" s="311">
        <v>465</v>
      </c>
      <c r="E333" s="321">
        <f t="shared" si="4"/>
        <v>581.25</v>
      </c>
      <c r="G333" s="327"/>
      <c r="H333" s="236"/>
      <c r="I333" s="236"/>
    </row>
    <row r="334" spans="1:9" ht="13.8" hidden="1" outlineLevel="1" x14ac:dyDescent="0.25">
      <c r="A334" s="257"/>
      <c r="B334" s="315" t="s">
        <v>1127</v>
      </c>
      <c r="C334" s="311" t="s">
        <v>150</v>
      </c>
      <c r="D334" s="311">
        <v>480</v>
      </c>
      <c r="E334" s="321">
        <f t="shared" si="4"/>
        <v>600</v>
      </c>
      <c r="G334" s="327"/>
      <c r="H334" s="236"/>
      <c r="I334" s="236"/>
    </row>
    <row r="335" spans="1:9" ht="13.8" hidden="1" outlineLevel="1" x14ac:dyDescent="0.25">
      <c r="A335" s="257"/>
      <c r="B335" s="315" t="s">
        <v>1128</v>
      </c>
      <c r="C335" s="311" t="s">
        <v>150</v>
      </c>
      <c r="D335" s="328">
        <f>0.3*4*575</f>
        <v>690</v>
      </c>
      <c r="E335" s="321">
        <f t="shared" si="4"/>
        <v>862.5</v>
      </c>
      <c r="G335" s="327"/>
      <c r="H335" s="236"/>
      <c r="I335" s="236"/>
    </row>
    <row r="336" spans="1:9" ht="13.8" hidden="1" outlineLevel="1" x14ac:dyDescent="0.25">
      <c r="A336" s="257"/>
      <c r="B336" s="315" t="s">
        <v>1129</v>
      </c>
      <c r="C336" s="311" t="s">
        <v>150</v>
      </c>
      <c r="D336" s="328">
        <f>0.4*4*900</f>
        <v>1440</v>
      </c>
      <c r="E336" s="321">
        <f t="shared" si="4"/>
        <v>1800</v>
      </c>
      <c r="G336" s="327"/>
      <c r="H336" s="236"/>
      <c r="I336" s="236"/>
    </row>
    <row r="337" spans="1:9" ht="13.8" hidden="1" outlineLevel="1" x14ac:dyDescent="0.25">
      <c r="A337" s="257"/>
      <c r="B337" s="315" t="s">
        <v>1130</v>
      </c>
      <c r="C337" s="311" t="s">
        <v>150</v>
      </c>
      <c r="D337" s="328">
        <f>0.5*4*575</f>
        <v>1150</v>
      </c>
      <c r="E337" s="321">
        <f t="shared" si="4"/>
        <v>1437.5</v>
      </c>
      <c r="F337" s="309"/>
      <c r="G337" s="235"/>
      <c r="H337" s="236"/>
      <c r="I337" s="236"/>
    </row>
    <row r="338" spans="1:9" ht="13.8" hidden="1" outlineLevel="1" x14ac:dyDescent="0.25">
      <c r="A338" s="257"/>
      <c r="B338" s="315" t="s">
        <v>1131</v>
      </c>
      <c r="C338" s="311" t="s">
        <v>150</v>
      </c>
      <c r="D338" s="328">
        <f>0.6*4*575</f>
        <v>1380</v>
      </c>
      <c r="E338" s="321">
        <f t="shared" si="4"/>
        <v>1725</v>
      </c>
      <c r="F338" s="309"/>
      <c r="G338" s="235"/>
      <c r="H338" s="236"/>
      <c r="I338" s="236"/>
    </row>
    <row r="339" spans="1:9" ht="13.8" hidden="1" outlineLevel="1" x14ac:dyDescent="0.25">
      <c r="A339" s="257"/>
      <c r="B339" s="315" t="s">
        <v>1132</v>
      </c>
      <c r="C339" s="311" t="s">
        <v>150</v>
      </c>
      <c r="D339" s="328">
        <f>+(0.2*2+0.4*2)*575</f>
        <v>690.00000000000011</v>
      </c>
      <c r="E339" s="321">
        <f t="shared" si="4"/>
        <v>862.50000000000011</v>
      </c>
      <c r="F339" s="309"/>
      <c r="G339" s="235"/>
      <c r="H339" s="236"/>
      <c r="I339" s="236"/>
    </row>
    <row r="340" spans="1:9" ht="13.8" hidden="1" outlineLevel="1" x14ac:dyDescent="0.25">
      <c r="A340" s="257"/>
      <c r="B340" s="315" t="s">
        <v>1133</v>
      </c>
      <c r="C340" s="311" t="s">
        <v>150</v>
      </c>
      <c r="D340" s="328">
        <f>+(0.2*2+0.7*2)*900</f>
        <v>1619.9999999999998</v>
      </c>
      <c r="E340" s="321">
        <f t="shared" si="4"/>
        <v>2024.9999999999998</v>
      </c>
      <c r="F340" s="309"/>
      <c r="G340" s="235"/>
      <c r="H340" s="236"/>
      <c r="I340" s="236"/>
    </row>
    <row r="341" spans="1:9" ht="13.8" hidden="1" outlineLevel="1" x14ac:dyDescent="0.25">
      <c r="A341" s="257"/>
      <c r="B341" s="315" t="s">
        <v>1134</v>
      </c>
      <c r="C341" s="311" t="s">
        <v>150</v>
      </c>
      <c r="D341" s="311"/>
      <c r="E341" s="321">
        <v>1000</v>
      </c>
      <c r="F341" s="309"/>
      <c r="G341" s="235"/>
      <c r="H341" s="236"/>
      <c r="I341" s="236"/>
    </row>
    <row r="342" spans="1:9" ht="13.8" hidden="1" outlineLevel="1" x14ac:dyDescent="0.25">
      <c r="A342" s="257"/>
      <c r="B342" s="315" t="s">
        <v>1135</v>
      </c>
      <c r="C342" s="311" t="s">
        <v>150</v>
      </c>
      <c r="D342" s="311">
        <v>1000</v>
      </c>
      <c r="E342" s="321">
        <f>+D342*1.25</f>
        <v>1250</v>
      </c>
      <c r="F342" s="309"/>
      <c r="G342" s="235"/>
      <c r="H342" s="236"/>
      <c r="I342" s="236"/>
    </row>
    <row r="343" spans="1:9" ht="13.8" hidden="1" outlineLevel="1" x14ac:dyDescent="0.25">
      <c r="A343" s="257"/>
      <c r="B343" s="315" t="s">
        <v>1136</v>
      </c>
      <c r="C343" s="311" t="s">
        <v>150</v>
      </c>
      <c r="D343" s="311"/>
      <c r="E343" s="321">
        <v>1500</v>
      </c>
      <c r="F343" s="309"/>
      <c r="G343" s="235"/>
      <c r="H343" s="236"/>
      <c r="I343" s="236"/>
    </row>
    <row r="344" spans="1:9" ht="13.8" hidden="1" outlineLevel="1" x14ac:dyDescent="0.25">
      <c r="A344" s="230">
        <f>+A319+0.1</f>
        <v>2.2000000000000002</v>
      </c>
      <c r="B344" s="315" t="s">
        <v>1137</v>
      </c>
      <c r="C344" s="311" t="s">
        <v>150</v>
      </c>
      <c r="D344" s="311"/>
      <c r="E344" s="321">
        <v>1750</v>
      </c>
      <c r="F344" s="309"/>
      <c r="G344" s="235"/>
      <c r="H344" s="236"/>
      <c r="I344" s="236"/>
    </row>
    <row r="345" spans="1:9" ht="13.8" hidden="1" outlineLevel="1" x14ac:dyDescent="0.25">
      <c r="A345" s="314" t="e">
        <f>+#REF!+0.001</f>
        <v>#REF!</v>
      </c>
      <c r="B345" s="315" t="s">
        <v>1138</v>
      </c>
      <c r="C345" s="311" t="s">
        <v>150</v>
      </c>
      <c r="D345" s="311"/>
      <c r="E345" s="321">
        <f>+E343*1.5</f>
        <v>2250</v>
      </c>
      <c r="F345" s="309"/>
      <c r="G345" s="235"/>
      <c r="H345" s="236"/>
      <c r="I345" s="236"/>
    </row>
    <row r="346" spans="1:9" ht="13.8" hidden="1" outlineLevel="1" x14ac:dyDescent="0.25">
      <c r="A346" s="314">
        <f>+A344+0.001</f>
        <v>2.2010000000000001</v>
      </c>
      <c r="B346" s="315"/>
      <c r="C346" s="311"/>
      <c r="D346" s="311"/>
      <c r="E346" s="321"/>
      <c r="F346" s="309"/>
      <c r="G346" s="235"/>
      <c r="H346" s="236"/>
      <c r="I346" s="236"/>
    </row>
    <row r="347" spans="1:9" ht="13.8" hidden="1" outlineLevel="1" x14ac:dyDescent="0.25">
      <c r="A347" s="314" t="e">
        <f>+A345+0.001</f>
        <v>#REF!</v>
      </c>
      <c r="B347" s="310" t="s">
        <v>678</v>
      </c>
      <c r="C347" s="311"/>
      <c r="D347" s="311"/>
      <c r="E347" s="321"/>
      <c r="F347" s="309"/>
      <c r="G347" s="235"/>
      <c r="H347" s="236"/>
      <c r="I347" s="236"/>
    </row>
    <row r="348" spans="1:9" ht="13.8" hidden="1" outlineLevel="1" x14ac:dyDescent="0.25">
      <c r="A348" s="257"/>
      <c r="B348" s="315" t="s">
        <v>1139</v>
      </c>
      <c r="C348" s="311" t="s">
        <v>81</v>
      </c>
      <c r="D348" s="311">
        <v>1125</v>
      </c>
      <c r="E348" s="321">
        <f>+D348*1.25</f>
        <v>1406.25</v>
      </c>
      <c r="F348" s="309"/>
      <c r="G348" s="235"/>
      <c r="H348" s="236"/>
      <c r="I348" s="236"/>
    </row>
    <row r="349" spans="1:9" ht="13.8" hidden="1" outlineLevel="1" x14ac:dyDescent="0.25">
      <c r="A349" s="230">
        <f>+A344+0.1</f>
        <v>2.3000000000000003</v>
      </c>
      <c r="B349" s="316" t="s">
        <v>1140</v>
      </c>
      <c r="C349" s="317" t="s">
        <v>81</v>
      </c>
      <c r="D349" s="317">
        <v>860</v>
      </c>
      <c r="E349" s="321">
        <f>+D349*1.25</f>
        <v>1075</v>
      </c>
      <c r="G349" s="256"/>
      <c r="H349" s="236"/>
      <c r="I349" s="236"/>
    </row>
    <row r="350" spans="1:9" ht="13.8" hidden="1" outlineLevel="1" x14ac:dyDescent="0.25">
      <c r="A350" s="314">
        <f>+A349+0.01</f>
        <v>2.31</v>
      </c>
      <c r="B350" s="315" t="s">
        <v>1140</v>
      </c>
      <c r="C350" s="311" t="s">
        <v>150</v>
      </c>
      <c r="D350" s="311">
        <f>+D349</f>
        <v>860</v>
      </c>
      <c r="E350" s="321">
        <f>+D350*1.25</f>
        <v>1075</v>
      </c>
      <c r="F350" s="329"/>
      <c r="G350" s="235"/>
      <c r="H350" s="236"/>
      <c r="I350" s="236"/>
    </row>
    <row r="351" spans="1:9" ht="13.8" hidden="1" outlineLevel="1" x14ac:dyDescent="0.25">
      <c r="A351" s="314">
        <f>+A350+0.01</f>
        <v>2.3199999999999998</v>
      </c>
      <c r="B351" s="315"/>
      <c r="C351" s="311"/>
      <c r="D351" s="311"/>
      <c r="E351" s="321"/>
      <c r="F351" s="329"/>
      <c r="G351" s="235"/>
      <c r="H351" s="236"/>
      <c r="I351" s="236"/>
    </row>
    <row r="352" spans="1:9" ht="10.5" hidden="1" customHeight="1" outlineLevel="1" x14ac:dyDescent="0.25">
      <c r="A352" s="314">
        <f>+A350+0.001</f>
        <v>2.3109999999999999</v>
      </c>
      <c r="B352" s="330" t="s">
        <v>1141</v>
      </c>
      <c r="C352" s="311"/>
      <c r="D352" s="311"/>
      <c r="E352" s="321"/>
      <c r="F352" s="329"/>
      <c r="G352" s="235"/>
      <c r="H352" s="236"/>
      <c r="I352" s="236"/>
    </row>
    <row r="353" spans="1:9" ht="13.8" hidden="1" outlineLevel="1" x14ac:dyDescent="0.25">
      <c r="A353" s="314" t="e">
        <f>+#REF!+0.001</f>
        <v>#REF!</v>
      </c>
      <c r="B353" s="315" t="s">
        <v>1142</v>
      </c>
      <c r="C353" s="311" t="s">
        <v>150</v>
      </c>
      <c r="D353" s="311"/>
      <c r="E353" s="321">
        <v>900</v>
      </c>
      <c r="F353" s="329"/>
      <c r="G353" s="235"/>
      <c r="H353" s="236"/>
      <c r="I353" s="236"/>
    </row>
    <row r="354" spans="1:9" ht="13.8" hidden="1" outlineLevel="1" x14ac:dyDescent="0.25">
      <c r="A354" s="314" t="e">
        <f>+A353+0.001</f>
        <v>#REF!</v>
      </c>
      <c r="B354" s="315" t="s">
        <v>1143</v>
      </c>
      <c r="C354" s="311" t="s">
        <v>150</v>
      </c>
      <c r="D354" s="311"/>
      <c r="E354" s="321">
        <f>+E353*2</f>
        <v>1800</v>
      </c>
      <c r="F354" s="329"/>
      <c r="G354" s="235"/>
      <c r="H354" s="236"/>
      <c r="I354" s="236"/>
    </row>
    <row r="355" spans="1:9" ht="13.8" hidden="1" outlineLevel="1" x14ac:dyDescent="0.25">
      <c r="A355" s="314" t="e">
        <f>+A354+0.001</f>
        <v>#REF!</v>
      </c>
      <c r="B355" s="315" t="s">
        <v>1144</v>
      </c>
      <c r="C355" s="311" t="s">
        <v>150</v>
      </c>
      <c r="D355" s="311"/>
      <c r="E355" s="321">
        <v>700</v>
      </c>
      <c r="F355" s="329"/>
      <c r="G355" s="235"/>
      <c r="H355" s="236"/>
      <c r="I355" s="236"/>
    </row>
    <row r="356" spans="1:9" ht="13.8" hidden="1" outlineLevel="1" x14ac:dyDescent="0.25">
      <c r="A356" s="314" t="e">
        <f>+A355+0.001</f>
        <v>#REF!</v>
      </c>
      <c r="B356" s="315" t="s">
        <v>1145</v>
      </c>
      <c r="C356" s="311" t="s">
        <v>150</v>
      </c>
      <c r="D356" s="311"/>
      <c r="E356" s="321">
        <v>700</v>
      </c>
      <c r="F356" s="329"/>
      <c r="G356" s="235"/>
      <c r="H356" s="236"/>
      <c r="I356" s="236"/>
    </row>
    <row r="357" spans="1:9" ht="13.8" hidden="1" outlineLevel="1" x14ac:dyDescent="0.25">
      <c r="A357" s="314">
        <f>+A349+0.05</f>
        <v>2.35</v>
      </c>
      <c r="B357" s="315" t="s">
        <v>1146</v>
      </c>
      <c r="C357" s="311" t="s">
        <v>150</v>
      </c>
      <c r="D357" s="311"/>
      <c r="E357" s="321">
        <v>700</v>
      </c>
      <c r="F357" s="329"/>
      <c r="G357" s="235"/>
      <c r="H357" s="236"/>
      <c r="I357" s="236"/>
    </row>
    <row r="358" spans="1:9" ht="13.8" hidden="1" outlineLevel="1" x14ac:dyDescent="0.25">
      <c r="A358" s="314">
        <f>+A357+0.001</f>
        <v>2.351</v>
      </c>
      <c r="B358" s="315" t="s">
        <v>1147</v>
      </c>
      <c r="C358" s="311" t="s">
        <v>150</v>
      </c>
      <c r="D358" s="311"/>
      <c r="E358" s="321">
        <v>700</v>
      </c>
      <c r="F358" s="329"/>
      <c r="G358" s="235"/>
      <c r="H358" s="236"/>
      <c r="I358" s="236"/>
    </row>
    <row r="359" spans="1:9" ht="13.8" hidden="1" outlineLevel="1" x14ac:dyDescent="0.25">
      <c r="A359" s="314"/>
      <c r="B359" s="315" t="s">
        <v>1148</v>
      </c>
      <c r="C359" s="311" t="s">
        <v>150</v>
      </c>
      <c r="D359" s="311"/>
      <c r="E359" s="321">
        <v>750</v>
      </c>
      <c r="G359" s="235"/>
      <c r="H359" s="236"/>
      <c r="I359" s="236"/>
    </row>
    <row r="360" spans="1:9" s="236" customFormat="1" ht="13.8" hidden="1" outlineLevel="1" x14ac:dyDescent="0.25">
      <c r="A360" s="331"/>
      <c r="B360" s="315" t="s">
        <v>1149</v>
      </c>
      <c r="C360" s="311" t="s">
        <v>150</v>
      </c>
      <c r="D360" s="311"/>
      <c r="E360" s="321">
        <v>400</v>
      </c>
      <c r="F360" s="235"/>
    </row>
    <row r="361" spans="1:9" s="236" customFormat="1" ht="13.8" hidden="1" outlineLevel="1" x14ac:dyDescent="0.25">
      <c r="A361" s="331"/>
      <c r="B361" s="315" t="s">
        <v>1150</v>
      </c>
      <c r="C361" s="311" t="s">
        <v>150</v>
      </c>
      <c r="D361" s="311"/>
      <c r="E361" s="321">
        <v>450</v>
      </c>
      <c r="F361" s="235"/>
    </row>
    <row r="362" spans="1:9" s="236" customFormat="1" ht="13.8" hidden="1" outlineLevel="1" x14ac:dyDescent="0.25">
      <c r="A362" s="331"/>
      <c r="B362" s="315"/>
      <c r="C362" s="311"/>
      <c r="D362" s="311"/>
      <c r="E362" s="321"/>
      <c r="F362" s="235"/>
    </row>
    <row r="363" spans="1:9" s="236" customFormat="1" ht="13.8" hidden="1" outlineLevel="1" x14ac:dyDescent="0.25">
      <c r="A363" s="331"/>
      <c r="B363" s="330" t="s">
        <v>1151</v>
      </c>
      <c r="C363" s="311"/>
      <c r="D363" s="311"/>
      <c r="E363" s="321"/>
      <c r="F363" s="235"/>
    </row>
    <row r="364" spans="1:9" s="236" customFormat="1" ht="13.8" hidden="1" outlineLevel="1" x14ac:dyDescent="0.25">
      <c r="A364" s="331"/>
      <c r="B364" s="315" t="s">
        <v>1152</v>
      </c>
      <c r="C364" s="311" t="s">
        <v>150</v>
      </c>
      <c r="D364" s="311">
        <v>340</v>
      </c>
      <c r="E364" s="321">
        <f t="shared" ref="E364:E377" si="5">+D364*1.25</f>
        <v>425</v>
      </c>
      <c r="F364" s="235"/>
    </row>
    <row r="365" spans="1:9" s="236" customFormat="1" ht="13.8" hidden="1" outlineLevel="1" x14ac:dyDescent="0.25">
      <c r="A365" s="331"/>
      <c r="B365" s="315" t="s">
        <v>1153</v>
      </c>
      <c r="C365" s="311" t="s">
        <v>150</v>
      </c>
      <c r="D365" s="311">
        <v>340</v>
      </c>
      <c r="E365" s="321">
        <f t="shared" si="5"/>
        <v>425</v>
      </c>
      <c r="F365" s="235"/>
    </row>
    <row r="366" spans="1:9" s="236" customFormat="1" ht="13.8" hidden="1" outlineLevel="1" x14ac:dyDescent="0.25">
      <c r="A366" s="331"/>
      <c r="B366" s="315" t="s">
        <v>1154</v>
      </c>
      <c r="C366" s="311" t="s">
        <v>150</v>
      </c>
      <c r="D366" s="311">
        <v>345</v>
      </c>
      <c r="E366" s="321">
        <f t="shared" si="5"/>
        <v>431.25</v>
      </c>
      <c r="F366" s="235"/>
    </row>
    <row r="367" spans="1:9" s="236" customFormat="1" ht="13.8" hidden="1" outlineLevel="1" x14ac:dyDescent="0.25">
      <c r="A367" s="331"/>
      <c r="B367" s="315" t="s">
        <v>1155</v>
      </c>
      <c r="C367" s="311" t="s">
        <v>150</v>
      </c>
      <c r="D367" s="311">
        <v>375</v>
      </c>
      <c r="E367" s="321">
        <f t="shared" si="5"/>
        <v>468.75</v>
      </c>
      <c r="F367" s="235"/>
    </row>
    <row r="368" spans="1:9" s="236" customFormat="1" ht="13.8" hidden="1" outlineLevel="1" x14ac:dyDescent="0.25">
      <c r="A368" s="331"/>
      <c r="B368" s="315" t="s">
        <v>1156</v>
      </c>
      <c r="C368" s="311" t="s">
        <v>150</v>
      </c>
      <c r="D368" s="311">
        <v>450</v>
      </c>
      <c r="E368" s="321">
        <f t="shared" si="5"/>
        <v>562.5</v>
      </c>
      <c r="F368" s="235"/>
    </row>
    <row r="369" spans="1:9" s="236" customFormat="1" ht="13.8" hidden="1" outlineLevel="1" x14ac:dyDescent="0.25">
      <c r="A369" s="331"/>
      <c r="B369" s="315" t="s">
        <v>1157</v>
      </c>
      <c r="C369" s="311" t="s">
        <v>150</v>
      </c>
      <c r="D369" s="311">
        <v>500</v>
      </c>
      <c r="E369" s="321">
        <f t="shared" si="5"/>
        <v>625</v>
      </c>
      <c r="F369" s="235"/>
    </row>
    <row r="370" spans="1:9" s="236" customFormat="1" ht="13.8" hidden="1" outlineLevel="1" x14ac:dyDescent="0.25">
      <c r="A370" s="331"/>
      <c r="B370" s="315" t="s">
        <v>1158</v>
      </c>
      <c r="C370" s="311" t="s">
        <v>150</v>
      </c>
      <c r="D370" s="311">
        <v>560</v>
      </c>
      <c r="E370" s="321">
        <f t="shared" si="5"/>
        <v>700</v>
      </c>
      <c r="F370" s="235"/>
    </row>
    <row r="371" spans="1:9" s="236" customFormat="1" ht="13.8" hidden="1" outlineLevel="1" x14ac:dyDescent="0.25">
      <c r="A371" s="331"/>
      <c r="B371" s="315" t="s">
        <v>1159</v>
      </c>
      <c r="C371" s="311" t="s">
        <v>150</v>
      </c>
      <c r="D371" s="311">
        <v>650</v>
      </c>
      <c r="E371" s="321">
        <f t="shared" si="5"/>
        <v>812.5</v>
      </c>
      <c r="F371" s="235"/>
    </row>
    <row r="372" spans="1:9" ht="13.8" hidden="1" outlineLevel="1" x14ac:dyDescent="0.25">
      <c r="A372" s="314"/>
      <c r="B372" s="315" t="s">
        <v>1160</v>
      </c>
      <c r="C372" s="311" t="s">
        <v>150</v>
      </c>
      <c r="D372" s="311">
        <v>375</v>
      </c>
      <c r="E372" s="321">
        <f t="shared" si="5"/>
        <v>468.75</v>
      </c>
      <c r="G372" s="235"/>
      <c r="H372" s="236"/>
      <c r="I372" s="236"/>
    </row>
    <row r="373" spans="1:9" ht="13.8" hidden="1" outlineLevel="1" x14ac:dyDescent="0.25">
      <c r="A373" s="314"/>
      <c r="B373" s="315" t="s">
        <v>1161</v>
      </c>
      <c r="C373" s="311" t="s">
        <v>150</v>
      </c>
      <c r="D373" s="311">
        <v>380</v>
      </c>
      <c r="E373" s="321">
        <f t="shared" si="5"/>
        <v>475</v>
      </c>
      <c r="F373" s="269"/>
      <c r="G373" s="235"/>
      <c r="H373" s="236"/>
      <c r="I373" s="236"/>
    </row>
    <row r="374" spans="1:9" ht="13.8" hidden="1" outlineLevel="1" x14ac:dyDescent="0.25">
      <c r="A374" s="314"/>
      <c r="B374" s="315" t="s">
        <v>1162</v>
      </c>
      <c r="C374" s="311" t="s">
        <v>150</v>
      </c>
      <c r="D374" s="311">
        <v>400</v>
      </c>
      <c r="E374" s="321">
        <f t="shared" si="5"/>
        <v>500</v>
      </c>
      <c r="G374" s="235"/>
      <c r="H374" s="236"/>
      <c r="I374" s="236"/>
    </row>
    <row r="375" spans="1:9" ht="13.8" hidden="1" outlineLevel="1" x14ac:dyDescent="0.25">
      <c r="A375" s="314"/>
      <c r="B375" s="315" t="s">
        <v>1163</v>
      </c>
      <c r="C375" s="311" t="s">
        <v>150</v>
      </c>
      <c r="D375" s="311">
        <v>410</v>
      </c>
      <c r="E375" s="321">
        <f t="shared" si="5"/>
        <v>512.5</v>
      </c>
      <c r="G375" s="235"/>
      <c r="H375" s="236"/>
      <c r="I375" s="236"/>
    </row>
    <row r="376" spans="1:9" ht="13.8" hidden="1" outlineLevel="1" x14ac:dyDescent="0.25">
      <c r="A376" s="314"/>
      <c r="B376" s="315" t="s">
        <v>1164</v>
      </c>
      <c r="C376" s="311" t="s">
        <v>150</v>
      </c>
      <c r="D376" s="311">
        <v>480</v>
      </c>
      <c r="E376" s="321">
        <f t="shared" si="5"/>
        <v>600</v>
      </c>
      <c r="G376" s="235"/>
      <c r="H376" s="236"/>
      <c r="I376" s="236"/>
    </row>
    <row r="377" spans="1:9" ht="13.8" hidden="1" outlineLevel="1" x14ac:dyDescent="0.25">
      <c r="A377" s="314"/>
      <c r="B377" s="315" t="s">
        <v>1165</v>
      </c>
      <c r="C377" s="311" t="s">
        <v>150</v>
      </c>
      <c r="D377" s="311">
        <v>900</v>
      </c>
      <c r="E377" s="321">
        <f t="shared" si="5"/>
        <v>1125</v>
      </c>
      <c r="G377" s="235"/>
      <c r="H377" s="236"/>
      <c r="I377" s="236"/>
    </row>
    <row r="378" spans="1:9" ht="13.8" hidden="1" outlineLevel="1" x14ac:dyDescent="0.25">
      <c r="A378" s="314" t="e">
        <f>+#REF!+0.001</f>
        <v>#REF!</v>
      </c>
      <c r="B378" s="315"/>
      <c r="C378" s="311"/>
      <c r="D378" s="311"/>
      <c r="E378" s="321"/>
      <c r="F378" s="326"/>
      <c r="G378" s="235"/>
      <c r="H378" s="303"/>
      <c r="I378" s="236"/>
    </row>
    <row r="379" spans="1:9" ht="13.8" hidden="1" outlineLevel="1" x14ac:dyDescent="0.25">
      <c r="A379" s="314" t="e">
        <f>+#REF!+0.001</f>
        <v>#REF!</v>
      </c>
      <c r="B379" s="310" t="s">
        <v>1166</v>
      </c>
      <c r="C379" s="325"/>
      <c r="D379" s="325"/>
      <c r="E379" s="321"/>
      <c r="F379" s="326"/>
      <c r="G379" s="235"/>
      <c r="H379" s="303"/>
      <c r="I379" s="236"/>
    </row>
    <row r="380" spans="1:9" ht="13.8" hidden="1" outlineLevel="1" x14ac:dyDescent="0.25">
      <c r="A380" s="314"/>
      <c r="B380" s="315" t="s">
        <v>1167</v>
      </c>
      <c r="C380" s="311" t="s">
        <v>81</v>
      </c>
      <c r="D380" s="311">
        <v>630</v>
      </c>
      <c r="E380" s="321">
        <f t="shared" ref="E380:E386" si="6">+D380*1.25</f>
        <v>787.5</v>
      </c>
      <c r="F380" s="326"/>
      <c r="G380" s="235"/>
      <c r="H380" s="303"/>
      <c r="I380" s="236"/>
    </row>
    <row r="381" spans="1:9" ht="13.8" hidden="1" outlineLevel="1" x14ac:dyDescent="0.25">
      <c r="A381" s="257"/>
      <c r="B381" s="315" t="s">
        <v>1168</v>
      </c>
      <c r="C381" s="311" t="s">
        <v>81</v>
      </c>
      <c r="D381" s="311">
        <v>670</v>
      </c>
      <c r="E381" s="321">
        <f t="shared" si="6"/>
        <v>837.5</v>
      </c>
      <c r="F381" s="332"/>
      <c r="G381" s="235"/>
      <c r="H381" s="303"/>
      <c r="I381" s="236"/>
    </row>
    <row r="382" spans="1:9" ht="13.8" hidden="1" outlineLevel="1" x14ac:dyDescent="0.25">
      <c r="A382" s="257"/>
      <c r="B382" s="315" t="s">
        <v>1169</v>
      </c>
      <c r="C382" s="311" t="s">
        <v>81</v>
      </c>
      <c r="D382" s="311">
        <v>700</v>
      </c>
      <c r="E382" s="321">
        <f t="shared" si="6"/>
        <v>875</v>
      </c>
      <c r="F382" s="332"/>
      <c r="G382" s="235"/>
      <c r="H382" s="303"/>
      <c r="I382" s="236"/>
    </row>
    <row r="383" spans="1:9" ht="14.4" hidden="1" outlineLevel="1" x14ac:dyDescent="0.3">
      <c r="A383" s="314"/>
      <c r="B383" s="333" t="s">
        <v>1170</v>
      </c>
      <c r="C383" s="311" t="s">
        <v>81</v>
      </c>
      <c r="D383" s="311">
        <v>750</v>
      </c>
      <c r="E383" s="321">
        <f t="shared" si="6"/>
        <v>937.5</v>
      </c>
      <c r="F383" s="332"/>
      <c r="G383" s="235"/>
      <c r="H383" s="303"/>
      <c r="I383" s="236"/>
    </row>
    <row r="384" spans="1:9" ht="14.4" hidden="1" outlineLevel="1" x14ac:dyDescent="0.3">
      <c r="A384" s="257"/>
      <c r="B384" s="333" t="s">
        <v>1171</v>
      </c>
      <c r="C384" s="311" t="s">
        <v>81</v>
      </c>
      <c r="D384" s="311">
        <v>1100</v>
      </c>
      <c r="E384" s="321">
        <f t="shared" si="6"/>
        <v>1375</v>
      </c>
      <c r="F384" s="332"/>
      <c r="G384" s="235"/>
      <c r="H384" s="303"/>
      <c r="I384" s="236"/>
    </row>
    <row r="385" spans="1:9" ht="14.4" hidden="1" outlineLevel="1" x14ac:dyDescent="0.3">
      <c r="A385" s="230" t="e">
        <f>+#REF!+0.1</f>
        <v>#REF!</v>
      </c>
      <c r="B385" s="333" t="s">
        <v>1172</v>
      </c>
      <c r="C385" s="311" t="s">
        <v>81</v>
      </c>
      <c r="D385" s="311">
        <v>1200</v>
      </c>
      <c r="E385" s="321">
        <f t="shared" si="6"/>
        <v>1500</v>
      </c>
      <c r="G385" s="235"/>
      <c r="H385" s="236"/>
      <c r="I385" s="236"/>
    </row>
    <row r="386" spans="1:9" ht="13.8" hidden="1" outlineLevel="1" x14ac:dyDescent="0.25">
      <c r="A386" s="314" t="e">
        <f>+A385+0.001</f>
        <v>#REF!</v>
      </c>
      <c r="B386" s="315" t="s">
        <v>1173</v>
      </c>
      <c r="C386" s="311" t="s">
        <v>81</v>
      </c>
      <c r="D386" s="311">
        <f>+D383*1.15</f>
        <v>862.49999999999989</v>
      </c>
      <c r="E386" s="321">
        <f t="shared" si="6"/>
        <v>1078.1249999999998</v>
      </c>
      <c r="G386" s="235"/>
      <c r="H386" s="236"/>
      <c r="I386" s="236"/>
    </row>
    <row r="387" spans="1:9" ht="13.8" hidden="1" outlineLevel="1" x14ac:dyDescent="0.25">
      <c r="A387" s="314" t="e">
        <f>+A386+0.001</f>
        <v>#REF!</v>
      </c>
      <c r="B387" s="315"/>
      <c r="C387" s="311"/>
      <c r="D387" s="311"/>
      <c r="E387" s="321"/>
      <c r="G387" s="235"/>
      <c r="H387" s="236"/>
      <c r="I387" s="236"/>
    </row>
    <row r="388" spans="1:9" ht="13.8" hidden="1" outlineLevel="1" x14ac:dyDescent="0.25">
      <c r="A388" s="314" t="e">
        <f>+A387+0.001</f>
        <v>#REF!</v>
      </c>
      <c r="B388" s="310" t="s">
        <v>228</v>
      </c>
      <c r="C388" s="325"/>
      <c r="D388" s="325"/>
      <c r="E388" s="321"/>
      <c r="G388" s="235"/>
      <c r="H388" s="236"/>
      <c r="I388" s="236"/>
    </row>
    <row r="389" spans="1:9" ht="13.8" hidden="1" outlineLevel="1" x14ac:dyDescent="0.25">
      <c r="A389" s="257"/>
      <c r="B389" s="315" t="s">
        <v>1174</v>
      </c>
      <c r="C389" s="311" t="s">
        <v>150</v>
      </c>
      <c r="D389" s="311">
        <v>150</v>
      </c>
      <c r="E389" s="321">
        <f>+D389*1.25</f>
        <v>187.5</v>
      </c>
      <c r="G389" s="235"/>
      <c r="H389" s="236"/>
      <c r="I389" s="236"/>
    </row>
    <row r="390" spans="1:9" ht="13.8" hidden="1" outlineLevel="1" x14ac:dyDescent="0.25">
      <c r="A390" s="230" t="e">
        <f>+A385+0.1</f>
        <v>#REF!</v>
      </c>
      <c r="B390" s="315" t="s">
        <v>1175</v>
      </c>
      <c r="C390" s="311" t="s">
        <v>150</v>
      </c>
      <c r="D390" s="311">
        <v>180</v>
      </c>
      <c r="E390" s="321">
        <f>+D390*1.25</f>
        <v>225</v>
      </c>
      <c r="G390" s="235"/>
      <c r="H390" s="236"/>
      <c r="I390" s="236"/>
    </row>
    <row r="391" spans="1:9" ht="13.8" hidden="1" outlineLevel="1" x14ac:dyDescent="0.25">
      <c r="A391" s="314" t="e">
        <f>+A390+0.001</f>
        <v>#REF!</v>
      </c>
      <c r="B391" s="315" t="s">
        <v>1176</v>
      </c>
      <c r="C391" s="311" t="s">
        <v>150</v>
      </c>
      <c r="D391" s="311">
        <v>200</v>
      </c>
      <c r="E391" s="321">
        <f>+D391*1.25</f>
        <v>250</v>
      </c>
      <c r="G391" s="235"/>
      <c r="H391" s="236"/>
      <c r="I391" s="236"/>
    </row>
    <row r="392" spans="1:9" ht="13.8" hidden="1" outlineLevel="1" x14ac:dyDescent="0.25">
      <c r="A392" s="314" t="e">
        <f>+A391+0.001</f>
        <v>#REF!</v>
      </c>
      <c r="B392" s="315"/>
      <c r="C392" s="311"/>
      <c r="D392" s="311"/>
      <c r="E392" s="321"/>
      <c r="G392" s="235"/>
      <c r="H392" s="236"/>
      <c r="I392" s="236"/>
    </row>
    <row r="393" spans="1:9" ht="13.8" hidden="1" outlineLevel="1" x14ac:dyDescent="0.25">
      <c r="A393" s="314" t="e">
        <f>+#REF!+0.001</f>
        <v>#REF!</v>
      </c>
      <c r="B393" s="320" t="s">
        <v>1101</v>
      </c>
      <c r="C393" s="319"/>
      <c r="D393" s="319"/>
      <c r="E393" s="321"/>
      <c r="G393" s="256"/>
      <c r="H393" s="236"/>
      <c r="I393" s="236"/>
    </row>
    <row r="394" spans="1:9" ht="13.8" hidden="1" outlineLevel="1" x14ac:dyDescent="0.25">
      <c r="A394" s="314"/>
      <c r="B394" s="316" t="s">
        <v>1177</v>
      </c>
      <c r="C394" s="317" t="s">
        <v>1178</v>
      </c>
      <c r="D394" s="317">
        <v>7500</v>
      </c>
      <c r="E394" s="321">
        <f t="shared" ref="E394:E399" si="7">+D394*1.25</f>
        <v>9375</v>
      </c>
      <c r="G394" s="256"/>
      <c r="H394" s="236"/>
      <c r="I394" s="236"/>
    </row>
    <row r="395" spans="1:9" ht="13.8" hidden="1" outlineLevel="1" x14ac:dyDescent="0.25">
      <c r="A395" s="314" t="e">
        <f>+A393+0.001</f>
        <v>#REF!</v>
      </c>
      <c r="B395" s="315" t="s">
        <v>1179</v>
      </c>
      <c r="C395" s="311" t="s">
        <v>1178</v>
      </c>
      <c r="D395" s="311">
        <v>9500</v>
      </c>
      <c r="E395" s="321">
        <f t="shared" si="7"/>
        <v>11875</v>
      </c>
      <c r="G395" s="235"/>
      <c r="H395" s="236"/>
      <c r="I395" s="236"/>
    </row>
    <row r="396" spans="1:9" ht="13.8" hidden="1" outlineLevel="1" x14ac:dyDescent="0.25">
      <c r="A396" s="314"/>
      <c r="B396" s="315" t="s">
        <v>1180</v>
      </c>
      <c r="C396" s="311" t="s">
        <v>45</v>
      </c>
      <c r="D396" s="311">
        <v>1139</v>
      </c>
      <c r="E396" s="321">
        <f t="shared" si="7"/>
        <v>1423.75</v>
      </c>
      <c r="G396" s="235"/>
      <c r="H396" s="236"/>
      <c r="I396" s="236"/>
    </row>
    <row r="397" spans="1:9" ht="13.8" hidden="1" outlineLevel="1" x14ac:dyDescent="0.25">
      <c r="A397" s="314"/>
      <c r="B397" s="315" t="s">
        <v>1181</v>
      </c>
      <c r="C397" s="311" t="s">
        <v>45</v>
      </c>
      <c r="D397" s="311">
        <v>2277</v>
      </c>
      <c r="E397" s="321">
        <f t="shared" si="7"/>
        <v>2846.25</v>
      </c>
      <c r="G397" s="235"/>
      <c r="H397" s="236"/>
      <c r="I397" s="236"/>
    </row>
    <row r="398" spans="1:9" ht="13.8" hidden="1" outlineLevel="1" x14ac:dyDescent="0.25">
      <c r="A398" s="314"/>
      <c r="B398" s="315" t="s">
        <v>278</v>
      </c>
      <c r="C398" s="311" t="s">
        <v>81</v>
      </c>
      <c r="D398" s="311">
        <v>120</v>
      </c>
      <c r="E398" s="321">
        <f t="shared" si="7"/>
        <v>150</v>
      </c>
      <c r="F398" s="332"/>
      <c r="G398" s="235"/>
      <c r="H398" s="303"/>
      <c r="I398" s="236"/>
    </row>
    <row r="399" spans="1:9" ht="13.8" hidden="1" outlineLevel="1" x14ac:dyDescent="0.25">
      <c r="A399" s="257" t="e">
        <f>+#REF!+0.01</f>
        <v>#REF!</v>
      </c>
      <c r="B399" s="334" t="s">
        <v>1182</v>
      </c>
      <c r="C399" s="311" t="s">
        <v>150</v>
      </c>
      <c r="D399" s="311">
        <v>240</v>
      </c>
      <c r="E399" s="321">
        <f t="shared" si="7"/>
        <v>300</v>
      </c>
      <c r="G399" s="235"/>
      <c r="H399" s="236"/>
      <c r="I399" s="236"/>
    </row>
    <row r="400" spans="1:9" ht="13.8" hidden="1" outlineLevel="1" x14ac:dyDescent="0.25">
      <c r="A400" s="257" t="e">
        <f t="shared" ref="A400:A406" si="8">+A399+0.01</f>
        <v>#REF!</v>
      </c>
      <c r="B400" s="315"/>
      <c r="C400" s="311"/>
      <c r="D400" s="311"/>
      <c r="E400" s="321"/>
      <c r="G400" s="235"/>
      <c r="H400" s="236"/>
      <c r="I400" s="236"/>
    </row>
    <row r="401" spans="1:9" ht="13.8" hidden="1" outlineLevel="1" x14ac:dyDescent="0.25">
      <c r="A401" s="257" t="e">
        <f t="shared" si="8"/>
        <v>#REF!</v>
      </c>
      <c r="B401" s="310" t="s">
        <v>1183</v>
      </c>
      <c r="C401" s="325"/>
      <c r="D401" s="325"/>
      <c r="E401" s="321"/>
      <c r="G401" s="235"/>
      <c r="H401" s="236"/>
      <c r="I401" s="236"/>
    </row>
    <row r="402" spans="1:9" ht="13.8" hidden="1" outlineLevel="1" x14ac:dyDescent="0.25">
      <c r="A402" s="257" t="e">
        <f t="shared" si="8"/>
        <v>#REF!</v>
      </c>
      <c r="B402" s="315" t="s">
        <v>1184</v>
      </c>
      <c r="C402" s="311" t="s">
        <v>54</v>
      </c>
      <c r="D402" s="311"/>
      <c r="E402" s="321">
        <v>90</v>
      </c>
      <c r="G402" s="235"/>
      <c r="H402" s="236"/>
      <c r="I402" s="236"/>
    </row>
    <row r="403" spans="1:9" ht="13.8" hidden="1" outlineLevel="1" x14ac:dyDescent="0.25">
      <c r="A403" s="257" t="e">
        <f t="shared" si="8"/>
        <v>#REF!</v>
      </c>
      <c r="B403" s="315" t="s">
        <v>1185</v>
      </c>
      <c r="C403" s="311" t="s">
        <v>54</v>
      </c>
      <c r="D403" s="311"/>
      <c r="E403" s="321">
        <v>450</v>
      </c>
      <c r="G403" s="235"/>
      <c r="H403" s="236"/>
      <c r="I403" s="236"/>
    </row>
    <row r="404" spans="1:9" ht="13.8" hidden="1" outlineLevel="1" x14ac:dyDescent="0.25">
      <c r="A404" s="257" t="e">
        <f t="shared" si="8"/>
        <v>#REF!</v>
      </c>
      <c r="B404" s="315" t="s">
        <v>1186</v>
      </c>
      <c r="C404" s="311" t="s">
        <v>54</v>
      </c>
      <c r="D404" s="311"/>
      <c r="E404" s="321">
        <v>1300</v>
      </c>
      <c r="G404" s="235"/>
      <c r="H404" s="236"/>
      <c r="I404" s="236"/>
    </row>
    <row r="405" spans="1:9" ht="13.8" hidden="1" outlineLevel="1" x14ac:dyDescent="0.25">
      <c r="A405" s="257" t="e">
        <f t="shared" si="8"/>
        <v>#REF!</v>
      </c>
      <c r="B405" s="315" t="s">
        <v>1187</v>
      </c>
      <c r="C405" s="311" t="s">
        <v>54</v>
      </c>
      <c r="D405" s="311"/>
      <c r="E405" s="321">
        <v>1000</v>
      </c>
      <c r="G405" s="235"/>
      <c r="H405" s="236"/>
      <c r="I405" s="236"/>
    </row>
    <row r="406" spans="1:9" ht="13.8" hidden="1" outlineLevel="1" x14ac:dyDescent="0.25">
      <c r="A406" s="257" t="e">
        <f t="shared" si="8"/>
        <v>#REF!</v>
      </c>
      <c r="B406" s="315" t="s">
        <v>1188</v>
      </c>
      <c r="C406" s="311" t="s">
        <v>54</v>
      </c>
      <c r="D406" s="311"/>
      <c r="E406" s="321">
        <v>250</v>
      </c>
      <c r="G406" s="235"/>
      <c r="H406" s="236"/>
      <c r="I406" s="236"/>
    </row>
    <row r="407" spans="1:9" ht="13.8" hidden="1" outlineLevel="1" x14ac:dyDescent="0.25">
      <c r="A407" s="300"/>
      <c r="B407" s="315" t="s">
        <v>1189</v>
      </c>
      <c r="C407" s="311" t="s">
        <v>54</v>
      </c>
      <c r="D407" s="311"/>
      <c r="E407" s="321">
        <v>300</v>
      </c>
      <c r="G407" s="235"/>
      <c r="H407" s="236"/>
      <c r="I407" s="236"/>
    </row>
    <row r="408" spans="1:9" ht="13.8" hidden="1" outlineLevel="1" x14ac:dyDescent="0.25">
      <c r="A408" s="252">
        <v>6</v>
      </c>
      <c r="B408" s="315" t="s">
        <v>1190</v>
      </c>
      <c r="C408" s="311" t="s">
        <v>54</v>
      </c>
      <c r="D408" s="311"/>
      <c r="E408" s="321">
        <v>30</v>
      </c>
      <c r="G408" s="235"/>
      <c r="H408" s="236"/>
      <c r="I408" s="236"/>
    </row>
    <row r="409" spans="1:9" ht="13.8" hidden="1" outlineLevel="1" x14ac:dyDescent="0.25">
      <c r="A409" s="257">
        <f>+A408+0.01</f>
        <v>6.01</v>
      </c>
      <c r="B409" s="315" t="s">
        <v>1191</v>
      </c>
      <c r="C409" s="311" t="s">
        <v>54</v>
      </c>
      <c r="D409" s="311"/>
      <c r="E409" s="321">
        <v>30</v>
      </c>
      <c r="G409" s="235"/>
      <c r="H409" s="236"/>
      <c r="I409" s="236"/>
    </row>
    <row r="410" spans="1:9" ht="13.8" hidden="1" outlineLevel="1" x14ac:dyDescent="0.25">
      <c r="A410" s="257" t="e">
        <f>+#REF!+0.01</f>
        <v>#REF!</v>
      </c>
      <c r="B410" s="315"/>
      <c r="C410" s="311"/>
      <c r="D410" s="311"/>
      <c r="E410" s="321"/>
      <c r="G410" s="235"/>
      <c r="H410" s="236"/>
      <c r="I410" s="236"/>
    </row>
    <row r="411" spans="1:9" ht="13.8" hidden="1" outlineLevel="1" x14ac:dyDescent="0.25">
      <c r="B411" s="310" t="s">
        <v>648</v>
      </c>
      <c r="C411" s="311"/>
      <c r="D411" s="311"/>
      <c r="E411" s="321"/>
      <c r="G411" s="235"/>
      <c r="H411" s="236"/>
      <c r="I411" s="236"/>
    </row>
    <row r="412" spans="1:9" ht="13.8" hidden="1" outlineLevel="1" x14ac:dyDescent="0.25">
      <c r="A412" s="252">
        <v>7</v>
      </c>
      <c r="B412" s="315" t="s">
        <v>1192</v>
      </c>
      <c r="C412" s="311" t="s">
        <v>81</v>
      </c>
      <c r="D412" s="311"/>
      <c r="E412" s="321">
        <v>70</v>
      </c>
      <c r="G412" s="235"/>
      <c r="H412" s="236"/>
      <c r="I412" s="236"/>
    </row>
    <row r="413" spans="1:9" ht="13.8" hidden="1" outlineLevel="1" x14ac:dyDescent="0.25">
      <c r="A413" s="257">
        <f>+A412+0.01</f>
        <v>7.01</v>
      </c>
      <c r="B413" s="315" t="s">
        <v>1193</v>
      </c>
      <c r="C413" s="311" t="s">
        <v>81</v>
      </c>
      <c r="D413" s="311"/>
      <c r="E413" s="321">
        <v>125</v>
      </c>
      <c r="G413" s="235"/>
      <c r="H413" s="236"/>
      <c r="I413" s="236"/>
    </row>
    <row r="414" spans="1:9" ht="13.8" hidden="1" outlineLevel="1" x14ac:dyDescent="0.25">
      <c r="A414" s="257">
        <f>+A413+0.01</f>
        <v>7.02</v>
      </c>
      <c r="B414" s="322"/>
      <c r="C414" s="325"/>
      <c r="D414" s="325"/>
      <c r="E414" s="321"/>
      <c r="G414" s="235"/>
      <c r="H414" s="236"/>
      <c r="I414" s="236"/>
    </row>
    <row r="415" spans="1:9" ht="13.8" hidden="1" outlineLevel="1" x14ac:dyDescent="0.25">
      <c r="A415" s="257">
        <f>+A414+0.01</f>
        <v>7.0299999999999994</v>
      </c>
      <c r="B415" s="310" t="s">
        <v>1194</v>
      </c>
      <c r="C415" s="311" t="s">
        <v>126</v>
      </c>
      <c r="D415" s="311"/>
      <c r="E415" s="321"/>
      <c r="G415" s="235"/>
      <c r="H415" s="236"/>
      <c r="I415" s="236"/>
    </row>
    <row r="416" spans="1:9" ht="13.8" hidden="1" outlineLevel="1" x14ac:dyDescent="0.25">
      <c r="A416" s="257">
        <f>+A415+0.01</f>
        <v>7.0399999999999991</v>
      </c>
      <c r="B416" s="315" t="s">
        <v>1195</v>
      </c>
      <c r="C416" s="311" t="s">
        <v>45</v>
      </c>
      <c r="D416" s="311"/>
      <c r="E416" s="321">
        <v>350</v>
      </c>
      <c r="G416" s="235"/>
      <c r="H416" s="236"/>
      <c r="I416" s="236"/>
    </row>
    <row r="417" spans="1:9" ht="13.8" hidden="1" outlineLevel="1" x14ac:dyDescent="0.25">
      <c r="A417" s="257"/>
      <c r="B417" s="315" t="s">
        <v>1196</v>
      </c>
      <c r="C417" s="311" t="s">
        <v>45</v>
      </c>
      <c r="D417" s="311"/>
      <c r="E417" s="321"/>
      <c r="G417" s="235"/>
      <c r="H417" s="236"/>
      <c r="I417" s="236"/>
    </row>
    <row r="418" spans="1:9" ht="13.8" hidden="1" outlineLevel="1" x14ac:dyDescent="0.25">
      <c r="A418" s="252">
        <v>10</v>
      </c>
      <c r="B418" s="316" t="s">
        <v>1197</v>
      </c>
      <c r="C418" s="317" t="s">
        <v>45</v>
      </c>
      <c r="D418" s="317"/>
      <c r="E418" s="321">
        <v>1500</v>
      </c>
      <c r="G418" s="256"/>
      <c r="H418" s="236"/>
      <c r="I418" s="236"/>
    </row>
    <row r="419" spans="1:9" ht="13.8" hidden="1" outlineLevel="1" x14ac:dyDescent="0.25">
      <c r="A419" s="313">
        <f>A418+0.1</f>
        <v>10.1</v>
      </c>
      <c r="B419" s="315" t="s">
        <v>1198</v>
      </c>
      <c r="C419" s="311" t="s">
        <v>45</v>
      </c>
      <c r="D419" s="311"/>
      <c r="E419" s="321">
        <v>1700</v>
      </c>
      <c r="G419" s="235"/>
      <c r="H419" s="236"/>
      <c r="I419" s="236"/>
    </row>
    <row r="420" spans="1:9" ht="13.8" hidden="1" outlineLevel="1" x14ac:dyDescent="0.25">
      <c r="A420" s="314" t="e">
        <f>+#REF!+0.001</f>
        <v>#REF!</v>
      </c>
      <c r="B420" s="315"/>
      <c r="C420" s="311"/>
      <c r="D420" s="311"/>
      <c r="E420" s="321"/>
      <c r="G420" s="235"/>
      <c r="H420" s="236"/>
      <c r="I420" s="236"/>
    </row>
    <row r="421" spans="1:9" ht="13.8" hidden="1" outlineLevel="1" x14ac:dyDescent="0.25">
      <c r="A421" s="314"/>
      <c r="B421" s="310" t="s">
        <v>1199</v>
      </c>
      <c r="C421" s="311" t="s">
        <v>1200</v>
      </c>
      <c r="D421" s="311"/>
      <c r="E421" s="321"/>
      <c r="F421" s="332"/>
      <c r="G421" s="235"/>
      <c r="H421" s="303"/>
      <c r="I421" s="236"/>
    </row>
    <row r="422" spans="1:9" ht="13.8" hidden="1" outlineLevel="1" x14ac:dyDescent="0.25">
      <c r="A422" s="314" t="e">
        <f>+A420+0.001</f>
        <v>#REF!</v>
      </c>
      <c r="B422" s="310" t="s">
        <v>1112</v>
      </c>
      <c r="C422" s="311" t="s">
        <v>1201</v>
      </c>
      <c r="D422" s="311"/>
      <c r="E422" s="321"/>
      <c r="G422" s="235"/>
      <c r="H422" s="236"/>
      <c r="I422" s="236"/>
    </row>
    <row r="423" spans="1:9" ht="13.8" hidden="1" outlineLevel="1" x14ac:dyDescent="0.25">
      <c r="A423" s="314" t="e">
        <f>+A422+0.001</f>
        <v>#REF!</v>
      </c>
      <c r="B423" s="315" t="s">
        <v>1202</v>
      </c>
      <c r="C423" s="311" t="s">
        <v>150</v>
      </c>
      <c r="D423" s="311"/>
      <c r="E423" s="321">
        <v>150</v>
      </c>
      <c r="G423" s="235"/>
      <c r="H423" s="236"/>
      <c r="I423" s="236"/>
    </row>
    <row r="424" spans="1:9" ht="13.8" hidden="1" outlineLevel="1" x14ac:dyDescent="0.25">
      <c r="A424" s="314" t="e">
        <f>+A423+0.001</f>
        <v>#REF!</v>
      </c>
      <c r="B424" s="315" t="s">
        <v>1203</v>
      </c>
      <c r="C424" s="311" t="s">
        <v>150</v>
      </c>
      <c r="D424" s="311">
        <v>125</v>
      </c>
      <c r="E424" s="321">
        <f>+D424*1.25</f>
        <v>156.25</v>
      </c>
      <c r="F424" s="332"/>
      <c r="G424" s="235"/>
      <c r="H424" s="303"/>
      <c r="I424" s="236"/>
    </row>
    <row r="425" spans="1:9" ht="13.8" hidden="1" outlineLevel="1" x14ac:dyDescent="0.25">
      <c r="A425" s="314" t="e">
        <f>+A422+0.001</f>
        <v>#REF!</v>
      </c>
      <c r="B425" s="315" t="s">
        <v>1204</v>
      </c>
      <c r="C425" s="311" t="s">
        <v>150</v>
      </c>
      <c r="D425" s="311"/>
      <c r="E425" s="321">
        <v>160</v>
      </c>
      <c r="G425" s="235"/>
      <c r="H425" s="236"/>
      <c r="I425" s="236"/>
    </row>
    <row r="426" spans="1:9" ht="13.8" hidden="1" outlineLevel="1" x14ac:dyDescent="0.25">
      <c r="A426" s="314" t="e">
        <f>+A423+0.001</f>
        <v>#REF!</v>
      </c>
      <c r="B426" s="315" t="s">
        <v>1205</v>
      </c>
      <c r="C426" s="311" t="s">
        <v>150</v>
      </c>
      <c r="D426" s="311">
        <v>110</v>
      </c>
      <c r="E426" s="321">
        <f>+D426*1.25</f>
        <v>137.5</v>
      </c>
      <c r="G426" s="235"/>
      <c r="H426" s="236"/>
      <c r="I426" s="236"/>
    </row>
    <row r="427" spans="1:9" ht="13.8" hidden="1" outlineLevel="1" x14ac:dyDescent="0.25">
      <c r="A427" s="314" t="e">
        <f>+A426+0.001</f>
        <v>#REF!</v>
      </c>
      <c r="B427" s="315" t="s">
        <v>1206</v>
      </c>
      <c r="C427" s="311" t="s">
        <v>150</v>
      </c>
      <c r="D427" s="311"/>
      <c r="E427" s="321">
        <v>200</v>
      </c>
      <c r="G427" s="235"/>
      <c r="H427" s="236"/>
      <c r="I427" s="236"/>
    </row>
    <row r="428" spans="1:9" ht="13.8" hidden="1" outlineLevel="1" x14ac:dyDescent="0.25">
      <c r="A428" s="314" t="e">
        <f>+A427+0.001</f>
        <v>#REF!</v>
      </c>
      <c r="B428" s="315" t="s">
        <v>1207</v>
      </c>
      <c r="C428" s="311" t="s">
        <v>150</v>
      </c>
      <c r="D428" s="311"/>
      <c r="E428" s="321">
        <v>110</v>
      </c>
      <c r="G428" s="235"/>
      <c r="H428" s="236"/>
      <c r="I428" s="236"/>
    </row>
    <row r="429" spans="1:9" ht="13.8" hidden="1" outlineLevel="1" x14ac:dyDescent="0.25">
      <c r="A429" s="314" t="e">
        <f>+A428+0.001</f>
        <v>#REF!</v>
      </c>
      <c r="B429" s="315" t="s">
        <v>1208</v>
      </c>
      <c r="C429" s="311" t="s">
        <v>150</v>
      </c>
      <c r="D429" s="311"/>
      <c r="E429" s="321">
        <v>130</v>
      </c>
      <c r="G429" s="235"/>
      <c r="H429" s="236"/>
      <c r="I429" s="236"/>
    </row>
    <row r="430" spans="1:9" ht="13.8" hidden="1" outlineLevel="1" x14ac:dyDescent="0.25">
      <c r="A430" s="252"/>
      <c r="B430" s="315" t="s">
        <v>1209</v>
      </c>
      <c r="C430" s="311" t="s">
        <v>150</v>
      </c>
      <c r="D430" s="311"/>
      <c r="E430" s="321">
        <v>150</v>
      </c>
      <c r="G430" s="235"/>
      <c r="H430" s="236"/>
      <c r="I430" s="236"/>
    </row>
    <row r="431" spans="1:9" ht="13.8" hidden="1" outlineLevel="1" x14ac:dyDescent="0.25">
      <c r="A431" s="313">
        <f>A419+0.1</f>
        <v>10.199999999999999</v>
      </c>
      <c r="B431" s="315" t="s">
        <v>1210</v>
      </c>
      <c r="C431" s="311" t="s">
        <v>150</v>
      </c>
      <c r="D431" s="311"/>
      <c r="E431" s="321">
        <v>170</v>
      </c>
      <c r="G431" s="235"/>
      <c r="H431" s="236"/>
      <c r="I431" s="236"/>
    </row>
    <row r="432" spans="1:9" ht="13.8" hidden="1" outlineLevel="1" x14ac:dyDescent="0.25">
      <c r="A432" s="314">
        <f>+A430+0.001</f>
        <v>1E-3</v>
      </c>
      <c r="B432" s="315" t="s">
        <v>1211</v>
      </c>
      <c r="C432" s="311" t="s">
        <v>150</v>
      </c>
      <c r="D432" s="311"/>
      <c r="E432" s="321">
        <v>200</v>
      </c>
      <c r="G432" s="235"/>
      <c r="H432" s="236"/>
      <c r="I432" s="236"/>
    </row>
    <row r="433" spans="1:9" ht="13.8" hidden="1" outlineLevel="1" x14ac:dyDescent="0.25">
      <c r="A433" s="314">
        <f>+A431+0.001</f>
        <v>10.200999999999999</v>
      </c>
      <c r="B433" s="315"/>
      <c r="C433" s="311"/>
      <c r="D433" s="311"/>
      <c r="E433" s="321"/>
      <c r="G433" s="235"/>
      <c r="H433" s="236"/>
      <c r="I433" s="236"/>
    </row>
    <row r="434" spans="1:9" ht="13.8" hidden="1" outlineLevel="1" x14ac:dyDescent="0.25">
      <c r="A434" s="314">
        <f>+A431+0.001</f>
        <v>10.200999999999999</v>
      </c>
      <c r="B434" s="330" t="s">
        <v>1212</v>
      </c>
      <c r="C434" s="311" t="s">
        <v>1213</v>
      </c>
      <c r="D434" s="311"/>
      <c r="E434" s="321"/>
      <c r="G434" s="235"/>
      <c r="H434" s="236"/>
      <c r="I434" s="236"/>
    </row>
    <row r="435" spans="1:9" ht="13.8" hidden="1" outlineLevel="1" x14ac:dyDescent="0.25">
      <c r="A435" s="314">
        <f>+A432+0.001</f>
        <v>2E-3</v>
      </c>
      <c r="B435" s="315" t="s">
        <v>1214</v>
      </c>
      <c r="C435" s="311" t="s">
        <v>81</v>
      </c>
      <c r="D435" s="311"/>
      <c r="E435" s="321">
        <v>125</v>
      </c>
      <c r="G435" s="235"/>
      <c r="H435" s="236"/>
      <c r="I435" s="236"/>
    </row>
    <row r="436" spans="1:9" ht="13.8" hidden="1" outlineLevel="1" x14ac:dyDescent="0.25">
      <c r="A436" s="314" t="e">
        <f>+#REF!+0.001</f>
        <v>#REF!</v>
      </c>
      <c r="B436" s="315" t="s">
        <v>1214</v>
      </c>
      <c r="C436" s="311" t="s">
        <v>150</v>
      </c>
      <c r="D436" s="311"/>
      <c r="E436" s="321">
        <v>287.5</v>
      </c>
      <c r="G436" s="235"/>
      <c r="H436" s="236"/>
      <c r="I436" s="236"/>
    </row>
    <row r="437" spans="1:9" ht="13.8" hidden="1" outlineLevel="1" x14ac:dyDescent="0.25">
      <c r="A437" s="335" t="e">
        <f>+#REF!+0.001</f>
        <v>#REF!</v>
      </c>
      <c r="B437" s="315" t="s">
        <v>1215</v>
      </c>
      <c r="C437" s="311" t="s">
        <v>81</v>
      </c>
      <c r="D437" s="311"/>
      <c r="E437" s="321">
        <v>150</v>
      </c>
      <c r="G437" s="235"/>
      <c r="H437" s="236"/>
      <c r="I437" s="236"/>
    </row>
    <row r="438" spans="1:9" ht="13.8" hidden="1" outlineLevel="1" x14ac:dyDescent="0.25">
      <c r="A438" s="335" t="e">
        <f>+#REF!+0.001</f>
        <v>#REF!</v>
      </c>
      <c r="B438" s="315" t="s">
        <v>1216</v>
      </c>
      <c r="C438" s="311" t="s">
        <v>81</v>
      </c>
      <c r="D438" s="311"/>
      <c r="E438" s="321">
        <v>60</v>
      </c>
      <c r="G438" s="235"/>
      <c r="H438" s="236"/>
      <c r="I438" s="236"/>
    </row>
    <row r="439" spans="1:9" ht="13.8" hidden="1" outlineLevel="1" x14ac:dyDescent="0.25">
      <c r="A439" s="335" t="e">
        <f>+A436+0.001</f>
        <v>#REF!</v>
      </c>
      <c r="B439" s="315" t="s">
        <v>1217</v>
      </c>
      <c r="C439" s="311" t="s">
        <v>150</v>
      </c>
      <c r="D439" s="311"/>
      <c r="E439" s="321">
        <v>100</v>
      </c>
      <c r="G439" s="235"/>
      <c r="H439" s="236"/>
      <c r="I439" s="236"/>
    </row>
    <row r="440" spans="1:9" ht="13.8" hidden="1" outlineLevel="1" x14ac:dyDescent="0.25">
      <c r="A440" s="335"/>
      <c r="B440" s="336" t="s">
        <v>1218</v>
      </c>
      <c r="C440" s="311" t="s">
        <v>8</v>
      </c>
      <c r="D440" s="311"/>
      <c r="E440" s="321">
        <v>300</v>
      </c>
      <c r="G440" s="235"/>
      <c r="H440" s="236"/>
      <c r="I440" s="236"/>
    </row>
    <row r="441" spans="1:9" ht="13.8" hidden="1" outlineLevel="1" x14ac:dyDescent="0.25">
      <c r="A441" s="313">
        <f>A431+0.1</f>
        <v>10.299999999999999</v>
      </c>
      <c r="B441" s="336" t="s">
        <v>1219</v>
      </c>
      <c r="C441" s="311" t="s">
        <v>8</v>
      </c>
      <c r="D441" s="311"/>
      <c r="E441" s="321">
        <v>500</v>
      </c>
      <c r="G441" s="235"/>
      <c r="H441" s="236"/>
      <c r="I441" s="236"/>
    </row>
    <row r="442" spans="1:9" ht="13.8" hidden="1" outlineLevel="1" x14ac:dyDescent="0.25">
      <c r="A442" s="314" t="e">
        <f>+#REF!+0.001</f>
        <v>#REF!</v>
      </c>
      <c r="B442" s="336" t="s">
        <v>1220</v>
      </c>
      <c r="C442" s="311" t="s">
        <v>8</v>
      </c>
      <c r="D442" s="311"/>
      <c r="E442" s="321">
        <v>600</v>
      </c>
      <c r="G442" s="235"/>
      <c r="H442" s="236"/>
      <c r="I442" s="236"/>
    </row>
    <row r="443" spans="1:9" ht="13.8" hidden="1" outlineLevel="1" x14ac:dyDescent="0.25">
      <c r="A443" s="314" t="e">
        <f>+#REF!+0.001</f>
        <v>#REF!</v>
      </c>
      <c r="B443" s="336"/>
      <c r="C443" s="311"/>
      <c r="D443" s="311"/>
      <c r="E443" s="321"/>
      <c r="G443" s="235"/>
      <c r="H443" s="236"/>
      <c r="I443" s="236"/>
    </row>
    <row r="444" spans="1:9" ht="13.8" hidden="1" outlineLevel="1" x14ac:dyDescent="0.25">
      <c r="A444" s="314"/>
      <c r="B444" s="330" t="s">
        <v>1221</v>
      </c>
      <c r="C444" s="311"/>
      <c r="D444" s="311"/>
      <c r="E444" s="321"/>
      <c r="G444" s="235"/>
      <c r="H444" s="236"/>
      <c r="I444" s="236"/>
    </row>
    <row r="445" spans="1:9" ht="13.8" hidden="1" outlineLevel="1" x14ac:dyDescent="0.25">
      <c r="A445" s="314" t="e">
        <f>+A443+0.001</f>
        <v>#REF!</v>
      </c>
      <c r="B445" s="315" t="s">
        <v>1222</v>
      </c>
      <c r="C445" s="311" t="s">
        <v>150</v>
      </c>
      <c r="D445" s="311"/>
      <c r="E445" s="321">
        <v>100</v>
      </c>
      <c r="G445" s="235"/>
      <c r="H445" s="236"/>
      <c r="I445" s="236"/>
    </row>
    <row r="446" spans="1:9" ht="13.8" hidden="1" outlineLevel="1" x14ac:dyDescent="0.25">
      <c r="A446" s="314" t="e">
        <f t="shared" ref="A446:A451" si="9">+A445+0.001</f>
        <v>#REF!</v>
      </c>
      <c r="B446" s="315" t="s">
        <v>1223</v>
      </c>
      <c r="C446" s="311" t="s">
        <v>150</v>
      </c>
      <c r="D446" s="311"/>
      <c r="E446" s="321">
        <v>100</v>
      </c>
      <c r="G446" s="235"/>
      <c r="H446" s="236"/>
      <c r="I446" s="236"/>
    </row>
    <row r="447" spans="1:9" ht="13.8" hidden="1" outlineLevel="1" x14ac:dyDescent="0.25">
      <c r="A447" s="314" t="e">
        <f t="shared" si="9"/>
        <v>#REF!</v>
      </c>
      <c r="B447" s="315" t="s">
        <v>1224</v>
      </c>
      <c r="C447" s="311" t="s">
        <v>150</v>
      </c>
      <c r="D447" s="311"/>
      <c r="E447" s="321">
        <v>90</v>
      </c>
      <c r="G447" s="235"/>
      <c r="H447" s="236"/>
      <c r="I447" s="236"/>
    </row>
    <row r="448" spans="1:9" ht="13.8" hidden="1" outlineLevel="1" x14ac:dyDescent="0.25">
      <c r="A448" s="314" t="e">
        <f t="shared" si="9"/>
        <v>#REF!</v>
      </c>
      <c r="B448" s="315" t="s">
        <v>1225</v>
      </c>
      <c r="C448" s="311" t="s">
        <v>150</v>
      </c>
      <c r="D448" s="311"/>
      <c r="E448" s="321">
        <f>120*1.2</f>
        <v>144</v>
      </c>
      <c r="G448" s="235"/>
      <c r="H448" s="236"/>
      <c r="I448" s="236"/>
    </row>
    <row r="449" spans="1:9" ht="13.8" hidden="1" outlineLevel="1" x14ac:dyDescent="0.25">
      <c r="A449" s="314" t="e">
        <f t="shared" si="9"/>
        <v>#REF!</v>
      </c>
      <c r="B449" s="315" t="s">
        <v>1226</v>
      </c>
      <c r="C449" s="311" t="s">
        <v>150</v>
      </c>
      <c r="D449" s="311"/>
      <c r="E449" s="321">
        <v>130</v>
      </c>
      <c r="G449" s="235"/>
      <c r="H449" s="236"/>
      <c r="I449" s="236"/>
    </row>
    <row r="450" spans="1:9" ht="13.8" hidden="1" outlineLevel="1" x14ac:dyDescent="0.25">
      <c r="A450" s="314" t="e">
        <f t="shared" si="9"/>
        <v>#REF!</v>
      </c>
      <c r="B450" s="315" t="s">
        <v>1227</v>
      </c>
      <c r="C450" s="311" t="s">
        <v>150</v>
      </c>
      <c r="D450" s="311"/>
      <c r="E450" s="321">
        <v>135</v>
      </c>
      <c r="G450" s="235"/>
      <c r="H450" s="236"/>
      <c r="I450" s="236"/>
    </row>
    <row r="451" spans="1:9" ht="13.8" hidden="1" outlineLevel="1" x14ac:dyDescent="0.25">
      <c r="A451" s="314" t="e">
        <f t="shared" si="9"/>
        <v>#REF!</v>
      </c>
      <c r="B451" s="315" t="s">
        <v>1228</v>
      </c>
      <c r="C451" s="311" t="s">
        <v>150</v>
      </c>
      <c r="D451" s="311"/>
      <c r="E451" s="321">
        <f>170*1.3</f>
        <v>221</v>
      </c>
      <c r="G451" s="235"/>
      <c r="H451" s="236"/>
      <c r="I451" s="236"/>
    </row>
    <row r="452" spans="1:9" ht="13.8" hidden="1" outlineLevel="1" x14ac:dyDescent="0.25">
      <c r="A452" s="314" t="e">
        <f>+A449+0.001</f>
        <v>#REF!</v>
      </c>
      <c r="B452" s="315" t="s">
        <v>1229</v>
      </c>
      <c r="C452" s="311" t="s">
        <v>150</v>
      </c>
      <c r="D452" s="311"/>
      <c r="E452" s="321">
        <v>150</v>
      </c>
      <c r="G452" s="235"/>
      <c r="H452" s="236"/>
      <c r="I452" s="236"/>
    </row>
    <row r="453" spans="1:9" ht="13.8" hidden="1" outlineLevel="1" x14ac:dyDescent="0.25">
      <c r="A453" s="314" t="e">
        <f>+A449+0.001</f>
        <v>#REF!</v>
      </c>
      <c r="B453" s="315" t="s">
        <v>1230</v>
      </c>
      <c r="C453" s="311" t="s">
        <v>150</v>
      </c>
      <c r="D453" s="311"/>
      <c r="E453" s="321">
        <v>200</v>
      </c>
      <c r="G453" s="235"/>
      <c r="H453" s="236"/>
      <c r="I453" s="236"/>
    </row>
    <row r="454" spans="1:9" ht="13.8" hidden="1" outlineLevel="1" x14ac:dyDescent="0.25">
      <c r="A454" s="314" t="e">
        <f>+A451+0.001</f>
        <v>#REF!</v>
      </c>
      <c r="B454" s="315" t="s">
        <v>1231</v>
      </c>
      <c r="C454" s="311" t="s">
        <v>150</v>
      </c>
      <c r="D454" s="311"/>
      <c r="E454" s="321">
        <v>250</v>
      </c>
      <c r="G454" s="235"/>
      <c r="H454" s="236"/>
      <c r="I454" s="299"/>
    </row>
    <row r="455" spans="1:9" ht="13.8" hidden="1" outlineLevel="1" x14ac:dyDescent="0.25">
      <c r="A455" s="314" t="e">
        <f>+A452+0.001</f>
        <v>#REF!</v>
      </c>
      <c r="B455" s="315" t="s">
        <v>1232</v>
      </c>
      <c r="C455" s="311" t="s">
        <v>150</v>
      </c>
      <c r="D455" s="311"/>
      <c r="E455" s="321">
        <v>190</v>
      </c>
      <c r="G455" s="235"/>
      <c r="H455" s="236"/>
      <c r="I455" s="299"/>
    </row>
    <row r="456" spans="1:9" ht="13.8" hidden="1" outlineLevel="1" x14ac:dyDescent="0.25">
      <c r="A456" s="314" t="e">
        <f>+A453+0.001</f>
        <v>#REF!</v>
      </c>
      <c r="B456" s="315" t="s">
        <v>1233</v>
      </c>
      <c r="C456" s="311" t="s">
        <v>150</v>
      </c>
      <c r="D456" s="311"/>
      <c r="E456" s="321">
        <v>220</v>
      </c>
      <c r="G456" s="235"/>
      <c r="H456" s="236"/>
      <c r="I456" s="236"/>
    </row>
    <row r="457" spans="1:9" ht="13.8" hidden="1" outlineLevel="1" x14ac:dyDescent="0.25">
      <c r="A457" s="314" t="e">
        <f>+A455+0.001</f>
        <v>#REF!</v>
      </c>
      <c r="B457" s="315" t="s">
        <v>1234</v>
      </c>
      <c r="C457" s="311" t="s">
        <v>150</v>
      </c>
      <c r="D457" s="311"/>
      <c r="E457" s="321">
        <v>210</v>
      </c>
      <c r="G457" s="235"/>
      <c r="H457" s="236"/>
      <c r="I457" s="236"/>
    </row>
    <row r="458" spans="1:9" ht="13.8" hidden="1" outlineLevel="1" x14ac:dyDescent="0.25">
      <c r="A458" s="314" t="e">
        <f>+#REF!+0.001</f>
        <v>#REF!</v>
      </c>
      <c r="B458" s="315" t="s">
        <v>1235</v>
      </c>
      <c r="C458" s="311" t="s">
        <v>150</v>
      </c>
      <c r="D458" s="311"/>
      <c r="E458" s="321">
        <v>200</v>
      </c>
      <c r="G458" s="235"/>
      <c r="H458" s="236"/>
      <c r="I458" s="236"/>
    </row>
    <row r="459" spans="1:9" ht="13.8" hidden="1" outlineLevel="1" x14ac:dyDescent="0.25">
      <c r="A459" s="257"/>
      <c r="B459" s="315" t="s">
        <v>1236</v>
      </c>
      <c r="C459" s="311" t="s">
        <v>150</v>
      </c>
      <c r="D459" s="311"/>
      <c r="E459" s="321">
        <v>190</v>
      </c>
      <c r="G459" s="235"/>
      <c r="H459" s="236"/>
      <c r="I459" s="236"/>
    </row>
    <row r="460" spans="1:9" ht="13.8" hidden="1" outlineLevel="1" x14ac:dyDescent="0.25">
      <c r="A460" s="313" t="e">
        <f>#REF!+0.1</f>
        <v>#REF!</v>
      </c>
      <c r="B460" s="315" t="s">
        <v>1237</v>
      </c>
      <c r="C460" s="311" t="s">
        <v>150</v>
      </c>
      <c r="D460" s="311"/>
      <c r="E460" s="321">
        <v>170</v>
      </c>
      <c r="G460" s="235"/>
      <c r="H460" s="236"/>
      <c r="I460" s="236"/>
    </row>
    <row r="461" spans="1:9" ht="13.8" hidden="1" outlineLevel="1" x14ac:dyDescent="0.25">
      <c r="A461" s="314" t="e">
        <f>+A460+0.001</f>
        <v>#REF!</v>
      </c>
      <c r="B461" s="315" t="s">
        <v>1238</v>
      </c>
      <c r="C461" s="311" t="s">
        <v>150</v>
      </c>
      <c r="D461" s="311"/>
      <c r="E461" s="321">
        <v>220</v>
      </c>
      <c r="G461" s="235"/>
      <c r="H461" s="236"/>
      <c r="I461" s="236"/>
    </row>
    <row r="462" spans="1:9" ht="13.8" hidden="1" outlineLevel="1" x14ac:dyDescent="0.25">
      <c r="A462" s="314" t="e">
        <f>+A461+0.001</f>
        <v>#REF!</v>
      </c>
      <c r="B462" s="315"/>
      <c r="C462" s="311"/>
      <c r="D462" s="311"/>
      <c r="E462" s="321"/>
      <c r="G462" s="235"/>
      <c r="H462" s="236"/>
      <c r="I462" s="236"/>
    </row>
    <row r="463" spans="1:9" ht="13.8" hidden="1" outlineLevel="1" x14ac:dyDescent="0.25">
      <c r="A463" s="314" t="e">
        <f>+A462+0.001</f>
        <v>#REF!</v>
      </c>
      <c r="B463" s="310" t="s">
        <v>1101</v>
      </c>
      <c r="C463" s="337"/>
      <c r="D463" s="337"/>
      <c r="E463" s="321"/>
      <c r="G463" s="235"/>
      <c r="H463" s="236"/>
      <c r="I463" s="236"/>
    </row>
    <row r="464" spans="1:9" ht="13.8" hidden="1" outlineLevel="1" x14ac:dyDescent="0.25">
      <c r="A464" s="314"/>
      <c r="B464" s="315" t="s">
        <v>1239</v>
      </c>
      <c r="C464" s="311" t="s">
        <v>150</v>
      </c>
      <c r="D464" s="311"/>
      <c r="E464" s="321">
        <v>100</v>
      </c>
      <c r="G464" s="235"/>
      <c r="H464" s="236"/>
      <c r="I464" s="236"/>
    </row>
    <row r="465" spans="1:9" ht="13.8" hidden="1" outlineLevel="1" x14ac:dyDescent="0.25">
      <c r="A465" s="314"/>
      <c r="B465" s="315" t="s">
        <v>1240</v>
      </c>
      <c r="C465" s="311" t="s">
        <v>81</v>
      </c>
      <c r="D465" s="311"/>
      <c r="E465" s="321">
        <v>60</v>
      </c>
      <c r="G465" s="235"/>
      <c r="H465" s="236"/>
      <c r="I465" s="236"/>
    </row>
    <row r="466" spans="1:9" ht="13.8" hidden="1" outlineLevel="1" x14ac:dyDescent="0.25">
      <c r="A466" s="314"/>
      <c r="B466" s="315" t="s">
        <v>1241</v>
      </c>
      <c r="C466" s="311" t="s">
        <v>1178</v>
      </c>
      <c r="D466" s="311"/>
      <c r="E466" s="321">
        <v>2700</v>
      </c>
      <c r="G466" s="235"/>
      <c r="H466" s="236"/>
      <c r="I466" s="236"/>
    </row>
    <row r="467" spans="1:9" ht="13.8" hidden="1" outlineLevel="1" x14ac:dyDescent="0.25">
      <c r="A467" s="252">
        <v>11</v>
      </c>
      <c r="B467" s="315" t="s">
        <v>1242</v>
      </c>
      <c r="C467" s="311" t="s">
        <v>8</v>
      </c>
      <c r="D467" s="311"/>
      <c r="E467" s="321">
        <v>1000</v>
      </c>
      <c r="G467" s="235"/>
      <c r="H467" s="236"/>
      <c r="I467" s="236"/>
    </row>
    <row r="468" spans="1:9" ht="13.8" hidden="1" outlineLevel="1" x14ac:dyDescent="0.25">
      <c r="A468" s="257">
        <f t="shared" ref="A468:A477" si="10">+A467+0.01</f>
        <v>11.01</v>
      </c>
      <c r="B468" s="316" t="s">
        <v>1243</v>
      </c>
      <c r="C468" s="317" t="s">
        <v>184</v>
      </c>
      <c r="D468" s="317"/>
      <c r="E468" s="321">
        <v>300</v>
      </c>
      <c r="G468" s="256"/>
      <c r="H468" s="236"/>
      <c r="I468" s="236"/>
    </row>
    <row r="469" spans="1:9" ht="13.8" hidden="1" outlineLevel="1" x14ac:dyDescent="0.25">
      <c r="A469" s="257">
        <f t="shared" si="10"/>
        <v>11.02</v>
      </c>
      <c r="B469" s="315"/>
      <c r="C469" s="337"/>
      <c r="D469" s="337"/>
      <c r="E469" s="321"/>
      <c r="G469" s="235"/>
      <c r="H469" s="236"/>
      <c r="I469" s="236"/>
    </row>
    <row r="470" spans="1:9" ht="13.8" hidden="1" outlineLevel="1" x14ac:dyDescent="0.25">
      <c r="A470" s="257">
        <f t="shared" si="10"/>
        <v>11.03</v>
      </c>
      <c r="B470" s="310" t="s">
        <v>992</v>
      </c>
      <c r="C470" s="325"/>
      <c r="D470" s="325"/>
      <c r="E470" s="321"/>
      <c r="G470" s="235"/>
      <c r="H470" s="236"/>
      <c r="I470" s="236"/>
    </row>
    <row r="471" spans="1:9" ht="13.8" hidden="1" outlineLevel="1" x14ac:dyDescent="0.25">
      <c r="A471" s="257">
        <f t="shared" si="10"/>
        <v>11.04</v>
      </c>
      <c r="B471" s="315" t="s">
        <v>1244</v>
      </c>
      <c r="C471" s="311" t="s">
        <v>54</v>
      </c>
      <c r="D471" s="311"/>
      <c r="E471" s="321">
        <v>24.2</v>
      </c>
      <c r="G471" s="235"/>
      <c r="H471" s="236"/>
      <c r="I471" s="236"/>
    </row>
    <row r="472" spans="1:9" ht="13.8" hidden="1" outlineLevel="1" x14ac:dyDescent="0.25">
      <c r="A472" s="257">
        <f t="shared" si="10"/>
        <v>11.049999999999999</v>
      </c>
      <c r="B472" s="315" t="s">
        <v>1245</v>
      </c>
      <c r="C472" s="311" t="s">
        <v>81</v>
      </c>
      <c r="D472" s="311"/>
      <c r="E472" s="321">
        <v>10</v>
      </c>
      <c r="G472" s="235"/>
      <c r="H472" s="236"/>
      <c r="I472" s="236"/>
    </row>
    <row r="473" spans="1:9" ht="13.8" hidden="1" outlineLevel="1" x14ac:dyDescent="0.25">
      <c r="A473" s="257">
        <f t="shared" si="10"/>
        <v>11.059999999999999</v>
      </c>
      <c r="B473" s="315" t="s">
        <v>1246</v>
      </c>
      <c r="C473" s="311" t="s">
        <v>81</v>
      </c>
      <c r="D473" s="311"/>
      <c r="E473" s="321">
        <v>7.5</v>
      </c>
      <c r="G473" s="235"/>
      <c r="H473" s="236"/>
      <c r="I473" s="236"/>
    </row>
    <row r="474" spans="1:9" ht="13.8" hidden="1" outlineLevel="1" x14ac:dyDescent="0.25">
      <c r="A474" s="257">
        <f t="shared" si="10"/>
        <v>11.069999999999999</v>
      </c>
      <c r="B474" s="316" t="s">
        <v>1247</v>
      </c>
      <c r="C474" s="317" t="s">
        <v>1248</v>
      </c>
      <c r="D474" s="317"/>
      <c r="E474" s="321">
        <v>11</v>
      </c>
      <c r="G474" s="256"/>
      <c r="H474" s="236"/>
      <c r="I474" s="236"/>
    </row>
    <row r="475" spans="1:9" ht="13.8" hidden="1" outlineLevel="1" x14ac:dyDescent="0.25">
      <c r="A475" s="257">
        <f t="shared" si="10"/>
        <v>11.079999999999998</v>
      </c>
      <c r="B475" s="315" t="s">
        <v>1249</v>
      </c>
      <c r="C475" s="311" t="s">
        <v>45</v>
      </c>
      <c r="D475" s="311"/>
      <c r="E475" s="321">
        <v>150</v>
      </c>
      <c r="G475" s="235"/>
      <c r="H475" s="236"/>
      <c r="I475" s="236"/>
    </row>
    <row r="476" spans="1:9" ht="13.8" hidden="1" outlineLevel="1" x14ac:dyDescent="0.25">
      <c r="A476" s="257">
        <f t="shared" si="10"/>
        <v>11.089999999999998</v>
      </c>
      <c r="B476" s="315" t="s">
        <v>1250</v>
      </c>
      <c r="C476" s="311" t="s">
        <v>150</v>
      </c>
      <c r="D476" s="311"/>
      <c r="E476" s="321">
        <v>22</v>
      </c>
      <c r="G476" s="235"/>
      <c r="H476" s="236"/>
      <c r="I476" s="236"/>
    </row>
    <row r="477" spans="1:9" ht="13.8" hidden="1" outlineLevel="1" x14ac:dyDescent="0.25">
      <c r="A477" s="257">
        <f t="shared" si="10"/>
        <v>11.099999999999998</v>
      </c>
      <c r="B477" s="315" t="s">
        <v>1251</v>
      </c>
      <c r="C477" s="311" t="s">
        <v>8</v>
      </c>
      <c r="D477" s="311"/>
      <c r="E477" s="321">
        <v>5</v>
      </c>
      <c r="G477" s="235"/>
      <c r="H477" s="236"/>
      <c r="I477" s="236"/>
    </row>
    <row r="478" spans="1:9" ht="13.8" hidden="1" outlineLevel="1" x14ac:dyDescent="0.25">
      <c r="A478" s="252">
        <v>13</v>
      </c>
      <c r="B478" s="315" t="s">
        <v>1252</v>
      </c>
      <c r="C478" s="311" t="s">
        <v>1253</v>
      </c>
      <c r="D478" s="311"/>
      <c r="E478" s="321">
        <v>333</v>
      </c>
      <c r="G478" s="235"/>
      <c r="H478" s="236"/>
      <c r="I478" s="236"/>
    </row>
    <row r="479" spans="1:9" ht="13.8" hidden="1" outlineLevel="1" x14ac:dyDescent="0.25">
      <c r="A479" s="257">
        <f>+A478+0.01</f>
        <v>13.01</v>
      </c>
      <c r="B479" s="315" t="s">
        <v>1254</v>
      </c>
      <c r="C479" s="311" t="s">
        <v>8</v>
      </c>
      <c r="D479" s="311"/>
      <c r="E479" s="321">
        <v>550</v>
      </c>
      <c r="G479" s="235"/>
      <c r="H479" s="236"/>
      <c r="I479" s="236"/>
    </row>
    <row r="480" spans="1:9" ht="13.8" hidden="1" outlineLevel="1" x14ac:dyDescent="0.25">
      <c r="A480" s="257">
        <f>+A479+0.01</f>
        <v>13.02</v>
      </c>
      <c r="B480" s="322"/>
      <c r="C480" s="323"/>
      <c r="D480" s="323"/>
      <c r="E480" s="321"/>
      <c r="F480" s="318"/>
      <c r="G480" s="235"/>
      <c r="H480" s="236"/>
      <c r="I480" s="236"/>
    </row>
    <row r="481" spans="1:9" ht="13.8" hidden="1" outlineLevel="1" x14ac:dyDescent="0.25">
      <c r="A481" s="257">
        <f>+A480+0.01</f>
        <v>13.03</v>
      </c>
      <c r="B481" s="310" t="s">
        <v>1255</v>
      </c>
      <c r="C481" s="325"/>
      <c r="D481" s="325"/>
      <c r="E481" s="321"/>
      <c r="G481" s="235"/>
      <c r="H481" s="236"/>
      <c r="I481" s="236"/>
    </row>
    <row r="482" spans="1:9" ht="13.8" hidden="1" outlineLevel="1" x14ac:dyDescent="0.25">
      <c r="A482" s="257">
        <f>+A481+0.01</f>
        <v>13.04</v>
      </c>
      <c r="B482" s="315" t="s">
        <v>1256</v>
      </c>
      <c r="C482" s="311" t="s">
        <v>672</v>
      </c>
      <c r="D482" s="311"/>
      <c r="E482" s="321">
        <v>2000</v>
      </c>
      <c r="G482" s="235"/>
      <c r="H482" s="236"/>
      <c r="I482" s="236"/>
    </row>
    <row r="483" spans="1:9" ht="13.8" hidden="1" outlineLevel="1" x14ac:dyDescent="0.25">
      <c r="A483" s="257">
        <f>+A482+0.01</f>
        <v>13.049999999999999</v>
      </c>
      <c r="B483" s="315" t="s">
        <v>1257</v>
      </c>
      <c r="C483" s="311" t="s">
        <v>672</v>
      </c>
      <c r="D483" s="311"/>
      <c r="E483" s="321">
        <v>650</v>
      </c>
      <c r="G483" s="235"/>
      <c r="H483" s="236"/>
      <c r="I483" s="236"/>
    </row>
    <row r="484" spans="1:9" ht="13.8" hidden="1" outlineLevel="1" x14ac:dyDescent="0.25">
      <c r="A484" s="257"/>
      <c r="B484" s="315" t="s">
        <v>1258</v>
      </c>
      <c r="C484" s="311" t="s">
        <v>672</v>
      </c>
      <c r="D484" s="311"/>
      <c r="E484" s="321">
        <v>950</v>
      </c>
      <c r="G484" s="235"/>
      <c r="H484" s="236"/>
      <c r="I484" s="236"/>
    </row>
    <row r="485" spans="1:9" ht="15.6" hidden="1" outlineLevel="1" x14ac:dyDescent="0.3">
      <c r="A485" s="252">
        <v>13</v>
      </c>
      <c r="B485" s="315" t="s">
        <v>1259</v>
      </c>
      <c r="C485" s="311" t="s">
        <v>672</v>
      </c>
      <c r="D485" s="311"/>
      <c r="E485" s="321">
        <v>1200</v>
      </c>
      <c r="F485" s="59"/>
      <c r="G485" s="240"/>
      <c r="H485" s="236"/>
      <c r="I485" s="236"/>
    </row>
    <row r="486" spans="1:9" ht="15.6" hidden="1" outlineLevel="1" x14ac:dyDescent="0.3">
      <c r="A486" s="252"/>
      <c r="B486" s="315" t="s">
        <v>671</v>
      </c>
      <c r="C486" s="311" t="s">
        <v>672</v>
      </c>
      <c r="D486" s="311"/>
      <c r="E486" s="321">
        <v>900</v>
      </c>
      <c r="F486" s="59"/>
      <c r="G486" s="240"/>
      <c r="H486" s="236"/>
      <c r="I486" s="236"/>
    </row>
    <row r="487" spans="1:9" ht="15.6" hidden="1" outlineLevel="1" x14ac:dyDescent="0.3">
      <c r="A487" s="252"/>
      <c r="B487" s="315"/>
      <c r="C487" s="311"/>
      <c r="D487" s="311"/>
      <c r="E487" s="321"/>
      <c r="F487" s="59"/>
      <c r="G487" s="240"/>
      <c r="H487" s="236"/>
      <c r="I487" s="236"/>
    </row>
    <row r="488" spans="1:9" ht="15.6" hidden="1" outlineLevel="1" x14ac:dyDescent="0.3">
      <c r="A488" s="257">
        <f>+A485+0.01</f>
        <v>13.01</v>
      </c>
      <c r="B488" s="310" t="s">
        <v>992</v>
      </c>
      <c r="C488" s="311"/>
      <c r="D488" s="311"/>
      <c r="E488" s="321"/>
      <c r="F488" s="59"/>
      <c r="G488" s="338"/>
    </row>
    <row r="489" spans="1:9" ht="15.6" hidden="1" outlineLevel="1" x14ac:dyDescent="0.3">
      <c r="A489" s="257">
        <f t="shared" ref="A489:A497" si="11">+A488+0.01</f>
        <v>13.02</v>
      </c>
      <c r="B489" s="339" t="s">
        <v>1260</v>
      </c>
      <c r="C489" s="311" t="s">
        <v>8</v>
      </c>
      <c r="D489" s="311"/>
      <c r="E489" s="321">
        <v>70</v>
      </c>
      <c r="F489" s="59"/>
      <c r="G489" s="338"/>
    </row>
    <row r="490" spans="1:9" ht="15.6" hidden="1" outlineLevel="1" x14ac:dyDescent="0.3">
      <c r="A490" s="257">
        <f t="shared" si="11"/>
        <v>13.03</v>
      </c>
      <c r="B490" s="339" t="s">
        <v>1261</v>
      </c>
      <c r="C490" s="311" t="s">
        <v>81</v>
      </c>
      <c r="D490" s="311"/>
      <c r="E490" s="321">
        <v>50</v>
      </c>
      <c r="F490" s="59"/>
      <c r="G490" s="338"/>
    </row>
    <row r="491" spans="1:9" ht="13.5" hidden="1" customHeight="1" outlineLevel="1" x14ac:dyDescent="0.3">
      <c r="A491" s="257">
        <f t="shared" si="11"/>
        <v>13.04</v>
      </c>
      <c r="B491" s="315" t="s">
        <v>1262</v>
      </c>
      <c r="C491" s="340" t="s">
        <v>1263</v>
      </c>
      <c r="D491" s="340"/>
      <c r="E491" s="321">
        <f>4750-E492</f>
        <v>3050</v>
      </c>
      <c r="F491" s="59"/>
      <c r="G491" s="338"/>
    </row>
    <row r="492" spans="1:9" ht="15.6" hidden="1" outlineLevel="1" x14ac:dyDescent="0.3">
      <c r="A492" s="257">
        <f t="shared" si="11"/>
        <v>13.049999999999999</v>
      </c>
      <c r="B492" s="315" t="s">
        <v>1264</v>
      </c>
      <c r="C492" s="340" t="s">
        <v>1263</v>
      </c>
      <c r="D492" s="340"/>
      <c r="E492" s="321">
        <v>1700</v>
      </c>
      <c r="F492" s="59"/>
      <c r="G492" s="338"/>
    </row>
    <row r="493" spans="1:9" ht="15.6" hidden="1" outlineLevel="1" x14ac:dyDescent="0.3">
      <c r="A493" s="257">
        <f t="shared" si="11"/>
        <v>13.059999999999999</v>
      </c>
      <c r="B493" s="315" t="s">
        <v>1265</v>
      </c>
      <c r="C493" s="340" t="s">
        <v>1263</v>
      </c>
      <c r="D493" s="340"/>
      <c r="E493" s="321">
        <v>990</v>
      </c>
      <c r="F493" s="59"/>
      <c r="G493" s="338"/>
    </row>
    <row r="494" spans="1:9" hidden="1" outlineLevel="1" x14ac:dyDescent="0.25">
      <c r="A494" s="257">
        <f t="shared" si="11"/>
        <v>13.069999999999999</v>
      </c>
      <c r="B494" s="315" t="s">
        <v>1266</v>
      </c>
      <c r="C494" s="340" t="s">
        <v>1263</v>
      </c>
      <c r="D494" s="340"/>
      <c r="E494" s="321">
        <v>990</v>
      </c>
    </row>
    <row r="495" spans="1:9" hidden="1" outlineLevel="1" x14ac:dyDescent="0.25">
      <c r="A495" s="257">
        <f t="shared" si="11"/>
        <v>13.079999999999998</v>
      </c>
      <c r="B495" s="315" t="s">
        <v>1267</v>
      </c>
      <c r="C495" s="340" t="s">
        <v>1263</v>
      </c>
      <c r="D495" s="340"/>
      <c r="E495" s="321">
        <v>1320</v>
      </c>
    </row>
    <row r="496" spans="1:9" hidden="1" outlineLevel="1" x14ac:dyDescent="0.25">
      <c r="A496" s="257">
        <f t="shared" si="11"/>
        <v>13.089999999999998</v>
      </c>
      <c r="B496" s="315" t="s">
        <v>1268</v>
      </c>
      <c r="C496" s="340" t="s">
        <v>1263</v>
      </c>
      <c r="D496" s="340"/>
      <c r="E496" s="321">
        <v>165</v>
      </c>
    </row>
    <row r="497" spans="1:5" hidden="1" outlineLevel="1" x14ac:dyDescent="0.25">
      <c r="A497" s="257">
        <f t="shared" si="11"/>
        <v>13.099999999999998</v>
      </c>
      <c r="B497" s="315" t="s">
        <v>1269</v>
      </c>
      <c r="C497" s="340" t="s">
        <v>1263</v>
      </c>
      <c r="D497" s="340"/>
      <c r="E497" s="321">
        <v>1567.5</v>
      </c>
    </row>
    <row r="498" spans="1:5" hidden="1" outlineLevel="1" x14ac:dyDescent="0.25">
      <c r="B498" s="315" t="s">
        <v>1270</v>
      </c>
      <c r="C498" s="340" t="s">
        <v>8</v>
      </c>
      <c r="D498" s="340"/>
      <c r="E498" s="321">
        <v>1000</v>
      </c>
    </row>
    <row r="499" spans="1:5" hidden="1" outlineLevel="1" x14ac:dyDescent="0.25">
      <c r="B499" s="315" t="s">
        <v>1271</v>
      </c>
      <c r="C499" s="340" t="s">
        <v>8</v>
      </c>
      <c r="D499" s="340"/>
      <c r="E499" s="321">
        <v>500</v>
      </c>
    </row>
    <row r="500" spans="1:5" hidden="1" outlineLevel="1" x14ac:dyDescent="0.25">
      <c r="B500" s="315" t="s">
        <v>1272</v>
      </c>
      <c r="C500" s="340" t="s">
        <v>15</v>
      </c>
      <c r="D500" s="340"/>
      <c r="E500" s="321">
        <v>4500</v>
      </c>
    </row>
    <row r="501" spans="1:5" hidden="1" outlineLevel="1" x14ac:dyDescent="0.25"/>
    <row r="502" spans="1:5" collapsed="1" x14ac:dyDescent="0.25"/>
    <row r="503" spans="1:5" x14ac:dyDescent="0.25">
      <c r="D503" s="2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8439-E649-405A-86A9-E0E8E5FD9B53}">
  <dimension ref="A1:AME633"/>
  <sheetViews>
    <sheetView tabSelected="1" workbookViewId="0">
      <selection activeCell="P8" sqref="P8"/>
    </sheetView>
  </sheetViews>
  <sheetFormatPr defaultColWidth="11.44140625" defaultRowHeight="32.25" customHeight="1" x14ac:dyDescent="0.25"/>
  <cols>
    <col min="1" max="1" width="10.6640625" style="351" customWidth="1"/>
    <col min="2" max="3" width="9.6640625" style="351" customWidth="1"/>
    <col min="4" max="4" width="6.6640625" style="351" customWidth="1"/>
    <col min="5" max="5" width="5.6640625" style="351" customWidth="1"/>
    <col min="6" max="6" width="3.6640625" style="351" customWidth="1"/>
    <col min="7" max="7" width="26.6640625" style="351" customWidth="1"/>
    <col min="8" max="8" width="8.6640625" style="351" customWidth="1"/>
    <col min="9" max="9" width="8" style="351" customWidth="1"/>
    <col min="10" max="10" width="5.6640625" style="351" customWidth="1"/>
    <col min="11" max="12" width="9.6640625" style="351" customWidth="1"/>
    <col min="13" max="13" width="10.6640625" style="351" customWidth="1"/>
    <col min="14" max="14" width="29.33203125" style="350" customWidth="1"/>
    <col min="15" max="15" width="12.88671875" style="351" bestFit="1" customWidth="1"/>
    <col min="16" max="1019" width="11.44140625" style="351"/>
    <col min="1020" max="16384" width="11.44140625" style="352"/>
  </cols>
  <sheetData>
    <row r="1" spans="1:14" ht="32.25" customHeight="1" x14ac:dyDescent="0.25">
      <c r="A1" s="341" t="s">
        <v>126</v>
      </c>
      <c r="B1" s="342"/>
      <c r="C1" s="343"/>
      <c r="D1" s="344" t="s">
        <v>1273</v>
      </c>
      <c r="E1" s="345"/>
      <c r="F1" s="345"/>
      <c r="G1" s="345"/>
      <c r="H1" s="345"/>
      <c r="I1" s="345"/>
      <c r="J1" s="346"/>
      <c r="K1" s="347"/>
      <c r="L1" s="348"/>
      <c r="M1" s="349"/>
    </row>
    <row r="2" spans="1:14" ht="32.25" customHeight="1" x14ac:dyDescent="0.25">
      <c r="A2" s="353"/>
      <c r="C2" s="354"/>
      <c r="D2" s="355"/>
      <c r="E2" s="356"/>
      <c r="F2" s="356"/>
      <c r="G2" s="356"/>
      <c r="H2" s="356"/>
      <c r="I2" s="356"/>
      <c r="J2" s="357"/>
      <c r="K2" s="358"/>
      <c r="L2" s="359"/>
      <c r="M2" s="360"/>
    </row>
    <row r="3" spans="1:14" ht="32.25" customHeight="1" x14ac:dyDescent="0.25">
      <c r="A3" s="353"/>
      <c r="C3" s="354"/>
      <c r="D3" s="355" t="s">
        <v>1274</v>
      </c>
      <c r="E3" s="356"/>
      <c r="F3" s="356"/>
      <c r="G3" s="356"/>
      <c r="H3" s="356"/>
      <c r="I3" s="356"/>
      <c r="J3" s="357"/>
      <c r="K3" s="358"/>
      <c r="L3" s="359"/>
      <c r="M3" s="360"/>
    </row>
    <row r="4" spans="1:14" ht="32.25" customHeight="1" x14ac:dyDescent="0.25">
      <c r="A4" s="361"/>
      <c r="B4" s="362"/>
      <c r="C4" s="363"/>
      <c r="D4" s="364"/>
      <c r="E4" s="365"/>
      <c r="F4" s="365"/>
      <c r="G4" s="365"/>
      <c r="H4" s="365"/>
      <c r="I4" s="365"/>
      <c r="J4" s="366"/>
      <c r="K4" s="367"/>
      <c r="L4" s="368"/>
      <c r="M4" s="369"/>
    </row>
    <row r="5" spans="1:14" ht="32.25" customHeight="1" x14ac:dyDescent="0.25">
      <c r="A5" s="370"/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2"/>
    </row>
    <row r="6" spans="1:14" s="351" customFormat="1" ht="32.25" customHeight="1" x14ac:dyDescent="0.25">
      <c r="A6" s="373" t="s">
        <v>0</v>
      </c>
      <c r="B6" s="374"/>
      <c r="C6" s="375"/>
      <c r="D6" s="376" t="s">
        <v>1275</v>
      </c>
      <c r="E6" s="377"/>
      <c r="F6" s="377"/>
      <c r="G6" s="377"/>
      <c r="H6" s="378">
        <v>2025</v>
      </c>
      <c r="I6" s="378"/>
      <c r="J6" s="378"/>
      <c r="K6" s="378"/>
      <c r="L6" s="378"/>
      <c r="M6" s="379"/>
      <c r="N6" s="350"/>
    </row>
    <row r="7" spans="1:14" s="351" customFormat="1" ht="32.25" customHeight="1" x14ac:dyDescent="0.25">
      <c r="A7" s="373" t="s">
        <v>1276</v>
      </c>
      <c r="B7" s="374"/>
      <c r="C7" s="375"/>
      <c r="D7" s="380" t="s">
        <v>1277</v>
      </c>
      <c r="E7" s="381"/>
      <c r="F7" s="381"/>
      <c r="G7" s="381"/>
      <c r="H7" s="381"/>
      <c r="I7" s="381"/>
      <c r="J7" s="381"/>
      <c r="K7" s="381"/>
      <c r="L7" s="381"/>
      <c r="M7" s="382"/>
      <c r="N7" s="350"/>
    </row>
    <row r="8" spans="1:14" s="351" customFormat="1" ht="32.25" customHeight="1" thickBot="1" x14ac:dyDescent="0.3">
      <c r="A8" s="383"/>
      <c r="B8" s="384"/>
      <c r="C8" s="384"/>
      <c r="D8" s="385"/>
      <c r="E8" s="385"/>
      <c r="F8" s="385"/>
      <c r="G8" s="385"/>
      <c r="H8" s="385"/>
      <c r="I8" s="385"/>
      <c r="J8" s="385"/>
      <c r="K8" s="385"/>
      <c r="L8" s="385"/>
      <c r="M8" s="386"/>
      <c r="N8" s="387"/>
    </row>
    <row r="9" spans="1:14" s="351" customFormat="1" ht="32.25" customHeight="1" thickBot="1" x14ac:dyDescent="0.3">
      <c r="A9" s="388" t="s">
        <v>1278</v>
      </c>
      <c r="B9" s="389"/>
      <c r="C9" s="389"/>
      <c r="D9" s="389"/>
      <c r="E9" s="389"/>
      <c r="F9" s="389"/>
      <c r="G9" s="390"/>
      <c r="H9" s="391" t="s">
        <v>1279</v>
      </c>
      <c r="I9" s="390"/>
      <c r="J9" s="391" t="s">
        <v>720</v>
      </c>
      <c r="K9" s="390"/>
      <c r="L9" s="391" t="s">
        <v>1280</v>
      </c>
      <c r="M9" s="392"/>
      <c r="N9" s="393" t="s">
        <v>1281</v>
      </c>
    </row>
    <row r="10" spans="1:14" s="351" customFormat="1" ht="32.25" customHeight="1" thickBot="1" x14ac:dyDescent="0.3">
      <c r="A10" s="394"/>
      <c r="B10" s="394"/>
      <c r="C10" s="394"/>
      <c r="D10" s="394"/>
      <c r="E10" s="394"/>
      <c r="F10" s="394"/>
      <c r="G10" s="394"/>
      <c r="H10" s="394"/>
      <c r="I10" s="394"/>
      <c r="J10" s="394"/>
      <c r="K10" s="394"/>
      <c r="L10" s="394"/>
      <c r="M10" s="394"/>
      <c r="N10" s="350"/>
    </row>
    <row r="11" spans="1:14" s="351" customFormat="1" ht="32.25" customHeight="1" thickBot="1" x14ac:dyDescent="0.3">
      <c r="A11" s="395" t="s">
        <v>1282</v>
      </c>
      <c r="B11" s="396"/>
      <c r="C11" s="396"/>
      <c r="D11" s="396"/>
      <c r="E11" s="396"/>
      <c r="F11" s="396"/>
      <c r="G11" s="396"/>
      <c r="H11" s="396"/>
      <c r="I11" s="396"/>
      <c r="J11" s="396"/>
      <c r="K11" s="396"/>
      <c r="L11" s="396"/>
      <c r="M11" s="397"/>
      <c r="N11" s="398">
        <v>0.1</v>
      </c>
    </row>
    <row r="12" spans="1:14" s="351" customFormat="1" ht="32.25" customHeight="1" thickBot="1" x14ac:dyDescent="0.3">
      <c r="A12" s="399"/>
      <c r="B12" s="400"/>
      <c r="C12" s="400"/>
      <c r="D12" s="400"/>
      <c r="E12" s="400"/>
      <c r="F12" s="400"/>
      <c r="G12" s="400"/>
      <c r="H12" s="400"/>
      <c r="I12" s="400"/>
      <c r="J12" s="400"/>
      <c r="K12" s="400"/>
      <c r="L12" s="400"/>
      <c r="M12" s="399"/>
      <c r="N12" s="350"/>
    </row>
    <row r="13" spans="1:14" s="351" customFormat="1" ht="32.25" customHeight="1" x14ac:dyDescent="0.25">
      <c r="A13" s="401" t="s">
        <v>1283</v>
      </c>
      <c r="B13" s="402"/>
      <c r="C13" s="402"/>
      <c r="D13" s="402"/>
      <c r="E13" s="402"/>
      <c r="F13" s="402"/>
      <c r="G13" s="402"/>
      <c r="H13" s="402"/>
      <c r="I13" s="402"/>
      <c r="J13" s="402"/>
      <c r="K13" s="402"/>
      <c r="L13" s="402"/>
      <c r="M13" s="403"/>
      <c r="N13" s="404"/>
    </row>
    <row r="14" spans="1:14" s="351" customFormat="1" ht="32.25" customHeight="1" x14ac:dyDescent="0.25">
      <c r="A14" s="405">
        <v>1.1000000000000001</v>
      </c>
      <c r="B14" s="406" t="s">
        <v>1284</v>
      </c>
      <c r="C14" s="407"/>
      <c r="D14" s="407"/>
      <c r="E14" s="407"/>
      <c r="F14" s="407"/>
      <c r="G14" s="408"/>
      <c r="H14" s="409">
        <v>1</v>
      </c>
      <c r="I14" s="410"/>
      <c r="J14" s="376" t="s">
        <v>1285</v>
      </c>
      <c r="K14" s="411"/>
      <c r="L14" s="412">
        <v>550</v>
      </c>
      <c r="M14" s="413"/>
      <c r="N14" s="414">
        <f>+(L14)*$N$11+L14</f>
        <v>605</v>
      </c>
    </row>
    <row r="15" spans="1:14" s="351" customFormat="1" ht="32.25" customHeight="1" x14ac:dyDescent="0.25">
      <c r="A15" s="405">
        <f>A14+0.1</f>
        <v>1.2000000000000002</v>
      </c>
      <c r="B15" s="406" t="s">
        <v>1286</v>
      </c>
      <c r="C15" s="407"/>
      <c r="D15" s="407"/>
      <c r="E15" s="407"/>
      <c r="F15" s="407"/>
      <c r="G15" s="408"/>
      <c r="H15" s="409">
        <v>1</v>
      </c>
      <c r="I15" s="410"/>
      <c r="J15" s="376" t="s">
        <v>1285</v>
      </c>
      <c r="K15" s="411"/>
      <c r="L15" s="412">
        <v>800</v>
      </c>
      <c r="M15" s="413"/>
      <c r="N15" s="414">
        <f t="shared" ref="N15:N16" si="0">+(L15)*$N$11+L15</f>
        <v>880</v>
      </c>
    </row>
    <row r="16" spans="1:14" s="351" customFormat="1" ht="32.25" customHeight="1" x14ac:dyDescent="0.25">
      <c r="A16" s="405">
        <f>A15+0.1</f>
        <v>1.3000000000000003</v>
      </c>
      <c r="B16" s="406" t="s">
        <v>1287</v>
      </c>
      <c r="C16" s="407"/>
      <c r="D16" s="407"/>
      <c r="E16" s="407"/>
      <c r="F16" s="407"/>
      <c r="G16" s="408"/>
      <c r="H16" s="409">
        <v>1</v>
      </c>
      <c r="I16" s="410"/>
      <c r="J16" s="376" t="s">
        <v>1285</v>
      </c>
      <c r="K16" s="411"/>
      <c r="L16" s="412">
        <v>1400</v>
      </c>
      <c r="M16" s="413"/>
      <c r="N16" s="414">
        <f t="shared" si="0"/>
        <v>1540</v>
      </c>
    </row>
    <row r="17" spans="1:18" s="351" customFormat="1" ht="32.25" customHeight="1" x14ac:dyDescent="0.25">
      <c r="A17" s="415"/>
      <c r="B17" s="416"/>
      <c r="C17" s="416"/>
      <c r="D17" s="416"/>
      <c r="E17" s="416"/>
      <c r="F17" s="416"/>
      <c r="G17" s="416"/>
      <c r="H17" s="416"/>
      <c r="I17" s="416"/>
      <c r="J17" s="416"/>
      <c r="K17" s="416"/>
      <c r="L17" s="416"/>
      <c r="M17" s="417"/>
      <c r="N17" s="418"/>
    </row>
    <row r="18" spans="1:18" s="351" customFormat="1" ht="32.25" customHeight="1" x14ac:dyDescent="0.25">
      <c r="A18" s="419" t="s">
        <v>1288</v>
      </c>
      <c r="B18" s="420"/>
      <c r="C18" s="420"/>
      <c r="D18" s="420"/>
      <c r="E18" s="420"/>
      <c r="F18" s="420"/>
      <c r="G18" s="420"/>
      <c r="H18" s="420"/>
      <c r="I18" s="420"/>
      <c r="J18" s="420"/>
      <c r="K18" s="420"/>
      <c r="L18" s="420"/>
      <c r="M18" s="421"/>
      <c r="N18" s="418"/>
    </row>
    <row r="19" spans="1:18" s="351" customFormat="1" ht="32.25" customHeight="1" x14ac:dyDescent="0.25">
      <c r="A19" s="405">
        <v>2.1</v>
      </c>
      <c r="B19" s="406" t="s">
        <v>1289</v>
      </c>
      <c r="C19" s="407"/>
      <c r="D19" s="407"/>
      <c r="E19" s="407"/>
      <c r="F19" s="407"/>
      <c r="G19" s="408"/>
      <c r="H19" s="409">
        <v>1</v>
      </c>
      <c r="I19" s="410"/>
      <c r="J19" s="376" t="s">
        <v>1285</v>
      </c>
      <c r="K19" s="411"/>
      <c r="L19" s="409">
        <v>850</v>
      </c>
      <c r="M19" s="422"/>
      <c r="N19" s="414">
        <f>+(L19)*$N$11+L19</f>
        <v>935</v>
      </c>
    </row>
    <row r="20" spans="1:18" s="351" customFormat="1" ht="32.25" customHeight="1" x14ac:dyDescent="0.25">
      <c r="A20" s="405">
        <f>A19+0.1</f>
        <v>2.2000000000000002</v>
      </c>
      <c r="B20" s="406" t="s">
        <v>1290</v>
      </c>
      <c r="C20" s="407"/>
      <c r="D20" s="407"/>
      <c r="E20" s="407"/>
      <c r="F20" s="407"/>
      <c r="G20" s="408"/>
      <c r="H20" s="409">
        <v>1</v>
      </c>
      <c r="I20" s="410"/>
      <c r="J20" s="376" t="s">
        <v>1285</v>
      </c>
      <c r="K20" s="411"/>
      <c r="L20" s="412" t="s">
        <v>1291</v>
      </c>
      <c r="M20" s="413"/>
      <c r="N20" s="414">
        <f>+(1600)*$N$11+1600</f>
        <v>1760</v>
      </c>
      <c r="O20" s="351" t="s">
        <v>1292</v>
      </c>
      <c r="Q20" s="423"/>
      <c r="R20" s="423"/>
    </row>
    <row r="21" spans="1:18" s="351" customFormat="1" ht="32.25" customHeight="1" x14ac:dyDescent="0.25">
      <c r="A21" s="405">
        <f>A20+0.1</f>
        <v>2.3000000000000003</v>
      </c>
      <c r="B21" s="406" t="s">
        <v>1293</v>
      </c>
      <c r="C21" s="407"/>
      <c r="D21" s="407"/>
      <c r="E21" s="407"/>
      <c r="F21" s="407"/>
      <c r="G21" s="408"/>
      <c r="H21" s="409">
        <v>1</v>
      </c>
      <c r="I21" s="410"/>
      <c r="J21" s="376" t="s">
        <v>1285</v>
      </c>
      <c r="K21" s="411"/>
      <c r="L21" s="412">
        <v>2500</v>
      </c>
      <c r="M21" s="413"/>
      <c r="N21" s="414">
        <f t="shared" ref="N21:N22" si="1">+(L21)*$N$11+L21</f>
        <v>2750</v>
      </c>
      <c r="Q21" s="423"/>
      <c r="R21" s="423"/>
    </row>
    <row r="22" spans="1:18" s="351" customFormat="1" ht="32.25" customHeight="1" x14ac:dyDescent="0.25">
      <c r="A22" s="405">
        <f t="shared" ref="A22:A23" si="2">A21+0.1</f>
        <v>2.4000000000000004</v>
      </c>
      <c r="B22" s="406" t="s">
        <v>1294</v>
      </c>
      <c r="C22" s="407"/>
      <c r="D22" s="407"/>
      <c r="E22" s="407"/>
      <c r="F22" s="407"/>
      <c r="G22" s="408"/>
      <c r="H22" s="409">
        <v>1</v>
      </c>
      <c r="I22" s="410"/>
      <c r="J22" s="376" t="s">
        <v>1285</v>
      </c>
      <c r="K22" s="411"/>
      <c r="L22" s="412">
        <v>1450</v>
      </c>
      <c r="M22" s="413"/>
      <c r="N22" s="414">
        <f t="shared" si="1"/>
        <v>1595</v>
      </c>
      <c r="Q22" s="423"/>
      <c r="R22" s="423"/>
    </row>
    <row r="23" spans="1:18" s="351" customFormat="1" ht="32.25" customHeight="1" x14ac:dyDescent="0.25">
      <c r="A23" s="405">
        <f t="shared" si="2"/>
        <v>2.5000000000000004</v>
      </c>
      <c r="B23" s="406" t="s">
        <v>1295</v>
      </c>
      <c r="C23" s="407"/>
      <c r="D23" s="407"/>
      <c r="E23" s="407"/>
      <c r="F23" s="407"/>
      <c r="G23" s="408"/>
      <c r="H23" s="409">
        <v>1</v>
      </c>
      <c r="I23" s="410"/>
      <c r="J23" s="376" t="s">
        <v>1285</v>
      </c>
      <c r="K23" s="411"/>
      <c r="L23" s="409" t="s">
        <v>1296</v>
      </c>
      <c r="M23" s="422"/>
      <c r="N23" s="414">
        <f>+(1400)*$N$11+1400</f>
        <v>1540</v>
      </c>
      <c r="Q23" s="423"/>
      <c r="R23" s="423"/>
    </row>
    <row r="24" spans="1:18" s="351" customFormat="1" ht="32.25" customHeight="1" x14ac:dyDescent="0.25">
      <c r="A24" s="405">
        <f>A23+0.1</f>
        <v>2.6000000000000005</v>
      </c>
      <c r="B24" s="406" t="s">
        <v>1297</v>
      </c>
      <c r="C24" s="407"/>
      <c r="D24" s="407"/>
      <c r="E24" s="407"/>
      <c r="F24" s="407"/>
      <c r="G24" s="408"/>
      <c r="H24" s="409">
        <v>1</v>
      </c>
      <c r="I24" s="410"/>
      <c r="J24" s="376" t="s">
        <v>1285</v>
      </c>
      <c r="K24" s="411"/>
      <c r="L24" s="412">
        <v>900</v>
      </c>
      <c r="M24" s="413"/>
      <c r="N24" s="414">
        <f>+(L24)*$N$11+L24</f>
        <v>990</v>
      </c>
    </row>
    <row r="25" spans="1:18" s="351" customFormat="1" ht="32.25" customHeight="1" x14ac:dyDescent="0.25">
      <c r="A25" s="415"/>
      <c r="B25" s="416"/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417"/>
      <c r="N25" s="418"/>
    </row>
    <row r="26" spans="1:18" s="351" customFormat="1" ht="32.25" customHeight="1" x14ac:dyDescent="0.25">
      <c r="A26" s="419" t="s">
        <v>1298</v>
      </c>
      <c r="B26" s="420"/>
      <c r="C26" s="420"/>
      <c r="D26" s="420"/>
      <c r="E26" s="420"/>
      <c r="F26" s="420"/>
      <c r="G26" s="420"/>
      <c r="H26" s="420"/>
      <c r="I26" s="420"/>
      <c r="J26" s="420"/>
      <c r="K26" s="420"/>
      <c r="L26" s="420"/>
      <c r="M26" s="421"/>
      <c r="N26" s="418"/>
    </row>
    <row r="27" spans="1:18" s="351" customFormat="1" ht="32.25" customHeight="1" thickBot="1" x14ac:dyDescent="0.3">
      <c r="A27" s="424">
        <v>3.1</v>
      </c>
      <c r="B27" s="425" t="s">
        <v>1299</v>
      </c>
      <c r="C27" s="426"/>
      <c r="D27" s="426"/>
      <c r="E27" s="426"/>
      <c r="F27" s="426"/>
      <c r="G27" s="427"/>
      <c r="H27" s="409">
        <v>1</v>
      </c>
      <c r="I27" s="410"/>
      <c r="J27" s="376" t="s">
        <v>1300</v>
      </c>
      <c r="K27" s="411"/>
      <c r="L27" s="412" t="s">
        <v>1301</v>
      </c>
      <c r="M27" s="413"/>
      <c r="N27" s="414">
        <f>+(85)*$N$11+85</f>
        <v>93.5</v>
      </c>
    </row>
    <row r="28" spans="1:18" s="351" customFormat="1" ht="32.25" customHeight="1" x14ac:dyDescent="0.25">
      <c r="A28" s="428"/>
      <c r="B28" s="429" t="s">
        <v>1302</v>
      </c>
      <c r="C28" s="430"/>
      <c r="D28" s="430"/>
      <c r="E28" s="430"/>
      <c r="F28" s="430"/>
      <c r="G28" s="430"/>
      <c r="H28" s="409">
        <v>1</v>
      </c>
      <c r="I28" s="410"/>
      <c r="J28" s="376" t="s">
        <v>1285</v>
      </c>
      <c r="K28" s="411"/>
      <c r="L28" s="431">
        <f>+'[2]MO MAY23'!E14</f>
        <v>440</v>
      </c>
      <c r="M28" s="432"/>
      <c r="N28" s="414">
        <f t="shared" ref="N28:N29" si="3">+(L28)*$N$11+L28</f>
        <v>484</v>
      </c>
    </row>
    <row r="29" spans="1:18" s="351" customFormat="1" ht="32.25" customHeight="1" x14ac:dyDescent="0.25">
      <c r="A29" s="428"/>
      <c r="B29" s="429" t="s">
        <v>1303</v>
      </c>
      <c r="C29" s="430"/>
      <c r="D29" s="430"/>
      <c r="E29" s="430"/>
      <c r="F29" s="430"/>
      <c r="G29" s="430"/>
      <c r="H29" s="409">
        <v>1</v>
      </c>
      <c r="I29" s="410"/>
      <c r="J29" s="376" t="s">
        <v>1285</v>
      </c>
      <c r="K29" s="411"/>
      <c r="L29" s="431">
        <f>+'[2]MO MAY23'!E15</f>
        <v>275</v>
      </c>
      <c r="M29" s="432"/>
      <c r="N29" s="414">
        <f t="shared" si="3"/>
        <v>302.5</v>
      </c>
    </row>
    <row r="30" spans="1:18" s="351" customFormat="1" ht="32.25" customHeight="1" x14ac:dyDescent="0.25">
      <c r="A30" s="428"/>
      <c r="B30" s="429" t="s">
        <v>1304</v>
      </c>
      <c r="C30" s="430"/>
      <c r="D30" s="430"/>
      <c r="E30" s="430"/>
      <c r="F30" s="430"/>
      <c r="G30" s="430"/>
      <c r="H30" s="409">
        <v>1</v>
      </c>
      <c r="I30" s="410"/>
      <c r="J30" s="376" t="s">
        <v>1285</v>
      </c>
      <c r="K30" s="411"/>
      <c r="L30" s="431">
        <f>+'[2]MO MAY23'!E16</f>
        <v>0</v>
      </c>
      <c r="M30" s="432"/>
      <c r="N30" s="414">
        <f t="shared" ref="N30" si="4">+(L30*1.15)*$N$11+L30*1.15</f>
        <v>0</v>
      </c>
    </row>
    <row r="31" spans="1:18" s="351" customFormat="1" ht="32.25" customHeight="1" thickBot="1" x14ac:dyDescent="0.3">
      <c r="A31" s="433"/>
      <c r="B31" s="434"/>
      <c r="C31" s="434"/>
      <c r="D31" s="434"/>
      <c r="E31" s="434"/>
      <c r="F31" s="434"/>
      <c r="G31" s="434"/>
      <c r="H31" s="434"/>
      <c r="I31" s="434"/>
      <c r="J31" s="434"/>
      <c r="K31" s="434"/>
      <c r="L31" s="434"/>
      <c r="M31" s="434"/>
      <c r="N31" s="435"/>
    </row>
    <row r="32" spans="1:18" s="351" customFormat="1" ht="32.25" customHeight="1" thickBot="1" x14ac:dyDescent="0.3">
      <c r="A32" s="395" t="s">
        <v>1305</v>
      </c>
      <c r="B32" s="396"/>
      <c r="C32" s="396"/>
      <c r="D32" s="396"/>
      <c r="E32" s="396"/>
      <c r="F32" s="396"/>
      <c r="G32" s="396"/>
      <c r="H32" s="396"/>
      <c r="I32" s="396"/>
      <c r="J32" s="396"/>
      <c r="K32" s="396"/>
      <c r="L32" s="396"/>
      <c r="M32" s="397"/>
      <c r="N32" s="398">
        <v>0.15</v>
      </c>
    </row>
    <row r="33" spans="1:14" s="351" customFormat="1" ht="32.25" customHeight="1" thickBot="1" x14ac:dyDescent="0.3">
      <c r="A33" s="436"/>
      <c r="B33" s="437"/>
      <c r="C33" s="437"/>
      <c r="D33" s="437"/>
      <c r="E33" s="437"/>
      <c r="F33" s="437"/>
      <c r="G33" s="437"/>
      <c r="H33" s="437"/>
      <c r="I33" s="437"/>
      <c r="J33" s="437"/>
      <c r="K33" s="437"/>
      <c r="L33" s="437"/>
      <c r="M33" s="437"/>
      <c r="N33" s="438">
        <f>+N80</f>
        <v>833.75</v>
      </c>
    </row>
    <row r="34" spans="1:14" s="351" customFormat="1" ht="32.25" customHeight="1" x14ac:dyDescent="0.25">
      <c r="A34" s="401" t="s">
        <v>1306</v>
      </c>
      <c r="B34" s="402"/>
      <c r="C34" s="402"/>
      <c r="D34" s="402"/>
      <c r="E34" s="402"/>
      <c r="F34" s="402"/>
      <c r="G34" s="402"/>
      <c r="H34" s="402"/>
      <c r="I34" s="402"/>
      <c r="J34" s="402"/>
      <c r="K34" s="402"/>
      <c r="L34" s="402"/>
      <c r="M34" s="403"/>
      <c r="N34" s="435"/>
    </row>
    <row r="35" spans="1:14" s="351" customFormat="1" ht="32.25" customHeight="1" x14ac:dyDescent="0.25">
      <c r="A35" s="405">
        <v>1.01</v>
      </c>
      <c r="B35" s="406" t="s">
        <v>1307</v>
      </c>
      <c r="C35" s="407"/>
      <c r="D35" s="407"/>
      <c r="E35" s="407"/>
      <c r="F35" s="407"/>
      <c r="G35" s="408"/>
      <c r="H35" s="409">
        <v>1</v>
      </c>
      <c r="I35" s="410"/>
      <c r="J35" s="376" t="s">
        <v>150</v>
      </c>
      <c r="K35" s="411"/>
      <c r="L35" s="412">
        <v>205</v>
      </c>
      <c r="M35" s="413"/>
      <c r="N35" s="414">
        <f>+(L35)*$N$32+L35</f>
        <v>235.75</v>
      </c>
    </row>
    <row r="36" spans="1:14" s="351" customFormat="1" ht="32.25" customHeight="1" x14ac:dyDescent="0.25">
      <c r="A36" s="405">
        <f>A35+0.01</f>
        <v>1.02</v>
      </c>
      <c r="B36" s="406" t="s">
        <v>1308</v>
      </c>
      <c r="C36" s="407"/>
      <c r="D36" s="407"/>
      <c r="E36" s="407"/>
      <c r="F36" s="407"/>
      <c r="G36" s="408"/>
      <c r="H36" s="409">
        <v>1</v>
      </c>
      <c r="I36" s="410"/>
      <c r="J36" s="376" t="s">
        <v>150</v>
      </c>
      <c r="K36" s="411"/>
      <c r="L36" s="412">
        <v>215</v>
      </c>
      <c r="M36" s="413">
        <v>145</v>
      </c>
      <c r="N36" s="414">
        <f t="shared" ref="N36:N43" si="5">+(L36)*$N$32+L36</f>
        <v>247.25</v>
      </c>
    </row>
    <row r="37" spans="1:14" s="351" customFormat="1" ht="32.25" customHeight="1" x14ac:dyDescent="0.25">
      <c r="A37" s="405">
        <f t="shared" ref="A37:A43" si="6">A36+0.01</f>
        <v>1.03</v>
      </c>
      <c r="B37" s="406" t="s">
        <v>1309</v>
      </c>
      <c r="C37" s="407"/>
      <c r="D37" s="407"/>
      <c r="E37" s="407"/>
      <c r="F37" s="407"/>
      <c r="G37" s="408"/>
      <c r="H37" s="409">
        <v>1</v>
      </c>
      <c r="I37" s="410"/>
      <c r="J37" s="376" t="s">
        <v>150</v>
      </c>
      <c r="K37" s="411"/>
      <c r="L37" s="412">
        <v>205</v>
      </c>
      <c r="M37" s="413"/>
      <c r="N37" s="414">
        <f t="shared" si="5"/>
        <v>235.75</v>
      </c>
    </row>
    <row r="38" spans="1:14" s="351" customFormat="1" ht="32.25" customHeight="1" x14ac:dyDescent="0.25">
      <c r="A38" s="405">
        <f t="shared" si="6"/>
        <v>1.04</v>
      </c>
      <c r="B38" s="406" t="s">
        <v>1310</v>
      </c>
      <c r="C38" s="407"/>
      <c r="D38" s="407"/>
      <c r="E38" s="407"/>
      <c r="F38" s="407"/>
      <c r="G38" s="408"/>
      <c r="H38" s="409">
        <v>1</v>
      </c>
      <c r="I38" s="410"/>
      <c r="J38" s="376" t="s">
        <v>150</v>
      </c>
      <c r="K38" s="411"/>
      <c r="L38" s="412">
        <v>220</v>
      </c>
      <c r="M38" s="413"/>
      <c r="N38" s="414">
        <f t="shared" si="5"/>
        <v>253</v>
      </c>
    </row>
    <row r="39" spans="1:14" s="351" customFormat="1" ht="32.25" customHeight="1" x14ac:dyDescent="0.25">
      <c r="A39" s="405">
        <f t="shared" si="6"/>
        <v>1.05</v>
      </c>
      <c r="B39" s="406" t="s">
        <v>1311</v>
      </c>
      <c r="C39" s="407"/>
      <c r="D39" s="407"/>
      <c r="E39" s="407"/>
      <c r="F39" s="407"/>
      <c r="G39" s="408"/>
      <c r="H39" s="409">
        <v>1</v>
      </c>
      <c r="I39" s="410"/>
      <c r="J39" s="376" t="s">
        <v>79</v>
      </c>
      <c r="K39" s="411"/>
      <c r="L39" s="412">
        <v>430</v>
      </c>
      <c r="M39" s="413"/>
      <c r="N39" s="414">
        <f t="shared" si="5"/>
        <v>494.5</v>
      </c>
    </row>
    <row r="40" spans="1:14" s="351" customFormat="1" ht="32.25" customHeight="1" x14ac:dyDescent="0.25">
      <c r="A40" s="405">
        <f t="shared" si="6"/>
        <v>1.06</v>
      </c>
      <c r="B40" s="406" t="s">
        <v>1312</v>
      </c>
      <c r="C40" s="407"/>
      <c r="D40" s="407"/>
      <c r="E40" s="407"/>
      <c r="F40" s="407"/>
      <c r="G40" s="408"/>
      <c r="H40" s="409">
        <v>1</v>
      </c>
      <c r="I40" s="410"/>
      <c r="J40" s="376" t="s">
        <v>79</v>
      </c>
      <c r="K40" s="411"/>
      <c r="L40" s="412">
        <v>525</v>
      </c>
      <c r="M40" s="413"/>
      <c r="N40" s="414">
        <f t="shared" si="5"/>
        <v>603.75</v>
      </c>
    </row>
    <row r="41" spans="1:14" s="351" customFormat="1" ht="32.25" customHeight="1" x14ac:dyDescent="0.25">
      <c r="A41" s="405">
        <f t="shared" si="6"/>
        <v>1.07</v>
      </c>
      <c r="B41" s="406" t="s">
        <v>1313</v>
      </c>
      <c r="C41" s="407"/>
      <c r="D41" s="407"/>
      <c r="E41" s="407"/>
      <c r="F41" s="407"/>
      <c r="G41" s="408"/>
      <c r="H41" s="409">
        <v>1</v>
      </c>
      <c r="I41" s="410"/>
      <c r="J41" s="376" t="s">
        <v>79</v>
      </c>
      <c r="K41" s="411"/>
      <c r="L41" s="412">
        <v>615</v>
      </c>
      <c r="M41" s="413"/>
      <c r="N41" s="414">
        <f t="shared" si="5"/>
        <v>707.25</v>
      </c>
    </row>
    <row r="42" spans="1:14" s="351" customFormat="1" ht="32.25" customHeight="1" x14ac:dyDescent="0.25">
      <c r="A42" s="405">
        <f t="shared" si="6"/>
        <v>1.08</v>
      </c>
      <c r="B42" s="406" t="s">
        <v>1314</v>
      </c>
      <c r="C42" s="407"/>
      <c r="D42" s="407"/>
      <c r="E42" s="407"/>
      <c r="F42" s="407"/>
      <c r="G42" s="408"/>
      <c r="H42" s="409">
        <v>1</v>
      </c>
      <c r="I42" s="410"/>
      <c r="J42" s="376" t="s">
        <v>79</v>
      </c>
      <c r="K42" s="411"/>
      <c r="L42" s="412">
        <v>710</v>
      </c>
      <c r="M42" s="413"/>
      <c r="N42" s="414">
        <f t="shared" si="5"/>
        <v>816.5</v>
      </c>
    </row>
    <row r="43" spans="1:14" s="351" customFormat="1" ht="32.25" customHeight="1" x14ac:dyDescent="0.25">
      <c r="A43" s="405">
        <f t="shared" si="6"/>
        <v>1.0900000000000001</v>
      </c>
      <c r="B43" s="406" t="s">
        <v>1315</v>
      </c>
      <c r="C43" s="407"/>
      <c r="D43" s="407"/>
      <c r="E43" s="407"/>
      <c r="F43" s="407"/>
      <c r="G43" s="408"/>
      <c r="H43" s="409">
        <v>1</v>
      </c>
      <c r="I43" s="410"/>
      <c r="J43" s="376" t="s">
        <v>147</v>
      </c>
      <c r="K43" s="411"/>
      <c r="L43" s="412">
        <v>585</v>
      </c>
      <c r="M43" s="413"/>
      <c r="N43" s="414">
        <f t="shared" si="5"/>
        <v>672.75</v>
      </c>
    </row>
    <row r="44" spans="1:14" s="351" customFormat="1" ht="32.25" customHeight="1" x14ac:dyDescent="0.25">
      <c r="A44" s="415"/>
      <c r="B44" s="416"/>
      <c r="C44" s="416"/>
      <c r="D44" s="416"/>
      <c r="E44" s="416"/>
      <c r="F44" s="416"/>
      <c r="G44" s="416"/>
      <c r="H44" s="416"/>
      <c r="I44" s="416"/>
      <c r="J44" s="416"/>
      <c r="K44" s="416"/>
      <c r="L44" s="416"/>
      <c r="M44" s="417"/>
      <c r="N44" s="435"/>
    </row>
    <row r="45" spans="1:14" s="351" customFormat="1" ht="32.25" customHeight="1" x14ac:dyDescent="0.25">
      <c r="A45" s="419" t="s">
        <v>1316</v>
      </c>
      <c r="B45" s="420"/>
      <c r="C45" s="420"/>
      <c r="D45" s="420"/>
      <c r="E45" s="420"/>
      <c r="F45" s="420"/>
      <c r="G45" s="420"/>
      <c r="H45" s="420"/>
      <c r="I45" s="420"/>
      <c r="J45" s="420"/>
      <c r="K45" s="420"/>
      <c r="L45" s="420"/>
      <c r="M45" s="421"/>
      <c r="N45" s="435"/>
    </row>
    <row r="46" spans="1:14" s="351" customFormat="1" ht="32.25" customHeight="1" x14ac:dyDescent="0.25">
      <c r="A46" s="419" t="s">
        <v>1317</v>
      </c>
      <c r="B46" s="420"/>
      <c r="C46" s="420"/>
      <c r="D46" s="420"/>
      <c r="E46" s="420"/>
      <c r="F46" s="420"/>
      <c r="G46" s="420"/>
      <c r="H46" s="420"/>
      <c r="I46" s="420"/>
      <c r="J46" s="420"/>
      <c r="K46" s="420"/>
      <c r="L46" s="420"/>
      <c r="M46" s="421"/>
      <c r="N46" s="435"/>
    </row>
    <row r="47" spans="1:14" s="351" customFormat="1" ht="32.25" customHeight="1" x14ac:dyDescent="0.25">
      <c r="A47" s="405">
        <v>2.0099999999999998</v>
      </c>
      <c r="B47" s="406" t="s">
        <v>1318</v>
      </c>
      <c r="C47" s="407"/>
      <c r="D47" s="407"/>
      <c r="E47" s="407"/>
      <c r="F47" s="407"/>
      <c r="G47" s="408"/>
      <c r="H47" s="409">
        <v>1</v>
      </c>
      <c r="I47" s="410"/>
      <c r="J47" s="376" t="s">
        <v>150</v>
      </c>
      <c r="K47" s="411"/>
      <c r="L47" s="409">
        <v>200</v>
      </c>
      <c r="M47" s="422"/>
      <c r="N47" s="414">
        <f t="shared" ref="N47:N55" si="7">+(L47)*$N$32+L47</f>
        <v>230</v>
      </c>
    </row>
    <row r="48" spans="1:14" s="351" customFormat="1" ht="32.25" customHeight="1" x14ac:dyDescent="0.25">
      <c r="A48" s="405">
        <f>A47+0.01</f>
        <v>2.0199999999999996</v>
      </c>
      <c r="B48" s="406" t="s">
        <v>1319</v>
      </c>
      <c r="C48" s="407"/>
      <c r="D48" s="407"/>
      <c r="E48" s="407"/>
      <c r="F48" s="407"/>
      <c r="G48" s="408"/>
      <c r="H48" s="409">
        <v>1</v>
      </c>
      <c r="I48" s="410"/>
      <c r="J48" s="376" t="s">
        <v>150</v>
      </c>
      <c r="K48" s="411"/>
      <c r="L48" s="409">
        <v>200</v>
      </c>
      <c r="M48" s="422"/>
      <c r="N48" s="414">
        <f t="shared" si="7"/>
        <v>230</v>
      </c>
    </row>
    <row r="49" spans="1:14" s="351" customFormat="1" ht="32.25" customHeight="1" x14ac:dyDescent="0.25">
      <c r="A49" s="405">
        <f t="shared" ref="A49:A55" si="8">A48+0.01</f>
        <v>2.0299999999999994</v>
      </c>
      <c r="B49" s="406" t="s">
        <v>1320</v>
      </c>
      <c r="C49" s="407"/>
      <c r="D49" s="407"/>
      <c r="E49" s="407"/>
      <c r="F49" s="407"/>
      <c r="G49" s="408"/>
      <c r="H49" s="409">
        <v>1</v>
      </c>
      <c r="I49" s="410"/>
      <c r="J49" s="376" t="s">
        <v>150</v>
      </c>
      <c r="K49" s="411"/>
      <c r="L49" s="409">
        <v>205</v>
      </c>
      <c r="M49" s="422"/>
      <c r="N49" s="414">
        <f t="shared" si="7"/>
        <v>235.75</v>
      </c>
    </row>
    <row r="50" spans="1:14" s="351" customFormat="1" ht="32.25" customHeight="1" x14ac:dyDescent="0.25">
      <c r="A50" s="405">
        <f t="shared" si="8"/>
        <v>2.0399999999999991</v>
      </c>
      <c r="B50" s="406" t="s">
        <v>1321</v>
      </c>
      <c r="C50" s="407"/>
      <c r="D50" s="407"/>
      <c r="E50" s="407"/>
      <c r="F50" s="407"/>
      <c r="G50" s="408"/>
      <c r="H50" s="409">
        <v>1</v>
      </c>
      <c r="I50" s="410"/>
      <c r="J50" s="376" t="s">
        <v>150</v>
      </c>
      <c r="K50" s="411"/>
      <c r="L50" s="439">
        <v>285</v>
      </c>
      <c r="M50" s="440"/>
      <c r="N50" s="414">
        <f t="shared" si="7"/>
        <v>327.75</v>
      </c>
    </row>
    <row r="51" spans="1:14" s="351" customFormat="1" ht="32.25" customHeight="1" x14ac:dyDescent="0.25">
      <c r="A51" s="405">
        <f t="shared" si="8"/>
        <v>2.0499999999999989</v>
      </c>
      <c r="B51" s="406" t="s">
        <v>1322</v>
      </c>
      <c r="C51" s="407"/>
      <c r="D51" s="407"/>
      <c r="E51" s="407"/>
      <c r="F51" s="407"/>
      <c r="G51" s="408"/>
      <c r="H51" s="409">
        <v>1</v>
      </c>
      <c r="I51" s="410"/>
      <c r="J51" s="376" t="s">
        <v>150</v>
      </c>
      <c r="K51" s="411"/>
      <c r="L51" s="409">
        <v>245</v>
      </c>
      <c r="M51" s="422"/>
      <c r="N51" s="414">
        <f t="shared" si="7"/>
        <v>281.75</v>
      </c>
    </row>
    <row r="52" spans="1:14" s="351" customFormat="1" ht="32.25" customHeight="1" x14ac:dyDescent="0.25">
      <c r="A52" s="405">
        <f t="shared" si="8"/>
        <v>2.0599999999999987</v>
      </c>
      <c r="B52" s="406" t="s">
        <v>1323</v>
      </c>
      <c r="C52" s="407"/>
      <c r="D52" s="407"/>
      <c r="E52" s="407"/>
      <c r="F52" s="407"/>
      <c r="G52" s="408"/>
      <c r="H52" s="409">
        <v>1</v>
      </c>
      <c r="I52" s="410"/>
      <c r="J52" s="376" t="s">
        <v>150</v>
      </c>
      <c r="K52" s="411"/>
      <c r="L52" s="439">
        <v>340</v>
      </c>
      <c r="M52" s="440"/>
      <c r="N52" s="414">
        <f t="shared" si="7"/>
        <v>391</v>
      </c>
    </row>
    <row r="53" spans="1:14" s="351" customFormat="1" ht="32.25" customHeight="1" x14ac:dyDescent="0.25">
      <c r="A53" s="405">
        <f t="shared" si="8"/>
        <v>2.0699999999999985</v>
      </c>
      <c r="B53" s="406" t="s">
        <v>1324</v>
      </c>
      <c r="C53" s="407"/>
      <c r="D53" s="407"/>
      <c r="E53" s="407"/>
      <c r="F53" s="407"/>
      <c r="G53" s="408"/>
      <c r="H53" s="409">
        <v>1</v>
      </c>
      <c r="I53" s="410"/>
      <c r="J53" s="376" t="s">
        <v>150</v>
      </c>
      <c r="K53" s="411"/>
      <c r="L53" s="409">
        <v>290</v>
      </c>
      <c r="M53" s="422"/>
      <c r="N53" s="414">
        <f t="shared" si="7"/>
        <v>333.5</v>
      </c>
    </row>
    <row r="54" spans="1:14" s="351" customFormat="1" ht="32.25" customHeight="1" x14ac:dyDescent="0.25">
      <c r="A54" s="405">
        <f t="shared" si="8"/>
        <v>2.0799999999999983</v>
      </c>
      <c r="B54" s="406" t="s">
        <v>1325</v>
      </c>
      <c r="C54" s="407"/>
      <c r="D54" s="407"/>
      <c r="E54" s="407"/>
      <c r="F54" s="407"/>
      <c r="G54" s="408"/>
      <c r="H54" s="409">
        <v>1</v>
      </c>
      <c r="I54" s="410"/>
      <c r="J54" s="376" t="s">
        <v>150</v>
      </c>
      <c r="K54" s="411"/>
      <c r="L54" s="439">
        <v>385</v>
      </c>
      <c r="M54" s="440"/>
      <c r="N54" s="414">
        <f t="shared" si="7"/>
        <v>442.75</v>
      </c>
    </row>
    <row r="55" spans="1:14" s="351" customFormat="1" ht="32.25" customHeight="1" x14ac:dyDescent="0.25">
      <c r="A55" s="441">
        <f t="shared" si="8"/>
        <v>2.0899999999999981</v>
      </c>
      <c r="B55" s="406" t="s">
        <v>1326</v>
      </c>
      <c r="C55" s="407"/>
      <c r="D55" s="407"/>
      <c r="E55" s="407"/>
      <c r="F55" s="407"/>
      <c r="G55" s="408"/>
      <c r="H55" s="409">
        <v>1</v>
      </c>
      <c r="I55" s="410"/>
      <c r="J55" s="376" t="s">
        <v>147</v>
      </c>
      <c r="K55" s="411"/>
      <c r="L55" s="409">
        <v>725</v>
      </c>
      <c r="M55" s="422"/>
      <c r="N55" s="414">
        <f t="shared" si="7"/>
        <v>833.75</v>
      </c>
    </row>
    <row r="56" spans="1:14" s="351" customFormat="1" ht="32.25" customHeight="1" x14ac:dyDescent="0.25">
      <c r="A56" s="419" t="s">
        <v>1327</v>
      </c>
      <c r="B56" s="420"/>
      <c r="C56" s="420"/>
      <c r="D56" s="420"/>
      <c r="E56" s="420"/>
      <c r="F56" s="420"/>
      <c r="G56" s="420"/>
      <c r="H56" s="420"/>
      <c r="I56" s="420"/>
      <c r="J56" s="420"/>
      <c r="K56" s="420"/>
      <c r="L56" s="420"/>
      <c r="M56" s="421"/>
      <c r="N56" s="435"/>
    </row>
    <row r="57" spans="1:14" s="351" customFormat="1" ht="32.25" customHeight="1" x14ac:dyDescent="0.25">
      <c r="A57" s="405">
        <f>A54+0.01</f>
        <v>2.0899999999999981</v>
      </c>
      <c r="B57" s="406" t="s">
        <v>1328</v>
      </c>
      <c r="C57" s="407"/>
      <c r="D57" s="407"/>
      <c r="E57" s="407"/>
      <c r="F57" s="407"/>
      <c r="G57" s="408"/>
      <c r="H57" s="409">
        <v>1</v>
      </c>
      <c r="I57" s="410"/>
      <c r="J57" s="376" t="s">
        <v>150</v>
      </c>
      <c r="K57" s="411"/>
      <c r="L57" s="409">
        <v>310</v>
      </c>
      <c r="M57" s="422"/>
      <c r="N57" s="414">
        <f t="shared" ref="N57:N61" si="9">+(L57)*$N$32+L57</f>
        <v>356.5</v>
      </c>
    </row>
    <row r="58" spans="1:14" s="351" customFormat="1" ht="32.25" customHeight="1" x14ac:dyDescent="0.25">
      <c r="A58" s="441">
        <f>A57+0.01</f>
        <v>2.0999999999999979</v>
      </c>
      <c r="B58" s="406" t="s">
        <v>1329</v>
      </c>
      <c r="C58" s="407"/>
      <c r="D58" s="407"/>
      <c r="E58" s="407"/>
      <c r="F58" s="407"/>
      <c r="G58" s="408"/>
      <c r="H58" s="409">
        <v>1</v>
      </c>
      <c r="I58" s="410"/>
      <c r="J58" s="376" t="s">
        <v>150</v>
      </c>
      <c r="K58" s="411"/>
      <c r="L58" s="409">
        <v>350</v>
      </c>
      <c r="M58" s="422"/>
      <c r="N58" s="414">
        <f t="shared" si="9"/>
        <v>402.5</v>
      </c>
    </row>
    <row r="59" spans="1:14" s="351" customFormat="1" ht="32.25" customHeight="1" x14ac:dyDescent="0.25">
      <c r="A59" s="441">
        <f t="shared" ref="A59:A61" si="10">A58+0.01</f>
        <v>2.1099999999999977</v>
      </c>
      <c r="B59" s="406" t="s">
        <v>1330</v>
      </c>
      <c r="C59" s="407"/>
      <c r="D59" s="407"/>
      <c r="E59" s="407"/>
      <c r="F59" s="407"/>
      <c r="G59" s="408"/>
      <c r="H59" s="409">
        <v>1</v>
      </c>
      <c r="I59" s="410"/>
      <c r="J59" s="376" t="s">
        <v>150</v>
      </c>
      <c r="K59" s="411"/>
      <c r="L59" s="409">
        <v>365</v>
      </c>
      <c r="M59" s="422"/>
      <c r="N59" s="414">
        <f t="shared" si="9"/>
        <v>419.75</v>
      </c>
    </row>
    <row r="60" spans="1:14" s="351" customFormat="1" ht="32.25" customHeight="1" x14ac:dyDescent="0.25">
      <c r="A60" s="441">
        <f t="shared" si="10"/>
        <v>2.1199999999999974</v>
      </c>
      <c r="B60" s="406" t="s">
        <v>1331</v>
      </c>
      <c r="C60" s="407"/>
      <c r="D60" s="407"/>
      <c r="E60" s="407"/>
      <c r="F60" s="407"/>
      <c r="G60" s="408"/>
      <c r="H60" s="409">
        <v>1</v>
      </c>
      <c r="I60" s="410"/>
      <c r="J60" s="376" t="s">
        <v>150</v>
      </c>
      <c r="K60" s="411"/>
      <c r="L60" s="409">
        <v>395</v>
      </c>
      <c r="M60" s="422"/>
      <c r="N60" s="414">
        <f t="shared" si="9"/>
        <v>454.25</v>
      </c>
    </row>
    <row r="61" spans="1:14" s="351" customFormat="1" ht="32.25" customHeight="1" x14ac:dyDescent="0.25">
      <c r="A61" s="441">
        <f t="shared" si="10"/>
        <v>2.1299999999999972</v>
      </c>
      <c r="B61" s="406" t="s">
        <v>1326</v>
      </c>
      <c r="C61" s="407"/>
      <c r="D61" s="407"/>
      <c r="E61" s="407"/>
      <c r="F61" s="407"/>
      <c r="G61" s="408"/>
      <c r="H61" s="409">
        <v>1</v>
      </c>
      <c r="I61" s="410"/>
      <c r="J61" s="376" t="s">
        <v>147</v>
      </c>
      <c r="K61" s="411"/>
      <c r="L61" s="409">
        <v>725</v>
      </c>
      <c r="M61" s="422"/>
      <c r="N61" s="414">
        <f t="shared" si="9"/>
        <v>833.75</v>
      </c>
    </row>
    <row r="62" spans="1:14" s="351" customFormat="1" ht="32.25" customHeight="1" x14ac:dyDescent="0.25">
      <c r="A62" s="415"/>
      <c r="B62" s="416"/>
      <c r="C62" s="416"/>
      <c r="D62" s="416"/>
      <c r="E62" s="416"/>
      <c r="F62" s="416"/>
      <c r="G62" s="416"/>
      <c r="H62" s="416"/>
      <c r="I62" s="416"/>
      <c r="J62" s="416"/>
      <c r="K62" s="416"/>
      <c r="L62" s="416"/>
      <c r="M62" s="417"/>
      <c r="N62" s="435"/>
    </row>
    <row r="63" spans="1:14" s="351" customFormat="1" ht="32.25" customHeight="1" x14ac:dyDescent="0.25">
      <c r="A63" s="419" t="s">
        <v>1332</v>
      </c>
      <c r="B63" s="420"/>
      <c r="C63" s="420"/>
      <c r="D63" s="420"/>
      <c r="E63" s="420"/>
      <c r="F63" s="420"/>
      <c r="G63" s="420"/>
      <c r="H63" s="420"/>
      <c r="I63" s="420"/>
      <c r="J63" s="420"/>
      <c r="K63" s="420"/>
      <c r="L63" s="420"/>
      <c r="M63" s="421"/>
      <c r="N63" s="435"/>
    </row>
    <row r="64" spans="1:14" s="351" customFormat="1" ht="32.25" customHeight="1" x14ac:dyDescent="0.25">
      <c r="A64" s="419" t="s">
        <v>1333</v>
      </c>
      <c r="B64" s="420"/>
      <c r="C64" s="420"/>
      <c r="D64" s="420"/>
      <c r="E64" s="420"/>
      <c r="F64" s="420"/>
      <c r="G64" s="420"/>
      <c r="H64" s="420"/>
      <c r="I64" s="420"/>
      <c r="J64" s="420"/>
      <c r="K64" s="420"/>
      <c r="L64" s="420"/>
      <c r="M64" s="421"/>
      <c r="N64" s="435"/>
    </row>
    <row r="65" spans="1:14" s="351" customFormat="1" ht="32.25" customHeight="1" x14ac:dyDescent="0.25">
      <c r="A65" s="405">
        <v>3.01</v>
      </c>
      <c r="B65" s="406" t="s">
        <v>1334</v>
      </c>
      <c r="C65" s="407"/>
      <c r="D65" s="407"/>
      <c r="E65" s="407"/>
      <c r="F65" s="407"/>
      <c r="G65" s="408"/>
      <c r="H65" s="409">
        <v>1</v>
      </c>
      <c r="I65" s="410"/>
      <c r="J65" s="376" t="s">
        <v>150</v>
      </c>
      <c r="K65" s="411"/>
      <c r="L65" s="409">
        <v>200</v>
      </c>
      <c r="M65" s="422"/>
      <c r="N65" s="414">
        <f t="shared" ref="N65:N80" si="11">+(L65)*$N$32+L65</f>
        <v>230</v>
      </c>
    </row>
    <row r="66" spans="1:14" s="351" customFormat="1" ht="32.25" customHeight="1" x14ac:dyDescent="0.25">
      <c r="A66" s="405">
        <f>A65+0.01</f>
        <v>3.0199999999999996</v>
      </c>
      <c r="B66" s="406" t="s">
        <v>1335</v>
      </c>
      <c r="C66" s="407"/>
      <c r="D66" s="407"/>
      <c r="E66" s="407"/>
      <c r="F66" s="407"/>
      <c r="G66" s="408"/>
      <c r="H66" s="409">
        <v>1</v>
      </c>
      <c r="I66" s="410"/>
      <c r="J66" s="376" t="s">
        <v>150</v>
      </c>
      <c r="K66" s="411"/>
      <c r="L66" s="409">
        <v>200</v>
      </c>
      <c r="M66" s="422"/>
      <c r="N66" s="414">
        <f t="shared" si="11"/>
        <v>230</v>
      </c>
    </row>
    <row r="67" spans="1:14" s="351" customFormat="1" ht="32.25" customHeight="1" x14ac:dyDescent="0.25">
      <c r="A67" s="405">
        <f t="shared" ref="A67:A80" si="12">A66+0.01</f>
        <v>3.0299999999999994</v>
      </c>
      <c r="B67" s="406" t="s">
        <v>1336</v>
      </c>
      <c r="C67" s="407"/>
      <c r="D67" s="407"/>
      <c r="E67" s="407"/>
      <c r="F67" s="407"/>
      <c r="G67" s="408"/>
      <c r="H67" s="409">
        <v>1</v>
      </c>
      <c r="I67" s="410"/>
      <c r="J67" s="376" t="s">
        <v>150</v>
      </c>
      <c r="K67" s="411"/>
      <c r="L67" s="439">
        <v>225</v>
      </c>
      <c r="M67" s="440"/>
      <c r="N67" s="414">
        <f t="shared" si="11"/>
        <v>258.75</v>
      </c>
    </row>
    <row r="68" spans="1:14" s="351" customFormat="1" ht="32.25" customHeight="1" x14ac:dyDescent="0.25">
      <c r="A68" s="405">
        <f t="shared" si="12"/>
        <v>3.0399999999999991</v>
      </c>
      <c r="B68" s="406" t="s">
        <v>1337</v>
      </c>
      <c r="C68" s="407"/>
      <c r="D68" s="407"/>
      <c r="E68" s="407"/>
      <c r="F68" s="407"/>
      <c r="G68" s="408"/>
      <c r="H68" s="409">
        <v>1</v>
      </c>
      <c r="I68" s="410"/>
      <c r="J68" s="376" t="s">
        <v>150</v>
      </c>
      <c r="K68" s="411"/>
      <c r="L68" s="409">
        <v>210</v>
      </c>
      <c r="M68" s="422"/>
      <c r="N68" s="414">
        <f t="shared" si="11"/>
        <v>241.5</v>
      </c>
    </row>
    <row r="69" spans="1:14" s="351" customFormat="1" ht="32.25" customHeight="1" x14ac:dyDescent="0.25">
      <c r="A69" s="405">
        <f t="shared" si="12"/>
        <v>3.0499999999999989</v>
      </c>
      <c r="B69" s="406" t="s">
        <v>1338</v>
      </c>
      <c r="C69" s="407"/>
      <c r="D69" s="407"/>
      <c r="E69" s="407"/>
      <c r="F69" s="407"/>
      <c r="G69" s="408"/>
      <c r="H69" s="409">
        <v>1</v>
      </c>
      <c r="I69" s="410"/>
      <c r="J69" s="376" t="s">
        <v>150</v>
      </c>
      <c r="K69" s="411"/>
      <c r="L69" s="439">
        <v>240</v>
      </c>
      <c r="M69" s="440"/>
      <c r="N69" s="414">
        <f t="shared" si="11"/>
        <v>276</v>
      </c>
    </row>
    <row r="70" spans="1:14" s="351" customFormat="1" ht="32.25" customHeight="1" x14ac:dyDescent="0.25">
      <c r="A70" s="405">
        <f t="shared" si="12"/>
        <v>3.0599999999999987</v>
      </c>
      <c r="B70" s="406" t="s">
        <v>1339</v>
      </c>
      <c r="C70" s="407"/>
      <c r="D70" s="407"/>
      <c r="E70" s="407"/>
      <c r="F70" s="407"/>
      <c r="G70" s="408"/>
      <c r="H70" s="409">
        <v>1</v>
      </c>
      <c r="I70" s="410"/>
      <c r="J70" s="376" t="s">
        <v>150</v>
      </c>
      <c r="K70" s="411"/>
      <c r="L70" s="409">
        <v>225</v>
      </c>
      <c r="M70" s="422"/>
      <c r="N70" s="414">
        <f t="shared" si="11"/>
        <v>258.75</v>
      </c>
    </row>
    <row r="71" spans="1:14" s="351" customFormat="1" ht="32.25" customHeight="1" x14ac:dyDescent="0.25">
      <c r="A71" s="405">
        <f t="shared" si="12"/>
        <v>3.0699999999999985</v>
      </c>
      <c r="B71" s="406" t="s">
        <v>1340</v>
      </c>
      <c r="C71" s="407"/>
      <c r="D71" s="407"/>
      <c r="E71" s="407"/>
      <c r="F71" s="407"/>
      <c r="G71" s="408"/>
      <c r="H71" s="409">
        <v>1</v>
      </c>
      <c r="I71" s="410"/>
      <c r="J71" s="376" t="s">
        <v>150</v>
      </c>
      <c r="K71" s="411"/>
      <c r="L71" s="439">
        <v>258</v>
      </c>
      <c r="M71" s="440"/>
      <c r="N71" s="414">
        <f t="shared" si="11"/>
        <v>296.7</v>
      </c>
    </row>
    <row r="72" spans="1:14" s="351" customFormat="1" ht="32.25" customHeight="1" x14ac:dyDescent="0.25">
      <c r="A72" s="405">
        <f t="shared" si="12"/>
        <v>3.0799999999999983</v>
      </c>
      <c r="B72" s="406" t="s">
        <v>1341</v>
      </c>
      <c r="C72" s="407"/>
      <c r="D72" s="407"/>
      <c r="E72" s="407"/>
      <c r="F72" s="407"/>
      <c r="G72" s="408"/>
      <c r="H72" s="409">
        <v>1</v>
      </c>
      <c r="I72" s="410"/>
      <c r="J72" s="376" t="s">
        <v>150</v>
      </c>
      <c r="K72" s="411"/>
      <c r="L72" s="409">
        <v>240</v>
      </c>
      <c r="M72" s="422"/>
      <c r="N72" s="414">
        <f t="shared" si="11"/>
        <v>276</v>
      </c>
    </row>
    <row r="73" spans="1:14" s="351" customFormat="1" ht="32.25" customHeight="1" x14ac:dyDescent="0.25">
      <c r="A73" s="405">
        <f t="shared" si="12"/>
        <v>3.0899999999999981</v>
      </c>
      <c r="B73" s="406" t="s">
        <v>1342</v>
      </c>
      <c r="C73" s="407"/>
      <c r="D73" s="407"/>
      <c r="E73" s="407"/>
      <c r="F73" s="407"/>
      <c r="G73" s="408"/>
      <c r="H73" s="409">
        <v>1</v>
      </c>
      <c r="I73" s="410"/>
      <c r="J73" s="376" t="s">
        <v>150</v>
      </c>
      <c r="K73" s="411"/>
      <c r="L73" s="439">
        <v>275</v>
      </c>
      <c r="M73" s="440"/>
      <c r="N73" s="414">
        <f t="shared" si="11"/>
        <v>316.25</v>
      </c>
    </row>
    <row r="74" spans="1:14" s="351" customFormat="1" ht="32.25" customHeight="1" x14ac:dyDescent="0.25">
      <c r="A74" s="441">
        <f t="shared" si="12"/>
        <v>3.0999999999999979</v>
      </c>
      <c r="B74" s="406" t="s">
        <v>1343</v>
      </c>
      <c r="C74" s="407"/>
      <c r="D74" s="407"/>
      <c r="E74" s="407"/>
      <c r="F74" s="407"/>
      <c r="G74" s="408"/>
      <c r="H74" s="409">
        <v>1</v>
      </c>
      <c r="I74" s="410"/>
      <c r="J74" s="376" t="s">
        <v>150</v>
      </c>
      <c r="K74" s="411"/>
      <c r="L74" s="409">
        <v>260</v>
      </c>
      <c r="M74" s="422"/>
      <c r="N74" s="414">
        <f t="shared" si="11"/>
        <v>299</v>
      </c>
    </row>
    <row r="75" spans="1:14" s="351" customFormat="1" ht="32.25" customHeight="1" x14ac:dyDescent="0.25">
      <c r="A75" s="405">
        <f t="shared" si="12"/>
        <v>3.1099999999999977</v>
      </c>
      <c r="B75" s="406" t="s">
        <v>1344</v>
      </c>
      <c r="C75" s="407"/>
      <c r="D75" s="407"/>
      <c r="E75" s="407"/>
      <c r="F75" s="407"/>
      <c r="G75" s="408"/>
      <c r="H75" s="409">
        <v>1</v>
      </c>
      <c r="I75" s="410"/>
      <c r="J75" s="376" t="s">
        <v>150</v>
      </c>
      <c r="K75" s="411"/>
      <c r="L75" s="439">
        <v>320</v>
      </c>
      <c r="M75" s="440"/>
      <c r="N75" s="414">
        <f t="shared" si="11"/>
        <v>368</v>
      </c>
    </row>
    <row r="76" spans="1:14" s="351" customFormat="1" ht="32.25" customHeight="1" x14ac:dyDescent="0.25">
      <c r="A76" s="405">
        <f t="shared" si="12"/>
        <v>3.1199999999999974</v>
      </c>
      <c r="B76" s="406" t="s">
        <v>1345</v>
      </c>
      <c r="C76" s="407"/>
      <c r="D76" s="407"/>
      <c r="E76" s="407"/>
      <c r="F76" s="407"/>
      <c r="G76" s="408"/>
      <c r="H76" s="409">
        <v>1</v>
      </c>
      <c r="I76" s="410"/>
      <c r="J76" s="376" t="s">
        <v>150</v>
      </c>
      <c r="K76" s="411"/>
      <c r="L76" s="409">
        <v>280</v>
      </c>
      <c r="M76" s="422"/>
      <c r="N76" s="414">
        <f t="shared" si="11"/>
        <v>322</v>
      </c>
    </row>
    <row r="77" spans="1:14" s="351" customFormat="1" ht="32.25" customHeight="1" x14ac:dyDescent="0.25">
      <c r="A77" s="405">
        <f t="shared" si="12"/>
        <v>3.1299999999999972</v>
      </c>
      <c r="B77" s="406" t="s">
        <v>1346</v>
      </c>
      <c r="C77" s="407"/>
      <c r="D77" s="407"/>
      <c r="E77" s="407"/>
      <c r="F77" s="407"/>
      <c r="G77" s="408"/>
      <c r="H77" s="409">
        <v>1</v>
      </c>
      <c r="I77" s="410"/>
      <c r="J77" s="376" t="s">
        <v>150</v>
      </c>
      <c r="K77" s="411"/>
      <c r="L77" s="439">
        <v>360</v>
      </c>
      <c r="M77" s="440"/>
      <c r="N77" s="414">
        <f t="shared" si="11"/>
        <v>414</v>
      </c>
    </row>
    <row r="78" spans="1:14" s="351" customFormat="1" ht="32.25" customHeight="1" x14ac:dyDescent="0.25">
      <c r="A78" s="405">
        <f t="shared" si="12"/>
        <v>3.139999999999997</v>
      </c>
      <c r="B78" s="406" t="s">
        <v>1347</v>
      </c>
      <c r="C78" s="407"/>
      <c r="D78" s="407"/>
      <c r="E78" s="407"/>
      <c r="F78" s="407"/>
      <c r="G78" s="408"/>
      <c r="H78" s="409">
        <v>1</v>
      </c>
      <c r="I78" s="410"/>
      <c r="J78" s="376" t="s">
        <v>150</v>
      </c>
      <c r="K78" s="411"/>
      <c r="L78" s="409">
        <v>290</v>
      </c>
      <c r="M78" s="422"/>
      <c r="N78" s="414">
        <f t="shared" si="11"/>
        <v>333.5</v>
      </c>
    </row>
    <row r="79" spans="1:14" s="351" customFormat="1" ht="32.25" customHeight="1" x14ac:dyDescent="0.25">
      <c r="A79" s="405">
        <f t="shared" si="12"/>
        <v>3.1499999999999968</v>
      </c>
      <c r="B79" s="406" t="s">
        <v>1348</v>
      </c>
      <c r="C79" s="407"/>
      <c r="D79" s="407"/>
      <c r="E79" s="407"/>
      <c r="F79" s="407"/>
      <c r="G79" s="408"/>
      <c r="H79" s="409">
        <v>1</v>
      </c>
      <c r="I79" s="410"/>
      <c r="J79" s="376" t="s">
        <v>150</v>
      </c>
      <c r="K79" s="411"/>
      <c r="L79" s="439">
        <v>390</v>
      </c>
      <c r="M79" s="440"/>
      <c r="N79" s="414">
        <f t="shared" si="11"/>
        <v>448.5</v>
      </c>
    </row>
    <row r="80" spans="1:14" s="351" customFormat="1" ht="32.25" customHeight="1" x14ac:dyDescent="0.25">
      <c r="A80" s="405">
        <f t="shared" si="12"/>
        <v>3.1599999999999966</v>
      </c>
      <c r="B80" s="406" t="s">
        <v>1349</v>
      </c>
      <c r="C80" s="407"/>
      <c r="D80" s="407"/>
      <c r="E80" s="407"/>
      <c r="F80" s="407"/>
      <c r="G80" s="408"/>
      <c r="H80" s="409">
        <v>1</v>
      </c>
      <c r="I80" s="410"/>
      <c r="J80" s="376" t="s">
        <v>147</v>
      </c>
      <c r="K80" s="411"/>
      <c r="L80" s="439">
        <v>725</v>
      </c>
      <c r="M80" s="440"/>
      <c r="N80" s="414">
        <f t="shared" si="11"/>
        <v>833.75</v>
      </c>
    </row>
    <row r="81" spans="1:14" s="351" customFormat="1" ht="32.25" customHeight="1" x14ac:dyDescent="0.25">
      <c r="A81" s="419" t="s">
        <v>1350</v>
      </c>
      <c r="B81" s="420"/>
      <c r="C81" s="420"/>
      <c r="D81" s="420"/>
      <c r="E81" s="420"/>
      <c r="F81" s="420"/>
      <c r="G81" s="420"/>
      <c r="H81" s="420"/>
      <c r="I81" s="420"/>
      <c r="J81" s="420"/>
      <c r="K81" s="420"/>
      <c r="L81" s="420"/>
      <c r="M81" s="421"/>
      <c r="N81" s="435"/>
    </row>
    <row r="82" spans="1:14" s="351" customFormat="1" ht="32.25" customHeight="1" x14ac:dyDescent="0.25">
      <c r="A82" s="405">
        <v>3.01</v>
      </c>
      <c r="B82" s="406" t="s">
        <v>1351</v>
      </c>
      <c r="C82" s="407"/>
      <c r="D82" s="407"/>
      <c r="E82" s="407"/>
      <c r="F82" s="407"/>
      <c r="G82" s="408"/>
      <c r="H82" s="409">
        <v>1</v>
      </c>
      <c r="I82" s="410"/>
      <c r="J82" s="376" t="s">
        <v>150</v>
      </c>
      <c r="K82" s="411"/>
      <c r="L82" s="409">
        <v>150</v>
      </c>
      <c r="M82" s="422"/>
      <c r="N82" s="414">
        <f t="shared" ref="N82:N91" si="13">+(L82)*$N$32+L82</f>
        <v>172.5</v>
      </c>
    </row>
    <row r="83" spans="1:14" s="351" customFormat="1" ht="32.25" customHeight="1" x14ac:dyDescent="0.25">
      <c r="A83" s="405">
        <f>A82+0.01</f>
        <v>3.0199999999999996</v>
      </c>
      <c r="B83" s="406" t="s">
        <v>1352</v>
      </c>
      <c r="C83" s="407"/>
      <c r="D83" s="407"/>
      <c r="E83" s="407"/>
      <c r="F83" s="407"/>
      <c r="G83" s="408"/>
      <c r="H83" s="409">
        <v>1</v>
      </c>
      <c r="I83" s="410"/>
      <c r="J83" s="376" t="s">
        <v>150</v>
      </c>
      <c r="K83" s="411"/>
      <c r="L83" s="409">
        <v>180</v>
      </c>
      <c r="M83" s="422"/>
      <c r="N83" s="414">
        <f t="shared" si="13"/>
        <v>207</v>
      </c>
    </row>
    <row r="84" spans="1:14" s="351" customFormat="1" ht="32.25" customHeight="1" x14ac:dyDescent="0.25">
      <c r="A84" s="405">
        <f t="shared" ref="A84:A91" si="14">A83+0.01</f>
        <v>3.0299999999999994</v>
      </c>
      <c r="B84" s="406" t="s">
        <v>1353</v>
      </c>
      <c r="C84" s="407"/>
      <c r="D84" s="407"/>
      <c r="E84" s="407"/>
      <c r="F84" s="407"/>
      <c r="G84" s="408"/>
      <c r="H84" s="409">
        <v>1</v>
      </c>
      <c r="I84" s="410"/>
      <c r="J84" s="376" t="s">
        <v>150</v>
      </c>
      <c r="K84" s="411"/>
      <c r="L84" s="409">
        <v>200</v>
      </c>
      <c r="M84" s="422"/>
      <c r="N84" s="414">
        <f t="shared" si="13"/>
        <v>230</v>
      </c>
    </row>
    <row r="85" spans="1:14" s="351" customFormat="1" ht="32.25" customHeight="1" x14ac:dyDescent="0.25">
      <c r="A85" s="405">
        <f t="shared" si="14"/>
        <v>3.0399999999999991</v>
      </c>
      <c r="B85" s="406" t="s">
        <v>1354</v>
      </c>
      <c r="C85" s="407"/>
      <c r="D85" s="407"/>
      <c r="E85" s="407"/>
      <c r="F85" s="407"/>
      <c r="G85" s="408"/>
      <c r="H85" s="409">
        <v>1</v>
      </c>
      <c r="I85" s="410"/>
      <c r="J85" s="376" t="s">
        <v>150</v>
      </c>
      <c r="K85" s="411"/>
      <c r="L85" s="439">
        <v>220</v>
      </c>
      <c r="M85" s="440"/>
      <c r="N85" s="414">
        <f t="shared" si="13"/>
        <v>253</v>
      </c>
    </row>
    <row r="86" spans="1:14" s="351" customFormat="1" ht="32.25" customHeight="1" x14ac:dyDescent="0.25">
      <c r="A86" s="405">
        <f t="shared" si="14"/>
        <v>3.0499999999999989</v>
      </c>
      <c r="B86" s="406" t="s">
        <v>1355</v>
      </c>
      <c r="C86" s="407"/>
      <c r="D86" s="407"/>
      <c r="E86" s="407"/>
      <c r="F86" s="407"/>
      <c r="G86" s="408"/>
      <c r="H86" s="409">
        <v>1</v>
      </c>
      <c r="I86" s="410"/>
      <c r="J86" s="376" t="s">
        <v>150</v>
      </c>
      <c r="K86" s="411"/>
      <c r="L86" s="439">
        <v>225</v>
      </c>
      <c r="M86" s="440"/>
      <c r="N86" s="414">
        <f t="shared" si="13"/>
        <v>258.75</v>
      </c>
    </row>
    <row r="87" spans="1:14" s="351" customFormat="1" ht="32.25" customHeight="1" x14ac:dyDescent="0.25">
      <c r="A87" s="405">
        <f t="shared" si="14"/>
        <v>3.0599999999999987</v>
      </c>
      <c r="B87" s="406" t="s">
        <v>1356</v>
      </c>
      <c r="C87" s="407"/>
      <c r="D87" s="407"/>
      <c r="E87" s="407"/>
      <c r="F87" s="407"/>
      <c r="G87" s="408"/>
      <c r="H87" s="409">
        <v>1</v>
      </c>
      <c r="I87" s="410"/>
      <c r="J87" s="376" t="s">
        <v>150</v>
      </c>
      <c r="K87" s="411"/>
      <c r="L87" s="439">
        <v>235</v>
      </c>
      <c r="M87" s="440"/>
      <c r="N87" s="414">
        <f t="shared" si="13"/>
        <v>270.25</v>
      </c>
    </row>
    <row r="88" spans="1:14" s="351" customFormat="1" ht="32.25" customHeight="1" x14ac:dyDescent="0.25">
      <c r="A88" s="405">
        <f t="shared" si="14"/>
        <v>3.0699999999999985</v>
      </c>
      <c r="B88" s="406" t="s">
        <v>1357</v>
      </c>
      <c r="C88" s="407"/>
      <c r="D88" s="407"/>
      <c r="E88" s="407"/>
      <c r="F88" s="407"/>
      <c r="G88" s="408"/>
      <c r="H88" s="409">
        <v>1</v>
      </c>
      <c r="I88" s="410"/>
      <c r="J88" s="376" t="s">
        <v>150</v>
      </c>
      <c r="K88" s="411"/>
      <c r="L88" s="409">
        <v>175</v>
      </c>
      <c r="M88" s="422"/>
      <c r="N88" s="414">
        <f t="shared" si="13"/>
        <v>201.25</v>
      </c>
    </row>
    <row r="89" spans="1:14" s="351" customFormat="1" ht="32.25" customHeight="1" x14ac:dyDescent="0.25">
      <c r="A89" s="405">
        <f t="shared" si="14"/>
        <v>3.0799999999999983</v>
      </c>
      <c r="B89" s="406" t="s">
        <v>1358</v>
      </c>
      <c r="C89" s="407"/>
      <c r="D89" s="407"/>
      <c r="E89" s="407"/>
      <c r="F89" s="407"/>
      <c r="G89" s="408"/>
      <c r="H89" s="409">
        <v>1</v>
      </c>
      <c r="I89" s="410"/>
      <c r="J89" s="376" t="s">
        <v>150</v>
      </c>
      <c r="K89" s="411"/>
      <c r="L89" s="409">
        <v>275</v>
      </c>
      <c r="M89" s="422"/>
      <c r="N89" s="414">
        <f t="shared" si="13"/>
        <v>316.25</v>
      </c>
    </row>
    <row r="90" spans="1:14" s="351" customFormat="1" ht="32.25" customHeight="1" x14ac:dyDescent="0.25">
      <c r="A90" s="405">
        <f t="shared" si="14"/>
        <v>3.0899999999999981</v>
      </c>
      <c r="B90" s="406" t="s">
        <v>1359</v>
      </c>
      <c r="C90" s="407"/>
      <c r="D90" s="407"/>
      <c r="E90" s="407"/>
      <c r="F90" s="407"/>
      <c r="G90" s="408"/>
      <c r="H90" s="409">
        <v>1</v>
      </c>
      <c r="I90" s="410"/>
      <c r="J90" s="376" t="s">
        <v>150</v>
      </c>
      <c r="K90" s="411"/>
      <c r="L90" s="409">
        <v>125</v>
      </c>
      <c r="M90" s="422"/>
      <c r="N90" s="414">
        <f t="shared" si="13"/>
        <v>143.75</v>
      </c>
    </row>
    <row r="91" spans="1:14" s="351" customFormat="1" ht="32.25" customHeight="1" x14ac:dyDescent="0.25">
      <c r="A91" s="405">
        <f t="shared" si="14"/>
        <v>3.0999999999999979</v>
      </c>
      <c r="B91" s="442" t="s">
        <v>1360</v>
      </c>
      <c r="C91" s="443"/>
      <c r="D91" s="443"/>
      <c r="E91" s="443"/>
      <c r="F91" s="443"/>
      <c r="G91" s="444"/>
      <c r="H91" s="409">
        <v>1</v>
      </c>
      <c r="I91" s="410"/>
      <c r="J91" s="376" t="s">
        <v>150</v>
      </c>
      <c r="K91" s="411"/>
      <c r="L91" s="439">
        <v>200</v>
      </c>
      <c r="M91" s="440"/>
      <c r="N91" s="414">
        <f t="shared" si="13"/>
        <v>230</v>
      </c>
    </row>
    <row r="92" spans="1:14" s="351" customFormat="1" ht="32.25" customHeight="1" x14ac:dyDescent="0.25">
      <c r="A92" s="415"/>
      <c r="B92" s="416"/>
      <c r="C92" s="416"/>
      <c r="D92" s="416"/>
      <c r="E92" s="416"/>
      <c r="F92" s="416"/>
      <c r="G92" s="416"/>
      <c r="H92" s="416"/>
      <c r="I92" s="416"/>
      <c r="J92" s="416"/>
      <c r="K92" s="416"/>
      <c r="L92" s="416"/>
      <c r="M92" s="417"/>
      <c r="N92" s="435"/>
    </row>
    <row r="93" spans="1:14" s="351" customFormat="1" ht="32.25" customHeight="1" x14ac:dyDescent="0.25">
      <c r="A93" s="419" t="s">
        <v>1361</v>
      </c>
      <c r="B93" s="420"/>
      <c r="C93" s="420"/>
      <c r="D93" s="420"/>
      <c r="E93" s="420"/>
      <c r="F93" s="420"/>
      <c r="G93" s="420"/>
      <c r="H93" s="420"/>
      <c r="I93" s="420"/>
      <c r="J93" s="420"/>
      <c r="K93" s="420"/>
      <c r="L93" s="420"/>
      <c r="M93" s="421"/>
      <c r="N93" s="435"/>
    </row>
    <row r="94" spans="1:14" s="351" customFormat="1" ht="32.25" customHeight="1" x14ac:dyDescent="0.25">
      <c r="A94" s="405">
        <v>5.0999999999999996</v>
      </c>
      <c r="B94" s="406" t="s">
        <v>1362</v>
      </c>
      <c r="C94" s="407"/>
      <c r="D94" s="407"/>
      <c r="E94" s="407"/>
      <c r="F94" s="407"/>
      <c r="G94" s="408"/>
      <c r="H94" s="409">
        <v>1</v>
      </c>
      <c r="I94" s="410"/>
      <c r="J94" s="376" t="s">
        <v>1300</v>
      </c>
      <c r="K94" s="411"/>
      <c r="L94" s="409">
        <v>235</v>
      </c>
      <c r="M94" s="422"/>
      <c r="N94" s="414">
        <f t="shared" ref="N94:N102" si="15">+(L94)*$N$32+L94</f>
        <v>270.25</v>
      </c>
    </row>
    <row r="95" spans="1:14" s="351" customFormat="1" ht="32.25" customHeight="1" x14ac:dyDescent="0.25">
      <c r="A95" s="405">
        <f>A94+0.1</f>
        <v>5.1999999999999993</v>
      </c>
      <c r="B95" s="406" t="s">
        <v>1363</v>
      </c>
      <c r="C95" s="407"/>
      <c r="D95" s="407"/>
      <c r="E95" s="407"/>
      <c r="F95" s="407"/>
      <c r="G95" s="408"/>
      <c r="H95" s="409">
        <v>1</v>
      </c>
      <c r="I95" s="410"/>
      <c r="J95" s="376" t="s">
        <v>150</v>
      </c>
      <c r="K95" s="411"/>
      <c r="L95" s="409">
        <v>235</v>
      </c>
      <c r="M95" s="422"/>
      <c r="N95" s="414">
        <f t="shared" si="15"/>
        <v>270.25</v>
      </c>
    </row>
    <row r="96" spans="1:14" s="351" customFormat="1" ht="32.25" customHeight="1" x14ac:dyDescent="0.25">
      <c r="A96" s="405">
        <f t="shared" ref="A96:A99" si="16">A95+0.1</f>
        <v>5.2999999999999989</v>
      </c>
      <c r="B96" s="406" t="s">
        <v>1364</v>
      </c>
      <c r="C96" s="407"/>
      <c r="D96" s="407"/>
      <c r="E96" s="407"/>
      <c r="F96" s="407"/>
      <c r="G96" s="408"/>
      <c r="H96" s="409">
        <v>1</v>
      </c>
      <c r="I96" s="410"/>
      <c r="J96" s="376" t="s">
        <v>1300</v>
      </c>
      <c r="K96" s="411"/>
      <c r="L96" s="409">
        <v>270</v>
      </c>
      <c r="M96" s="422"/>
      <c r="N96" s="414">
        <f t="shared" si="15"/>
        <v>310.5</v>
      </c>
    </row>
    <row r="97" spans="1:14" s="351" customFormat="1" ht="32.25" customHeight="1" x14ac:dyDescent="0.25">
      <c r="A97" s="405">
        <f t="shared" si="16"/>
        <v>5.3999999999999986</v>
      </c>
      <c r="B97" s="406" t="s">
        <v>1365</v>
      </c>
      <c r="C97" s="407"/>
      <c r="D97" s="407"/>
      <c r="E97" s="407"/>
      <c r="F97" s="407"/>
      <c r="G97" s="408"/>
      <c r="H97" s="409">
        <v>1</v>
      </c>
      <c r="I97" s="410"/>
      <c r="J97" s="376" t="s">
        <v>1300</v>
      </c>
      <c r="K97" s="411"/>
      <c r="L97" s="409">
        <v>50</v>
      </c>
      <c r="M97" s="422"/>
      <c r="N97" s="414">
        <f t="shared" si="15"/>
        <v>57.5</v>
      </c>
    </row>
    <row r="98" spans="1:14" s="351" customFormat="1" ht="32.25" customHeight="1" x14ac:dyDescent="0.25">
      <c r="A98" s="405">
        <f t="shared" si="16"/>
        <v>5.4999999999999982</v>
      </c>
      <c r="B98" s="406" t="s">
        <v>1366</v>
      </c>
      <c r="C98" s="407"/>
      <c r="D98" s="407"/>
      <c r="E98" s="407"/>
      <c r="F98" s="407"/>
      <c r="G98" s="408"/>
      <c r="H98" s="409">
        <v>1</v>
      </c>
      <c r="I98" s="410"/>
      <c r="J98" s="376" t="s">
        <v>1300</v>
      </c>
      <c r="K98" s="411"/>
      <c r="L98" s="409">
        <v>30</v>
      </c>
      <c r="M98" s="422"/>
      <c r="N98" s="414">
        <f t="shared" si="15"/>
        <v>34.5</v>
      </c>
    </row>
    <row r="99" spans="1:14" s="351" customFormat="1" ht="32.25" customHeight="1" x14ac:dyDescent="0.25">
      <c r="A99" s="405">
        <f t="shared" si="16"/>
        <v>5.5999999999999979</v>
      </c>
      <c r="B99" s="406" t="s">
        <v>1367</v>
      </c>
      <c r="C99" s="407"/>
      <c r="D99" s="407"/>
      <c r="E99" s="407"/>
      <c r="F99" s="407"/>
      <c r="G99" s="408"/>
      <c r="H99" s="409">
        <v>1</v>
      </c>
      <c r="I99" s="410"/>
      <c r="J99" s="376" t="s">
        <v>1300</v>
      </c>
      <c r="K99" s="411"/>
      <c r="L99" s="409">
        <v>70</v>
      </c>
      <c r="M99" s="422"/>
      <c r="N99" s="414">
        <f t="shared" si="15"/>
        <v>80.5</v>
      </c>
    </row>
    <row r="100" spans="1:14" s="351" customFormat="1" ht="32.25" customHeight="1" x14ac:dyDescent="0.25">
      <c r="A100" s="405">
        <f>A99+0.1</f>
        <v>5.6999999999999975</v>
      </c>
      <c r="B100" s="406" t="s">
        <v>1368</v>
      </c>
      <c r="C100" s="407"/>
      <c r="D100" s="407"/>
      <c r="E100" s="407"/>
      <c r="F100" s="407"/>
      <c r="G100" s="408"/>
      <c r="H100" s="409">
        <v>1</v>
      </c>
      <c r="I100" s="410"/>
      <c r="J100" s="376" t="s">
        <v>1300</v>
      </c>
      <c r="K100" s="411"/>
      <c r="L100" s="409">
        <v>200</v>
      </c>
      <c r="M100" s="422"/>
      <c r="N100" s="414">
        <f t="shared" si="15"/>
        <v>230</v>
      </c>
    </row>
    <row r="101" spans="1:14" s="351" customFormat="1" ht="32.25" customHeight="1" x14ac:dyDescent="0.25">
      <c r="A101" s="405">
        <f>A100+0.1</f>
        <v>5.7999999999999972</v>
      </c>
      <c r="B101" s="406" t="s">
        <v>1369</v>
      </c>
      <c r="C101" s="407"/>
      <c r="D101" s="407"/>
      <c r="E101" s="407"/>
      <c r="F101" s="407"/>
      <c r="G101" s="408"/>
      <c r="H101" s="409">
        <v>1</v>
      </c>
      <c r="I101" s="410"/>
      <c r="J101" s="376" t="s">
        <v>147</v>
      </c>
      <c r="K101" s="411"/>
      <c r="L101" s="409">
        <v>725</v>
      </c>
      <c r="M101" s="422"/>
      <c r="N101" s="414">
        <f t="shared" si="15"/>
        <v>833.75</v>
      </c>
    </row>
    <row r="102" spans="1:14" s="351" customFormat="1" ht="32.25" customHeight="1" x14ac:dyDescent="0.25">
      <c r="A102" s="405">
        <f>A101+0.1</f>
        <v>5.8999999999999968</v>
      </c>
      <c r="B102" s="406" t="s">
        <v>1370</v>
      </c>
      <c r="C102" s="407"/>
      <c r="D102" s="407"/>
      <c r="E102" s="407"/>
      <c r="F102" s="407"/>
      <c r="G102" s="408"/>
      <c r="H102" s="409">
        <v>1</v>
      </c>
      <c r="I102" s="410"/>
      <c r="J102" s="376" t="s">
        <v>147</v>
      </c>
      <c r="K102" s="411"/>
      <c r="L102" s="409">
        <v>575</v>
      </c>
      <c r="M102" s="422"/>
      <c r="N102" s="414">
        <f t="shared" si="15"/>
        <v>661.25</v>
      </c>
    </row>
    <row r="103" spans="1:14" s="351" customFormat="1" ht="32.25" customHeight="1" x14ac:dyDescent="0.25">
      <c r="A103" s="415"/>
      <c r="B103" s="416"/>
      <c r="C103" s="416"/>
      <c r="D103" s="416"/>
      <c r="E103" s="416"/>
      <c r="F103" s="416"/>
      <c r="G103" s="416"/>
      <c r="H103" s="416"/>
      <c r="I103" s="416"/>
      <c r="J103" s="416"/>
      <c r="K103" s="416"/>
      <c r="L103" s="416"/>
      <c r="M103" s="417"/>
      <c r="N103" s="435"/>
    </row>
    <row r="104" spans="1:14" s="351" customFormat="1" ht="32.25" customHeight="1" x14ac:dyDescent="0.25">
      <c r="A104" s="419" t="s">
        <v>1371</v>
      </c>
      <c r="B104" s="420"/>
      <c r="C104" s="420"/>
      <c r="D104" s="420"/>
      <c r="E104" s="420"/>
      <c r="F104" s="420"/>
      <c r="G104" s="420"/>
      <c r="H104" s="420"/>
      <c r="I104" s="420"/>
      <c r="J104" s="420"/>
      <c r="K104" s="420"/>
      <c r="L104" s="420"/>
      <c r="M104" s="421"/>
      <c r="N104" s="435"/>
    </row>
    <row r="105" spans="1:14" s="351" customFormat="1" ht="32.25" customHeight="1" x14ac:dyDescent="0.25">
      <c r="A105" s="405">
        <v>6.1</v>
      </c>
      <c r="B105" s="406" t="s">
        <v>1372</v>
      </c>
      <c r="C105" s="407"/>
      <c r="D105" s="407"/>
      <c r="E105" s="407"/>
      <c r="F105" s="407"/>
      <c r="G105" s="408"/>
      <c r="H105" s="409">
        <v>1</v>
      </c>
      <c r="I105" s="410"/>
      <c r="J105" s="376" t="s">
        <v>147</v>
      </c>
      <c r="K105" s="411"/>
      <c r="L105" s="409">
        <v>400</v>
      </c>
      <c r="M105" s="422"/>
      <c r="N105" s="414">
        <f t="shared" ref="N105:N111" si="17">+(L105)*$N$32+L105</f>
        <v>460</v>
      </c>
    </row>
    <row r="106" spans="1:14" s="351" customFormat="1" ht="32.25" customHeight="1" x14ac:dyDescent="0.25">
      <c r="A106" s="405">
        <f>A105+0.1</f>
        <v>6.1999999999999993</v>
      </c>
      <c r="B106" s="406" t="s">
        <v>1373</v>
      </c>
      <c r="C106" s="407"/>
      <c r="D106" s="407"/>
      <c r="E106" s="407"/>
      <c r="F106" s="407"/>
      <c r="G106" s="408"/>
      <c r="H106" s="409">
        <v>1</v>
      </c>
      <c r="I106" s="410"/>
      <c r="J106" s="376" t="s">
        <v>147</v>
      </c>
      <c r="K106" s="411"/>
      <c r="L106" s="409">
        <v>360</v>
      </c>
      <c r="M106" s="422"/>
      <c r="N106" s="414">
        <f t="shared" si="17"/>
        <v>414</v>
      </c>
    </row>
    <row r="107" spans="1:14" s="351" customFormat="1" ht="32.25" customHeight="1" x14ac:dyDescent="0.25">
      <c r="A107" s="405">
        <f t="shared" ref="A107:A113" si="18">A106+0.1</f>
        <v>6.2999999999999989</v>
      </c>
      <c r="B107" s="406" t="s">
        <v>1374</v>
      </c>
      <c r="C107" s="407"/>
      <c r="D107" s="407"/>
      <c r="E107" s="407"/>
      <c r="F107" s="407"/>
      <c r="G107" s="408"/>
      <c r="H107" s="409">
        <v>1</v>
      </c>
      <c r="I107" s="410"/>
      <c r="J107" s="376" t="s">
        <v>8</v>
      </c>
      <c r="K107" s="411"/>
      <c r="L107" s="409">
        <v>14000</v>
      </c>
      <c r="M107" s="422"/>
      <c r="N107" s="414">
        <f t="shared" si="17"/>
        <v>16100</v>
      </c>
    </row>
    <row r="108" spans="1:14" s="351" customFormat="1" ht="32.25" customHeight="1" x14ac:dyDescent="0.25">
      <c r="A108" s="405">
        <f t="shared" si="18"/>
        <v>6.3999999999999986</v>
      </c>
      <c r="B108" s="406" t="s">
        <v>1375</v>
      </c>
      <c r="C108" s="407"/>
      <c r="D108" s="407"/>
      <c r="E108" s="407"/>
      <c r="F108" s="407"/>
      <c r="G108" s="408"/>
      <c r="H108" s="409">
        <v>1</v>
      </c>
      <c r="I108" s="410"/>
      <c r="J108" s="376" t="s">
        <v>1300</v>
      </c>
      <c r="K108" s="411"/>
      <c r="L108" s="409">
        <v>250</v>
      </c>
      <c r="M108" s="422"/>
      <c r="N108" s="414">
        <f t="shared" si="17"/>
        <v>287.5</v>
      </c>
    </row>
    <row r="109" spans="1:14" s="351" customFormat="1" ht="32.25" customHeight="1" x14ac:dyDescent="0.25">
      <c r="A109" s="405">
        <f t="shared" si="18"/>
        <v>6.4999999999999982</v>
      </c>
      <c r="B109" s="406" t="s">
        <v>1376</v>
      </c>
      <c r="C109" s="407"/>
      <c r="D109" s="407"/>
      <c r="E109" s="407"/>
      <c r="F109" s="407"/>
      <c r="G109" s="408"/>
      <c r="H109" s="409">
        <v>1</v>
      </c>
      <c r="I109" s="410"/>
      <c r="J109" s="376" t="s">
        <v>1300</v>
      </c>
      <c r="K109" s="411"/>
      <c r="L109" s="409">
        <v>240</v>
      </c>
      <c r="M109" s="422"/>
      <c r="N109" s="414">
        <f t="shared" si="17"/>
        <v>276</v>
      </c>
    </row>
    <row r="110" spans="1:14" s="351" customFormat="1" ht="32.25" customHeight="1" x14ac:dyDescent="0.25">
      <c r="A110" s="405">
        <f t="shared" si="18"/>
        <v>6.5999999999999979</v>
      </c>
      <c r="B110" s="406" t="s">
        <v>1377</v>
      </c>
      <c r="C110" s="407"/>
      <c r="D110" s="407"/>
      <c r="E110" s="407"/>
      <c r="F110" s="407"/>
      <c r="G110" s="408"/>
      <c r="H110" s="409">
        <v>1</v>
      </c>
      <c r="I110" s="410"/>
      <c r="J110" s="376" t="s">
        <v>1378</v>
      </c>
      <c r="K110" s="411"/>
      <c r="L110" s="409">
        <v>260</v>
      </c>
      <c r="M110" s="422"/>
      <c r="N110" s="414">
        <f t="shared" si="17"/>
        <v>299</v>
      </c>
    </row>
    <row r="111" spans="1:14" s="351" customFormat="1" ht="32.25" customHeight="1" x14ac:dyDescent="0.25">
      <c r="A111" s="405">
        <f t="shared" si="18"/>
        <v>6.6999999999999975</v>
      </c>
      <c r="B111" s="406" t="s">
        <v>1379</v>
      </c>
      <c r="C111" s="407"/>
      <c r="D111" s="407"/>
      <c r="E111" s="407"/>
      <c r="F111" s="407"/>
      <c r="G111" s="408"/>
      <c r="H111" s="409">
        <v>1</v>
      </c>
      <c r="I111" s="410"/>
      <c r="J111" s="376" t="s">
        <v>1378</v>
      </c>
      <c r="K111" s="411"/>
      <c r="L111" s="409">
        <v>3500</v>
      </c>
      <c r="M111" s="422"/>
      <c r="N111" s="414">
        <f t="shared" si="17"/>
        <v>4025</v>
      </c>
    </row>
    <row r="112" spans="1:14" s="351" customFormat="1" ht="32.25" customHeight="1" x14ac:dyDescent="0.25">
      <c r="A112" s="405">
        <f t="shared" si="18"/>
        <v>6.7999999999999972</v>
      </c>
      <c r="B112" s="406" t="s">
        <v>1380</v>
      </c>
      <c r="C112" s="407"/>
      <c r="D112" s="407"/>
      <c r="E112" s="407"/>
      <c r="F112" s="407"/>
      <c r="G112" s="408"/>
      <c r="H112" s="409">
        <v>1</v>
      </c>
      <c r="I112" s="410"/>
      <c r="J112" s="376" t="s">
        <v>1378</v>
      </c>
      <c r="K112" s="411"/>
      <c r="L112" s="439">
        <v>10000</v>
      </c>
      <c r="M112" s="440"/>
      <c r="N112" s="414">
        <f>+(10000)*$N$32+10000</f>
        <v>11500</v>
      </c>
    </row>
    <row r="113" spans="1:16" s="351" customFormat="1" ht="32.25" customHeight="1" x14ac:dyDescent="0.25">
      <c r="A113" s="405">
        <f t="shared" si="18"/>
        <v>6.8999999999999968</v>
      </c>
      <c r="B113" s="406" t="s">
        <v>1381</v>
      </c>
      <c r="C113" s="407"/>
      <c r="D113" s="407"/>
      <c r="E113" s="407"/>
      <c r="F113" s="407"/>
      <c r="G113" s="408"/>
      <c r="H113" s="409">
        <v>1</v>
      </c>
      <c r="I113" s="410"/>
      <c r="J113" s="376" t="s">
        <v>1378</v>
      </c>
      <c r="K113" s="411"/>
      <c r="L113" s="409">
        <v>5000</v>
      </c>
      <c r="M113" s="422"/>
      <c r="N113" s="414">
        <f t="shared" ref="N113" si="19">+(L113)*$N$32+L113</f>
        <v>5750</v>
      </c>
    </row>
    <row r="114" spans="1:16" s="351" customFormat="1" ht="32.25" customHeight="1" x14ac:dyDescent="0.25">
      <c r="A114" s="415"/>
      <c r="B114" s="416"/>
      <c r="C114" s="416"/>
      <c r="D114" s="416"/>
      <c r="E114" s="416"/>
      <c r="F114" s="416"/>
      <c r="G114" s="416"/>
      <c r="H114" s="416"/>
      <c r="I114" s="416"/>
      <c r="J114" s="416"/>
      <c r="K114" s="416"/>
      <c r="L114" s="416"/>
      <c r="M114" s="417"/>
      <c r="N114" s="435"/>
    </row>
    <row r="115" spans="1:16" s="351" customFormat="1" ht="32.25" customHeight="1" x14ac:dyDescent="0.25">
      <c r="A115" s="419" t="s">
        <v>1382</v>
      </c>
      <c r="B115" s="420"/>
      <c r="C115" s="420"/>
      <c r="D115" s="420"/>
      <c r="E115" s="420"/>
      <c r="F115" s="420"/>
      <c r="G115" s="420"/>
      <c r="H115" s="420"/>
      <c r="I115" s="420"/>
      <c r="J115" s="420"/>
      <c r="K115" s="420"/>
      <c r="L115" s="420"/>
      <c r="M115" s="421"/>
      <c r="N115" s="435"/>
    </row>
    <row r="116" spans="1:16" s="351" customFormat="1" ht="32.25" customHeight="1" x14ac:dyDescent="0.25">
      <c r="A116" s="405">
        <v>7.1</v>
      </c>
      <c r="B116" s="406" t="s">
        <v>1383</v>
      </c>
      <c r="C116" s="407"/>
      <c r="D116" s="407"/>
      <c r="E116" s="407"/>
      <c r="F116" s="407"/>
      <c r="G116" s="408"/>
      <c r="H116" s="409">
        <v>1</v>
      </c>
      <c r="I116" s="410"/>
      <c r="J116" s="376" t="s">
        <v>1378</v>
      </c>
      <c r="K116" s="411"/>
      <c r="L116" s="409">
        <v>15000</v>
      </c>
      <c r="M116" s="422"/>
      <c r="N116" s="414">
        <f t="shared" ref="N116" si="20">+(L116)*$N$32+L116</f>
        <v>17250</v>
      </c>
    </row>
    <row r="117" spans="1:16" s="351" customFormat="1" ht="32.25" customHeight="1" thickBot="1" x14ac:dyDescent="0.3">
      <c r="A117" s="445"/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446"/>
      <c r="N117" s="435"/>
    </row>
    <row r="118" spans="1:16" s="351" customFormat="1" ht="32.25" customHeight="1" thickBot="1" x14ac:dyDescent="0.3">
      <c r="A118" s="428"/>
      <c r="B118" s="447"/>
      <c r="C118" s="447"/>
      <c r="D118" s="447"/>
      <c r="E118" s="447"/>
      <c r="F118" s="447"/>
      <c r="G118" s="447"/>
      <c r="H118" s="447"/>
      <c r="I118" s="447"/>
      <c r="J118" s="447"/>
      <c r="K118" s="447"/>
      <c r="L118" s="447"/>
      <c r="M118" s="447"/>
      <c r="N118" s="435"/>
    </row>
    <row r="119" spans="1:16" s="351" customFormat="1" ht="32.25" customHeight="1" thickBot="1" x14ac:dyDescent="0.3">
      <c r="A119" s="395" t="s">
        <v>1384</v>
      </c>
      <c r="B119" s="396"/>
      <c r="C119" s="396"/>
      <c r="D119" s="396"/>
      <c r="E119" s="396"/>
      <c r="F119" s="396"/>
      <c r="G119" s="396"/>
      <c r="H119" s="396"/>
      <c r="I119" s="396"/>
      <c r="J119" s="396"/>
      <c r="K119" s="396"/>
      <c r="L119" s="396"/>
      <c r="M119" s="397"/>
      <c r="N119" s="398">
        <v>0.15</v>
      </c>
      <c r="P119" s="351" t="s">
        <v>1385</v>
      </c>
    </row>
    <row r="120" spans="1:16" s="351" customFormat="1" ht="32.25" customHeight="1" thickBot="1" x14ac:dyDescent="0.3">
      <c r="A120" s="353"/>
      <c r="N120" s="435"/>
    </row>
    <row r="121" spans="1:16" s="351" customFormat="1" ht="32.25" customHeight="1" x14ac:dyDescent="0.25">
      <c r="A121" s="419" t="s">
        <v>1386</v>
      </c>
      <c r="B121" s="420"/>
      <c r="C121" s="420"/>
      <c r="D121" s="420"/>
      <c r="E121" s="420"/>
      <c r="F121" s="420"/>
      <c r="G121" s="420"/>
      <c r="H121" s="420"/>
      <c r="I121" s="420"/>
      <c r="J121" s="420"/>
      <c r="K121" s="420"/>
      <c r="L121" s="420"/>
      <c r="M121" s="421"/>
      <c r="N121" s="404"/>
    </row>
    <row r="122" spans="1:16" s="351" customFormat="1" ht="32.25" customHeight="1" x14ac:dyDescent="0.25">
      <c r="A122" s="419" t="s">
        <v>1387</v>
      </c>
      <c r="B122" s="420"/>
      <c r="C122" s="420"/>
      <c r="D122" s="420"/>
      <c r="E122" s="420"/>
      <c r="F122" s="420"/>
      <c r="G122" s="420"/>
      <c r="H122" s="420"/>
      <c r="I122" s="420"/>
      <c r="J122" s="420"/>
      <c r="K122" s="420"/>
      <c r="L122" s="420"/>
      <c r="M122" s="421"/>
      <c r="N122" s="418"/>
    </row>
    <row r="123" spans="1:16" s="351" customFormat="1" ht="32.25" customHeight="1" x14ac:dyDescent="0.25">
      <c r="A123" s="405">
        <v>1.1000000000000001</v>
      </c>
      <c r="B123" s="406" t="s">
        <v>1388</v>
      </c>
      <c r="C123" s="407"/>
      <c r="D123" s="407"/>
      <c r="E123" s="407"/>
      <c r="F123" s="407"/>
      <c r="G123" s="408"/>
      <c r="H123" s="409">
        <v>1</v>
      </c>
      <c r="I123" s="410"/>
      <c r="J123" s="376" t="s">
        <v>79</v>
      </c>
      <c r="K123" s="411"/>
      <c r="L123" s="439">
        <v>30</v>
      </c>
      <c r="M123" s="440"/>
      <c r="N123" s="414">
        <f>+(L123)*$N$119+L123</f>
        <v>34.5</v>
      </c>
    </row>
    <row r="124" spans="1:16" s="351" customFormat="1" ht="32.25" customHeight="1" x14ac:dyDescent="0.25">
      <c r="A124" s="405">
        <f>A123+0.1</f>
        <v>1.2000000000000002</v>
      </c>
      <c r="B124" s="406" t="s">
        <v>1389</v>
      </c>
      <c r="C124" s="407"/>
      <c r="D124" s="407"/>
      <c r="E124" s="407"/>
      <c r="F124" s="407"/>
      <c r="G124" s="408"/>
      <c r="H124" s="409">
        <v>1</v>
      </c>
      <c r="I124" s="410"/>
      <c r="J124" s="376" t="s">
        <v>79</v>
      </c>
      <c r="K124" s="411"/>
      <c r="L124" s="439">
        <v>33</v>
      </c>
      <c r="M124" s="440"/>
      <c r="N124" s="414">
        <f t="shared" ref="N124:N127" si="21">+(L124)*$N$119+L124</f>
        <v>37.950000000000003</v>
      </c>
    </row>
    <row r="125" spans="1:16" s="351" customFormat="1" ht="32.25" customHeight="1" x14ac:dyDescent="0.25">
      <c r="A125" s="405">
        <f t="shared" ref="A125:A127" si="22">A124+0.1</f>
        <v>1.3000000000000003</v>
      </c>
      <c r="B125" s="406" t="s">
        <v>1390</v>
      </c>
      <c r="C125" s="407"/>
      <c r="D125" s="407"/>
      <c r="E125" s="407"/>
      <c r="F125" s="407"/>
      <c r="G125" s="408"/>
      <c r="H125" s="409">
        <v>1</v>
      </c>
      <c r="I125" s="410"/>
      <c r="J125" s="376" t="s">
        <v>79</v>
      </c>
      <c r="K125" s="411"/>
      <c r="L125" s="439">
        <v>36</v>
      </c>
      <c r="M125" s="440"/>
      <c r="N125" s="414">
        <f t="shared" si="21"/>
        <v>41.4</v>
      </c>
    </row>
    <row r="126" spans="1:16" s="351" customFormat="1" ht="32.25" customHeight="1" x14ac:dyDescent="0.25">
      <c r="A126" s="405">
        <f>A125+0.1</f>
        <v>1.4000000000000004</v>
      </c>
      <c r="B126" s="406" t="s">
        <v>1391</v>
      </c>
      <c r="C126" s="407"/>
      <c r="D126" s="407"/>
      <c r="E126" s="407"/>
      <c r="F126" s="407"/>
      <c r="G126" s="408"/>
      <c r="H126" s="409">
        <v>1</v>
      </c>
      <c r="I126" s="410"/>
      <c r="J126" s="376" t="s">
        <v>79</v>
      </c>
      <c r="K126" s="411"/>
      <c r="L126" s="439">
        <v>39</v>
      </c>
      <c r="M126" s="440"/>
      <c r="N126" s="414">
        <f t="shared" si="21"/>
        <v>44.85</v>
      </c>
    </row>
    <row r="127" spans="1:16" s="351" customFormat="1" ht="32.25" customHeight="1" x14ac:dyDescent="0.25">
      <c r="A127" s="405">
        <f t="shared" si="22"/>
        <v>1.5000000000000004</v>
      </c>
      <c r="B127" s="406" t="s">
        <v>1392</v>
      </c>
      <c r="C127" s="407"/>
      <c r="D127" s="407"/>
      <c r="E127" s="407"/>
      <c r="F127" s="407"/>
      <c r="G127" s="408"/>
      <c r="H127" s="409">
        <v>1</v>
      </c>
      <c r="I127" s="410"/>
      <c r="J127" s="376" t="s">
        <v>79</v>
      </c>
      <c r="K127" s="411"/>
      <c r="L127" s="439">
        <v>50</v>
      </c>
      <c r="M127" s="440"/>
      <c r="N127" s="414">
        <f t="shared" si="21"/>
        <v>57.5</v>
      </c>
    </row>
    <row r="128" spans="1:16" s="351" customFormat="1" ht="32.25" customHeight="1" x14ac:dyDescent="0.25">
      <c r="A128" s="419" t="s">
        <v>1393</v>
      </c>
      <c r="B128" s="420"/>
      <c r="C128" s="420"/>
      <c r="D128" s="420"/>
      <c r="E128" s="420"/>
      <c r="F128" s="420"/>
      <c r="G128" s="420"/>
      <c r="H128" s="420"/>
      <c r="I128" s="420"/>
      <c r="J128" s="420"/>
      <c r="K128" s="420"/>
      <c r="L128" s="420"/>
      <c r="M128" s="421"/>
      <c r="N128" s="418"/>
    </row>
    <row r="129" spans="1:14" s="351" customFormat="1" ht="32.25" customHeight="1" x14ac:dyDescent="0.25">
      <c r="A129" s="405">
        <v>1.1000000000000001</v>
      </c>
      <c r="B129" s="406" t="s">
        <v>1388</v>
      </c>
      <c r="C129" s="407"/>
      <c r="D129" s="407"/>
      <c r="E129" s="407"/>
      <c r="F129" s="407"/>
      <c r="G129" s="408"/>
      <c r="H129" s="409">
        <v>1</v>
      </c>
      <c r="I129" s="410"/>
      <c r="J129" s="376" t="s">
        <v>79</v>
      </c>
      <c r="K129" s="411"/>
      <c r="L129" s="439">
        <v>35</v>
      </c>
      <c r="M129" s="440"/>
      <c r="N129" s="414">
        <f t="shared" ref="N129:N133" si="23">+(L129)*$N$119+L129</f>
        <v>40.25</v>
      </c>
    </row>
    <row r="130" spans="1:14" s="351" customFormat="1" ht="32.25" customHeight="1" x14ac:dyDescent="0.25">
      <c r="A130" s="405">
        <f>A129+0.1</f>
        <v>1.2000000000000002</v>
      </c>
      <c r="B130" s="406" t="s">
        <v>1389</v>
      </c>
      <c r="C130" s="407"/>
      <c r="D130" s="407"/>
      <c r="E130" s="407"/>
      <c r="F130" s="407"/>
      <c r="G130" s="408"/>
      <c r="H130" s="409">
        <v>1</v>
      </c>
      <c r="I130" s="410"/>
      <c r="J130" s="376" t="s">
        <v>79</v>
      </c>
      <c r="K130" s="411"/>
      <c r="L130" s="439">
        <v>37</v>
      </c>
      <c r="M130" s="440"/>
      <c r="N130" s="414">
        <f t="shared" si="23"/>
        <v>42.55</v>
      </c>
    </row>
    <row r="131" spans="1:14" s="351" customFormat="1" ht="32.25" customHeight="1" x14ac:dyDescent="0.25">
      <c r="A131" s="405">
        <f t="shared" ref="A131" si="24">A130+0.1</f>
        <v>1.3000000000000003</v>
      </c>
      <c r="B131" s="406" t="s">
        <v>1390</v>
      </c>
      <c r="C131" s="407"/>
      <c r="D131" s="407"/>
      <c r="E131" s="407"/>
      <c r="F131" s="407"/>
      <c r="G131" s="408"/>
      <c r="H131" s="409">
        <v>1</v>
      </c>
      <c r="I131" s="410"/>
      <c r="J131" s="376" t="s">
        <v>79</v>
      </c>
      <c r="K131" s="411"/>
      <c r="L131" s="439">
        <v>40</v>
      </c>
      <c r="M131" s="440"/>
      <c r="N131" s="414">
        <f t="shared" si="23"/>
        <v>46</v>
      </c>
    </row>
    <row r="132" spans="1:14" s="351" customFormat="1" ht="32.25" customHeight="1" x14ac:dyDescent="0.25">
      <c r="A132" s="405">
        <f>A131+0.1</f>
        <v>1.4000000000000004</v>
      </c>
      <c r="B132" s="406" t="s">
        <v>1391</v>
      </c>
      <c r="C132" s="407"/>
      <c r="D132" s="407"/>
      <c r="E132" s="407"/>
      <c r="F132" s="407"/>
      <c r="G132" s="408"/>
      <c r="H132" s="409">
        <v>1</v>
      </c>
      <c r="I132" s="410"/>
      <c r="J132" s="376" t="s">
        <v>79</v>
      </c>
      <c r="K132" s="411"/>
      <c r="L132" s="439">
        <v>43</v>
      </c>
      <c r="M132" s="440"/>
      <c r="N132" s="414">
        <f t="shared" si="23"/>
        <v>49.45</v>
      </c>
    </row>
    <row r="133" spans="1:14" s="351" customFormat="1" ht="32.25" customHeight="1" x14ac:dyDescent="0.25">
      <c r="A133" s="405">
        <f t="shared" ref="A133" si="25">A132+0.1</f>
        <v>1.5000000000000004</v>
      </c>
      <c r="B133" s="406" t="s">
        <v>1392</v>
      </c>
      <c r="C133" s="407"/>
      <c r="D133" s="407"/>
      <c r="E133" s="407"/>
      <c r="F133" s="407"/>
      <c r="G133" s="408"/>
      <c r="H133" s="409">
        <v>1</v>
      </c>
      <c r="I133" s="410"/>
      <c r="J133" s="376" t="s">
        <v>79</v>
      </c>
      <c r="K133" s="411"/>
      <c r="L133" s="439">
        <v>52</v>
      </c>
      <c r="M133" s="440"/>
      <c r="N133" s="414">
        <f t="shared" si="23"/>
        <v>59.8</v>
      </c>
    </row>
    <row r="134" spans="1:14" s="351" customFormat="1" ht="32.25" customHeight="1" x14ac:dyDescent="0.25">
      <c r="A134" s="419" t="s">
        <v>1394</v>
      </c>
      <c r="B134" s="420"/>
      <c r="C134" s="420"/>
      <c r="D134" s="420"/>
      <c r="E134" s="420"/>
      <c r="F134" s="420"/>
      <c r="G134" s="420"/>
      <c r="H134" s="420"/>
      <c r="I134" s="420"/>
      <c r="J134" s="420"/>
      <c r="K134" s="420"/>
      <c r="L134" s="420"/>
      <c r="M134" s="421"/>
      <c r="N134" s="418"/>
    </row>
    <row r="135" spans="1:14" s="351" customFormat="1" ht="32.25" customHeight="1" x14ac:dyDescent="0.25">
      <c r="A135" s="405">
        <v>1.1000000000000001</v>
      </c>
      <c r="B135" s="406" t="s">
        <v>1388</v>
      </c>
      <c r="C135" s="407"/>
      <c r="D135" s="407"/>
      <c r="E135" s="407"/>
      <c r="F135" s="407"/>
      <c r="G135" s="408"/>
      <c r="H135" s="409">
        <v>1</v>
      </c>
      <c r="I135" s="410"/>
      <c r="J135" s="376" t="s">
        <v>79</v>
      </c>
      <c r="K135" s="411"/>
      <c r="L135" s="439">
        <v>30</v>
      </c>
      <c r="M135" s="440"/>
      <c r="N135" s="414">
        <f t="shared" ref="N135:N139" si="26">+(L135)*$N$119+L135</f>
        <v>34.5</v>
      </c>
    </row>
    <row r="136" spans="1:14" s="351" customFormat="1" ht="32.25" customHeight="1" x14ac:dyDescent="0.25">
      <c r="A136" s="405">
        <f>A135+0.1</f>
        <v>1.2000000000000002</v>
      </c>
      <c r="B136" s="406" t="s">
        <v>1389</v>
      </c>
      <c r="C136" s="407"/>
      <c r="D136" s="407"/>
      <c r="E136" s="407"/>
      <c r="F136" s="407"/>
      <c r="G136" s="408"/>
      <c r="H136" s="409">
        <v>1</v>
      </c>
      <c r="I136" s="410"/>
      <c r="J136" s="376" t="s">
        <v>79</v>
      </c>
      <c r="K136" s="411"/>
      <c r="L136" s="439">
        <v>37</v>
      </c>
      <c r="M136" s="440"/>
      <c r="N136" s="414">
        <f t="shared" si="26"/>
        <v>42.55</v>
      </c>
    </row>
    <row r="137" spans="1:14" s="351" customFormat="1" ht="32.25" customHeight="1" x14ac:dyDescent="0.25">
      <c r="A137" s="405">
        <f t="shared" ref="A137" si="27">A136+0.1</f>
        <v>1.3000000000000003</v>
      </c>
      <c r="B137" s="406" t="s">
        <v>1390</v>
      </c>
      <c r="C137" s="407"/>
      <c r="D137" s="407"/>
      <c r="E137" s="407"/>
      <c r="F137" s="407"/>
      <c r="G137" s="408"/>
      <c r="H137" s="409">
        <v>1</v>
      </c>
      <c r="I137" s="410"/>
      <c r="J137" s="376" t="s">
        <v>79</v>
      </c>
      <c r="K137" s="411"/>
      <c r="L137" s="439">
        <v>40</v>
      </c>
      <c r="M137" s="440"/>
      <c r="N137" s="414">
        <f t="shared" si="26"/>
        <v>46</v>
      </c>
    </row>
    <row r="138" spans="1:14" s="351" customFormat="1" ht="32.25" customHeight="1" x14ac:dyDescent="0.25">
      <c r="A138" s="405">
        <f>A137+0.1</f>
        <v>1.4000000000000004</v>
      </c>
      <c r="B138" s="406" t="s">
        <v>1391</v>
      </c>
      <c r="C138" s="407"/>
      <c r="D138" s="407"/>
      <c r="E138" s="407"/>
      <c r="F138" s="407"/>
      <c r="G138" s="408"/>
      <c r="H138" s="409">
        <v>1</v>
      </c>
      <c r="I138" s="410"/>
      <c r="J138" s="376" t="s">
        <v>79</v>
      </c>
      <c r="K138" s="411"/>
      <c r="L138" s="439">
        <v>43</v>
      </c>
      <c r="M138" s="440"/>
      <c r="N138" s="414">
        <f t="shared" si="26"/>
        <v>49.45</v>
      </c>
    </row>
    <row r="139" spans="1:14" s="351" customFormat="1" ht="32.25" customHeight="1" x14ac:dyDescent="0.25">
      <c r="A139" s="405">
        <f t="shared" ref="A139" si="28">A138+0.1</f>
        <v>1.5000000000000004</v>
      </c>
      <c r="B139" s="406" t="s">
        <v>1392</v>
      </c>
      <c r="C139" s="407"/>
      <c r="D139" s="407"/>
      <c r="E139" s="407"/>
      <c r="F139" s="407"/>
      <c r="G139" s="408"/>
      <c r="H139" s="409">
        <v>1</v>
      </c>
      <c r="I139" s="410"/>
      <c r="J139" s="376" t="s">
        <v>79</v>
      </c>
      <c r="K139" s="411"/>
      <c r="L139" s="439">
        <v>52</v>
      </c>
      <c r="M139" s="440"/>
      <c r="N139" s="414">
        <f t="shared" si="26"/>
        <v>59.8</v>
      </c>
    </row>
    <row r="140" spans="1:14" s="351" customFormat="1" ht="32.25" customHeight="1" x14ac:dyDescent="0.25">
      <c r="A140" s="415"/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6"/>
      <c r="M140" s="417"/>
      <c r="N140" s="418"/>
    </row>
    <row r="141" spans="1:14" s="351" customFormat="1" ht="32.25" customHeight="1" x14ac:dyDescent="0.25">
      <c r="A141" s="419" t="s">
        <v>1395</v>
      </c>
      <c r="B141" s="420"/>
      <c r="C141" s="420"/>
      <c r="D141" s="420"/>
      <c r="E141" s="420"/>
      <c r="F141" s="420"/>
      <c r="G141" s="420"/>
      <c r="H141" s="420"/>
      <c r="I141" s="420"/>
      <c r="J141" s="420"/>
      <c r="K141" s="420"/>
      <c r="L141" s="420"/>
      <c r="M141" s="421"/>
      <c r="N141" s="418"/>
    </row>
    <row r="142" spans="1:14" s="351" customFormat="1" ht="32.25" customHeight="1" x14ac:dyDescent="0.25">
      <c r="A142" s="419" t="s">
        <v>1396</v>
      </c>
      <c r="B142" s="420"/>
      <c r="C142" s="420"/>
      <c r="D142" s="420"/>
      <c r="E142" s="420"/>
      <c r="F142" s="420"/>
      <c r="G142" s="420"/>
      <c r="H142" s="420"/>
      <c r="I142" s="420"/>
      <c r="J142" s="420"/>
      <c r="K142" s="420"/>
      <c r="L142" s="420"/>
      <c r="M142" s="421"/>
      <c r="N142" s="418"/>
    </row>
    <row r="143" spans="1:14" s="351" customFormat="1" ht="32.25" customHeight="1" x14ac:dyDescent="0.25">
      <c r="A143" s="405">
        <v>2.1</v>
      </c>
      <c r="B143" s="406" t="s">
        <v>1397</v>
      </c>
      <c r="C143" s="407"/>
      <c r="D143" s="407"/>
      <c r="E143" s="407"/>
      <c r="F143" s="407"/>
      <c r="G143" s="408"/>
      <c r="H143" s="409">
        <v>1</v>
      </c>
      <c r="I143" s="410"/>
      <c r="J143" s="376" t="s">
        <v>150</v>
      </c>
      <c r="K143" s="411"/>
      <c r="L143" s="439">
        <v>60</v>
      </c>
      <c r="M143" s="440"/>
      <c r="N143" s="414">
        <f t="shared" ref="N143:N145" si="29">+(L143)*$N$119+L143</f>
        <v>69</v>
      </c>
    </row>
    <row r="144" spans="1:14" s="351" customFormat="1" ht="32.25" customHeight="1" x14ac:dyDescent="0.25">
      <c r="A144" s="405">
        <f>A143+0.1</f>
        <v>2.2000000000000002</v>
      </c>
      <c r="B144" s="406" t="s">
        <v>1398</v>
      </c>
      <c r="C144" s="407"/>
      <c r="D144" s="407"/>
      <c r="E144" s="407"/>
      <c r="F144" s="407"/>
      <c r="G144" s="408"/>
      <c r="H144" s="409">
        <v>1</v>
      </c>
      <c r="I144" s="410"/>
      <c r="J144" s="376" t="s">
        <v>150</v>
      </c>
      <c r="K144" s="411"/>
      <c r="L144" s="439">
        <v>60</v>
      </c>
      <c r="M144" s="440"/>
      <c r="N144" s="414">
        <f t="shared" si="29"/>
        <v>69</v>
      </c>
    </row>
    <row r="145" spans="1:14" s="351" customFormat="1" ht="32.25" customHeight="1" x14ac:dyDescent="0.25">
      <c r="A145" s="405">
        <f t="shared" ref="A145" si="30">A144+0.1</f>
        <v>2.3000000000000003</v>
      </c>
      <c r="B145" s="406" t="s">
        <v>1399</v>
      </c>
      <c r="C145" s="407"/>
      <c r="D145" s="407"/>
      <c r="E145" s="407"/>
      <c r="F145" s="407"/>
      <c r="G145" s="408"/>
      <c r="H145" s="409">
        <v>1</v>
      </c>
      <c r="I145" s="410"/>
      <c r="J145" s="376" t="s">
        <v>1300</v>
      </c>
      <c r="K145" s="411"/>
      <c r="L145" s="439">
        <v>60</v>
      </c>
      <c r="M145" s="440"/>
      <c r="N145" s="414">
        <f t="shared" si="29"/>
        <v>69</v>
      </c>
    </row>
    <row r="146" spans="1:14" s="351" customFormat="1" ht="32.25" customHeight="1" x14ac:dyDescent="0.25">
      <c r="A146" s="419" t="s">
        <v>1400</v>
      </c>
      <c r="B146" s="420"/>
      <c r="C146" s="420"/>
      <c r="D146" s="420"/>
      <c r="E146" s="420"/>
      <c r="F146" s="420"/>
      <c r="G146" s="420"/>
      <c r="H146" s="420"/>
      <c r="I146" s="420"/>
      <c r="J146" s="420"/>
      <c r="K146" s="420"/>
      <c r="L146" s="420"/>
      <c r="M146" s="421"/>
      <c r="N146" s="418"/>
    </row>
    <row r="147" spans="1:14" s="351" customFormat="1" ht="32.25" customHeight="1" x14ac:dyDescent="0.25">
      <c r="A147" s="405">
        <v>2.1</v>
      </c>
      <c r="B147" s="406" t="s">
        <v>1401</v>
      </c>
      <c r="C147" s="407"/>
      <c r="D147" s="407"/>
      <c r="E147" s="407"/>
      <c r="F147" s="407"/>
      <c r="G147" s="408"/>
      <c r="H147" s="409">
        <v>1</v>
      </c>
      <c r="I147" s="410"/>
      <c r="J147" s="376" t="s">
        <v>1300</v>
      </c>
      <c r="K147" s="411"/>
      <c r="L147" s="439">
        <v>65</v>
      </c>
      <c r="M147" s="440"/>
      <c r="N147" s="414">
        <f t="shared" ref="N147:N160" si="31">+(L147)*$N$119+L147</f>
        <v>74.75</v>
      </c>
    </row>
    <row r="148" spans="1:14" s="351" customFormat="1" ht="32.25" customHeight="1" x14ac:dyDescent="0.25">
      <c r="A148" s="405">
        <f t="shared" ref="A148" si="32">A147+0.1</f>
        <v>2.2000000000000002</v>
      </c>
      <c r="B148" s="406" t="s">
        <v>1402</v>
      </c>
      <c r="C148" s="407"/>
      <c r="D148" s="407"/>
      <c r="E148" s="407"/>
      <c r="F148" s="407"/>
      <c r="G148" s="408"/>
      <c r="H148" s="409">
        <v>1</v>
      </c>
      <c r="I148" s="410"/>
      <c r="J148" s="376" t="s">
        <v>1300</v>
      </c>
      <c r="K148" s="411"/>
      <c r="L148" s="439">
        <v>130</v>
      </c>
      <c r="M148" s="440"/>
      <c r="N148" s="414">
        <f t="shared" si="31"/>
        <v>149.5</v>
      </c>
    </row>
    <row r="149" spans="1:14" s="351" customFormat="1" ht="32.25" customHeight="1" x14ac:dyDescent="0.25">
      <c r="A149" s="405">
        <f>A148+0.1</f>
        <v>2.3000000000000003</v>
      </c>
      <c r="B149" s="406" t="s">
        <v>1403</v>
      </c>
      <c r="C149" s="407"/>
      <c r="D149" s="407"/>
      <c r="E149" s="407"/>
      <c r="F149" s="407"/>
      <c r="G149" s="408"/>
      <c r="H149" s="409">
        <v>1</v>
      </c>
      <c r="I149" s="410"/>
      <c r="J149" s="376" t="s">
        <v>1300</v>
      </c>
      <c r="K149" s="411"/>
      <c r="L149" s="439">
        <v>230</v>
      </c>
      <c r="M149" s="440"/>
      <c r="N149" s="414">
        <f t="shared" si="31"/>
        <v>264.5</v>
      </c>
    </row>
    <row r="150" spans="1:14" s="351" customFormat="1" ht="32.25" customHeight="1" x14ac:dyDescent="0.25">
      <c r="A150" s="405">
        <f t="shared" ref="A150" si="33">A149+0.1</f>
        <v>2.4000000000000004</v>
      </c>
      <c r="B150" s="406" t="s">
        <v>1404</v>
      </c>
      <c r="C150" s="407"/>
      <c r="D150" s="407"/>
      <c r="E150" s="407"/>
      <c r="F150" s="407"/>
      <c r="G150" s="408"/>
      <c r="H150" s="409">
        <v>1</v>
      </c>
      <c r="I150" s="410"/>
      <c r="J150" s="376" t="s">
        <v>1300</v>
      </c>
      <c r="K150" s="411"/>
      <c r="L150" s="439">
        <v>110</v>
      </c>
      <c r="M150" s="440"/>
      <c r="N150" s="414">
        <f t="shared" si="31"/>
        <v>126.5</v>
      </c>
    </row>
    <row r="151" spans="1:14" s="351" customFormat="1" ht="32.25" customHeight="1" x14ac:dyDescent="0.25">
      <c r="A151" s="405"/>
      <c r="B151" s="406" t="s">
        <v>1405</v>
      </c>
      <c r="C151" s="407"/>
      <c r="D151" s="407"/>
      <c r="E151" s="407"/>
      <c r="F151" s="407"/>
      <c r="G151" s="408"/>
      <c r="H151" s="409">
        <v>1</v>
      </c>
      <c r="I151" s="410"/>
      <c r="J151" s="376" t="s">
        <v>1300</v>
      </c>
      <c r="K151" s="411"/>
      <c r="L151" s="439">
        <v>120</v>
      </c>
      <c r="M151" s="440"/>
      <c r="N151" s="414">
        <f t="shared" si="31"/>
        <v>138</v>
      </c>
    </row>
    <row r="152" spans="1:14" s="351" customFormat="1" ht="32.25" customHeight="1" x14ac:dyDescent="0.25">
      <c r="A152" s="405">
        <v>2.5</v>
      </c>
      <c r="B152" s="406" t="s">
        <v>1406</v>
      </c>
      <c r="C152" s="407"/>
      <c r="D152" s="407"/>
      <c r="E152" s="407"/>
      <c r="F152" s="407"/>
      <c r="G152" s="408"/>
      <c r="H152" s="409">
        <v>1</v>
      </c>
      <c r="I152" s="410"/>
      <c r="J152" s="376" t="s">
        <v>1300</v>
      </c>
      <c r="K152" s="411"/>
      <c r="L152" s="439">
        <v>265</v>
      </c>
      <c r="M152" s="440"/>
      <c r="N152" s="414">
        <f t="shared" si="31"/>
        <v>304.75</v>
      </c>
    </row>
    <row r="153" spans="1:14" s="351" customFormat="1" ht="32.25" customHeight="1" x14ac:dyDescent="0.25">
      <c r="A153" s="405"/>
      <c r="B153" s="406" t="s">
        <v>1407</v>
      </c>
      <c r="C153" s="407"/>
      <c r="D153" s="407"/>
      <c r="E153" s="407"/>
      <c r="F153" s="407"/>
      <c r="G153" s="408"/>
      <c r="H153" s="409">
        <v>1</v>
      </c>
      <c r="I153" s="410"/>
      <c r="J153" s="376" t="s">
        <v>1300</v>
      </c>
      <c r="K153" s="411"/>
      <c r="L153" s="439">
        <v>200</v>
      </c>
      <c r="M153" s="440"/>
      <c r="N153" s="414">
        <f t="shared" si="31"/>
        <v>230</v>
      </c>
    </row>
    <row r="154" spans="1:14" s="351" customFormat="1" ht="32.25" customHeight="1" x14ac:dyDescent="0.25">
      <c r="A154" s="405">
        <v>2.6</v>
      </c>
      <c r="B154" s="406" t="s">
        <v>1408</v>
      </c>
      <c r="C154" s="407"/>
      <c r="D154" s="407"/>
      <c r="E154" s="407"/>
      <c r="F154" s="407"/>
      <c r="G154" s="408"/>
      <c r="H154" s="409">
        <v>1</v>
      </c>
      <c r="I154" s="410"/>
      <c r="J154" s="376" t="s">
        <v>150</v>
      </c>
      <c r="K154" s="411"/>
      <c r="L154" s="439">
        <v>220</v>
      </c>
      <c r="M154" s="440"/>
      <c r="N154" s="414">
        <f t="shared" si="31"/>
        <v>253</v>
      </c>
    </row>
    <row r="155" spans="1:14" s="351" customFormat="1" ht="32.25" customHeight="1" x14ac:dyDescent="0.25">
      <c r="A155" s="405">
        <f t="shared" ref="A155:A156" si="34">A154+0.1</f>
        <v>2.7</v>
      </c>
      <c r="B155" s="406" t="s">
        <v>1409</v>
      </c>
      <c r="C155" s="407"/>
      <c r="D155" s="407"/>
      <c r="E155" s="407"/>
      <c r="F155" s="407"/>
      <c r="G155" s="408"/>
      <c r="H155" s="409">
        <v>1</v>
      </c>
      <c r="I155" s="410"/>
      <c r="J155" s="376" t="s">
        <v>150</v>
      </c>
      <c r="K155" s="411"/>
      <c r="L155" s="439">
        <v>200</v>
      </c>
      <c r="M155" s="440"/>
      <c r="N155" s="414">
        <f t="shared" si="31"/>
        <v>230</v>
      </c>
    </row>
    <row r="156" spans="1:14" s="351" customFormat="1" ht="32.25" customHeight="1" x14ac:dyDescent="0.25">
      <c r="A156" s="405">
        <f t="shared" si="34"/>
        <v>2.8000000000000003</v>
      </c>
      <c r="B156" s="406" t="s">
        <v>1410</v>
      </c>
      <c r="C156" s="407"/>
      <c r="D156" s="407"/>
      <c r="E156" s="407"/>
      <c r="F156" s="407"/>
      <c r="G156" s="408"/>
      <c r="H156" s="409">
        <v>1</v>
      </c>
      <c r="I156" s="410"/>
      <c r="J156" s="376" t="s">
        <v>1300</v>
      </c>
      <c r="K156" s="411"/>
      <c r="L156" s="439">
        <v>130</v>
      </c>
      <c r="M156" s="440"/>
      <c r="N156" s="414">
        <f t="shared" si="31"/>
        <v>149.5</v>
      </c>
    </row>
    <row r="157" spans="1:14" s="351" customFormat="1" ht="32.25" customHeight="1" x14ac:dyDescent="0.25">
      <c r="A157" s="405"/>
      <c r="B157" s="406" t="s">
        <v>1411</v>
      </c>
      <c r="C157" s="407"/>
      <c r="D157" s="407"/>
      <c r="E157" s="407"/>
      <c r="F157" s="407"/>
      <c r="G157" s="408"/>
      <c r="H157" s="409">
        <v>1</v>
      </c>
      <c r="I157" s="410"/>
      <c r="J157" s="376" t="s">
        <v>1300</v>
      </c>
      <c r="K157" s="411"/>
      <c r="L157" s="439">
        <v>105</v>
      </c>
      <c r="M157" s="440"/>
      <c r="N157" s="414">
        <f t="shared" si="31"/>
        <v>120.75</v>
      </c>
    </row>
    <row r="158" spans="1:14" s="351" customFormat="1" ht="32.25" customHeight="1" x14ac:dyDescent="0.25">
      <c r="A158" s="405">
        <f>A156+0.1</f>
        <v>2.9000000000000004</v>
      </c>
      <c r="B158" s="406" t="s">
        <v>1412</v>
      </c>
      <c r="C158" s="407"/>
      <c r="D158" s="407"/>
      <c r="E158" s="407"/>
      <c r="F158" s="407"/>
      <c r="G158" s="408"/>
      <c r="H158" s="409">
        <v>1</v>
      </c>
      <c r="I158" s="410"/>
      <c r="J158" s="376" t="s">
        <v>1300</v>
      </c>
      <c r="K158" s="411"/>
      <c r="L158" s="439">
        <v>130</v>
      </c>
      <c r="M158" s="440"/>
      <c r="N158" s="414">
        <f t="shared" si="31"/>
        <v>149.5</v>
      </c>
    </row>
    <row r="159" spans="1:14" s="351" customFormat="1" ht="32.25" customHeight="1" x14ac:dyDescent="0.25">
      <c r="A159" s="405"/>
      <c r="B159" s="406" t="s">
        <v>1413</v>
      </c>
      <c r="C159" s="407"/>
      <c r="D159" s="407"/>
      <c r="E159" s="407"/>
      <c r="F159" s="407"/>
      <c r="G159" s="408"/>
      <c r="H159" s="409">
        <v>1</v>
      </c>
      <c r="I159" s="410"/>
      <c r="J159" s="376" t="s">
        <v>1300</v>
      </c>
      <c r="K159" s="411"/>
      <c r="L159" s="439">
        <v>260</v>
      </c>
      <c r="M159" s="440"/>
      <c r="N159" s="414">
        <f t="shared" si="31"/>
        <v>299</v>
      </c>
    </row>
    <row r="160" spans="1:14" s="351" customFormat="1" ht="32.25" customHeight="1" x14ac:dyDescent="0.25">
      <c r="A160" s="448">
        <v>2.91</v>
      </c>
      <c r="B160" s="406" t="s">
        <v>1414</v>
      </c>
      <c r="C160" s="407"/>
      <c r="D160" s="407"/>
      <c r="E160" s="407"/>
      <c r="F160" s="407"/>
      <c r="G160" s="408"/>
      <c r="H160" s="409">
        <v>1</v>
      </c>
      <c r="I160" s="410"/>
      <c r="J160" s="376" t="s">
        <v>150</v>
      </c>
      <c r="K160" s="411"/>
      <c r="L160" s="439">
        <v>50</v>
      </c>
      <c r="M160" s="440"/>
      <c r="N160" s="414">
        <f t="shared" si="31"/>
        <v>57.5</v>
      </c>
    </row>
    <row r="161" spans="1:14" s="351" customFormat="1" ht="32.25" customHeight="1" x14ac:dyDescent="0.25">
      <c r="A161" s="419" t="s">
        <v>1415</v>
      </c>
      <c r="B161" s="420"/>
      <c r="C161" s="420"/>
      <c r="D161" s="420"/>
      <c r="E161" s="420"/>
      <c r="F161" s="420"/>
      <c r="G161" s="420"/>
      <c r="H161" s="420"/>
      <c r="I161" s="420"/>
      <c r="J161" s="420"/>
      <c r="K161" s="420"/>
      <c r="L161" s="420"/>
      <c r="M161" s="421"/>
      <c r="N161" s="418"/>
    </row>
    <row r="162" spans="1:14" s="351" customFormat="1" ht="32.25" customHeight="1" x14ac:dyDescent="0.25">
      <c r="A162" s="405">
        <v>2.1</v>
      </c>
      <c r="B162" s="406" t="s">
        <v>1416</v>
      </c>
      <c r="C162" s="407"/>
      <c r="D162" s="407"/>
      <c r="E162" s="407"/>
      <c r="F162" s="407"/>
      <c r="G162" s="408"/>
      <c r="H162" s="409">
        <v>1</v>
      </c>
      <c r="I162" s="410"/>
      <c r="J162" s="376" t="s">
        <v>1300</v>
      </c>
      <c r="K162" s="411"/>
      <c r="L162" s="439">
        <v>250</v>
      </c>
      <c r="M162" s="440"/>
      <c r="N162" s="414">
        <f t="shared" ref="N162:N165" si="35">+(L162)*$N$119+L162</f>
        <v>287.5</v>
      </c>
    </row>
    <row r="163" spans="1:14" s="351" customFormat="1" ht="32.25" customHeight="1" x14ac:dyDescent="0.25">
      <c r="A163" s="405">
        <f>A162+0.1</f>
        <v>2.2000000000000002</v>
      </c>
      <c r="B163" s="406" t="s">
        <v>1417</v>
      </c>
      <c r="C163" s="407"/>
      <c r="D163" s="407"/>
      <c r="E163" s="407"/>
      <c r="F163" s="407"/>
      <c r="G163" s="408"/>
      <c r="H163" s="409">
        <v>1</v>
      </c>
      <c r="I163" s="410"/>
      <c r="J163" s="376" t="s">
        <v>1300</v>
      </c>
      <c r="K163" s="411"/>
      <c r="L163" s="439">
        <v>280</v>
      </c>
      <c r="M163" s="440"/>
      <c r="N163" s="414">
        <f t="shared" si="35"/>
        <v>322</v>
      </c>
    </row>
    <row r="164" spans="1:14" s="351" customFormat="1" ht="32.25" customHeight="1" x14ac:dyDescent="0.25">
      <c r="A164" s="405">
        <f>A163+0.1</f>
        <v>2.3000000000000003</v>
      </c>
      <c r="B164" s="406" t="s">
        <v>1418</v>
      </c>
      <c r="C164" s="407"/>
      <c r="D164" s="407"/>
      <c r="E164" s="407"/>
      <c r="F164" s="407"/>
      <c r="G164" s="408"/>
      <c r="H164" s="409">
        <v>1</v>
      </c>
      <c r="I164" s="410"/>
      <c r="J164" s="376" t="s">
        <v>1300</v>
      </c>
      <c r="K164" s="411"/>
      <c r="L164" s="439">
        <v>150</v>
      </c>
      <c r="M164" s="440"/>
      <c r="N164" s="414">
        <f t="shared" si="35"/>
        <v>172.5</v>
      </c>
    </row>
    <row r="165" spans="1:14" s="351" customFormat="1" ht="32.25" customHeight="1" x14ac:dyDescent="0.25">
      <c r="A165" s="405">
        <f>A164+0.1</f>
        <v>2.4000000000000004</v>
      </c>
      <c r="B165" s="406" t="s">
        <v>1419</v>
      </c>
      <c r="C165" s="407"/>
      <c r="D165" s="407"/>
      <c r="E165" s="407"/>
      <c r="F165" s="407"/>
      <c r="G165" s="408"/>
      <c r="H165" s="409">
        <v>1</v>
      </c>
      <c r="I165" s="410"/>
      <c r="J165" s="376" t="s">
        <v>1300</v>
      </c>
      <c r="K165" s="411"/>
      <c r="L165" s="439">
        <v>200</v>
      </c>
      <c r="M165" s="440"/>
      <c r="N165" s="414">
        <f t="shared" si="35"/>
        <v>230</v>
      </c>
    </row>
    <row r="166" spans="1:14" s="351" customFormat="1" ht="32.25" customHeight="1" x14ac:dyDescent="0.25">
      <c r="A166" s="419" t="s">
        <v>1420</v>
      </c>
      <c r="B166" s="420"/>
      <c r="C166" s="420"/>
      <c r="D166" s="420"/>
      <c r="E166" s="420"/>
      <c r="F166" s="420"/>
      <c r="G166" s="420"/>
      <c r="H166" s="420"/>
      <c r="I166" s="420"/>
      <c r="J166" s="420"/>
      <c r="K166" s="420"/>
      <c r="L166" s="420"/>
      <c r="M166" s="421"/>
      <c r="N166" s="418"/>
    </row>
    <row r="167" spans="1:14" s="351" customFormat="1" ht="32.25" customHeight="1" x14ac:dyDescent="0.25">
      <c r="A167" s="405">
        <v>2.1</v>
      </c>
      <c r="B167" s="406" t="s">
        <v>1421</v>
      </c>
      <c r="C167" s="407"/>
      <c r="D167" s="407"/>
      <c r="E167" s="407"/>
      <c r="F167" s="407"/>
      <c r="G167" s="408"/>
      <c r="H167" s="409">
        <v>1</v>
      </c>
      <c r="I167" s="410"/>
      <c r="J167" s="376" t="s">
        <v>150</v>
      </c>
      <c r="K167" s="411"/>
      <c r="L167" s="439">
        <v>230</v>
      </c>
      <c r="M167" s="440"/>
      <c r="N167" s="414">
        <f t="shared" ref="N167:N169" si="36">+(L167)*$N$119+L167</f>
        <v>264.5</v>
      </c>
    </row>
    <row r="168" spans="1:14" s="351" customFormat="1" ht="32.25" customHeight="1" x14ac:dyDescent="0.25">
      <c r="A168" s="405">
        <f>A167+0.1</f>
        <v>2.2000000000000002</v>
      </c>
      <c r="B168" s="406" t="s">
        <v>1422</v>
      </c>
      <c r="C168" s="407"/>
      <c r="D168" s="407"/>
      <c r="E168" s="407"/>
      <c r="F168" s="407"/>
      <c r="G168" s="408"/>
      <c r="H168" s="409">
        <v>1</v>
      </c>
      <c r="I168" s="410"/>
      <c r="J168" s="376" t="s">
        <v>150</v>
      </c>
      <c r="K168" s="411"/>
      <c r="L168" s="439">
        <v>170</v>
      </c>
      <c r="M168" s="440"/>
      <c r="N168" s="414">
        <f t="shared" si="36"/>
        <v>195.5</v>
      </c>
    </row>
    <row r="169" spans="1:14" s="351" customFormat="1" ht="32.25" customHeight="1" x14ac:dyDescent="0.25">
      <c r="A169" s="405">
        <f>A168+0.1</f>
        <v>2.3000000000000003</v>
      </c>
      <c r="B169" s="406" t="s">
        <v>1423</v>
      </c>
      <c r="C169" s="407"/>
      <c r="D169" s="407"/>
      <c r="E169" s="407"/>
      <c r="F169" s="407"/>
      <c r="G169" s="408"/>
      <c r="H169" s="409">
        <v>1</v>
      </c>
      <c r="I169" s="410"/>
      <c r="J169" s="376" t="s">
        <v>150</v>
      </c>
      <c r="K169" s="411"/>
      <c r="L169" s="439">
        <v>205</v>
      </c>
      <c r="M169" s="440"/>
      <c r="N169" s="414">
        <f t="shared" si="36"/>
        <v>235.75</v>
      </c>
    </row>
    <row r="170" spans="1:14" s="351" customFormat="1" ht="32.25" customHeight="1" x14ac:dyDescent="0.25">
      <c r="A170" s="419" t="s">
        <v>1424</v>
      </c>
      <c r="B170" s="420"/>
      <c r="C170" s="420"/>
      <c r="D170" s="420"/>
      <c r="E170" s="420"/>
      <c r="F170" s="420"/>
      <c r="G170" s="420"/>
      <c r="H170" s="420"/>
      <c r="I170" s="420"/>
      <c r="J170" s="420"/>
      <c r="K170" s="420"/>
      <c r="L170" s="420"/>
      <c r="M170" s="421"/>
      <c r="N170" s="418"/>
    </row>
    <row r="171" spans="1:14" s="351" customFormat="1" ht="32.25" customHeight="1" x14ac:dyDescent="0.25">
      <c r="A171" s="405">
        <v>2.1</v>
      </c>
      <c r="B171" s="406" t="s">
        <v>1425</v>
      </c>
      <c r="C171" s="407"/>
      <c r="D171" s="407"/>
      <c r="E171" s="407"/>
      <c r="F171" s="407"/>
      <c r="G171" s="408"/>
      <c r="H171" s="409">
        <v>1</v>
      </c>
      <c r="I171" s="410"/>
      <c r="J171" s="376" t="s">
        <v>150</v>
      </c>
      <c r="K171" s="411"/>
      <c r="L171" s="439">
        <v>120</v>
      </c>
      <c r="M171" s="440"/>
      <c r="N171" s="414">
        <f t="shared" ref="N171:N174" si="37">+(L171)*$N$119+L171</f>
        <v>138</v>
      </c>
    </row>
    <row r="172" spans="1:14" s="351" customFormat="1" ht="32.25" customHeight="1" x14ac:dyDescent="0.25">
      <c r="A172" s="405">
        <f>A171+0.1</f>
        <v>2.2000000000000002</v>
      </c>
      <c r="B172" s="406" t="s">
        <v>1426</v>
      </c>
      <c r="C172" s="407"/>
      <c r="D172" s="407"/>
      <c r="E172" s="407"/>
      <c r="F172" s="407"/>
      <c r="G172" s="408"/>
      <c r="H172" s="409">
        <v>1</v>
      </c>
      <c r="I172" s="410"/>
      <c r="J172" s="376" t="s">
        <v>150</v>
      </c>
      <c r="K172" s="411"/>
      <c r="L172" s="439">
        <v>100</v>
      </c>
      <c r="M172" s="440"/>
      <c r="N172" s="414">
        <f t="shared" si="37"/>
        <v>115</v>
      </c>
    </row>
    <row r="173" spans="1:14" s="351" customFormat="1" ht="32.25" customHeight="1" x14ac:dyDescent="0.25">
      <c r="A173" s="405">
        <f>A172+0.1</f>
        <v>2.3000000000000003</v>
      </c>
      <c r="B173" s="406" t="s">
        <v>1427</v>
      </c>
      <c r="C173" s="407"/>
      <c r="D173" s="407"/>
      <c r="E173" s="407"/>
      <c r="F173" s="407"/>
      <c r="G173" s="408"/>
      <c r="H173" s="409">
        <v>1</v>
      </c>
      <c r="I173" s="410"/>
      <c r="J173" s="376" t="s">
        <v>150</v>
      </c>
      <c r="K173" s="411"/>
      <c r="L173" s="439">
        <v>180</v>
      </c>
      <c r="M173" s="440"/>
      <c r="N173" s="414">
        <f t="shared" si="37"/>
        <v>207</v>
      </c>
    </row>
    <row r="174" spans="1:14" s="351" customFormat="1" ht="32.25" customHeight="1" x14ac:dyDescent="0.25">
      <c r="A174" s="405">
        <f>A173+0.1</f>
        <v>2.4000000000000004</v>
      </c>
      <c r="B174" s="406" t="s">
        <v>1428</v>
      </c>
      <c r="C174" s="407"/>
      <c r="D174" s="407"/>
      <c r="E174" s="407"/>
      <c r="F174" s="407"/>
      <c r="G174" s="408"/>
      <c r="H174" s="409">
        <v>1</v>
      </c>
      <c r="I174" s="410"/>
      <c r="J174" s="376" t="s">
        <v>150</v>
      </c>
      <c r="K174" s="411"/>
      <c r="L174" s="439">
        <v>125</v>
      </c>
      <c r="M174" s="440"/>
      <c r="N174" s="414">
        <f t="shared" si="37"/>
        <v>143.75</v>
      </c>
    </row>
    <row r="175" spans="1:14" s="351" customFormat="1" ht="32.25" customHeight="1" x14ac:dyDescent="0.25">
      <c r="A175" s="419" t="s">
        <v>1429</v>
      </c>
      <c r="B175" s="420"/>
      <c r="C175" s="420"/>
      <c r="D175" s="420"/>
      <c r="E175" s="420"/>
      <c r="F175" s="420"/>
      <c r="G175" s="420"/>
      <c r="H175" s="420"/>
      <c r="I175" s="420"/>
      <c r="J175" s="420"/>
      <c r="K175" s="420"/>
      <c r="L175" s="420"/>
      <c r="M175" s="421"/>
      <c r="N175" s="418"/>
    </row>
    <row r="176" spans="1:14" s="351" customFormat="1" ht="32.25" customHeight="1" x14ac:dyDescent="0.25">
      <c r="A176" s="405">
        <v>2.1</v>
      </c>
      <c r="B176" s="406" t="s">
        <v>1430</v>
      </c>
      <c r="C176" s="407"/>
      <c r="D176" s="407"/>
      <c r="E176" s="407"/>
      <c r="F176" s="407"/>
      <c r="G176" s="408"/>
      <c r="H176" s="409">
        <v>1</v>
      </c>
      <c r="I176" s="410"/>
      <c r="J176" s="376" t="s">
        <v>150</v>
      </c>
      <c r="K176" s="411"/>
      <c r="L176" s="439">
        <v>75</v>
      </c>
      <c r="M176" s="440"/>
      <c r="N176" s="414">
        <f t="shared" ref="N176:N182" si="38">+(L176)*$N$119+L176</f>
        <v>86.25</v>
      </c>
    </row>
    <row r="177" spans="1:14" s="351" customFormat="1" ht="32.25" customHeight="1" x14ac:dyDescent="0.25">
      <c r="A177" s="405">
        <f t="shared" ref="A177:A182" si="39">A176+0.1</f>
        <v>2.2000000000000002</v>
      </c>
      <c r="B177" s="406" t="s">
        <v>1431</v>
      </c>
      <c r="C177" s="407"/>
      <c r="D177" s="407"/>
      <c r="E177" s="407"/>
      <c r="F177" s="407"/>
      <c r="G177" s="408"/>
      <c r="H177" s="409">
        <v>1</v>
      </c>
      <c r="I177" s="410"/>
      <c r="J177" s="376" t="s">
        <v>150</v>
      </c>
      <c r="K177" s="411"/>
      <c r="L177" s="439">
        <v>120</v>
      </c>
      <c r="M177" s="440"/>
      <c r="N177" s="414">
        <f t="shared" si="38"/>
        <v>138</v>
      </c>
    </row>
    <row r="178" spans="1:14" s="351" customFormat="1" ht="32.25" customHeight="1" x14ac:dyDescent="0.25">
      <c r="A178" s="405">
        <f t="shared" si="39"/>
        <v>2.3000000000000003</v>
      </c>
      <c r="B178" s="406" t="s">
        <v>1432</v>
      </c>
      <c r="C178" s="407"/>
      <c r="D178" s="407"/>
      <c r="E178" s="407"/>
      <c r="F178" s="407"/>
      <c r="G178" s="408"/>
      <c r="H178" s="409">
        <v>1</v>
      </c>
      <c r="I178" s="410"/>
      <c r="J178" s="376" t="s">
        <v>150</v>
      </c>
      <c r="K178" s="411"/>
      <c r="L178" s="439">
        <v>110</v>
      </c>
      <c r="M178" s="440"/>
      <c r="N178" s="414">
        <f t="shared" si="38"/>
        <v>126.5</v>
      </c>
    </row>
    <row r="179" spans="1:14" s="351" customFormat="1" ht="32.25" customHeight="1" x14ac:dyDescent="0.25">
      <c r="A179" s="405">
        <f t="shared" si="39"/>
        <v>2.4000000000000004</v>
      </c>
      <c r="B179" s="406" t="s">
        <v>1433</v>
      </c>
      <c r="C179" s="407"/>
      <c r="D179" s="407"/>
      <c r="E179" s="407"/>
      <c r="F179" s="407"/>
      <c r="G179" s="408"/>
      <c r="H179" s="409">
        <v>1</v>
      </c>
      <c r="I179" s="410"/>
      <c r="J179" s="376" t="s">
        <v>150</v>
      </c>
      <c r="K179" s="411"/>
      <c r="L179" s="439">
        <v>120</v>
      </c>
      <c r="M179" s="440"/>
      <c r="N179" s="414">
        <f t="shared" si="38"/>
        <v>138</v>
      </c>
    </row>
    <row r="180" spans="1:14" s="351" customFormat="1" ht="32.25" customHeight="1" x14ac:dyDescent="0.25">
      <c r="A180" s="405">
        <f t="shared" si="39"/>
        <v>2.5000000000000004</v>
      </c>
      <c r="B180" s="406" t="s">
        <v>1434</v>
      </c>
      <c r="C180" s="407"/>
      <c r="D180" s="407"/>
      <c r="E180" s="407"/>
      <c r="F180" s="407"/>
      <c r="G180" s="408"/>
      <c r="H180" s="409">
        <v>1</v>
      </c>
      <c r="I180" s="410"/>
      <c r="J180" s="376" t="s">
        <v>150</v>
      </c>
      <c r="K180" s="411"/>
      <c r="L180" s="439">
        <v>100</v>
      </c>
      <c r="M180" s="440"/>
      <c r="N180" s="414">
        <f t="shared" si="38"/>
        <v>115</v>
      </c>
    </row>
    <row r="181" spans="1:14" s="351" customFormat="1" ht="32.25" customHeight="1" x14ac:dyDescent="0.25">
      <c r="A181" s="405">
        <f t="shared" si="39"/>
        <v>2.6000000000000005</v>
      </c>
      <c r="B181" s="406" t="s">
        <v>1435</v>
      </c>
      <c r="C181" s="407"/>
      <c r="D181" s="407"/>
      <c r="E181" s="407"/>
      <c r="F181" s="407"/>
      <c r="G181" s="408"/>
      <c r="H181" s="409">
        <v>1</v>
      </c>
      <c r="I181" s="410"/>
      <c r="J181" s="376" t="s">
        <v>150</v>
      </c>
      <c r="K181" s="411"/>
      <c r="L181" s="439">
        <v>350</v>
      </c>
      <c r="M181" s="440"/>
      <c r="N181" s="414">
        <f t="shared" si="38"/>
        <v>402.5</v>
      </c>
    </row>
    <row r="182" spans="1:14" s="351" customFormat="1" ht="32.25" customHeight="1" x14ac:dyDescent="0.25">
      <c r="A182" s="405">
        <f t="shared" si="39"/>
        <v>2.7000000000000006</v>
      </c>
      <c r="B182" s="406" t="s">
        <v>1436</v>
      </c>
      <c r="C182" s="407"/>
      <c r="D182" s="407"/>
      <c r="E182" s="407"/>
      <c r="F182" s="407"/>
      <c r="G182" s="408"/>
      <c r="H182" s="409">
        <v>1</v>
      </c>
      <c r="I182" s="410"/>
      <c r="J182" s="376" t="s">
        <v>150</v>
      </c>
      <c r="K182" s="411"/>
      <c r="L182" s="439">
        <v>325</v>
      </c>
      <c r="M182" s="440"/>
      <c r="N182" s="414">
        <f t="shared" si="38"/>
        <v>373.75</v>
      </c>
    </row>
    <row r="183" spans="1:14" s="351" customFormat="1" ht="32.25" customHeight="1" x14ac:dyDescent="0.25">
      <c r="A183" s="449"/>
      <c r="B183" s="450"/>
      <c r="C183" s="450"/>
      <c r="D183" s="450"/>
      <c r="E183" s="450"/>
      <c r="F183" s="450"/>
      <c r="G183" s="450"/>
      <c r="H183" s="451"/>
      <c r="I183" s="451"/>
      <c r="J183" s="384"/>
      <c r="K183" s="384"/>
      <c r="L183" s="451"/>
      <c r="M183" s="452"/>
      <c r="N183" s="418"/>
    </row>
    <row r="184" spans="1:14" s="351" customFormat="1" ht="32.25" customHeight="1" x14ac:dyDescent="0.25">
      <c r="A184" s="419" t="s">
        <v>1437</v>
      </c>
      <c r="B184" s="420"/>
      <c r="C184" s="420"/>
      <c r="D184" s="420"/>
      <c r="E184" s="420"/>
      <c r="F184" s="420"/>
      <c r="G184" s="420"/>
      <c r="H184" s="420"/>
      <c r="I184" s="420"/>
      <c r="J184" s="420"/>
      <c r="K184" s="420"/>
      <c r="L184" s="420"/>
      <c r="M184" s="421"/>
      <c r="N184" s="418"/>
    </row>
    <row r="185" spans="1:14" s="351" customFormat="1" ht="32.25" customHeight="1" x14ac:dyDescent="0.25">
      <c r="A185" s="419" t="s">
        <v>1438</v>
      </c>
      <c r="B185" s="420"/>
      <c r="C185" s="420"/>
      <c r="D185" s="420"/>
      <c r="E185" s="420"/>
      <c r="F185" s="420"/>
      <c r="G185" s="420"/>
      <c r="H185" s="420"/>
      <c r="I185" s="420"/>
      <c r="J185" s="420"/>
      <c r="K185" s="420"/>
      <c r="L185" s="420"/>
      <c r="M185" s="421"/>
      <c r="N185" s="418"/>
    </row>
    <row r="186" spans="1:14" s="351" customFormat="1" ht="32.25" customHeight="1" x14ac:dyDescent="0.25">
      <c r="A186" s="405">
        <v>3.1</v>
      </c>
      <c r="B186" s="406" t="s">
        <v>1439</v>
      </c>
      <c r="C186" s="407"/>
      <c r="D186" s="407"/>
      <c r="E186" s="407"/>
      <c r="F186" s="407"/>
      <c r="G186" s="408"/>
      <c r="H186" s="409">
        <v>1</v>
      </c>
      <c r="I186" s="410"/>
      <c r="J186" s="376" t="s">
        <v>1285</v>
      </c>
      <c r="K186" s="411"/>
      <c r="L186" s="439">
        <v>2000</v>
      </c>
      <c r="M186" s="440"/>
      <c r="N186" s="414">
        <f t="shared" ref="N186:N191" si="40">+(L186)*$N$119+L186</f>
        <v>2300</v>
      </c>
    </row>
    <row r="187" spans="1:14" s="351" customFormat="1" ht="32.25" customHeight="1" x14ac:dyDescent="0.25">
      <c r="A187" s="405">
        <f>A186+0.1</f>
        <v>3.2</v>
      </c>
      <c r="B187" s="406" t="s">
        <v>1440</v>
      </c>
      <c r="C187" s="407"/>
      <c r="D187" s="407"/>
      <c r="E187" s="407"/>
      <c r="F187" s="407"/>
      <c r="G187" s="408"/>
      <c r="H187" s="409">
        <v>1</v>
      </c>
      <c r="I187" s="410"/>
      <c r="J187" s="376" t="s">
        <v>150</v>
      </c>
      <c r="K187" s="411"/>
      <c r="L187" s="439">
        <v>250</v>
      </c>
      <c r="M187" s="440"/>
      <c r="N187" s="414">
        <f t="shared" si="40"/>
        <v>287.5</v>
      </c>
    </row>
    <row r="188" spans="1:14" s="351" customFormat="1" ht="32.25" customHeight="1" x14ac:dyDescent="0.25">
      <c r="A188" s="405">
        <f t="shared" ref="A188:A190" si="41">A187+0.1</f>
        <v>3.3000000000000003</v>
      </c>
      <c r="B188" s="406" t="s">
        <v>1441</v>
      </c>
      <c r="C188" s="407"/>
      <c r="D188" s="407"/>
      <c r="E188" s="407"/>
      <c r="F188" s="407"/>
      <c r="G188" s="408"/>
      <c r="H188" s="409">
        <v>1</v>
      </c>
      <c r="I188" s="410"/>
      <c r="J188" s="376" t="s">
        <v>150</v>
      </c>
      <c r="K188" s="411"/>
      <c r="L188" s="439">
        <v>250</v>
      </c>
      <c r="M188" s="440"/>
      <c r="N188" s="414">
        <f t="shared" si="40"/>
        <v>287.5</v>
      </c>
    </row>
    <row r="189" spans="1:14" s="351" customFormat="1" ht="32.25" customHeight="1" x14ac:dyDescent="0.25">
      <c r="A189" s="405">
        <f t="shared" si="41"/>
        <v>3.4000000000000004</v>
      </c>
      <c r="B189" s="406" t="s">
        <v>1441</v>
      </c>
      <c r="C189" s="407"/>
      <c r="D189" s="407"/>
      <c r="E189" s="407"/>
      <c r="F189" s="407"/>
      <c r="G189" s="408"/>
      <c r="H189" s="409">
        <v>1</v>
      </c>
      <c r="I189" s="410"/>
      <c r="J189" s="376" t="s">
        <v>1285</v>
      </c>
      <c r="K189" s="411"/>
      <c r="L189" s="439">
        <v>2500</v>
      </c>
      <c r="M189" s="440"/>
      <c r="N189" s="414">
        <f t="shared" si="40"/>
        <v>2875</v>
      </c>
    </row>
    <row r="190" spans="1:14" s="351" customFormat="1" ht="32.25" customHeight="1" x14ac:dyDescent="0.25">
      <c r="A190" s="405">
        <f t="shared" si="41"/>
        <v>3.5000000000000004</v>
      </c>
      <c r="B190" s="406" t="s">
        <v>1442</v>
      </c>
      <c r="C190" s="407"/>
      <c r="D190" s="407"/>
      <c r="E190" s="407"/>
      <c r="F190" s="407"/>
      <c r="G190" s="408"/>
      <c r="H190" s="409">
        <v>1</v>
      </c>
      <c r="I190" s="410"/>
      <c r="J190" s="376" t="s">
        <v>1300</v>
      </c>
      <c r="K190" s="411"/>
      <c r="L190" s="439">
        <v>200</v>
      </c>
      <c r="M190" s="440"/>
      <c r="N190" s="414">
        <f t="shared" si="40"/>
        <v>230</v>
      </c>
    </row>
    <row r="191" spans="1:14" s="351" customFormat="1" ht="32.25" customHeight="1" x14ac:dyDescent="0.25">
      <c r="A191" s="405">
        <f>A160+0.1</f>
        <v>3.0100000000000002</v>
      </c>
      <c r="B191" s="406" t="s">
        <v>1443</v>
      </c>
      <c r="C191" s="407"/>
      <c r="D191" s="407"/>
      <c r="E191" s="407"/>
      <c r="F191" s="407"/>
      <c r="G191" s="408"/>
      <c r="H191" s="409">
        <v>1</v>
      </c>
      <c r="I191" s="410"/>
      <c r="J191" s="376" t="s">
        <v>1300</v>
      </c>
      <c r="K191" s="411"/>
      <c r="L191" s="439">
        <v>40</v>
      </c>
      <c r="M191" s="440"/>
      <c r="N191" s="414">
        <f t="shared" si="40"/>
        <v>46</v>
      </c>
    </row>
    <row r="192" spans="1:14" s="351" customFormat="1" ht="32.25" customHeight="1" x14ac:dyDescent="0.25">
      <c r="A192" s="419" t="s">
        <v>1444</v>
      </c>
      <c r="B192" s="420"/>
      <c r="C192" s="420"/>
      <c r="D192" s="420"/>
      <c r="E192" s="420"/>
      <c r="F192" s="420"/>
      <c r="G192" s="420"/>
      <c r="H192" s="420"/>
      <c r="I192" s="420"/>
      <c r="J192" s="420"/>
      <c r="K192" s="420"/>
      <c r="L192" s="420"/>
      <c r="M192" s="421"/>
      <c r="N192" s="418"/>
    </row>
    <row r="193" spans="1:15" s="351" customFormat="1" ht="32.25" customHeight="1" x14ac:dyDescent="0.25">
      <c r="A193" s="405">
        <f>A191+0.1</f>
        <v>3.1100000000000003</v>
      </c>
      <c r="B193" s="406" t="s">
        <v>1445</v>
      </c>
      <c r="C193" s="407"/>
      <c r="D193" s="407"/>
      <c r="E193" s="407"/>
      <c r="F193" s="407"/>
      <c r="G193" s="408"/>
      <c r="H193" s="409">
        <v>1</v>
      </c>
      <c r="I193" s="410"/>
      <c r="J193" s="376" t="s">
        <v>1300</v>
      </c>
      <c r="K193" s="411"/>
      <c r="L193" s="439">
        <v>130</v>
      </c>
      <c r="M193" s="440"/>
      <c r="N193" s="414">
        <f>+(L193)*$N$119+L193</f>
        <v>149.5</v>
      </c>
    </row>
    <row r="194" spans="1:15" s="351" customFormat="1" ht="32.25" customHeight="1" x14ac:dyDescent="0.25">
      <c r="A194" s="415"/>
      <c r="B194" s="416"/>
      <c r="C194" s="416"/>
      <c r="D194" s="416"/>
      <c r="E194" s="416"/>
      <c r="F194" s="416"/>
      <c r="G194" s="416"/>
      <c r="H194" s="416"/>
      <c r="I194" s="416"/>
      <c r="J194" s="416"/>
      <c r="K194" s="416"/>
      <c r="L194" s="416"/>
      <c r="M194" s="417"/>
      <c r="N194" s="418"/>
    </row>
    <row r="195" spans="1:15" s="351" customFormat="1" ht="32.25" customHeight="1" x14ac:dyDescent="0.25">
      <c r="A195" s="419" t="s">
        <v>1446</v>
      </c>
      <c r="B195" s="420"/>
      <c r="C195" s="420"/>
      <c r="D195" s="420"/>
      <c r="E195" s="420"/>
      <c r="F195" s="420"/>
      <c r="G195" s="420"/>
      <c r="H195" s="420"/>
      <c r="I195" s="420"/>
      <c r="J195" s="420"/>
      <c r="K195" s="420"/>
      <c r="L195" s="420"/>
      <c r="M195" s="421"/>
      <c r="N195" s="418"/>
    </row>
    <row r="196" spans="1:15" s="351" customFormat="1" ht="32.25" customHeight="1" x14ac:dyDescent="0.25">
      <c r="A196" s="405">
        <v>4.0999999999999996</v>
      </c>
      <c r="B196" s="406" t="s">
        <v>1447</v>
      </c>
      <c r="C196" s="407"/>
      <c r="D196" s="407"/>
      <c r="E196" s="407"/>
      <c r="F196" s="407"/>
      <c r="G196" s="408"/>
      <c r="H196" s="409">
        <v>1</v>
      </c>
      <c r="I196" s="410"/>
      <c r="J196" s="376" t="s">
        <v>150</v>
      </c>
      <c r="K196" s="411"/>
      <c r="L196" s="439">
        <v>230</v>
      </c>
      <c r="M196" s="440"/>
      <c r="N196" s="414">
        <f t="shared" ref="N196:N200" si="42">+(L196)*$N$119+L196</f>
        <v>264.5</v>
      </c>
    </row>
    <row r="197" spans="1:15" s="351" customFormat="1" ht="32.25" customHeight="1" x14ac:dyDescent="0.25">
      <c r="A197" s="405">
        <f t="shared" ref="A197:A200" si="43">A196+0.1</f>
        <v>4.1999999999999993</v>
      </c>
      <c r="B197" s="406" t="s">
        <v>1448</v>
      </c>
      <c r="C197" s="407"/>
      <c r="D197" s="407"/>
      <c r="E197" s="407"/>
      <c r="F197" s="407"/>
      <c r="G197" s="408"/>
      <c r="H197" s="409">
        <v>1</v>
      </c>
      <c r="I197" s="410"/>
      <c r="J197" s="376" t="s">
        <v>1300</v>
      </c>
      <c r="K197" s="411"/>
      <c r="L197" s="439">
        <v>160</v>
      </c>
      <c r="M197" s="440"/>
      <c r="N197" s="414">
        <f t="shared" si="42"/>
        <v>184</v>
      </c>
    </row>
    <row r="198" spans="1:15" s="351" customFormat="1" ht="32.25" customHeight="1" x14ac:dyDescent="0.25">
      <c r="A198" s="453">
        <f t="shared" si="43"/>
        <v>4.2999999999999989</v>
      </c>
      <c r="B198" s="406" t="s">
        <v>1449</v>
      </c>
      <c r="C198" s="407"/>
      <c r="D198" s="407"/>
      <c r="E198" s="407"/>
      <c r="F198" s="407"/>
      <c r="G198" s="408"/>
      <c r="H198" s="409">
        <v>1</v>
      </c>
      <c r="I198" s="410"/>
      <c r="J198" s="376" t="s">
        <v>1378</v>
      </c>
      <c r="K198" s="411"/>
      <c r="L198" s="439">
        <v>5000</v>
      </c>
      <c r="M198" s="440"/>
      <c r="N198" s="414">
        <f t="shared" si="42"/>
        <v>5750</v>
      </c>
    </row>
    <row r="199" spans="1:15" s="351" customFormat="1" ht="32.25" customHeight="1" x14ac:dyDescent="0.25">
      <c r="A199" s="453">
        <f t="shared" si="43"/>
        <v>4.3999999999999986</v>
      </c>
      <c r="B199" s="406" t="s">
        <v>1450</v>
      </c>
      <c r="C199" s="407"/>
      <c r="D199" s="407"/>
      <c r="E199" s="407"/>
      <c r="F199" s="407"/>
      <c r="G199" s="408"/>
      <c r="H199" s="409">
        <v>1</v>
      </c>
      <c r="I199" s="410"/>
      <c r="J199" s="376" t="s">
        <v>1378</v>
      </c>
      <c r="K199" s="411"/>
      <c r="L199" s="439">
        <v>7500</v>
      </c>
      <c r="M199" s="440"/>
      <c r="N199" s="414">
        <f t="shared" si="42"/>
        <v>8625</v>
      </c>
    </row>
    <row r="200" spans="1:15" s="351" customFormat="1" ht="32.25" customHeight="1" x14ac:dyDescent="0.25">
      <c r="A200" s="453">
        <f t="shared" si="43"/>
        <v>4.4999999999999982</v>
      </c>
      <c r="B200" s="406" t="s">
        <v>1451</v>
      </c>
      <c r="C200" s="407"/>
      <c r="D200" s="407"/>
      <c r="E200" s="407"/>
      <c r="F200" s="407"/>
      <c r="G200" s="408"/>
      <c r="H200" s="409">
        <v>1</v>
      </c>
      <c r="I200" s="410"/>
      <c r="J200" s="376" t="s">
        <v>1378</v>
      </c>
      <c r="K200" s="411"/>
      <c r="L200" s="439">
        <v>10000</v>
      </c>
      <c r="M200" s="440"/>
      <c r="N200" s="414">
        <f t="shared" si="42"/>
        <v>11500</v>
      </c>
    </row>
    <row r="201" spans="1:15" s="351" customFormat="1" ht="32.25" customHeight="1" x14ac:dyDescent="0.25">
      <c r="A201" s="415"/>
      <c r="B201" s="416"/>
      <c r="C201" s="416"/>
      <c r="D201" s="416"/>
      <c r="E201" s="416"/>
      <c r="F201" s="416"/>
      <c r="G201" s="416"/>
      <c r="H201" s="416"/>
      <c r="I201" s="416"/>
      <c r="J201" s="416"/>
      <c r="K201" s="416"/>
      <c r="L201" s="416"/>
      <c r="M201" s="417"/>
      <c r="N201" s="418"/>
    </row>
    <row r="202" spans="1:15" s="351" customFormat="1" ht="32.25" customHeight="1" x14ac:dyDescent="0.25">
      <c r="A202" s="419" t="s">
        <v>1452</v>
      </c>
      <c r="B202" s="420"/>
      <c r="C202" s="420"/>
      <c r="D202" s="420"/>
      <c r="E202" s="420"/>
      <c r="F202" s="420"/>
      <c r="G202" s="420"/>
      <c r="H202" s="420"/>
      <c r="I202" s="420"/>
      <c r="J202" s="420"/>
      <c r="K202" s="420"/>
      <c r="L202" s="420"/>
      <c r="M202" s="421"/>
      <c r="N202" s="418"/>
    </row>
    <row r="203" spans="1:15" s="351" customFormat="1" ht="32.25" customHeight="1" x14ac:dyDescent="0.25">
      <c r="A203" s="454">
        <v>5.0999999999999996</v>
      </c>
      <c r="B203" s="455" t="s">
        <v>1453</v>
      </c>
      <c r="C203" s="456"/>
      <c r="D203" s="456"/>
      <c r="E203" s="456"/>
      <c r="F203" s="456"/>
      <c r="G203" s="457"/>
      <c r="H203" s="458">
        <v>1</v>
      </c>
      <c r="I203" s="459"/>
      <c r="J203" s="460" t="s">
        <v>1378</v>
      </c>
      <c r="K203" s="461"/>
      <c r="L203" s="458">
        <v>30000</v>
      </c>
      <c r="M203" s="462"/>
      <c r="N203" s="414">
        <f t="shared" ref="N203:N208" si="44">+(L203)*$N$119+L203</f>
        <v>34500</v>
      </c>
      <c r="O203" s="463">
        <f>+N203/23.8</f>
        <v>1449.579831932773</v>
      </c>
    </row>
    <row r="204" spans="1:15" s="351" customFormat="1" ht="32.25" customHeight="1" x14ac:dyDescent="0.25">
      <c r="A204" s="454">
        <f>A203+0.1</f>
        <v>5.1999999999999993</v>
      </c>
      <c r="B204" s="455" t="s">
        <v>1454</v>
      </c>
      <c r="C204" s="456"/>
      <c r="D204" s="456"/>
      <c r="E204" s="456"/>
      <c r="F204" s="456"/>
      <c r="G204" s="457"/>
      <c r="H204" s="458">
        <v>1</v>
      </c>
      <c r="I204" s="459"/>
      <c r="J204" s="460" t="s">
        <v>1378</v>
      </c>
      <c r="K204" s="461"/>
      <c r="L204" s="458">
        <v>20000</v>
      </c>
      <c r="M204" s="462"/>
      <c r="N204" s="414">
        <f t="shared" si="44"/>
        <v>23000</v>
      </c>
      <c r="O204" s="463">
        <f>+N204/23.8</f>
        <v>966.38655462184875</v>
      </c>
    </row>
    <row r="205" spans="1:15" s="351" customFormat="1" ht="32.25" customHeight="1" x14ac:dyDescent="0.25">
      <c r="A205" s="454">
        <f>A204+0.1</f>
        <v>5.2999999999999989</v>
      </c>
      <c r="B205" s="455" t="s">
        <v>1455</v>
      </c>
      <c r="C205" s="456"/>
      <c r="D205" s="456"/>
      <c r="E205" s="456"/>
      <c r="F205" s="456"/>
      <c r="G205" s="457"/>
      <c r="H205" s="458">
        <v>1</v>
      </c>
      <c r="I205" s="459"/>
      <c r="J205" s="460" t="s">
        <v>672</v>
      </c>
      <c r="K205" s="461"/>
      <c r="L205" s="439">
        <v>1850</v>
      </c>
      <c r="M205" s="440"/>
      <c r="N205" s="414">
        <f t="shared" si="44"/>
        <v>2127.5</v>
      </c>
    </row>
    <row r="206" spans="1:15" s="351" customFormat="1" ht="32.25" customHeight="1" x14ac:dyDescent="0.25">
      <c r="A206" s="454">
        <f t="shared" ref="A206:A211" si="45">A205+0.1</f>
        <v>5.3999999999999986</v>
      </c>
      <c r="B206" s="455" t="s">
        <v>1456</v>
      </c>
      <c r="C206" s="456"/>
      <c r="D206" s="456"/>
      <c r="E206" s="456"/>
      <c r="F206" s="456"/>
      <c r="G206" s="457"/>
      <c r="H206" s="458">
        <v>1</v>
      </c>
      <c r="I206" s="459"/>
      <c r="J206" s="460" t="s">
        <v>672</v>
      </c>
      <c r="K206" s="461"/>
      <c r="L206" s="439">
        <v>1200</v>
      </c>
      <c r="M206" s="440"/>
      <c r="N206" s="414">
        <f t="shared" si="44"/>
        <v>1380</v>
      </c>
    </row>
    <row r="207" spans="1:15" s="351" customFormat="1" ht="32.25" customHeight="1" x14ac:dyDescent="0.25">
      <c r="A207" s="454">
        <f>A205+0.1</f>
        <v>5.3999999999999986</v>
      </c>
      <c r="B207" s="455" t="s">
        <v>1457</v>
      </c>
      <c r="C207" s="456"/>
      <c r="D207" s="456"/>
      <c r="E207" s="456"/>
      <c r="F207" s="456"/>
      <c r="G207" s="457"/>
      <c r="H207" s="458">
        <v>1</v>
      </c>
      <c r="I207" s="459"/>
      <c r="J207" s="460" t="s">
        <v>672</v>
      </c>
      <c r="K207" s="461"/>
      <c r="L207" s="439">
        <v>1000</v>
      </c>
      <c r="M207" s="440"/>
      <c r="N207" s="414">
        <f t="shared" si="44"/>
        <v>1150</v>
      </c>
    </row>
    <row r="208" spans="1:15" s="351" customFormat="1" ht="32.25" customHeight="1" x14ac:dyDescent="0.25">
      <c r="A208" s="454">
        <f>A206+0.1</f>
        <v>5.4999999999999982</v>
      </c>
      <c r="B208" s="455" t="s">
        <v>1458</v>
      </c>
      <c r="C208" s="456"/>
      <c r="D208" s="456"/>
      <c r="E208" s="456"/>
      <c r="F208" s="456"/>
      <c r="G208" s="457"/>
      <c r="H208" s="458">
        <v>1</v>
      </c>
      <c r="I208" s="459"/>
      <c r="J208" s="460" t="s">
        <v>672</v>
      </c>
      <c r="K208" s="461"/>
      <c r="L208" s="439">
        <v>1400</v>
      </c>
      <c r="M208" s="440"/>
      <c r="N208" s="414">
        <f t="shared" si="44"/>
        <v>1610</v>
      </c>
    </row>
    <row r="209" spans="1:15" s="351" customFormat="1" ht="32.25" customHeight="1" x14ac:dyDescent="0.25">
      <c r="A209" s="454">
        <f t="shared" si="45"/>
        <v>5.5999999999999979</v>
      </c>
      <c r="B209" s="455" t="s">
        <v>1459</v>
      </c>
      <c r="C209" s="456"/>
      <c r="D209" s="456"/>
      <c r="E209" s="456"/>
      <c r="F209" s="456"/>
      <c r="G209" s="457"/>
      <c r="H209" s="458">
        <v>1</v>
      </c>
      <c r="I209" s="459"/>
      <c r="J209" s="460" t="s">
        <v>672</v>
      </c>
      <c r="K209" s="461"/>
      <c r="L209" s="439">
        <v>1100</v>
      </c>
      <c r="M209" s="440"/>
      <c r="N209" s="464">
        <f>+L209*$N$119+L209+O209</f>
        <v>1472.6676937441644</v>
      </c>
      <c r="O209" s="465">
        <f>88964.84/18/23.8</f>
        <v>207.6676937441643</v>
      </c>
    </row>
    <row r="210" spans="1:15" s="351" customFormat="1" ht="32.25" customHeight="1" x14ac:dyDescent="0.25">
      <c r="A210" s="454">
        <f t="shared" si="45"/>
        <v>5.6999999999999975</v>
      </c>
      <c r="B210" s="455" t="s">
        <v>112</v>
      </c>
      <c r="C210" s="456"/>
      <c r="D210" s="456"/>
      <c r="E210" s="456"/>
      <c r="F210" s="456"/>
      <c r="G210" s="457"/>
      <c r="H210" s="458">
        <v>1</v>
      </c>
      <c r="I210" s="459"/>
      <c r="J210" s="460" t="s">
        <v>672</v>
      </c>
      <c r="K210" s="461"/>
      <c r="L210" s="439">
        <v>1300</v>
      </c>
      <c r="M210" s="440"/>
      <c r="N210" s="464">
        <f>+L210*$N$119+L210+O210</f>
        <v>1740.1164498531264</v>
      </c>
      <c r="O210" s="465">
        <f>105140.25/18/23.83</f>
        <v>245.11644985312634</v>
      </c>
    </row>
    <row r="211" spans="1:15" s="351" customFormat="1" ht="32.25" customHeight="1" x14ac:dyDescent="0.25">
      <c r="A211" s="454">
        <f t="shared" si="45"/>
        <v>5.7999999999999972</v>
      </c>
      <c r="B211" s="455" t="s">
        <v>1460</v>
      </c>
      <c r="C211" s="456"/>
      <c r="D211" s="456"/>
      <c r="E211" s="456"/>
      <c r="F211" s="456"/>
      <c r="G211" s="457"/>
      <c r="H211" s="458">
        <v>1</v>
      </c>
      <c r="I211" s="459"/>
      <c r="J211" s="460" t="s">
        <v>1461</v>
      </c>
      <c r="K211" s="461"/>
      <c r="L211" s="439">
        <v>800</v>
      </c>
      <c r="M211" s="440"/>
      <c r="N211" s="464">
        <f>+L211*$N$119+L211+O211</f>
        <v>1096.4276388888889</v>
      </c>
      <c r="O211" s="465">
        <f>63513.95/12/30</f>
        <v>176.42763888888888</v>
      </c>
    </row>
    <row r="212" spans="1:15" s="351" customFormat="1" ht="32.25" customHeight="1" x14ac:dyDescent="0.25">
      <c r="A212" s="415"/>
      <c r="B212" s="416"/>
      <c r="C212" s="416"/>
      <c r="D212" s="416"/>
      <c r="E212" s="416"/>
      <c r="F212" s="416"/>
      <c r="G212" s="416"/>
      <c r="H212" s="416"/>
      <c r="I212" s="416"/>
      <c r="J212" s="416"/>
      <c r="K212" s="416"/>
      <c r="L212" s="416"/>
      <c r="M212" s="417"/>
      <c r="N212" s="418"/>
    </row>
    <row r="213" spans="1:15" s="351" customFormat="1" ht="32.25" customHeight="1" x14ac:dyDescent="0.25">
      <c r="A213" s="419" t="s">
        <v>1462</v>
      </c>
      <c r="B213" s="420"/>
      <c r="C213" s="420"/>
      <c r="D213" s="420"/>
      <c r="E213" s="420"/>
      <c r="F213" s="420"/>
      <c r="G213" s="420"/>
      <c r="H213" s="420"/>
      <c r="I213" s="420"/>
      <c r="J213" s="420"/>
      <c r="K213" s="420"/>
      <c r="L213" s="420"/>
      <c r="M213" s="421"/>
      <c r="N213" s="418"/>
    </row>
    <row r="214" spans="1:15" s="351" customFormat="1" ht="32.25" customHeight="1" x14ac:dyDescent="0.25">
      <c r="A214" s="405">
        <v>7.1</v>
      </c>
      <c r="B214" s="406" t="s">
        <v>1463</v>
      </c>
      <c r="C214" s="407"/>
      <c r="D214" s="407"/>
      <c r="E214" s="407"/>
      <c r="F214" s="407"/>
      <c r="G214" s="408"/>
      <c r="H214" s="409">
        <v>1</v>
      </c>
      <c r="I214" s="410"/>
      <c r="J214" s="376" t="s">
        <v>1378</v>
      </c>
      <c r="K214" s="411"/>
      <c r="L214" s="466">
        <v>5000</v>
      </c>
      <c r="M214" s="467"/>
      <c r="N214" s="414">
        <f t="shared" ref="N214:N223" si="46">+(L214)*$N$119+L214</f>
        <v>5750</v>
      </c>
    </row>
    <row r="215" spans="1:15" s="351" customFormat="1" ht="32.25" customHeight="1" x14ac:dyDescent="0.25">
      <c r="A215" s="405">
        <f>A214+0.1</f>
        <v>7.1999999999999993</v>
      </c>
      <c r="B215" s="406" t="s">
        <v>1464</v>
      </c>
      <c r="C215" s="407"/>
      <c r="D215" s="407"/>
      <c r="E215" s="407"/>
      <c r="F215" s="407"/>
      <c r="G215" s="408"/>
      <c r="H215" s="409">
        <v>1</v>
      </c>
      <c r="I215" s="410"/>
      <c r="J215" s="376" t="s">
        <v>79</v>
      </c>
      <c r="K215" s="411"/>
      <c r="L215" s="466">
        <v>1600</v>
      </c>
      <c r="M215" s="467"/>
      <c r="N215" s="414">
        <f t="shared" si="46"/>
        <v>1840</v>
      </c>
    </row>
    <row r="216" spans="1:15" s="351" customFormat="1" ht="32.25" customHeight="1" x14ac:dyDescent="0.25">
      <c r="A216" s="405">
        <f t="shared" ref="A216" si="47">A215+0.1</f>
        <v>7.2999999999999989</v>
      </c>
      <c r="B216" s="406" t="s">
        <v>1465</v>
      </c>
      <c r="C216" s="407"/>
      <c r="D216" s="407"/>
      <c r="E216" s="407"/>
      <c r="F216" s="407"/>
      <c r="G216" s="408"/>
      <c r="H216" s="409">
        <v>1</v>
      </c>
      <c r="I216" s="410"/>
      <c r="J216" s="376" t="s">
        <v>79</v>
      </c>
      <c r="K216" s="411"/>
      <c r="L216" s="466">
        <v>5000</v>
      </c>
      <c r="M216" s="467"/>
      <c r="N216" s="414">
        <f t="shared" si="46"/>
        <v>5750</v>
      </c>
    </row>
    <row r="217" spans="1:15" s="351" customFormat="1" ht="32.25" customHeight="1" x14ac:dyDescent="0.25">
      <c r="A217" s="405">
        <f>A215+0.1</f>
        <v>7.2999999999999989</v>
      </c>
      <c r="B217" s="406" t="s">
        <v>1466</v>
      </c>
      <c r="C217" s="407"/>
      <c r="D217" s="407"/>
      <c r="E217" s="407"/>
      <c r="F217" s="407"/>
      <c r="G217" s="408"/>
      <c r="H217" s="409">
        <v>1</v>
      </c>
      <c r="I217" s="410"/>
      <c r="J217" s="376" t="s">
        <v>79</v>
      </c>
      <c r="K217" s="411"/>
      <c r="L217" s="466">
        <v>6000</v>
      </c>
      <c r="M217" s="467"/>
      <c r="N217" s="414">
        <f t="shared" si="46"/>
        <v>6900</v>
      </c>
    </row>
    <row r="218" spans="1:15" s="351" customFormat="1" ht="32.25" customHeight="1" x14ac:dyDescent="0.25">
      <c r="A218" s="405">
        <f>A216+0.1</f>
        <v>7.3999999999999986</v>
      </c>
      <c r="B218" s="406" t="s">
        <v>1467</v>
      </c>
      <c r="C218" s="407"/>
      <c r="D218" s="407"/>
      <c r="E218" s="407"/>
      <c r="F218" s="407"/>
      <c r="G218" s="408"/>
      <c r="H218" s="409">
        <v>1</v>
      </c>
      <c r="I218" s="410"/>
      <c r="J218" s="376" t="s">
        <v>79</v>
      </c>
      <c r="K218" s="411"/>
      <c r="L218" s="409" t="s">
        <v>1468</v>
      </c>
      <c r="M218" s="422"/>
      <c r="N218" s="414">
        <f>+(2500)*$N$119+2500</f>
        <v>2875</v>
      </c>
    </row>
    <row r="219" spans="1:15" s="351" customFormat="1" ht="32.25" customHeight="1" x14ac:dyDescent="0.25">
      <c r="A219" s="405">
        <f t="shared" ref="A219:A223" si="48">A218+0.1</f>
        <v>7.4999999999999982</v>
      </c>
      <c r="B219" s="406" t="s">
        <v>1469</v>
      </c>
      <c r="C219" s="407"/>
      <c r="D219" s="407"/>
      <c r="E219" s="407"/>
      <c r="F219" s="407"/>
      <c r="G219" s="408"/>
      <c r="H219" s="409">
        <v>1</v>
      </c>
      <c r="I219" s="410"/>
      <c r="J219" s="376" t="s">
        <v>79</v>
      </c>
      <c r="K219" s="411"/>
      <c r="L219" s="409">
        <v>2500</v>
      </c>
      <c r="M219" s="422"/>
      <c r="N219" s="414">
        <f t="shared" si="46"/>
        <v>2875</v>
      </c>
    </row>
    <row r="220" spans="1:15" s="351" customFormat="1" ht="32.25" customHeight="1" x14ac:dyDescent="0.25">
      <c r="A220" s="405">
        <f t="shared" si="48"/>
        <v>7.5999999999999979</v>
      </c>
      <c r="B220" s="406" t="s">
        <v>1470</v>
      </c>
      <c r="C220" s="407"/>
      <c r="D220" s="407"/>
      <c r="E220" s="407"/>
      <c r="F220" s="407"/>
      <c r="G220" s="408"/>
      <c r="H220" s="409">
        <v>1</v>
      </c>
      <c r="I220" s="410"/>
      <c r="J220" s="376" t="s">
        <v>79</v>
      </c>
      <c r="K220" s="411"/>
      <c r="L220" s="409">
        <v>3000</v>
      </c>
      <c r="M220" s="422"/>
      <c r="N220" s="414">
        <f t="shared" si="46"/>
        <v>3450</v>
      </c>
    </row>
    <row r="221" spans="1:15" s="351" customFormat="1" ht="32.25" customHeight="1" x14ac:dyDescent="0.25">
      <c r="A221" s="405">
        <f t="shared" si="48"/>
        <v>7.6999999999999975</v>
      </c>
      <c r="B221" s="406" t="s">
        <v>1471</v>
      </c>
      <c r="C221" s="407"/>
      <c r="D221" s="407"/>
      <c r="E221" s="407"/>
      <c r="F221" s="407"/>
      <c r="G221" s="408"/>
      <c r="H221" s="409">
        <v>1</v>
      </c>
      <c r="I221" s="410"/>
      <c r="J221" s="376" t="s">
        <v>79</v>
      </c>
      <c r="K221" s="411"/>
      <c r="L221" s="409">
        <v>500</v>
      </c>
      <c r="M221" s="422"/>
      <c r="N221" s="414">
        <f t="shared" si="46"/>
        <v>575</v>
      </c>
    </row>
    <row r="222" spans="1:15" s="351" customFormat="1" ht="32.25" customHeight="1" x14ac:dyDescent="0.25">
      <c r="A222" s="405">
        <f t="shared" si="48"/>
        <v>7.7999999999999972</v>
      </c>
      <c r="B222" s="406" t="s">
        <v>1472</v>
      </c>
      <c r="C222" s="407"/>
      <c r="D222" s="407"/>
      <c r="E222" s="407"/>
      <c r="F222" s="407"/>
      <c r="G222" s="408"/>
      <c r="H222" s="409">
        <v>1</v>
      </c>
      <c r="I222" s="410"/>
      <c r="J222" s="376" t="s">
        <v>79</v>
      </c>
      <c r="K222" s="411"/>
      <c r="L222" s="439">
        <v>1800</v>
      </c>
      <c r="M222" s="440"/>
      <c r="N222" s="414">
        <f t="shared" si="46"/>
        <v>2070</v>
      </c>
    </row>
    <row r="223" spans="1:15" s="351" customFormat="1" ht="32.25" customHeight="1" x14ac:dyDescent="0.25">
      <c r="A223" s="405">
        <f t="shared" si="48"/>
        <v>7.8999999999999968</v>
      </c>
      <c r="B223" s="406" t="s">
        <v>1473</v>
      </c>
      <c r="C223" s="407"/>
      <c r="D223" s="407"/>
      <c r="E223" s="407"/>
      <c r="F223" s="407"/>
      <c r="G223" s="408"/>
      <c r="H223" s="409">
        <v>1</v>
      </c>
      <c r="I223" s="410"/>
      <c r="J223" s="376" t="s">
        <v>79</v>
      </c>
      <c r="K223" s="411"/>
      <c r="L223" s="439">
        <v>3000</v>
      </c>
      <c r="M223" s="440"/>
      <c r="N223" s="414">
        <f t="shared" si="46"/>
        <v>3450</v>
      </c>
    </row>
    <row r="224" spans="1:15" s="351" customFormat="1" ht="32.25" customHeight="1" thickBot="1" x14ac:dyDescent="0.3">
      <c r="A224" s="353"/>
      <c r="N224" s="435"/>
    </row>
    <row r="225" spans="1:14" s="351" customFormat="1" ht="32.25" customHeight="1" thickBot="1" x14ac:dyDescent="0.3">
      <c r="A225" s="395" t="s">
        <v>648</v>
      </c>
      <c r="B225" s="396"/>
      <c r="C225" s="396"/>
      <c r="D225" s="396"/>
      <c r="E225" s="396"/>
      <c r="F225" s="396"/>
      <c r="G225" s="396"/>
      <c r="H225" s="396"/>
      <c r="I225" s="396"/>
      <c r="J225" s="396"/>
      <c r="K225" s="396"/>
      <c r="L225" s="396"/>
      <c r="M225" s="397"/>
      <c r="N225" s="398">
        <v>0.15</v>
      </c>
    </row>
    <row r="226" spans="1:14" s="351" customFormat="1" ht="32.25" customHeight="1" thickBot="1" x14ac:dyDescent="0.3">
      <c r="A226" s="353"/>
      <c r="N226" s="435"/>
    </row>
    <row r="227" spans="1:14" s="351" customFormat="1" ht="32.25" customHeight="1" x14ac:dyDescent="0.25">
      <c r="A227" s="419" t="s">
        <v>1474</v>
      </c>
      <c r="B227" s="420"/>
      <c r="C227" s="420"/>
      <c r="D227" s="420"/>
      <c r="E227" s="420"/>
      <c r="F227" s="420"/>
      <c r="G227" s="420"/>
      <c r="H227" s="420"/>
      <c r="I227" s="420"/>
      <c r="J227" s="420"/>
      <c r="K227" s="420"/>
      <c r="L227" s="420"/>
      <c r="M227" s="421"/>
      <c r="N227" s="404"/>
    </row>
    <row r="228" spans="1:14" s="351" customFormat="1" ht="32.25" customHeight="1" x14ac:dyDescent="0.25">
      <c r="A228" s="419" t="s">
        <v>1475</v>
      </c>
      <c r="B228" s="420"/>
      <c r="C228" s="420"/>
      <c r="D228" s="420"/>
      <c r="E228" s="420"/>
      <c r="F228" s="420"/>
      <c r="G228" s="420"/>
      <c r="H228" s="420"/>
      <c r="I228" s="420"/>
      <c r="J228" s="420"/>
      <c r="K228" s="420"/>
      <c r="L228" s="420"/>
      <c r="M228" s="421"/>
      <c r="N228" s="418"/>
    </row>
    <row r="229" spans="1:14" s="351" customFormat="1" ht="32.25" customHeight="1" x14ac:dyDescent="0.25">
      <c r="A229" s="405">
        <v>1.01</v>
      </c>
      <c r="B229" s="406" t="s">
        <v>1476</v>
      </c>
      <c r="C229" s="407"/>
      <c r="D229" s="407"/>
      <c r="E229" s="407"/>
      <c r="F229" s="407"/>
      <c r="G229" s="408"/>
      <c r="H229" s="409">
        <v>1</v>
      </c>
      <c r="I229" s="410"/>
      <c r="J229" s="376" t="s">
        <v>1300</v>
      </c>
      <c r="K229" s="411"/>
      <c r="L229" s="439">
        <v>60</v>
      </c>
      <c r="M229" s="440"/>
      <c r="N229" s="414">
        <f>+(L229)*$N$225+L229</f>
        <v>69</v>
      </c>
    </row>
    <row r="230" spans="1:14" s="351" customFormat="1" ht="32.25" customHeight="1" x14ac:dyDescent="0.25">
      <c r="A230" s="405">
        <f>A229+0.01</f>
        <v>1.02</v>
      </c>
      <c r="B230" s="406" t="s">
        <v>1477</v>
      </c>
      <c r="C230" s="407"/>
      <c r="D230" s="407"/>
      <c r="E230" s="407"/>
      <c r="F230" s="407"/>
      <c r="G230" s="408"/>
      <c r="H230" s="409">
        <v>1</v>
      </c>
      <c r="I230" s="410"/>
      <c r="J230" s="376" t="s">
        <v>1300</v>
      </c>
      <c r="K230" s="411"/>
      <c r="L230" s="439">
        <v>140</v>
      </c>
      <c r="M230" s="440"/>
      <c r="N230" s="414">
        <f>+(L230)*$N$225+L230</f>
        <v>161</v>
      </c>
    </row>
    <row r="231" spans="1:14" s="351" customFormat="1" ht="32.25" customHeight="1" x14ac:dyDescent="0.25">
      <c r="A231" s="419" t="s">
        <v>1478</v>
      </c>
      <c r="B231" s="420"/>
      <c r="C231" s="420"/>
      <c r="D231" s="420"/>
      <c r="E231" s="420"/>
      <c r="F231" s="420"/>
      <c r="G231" s="420"/>
      <c r="H231" s="420"/>
      <c r="I231" s="420"/>
      <c r="J231" s="420"/>
      <c r="K231" s="420"/>
      <c r="L231" s="420"/>
      <c r="M231" s="421"/>
      <c r="N231" s="418"/>
    </row>
    <row r="232" spans="1:14" s="351" customFormat="1" ht="32.25" customHeight="1" x14ac:dyDescent="0.25">
      <c r="A232" s="405">
        <f>+A230+0.01</f>
        <v>1.03</v>
      </c>
      <c r="B232" s="406" t="s">
        <v>1476</v>
      </c>
      <c r="C232" s="407"/>
      <c r="D232" s="407"/>
      <c r="E232" s="407"/>
      <c r="F232" s="407"/>
      <c r="G232" s="408"/>
      <c r="H232" s="409">
        <v>1</v>
      </c>
      <c r="I232" s="410"/>
      <c r="J232" s="376" t="s">
        <v>1300</v>
      </c>
      <c r="K232" s="411"/>
      <c r="L232" s="439">
        <v>120</v>
      </c>
      <c r="M232" s="440"/>
      <c r="N232" s="414">
        <f t="shared" ref="N232:N233" si="49">+(L232)*$N$225+L232</f>
        <v>138</v>
      </c>
    </row>
    <row r="233" spans="1:14" s="351" customFormat="1" ht="32.25" customHeight="1" x14ac:dyDescent="0.25">
      <c r="A233" s="405">
        <f>+A232+0.01</f>
        <v>1.04</v>
      </c>
      <c r="B233" s="406" t="s">
        <v>1477</v>
      </c>
      <c r="C233" s="407"/>
      <c r="D233" s="407"/>
      <c r="E233" s="407"/>
      <c r="F233" s="407"/>
      <c r="G233" s="408"/>
      <c r="H233" s="409">
        <v>1</v>
      </c>
      <c r="I233" s="410"/>
      <c r="J233" s="376" t="s">
        <v>1300</v>
      </c>
      <c r="K233" s="411"/>
      <c r="L233" s="439">
        <v>275</v>
      </c>
      <c r="M233" s="440"/>
      <c r="N233" s="414">
        <f t="shared" si="49"/>
        <v>316.25</v>
      </c>
    </row>
    <row r="234" spans="1:14" s="351" customFormat="1" ht="32.25" customHeight="1" x14ac:dyDescent="0.25">
      <c r="A234" s="415"/>
      <c r="B234" s="416"/>
      <c r="C234" s="416"/>
      <c r="D234" s="416"/>
      <c r="E234" s="416"/>
      <c r="F234" s="416"/>
      <c r="G234" s="416"/>
      <c r="H234" s="416"/>
      <c r="I234" s="416"/>
      <c r="J234" s="416"/>
      <c r="K234" s="416"/>
      <c r="L234" s="416"/>
      <c r="M234" s="417"/>
      <c r="N234" s="418"/>
    </row>
    <row r="235" spans="1:14" s="351" customFormat="1" ht="32.25" customHeight="1" x14ac:dyDescent="0.25">
      <c r="A235" s="419" t="s">
        <v>1479</v>
      </c>
      <c r="B235" s="420"/>
      <c r="C235" s="420"/>
      <c r="D235" s="420"/>
      <c r="E235" s="420"/>
      <c r="F235" s="420"/>
      <c r="G235" s="420"/>
      <c r="H235" s="420"/>
      <c r="I235" s="420"/>
      <c r="J235" s="420"/>
      <c r="K235" s="420"/>
      <c r="L235" s="420"/>
      <c r="M235" s="421"/>
      <c r="N235" s="418"/>
    </row>
    <row r="236" spans="1:14" s="351" customFormat="1" ht="32.25" customHeight="1" x14ac:dyDescent="0.25">
      <c r="A236" s="405">
        <v>2.0099999999999998</v>
      </c>
      <c r="B236" s="406" t="s">
        <v>1480</v>
      </c>
      <c r="C236" s="407"/>
      <c r="D236" s="407"/>
      <c r="E236" s="407"/>
      <c r="F236" s="407"/>
      <c r="G236" s="408"/>
      <c r="H236" s="409">
        <v>1</v>
      </c>
      <c r="I236" s="410"/>
      <c r="J236" s="376" t="s">
        <v>1300</v>
      </c>
      <c r="K236" s="411"/>
      <c r="L236" s="439">
        <v>17</v>
      </c>
      <c r="M236" s="440"/>
      <c r="N236" s="414">
        <f>+(L236)*$N$225+L236</f>
        <v>19.55</v>
      </c>
    </row>
    <row r="237" spans="1:14" s="351" customFormat="1" ht="32.25" customHeight="1" x14ac:dyDescent="0.25">
      <c r="A237" s="419" t="s">
        <v>1481</v>
      </c>
      <c r="B237" s="420"/>
      <c r="C237" s="420"/>
      <c r="D237" s="420"/>
      <c r="E237" s="420"/>
      <c r="F237" s="420"/>
      <c r="G237" s="420"/>
      <c r="H237" s="420"/>
      <c r="I237" s="420"/>
      <c r="J237" s="420"/>
      <c r="K237" s="420"/>
      <c r="L237" s="420"/>
      <c r="M237" s="421"/>
      <c r="N237" s="418"/>
    </row>
    <row r="238" spans="1:14" s="351" customFormat="1" ht="32.25" customHeight="1" x14ac:dyDescent="0.25">
      <c r="A238" s="405">
        <f>+A236+0.01</f>
        <v>2.0199999999999996</v>
      </c>
      <c r="B238" s="406" t="s">
        <v>1482</v>
      </c>
      <c r="C238" s="407"/>
      <c r="D238" s="407"/>
      <c r="E238" s="407"/>
      <c r="F238" s="407"/>
      <c r="G238" s="408"/>
      <c r="H238" s="409">
        <v>1</v>
      </c>
      <c r="I238" s="410"/>
      <c r="J238" s="376" t="s">
        <v>1300</v>
      </c>
      <c r="K238" s="411"/>
      <c r="L238" s="439">
        <v>35</v>
      </c>
      <c r="M238" s="440"/>
      <c r="N238" s="414">
        <f t="shared" ref="N238:N240" si="50">+(L238)*$N$225+L238</f>
        <v>40.25</v>
      </c>
    </row>
    <row r="239" spans="1:14" s="351" customFormat="1" ht="32.25" customHeight="1" x14ac:dyDescent="0.25">
      <c r="A239" s="405">
        <f>+A238+0.01</f>
        <v>2.0299999999999994</v>
      </c>
      <c r="B239" s="406" t="s">
        <v>1483</v>
      </c>
      <c r="C239" s="407"/>
      <c r="D239" s="407"/>
      <c r="E239" s="407"/>
      <c r="F239" s="407"/>
      <c r="G239" s="408"/>
      <c r="H239" s="409">
        <v>1</v>
      </c>
      <c r="I239" s="410"/>
      <c r="J239" s="376" t="s">
        <v>1300</v>
      </c>
      <c r="K239" s="411"/>
      <c r="L239" s="439">
        <v>105</v>
      </c>
      <c r="M239" s="440"/>
      <c r="N239" s="414">
        <f t="shared" si="50"/>
        <v>120.75</v>
      </c>
    </row>
    <row r="240" spans="1:14" s="351" customFormat="1" ht="32.25" customHeight="1" x14ac:dyDescent="0.25">
      <c r="A240" s="405">
        <f>+A239+0.01</f>
        <v>2.0399999999999991</v>
      </c>
      <c r="B240" s="406" t="s">
        <v>1484</v>
      </c>
      <c r="C240" s="407"/>
      <c r="D240" s="407"/>
      <c r="E240" s="407"/>
      <c r="F240" s="407"/>
      <c r="G240" s="408"/>
      <c r="H240" s="409">
        <v>1</v>
      </c>
      <c r="I240" s="410"/>
      <c r="J240" s="376" t="s">
        <v>150</v>
      </c>
      <c r="K240" s="411"/>
      <c r="L240" s="439">
        <v>70</v>
      </c>
      <c r="M240" s="440"/>
      <c r="N240" s="414">
        <f t="shared" si="50"/>
        <v>80.5</v>
      </c>
    </row>
    <row r="241" spans="1:14" s="351" customFormat="1" ht="32.25" customHeight="1" x14ac:dyDescent="0.25">
      <c r="A241" s="419" t="s">
        <v>1485</v>
      </c>
      <c r="B241" s="420"/>
      <c r="C241" s="420"/>
      <c r="D241" s="420"/>
      <c r="E241" s="420"/>
      <c r="F241" s="420"/>
      <c r="G241" s="420"/>
      <c r="H241" s="420"/>
      <c r="I241" s="420"/>
      <c r="J241" s="420"/>
      <c r="K241" s="420"/>
      <c r="L241" s="420"/>
      <c r="M241" s="421"/>
      <c r="N241" s="418"/>
    </row>
    <row r="242" spans="1:14" s="351" customFormat="1" ht="32.25" customHeight="1" x14ac:dyDescent="0.25">
      <c r="A242" s="405">
        <f>+A240+0.01</f>
        <v>2.0499999999999989</v>
      </c>
      <c r="B242" s="406" t="s">
        <v>1486</v>
      </c>
      <c r="C242" s="407"/>
      <c r="D242" s="407"/>
      <c r="E242" s="407"/>
      <c r="F242" s="407"/>
      <c r="G242" s="408"/>
      <c r="H242" s="409">
        <v>1</v>
      </c>
      <c r="I242" s="410"/>
      <c r="J242" s="376" t="s">
        <v>1300</v>
      </c>
      <c r="K242" s="411"/>
      <c r="L242" s="439">
        <v>85</v>
      </c>
      <c r="M242" s="440"/>
      <c r="N242" s="414">
        <f t="shared" ref="N242:N244" si="51">+(L242)*$N$225+L242</f>
        <v>97.75</v>
      </c>
    </row>
    <row r="243" spans="1:14" s="351" customFormat="1" ht="32.25" customHeight="1" x14ac:dyDescent="0.25">
      <c r="A243" s="405">
        <f>A242+0.01</f>
        <v>2.0599999999999987</v>
      </c>
      <c r="B243" s="406" t="s">
        <v>1487</v>
      </c>
      <c r="C243" s="407"/>
      <c r="D243" s="407"/>
      <c r="E243" s="407"/>
      <c r="F243" s="407"/>
      <c r="G243" s="408"/>
      <c r="H243" s="409">
        <v>1</v>
      </c>
      <c r="I243" s="410"/>
      <c r="J243" s="376" t="s">
        <v>1300</v>
      </c>
      <c r="K243" s="411"/>
      <c r="L243" s="439">
        <v>230</v>
      </c>
      <c r="M243" s="440"/>
      <c r="N243" s="414">
        <f t="shared" si="51"/>
        <v>264.5</v>
      </c>
    </row>
    <row r="244" spans="1:14" s="351" customFormat="1" ht="32.25" customHeight="1" x14ac:dyDescent="0.25">
      <c r="A244" s="405">
        <f>A243+0.01</f>
        <v>2.0699999999999985</v>
      </c>
      <c r="B244" s="406" t="s">
        <v>1484</v>
      </c>
      <c r="C244" s="407"/>
      <c r="D244" s="407"/>
      <c r="E244" s="407"/>
      <c r="F244" s="407"/>
      <c r="G244" s="408"/>
      <c r="H244" s="409">
        <v>1</v>
      </c>
      <c r="I244" s="410"/>
      <c r="J244" s="376" t="s">
        <v>150</v>
      </c>
      <c r="K244" s="411"/>
      <c r="L244" s="439">
        <v>105</v>
      </c>
      <c r="M244" s="440"/>
      <c r="N244" s="414">
        <f t="shared" si="51"/>
        <v>120.75</v>
      </c>
    </row>
    <row r="245" spans="1:14" s="351" customFormat="1" ht="32.25" customHeight="1" x14ac:dyDescent="0.25">
      <c r="A245" s="419" t="s">
        <v>1488</v>
      </c>
      <c r="B245" s="420"/>
      <c r="C245" s="420"/>
      <c r="D245" s="420"/>
      <c r="E245" s="420"/>
      <c r="F245" s="420"/>
      <c r="G245" s="420"/>
      <c r="H245" s="420"/>
      <c r="I245" s="420"/>
      <c r="J245" s="420"/>
      <c r="K245" s="420"/>
      <c r="L245" s="420"/>
      <c r="M245" s="421"/>
      <c r="N245" s="418"/>
    </row>
    <row r="246" spans="1:14" s="351" customFormat="1" ht="32.25" customHeight="1" x14ac:dyDescent="0.25">
      <c r="A246" s="405">
        <f>+A244+0.01</f>
        <v>2.0799999999999983</v>
      </c>
      <c r="B246" s="406" t="s">
        <v>1489</v>
      </c>
      <c r="C246" s="407"/>
      <c r="D246" s="407"/>
      <c r="E246" s="407"/>
      <c r="F246" s="407"/>
      <c r="G246" s="408"/>
      <c r="H246" s="409">
        <v>1</v>
      </c>
      <c r="I246" s="410"/>
      <c r="J246" s="376" t="s">
        <v>150</v>
      </c>
      <c r="K246" s="411"/>
      <c r="L246" s="439">
        <v>35</v>
      </c>
      <c r="M246" s="440"/>
      <c r="N246" s="414">
        <f t="shared" ref="N246:N247" si="52">+(L246)*$N$225+L246</f>
        <v>40.25</v>
      </c>
    </row>
    <row r="247" spans="1:14" s="351" customFormat="1" ht="32.25" customHeight="1" x14ac:dyDescent="0.25">
      <c r="A247" s="405">
        <f>A246+0.01</f>
        <v>2.0899999999999981</v>
      </c>
      <c r="B247" s="406" t="s">
        <v>1490</v>
      </c>
      <c r="C247" s="407"/>
      <c r="D247" s="407"/>
      <c r="E247" s="407"/>
      <c r="F247" s="407"/>
      <c r="G247" s="408"/>
      <c r="H247" s="409">
        <v>1</v>
      </c>
      <c r="I247" s="410"/>
      <c r="J247" s="376" t="s">
        <v>150</v>
      </c>
      <c r="K247" s="411"/>
      <c r="L247" s="439">
        <v>110</v>
      </c>
      <c r="M247" s="440"/>
      <c r="N247" s="414">
        <f t="shared" si="52"/>
        <v>126.5</v>
      </c>
    </row>
    <row r="248" spans="1:14" s="351" customFormat="1" ht="32.25" customHeight="1" x14ac:dyDescent="0.25">
      <c r="A248" s="419" t="s">
        <v>1491</v>
      </c>
      <c r="B248" s="420"/>
      <c r="C248" s="420"/>
      <c r="D248" s="420"/>
      <c r="E248" s="420"/>
      <c r="F248" s="420"/>
      <c r="G248" s="420"/>
      <c r="H248" s="420"/>
      <c r="I248" s="420"/>
      <c r="J248" s="420"/>
      <c r="K248" s="420"/>
      <c r="L248" s="420"/>
      <c r="M248" s="421"/>
      <c r="N248" s="418"/>
    </row>
    <row r="249" spans="1:14" s="351" customFormat="1" ht="32.25" customHeight="1" x14ac:dyDescent="0.25">
      <c r="A249" s="441">
        <f>+A247+0.01</f>
        <v>2.0999999999999979</v>
      </c>
      <c r="B249" s="406" t="s">
        <v>1492</v>
      </c>
      <c r="C249" s="407"/>
      <c r="D249" s="407"/>
      <c r="E249" s="407"/>
      <c r="F249" s="407"/>
      <c r="G249" s="408"/>
      <c r="H249" s="409">
        <v>1</v>
      </c>
      <c r="I249" s="410"/>
      <c r="J249" s="376" t="s">
        <v>150</v>
      </c>
      <c r="K249" s="411"/>
      <c r="L249" s="439">
        <v>95</v>
      </c>
      <c r="M249" s="440"/>
      <c r="N249" s="414">
        <f t="shared" ref="N249:N250" si="53">+(L249)*$N$225+L249</f>
        <v>109.25</v>
      </c>
    </row>
    <row r="250" spans="1:14" s="351" customFormat="1" ht="32.25" customHeight="1" x14ac:dyDescent="0.25">
      <c r="A250" s="441">
        <f>A249+0.01</f>
        <v>2.1099999999999977</v>
      </c>
      <c r="B250" s="406" t="s">
        <v>1493</v>
      </c>
      <c r="C250" s="407"/>
      <c r="D250" s="407"/>
      <c r="E250" s="407"/>
      <c r="F250" s="407"/>
      <c r="G250" s="408"/>
      <c r="H250" s="409">
        <v>1</v>
      </c>
      <c r="I250" s="410"/>
      <c r="J250" s="376" t="s">
        <v>150</v>
      </c>
      <c r="K250" s="411"/>
      <c r="L250" s="439">
        <v>70</v>
      </c>
      <c r="M250" s="440"/>
      <c r="N250" s="414">
        <f t="shared" si="53"/>
        <v>80.5</v>
      </c>
    </row>
    <row r="251" spans="1:14" s="351" customFormat="1" ht="32.25" customHeight="1" x14ac:dyDescent="0.25">
      <c r="A251" s="419" t="s">
        <v>1494</v>
      </c>
      <c r="B251" s="420"/>
      <c r="C251" s="420"/>
      <c r="D251" s="420"/>
      <c r="E251" s="420"/>
      <c r="F251" s="420"/>
      <c r="G251" s="420"/>
      <c r="H251" s="420"/>
      <c r="I251" s="420"/>
      <c r="J251" s="420"/>
      <c r="K251" s="420"/>
      <c r="L251" s="420"/>
      <c r="M251" s="421"/>
      <c r="N251" s="418"/>
    </row>
    <row r="252" spans="1:14" s="351" customFormat="1" ht="32.25" customHeight="1" x14ac:dyDescent="0.25">
      <c r="A252" s="441">
        <f>+A250+0.01</f>
        <v>2.1199999999999974</v>
      </c>
      <c r="B252" s="406" t="s">
        <v>1495</v>
      </c>
      <c r="C252" s="407"/>
      <c r="D252" s="407"/>
      <c r="E252" s="407"/>
      <c r="F252" s="407"/>
      <c r="G252" s="408"/>
      <c r="H252" s="409">
        <v>1</v>
      </c>
      <c r="I252" s="410"/>
      <c r="J252" s="376" t="s">
        <v>1300</v>
      </c>
      <c r="K252" s="411"/>
      <c r="L252" s="439">
        <v>105</v>
      </c>
      <c r="M252" s="440"/>
      <c r="N252" s="414">
        <f t="shared" ref="N252:N253" si="54">+(L252)*$N$225+L252</f>
        <v>120.75</v>
      </c>
    </row>
    <row r="253" spans="1:14" s="351" customFormat="1" ht="32.25" customHeight="1" x14ac:dyDescent="0.25">
      <c r="A253" s="441">
        <f>A252+0.01</f>
        <v>2.1299999999999972</v>
      </c>
      <c r="B253" s="406" t="s">
        <v>1496</v>
      </c>
      <c r="C253" s="407"/>
      <c r="D253" s="407"/>
      <c r="E253" s="407"/>
      <c r="F253" s="407"/>
      <c r="G253" s="408"/>
      <c r="H253" s="409">
        <v>1</v>
      </c>
      <c r="I253" s="410"/>
      <c r="J253" s="376" t="s">
        <v>1300</v>
      </c>
      <c r="K253" s="411"/>
      <c r="L253" s="439">
        <v>320</v>
      </c>
      <c r="M253" s="440"/>
      <c r="N253" s="414">
        <f t="shared" si="54"/>
        <v>368</v>
      </c>
    </row>
    <row r="254" spans="1:14" s="351" customFormat="1" ht="32.25" customHeight="1" x14ac:dyDescent="0.25">
      <c r="A254" s="419" t="s">
        <v>1497</v>
      </c>
      <c r="B254" s="420"/>
      <c r="C254" s="420"/>
      <c r="D254" s="420"/>
      <c r="E254" s="420"/>
      <c r="F254" s="420"/>
      <c r="G254" s="420"/>
      <c r="H254" s="420"/>
      <c r="I254" s="420"/>
      <c r="J254" s="420"/>
      <c r="K254" s="420"/>
      <c r="L254" s="420"/>
      <c r="M254" s="421"/>
      <c r="N254" s="418"/>
    </row>
    <row r="255" spans="1:14" s="351" customFormat="1" ht="32.25" customHeight="1" x14ac:dyDescent="0.25">
      <c r="A255" s="441">
        <f>+A253+0.01</f>
        <v>2.139999999999997</v>
      </c>
      <c r="B255" s="406" t="s">
        <v>1498</v>
      </c>
      <c r="C255" s="407"/>
      <c r="D255" s="407"/>
      <c r="E255" s="407"/>
      <c r="F255" s="407"/>
      <c r="G255" s="408"/>
      <c r="H255" s="409">
        <v>1</v>
      </c>
      <c r="I255" s="410"/>
      <c r="J255" s="376" t="s">
        <v>1300</v>
      </c>
      <c r="K255" s="411"/>
      <c r="L255" s="439">
        <v>135</v>
      </c>
      <c r="M255" s="440"/>
      <c r="N255" s="414">
        <f>+(L255)*$N$225+L255</f>
        <v>155.25</v>
      </c>
    </row>
    <row r="256" spans="1:14" s="351" customFormat="1" ht="32.25" customHeight="1" x14ac:dyDescent="0.25">
      <c r="A256" s="419" t="s">
        <v>1499</v>
      </c>
      <c r="B256" s="420"/>
      <c r="C256" s="420"/>
      <c r="D256" s="420"/>
      <c r="E256" s="420"/>
      <c r="F256" s="420"/>
      <c r="G256" s="420"/>
      <c r="H256" s="420"/>
      <c r="I256" s="420"/>
      <c r="J256" s="420"/>
      <c r="K256" s="420"/>
      <c r="L256" s="420"/>
      <c r="M256" s="421"/>
      <c r="N256" s="418"/>
    </row>
    <row r="257" spans="1:14" s="351" customFormat="1" ht="32.25" customHeight="1" x14ac:dyDescent="0.25">
      <c r="A257" s="441">
        <f>+A255+0.01</f>
        <v>2.1499999999999968</v>
      </c>
      <c r="B257" s="406" t="s">
        <v>1500</v>
      </c>
      <c r="C257" s="407"/>
      <c r="D257" s="407"/>
      <c r="E257" s="407"/>
      <c r="F257" s="407"/>
      <c r="G257" s="408"/>
      <c r="H257" s="409">
        <v>1</v>
      </c>
      <c r="I257" s="410"/>
      <c r="J257" s="376" t="s">
        <v>1300</v>
      </c>
      <c r="K257" s="411"/>
      <c r="L257" s="439">
        <v>75</v>
      </c>
      <c r="M257" s="440"/>
      <c r="N257" s="414">
        <f t="shared" ref="N257:N258" si="55">+(L257)*$N$225+L257</f>
        <v>86.25</v>
      </c>
    </row>
    <row r="258" spans="1:14" s="351" customFormat="1" ht="32.25" customHeight="1" x14ac:dyDescent="0.25">
      <c r="A258" s="441">
        <f>A257+0.01</f>
        <v>2.1599999999999966</v>
      </c>
      <c r="B258" s="406" t="s">
        <v>1501</v>
      </c>
      <c r="C258" s="407"/>
      <c r="D258" s="407"/>
      <c r="E258" s="407"/>
      <c r="F258" s="407"/>
      <c r="G258" s="408"/>
      <c r="H258" s="409">
        <v>1</v>
      </c>
      <c r="I258" s="410"/>
      <c r="J258" s="376" t="s">
        <v>1300</v>
      </c>
      <c r="K258" s="411"/>
      <c r="L258" s="439">
        <v>290</v>
      </c>
      <c r="M258" s="440"/>
      <c r="N258" s="414">
        <f t="shared" si="55"/>
        <v>333.5</v>
      </c>
    </row>
    <row r="259" spans="1:14" s="351" customFormat="1" ht="32.25" customHeight="1" x14ac:dyDescent="0.25">
      <c r="A259" s="415"/>
      <c r="B259" s="416"/>
      <c r="C259" s="416"/>
      <c r="D259" s="416"/>
      <c r="E259" s="416"/>
      <c r="F259" s="416"/>
      <c r="G259" s="416"/>
      <c r="H259" s="416"/>
      <c r="I259" s="416"/>
      <c r="J259" s="416"/>
      <c r="K259" s="416"/>
      <c r="L259" s="416"/>
      <c r="M259" s="417"/>
      <c r="N259" s="418"/>
    </row>
    <row r="260" spans="1:14" s="351" customFormat="1" ht="32.25" customHeight="1" x14ac:dyDescent="0.25">
      <c r="A260" s="419" t="s">
        <v>1502</v>
      </c>
      <c r="B260" s="420"/>
      <c r="C260" s="420"/>
      <c r="D260" s="420"/>
      <c r="E260" s="420"/>
      <c r="F260" s="420"/>
      <c r="G260" s="420"/>
      <c r="H260" s="420"/>
      <c r="I260" s="420"/>
      <c r="J260" s="420"/>
      <c r="K260" s="420"/>
      <c r="L260" s="420"/>
      <c r="M260" s="421"/>
      <c r="N260" s="418"/>
    </row>
    <row r="261" spans="1:14" s="351" customFormat="1" ht="32.25" customHeight="1" x14ac:dyDescent="0.25">
      <c r="A261" s="419" t="s">
        <v>1503</v>
      </c>
      <c r="B261" s="420"/>
      <c r="C261" s="420"/>
      <c r="D261" s="420"/>
      <c r="E261" s="420"/>
      <c r="F261" s="420"/>
      <c r="G261" s="420"/>
      <c r="H261" s="420"/>
      <c r="I261" s="420"/>
      <c r="J261" s="420"/>
      <c r="K261" s="420"/>
      <c r="L261" s="420"/>
      <c r="M261" s="421"/>
      <c r="N261" s="418"/>
    </row>
    <row r="262" spans="1:14" s="351" customFormat="1" ht="32.25" customHeight="1" x14ac:dyDescent="0.25">
      <c r="A262" s="405">
        <v>3.01</v>
      </c>
      <c r="B262" s="406" t="s">
        <v>1504</v>
      </c>
      <c r="C262" s="407"/>
      <c r="D262" s="407"/>
      <c r="E262" s="407"/>
      <c r="F262" s="407"/>
      <c r="G262" s="408"/>
      <c r="H262" s="409">
        <v>1</v>
      </c>
      <c r="I262" s="410"/>
      <c r="J262" s="376" t="s">
        <v>1300</v>
      </c>
      <c r="K262" s="411"/>
      <c r="L262" s="439">
        <v>530</v>
      </c>
      <c r="M262" s="440"/>
      <c r="N262" s="414">
        <f t="shared" ref="N262:N266" si="56">+(L262)*$N$225+L262</f>
        <v>609.5</v>
      </c>
    </row>
    <row r="263" spans="1:14" s="351" customFormat="1" ht="32.25" customHeight="1" x14ac:dyDescent="0.25">
      <c r="A263" s="405">
        <f>A262+0.01</f>
        <v>3.0199999999999996</v>
      </c>
      <c r="B263" s="406" t="s">
        <v>1505</v>
      </c>
      <c r="C263" s="407"/>
      <c r="D263" s="407"/>
      <c r="E263" s="407"/>
      <c r="F263" s="407"/>
      <c r="G263" s="408"/>
      <c r="H263" s="409">
        <v>1</v>
      </c>
      <c r="I263" s="410"/>
      <c r="J263" s="376" t="s">
        <v>1300</v>
      </c>
      <c r="K263" s="411"/>
      <c r="L263" s="439">
        <v>1550</v>
      </c>
      <c r="M263" s="440"/>
      <c r="N263" s="414">
        <f t="shared" si="56"/>
        <v>1782.5</v>
      </c>
    </row>
    <row r="264" spans="1:14" s="351" customFormat="1" ht="32.25" customHeight="1" x14ac:dyDescent="0.25">
      <c r="A264" s="405">
        <f t="shared" ref="A264:A266" si="57">A263+0.01</f>
        <v>3.0299999999999994</v>
      </c>
      <c r="B264" s="406" t="s">
        <v>1506</v>
      </c>
      <c r="C264" s="407"/>
      <c r="D264" s="407"/>
      <c r="E264" s="407"/>
      <c r="F264" s="407"/>
      <c r="G264" s="408"/>
      <c r="H264" s="409">
        <v>1</v>
      </c>
      <c r="I264" s="410"/>
      <c r="J264" s="376" t="s">
        <v>150</v>
      </c>
      <c r="K264" s="411"/>
      <c r="L264" s="439">
        <v>390</v>
      </c>
      <c r="M264" s="440"/>
      <c r="N264" s="414">
        <f t="shared" si="56"/>
        <v>448.5</v>
      </c>
    </row>
    <row r="265" spans="1:14" s="351" customFormat="1" ht="32.25" customHeight="1" x14ac:dyDescent="0.25">
      <c r="A265" s="405">
        <f t="shared" si="57"/>
        <v>3.0399999999999991</v>
      </c>
      <c r="B265" s="406" t="s">
        <v>1507</v>
      </c>
      <c r="C265" s="407"/>
      <c r="D265" s="407"/>
      <c r="E265" s="407"/>
      <c r="F265" s="407"/>
      <c r="G265" s="408"/>
      <c r="H265" s="409">
        <v>1</v>
      </c>
      <c r="I265" s="410"/>
      <c r="J265" s="376" t="s">
        <v>79</v>
      </c>
      <c r="K265" s="411"/>
      <c r="L265" s="439">
        <v>1050</v>
      </c>
      <c r="M265" s="440"/>
      <c r="N265" s="414">
        <f t="shared" si="56"/>
        <v>1207.5</v>
      </c>
    </row>
    <row r="266" spans="1:14" s="351" customFormat="1" ht="32.25" customHeight="1" x14ac:dyDescent="0.25">
      <c r="A266" s="405">
        <f t="shared" si="57"/>
        <v>3.0499999999999989</v>
      </c>
      <c r="B266" s="406" t="s">
        <v>1508</v>
      </c>
      <c r="C266" s="407"/>
      <c r="D266" s="407"/>
      <c r="E266" s="407"/>
      <c r="F266" s="407"/>
      <c r="G266" s="408"/>
      <c r="H266" s="409">
        <v>1</v>
      </c>
      <c r="I266" s="410"/>
      <c r="J266" s="376" t="s">
        <v>79</v>
      </c>
      <c r="K266" s="411"/>
      <c r="L266" s="439">
        <v>1450</v>
      </c>
      <c r="M266" s="440"/>
      <c r="N266" s="414">
        <f t="shared" si="56"/>
        <v>1667.5</v>
      </c>
    </row>
    <row r="267" spans="1:14" s="351" customFormat="1" ht="32.25" customHeight="1" x14ac:dyDescent="0.25">
      <c r="A267" s="419" t="s">
        <v>1509</v>
      </c>
      <c r="B267" s="420"/>
      <c r="C267" s="420"/>
      <c r="D267" s="420"/>
      <c r="E267" s="420"/>
      <c r="F267" s="420"/>
      <c r="G267" s="420"/>
      <c r="H267" s="420"/>
      <c r="I267" s="420"/>
      <c r="J267" s="420"/>
      <c r="K267" s="420"/>
      <c r="L267" s="420"/>
      <c r="M267" s="421"/>
      <c r="N267" s="418"/>
    </row>
    <row r="268" spans="1:14" s="351" customFormat="1" ht="32.25" customHeight="1" x14ac:dyDescent="0.25">
      <c r="A268" s="405">
        <f>A266+0.01</f>
        <v>3.0599999999999987</v>
      </c>
      <c r="B268" s="406" t="s">
        <v>1510</v>
      </c>
      <c r="C268" s="407"/>
      <c r="D268" s="407"/>
      <c r="E268" s="407"/>
      <c r="F268" s="407"/>
      <c r="G268" s="408"/>
      <c r="H268" s="409">
        <v>1</v>
      </c>
      <c r="I268" s="410"/>
      <c r="J268" s="376" t="s">
        <v>1300</v>
      </c>
      <c r="K268" s="411"/>
      <c r="L268" s="439">
        <v>550</v>
      </c>
      <c r="M268" s="440"/>
      <c r="N268" s="414">
        <f t="shared" ref="N268:N270" si="58">+(L268*1.15)*$N$11+L268*1.15</f>
        <v>695.75</v>
      </c>
    </row>
    <row r="269" spans="1:14" s="351" customFormat="1" ht="32.25" customHeight="1" x14ac:dyDescent="0.25">
      <c r="A269" s="405">
        <f>A268+0.01</f>
        <v>3.0699999999999985</v>
      </c>
      <c r="B269" s="406" t="s">
        <v>1505</v>
      </c>
      <c r="C269" s="407"/>
      <c r="D269" s="407"/>
      <c r="E269" s="407"/>
      <c r="F269" s="407"/>
      <c r="G269" s="408"/>
      <c r="H269" s="409">
        <v>1</v>
      </c>
      <c r="I269" s="410"/>
      <c r="J269" s="376" t="s">
        <v>1300</v>
      </c>
      <c r="K269" s="411"/>
      <c r="L269" s="439">
        <v>1300</v>
      </c>
      <c r="M269" s="440"/>
      <c r="N269" s="414">
        <f t="shared" si="58"/>
        <v>1644.4999999999998</v>
      </c>
    </row>
    <row r="270" spans="1:14" s="351" customFormat="1" ht="32.25" customHeight="1" x14ac:dyDescent="0.25">
      <c r="A270" s="405">
        <f>A269+0.01</f>
        <v>3.0799999999999983</v>
      </c>
      <c r="B270" s="406" t="s">
        <v>1511</v>
      </c>
      <c r="C270" s="407"/>
      <c r="D270" s="407"/>
      <c r="E270" s="407"/>
      <c r="F270" s="407"/>
      <c r="G270" s="408"/>
      <c r="H270" s="409">
        <v>1</v>
      </c>
      <c r="I270" s="410"/>
      <c r="J270" s="376" t="s">
        <v>1300</v>
      </c>
      <c r="K270" s="411"/>
      <c r="L270" s="439">
        <v>350</v>
      </c>
      <c r="M270" s="440"/>
      <c r="N270" s="414">
        <f t="shared" si="58"/>
        <v>442.74999999999994</v>
      </c>
    </row>
    <row r="271" spans="1:14" s="351" customFormat="1" ht="32.25" customHeight="1" x14ac:dyDescent="0.25">
      <c r="A271" s="419" t="s">
        <v>1512</v>
      </c>
      <c r="B271" s="420"/>
      <c r="C271" s="420"/>
      <c r="D271" s="420"/>
      <c r="E271" s="420"/>
      <c r="F271" s="420"/>
      <c r="G271" s="420"/>
      <c r="H271" s="420"/>
      <c r="I271" s="420"/>
      <c r="J271" s="420"/>
      <c r="K271" s="420"/>
      <c r="L271" s="420"/>
      <c r="M271" s="421"/>
      <c r="N271" s="418"/>
    </row>
    <row r="272" spans="1:14" s="351" customFormat="1" ht="32.25" customHeight="1" x14ac:dyDescent="0.25">
      <c r="A272" s="405">
        <f>A270+0.01</f>
        <v>3.0899999999999981</v>
      </c>
      <c r="B272" s="406" t="s">
        <v>1510</v>
      </c>
      <c r="C272" s="407"/>
      <c r="D272" s="407"/>
      <c r="E272" s="407"/>
      <c r="F272" s="407"/>
      <c r="G272" s="408"/>
      <c r="H272" s="409">
        <v>1</v>
      </c>
      <c r="I272" s="410"/>
      <c r="J272" s="376" t="s">
        <v>1300</v>
      </c>
      <c r="K272" s="411"/>
      <c r="L272" s="439">
        <v>385</v>
      </c>
      <c r="M272" s="440"/>
      <c r="N272" s="414">
        <f t="shared" ref="N272:N274" si="59">+(L272)*$N$225+L272</f>
        <v>442.75</v>
      </c>
    </row>
    <row r="273" spans="1:14" s="351" customFormat="1" ht="32.25" customHeight="1" x14ac:dyDescent="0.25">
      <c r="A273" s="441">
        <f>A272+0.01</f>
        <v>3.0999999999999979</v>
      </c>
      <c r="B273" s="406" t="s">
        <v>1505</v>
      </c>
      <c r="C273" s="407"/>
      <c r="D273" s="407"/>
      <c r="E273" s="407"/>
      <c r="F273" s="407"/>
      <c r="G273" s="408"/>
      <c r="H273" s="409">
        <v>1</v>
      </c>
      <c r="I273" s="410"/>
      <c r="J273" s="376" t="s">
        <v>1300</v>
      </c>
      <c r="K273" s="411"/>
      <c r="L273" s="439">
        <v>1485</v>
      </c>
      <c r="M273" s="440"/>
      <c r="N273" s="414">
        <f t="shared" si="59"/>
        <v>1707.75</v>
      </c>
    </row>
    <row r="274" spans="1:14" s="351" customFormat="1" ht="32.25" customHeight="1" x14ac:dyDescent="0.25">
      <c r="A274" s="441">
        <f>A273+0.01</f>
        <v>3.1099999999999977</v>
      </c>
      <c r="B274" s="406" t="s">
        <v>1511</v>
      </c>
      <c r="C274" s="407"/>
      <c r="D274" s="407"/>
      <c r="E274" s="407"/>
      <c r="F274" s="407"/>
      <c r="G274" s="408"/>
      <c r="H274" s="409">
        <v>1</v>
      </c>
      <c r="I274" s="410"/>
      <c r="J274" s="376" t="s">
        <v>1300</v>
      </c>
      <c r="K274" s="411"/>
      <c r="L274" s="439">
        <v>380</v>
      </c>
      <c r="M274" s="440"/>
      <c r="N274" s="414">
        <f t="shared" si="59"/>
        <v>437</v>
      </c>
    </row>
    <row r="275" spans="1:14" s="351" customFormat="1" ht="32.25" customHeight="1" x14ac:dyDescent="0.25">
      <c r="A275" s="419" t="s">
        <v>1513</v>
      </c>
      <c r="B275" s="420"/>
      <c r="C275" s="420"/>
      <c r="D275" s="420"/>
      <c r="E275" s="420"/>
      <c r="F275" s="420"/>
      <c r="G275" s="420"/>
      <c r="H275" s="420"/>
      <c r="I275" s="420"/>
      <c r="J275" s="420"/>
      <c r="K275" s="420"/>
      <c r="L275" s="420"/>
      <c r="M275" s="421"/>
      <c r="N275" s="418"/>
    </row>
    <row r="276" spans="1:14" s="351" customFormat="1" ht="32.25" customHeight="1" x14ac:dyDescent="0.25">
      <c r="A276" s="441">
        <f>A274+0.01</f>
        <v>3.1199999999999974</v>
      </c>
      <c r="B276" s="406" t="s">
        <v>1504</v>
      </c>
      <c r="C276" s="407"/>
      <c r="D276" s="407"/>
      <c r="E276" s="407"/>
      <c r="F276" s="407"/>
      <c r="G276" s="408"/>
      <c r="H276" s="409">
        <v>1</v>
      </c>
      <c r="I276" s="410"/>
      <c r="J276" s="376" t="s">
        <v>1300</v>
      </c>
      <c r="K276" s="411"/>
      <c r="L276" s="439">
        <v>700</v>
      </c>
      <c r="M276" s="440"/>
      <c r="N276" s="414">
        <f t="shared" ref="N276:N280" si="60">+(L276)*$N$225+L276</f>
        <v>805</v>
      </c>
    </row>
    <row r="277" spans="1:14" s="351" customFormat="1" ht="32.25" customHeight="1" x14ac:dyDescent="0.25">
      <c r="A277" s="441">
        <f>A276+0.01</f>
        <v>3.1299999999999972</v>
      </c>
      <c r="B277" s="406" t="s">
        <v>1505</v>
      </c>
      <c r="C277" s="407"/>
      <c r="D277" s="407"/>
      <c r="E277" s="407"/>
      <c r="F277" s="407"/>
      <c r="G277" s="408"/>
      <c r="H277" s="409">
        <v>1</v>
      </c>
      <c r="I277" s="410"/>
      <c r="J277" s="376" t="s">
        <v>1300</v>
      </c>
      <c r="K277" s="411"/>
      <c r="L277" s="439">
        <v>1700</v>
      </c>
      <c r="M277" s="440"/>
      <c r="N277" s="414">
        <f t="shared" si="60"/>
        <v>1955</v>
      </c>
    </row>
    <row r="278" spans="1:14" s="351" customFormat="1" ht="32.25" customHeight="1" x14ac:dyDescent="0.25">
      <c r="A278" s="441">
        <f t="shared" ref="A278:A280" si="61">A277+0.01</f>
        <v>3.139999999999997</v>
      </c>
      <c r="B278" s="406" t="s">
        <v>1514</v>
      </c>
      <c r="C278" s="407"/>
      <c r="D278" s="407"/>
      <c r="E278" s="407"/>
      <c r="F278" s="407"/>
      <c r="G278" s="408"/>
      <c r="H278" s="409">
        <v>1</v>
      </c>
      <c r="I278" s="410"/>
      <c r="J278" s="376" t="s">
        <v>150</v>
      </c>
      <c r="K278" s="411"/>
      <c r="L278" s="439">
        <v>500</v>
      </c>
      <c r="M278" s="440"/>
      <c r="N278" s="414">
        <f t="shared" si="60"/>
        <v>575</v>
      </c>
    </row>
    <row r="279" spans="1:14" s="351" customFormat="1" ht="32.25" customHeight="1" x14ac:dyDescent="0.25">
      <c r="A279" s="441">
        <f t="shared" si="61"/>
        <v>3.1499999999999968</v>
      </c>
      <c r="B279" s="406" t="s">
        <v>1507</v>
      </c>
      <c r="C279" s="407"/>
      <c r="D279" s="407"/>
      <c r="E279" s="407"/>
      <c r="F279" s="407"/>
      <c r="G279" s="408"/>
      <c r="H279" s="409">
        <v>1</v>
      </c>
      <c r="I279" s="410"/>
      <c r="J279" s="376" t="s">
        <v>79</v>
      </c>
      <c r="K279" s="411"/>
      <c r="L279" s="439">
        <v>950</v>
      </c>
      <c r="M279" s="440"/>
      <c r="N279" s="414">
        <f t="shared" si="60"/>
        <v>1092.5</v>
      </c>
    </row>
    <row r="280" spans="1:14" s="351" customFormat="1" ht="32.25" customHeight="1" x14ac:dyDescent="0.25">
      <c r="A280" s="441">
        <f t="shared" si="61"/>
        <v>3.1599999999999966</v>
      </c>
      <c r="B280" s="406" t="s">
        <v>1508</v>
      </c>
      <c r="C280" s="407"/>
      <c r="D280" s="407"/>
      <c r="E280" s="407"/>
      <c r="F280" s="407"/>
      <c r="G280" s="408"/>
      <c r="H280" s="409">
        <v>1</v>
      </c>
      <c r="I280" s="410"/>
      <c r="J280" s="376" t="s">
        <v>79</v>
      </c>
      <c r="K280" s="411"/>
      <c r="L280" s="439">
        <v>1500</v>
      </c>
      <c r="M280" s="440"/>
      <c r="N280" s="414">
        <f t="shared" si="60"/>
        <v>1725</v>
      </c>
    </row>
    <row r="281" spans="1:14" s="351" customFormat="1" ht="32.25" customHeight="1" x14ac:dyDescent="0.25">
      <c r="A281" s="415"/>
      <c r="B281" s="416"/>
      <c r="C281" s="416"/>
      <c r="D281" s="416"/>
      <c r="E281" s="416"/>
      <c r="F281" s="416"/>
      <c r="G281" s="416"/>
      <c r="H281" s="416"/>
      <c r="I281" s="416"/>
      <c r="J281" s="416"/>
      <c r="K281" s="416"/>
      <c r="L281" s="416"/>
      <c r="M281" s="417"/>
      <c r="N281" s="418"/>
    </row>
    <row r="282" spans="1:14" s="351" customFormat="1" ht="32.25" customHeight="1" x14ac:dyDescent="0.25">
      <c r="A282" s="419" t="s">
        <v>1515</v>
      </c>
      <c r="B282" s="420"/>
      <c r="C282" s="420"/>
      <c r="D282" s="420"/>
      <c r="E282" s="420"/>
      <c r="F282" s="420"/>
      <c r="G282" s="420"/>
      <c r="H282" s="420"/>
      <c r="I282" s="420"/>
      <c r="J282" s="420"/>
      <c r="K282" s="420"/>
      <c r="L282" s="420"/>
      <c r="M282" s="421"/>
      <c r="N282" s="418"/>
    </row>
    <row r="283" spans="1:14" s="351" customFormat="1" ht="32.25" customHeight="1" x14ac:dyDescent="0.25">
      <c r="A283" s="419" t="s">
        <v>1516</v>
      </c>
      <c r="B283" s="420"/>
      <c r="C283" s="420"/>
      <c r="D283" s="420"/>
      <c r="E283" s="420"/>
      <c r="F283" s="420"/>
      <c r="G283" s="420"/>
      <c r="H283" s="420"/>
      <c r="I283" s="420"/>
      <c r="J283" s="420"/>
      <c r="K283" s="420"/>
      <c r="L283" s="420"/>
      <c r="M283" s="421"/>
      <c r="N283" s="418"/>
    </row>
    <row r="284" spans="1:14" s="351" customFormat="1" ht="32.25" customHeight="1" x14ac:dyDescent="0.25">
      <c r="A284" s="453">
        <v>4.01</v>
      </c>
      <c r="B284" s="406" t="s">
        <v>1517</v>
      </c>
      <c r="C284" s="407"/>
      <c r="D284" s="407"/>
      <c r="E284" s="407"/>
      <c r="F284" s="407"/>
      <c r="G284" s="408"/>
      <c r="H284" s="409">
        <v>1</v>
      </c>
      <c r="I284" s="410"/>
      <c r="J284" s="376" t="s">
        <v>150</v>
      </c>
      <c r="K284" s="411"/>
      <c r="L284" s="439">
        <v>780</v>
      </c>
      <c r="M284" s="440"/>
      <c r="N284" s="414">
        <f t="shared" ref="N284:N288" si="62">+(L284)*$N$225+L284</f>
        <v>897</v>
      </c>
    </row>
    <row r="285" spans="1:14" s="351" customFormat="1" ht="32.25" customHeight="1" x14ac:dyDescent="0.25">
      <c r="A285" s="441">
        <f>A284+0.01</f>
        <v>4.0199999999999996</v>
      </c>
      <c r="B285" s="406" t="s">
        <v>1518</v>
      </c>
      <c r="C285" s="407"/>
      <c r="D285" s="407"/>
      <c r="E285" s="407"/>
      <c r="F285" s="407"/>
      <c r="G285" s="408"/>
      <c r="H285" s="409">
        <v>1</v>
      </c>
      <c r="I285" s="410"/>
      <c r="J285" s="376" t="s">
        <v>150</v>
      </c>
      <c r="K285" s="411"/>
      <c r="L285" s="439">
        <v>275</v>
      </c>
      <c r="M285" s="440"/>
      <c r="N285" s="414">
        <f t="shared" si="62"/>
        <v>316.25</v>
      </c>
    </row>
    <row r="286" spans="1:14" s="351" customFormat="1" ht="32.25" customHeight="1" x14ac:dyDescent="0.25">
      <c r="A286" s="441">
        <f>A285+0.01</f>
        <v>4.0299999999999994</v>
      </c>
      <c r="B286" s="406" t="s">
        <v>1519</v>
      </c>
      <c r="C286" s="407"/>
      <c r="D286" s="407"/>
      <c r="E286" s="407"/>
      <c r="F286" s="407"/>
      <c r="G286" s="408"/>
      <c r="H286" s="409">
        <v>1</v>
      </c>
      <c r="I286" s="410"/>
      <c r="J286" s="376" t="s">
        <v>150</v>
      </c>
      <c r="K286" s="411"/>
      <c r="L286" s="439">
        <v>440</v>
      </c>
      <c r="M286" s="440"/>
      <c r="N286" s="414">
        <f t="shared" si="62"/>
        <v>506</v>
      </c>
    </row>
    <row r="287" spans="1:14" s="351" customFormat="1" ht="32.25" customHeight="1" x14ac:dyDescent="0.25">
      <c r="A287" s="441">
        <f>A286+0.01</f>
        <v>4.0399999999999991</v>
      </c>
      <c r="B287" s="406" t="s">
        <v>1520</v>
      </c>
      <c r="C287" s="407"/>
      <c r="D287" s="407"/>
      <c r="E287" s="407"/>
      <c r="F287" s="407"/>
      <c r="G287" s="408"/>
      <c r="H287" s="409">
        <v>1</v>
      </c>
      <c r="I287" s="410"/>
      <c r="J287" s="376" t="s">
        <v>150</v>
      </c>
      <c r="K287" s="411"/>
      <c r="L287" s="439">
        <v>650</v>
      </c>
      <c r="M287" s="440"/>
      <c r="N287" s="414">
        <f t="shared" si="62"/>
        <v>747.5</v>
      </c>
    </row>
    <row r="288" spans="1:14" s="351" customFormat="1" ht="32.25" customHeight="1" x14ac:dyDescent="0.25">
      <c r="A288" s="441">
        <f>A287+0.01</f>
        <v>4.0499999999999989</v>
      </c>
      <c r="B288" s="406" t="s">
        <v>1521</v>
      </c>
      <c r="C288" s="407"/>
      <c r="D288" s="407"/>
      <c r="E288" s="407"/>
      <c r="F288" s="407"/>
      <c r="G288" s="408"/>
      <c r="H288" s="409">
        <v>1</v>
      </c>
      <c r="I288" s="410"/>
      <c r="J288" s="376" t="s">
        <v>150</v>
      </c>
      <c r="K288" s="411"/>
      <c r="L288" s="439">
        <v>550</v>
      </c>
      <c r="M288" s="440"/>
      <c r="N288" s="414">
        <f t="shared" si="62"/>
        <v>632.5</v>
      </c>
    </row>
    <row r="289" spans="1:14" s="351" customFormat="1" ht="32.25" customHeight="1" x14ac:dyDescent="0.25">
      <c r="A289" s="419" t="s">
        <v>1522</v>
      </c>
      <c r="B289" s="420"/>
      <c r="C289" s="420"/>
      <c r="D289" s="420"/>
      <c r="E289" s="420"/>
      <c r="F289" s="420"/>
      <c r="G289" s="420"/>
      <c r="H289" s="420"/>
      <c r="I289" s="420"/>
      <c r="J289" s="420"/>
      <c r="K289" s="420"/>
      <c r="L289" s="420"/>
      <c r="M289" s="421"/>
      <c r="N289" s="418"/>
    </row>
    <row r="290" spans="1:14" s="351" customFormat="1" ht="32.25" customHeight="1" x14ac:dyDescent="0.25">
      <c r="A290" s="441">
        <f>+A286+0.01</f>
        <v>4.0399999999999991</v>
      </c>
      <c r="B290" s="406" t="s">
        <v>1523</v>
      </c>
      <c r="C290" s="407"/>
      <c r="D290" s="407"/>
      <c r="E290" s="407"/>
      <c r="F290" s="407"/>
      <c r="G290" s="408"/>
      <c r="H290" s="409">
        <v>1</v>
      </c>
      <c r="I290" s="410"/>
      <c r="J290" s="376" t="s">
        <v>150</v>
      </c>
      <c r="K290" s="411"/>
      <c r="L290" s="439">
        <v>600</v>
      </c>
      <c r="M290" s="440"/>
      <c r="N290" s="414">
        <f>+(L290)*$N$225+L290</f>
        <v>690</v>
      </c>
    </row>
    <row r="291" spans="1:14" s="351" customFormat="1" ht="32.25" customHeight="1" thickBot="1" x14ac:dyDescent="0.3">
      <c r="A291" s="353"/>
      <c r="N291" s="435"/>
    </row>
    <row r="292" spans="1:14" s="351" customFormat="1" ht="32.25" customHeight="1" thickBot="1" x14ac:dyDescent="0.3">
      <c r="A292" s="395" t="s">
        <v>1524</v>
      </c>
      <c r="B292" s="396"/>
      <c r="C292" s="396"/>
      <c r="D292" s="396"/>
      <c r="E292" s="396"/>
      <c r="F292" s="396"/>
      <c r="G292" s="396"/>
      <c r="H292" s="396"/>
      <c r="I292" s="396"/>
      <c r="J292" s="396"/>
      <c r="K292" s="396"/>
      <c r="L292" s="396"/>
      <c r="M292" s="397"/>
      <c r="N292" s="398">
        <v>0.15</v>
      </c>
    </row>
    <row r="293" spans="1:14" s="351" customFormat="1" ht="32.25" customHeight="1" thickBot="1" x14ac:dyDescent="0.3">
      <c r="A293" s="353"/>
      <c r="N293" s="435"/>
    </row>
    <row r="294" spans="1:14" s="351" customFormat="1" ht="32.25" customHeight="1" x14ac:dyDescent="0.25">
      <c r="A294" s="415"/>
      <c r="B294" s="416"/>
      <c r="C294" s="416"/>
      <c r="D294" s="416"/>
      <c r="E294" s="416"/>
      <c r="F294" s="416"/>
      <c r="G294" s="416"/>
      <c r="H294" s="416"/>
      <c r="I294" s="416"/>
      <c r="J294" s="416"/>
      <c r="K294" s="416"/>
      <c r="L294" s="416"/>
      <c r="M294" s="417"/>
      <c r="N294" s="404"/>
    </row>
    <row r="295" spans="1:14" s="351" customFormat="1" ht="32.25" customHeight="1" x14ac:dyDescent="0.25">
      <c r="A295" s="419" t="s">
        <v>1525</v>
      </c>
      <c r="B295" s="420"/>
      <c r="C295" s="420"/>
      <c r="D295" s="420"/>
      <c r="E295" s="420"/>
      <c r="F295" s="420"/>
      <c r="G295" s="420"/>
      <c r="H295" s="420"/>
      <c r="I295" s="420"/>
      <c r="J295" s="420"/>
      <c r="K295" s="420"/>
      <c r="L295" s="420"/>
      <c r="M295" s="421"/>
      <c r="N295" s="418"/>
    </row>
    <row r="296" spans="1:14" s="351" customFormat="1" ht="32.25" customHeight="1" x14ac:dyDescent="0.25">
      <c r="A296" s="405">
        <v>1.01</v>
      </c>
      <c r="B296" s="406" t="s">
        <v>1526</v>
      </c>
      <c r="C296" s="407"/>
      <c r="D296" s="407"/>
      <c r="E296" s="407"/>
      <c r="F296" s="407"/>
      <c r="G296" s="408"/>
      <c r="H296" s="409">
        <v>1</v>
      </c>
      <c r="I296" s="410"/>
      <c r="J296" s="376" t="s">
        <v>1300</v>
      </c>
      <c r="K296" s="411"/>
      <c r="L296" s="439">
        <v>1560</v>
      </c>
      <c r="M296" s="440"/>
      <c r="N296" s="414">
        <f>+(L296)*$N$292+L296</f>
        <v>1794</v>
      </c>
    </row>
    <row r="297" spans="1:14" s="351" customFormat="1" ht="32.25" customHeight="1" x14ac:dyDescent="0.25">
      <c r="A297" s="405">
        <f>A296+0.01</f>
        <v>1.02</v>
      </c>
      <c r="B297" s="406" t="s">
        <v>1527</v>
      </c>
      <c r="C297" s="407"/>
      <c r="D297" s="407"/>
      <c r="E297" s="407"/>
      <c r="F297" s="407"/>
      <c r="G297" s="408"/>
      <c r="H297" s="409">
        <v>1</v>
      </c>
      <c r="I297" s="410"/>
      <c r="J297" s="376" t="s">
        <v>1300</v>
      </c>
      <c r="K297" s="411"/>
      <c r="L297" s="439">
        <v>1660</v>
      </c>
      <c r="M297" s="440"/>
      <c r="N297" s="414">
        <f t="shared" ref="N297:N303" si="63">+(L297)*$N$292+L297</f>
        <v>1909</v>
      </c>
    </row>
    <row r="298" spans="1:14" s="351" customFormat="1" ht="32.25" customHeight="1" x14ac:dyDescent="0.25">
      <c r="A298" s="405">
        <f t="shared" ref="A298:A303" si="64">A297+0.01</f>
        <v>1.03</v>
      </c>
      <c r="B298" s="406" t="s">
        <v>1528</v>
      </c>
      <c r="C298" s="407"/>
      <c r="D298" s="407"/>
      <c r="E298" s="407"/>
      <c r="F298" s="407"/>
      <c r="G298" s="408"/>
      <c r="H298" s="409">
        <v>1</v>
      </c>
      <c r="I298" s="410"/>
      <c r="J298" s="376" t="s">
        <v>1300</v>
      </c>
      <c r="K298" s="411"/>
      <c r="L298" s="409">
        <v>1560</v>
      </c>
      <c r="M298" s="422"/>
      <c r="N298" s="414">
        <f t="shared" si="63"/>
        <v>1794</v>
      </c>
    </row>
    <row r="299" spans="1:14" s="351" customFormat="1" ht="32.25" customHeight="1" x14ac:dyDescent="0.25">
      <c r="A299" s="405">
        <f t="shared" si="64"/>
        <v>1.04</v>
      </c>
      <c r="B299" s="406" t="s">
        <v>1529</v>
      </c>
      <c r="C299" s="407"/>
      <c r="D299" s="407"/>
      <c r="E299" s="407"/>
      <c r="F299" s="407"/>
      <c r="G299" s="408"/>
      <c r="H299" s="409">
        <v>1</v>
      </c>
      <c r="I299" s="410"/>
      <c r="J299" s="376" t="s">
        <v>1300</v>
      </c>
      <c r="K299" s="411"/>
      <c r="L299" s="439">
        <v>2300</v>
      </c>
      <c r="M299" s="440"/>
      <c r="N299" s="414">
        <f t="shared" si="63"/>
        <v>2645</v>
      </c>
    </row>
    <row r="300" spans="1:14" s="351" customFormat="1" ht="32.25" customHeight="1" x14ac:dyDescent="0.25">
      <c r="A300" s="405">
        <f t="shared" si="64"/>
        <v>1.05</v>
      </c>
      <c r="B300" s="406" t="s">
        <v>1530</v>
      </c>
      <c r="C300" s="407"/>
      <c r="D300" s="407"/>
      <c r="E300" s="407"/>
      <c r="F300" s="407"/>
      <c r="G300" s="408"/>
      <c r="H300" s="409">
        <v>1</v>
      </c>
      <c r="I300" s="410"/>
      <c r="J300" s="376" t="s">
        <v>150</v>
      </c>
      <c r="K300" s="411"/>
      <c r="L300" s="439">
        <v>800</v>
      </c>
      <c r="M300" s="440"/>
      <c r="N300" s="414">
        <f t="shared" si="63"/>
        <v>920</v>
      </c>
    </row>
    <row r="301" spans="1:14" s="351" customFormat="1" ht="32.25" customHeight="1" x14ac:dyDescent="0.25">
      <c r="A301" s="405">
        <f t="shared" si="64"/>
        <v>1.06</v>
      </c>
      <c r="B301" s="406" t="s">
        <v>1531</v>
      </c>
      <c r="C301" s="407"/>
      <c r="D301" s="407"/>
      <c r="E301" s="407"/>
      <c r="F301" s="407"/>
      <c r="G301" s="408"/>
      <c r="H301" s="409">
        <v>1</v>
      </c>
      <c r="I301" s="410"/>
      <c r="J301" s="376" t="s">
        <v>150</v>
      </c>
      <c r="K301" s="411"/>
      <c r="L301" s="439">
        <v>900</v>
      </c>
      <c r="M301" s="440"/>
      <c r="N301" s="414">
        <f t="shared" si="63"/>
        <v>1035</v>
      </c>
    </row>
    <row r="302" spans="1:14" s="351" customFormat="1" ht="32.25" customHeight="1" x14ac:dyDescent="0.25">
      <c r="A302" s="405">
        <f t="shared" si="64"/>
        <v>1.07</v>
      </c>
      <c r="B302" s="406" t="s">
        <v>1532</v>
      </c>
      <c r="C302" s="407"/>
      <c r="D302" s="407"/>
      <c r="E302" s="407"/>
      <c r="F302" s="407"/>
      <c r="G302" s="408"/>
      <c r="H302" s="409">
        <v>1</v>
      </c>
      <c r="I302" s="410"/>
      <c r="J302" s="376" t="s">
        <v>1300</v>
      </c>
      <c r="K302" s="411"/>
      <c r="L302" s="439">
        <v>1900</v>
      </c>
      <c r="M302" s="440"/>
      <c r="N302" s="414">
        <f t="shared" si="63"/>
        <v>2185</v>
      </c>
    </row>
    <row r="303" spans="1:14" s="351" customFormat="1" ht="32.25" customHeight="1" x14ac:dyDescent="0.25">
      <c r="A303" s="405">
        <f t="shared" si="64"/>
        <v>1.08</v>
      </c>
      <c r="B303" s="406" t="s">
        <v>1533</v>
      </c>
      <c r="C303" s="407"/>
      <c r="D303" s="407"/>
      <c r="E303" s="407"/>
      <c r="F303" s="407"/>
      <c r="G303" s="408"/>
      <c r="H303" s="409">
        <v>1</v>
      </c>
      <c r="I303" s="410"/>
      <c r="J303" s="376" t="s">
        <v>1300</v>
      </c>
      <c r="K303" s="411"/>
      <c r="L303" s="439">
        <v>1450</v>
      </c>
      <c r="M303" s="440"/>
      <c r="N303" s="414">
        <f t="shared" si="63"/>
        <v>1667.5</v>
      </c>
    </row>
    <row r="304" spans="1:14" s="351" customFormat="1" ht="32.25" customHeight="1" x14ac:dyDescent="0.25">
      <c r="A304" s="415"/>
      <c r="B304" s="416"/>
      <c r="C304" s="416"/>
      <c r="D304" s="416"/>
      <c r="E304" s="416"/>
      <c r="F304" s="416"/>
      <c r="G304" s="416"/>
      <c r="H304" s="416"/>
      <c r="I304" s="416"/>
      <c r="J304" s="416"/>
      <c r="K304" s="416"/>
      <c r="L304" s="416"/>
      <c r="M304" s="417"/>
      <c r="N304" s="418"/>
    </row>
    <row r="305" spans="1:14" s="351" customFormat="1" ht="32.25" customHeight="1" x14ac:dyDescent="0.25">
      <c r="A305" s="419" t="s">
        <v>1534</v>
      </c>
      <c r="B305" s="420"/>
      <c r="C305" s="420"/>
      <c r="D305" s="420"/>
      <c r="E305" s="420"/>
      <c r="F305" s="420"/>
      <c r="G305" s="420"/>
      <c r="H305" s="420"/>
      <c r="I305" s="420"/>
      <c r="J305" s="420"/>
      <c r="K305" s="420"/>
      <c r="L305" s="420"/>
      <c r="M305" s="421"/>
      <c r="N305" s="418"/>
    </row>
    <row r="306" spans="1:14" s="351" customFormat="1" ht="32.25" customHeight="1" x14ac:dyDescent="0.25">
      <c r="A306" s="405">
        <v>2.0099999999999998</v>
      </c>
      <c r="B306" s="406" t="s">
        <v>1535</v>
      </c>
      <c r="C306" s="407"/>
      <c r="D306" s="407"/>
      <c r="E306" s="407"/>
      <c r="F306" s="407"/>
      <c r="G306" s="408"/>
      <c r="H306" s="409">
        <v>1</v>
      </c>
      <c r="I306" s="410"/>
      <c r="J306" s="376" t="s">
        <v>1300</v>
      </c>
      <c r="K306" s="411"/>
      <c r="L306" s="439">
        <v>2460</v>
      </c>
      <c r="M306" s="440"/>
      <c r="N306" s="414">
        <f t="shared" ref="N306:N312" si="65">+(L306)*$N$292+L306</f>
        <v>2829</v>
      </c>
    </row>
    <row r="307" spans="1:14" s="351" customFormat="1" ht="32.25" customHeight="1" x14ac:dyDescent="0.25">
      <c r="A307" s="405">
        <f>+A306+0.01</f>
        <v>2.0199999999999996</v>
      </c>
      <c r="B307" s="406" t="s">
        <v>1536</v>
      </c>
      <c r="C307" s="407"/>
      <c r="D307" s="407"/>
      <c r="E307" s="407"/>
      <c r="F307" s="407"/>
      <c r="G307" s="408"/>
      <c r="H307" s="409">
        <v>1</v>
      </c>
      <c r="I307" s="410"/>
      <c r="J307" s="376" t="s">
        <v>1300</v>
      </c>
      <c r="K307" s="411"/>
      <c r="L307" s="431">
        <v>2460</v>
      </c>
      <c r="M307" s="432"/>
      <c r="N307" s="414">
        <f t="shared" si="65"/>
        <v>2829</v>
      </c>
    </row>
    <row r="308" spans="1:14" s="351" customFormat="1" ht="32.25" customHeight="1" x14ac:dyDescent="0.25">
      <c r="A308" s="405">
        <f>+A306+0.01</f>
        <v>2.0199999999999996</v>
      </c>
      <c r="B308" s="406" t="s">
        <v>1537</v>
      </c>
      <c r="C308" s="407"/>
      <c r="D308" s="407"/>
      <c r="E308" s="407"/>
      <c r="F308" s="407"/>
      <c r="G308" s="408"/>
      <c r="H308" s="409">
        <v>1</v>
      </c>
      <c r="I308" s="410"/>
      <c r="J308" s="376" t="s">
        <v>1300</v>
      </c>
      <c r="K308" s="411"/>
      <c r="L308" s="439">
        <v>3860</v>
      </c>
      <c r="M308" s="440"/>
      <c r="N308" s="414">
        <f t="shared" si="65"/>
        <v>4439</v>
      </c>
    </row>
    <row r="309" spans="1:14" s="351" customFormat="1" ht="32.25" customHeight="1" x14ac:dyDescent="0.25">
      <c r="A309" s="405">
        <f>+A307+0.01</f>
        <v>2.0299999999999994</v>
      </c>
      <c r="B309" s="406" t="s">
        <v>1538</v>
      </c>
      <c r="C309" s="407"/>
      <c r="D309" s="407"/>
      <c r="E309" s="407"/>
      <c r="F309" s="407"/>
      <c r="G309" s="408"/>
      <c r="H309" s="409">
        <v>1</v>
      </c>
      <c r="I309" s="410"/>
      <c r="J309" s="376" t="s">
        <v>150</v>
      </c>
      <c r="K309" s="411"/>
      <c r="L309" s="439">
        <v>1450</v>
      </c>
      <c r="M309" s="440"/>
      <c r="N309" s="414">
        <f t="shared" si="65"/>
        <v>1667.5</v>
      </c>
    </row>
    <row r="310" spans="1:14" s="351" customFormat="1" ht="32.25" customHeight="1" x14ac:dyDescent="0.25">
      <c r="A310" s="405">
        <f t="shared" ref="A310:A312" si="66">+A309+0.01</f>
        <v>2.0399999999999991</v>
      </c>
      <c r="B310" s="406" t="s">
        <v>1539</v>
      </c>
      <c r="C310" s="407"/>
      <c r="D310" s="407"/>
      <c r="E310" s="407"/>
      <c r="F310" s="407"/>
      <c r="G310" s="408"/>
      <c r="H310" s="409">
        <v>1</v>
      </c>
      <c r="I310" s="410"/>
      <c r="J310" s="376" t="s">
        <v>150</v>
      </c>
      <c r="K310" s="411"/>
      <c r="L310" s="439">
        <v>1550</v>
      </c>
      <c r="M310" s="440"/>
      <c r="N310" s="414">
        <f t="shared" si="65"/>
        <v>1782.5</v>
      </c>
    </row>
    <row r="311" spans="1:14" s="351" customFormat="1" ht="32.25" customHeight="1" x14ac:dyDescent="0.25">
      <c r="A311" s="405">
        <f t="shared" si="66"/>
        <v>2.0499999999999989</v>
      </c>
      <c r="B311" s="406" t="s">
        <v>1540</v>
      </c>
      <c r="C311" s="407"/>
      <c r="D311" s="407"/>
      <c r="E311" s="407"/>
      <c r="F311" s="407"/>
      <c r="G311" s="408"/>
      <c r="H311" s="409">
        <v>1</v>
      </c>
      <c r="I311" s="410"/>
      <c r="J311" s="376" t="s">
        <v>1300</v>
      </c>
      <c r="K311" s="411"/>
      <c r="L311" s="439">
        <v>2560</v>
      </c>
      <c r="M311" s="440"/>
      <c r="N311" s="414">
        <f t="shared" si="65"/>
        <v>2944</v>
      </c>
    </row>
    <row r="312" spans="1:14" s="351" customFormat="1" ht="32.25" customHeight="1" x14ac:dyDescent="0.25">
      <c r="A312" s="405">
        <f t="shared" si="66"/>
        <v>2.0599999999999987</v>
      </c>
      <c r="B312" s="406" t="s">
        <v>1541</v>
      </c>
      <c r="C312" s="407"/>
      <c r="D312" s="407"/>
      <c r="E312" s="407"/>
      <c r="F312" s="407"/>
      <c r="G312" s="408"/>
      <c r="H312" s="409">
        <v>1</v>
      </c>
      <c r="I312" s="410"/>
      <c r="J312" s="376" t="s">
        <v>1300</v>
      </c>
      <c r="K312" s="411"/>
      <c r="L312" s="439">
        <v>2760</v>
      </c>
      <c r="M312" s="440"/>
      <c r="N312" s="414">
        <f t="shared" si="65"/>
        <v>3174</v>
      </c>
    </row>
    <row r="313" spans="1:14" s="351" customFormat="1" ht="32.25" customHeight="1" x14ac:dyDescent="0.25">
      <c r="A313" s="415"/>
      <c r="B313" s="416"/>
      <c r="C313" s="416"/>
      <c r="D313" s="416"/>
      <c r="E313" s="416"/>
      <c r="F313" s="416"/>
      <c r="G313" s="416"/>
      <c r="H313" s="416"/>
      <c r="I313" s="416"/>
      <c r="J313" s="416"/>
      <c r="K313" s="416"/>
      <c r="L313" s="416"/>
      <c r="M313" s="417"/>
      <c r="N313" s="418"/>
    </row>
    <row r="314" spans="1:14" s="351" customFormat="1" ht="32.25" customHeight="1" x14ac:dyDescent="0.25">
      <c r="A314" s="419" t="s">
        <v>1542</v>
      </c>
      <c r="B314" s="420"/>
      <c r="C314" s="420"/>
      <c r="D314" s="420"/>
      <c r="E314" s="420"/>
      <c r="F314" s="420"/>
      <c r="G314" s="420"/>
      <c r="H314" s="420"/>
      <c r="I314" s="420"/>
      <c r="J314" s="420"/>
      <c r="K314" s="420"/>
      <c r="L314" s="420"/>
      <c r="M314" s="421"/>
      <c r="N314" s="418"/>
    </row>
    <row r="315" spans="1:14" s="351" customFormat="1" ht="32.25" customHeight="1" x14ac:dyDescent="0.25">
      <c r="A315" s="405">
        <v>3.01</v>
      </c>
      <c r="B315" s="406" t="s">
        <v>1543</v>
      </c>
      <c r="C315" s="407"/>
      <c r="D315" s="407"/>
      <c r="E315" s="407"/>
      <c r="F315" s="407"/>
      <c r="G315" s="408"/>
      <c r="H315" s="409">
        <v>1</v>
      </c>
      <c r="I315" s="410"/>
      <c r="J315" s="376" t="s">
        <v>1544</v>
      </c>
      <c r="K315" s="411"/>
      <c r="L315" s="439">
        <v>1200</v>
      </c>
      <c r="M315" s="440"/>
      <c r="N315" s="414">
        <f t="shared" ref="N315:N316" si="67">+(L315)*$N$292+L315</f>
        <v>1380</v>
      </c>
    </row>
    <row r="316" spans="1:14" s="351" customFormat="1" ht="32.25" customHeight="1" x14ac:dyDescent="0.25">
      <c r="A316" s="405">
        <f>A315+0.01</f>
        <v>3.0199999999999996</v>
      </c>
      <c r="B316" s="406" t="s">
        <v>1543</v>
      </c>
      <c r="C316" s="407"/>
      <c r="D316" s="407"/>
      <c r="E316" s="407"/>
      <c r="F316" s="407"/>
      <c r="G316" s="408"/>
      <c r="H316" s="409">
        <v>1</v>
      </c>
      <c r="I316" s="410"/>
      <c r="J316" s="376" t="s">
        <v>1300</v>
      </c>
      <c r="K316" s="411"/>
      <c r="L316" s="439">
        <v>2600</v>
      </c>
      <c r="M316" s="440"/>
      <c r="N316" s="414">
        <f t="shared" si="67"/>
        <v>2990</v>
      </c>
    </row>
    <row r="317" spans="1:14" s="351" customFormat="1" ht="32.25" customHeight="1" x14ac:dyDescent="0.25">
      <c r="A317" s="449"/>
      <c r="B317" s="450"/>
      <c r="C317" s="450"/>
      <c r="D317" s="450"/>
      <c r="E317" s="450"/>
      <c r="F317" s="450"/>
      <c r="G317" s="450"/>
      <c r="H317" s="451"/>
      <c r="I317" s="451"/>
      <c r="J317" s="384"/>
      <c r="K317" s="384"/>
      <c r="L317" s="451"/>
      <c r="M317" s="452"/>
      <c r="N317" s="418"/>
    </row>
    <row r="318" spans="1:14" s="351" customFormat="1" ht="32.25" customHeight="1" x14ac:dyDescent="0.25">
      <c r="A318" s="419" t="s">
        <v>1545</v>
      </c>
      <c r="B318" s="420"/>
      <c r="C318" s="420"/>
      <c r="D318" s="420"/>
      <c r="E318" s="420"/>
      <c r="F318" s="420"/>
      <c r="G318" s="420"/>
      <c r="H318" s="420"/>
      <c r="I318" s="420"/>
      <c r="J318" s="420"/>
      <c r="K318" s="420"/>
      <c r="L318" s="420"/>
      <c r="M318" s="421"/>
      <c r="N318" s="418"/>
    </row>
    <row r="319" spans="1:14" s="351" customFormat="1" ht="32.25" customHeight="1" x14ac:dyDescent="0.25">
      <c r="A319" s="419" t="s">
        <v>1546</v>
      </c>
      <c r="B319" s="420"/>
      <c r="C319" s="420"/>
      <c r="D319" s="420"/>
      <c r="E319" s="420"/>
      <c r="F319" s="420"/>
      <c r="G319" s="420"/>
      <c r="H319" s="420"/>
      <c r="I319" s="420"/>
      <c r="J319" s="420"/>
      <c r="K319" s="420"/>
      <c r="L319" s="420"/>
      <c r="M319" s="421"/>
      <c r="N319" s="418"/>
    </row>
    <row r="320" spans="1:14" s="351" customFormat="1" ht="32.25" customHeight="1" x14ac:dyDescent="0.25">
      <c r="A320" s="448">
        <v>4.01</v>
      </c>
      <c r="B320" s="468" t="s">
        <v>1547</v>
      </c>
      <c r="C320" s="469"/>
      <c r="D320" s="469"/>
      <c r="E320" s="469"/>
      <c r="F320" s="469"/>
      <c r="G320" s="470"/>
      <c r="H320" s="431">
        <v>1</v>
      </c>
      <c r="I320" s="471"/>
      <c r="J320" s="472" t="s">
        <v>1300</v>
      </c>
      <c r="K320" s="473"/>
      <c r="L320" s="431">
        <v>0</v>
      </c>
      <c r="M320" s="432"/>
      <c r="N320" s="414">
        <f t="shared" ref="N320:N321" si="68">+(L320)*$N$292+L320</f>
        <v>0</v>
      </c>
    </row>
    <row r="321" spans="1:14" s="351" customFormat="1" ht="32.25" customHeight="1" x14ac:dyDescent="0.25">
      <c r="A321" s="448">
        <f>A320+0.01</f>
        <v>4.0199999999999996</v>
      </c>
      <c r="B321" s="468" t="s">
        <v>1548</v>
      </c>
      <c r="C321" s="469"/>
      <c r="D321" s="469"/>
      <c r="E321" s="469"/>
      <c r="F321" s="469"/>
      <c r="G321" s="470"/>
      <c r="H321" s="431">
        <v>1</v>
      </c>
      <c r="I321" s="471"/>
      <c r="J321" s="472" t="s">
        <v>1300</v>
      </c>
      <c r="K321" s="473"/>
      <c r="L321" s="431">
        <v>0</v>
      </c>
      <c r="M321" s="432"/>
      <c r="N321" s="414">
        <f t="shared" si="68"/>
        <v>0</v>
      </c>
    </row>
    <row r="322" spans="1:14" s="351" customFormat="1" ht="32.25" customHeight="1" x14ac:dyDescent="0.25">
      <c r="A322" s="419" t="s">
        <v>1549</v>
      </c>
      <c r="B322" s="420"/>
      <c r="C322" s="420"/>
      <c r="D322" s="420"/>
      <c r="E322" s="420"/>
      <c r="F322" s="420"/>
      <c r="G322" s="420"/>
      <c r="H322" s="420"/>
      <c r="I322" s="420"/>
      <c r="J322" s="420"/>
      <c r="K322" s="420"/>
      <c r="L322" s="420"/>
      <c r="M322" s="421"/>
      <c r="N322" s="418"/>
    </row>
    <row r="323" spans="1:14" s="351" customFormat="1" ht="32.25" customHeight="1" x14ac:dyDescent="0.25">
      <c r="A323" s="405">
        <v>4.01</v>
      </c>
      <c r="B323" s="406" t="s">
        <v>1547</v>
      </c>
      <c r="C323" s="407"/>
      <c r="D323" s="407"/>
      <c r="E323" s="407"/>
      <c r="F323" s="407"/>
      <c r="G323" s="408"/>
      <c r="H323" s="409">
        <v>1</v>
      </c>
      <c r="I323" s="410"/>
      <c r="J323" s="376" t="s">
        <v>1300</v>
      </c>
      <c r="K323" s="411"/>
      <c r="L323" s="439">
        <v>4050</v>
      </c>
      <c r="M323" s="440"/>
      <c r="N323" s="414">
        <f>+(L323)*$N$292+L323</f>
        <v>4657.5</v>
      </c>
    </row>
    <row r="324" spans="1:14" s="351" customFormat="1" ht="32.25" customHeight="1" x14ac:dyDescent="0.25">
      <c r="A324" s="405">
        <f>A323+0.01</f>
        <v>4.0199999999999996</v>
      </c>
      <c r="B324" s="406" t="s">
        <v>1548</v>
      </c>
      <c r="C324" s="407"/>
      <c r="D324" s="407"/>
      <c r="E324" s="407"/>
      <c r="F324" s="407"/>
      <c r="G324" s="408"/>
      <c r="H324" s="409">
        <v>1</v>
      </c>
      <c r="I324" s="410"/>
      <c r="J324" s="376" t="s">
        <v>1300</v>
      </c>
      <c r="K324" s="411"/>
      <c r="L324" s="439">
        <v>4520</v>
      </c>
      <c r="M324" s="440"/>
      <c r="N324" s="414">
        <f>+(L324)*$N$292+L324</f>
        <v>5198</v>
      </c>
    </row>
    <row r="325" spans="1:14" s="351" customFormat="1" ht="32.25" customHeight="1" x14ac:dyDescent="0.25">
      <c r="A325" s="449"/>
      <c r="B325" s="450"/>
      <c r="C325" s="450"/>
      <c r="D325" s="450"/>
      <c r="E325" s="450"/>
      <c r="F325" s="450"/>
      <c r="G325" s="450"/>
      <c r="H325" s="451"/>
      <c r="I325" s="451"/>
      <c r="J325" s="384"/>
      <c r="K325" s="384"/>
      <c r="L325" s="451"/>
      <c r="M325" s="452"/>
      <c r="N325" s="418"/>
    </row>
    <row r="326" spans="1:14" s="351" customFormat="1" ht="32.25" customHeight="1" x14ac:dyDescent="0.25">
      <c r="A326" s="419" t="s">
        <v>1550</v>
      </c>
      <c r="B326" s="420"/>
      <c r="C326" s="420"/>
      <c r="D326" s="420"/>
      <c r="E326" s="420"/>
      <c r="F326" s="420"/>
      <c r="G326" s="420"/>
      <c r="H326" s="420"/>
      <c r="I326" s="420"/>
      <c r="J326" s="420"/>
      <c r="K326" s="420"/>
      <c r="L326" s="420"/>
      <c r="M326" s="421"/>
      <c r="N326" s="418"/>
    </row>
    <row r="327" spans="1:14" s="351" customFormat="1" ht="32.25" customHeight="1" x14ac:dyDescent="0.25">
      <c r="A327" s="405">
        <v>5.01</v>
      </c>
      <c r="B327" s="406" t="s">
        <v>1551</v>
      </c>
      <c r="C327" s="407"/>
      <c r="D327" s="407"/>
      <c r="E327" s="407"/>
      <c r="F327" s="407"/>
      <c r="G327" s="408"/>
      <c r="H327" s="409">
        <v>1</v>
      </c>
      <c r="I327" s="410"/>
      <c r="J327" s="376" t="s">
        <v>1300</v>
      </c>
      <c r="K327" s="411"/>
      <c r="L327" s="439">
        <v>600</v>
      </c>
      <c r="M327" s="440"/>
      <c r="N327" s="414">
        <f t="shared" ref="N327:N328" si="69">+(L327)*$N$292+L327</f>
        <v>690</v>
      </c>
    </row>
    <row r="328" spans="1:14" s="351" customFormat="1" ht="32.25" customHeight="1" x14ac:dyDescent="0.25">
      <c r="A328" s="405">
        <f>A327+0.01</f>
        <v>5.0199999999999996</v>
      </c>
      <c r="B328" s="406" t="s">
        <v>1552</v>
      </c>
      <c r="C328" s="407"/>
      <c r="D328" s="407"/>
      <c r="E328" s="407"/>
      <c r="F328" s="407"/>
      <c r="G328" s="408"/>
      <c r="H328" s="409">
        <v>1</v>
      </c>
      <c r="I328" s="410"/>
      <c r="J328" s="376" t="s">
        <v>1300</v>
      </c>
      <c r="K328" s="411"/>
      <c r="L328" s="439">
        <v>200</v>
      </c>
      <c r="M328" s="440"/>
      <c r="N328" s="414">
        <f t="shared" si="69"/>
        <v>230</v>
      </c>
    </row>
    <row r="329" spans="1:14" s="351" customFormat="1" ht="32.25" customHeight="1" x14ac:dyDescent="0.25">
      <c r="A329" s="405">
        <f>A328+0.01</f>
        <v>5.0299999999999994</v>
      </c>
      <c r="B329" s="406"/>
      <c r="C329" s="407"/>
      <c r="D329" s="407"/>
      <c r="E329" s="407"/>
      <c r="F329" s="407"/>
      <c r="G329" s="408"/>
      <c r="H329" s="409">
        <v>1</v>
      </c>
      <c r="I329" s="410"/>
      <c r="J329" s="376" t="s">
        <v>1300</v>
      </c>
      <c r="K329" s="411"/>
      <c r="L329" s="409"/>
      <c r="M329" s="422"/>
      <c r="N329" s="414">
        <f t="shared" ref="N329" si="70">+(L329*1.15)*$N$292+L329*1.15</f>
        <v>0</v>
      </c>
    </row>
    <row r="330" spans="1:14" s="351" customFormat="1" ht="32.25" customHeight="1" thickBot="1" x14ac:dyDescent="0.3">
      <c r="A330" s="353"/>
      <c r="N330" s="435"/>
    </row>
    <row r="331" spans="1:14" s="351" customFormat="1" ht="32.25" customHeight="1" thickBot="1" x14ac:dyDescent="0.3">
      <c r="A331" s="395" t="s">
        <v>1553</v>
      </c>
      <c r="B331" s="396"/>
      <c r="C331" s="396"/>
      <c r="D331" s="396"/>
      <c r="E331" s="396"/>
      <c r="F331" s="396"/>
      <c r="G331" s="396"/>
      <c r="H331" s="396"/>
      <c r="I331" s="396"/>
      <c r="J331" s="396"/>
      <c r="K331" s="396"/>
      <c r="L331" s="396"/>
      <c r="M331" s="397"/>
      <c r="N331" s="398">
        <v>0.15</v>
      </c>
    </row>
    <row r="332" spans="1:14" s="351" customFormat="1" ht="32.25" customHeight="1" thickBot="1" x14ac:dyDescent="0.3">
      <c r="A332" s="353"/>
      <c r="N332" s="435"/>
    </row>
    <row r="333" spans="1:14" s="351" customFormat="1" ht="32.25" customHeight="1" x14ac:dyDescent="0.25">
      <c r="A333" s="415"/>
      <c r="B333" s="416"/>
      <c r="C333" s="416"/>
      <c r="D333" s="416"/>
      <c r="E333" s="416"/>
      <c r="F333" s="416"/>
      <c r="G333" s="416"/>
      <c r="H333" s="416"/>
      <c r="I333" s="416"/>
      <c r="J333" s="416"/>
      <c r="K333" s="416"/>
      <c r="L333" s="416"/>
      <c r="M333" s="417"/>
      <c r="N333" s="404"/>
    </row>
    <row r="334" spans="1:14" s="351" customFormat="1" ht="32.25" customHeight="1" x14ac:dyDescent="0.25">
      <c r="A334" s="419" t="s">
        <v>1554</v>
      </c>
      <c r="B334" s="420"/>
      <c r="C334" s="420"/>
      <c r="D334" s="420"/>
      <c r="E334" s="420"/>
      <c r="F334" s="420"/>
      <c r="G334" s="420"/>
      <c r="H334" s="420"/>
      <c r="I334" s="420"/>
      <c r="J334" s="420"/>
      <c r="K334" s="420"/>
      <c r="L334" s="420"/>
      <c r="M334" s="421"/>
      <c r="N334" s="418"/>
    </row>
    <row r="335" spans="1:14" s="351" customFormat="1" ht="32.25" customHeight="1" x14ac:dyDescent="0.25">
      <c r="A335" s="405">
        <v>1.01</v>
      </c>
      <c r="B335" s="406" t="s">
        <v>1555</v>
      </c>
      <c r="C335" s="407"/>
      <c r="D335" s="407"/>
      <c r="E335" s="407"/>
      <c r="F335" s="407"/>
      <c r="G335" s="408"/>
      <c r="H335" s="409">
        <v>1</v>
      </c>
      <c r="I335" s="410"/>
      <c r="J335" s="376" t="s">
        <v>1300</v>
      </c>
      <c r="K335" s="411"/>
      <c r="L335" s="409">
        <v>400</v>
      </c>
      <c r="M335" s="422"/>
      <c r="N335" s="414">
        <f t="shared" ref="N335:N339" si="71">+(L335)*$N$292+L335</f>
        <v>460</v>
      </c>
    </row>
    <row r="336" spans="1:14" s="351" customFormat="1" ht="32.25" customHeight="1" x14ac:dyDescent="0.25">
      <c r="A336" s="405">
        <f>A335+0.01</f>
        <v>1.02</v>
      </c>
      <c r="B336" s="406" t="s">
        <v>1556</v>
      </c>
      <c r="C336" s="407"/>
      <c r="D336" s="407"/>
      <c r="E336" s="407"/>
      <c r="F336" s="407"/>
      <c r="G336" s="408"/>
      <c r="H336" s="409">
        <v>1</v>
      </c>
      <c r="I336" s="410"/>
      <c r="J336" s="376" t="s">
        <v>1300</v>
      </c>
      <c r="K336" s="411"/>
      <c r="L336" s="409">
        <v>195</v>
      </c>
      <c r="M336" s="422"/>
      <c r="N336" s="414">
        <f t="shared" si="71"/>
        <v>224.25</v>
      </c>
    </row>
    <row r="337" spans="1:14" s="351" customFormat="1" ht="32.25" customHeight="1" x14ac:dyDescent="0.25">
      <c r="A337" s="405">
        <f t="shared" ref="A337:A339" si="72">A336+0.01</f>
        <v>1.03</v>
      </c>
      <c r="B337" s="406" t="s">
        <v>1557</v>
      </c>
      <c r="C337" s="407"/>
      <c r="D337" s="407"/>
      <c r="E337" s="407"/>
      <c r="F337" s="407"/>
      <c r="G337" s="408"/>
      <c r="H337" s="409">
        <v>1</v>
      </c>
      <c r="I337" s="410"/>
      <c r="J337" s="376" t="s">
        <v>1300</v>
      </c>
      <c r="K337" s="411"/>
      <c r="L337" s="409">
        <v>440</v>
      </c>
      <c r="M337" s="422"/>
      <c r="N337" s="414">
        <f t="shared" si="71"/>
        <v>506</v>
      </c>
    </row>
    <row r="338" spans="1:14" s="351" customFormat="1" ht="32.25" customHeight="1" x14ac:dyDescent="0.25">
      <c r="A338" s="405">
        <f t="shared" si="72"/>
        <v>1.04</v>
      </c>
      <c r="B338" s="406" t="s">
        <v>1558</v>
      </c>
      <c r="C338" s="407"/>
      <c r="D338" s="407"/>
      <c r="E338" s="407"/>
      <c r="F338" s="407"/>
      <c r="G338" s="408"/>
      <c r="H338" s="409">
        <v>1</v>
      </c>
      <c r="I338" s="410"/>
      <c r="J338" s="376" t="s">
        <v>1300</v>
      </c>
      <c r="K338" s="411"/>
      <c r="L338" s="409">
        <v>230</v>
      </c>
      <c r="M338" s="422"/>
      <c r="N338" s="414">
        <f t="shared" si="71"/>
        <v>264.5</v>
      </c>
    </row>
    <row r="339" spans="1:14" s="351" customFormat="1" ht="32.25" customHeight="1" x14ac:dyDescent="0.25">
      <c r="A339" s="405">
        <f t="shared" si="72"/>
        <v>1.05</v>
      </c>
      <c r="B339" s="406" t="s">
        <v>1559</v>
      </c>
      <c r="C339" s="407"/>
      <c r="D339" s="407"/>
      <c r="E339" s="407"/>
      <c r="F339" s="407"/>
      <c r="G339" s="408"/>
      <c r="H339" s="409">
        <v>1</v>
      </c>
      <c r="I339" s="410"/>
      <c r="J339" s="376" t="s">
        <v>1544</v>
      </c>
      <c r="K339" s="411"/>
      <c r="L339" s="409">
        <v>100</v>
      </c>
      <c r="M339" s="422"/>
      <c r="N339" s="414">
        <f t="shared" si="71"/>
        <v>115</v>
      </c>
    </row>
    <row r="340" spans="1:14" s="351" customFormat="1" ht="32.25" customHeight="1" x14ac:dyDescent="0.25">
      <c r="A340" s="415"/>
      <c r="B340" s="416"/>
      <c r="C340" s="416"/>
      <c r="D340" s="416"/>
      <c r="E340" s="416"/>
      <c r="F340" s="416"/>
      <c r="G340" s="416"/>
      <c r="H340" s="416"/>
      <c r="I340" s="416"/>
      <c r="J340" s="416"/>
      <c r="K340" s="416"/>
      <c r="L340" s="416"/>
      <c r="M340" s="417"/>
      <c r="N340" s="418"/>
    </row>
    <row r="341" spans="1:14" s="351" customFormat="1" ht="32.25" customHeight="1" x14ac:dyDescent="0.25">
      <c r="A341" s="419" t="s">
        <v>1560</v>
      </c>
      <c r="B341" s="420"/>
      <c r="C341" s="420"/>
      <c r="D341" s="420"/>
      <c r="E341" s="420"/>
      <c r="F341" s="420"/>
      <c r="G341" s="420"/>
      <c r="H341" s="420"/>
      <c r="I341" s="420"/>
      <c r="J341" s="420"/>
      <c r="K341" s="420"/>
      <c r="L341" s="420"/>
      <c r="M341" s="421"/>
      <c r="N341" s="418"/>
    </row>
    <row r="342" spans="1:14" s="351" customFormat="1" ht="32.25" customHeight="1" x14ac:dyDescent="0.25">
      <c r="A342" s="405">
        <v>2.0099999999999998</v>
      </c>
      <c r="B342" s="406" t="s">
        <v>1561</v>
      </c>
      <c r="C342" s="407"/>
      <c r="D342" s="407"/>
      <c r="E342" s="407"/>
      <c r="F342" s="407"/>
      <c r="G342" s="408"/>
      <c r="H342" s="409">
        <v>1</v>
      </c>
      <c r="I342" s="410"/>
      <c r="J342" s="376" t="s">
        <v>1562</v>
      </c>
      <c r="K342" s="411"/>
      <c r="L342" s="409">
        <v>450</v>
      </c>
      <c r="M342" s="422"/>
      <c r="N342" s="414">
        <f t="shared" ref="N342:N344" si="73">+(L342)*$N$292+L342</f>
        <v>517.5</v>
      </c>
    </row>
    <row r="343" spans="1:14" s="351" customFormat="1" ht="32.25" customHeight="1" x14ac:dyDescent="0.25">
      <c r="A343" s="405">
        <f>A342+0.01</f>
        <v>2.0199999999999996</v>
      </c>
      <c r="B343" s="406" t="s">
        <v>1563</v>
      </c>
      <c r="C343" s="407"/>
      <c r="D343" s="407"/>
      <c r="E343" s="407"/>
      <c r="F343" s="407"/>
      <c r="G343" s="408"/>
      <c r="H343" s="409">
        <v>1</v>
      </c>
      <c r="I343" s="410"/>
      <c r="J343" s="376" t="s">
        <v>1544</v>
      </c>
      <c r="K343" s="411"/>
      <c r="L343" s="409">
        <v>200</v>
      </c>
      <c r="M343" s="422"/>
      <c r="N343" s="414">
        <f t="shared" si="73"/>
        <v>230</v>
      </c>
    </row>
    <row r="344" spans="1:14" s="351" customFormat="1" ht="32.25" customHeight="1" x14ac:dyDescent="0.25">
      <c r="A344" s="405">
        <f>A343+0.01</f>
        <v>2.0299999999999994</v>
      </c>
      <c r="B344" s="406" t="s">
        <v>1564</v>
      </c>
      <c r="C344" s="407"/>
      <c r="D344" s="407"/>
      <c r="E344" s="407"/>
      <c r="F344" s="407"/>
      <c r="G344" s="408"/>
      <c r="H344" s="409">
        <v>1</v>
      </c>
      <c r="I344" s="410"/>
      <c r="J344" s="376" t="s">
        <v>1300</v>
      </c>
      <c r="K344" s="411"/>
      <c r="L344" s="409">
        <v>210</v>
      </c>
      <c r="M344" s="422"/>
      <c r="N344" s="414">
        <f t="shared" si="73"/>
        <v>241.5</v>
      </c>
    </row>
    <row r="345" spans="1:14" s="351" customFormat="1" ht="32.25" customHeight="1" x14ac:dyDescent="0.25">
      <c r="A345" s="415"/>
      <c r="B345" s="416"/>
      <c r="C345" s="416"/>
      <c r="D345" s="416"/>
      <c r="E345" s="416"/>
      <c r="F345" s="416"/>
      <c r="G345" s="416"/>
      <c r="H345" s="416"/>
      <c r="I345" s="416"/>
      <c r="J345" s="416"/>
      <c r="K345" s="416"/>
      <c r="L345" s="416"/>
      <c r="M345" s="417"/>
      <c r="N345" s="418"/>
    </row>
    <row r="346" spans="1:14" s="351" customFormat="1" ht="32.25" customHeight="1" x14ac:dyDescent="0.25">
      <c r="A346" s="419" t="s">
        <v>1565</v>
      </c>
      <c r="B346" s="420"/>
      <c r="C346" s="420"/>
      <c r="D346" s="420"/>
      <c r="E346" s="420"/>
      <c r="F346" s="420"/>
      <c r="G346" s="420"/>
      <c r="H346" s="420"/>
      <c r="I346" s="420"/>
      <c r="J346" s="420"/>
      <c r="K346" s="420"/>
      <c r="L346" s="420"/>
      <c r="M346" s="421"/>
      <c r="N346" s="418"/>
    </row>
    <row r="347" spans="1:14" s="351" customFormat="1" ht="32.25" customHeight="1" x14ac:dyDescent="0.25">
      <c r="A347" s="405">
        <v>3.01</v>
      </c>
      <c r="B347" s="406" t="s">
        <v>1566</v>
      </c>
      <c r="C347" s="407"/>
      <c r="D347" s="407"/>
      <c r="E347" s="407"/>
      <c r="F347" s="407"/>
      <c r="G347" s="408"/>
      <c r="H347" s="409">
        <v>1</v>
      </c>
      <c r="I347" s="410"/>
      <c r="J347" s="376" t="s">
        <v>150</v>
      </c>
      <c r="K347" s="411"/>
      <c r="L347" s="409">
        <v>215</v>
      </c>
      <c r="M347" s="422"/>
      <c r="N347" s="414">
        <f t="shared" ref="N347:N350" si="74">+(L347)*$N$292+L347</f>
        <v>247.25</v>
      </c>
    </row>
    <row r="348" spans="1:14" s="351" customFormat="1" ht="32.25" customHeight="1" x14ac:dyDescent="0.25">
      <c r="A348" s="405">
        <f>A347+0.01</f>
        <v>3.0199999999999996</v>
      </c>
      <c r="B348" s="406" t="s">
        <v>1567</v>
      </c>
      <c r="C348" s="407"/>
      <c r="D348" s="407"/>
      <c r="E348" s="407"/>
      <c r="F348" s="407"/>
      <c r="G348" s="408"/>
      <c r="H348" s="409">
        <v>1</v>
      </c>
      <c r="I348" s="410"/>
      <c r="J348" s="376" t="s">
        <v>150</v>
      </c>
      <c r="K348" s="411"/>
      <c r="L348" s="409">
        <v>100</v>
      </c>
      <c r="M348" s="422"/>
      <c r="N348" s="414">
        <f t="shared" si="74"/>
        <v>115</v>
      </c>
    </row>
    <row r="349" spans="1:14" s="351" customFormat="1" ht="32.25" customHeight="1" x14ac:dyDescent="0.25">
      <c r="A349" s="405">
        <f t="shared" ref="A349:A350" si="75">A348+0.01</f>
        <v>3.0299999999999994</v>
      </c>
      <c r="B349" s="406" t="s">
        <v>1568</v>
      </c>
      <c r="C349" s="407"/>
      <c r="D349" s="407"/>
      <c r="E349" s="407"/>
      <c r="F349" s="407"/>
      <c r="G349" s="408"/>
      <c r="H349" s="409">
        <v>1</v>
      </c>
      <c r="I349" s="410"/>
      <c r="J349" s="376" t="s">
        <v>150</v>
      </c>
      <c r="K349" s="411"/>
      <c r="L349" s="409">
        <v>190</v>
      </c>
      <c r="M349" s="422"/>
      <c r="N349" s="414">
        <f t="shared" si="74"/>
        <v>218.5</v>
      </c>
    </row>
    <row r="350" spans="1:14" s="351" customFormat="1" ht="32.25" customHeight="1" x14ac:dyDescent="0.25">
      <c r="A350" s="405">
        <f t="shared" si="75"/>
        <v>3.0399999999999991</v>
      </c>
      <c r="B350" s="406" t="s">
        <v>1569</v>
      </c>
      <c r="C350" s="407"/>
      <c r="D350" s="407"/>
      <c r="E350" s="407"/>
      <c r="F350" s="407"/>
      <c r="G350" s="408"/>
      <c r="H350" s="409">
        <v>1</v>
      </c>
      <c r="I350" s="410"/>
      <c r="J350" s="376" t="s">
        <v>150</v>
      </c>
      <c r="K350" s="411"/>
      <c r="L350" s="409">
        <v>90</v>
      </c>
      <c r="M350" s="422"/>
      <c r="N350" s="414">
        <f t="shared" si="74"/>
        <v>103.5</v>
      </c>
    </row>
    <row r="351" spans="1:14" s="351" customFormat="1" ht="32.25" customHeight="1" x14ac:dyDescent="0.25">
      <c r="A351" s="415"/>
      <c r="B351" s="416"/>
      <c r="C351" s="416"/>
      <c r="D351" s="416"/>
      <c r="E351" s="416"/>
      <c r="F351" s="416"/>
      <c r="G351" s="416"/>
      <c r="H351" s="416"/>
      <c r="I351" s="416"/>
      <c r="J351" s="416"/>
      <c r="K351" s="416"/>
      <c r="L351" s="416"/>
      <c r="M351" s="417"/>
      <c r="N351" s="418"/>
    </row>
    <row r="352" spans="1:14" s="351" customFormat="1" ht="32.25" customHeight="1" x14ac:dyDescent="0.25">
      <c r="A352" s="419" t="s">
        <v>1570</v>
      </c>
      <c r="B352" s="420"/>
      <c r="C352" s="420"/>
      <c r="D352" s="420"/>
      <c r="E352" s="420"/>
      <c r="F352" s="420"/>
      <c r="G352" s="420"/>
      <c r="H352" s="420"/>
      <c r="I352" s="420"/>
      <c r="J352" s="420"/>
      <c r="K352" s="420"/>
      <c r="L352" s="420"/>
      <c r="M352" s="421"/>
      <c r="N352" s="418"/>
    </row>
    <row r="353" spans="1:14" s="351" customFormat="1" ht="32.25" customHeight="1" x14ac:dyDescent="0.25">
      <c r="A353" s="405">
        <v>4.01</v>
      </c>
      <c r="B353" s="406" t="s">
        <v>1571</v>
      </c>
      <c r="C353" s="407"/>
      <c r="D353" s="407"/>
      <c r="E353" s="407"/>
      <c r="F353" s="407"/>
      <c r="G353" s="408"/>
      <c r="H353" s="409">
        <v>1</v>
      </c>
      <c r="I353" s="410"/>
      <c r="J353" s="376" t="s">
        <v>150</v>
      </c>
      <c r="K353" s="411"/>
      <c r="L353" s="409">
        <v>365</v>
      </c>
      <c r="M353" s="422"/>
      <c r="N353" s="414">
        <f t="shared" ref="N353:N360" si="76">+(L353)*$N$292+L353</f>
        <v>419.75</v>
      </c>
    </row>
    <row r="354" spans="1:14" s="351" customFormat="1" ht="32.25" customHeight="1" x14ac:dyDescent="0.25">
      <c r="A354" s="405">
        <f>A353+0.01</f>
        <v>4.0199999999999996</v>
      </c>
      <c r="B354" s="406" t="s">
        <v>1572</v>
      </c>
      <c r="C354" s="407"/>
      <c r="D354" s="407"/>
      <c r="E354" s="407"/>
      <c r="F354" s="407"/>
      <c r="G354" s="408"/>
      <c r="H354" s="409">
        <v>1</v>
      </c>
      <c r="I354" s="410"/>
      <c r="J354" s="376" t="s">
        <v>150</v>
      </c>
      <c r="K354" s="411"/>
      <c r="L354" s="409">
        <v>175</v>
      </c>
      <c r="M354" s="422"/>
      <c r="N354" s="414">
        <f t="shared" si="76"/>
        <v>201.25</v>
      </c>
    </row>
    <row r="355" spans="1:14" s="351" customFormat="1" ht="32.25" customHeight="1" x14ac:dyDescent="0.25">
      <c r="A355" s="405">
        <f t="shared" ref="A355:A360" si="77">A354+0.01</f>
        <v>4.0299999999999994</v>
      </c>
      <c r="B355" s="406" t="s">
        <v>1573</v>
      </c>
      <c r="C355" s="407"/>
      <c r="D355" s="407"/>
      <c r="E355" s="407"/>
      <c r="F355" s="407"/>
      <c r="G355" s="408"/>
      <c r="H355" s="409">
        <v>1</v>
      </c>
      <c r="I355" s="410"/>
      <c r="J355" s="376" t="s">
        <v>150</v>
      </c>
      <c r="K355" s="411"/>
      <c r="L355" s="409">
        <v>560</v>
      </c>
      <c r="M355" s="422"/>
      <c r="N355" s="414">
        <f t="shared" si="76"/>
        <v>644</v>
      </c>
    </row>
    <row r="356" spans="1:14" s="351" customFormat="1" ht="32.25" customHeight="1" x14ac:dyDescent="0.25">
      <c r="A356" s="405">
        <f t="shared" si="77"/>
        <v>4.0399999999999991</v>
      </c>
      <c r="B356" s="406" t="s">
        <v>1574</v>
      </c>
      <c r="C356" s="407"/>
      <c r="D356" s="407"/>
      <c r="E356" s="407"/>
      <c r="F356" s="407"/>
      <c r="G356" s="408"/>
      <c r="H356" s="409">
        <v>1</v>
      </c>
      <c r="I356" s="410"/>
      <c r="J356" s="376" t="s">
        <v>150</v>
      </c>
      <c r="K356" s="411"/>
      <c r="L356" s="409">
        <v>275</v>
      </c>
      <c r="M356" s="422"/>
      <c r="N356" s="414">
        <f t="shared" si="76"/>
        <v>316.25</v>
      </c>
    </row>
    <row r="357" spans="1:14" s="351" customFormat="1" ht="32.25" customHeight="1" x14ac:dyDescent="0.25">
      <c r="A357" s="405">
        <f t="shared" si="77"/>
        <v>4.0499999999999989</v>
      </c>
      <c r="B357" s="406" t="s">
        <v>1575</v>
      </c>
      <c r="C357" s="407"/>
      <c r="D357" s="407"/>
      <c r="E357" s="407"/>
      <c r="F357" s="407"/>
      <c r="G357" s="408"/>
      <c r="H357" s="409">
        <v>1</v>
      </c>
      <c r="I357" s="410"/>
      <c r="J357" s="376" t="s">
        <v>150</v>
      </c>
      <c r="K357" s="411"/>
      <c r="L357" s="409">
        <v>560</v>
      </c>
      <c r="M357" s="422"/>
      <c r="N357" s="414">
        <f t="shared" si="76"/>
        <v>644</v>
      </c>
    </row>
    <row r="358" spans="1:14" s="351" customFormat="1" ht="32.25" customHeight="1" x14ac:dyDescent="0.25">
      <c r="A358" s="405">
        <f t="shared" si="77"/>
        <v>4.0599999999999987</v>
      </c>
      <c r="B358" s="406" t="s">
        <v>1576</v>
      </c>
      <c r="C358" s="407"/>
      <c r="D358" s="407"/>
      <c r="E358" s="407"/>
      <c r="F358" s="407"/>
      <c r="G358" s="408"/>
      <c r="H358" s="409">
        <v>1</v>
      </c>
      <c r="I358" s="410"/>
      <c r="J358" s="376" t="s">
        <v>150</v>
      </c>
      <c r="K358" s="411"/>
      <c r="L358" s="409">
        <v>275</v>
      </c>
      <c r="M358" s="422"/>
      <c r="N358" s="414">
        <f t="shared" si="76"/>
        <v>316.25</v>
      </c>
    </row>
    <row r="359" spans="1:14" s="351" customFormat="1" ht="32.25" customHeight="1" x14ac:dyDescent="0.25">
      <c r="A359" s="405">
        <f t="shared" si="77"/>
        <v>4.0699999999999985</v>
      </c>
      <c r="B359" s="406" t="s">
        <v>1577</v>
      </c>
      <c r="C359" s="407"/>
      <c r="D359" s="407"/>
      <c r="E359" s="407"/>
      <c r="F359" s="407"/>
      <c r="G359" s="408"/>
      <c r="H359" s="409">
        <v>1</v>
      </c>
      <c r="I359" s="410"/>
      <c r="J359" s="376" t="s">
        <v>150</v>
      </c>
      <c r="K359" s="411"/>
      <c r="L359" s="409">
        <v>825</v>
      </c>
      <c r="M359" s="422"/>
      <c r="N359" s="414">
        <f t="shared" si="76"/>
        <v>948.75</v>
      </c>
    </row>
    <row r="360" spans="1:14" s="351" customFormat="1" ht="32.25" customHeight="1" x14ac:dyDescent="0.25">
      <c r="A360" s="405">
        <f t="shared" si="77"/>
        <v>4.0799999999999983</v>
      </c>
      <c r="B360" s="406" t="s">
        <v>1578</v>
      </c>
      <c r="C360" s="407"/>
      <c r="D360" s="407"/>
      <c r="E360" s="407"/>
      <c r="F360" s="407"/>
      <c r="G360" s="408"/>
      <c r="H360" s="409">
        <v>1</v>
      </c>
      <c r="I360" s="410"/>
      <c r="J360" s="376" t="s">
        <v>150</v>
      </c>
      <c r="K360" s="411"/>
      <c r="L360" s="409">
        <v>440</v>
      </c>
      <c r="M360" s="422"/>
      <c r="N360" s="414">
        <f t="shared" si="76"/>
        <v>506</v>
      </c>
    </row>
    <row r="361" spans="1:14" s="351" customFormat="1" ht="32.25" customHeight="1" thickBot="1" x14ac:dyDescent="0.3">
      <c r="A361" s="415"/>
      <c r="B361" s="416"/>
      <c r="C361" s="416"/>
      <c r="D361" s="416"/>
      <c r="E361" s="416"/>
      <c r="F361" s="416"/>
      <c r="G361" s="416"/>
      <c r="H361" s="416"/>
      <c r="I361" s="416"/>
      <c r="J361" s="416"/>
      <c r="K361" s="416"/>
      <c r="L361" s="416"/>
      <c r="M361" s="417"/>
      <c r="N361" s="474"/>
    </row>
    <row r="362" spans="1:14" s="351" customFormat="1" ht="32.25" customHeight="1" thickBot="1" x14ac:dyDescent="0.3">
      <c r="A362" s="353"/>
      <c r="N362" s="435"/>
    </row>
    <row r="363" spans="1:14" s="351" customFormat="1" ht="32.25" customHeight="1" thickBot="1" x14ac:dyDescent="0.3">
      <c r="A363" s="395" t="s">
        <v>1579</v>
      </c>
      <c r="B363" s="396"/>
      <c r="C363" s="396"/>
      <c r="D363" s="396"/>
      <c r="E363" s="396"/>
      <c r="F363" s="396"/>
      <c r="G363" s="396"/>
      <c r="H363" s="396"/>
      <c r="I363" s="396"/>
      <c r="J363" s="396"/>
      <c r="K363" s="396"/>
      <c r="L363" s="396"/>
      <c r="M363" s="397"/>
      <c r="N363" s="398">
        <v>0.1</v>
      </c>
    </row>
    <row r="364" spans="1:14" s="351" customFormat="1" ht="32.25" customHeight="1" thickBot="1" x14ac:dyDescent="0.3">
      <c r="A364" s="353"/>
      <c r="N364" s="435"/>
    </row>
    <row r="365" spans="1:14" s="351" customFormat="1" ht="32.25" customHeight="1" x14ac:dyDescent="0.25">
      <c r="A365" s="419" t="s">
        <v>1580</v>
      </c>
      <c r="B365" s="420"/>
      <c r="C365" s="420"/>
      <c r="D365" s="420"/>
      <c r="E365" s="420"/>
      <c r="F365" s="420"/>
      <c r="G365" s="420"/>
      <c r="H365" s="420"/>
      <c r="I365" s="420"/>
      <c r="J365" s="420"/>
      <c r="K365" s="420"/>
      <c r="L365" s="420"/>
      <c r="M365" s="421"/>
      <c r="N365" s="404"/>
    </row>
    <row r="366" spans="1:14" s="351" customFormat="1" ht="42.75" customHeight="1" x14ac:dyDescent="0.25">
      <c r="A366" s="405">
        <v>1.1000000000000001</v>
      </c>
      <c r="B366" s="406" t="s">
        <v>1581</v>
      </c>
      <c r="C366" s="407"/>
      <c r="D366" s="407"/>
      <c r="E366" s="407"/>
      <c r="F366" s="407"/>
      <c r="G366" s="408"/>
      <c r="H366" s="409">
        <v>1</v>
      </c>
      <c r="I366" s="410"/>
      <c r="J366" s="376" t="s">
        <v>1300</v>
      </c>
      <c r="K366" s="411"/>
      <c r="L366" s="439">
        <v>430</v>
      </c>
      <c r="M366" s="440"/>
      <c r="N366" s="414">
        <f t="shared" ref="N366:N371" si="78">+(L366)*$N$292+L366</f>
        <v>494.5</v>
      </c>
    </row>
    <row r="367" spans="1:14" s="351" customFormat="1" ht="42.75" customHeight="1" x14ac:dyDescent="0.25">
      <c r="A367" s="405">
        <f>A366+0.1</f>
        <v>1.2000000000000002</v>
      </c>
      <c r="B367" s="406" t="s">
        <v>1582</v>
      </c>
      <c r="C367" s="407"/>
      <c r="D367" s="407"/>
      <c r="E367" s="407"/>
      <c r="F367" s="407"/>
      <c r="G367" s="408"/>
      <c r="H367" s="409">
        <v>1</v>
      </c>
      <c r="I367" s="410"/>
      <c r="J367" s="376" t="s">
        <v>1300</v>
      </c>
      <c r="K367" s="411"/>
      <c r="L367" s="439">
        <v>455</v>
      </c>
      <c r="M367" s="440"/>
      <c r="N367" s="414">
        <f t="shared" si="78"/>
        <v>523.25</v>
      </c>
    </row>
    <row r="368" spans="1:14" s="351" customFormat="1" ht="42.75" customHeight="1" x14ac:dyDescent="0.25">
      <c r="A368" s="405">
        <f>A367+0.1</f>
        <v>1.3000000000000003</v>
      </c>
      <c r="B368" s="406" t="s">
        <v>1583</v>
      </c>
      <c r="C368" s="407"/>
      <c r="D368" s="407"/>
      <c r="E368" s="407"/>
      <c r="F368" s="407"/>
      <c r="G368" s="408"/>
      <c r="H368" s="409">
        <v>1</v>
      </c>
      <c r="I368" s="410"/>
      <c r="J368" s="376" t="s">
        <v>1300</v>
      </c>
      <c r="K368" s="411"/>
      <c r="L368" s="439">
        <v>520</v>
      </c>
      <c r="M368" s="440"/>
      <c r="N368" s="414">
        <f t="shared" si="78"/>
        <v>598</v>
      </c>
    </row>
    <row r="369" spans="1:14" s="351" customFormat="1" ht="42.75" customHeight="1" x14ac:dyDescent="0.25">
      <c r="A369" s="405">
        <f t="shared" ref="A369:A371" si="79">A368+0.1</f>
        <v>1.4000000000000004</v>
      </c>
      <c r="B369" s="406" t="s">
        <v>1584</v>
      </c>
      <c r="C369" s="407"/>
      <c r="D369" s="407"/>
      <c r="E369" s="407"/>
      <c r="F369" s="407"/>
      <c r="G369" s="408"/>
      <c r="H369" s="409">
        <v>1</v>
      </c>
      <c r="I369" s="410"/>
      <c r="J369" s="376" t="s">
        <v>1300</v>
      </c>
      <c r="K369" s="411"/>
      <c r="L369" s="439">
        <v>545</v>
      </c>
      <c r="M369" s="440"/>
      <c r="N369" s="414">
        <f t="shared" si="78"/>
        <v>626.75</v>
      </c>
    </row>
    <row r="370" spans="1:14" s="351" customFormat="1" ht="32.25" customHeight="1" x14ac:dyDescent="0.25">
      <c r="A370" s="405">
        <f t="shared" si="79"/>
        <v>1.5000000000000004</v>
      </c>
      <c r="B370" s="406" t="s">
        <v>1585</v>
      </c>
      <c r="C370" s="407"/>
      <c r="D370" s="407"/>
      <c r="E370" s="407"/>
      <c r="F370" s="407"/>
      <c r="G370" s="408"/>
      <c r="H370" s="409">
        <v>1</v>
      </c>
      <c r="I370" s="410"/>
      <c r="J370" s="376" t="s">
        <v>79</v>
      </c>
      <c r="K370" s="411"/>
      <c r="L370" s="409">
        <v>300</v>
      </c>
      <c r="M370" s="422"/>
      <c r="N370" s="414">
        <f t="shared" si="78"/>
        <v>345</v>
      </c>
    </row>
    <row r="371" spans="1:14" s="351" customFormat="1" ht="32.25" customHeight="1" x14ac:dyDescent="0.25">
      <c r="A371" s="405">
        <f t="shared" si="79"/>
        <v>1.6000000000000005</v>
      </c>
      <c r="B371" s="406" t="s">
        <v>1586</v>
      </c>
      <c r="C371" s="407"/>
      <c r="D371" s="407"/>
      <c r="E371" s="407"/>
      <c r="F371" s="407"/>
      <c r="G371" s="408"/>
      <c r="H371" s="409">
        <v>1</v>
      </c>
      <c r="I371" s="410"/>
      <c r="J371" s="376" t="s">
        <v>1300</v>
      </c>
      <c r="K371" s="411"/>
      <c r="L371" s="409">
        <v>170</v>
      </c>
      <c r="M371" s="422"/>
      <c r="N371" s="414">
        <f t="shared" si="78"/>
        <v>195.5</v>
      </c>
    </row>
    <row r="372" spans="1:14" s="351" customFormat="1" ht="32.25" customHeight="1" thickBot="1" x14ac:dyDescent="0.3">
      <c r="A372" s="353"/>
      <c r="N372" s="435"/>
    </row>
    <row r="373" spans="1:14" s="351" customFormat="1" ht="32.25" customHeight="1" thickBot="1" x14ac:dyDescent="0.3">
      <c r="A373" s="395" t="s">
        <v>1587</v>
      </c>
      <c r="B373" s="396"/>
      <c r="C373" s="396"/>
      <c r="D373" s="396"/>
      <c r="E373" s="396"/>
      <c r="F373" s="396"/>
      <c r="G373" s="396"/>
      <c r="H373" s="396"/>
      <c r="I373" s="396"/>
      <c r="J373" s="396"/>
      <c r="K373" s="396"/>
      <c r="L373" s="396"/>
      <c r="M373" s="397"/>
      <c r="N373" s="398">
        <v>0.15</v>
      </c>
    </row>
    <row r="374" spans="1:14" s="351" customFormat="1" ht="32.25" customHeight="1" thickBot="1" x14ac:dyDescent="0.3">
      <c r="A374" s="353"/>
      <c r="N374" s="435"/>
    </row>
    <row r="375" spans="1:14" s="351" customFormat="1" ht="32.25" customHeight="1" x14ac:dyDescent="0.25">
      <c r="A375" s="419" t="s">
        <v>1588</v>
      </c>
      <c r="B375" s="420"/>
      <c r="C375" s="420"/>
      <c r="D375" s="420"/>
      <c r="E375" s="420"/>
      <c r="F375" s="420"/>
      <c r="G375" s="420"/>
      <c r="H375" s="420"/>
      <c r="I375" s="420"/>
      <c r="J375" s="420"/>
      <c r="K375" s="420"/>
      <c r="L375" s="420"/>
      <c r="M375" s="421"/>
      <c r="N375" s="404"/>
    </row>
    <row r="376" spans="1:14" s="351" customFormat="1" ht="32.25" customHeight="1" x14ac:dyDescent="0.25">
      <c r="A376" s="419" t="s">
        <v>1589</v>
      </c>
      <c r="B376" s="420"/>
      <c r="C376" s="420"/>
      <c r="D376" s="420"/>
      <c r="E376" s="420"/>
      <c r="F376" s="420"/>
      <c r="G376" s="420"/>
      <c r="H376" s="420"/>
      <c r="I376" s="420"/>
      <c r="J376" s="420"/>
      <c r="K376" s="420"/>
      <c r="L376" s="420"/>
      <c r="M376" s="421"/>
      <c r="N376" s="418"/>
    </row>
    <row r="377" spans="1:14" s="351" customFormat="1" ht="32.25" customHeight="1" x14ac:dyDescent="0.25">
      <c r="A377" s="405">
        <v>1.01</v>
      </c>
      <c r="B377" s="406" t="s">
        <v>1590</v>
      </c>
      <c r="C377" s="407"/>
      <c r="D377" s="407"/>
      <c r="E377" s="407"/>
      <c r="F377" s="407"/>
      <c r="G377" s="408"/>
      <c r="H377" s="409">
        <v>1</v>
      </c>
      <c r="I377" s="410"/>
      <c r="J377" s="376" t="s">
        <v>1300</v>
      </c>
      <c r="K377" s="411"/>
      <c r="L377" s="439">
        <v>1050</v>
      </c>
      <c r="M377" s="440"/>
      <c r="N377" s="414">
        <f>+(L377)*$N$373+L377</f>
        <v>1207.5</v>
      </c>
    </row>
    <row r="378" spans="1:14" s="351" customFormat="1" ht="32.25" customHeight="1" x14ac:dyDescent="0.25">
      <c r="A378" s="405">
        <f>A377+0.01</f>
        <v>1.02</v>
      </c>
      <c r="B378" s="406" t="s">
        <v>1591</v>
      </c>
      <c r="C378" s="407"/>
      <c r="D378" s="407"/>
      <c r="E378" s="407"/>
      <c r="F378" s="407"/>
      <c r="G378" s="408"/>
      <c r="H378" s="409">
        <v>1</v>
      </c>
      <c r="I378" s="410"/>
      <c r="J378" s="376" t="s">
        <v>1300</v>
      </c>
      <c r="K378" s="411"/>
      <c r="L378" s="439">
        <v>1200</v>
      </c>
      <c r="M378" s="440"/>
      <c r="N378" s="414">
        <f t="shared" ref="N378:N380" si="80">+(L378)*$N$373+L378</f>
        <v>1380</v>
      </c>
    </row>
    <row r="379" spans="1:14" s="351" customFormat="1" ht="32.25" customHeight="1" x14ac:dyDescent="0.25">
      <c r="A379" s="405">
        <f t="shared" ref="A379:A380" si="81">A378+0.01</f>
        <v>1.03</v>
      </c>
      <c r="B379" s="406" t="s">
        <v>1425</v>
      </c>
      <c r="C379" s="407"/>
      <c r="D379" s="407"/>
      <c r="E379" s="407"/>
      <c r="F379" s="407"/>
      <c r="G379" s="408"/>
      <c r="H379" s="409">
        <v>1</v>
      </c>
      <c r="I379" s="410"/>
      <c r="J379" s="376" t="s">
        <v>1544</v>
      </c>
      <c r="K379" s="411"/>
      <c r="L379" s="439">
        <v>325</v>
      </c>
      <c r="M379" s="440"/>
      <c r="N379" s="414">
        <f t="shared" si="80"/>
        <v>373.75</v>
      </c>
    </row>
    <row r="380" spans="1:14" s="351" customFormat="1" ht="32.25" customHeight="1" x14ac:dyDescent="0.25">
      <c r="A380" s="405">
        <f t="shared" si="81"/>
        <v>1.04</v>
      </c>
      <c r="B380" s="406" t="s">
        <v>1426</v>
      </c>
      <c r="C380" s="407"/>
      <c r="D380" s="407"/>
      <c r="E380" s="407"/>
      <c r="F380" s="407"/>
      <c r="G380" s="408"/>
      <c r="H380" s="409">
        <v>1</v>
      </c>
      <c r="I380" s="410"/>
      <c r="J380" s="376" t="s">
        <v>1544</v>
      </c>
      <c r="K380" s="411"/>
      <c r="L380" s="439">
        <v>425</v>
      </c>
      <c r="M380" s="440"/>
      <c r="N380" s="414">
        <f t="shared" si="80"/>
        <v>488.75</v>
      </c>
    </row>
    <row r="381" spans="1:14" s="351" customFormat="1" ht="32.25" customHeight="1" x14ac:dyDescent="0.25">
      <c r="A381" s="419" t="s">
        <v>1592</v>
      </c>
      <c r="B381" s="420"/>
      <c r="C381" s="420"/>
      <c r="D381" s="420"/>
      <c r="E381" s="420"/>
      <c r="F381" s="420"/>
      <c r="G381" s="420"/>
      <c r="H381" s="420"/>
      <c r="I381" s="420"/>
      <c r="J381" s="420"/>
      <c r="K381" s="420"/>
      <c r="L381" s="420"/>
      <c r="M381" s="421"/>
      <c r="N381" s="418"/>
    </row>
    <row r="382" spans="1:14" s="351" customFormat="1" ht="32.25" customHeight="1" x14ac:dyDescent="0.25">
      <c r="A382" s="405">
        <f>+A380+0.01</f>
        <v>1.05</v>
      </c>
      <c r="B382" s="406" t="s">
        <v>1593</v>
      </c>
      <c r="C382" s="407"/>
      <c r="D382" s="407"/>
      <c r="E382" s="407"/>
      <c r="F382" s="407"/>
      <c r="G382" s="408"/>
      <c r="H382" s="409">
        <v>1</v>
      </c>
      <c r="I382" s="410"/>
      <c r="J382" s="376" t="s">
        <v>1300</v>
      </c>
      <c r="K382" s="411"/>
      <c r="L382" s="439">
        <v>900</v>
      </c>
      <c r="M382" s="440"/>
      <c r="N382" s="414">
        <f t="shared" ref="N382:N383" si="82">+(L382)*$N$373+L382</f>
        <v>1035</v>
      </c>
    </row>
    <row r="383" spans="1:14" s="351" customFormat="1" ht="32.25" customHeight="1" x14ac:dyDescent="0.25">
      <c r="A383" s="405">
        <f>A382+0.01</f>
        <v>1.06</v>
      </c>
      <c r="B383" s="406" t="s">
        <v>1594</v>
      </c>
      <c r="C383" s="407"/>
      <c r="D383" s="407"/>
      <c r="E383" s="407"/>
      <c r="F383" s="407"/>
      <c r="G383" s="408"/>
      <c r="H383" s="409">
        <v>1</v>
      </c>
      <c r="I383" s="410"/>
      <c r="J383" s="376" t="s">
        <v>1300</v>
      </c>
      <c r="K383" s="411"/>
      <c r="L383" s="439">
        <v>950</v>
      </c>
      <c r="M383" s="440"/>
      <c r="N383" s="414">
        <f t="shared" si="82"/>
        <v>1092.5</v>
      </c>
    </row>
    <row r="384" spans="1:14" s="351" customFormat="1" ht="32.25" customHeight="1" x14ac:dyDescent="0.25">
      <c r="A384" s="419" t="s">
        <v>1595</v>
      </c>
      <c r="B384" s="420"/>
      <c r="C384" s="420"/>
      <c r="D384" s="420"/>
      <c r="E384" s="420"/>
      <c r="F384" s="420"/>
      <c r="G384" s="420"/>
      <c r="H384" s="420"/>
      <c r="I384" s="420"/>
      <c r="J384" s="420"/>
      <c r="K384" s="420"/>
      <c r="L384" s="420"/>
      <c r="M384" s="421"/>
      <c r="N384" s="418"/>
    </row>
    <row r="385" spans="1:14" s="351" customFormat="1" ht="32.25" customHeight="1" x14ac:dyDescent="0.25">
      <c r="A385" s="405">
        <f>+A383+0.01</f>
        <v>1.07</v>
      </c>
      <c r="B385" s="406" t="s">
        <v>1397</v>
      </c>
      <c r="C385" s="407"/>
      <c r="D385" s="407"/>
      <c r="E385" s="407"/>
      <c r="F385" s="407"/>
      <c r="G385" s="408"/>
      <c r="H385" s="409">
        <v>1</v>
      </c>
      <c r="I385" s="410"/>
      <c r="J385" s="376" t="s">
        <v>1544</v>
      </c>
      <c r="K385" s="411"/>
      <c r="L385" s="439">
        <v>535</v>
      </c>
      <c r="M385" s="440"/>
      <c r="N385" s="414">
        <f t="shared" ref="N385:N386" si="83">+(L385)*$N$373+L385</f>
        <v>615.25</v>
      </c>
    </row>
    <row r="386" spans="1:14" s="351" customFormat="1" ht="32.25" customHeight="1" x14ac:dyDescent="0.25">
      <c r="A386" s="405">
        <f>A385+0.01</f>
        <v>1.08</v>
      </c>
      <c r="B386" s="406" t="s">
        <v>1596</v>
      </c>
      <c r="C386" s="407"/>
      <c r="D386" s="407"/>
      <c r="E386" s="407"/>
      <c r="F386" s="407"/>
      <c r="G386" s="408"/>
      <c r="H386" s="409">
        <v>1</v>
      </c>
      <c r="I386" s="410"/>
      <c r="J386" s="376" t="s">
        <v>1544</v>
      </c>
      <c r="K386" s="411"/>
      <c r="L386" s="439">
        <v>350</v>
      </c>
      <c r="M386" s="440"/>
      <c r="N386" s="414">
        <f t="shared" si="83"/>
        <v>402.5</v>
      </c>
    </row>
    <row r="387" spans="1:14" s="351" customFormat="1" ht="32.25" customHeight="1" x14ac:dyDescent="0.25">
      <c r="A387" s="419" t="s">
        <v>1597</v>
      </c>
      <c r="B387" s="420"/>
      <c r="C387" s="420"/>
      <c r="D387" s="420"/>
      <c r="E387" s="420"/>
      <c r="F387" s="420"/>
      <c r="G387" s="420"/>
      <c r="H387" s="420"/>
      <c r="I387" s="420"/>
      <c r="J387" s="420"/>
      <c r="K387" s="420"/>
      <c r="L387" s="420"/>
      <c r="M387" s="421"/>
      <c r="N387" s="418"/>
    </row>
    <row r="388" spans="1:14" s="351" customFormat="1" ht="32.25" customHeight="1" x14ac:dyDescent="0.25">
      <c r="A388" s="405">
        <f>+A386+0.01</f>
        <v>1.0900000000000001</v>
      </c>
      <c r="B388" s="406" t="s">
        <v>1598</v>
      </c>
      <c r="C388" s="407"/>
      <c r="D388" s="407"/>
      <c r="E388" s="407"/>
      <c r="F388" s="407"/>
      <c r="G388" s="408"/>
      <c r="H388" s="409">
        <v>1</v>
      </c>
      <c r="I388" s="410"/>
      <c r="J388" s="376" t="s">
        <v>1544</v>
      </c>
      <c r="K388" s="411"/>
      <c r="L388" s="439">
        <v>1825</v>
      </c>
      <c r="M388" s="440"/>
      <c r="N388" s="414">
        <f t="shared" ref="N388:N389" si="84">+(L388)*$N$373+L388</f>
        <v>2098.75</v>
      </c>
    </row>
    <row r="389" spans="1:14" s="351" customFormat="1" ht="32.25" customHeight="1" x14ac:dyDescent="0.25">
      <c r="A389" s="441">
        <f>A388+0.01</f>
        <v>1.1000000000000001</v>
      </c>
      <c r="B389" s="406" t="s">
        <v>1599</v>
      </c>
      <c r="C389" s="407"/>
      <c r="D389" s="407"/>
      <c r="E389" s="407"/>
      <c r="F389" s="407"/>
      <c r="G389" s="408"/>
      <c r="H389" s="409">
        <v>1</v>
      </c>
      <c r="I389" s="410"/>
      <c r="J389" s="376" t="s">
        <v>1544</v>
      </c>
      <c r="K389" s="411"/>
      <c r="L389" s="439">
        <v>1000</v>
      </c>
      <c r="M389" s="440"/>
      <c r="N389" s="414">
        <f t="shared" si="84"/>
        <v>1150</v>
      </c>
    </row>
    <row r="390" spans="1:14" s="351" customFormat="1" ht="32.25" customHeight="1" x14ac:dyDescent="0.25">
      <c r="A390" s="419" t="s">
        <v>1600</v>
      </c>
      <c r="B390" s="420"/>
      <c r="C390" s="420"/>
      <c r="D390" s="420"/>
      <c r="E390" s="420"/>
      <c r="F390" s="420"/>
      <c r="G390" s="420"/>
      <c r="H390" s="420"/>
      <c r="I390" s="420"/>
      <c r="J390" s="420"/>
      <c r="K390" s="420"/>
      <c r="L390" s="420"/>
      <c r="M390" s="421"/>
      <c r="N390" s="418"/>
    </row>
    <row r="391" spans="1:14" s="351" customFormat="1" ht="32.25" customHeight="1" x14ac:dyDescent="0.25">
      <c r="A391" s="441">
        <f>+A389+0.01</f>
        <v>1.1100000000000001</v>
      </c>
      <c r="B391" s="406" t="s">
        <v>1601</v>
      </c>
      <c r="C391" s="407"/>
      <c r="D391" s="407"/>
      <c r="E391" s="407"/>
      <c r="F391" s="407"/>
      <c r="G391" s="408"/>
      <c r="H391" s="409">
        <v>1</v>
      </c>
      <c r="I391" s="410"/>
      <c r="J391" s="376" t="s">
        <v>1300</v>
      </c>
      <c r="K391" s="411"/>
      <c r="L391" s="439">
        <v>850</v>
      </c>
      <c r="M391" s="440"/>
      <c r="N391" s="414">
        <f t="shared" ref="N391:N393" si="85">+(L391)*$N$373+L391</f>
        <v>977.5</v>
      </c>
    </row>
    <row r="392" spans="1:14" s="351" customFormat="1" ht="32.25" customHeight="1" x14ac:dyDescent="0.25">
      <c r="A392" s="441">
        <f>A391+0.01</f>
        <v>1.1200000000000001</v>
      </c>
      <c r="B392" s="406" t="s">
        <v>1421</v>
      </c>
      <c r="C392" s="407"/>
      <c r="D392" s="407"/>
      <c r="E392" s="407"/>
      <c r="F392" s="407"/>
      <c r="G392" s="408"/>
      <c r="H392" s="409">
        <v>1</v>
      </c>
      <c r="I392" s="410"/>
      <c r="J392" s="376" t="s">
        <v>150</v>
      </c>
      <c r="K392" s="411"/>
      <c r="L392" s="439">
        <v>350</v>
      </c>
      <c r="M392" s="440"/>
      <c r="N392" s="414">
        <f t="shared" si="85"/>
        <v>402.5</v>
      </c>
    </row>
    <row r="393" spans="1:14" s="351" customFormat="1" ht="32.25" customHeight="1" x14ac:dyDescent="0.25">
      <c r="A393" s="441">
        <f>A392+0.01</f>
        <v>1.1300000000000001</v>
      </c>
      <c r="B393" s="406" t="s">
        <v>1426</v>
      </c>
      <c r="C393" s="407"/>
      <c r="D393" s="407"/>
      <c r="E393" s="407"/>
      <c r="F393" s="407"/>
      <c r="G393" s="408"/>
      <c r="H393" s="409">
        <v>1</v>
      </c>
      <c r="I393" s="410"/>
      <c r="J393" s="376" t="s">
        <v>150</v>
      </c>
      <c r="K393" s="411"/>
      <c r="L393" s="439">
        <v>425</v>
      </c>
      <c r="M393" s="440"/>
      <c r="N393" s="414">
        <f t="shared" si="85"/>
        <v>488.75</v>
      </c>
    </row>
    <row r="394" spans="1:14" s="351" customFormat="1" ht="32.25" customHeight="1" x14ac:dyDescent="0.25">
      <c r="A394" s="419" t="s">
        <v>1602</v>
      </c>
      <c r="B394" s="420"/>
      <c r="C394" s="420"/>
      <c r="D394" s="420"/>
      <c r="E394" s="420"/>
      <c r="F394" s="420"/>
      <c r="G394" s="420"/>
      <c r="H394" s="420"/>
      <c r="I394" s="420"/>
      <c r="J394" s="420"/>
      <c r="K394" s="420"/>
      <c r="L394" s="420"/>
      <c r="M394" s="421"/>
      <c r="N394" s="418"/>
    </row>
    <row r="395" spans="1:14" s="351" customFormat="1" ht="32.25" customHeight="1" x14ac:dyDescent="0.25">
      <c r="A395" s="441">
        <f>+A393+0.01</f>
        <v>1.1400000000000001</v>
      </c>
      <c r="B395" s="406" t="s">
        <v>1603</v>
      </c>
      <c r="C395" s="407"/>
      <c r="D395" s="407"/>
      <c r="E395" s="407"/>
      <c r="F395" s="407"/>
      <c r="G395" s="408"/>
      <c r="H395" s="409">
        <v>1</v>
      </c>
      <c r="I395" s="410"/>
      <c r="J395" s="376" t="s">
        <v>150</v>
      </c>
      <c r="K395" s="411"/>
      <c r="L395" s="439">
        <v>450</v>
      </c>
      <c r="M395" s="440"/>
      <c r="N395" s="414">
        <f t="shared" ref="N395:N397" si="86">+(L395)*$N$373+L395</f>
        <v>517.5</v>
      </c>
    </row>
    <row r="396" spans="1:14" s="351" customFormat="1" ht="32.25" customHeight="1" x14ac:dyDescent="0.25">
      <c r="A396" s="441">
        <f>A395+0.01</f>
        <v>1.1500000000000001</v>
      </c>
      <c r="B396" s="406" t="s">
        <v>1604</v>
      </c>
      <c r="C396" s="407"/>
      <c r="D396" s="407"/>
      <c r="E396" s="407"/>
      <c r="F396" s="407"/>
      <c r="G396" s="408"/>
      <c r="H396" s="409">
        <v>1</v>
      </c>
      <c r="I396" s="410"/>
      <c r="J396" s="376" t="s">
        <v>150</v>
      </c>
      <c r="K396" s="411"/>
      <c r="L396" s="439">
        <v>620</v>
      </c>
      <c r="M396" s="440"/>
      <c r="N396" s="414">
        <f t="shared" si="86"/>
        <v>713</v>
      </c>
    </row>
    <row r="397" spans="1:14" s="351" customFormat="1" ht="32.25" customHeight="1" x14ac:dyDescent="0.25">
      <c r="A397" s="441">
        <f>A396+0.01</f>
        <v>1.1600000000000001</v>
      </c>
      <c r="B397" s="406" t="s">
        <v>1605</v>
      </c>
      <c r="C397" s="407"/>
      <c r="D397" s="407"/>
      <c r="E397" s="407"/>
      <c r="F397" s="407"/>
      <c r="G397" s="408"/>
      <c r="H397" s="409">
        <v>1</v>
      </c>
      <c r="I397" s="410"/>
      <c r="J397" s="376" t="s">
        <v>150</v>
      </c>
      <c r="K397" s="411"/>
      <c r="L397" s="439">
        <v>685</v>
      </c>
      <c r="M397" s="440"/>
      <c r="N397" s="414">
        <f t="shared" si="86"/>
        <v>787.75</v>
      </c>
    </row>
    <row r="398" spans="1:14" s="351" customFormat="1" ht="32.25" customHeight="1" x14ac:dyDescent="0.25">
      <c r="A398" s="415"/>
      <c r="B398" s="416"/>
      <c r="C398" s="416"/>
      <c r="D398" s="416"/>
      <c r="E398" s="416"/>
      <c r="F398" s="416"/>
      <c r="G398" s="416"/>
      <c r="H398" s="416"/>
      <c r="I398" s="416"/>
      <c r="J398" s="416"/>
      <c r="K398" s="416"/>
      <c r="L398" s="416"/>
      <c r="M398" s="417"/>
      <c r="N398" s="418"/>
    </row>
    <row r="399" spans="1:14" s="351" customFormat="1" ht="32.25" customHeight="1" x14ac:dyDescent="0.25">
      <c r="A399" s="419" t="s">
        <v>1606</v>
      </c>
      <c r="B399" s="420"/>
      <c r="C399" s="420"/>
      <c r="D399" s="420"/>
      <c r="E399" s="420"/>
      <c r="F399" s="420"/>
      <c r="G399" s="420"/>
      <c r="H399" s="420"/>
      <c r="I399" s="420"/>
      <c r="J399" s="420"/>
      <c r="K399" s="420"/>
      <c r="L399" s="420"/>
      <c r="M399" s="421"/>
      <c r="N399" s="418"/>
    </row>
    <row r="400" spans="1:14" s="351" customFormat="1" ht="32.25" customHeight="1" x14ac:dyDescent="0.25">
      <c r="A400" s="405">
        <v>2.0099999999999998</v>
      </c>
      <c r="B400" s="406" t="s">
        <v>1607</v>
      </c>
      <c r="C400" s="407"/>
      <c r="D400" s="407"/>
      <c r="E400" s="407"/>
      <c r="F400" s="407"/>
      <c r="G400" s="408"/>
      <c r="H400" s="409">
        <v>1</v>
      </c>
      <c r="I400" s="410"/>
      <c r="J400" s="376" t="s">
        <v>1300</v>
      </c>
      <c r="K400" s="411"/>
      <c r="L400" s="439">
        <v>675</v>
      </c>
      <c r="M400" s="440"/>
      <c r="N400" s="414">
        <f t="shared" ref="N400:N405" si="87">+(L400)*$N$373+L400</f>
        <v>776.25</v>
      </c>
    </row>
    <row r="401" spans="1:14" s="351" customFormat="1" ht="32.25" customHeight="1" x14ac:dyDescent="0.25">
      <c r="A401" s="405">
        <f>A400+0.01</f>
        <v>2.0199999999999996</v>
      </c>
      <c r="B401" s="406" t="s">
        <v>1608</v>
      </c>
      <c r="C401" s="407"/>
      <c r="D401" s="407"/>
      <c r="E401" s="407"/>
      <c r="F401" s="407"/>
      <c r="G401" s="408"/>
      <c r="H401" s="409">
        <v>1</v>
      </c>
      <c r="I401" s="410"/>
      <c r="J401" s="376" t="s">
        <v>1300</v>
      </c>
      <c r="K401" s="411"/>
      <c r="L401" s="431">
        <f>1350*1.35</f>
        <v>1822.5000000000002</v>
      </c>
      <c r="M401" s="432"/>
      <c r="N401" s="414">
        <f t="shared" si="87"/>
        <v>2095.875</v>
      </c>
    </row>
    <row r="402" spans="1:14" s="351" customFormat="1" ht="32.25" customHeight="1" x14ac:dyDescent="0.25">
      <c r="A402" s="405">
        <f t="shared" ref="A402:A405" si="88">A401+0.01</f>
        <v>2.0299999999999994</v>
      </c>
      <c r="B402" s="406" t="s">
        <v>1609</v>
      </c>
      <c r="C402" s="407"/>
      <c r="D402" s="407"/>
      <c r="E402" s="407"/>
      <c r="F402" s="407"/>
      <c r="G402" s="408"/>
      <c r="H402" s="409">
        <v>1</v>
      </c>
      <c r="I402" s="410"/>
      <c r="J402" s="376" t="s">
        <v>150</v>
      </c>
      <c r="K402" s="411"/>
      <c r="L402" s="439">
        <v>155</v>
      </c>
      <c r="M402" s="440"/>
      <c r="N402" s="414">
        <f t="shared" si="87"/>
        <v>178.25</v>
      </c>
    </row>
    <row r="403" spans="1:14" s="351" customFormat="1" ht="32.25" customHeight="1" x14ac:dyDescent="0.25">
      <c r="A403" s="405">
        <f t="shared" si="88"/>
        <v>2.0399999999999991</v>
      </c>
      <c r="B403" s="406" t="s">
        <v>1610</v>
      </c>
      <c r="C403" s="407"/>
      <c r="D403" s="407"/>
      <c r="E403" s="407"/>
      <c r="F403" s="407"/>
      <c r="G403" s="408"/>
      <c r="H403" s="409">
        <v>1</v>
      </c>
      <c r="I403" s="410"/>
      <c r="J403" s="376" t="s">
        <v>150</v>
      </c>
      <c r="K403" s="411"/>
      <c r="L403" s="431">
        <f>370*1.35</f>
        <v>499.50000000000006</v>
      </c>
      <c r="M403" s="432"/>
      <c r="N403" s="414">
        <f t="shared" si="87"/>
        <v>574.42500000000007</v>
      </c>
    </row>
    <row r="404" spans="1:14" s="351" customFormat="1" ht="32.25" customHeight="1" x14ac:dyDescent="0.25">
      <c r="A404" s="405">
        <f t="shared" si="88"/>
        <v>2.0499999999999989</v>
      </c>
      <c r="B404" s="406" t="s">
        <v>1611</v>
      </c>
      <c r="C404" s="407"/>
      <c r="D404" s="407"/>
      <c r="E404" s="407"/>
      <c r="F404" s="407"/>
      <c r="G404" s="408"/>
      <c r="H404" s="409">
        <v>1</v>
      </c>
      <c r="I404" s="410"/>
      <c r="J404" s="376" t="s">
        <v>150</v>
      </c>
      <c r="K404" s="411"/>
      <c r="L404" s="439">
        <v>125</v>
      </c>
      <c r="M404" s="440"/>
      <c r="N404" s="414">
        <f t="shared" si="87"/>
        <v>143.75</v>
      </c>
    </row>
    <row r="405" spans="1:14" s="351" customFormat="1" ht="32.25" customHeight="1" x14ac:dyDescent="0.25">
      <c r="A405" s="405">
        <f t="shared" si="88"/>
        <v>2.0599999999999987</v>
      </c>
      <c r="B405" s="406" t="s">
        <v>1612</v>
      </c>
      <c r="C405" s="407"/>
      <c r="D405" s="407"/>
      <c r="E405" s="407"/>
      <c r="F405" s="407"/>
      <c r="G405" s="408"/>
      <c r="H405" s="409">
        <v>1</v>
      </c>
      <c r="I405" s="410"/>
      <c r="J405" s="376" t="s">
        <v>150</v>
      </c>
      <c r="K405" s="411"/>
      <c r="L405" s="431">
        <f>285*1.35</f>
        <v>384.75</v>
      </c>
      <c r="M405" s="432"/>
      <c r="N405" s="414">
        <f t="shared" si="87"/>
        <v>442.46249999999998</v>
      </c>
    </row>
    <row r="406" spans="1:14" s="351" customFormat="1" ht="32.25" customHeight="1" thickBot="1" x14ac:dyDescent="0.3">
      <c r="A406" s="415"/>
      <c r="B406" s="416"/>
      <c r="C406" s="416"/>
      <c r="D406" s="416"/>
      <c r="E406" s="416"/>
      <c r="F406" s="416"/>
      <c r="G406" s="416"/>
      <c r="H406" s="416"/>
      <c r="I406" s="416"/>
      <c r="J406" s="416"/>
      <c r="K406" s="416"/>
      <c r="L406" s="416"/>
      <c r="M406" s="417"/>
      <c r="N406" s="474"/>
    </row>
    <row r="407" spans="1:14" s="351" customFormat="1" ht="32.25" customHeight="1" thickBot="1" x14ac:dyDescent="0.3">
      <c r="A407" s="353"/>
      <c r="N407" s="435"/>
    </row>
    <row r="408" spans="1:14" s="351" customFormat="1" ht="32.25" customHeight="1" thickBot="1" x14ac:dyDescent="0.3">
      <c r="A408" s="395" t="s">
        <v>1613</v>
      </c>
      <c r="B408" s="396"/>
      <c r="C408" s="396"/>
      <c r="D408" s="396"/>
      <c r="E408" s="396"/>
      <c r="F408" s="396"/>
      <c r="G408" s="396"/>
      <c r="H408" s="396"/>
      <c r="I408" s="396"/>
      <c r="J408" s="396"/>
      <c r="K408" s="396"/>
      <c r="L408" s="396"/>
      <c r="M408" s="397"/>
      <c r="N408" s="398">
        <v>0.15</v>
      </c>
    </row>
    <row r="409" spans="1:14" s="351" customFormat="1" ht="32.25" customHeight="1" thickBot="1" x14ac:dyDescent="0.3">
      <c r="A409" s="353"/>
      <c r="B409" s="385"/>
      <c r="C409" s="385"/>
      <c r="D409" s="385"/>
      <c r="E409" s="385"/>
      <c r="F409" s="385"/>
      <c r="G409" s="385"/>
      <c r="H409" s="385"/>
      <c r="I409" s="385"/>
      <c r="J409" s="385"/>
      <c r="K409" s="385"/>
      <c r="N409" s="435"/>
    </row>
    <row r="410" spans="1:14" s="351" customFormat="1" ht="32.25" customHeight="1" x14ac:dyDescent="0.25">
      <c r="A410" s="419" t="s">
        <v>1614</v>
      </c>
      <c r="B410" s="420"/>
      <c r="C410" s="420"/>
      <c r="D410" s="420"/>
      <c r="E410" s="420"/>
      <c r="F410" s="420"/>
      <c r="G410" s="420"/>
      <c r="H410" s="420"/>
      <c r="I410" s="420"/>
      <c r="J410" s="420"/>
      <c r="K410" s="420"/>
      <c r="L410" s="420"/>
      <c r="M410" s="421"/>
      <c r="N410" s="404"/>
    </row>
    <row r="411" spans="1:14" s="351" customFormat="1" ht="32.25" customHeight="1" x14ac:dyDescent="0.25">
      <c r="A411" s="475">
        <v>1.01</v>
      </c>
      <c r="B411" s="476" t="s">
        <v>1615</v>
      </c>
      <c r="C411" s="477"/>
      <c r="D411" s="477"/>
      <c r="E411" s="477"/>
      <c r="F411" s="477"/>
      <c r="G411" s="478"/>
      <c r="H411" s="479">
        <v>1</v>
      </c>
      <c r="I411" s="480"/>
      <c r="J411" s="481" t="s">
        <v>1616</v>
      </c>
      <c r="K411" s="482"/>
      <c r="L411" s="439">
        <v>1100</v>
      </c>
      <c r="M411" s="440"/>
      <c r="N411" s="414">
        <f t="shared" ref="N411:N412" si="89">+(L411)*$N$373+L411</f>
        <v>1265</v>
      </c>
    </row>
    <row r="412" spans="1:14" s="351" customFormat="1" ht="32.25" customHeight="1" x14ac:dyDescent="0.25">
      <c r="A412" s="475">
        <f>A411+0.01</f>
        <v>1.02</v>
      </c>
      <c r="B412" s="476" t="s">
        <v>1617</v>
      </c>
      <c r="C412" s="477"/>
      <c r="D412" s="477"/>
      <c r="E412" s="477"/>
      <c r="F412" s="477"/>
      <c r="G412" s="478"/>
      <c r="H412" s="479">
        <v>1</v>
      </c>
      <c r="I412" s="480"/>
      <c r="J412" s="481" t="s">
        <v>1616</v>
      </c>
      <c r="K412" s="482"/>
      <c r="L412" s="439">
        <v>1250</v>
      </c>
      <c r="M412" s="440"/>
      <c r="N412" s="414">
        <f t="shared" si="89"/>
        <v>1437.5</v>
      </c>
    </row>
    <row r="413" spans="1:14" s="351" customFormat="1" ht="32.25" customHeight="1" x14ac:dyDescent="0.25">
      <c r="A413" s="415"/>
      <c r="B413" s="416"/>
      <c r="C413" s="416"/>
      <c r="D413" s="416"/>
      <c r="E413" s="416"/>
      <c r="F413" s="416"/>
      <c r="G413" s="416"/>
      <c r="H413" s="416"/>
      <c r="I413" s="416"/>
      <c r="J413" s="416"/>
      <c r="K413" s="416"/>
      <c r="L413" s="416"/>
      <c r="M413" s="417"/>
      <c r="N413" s="418"/>
    </row>
    <row r="414" spans="1:14" s="351" customFormat="1" ht="32.25" customHeight="1" x14ac:dyDescent="0.25">
      <c r="A414" s="419" t="s">
        <v>1618</v>
      </c>
      <c r="B414" s="420"/>
      <c r="C414" s="420"/>
      <c r="D414" s="420"/>
      <c r="E414" s="420"/>
      <c r="F414" s="420"/>
      <c r="G414" s="420"/>
      <c r="H414" s="420"/>
      <c r="I414" s="420"/>
      <c r="J414" s="420"/>
      <c r="K414" s="420"/>
      <c r="L414" s="420"/>
      <c r="M414" s="421"/>
      <c r="N414" s="418"/>
    </row>
    <row r="415" spans="1:14" s="351" customFormat="1" ht="32.25" customHeight="1" x14ac:dyDescent="0.25">
      <c r="A415" s="419" t="s">
        <v>1619</v>
      </c>
      <c r="B415" s="420"/>
      <c r="C415" s="420"/>
      <c r="D415" s="420"/>
      <c r="E415" s="420"/>
      <c r="F415" s="420"/>
      <c r="G415" s="420"/>
      <c r="H415" s="420"/>
      <c r="I415" s="420"/>
      <c r="J415" s="420"/>
      <c r="K415" s="420"/>
      <c r="L415" s="420"/>
      <c r="M415" s="421"/>
      <c r="N415" s="418"/>
    </row>
    <row r="416" spans="1:14" s="351" customFormat="1" ht="32.25" customHeight="1" x14ac:dyDescent="0.25">
      <c r="A416" s="483">
        <v>2.0099999999999998</v>
      </c>
      <c r="B416" s="484" t="s">
        <v>1620</v>
      </c>
      <c r="C416" s="485"/>
      <c r="D416" s="485"/>
      <c r="E416" s="485"/>
      <c r="F416" s="485"/>
      <c r="G416" s="486"/>
      <c r="H416" s="487">
        <v>1</v>
      </c>
      <c r="I416" s="488"/>
      <c r="J416" s="489" t="s">
        <v>1300</v>
      </c>
      <c r="K416" s="490"/>
      <c r="L416" s="439">
        <v>245</v>
      </c>
      <c r="M416" s="440"/>
      <c r="N416" s="414">
        <f t="shared" ref="N416:N422" si="90">+(L416)*$N$373+L416</f>
        <v>281.75</v>
      </c>
    </row>
    <row r="417" spans="1:14" s="351" customFormat="1" ht="32.25" customHeight="1" x14ac:dyDescent="0.25">
      <c r="A417" s="483">
        <f>A416+0.01</f>
        <v>2.0199999999999996</v>
      </c>
      <c r="B417" s="484" t="s">
        <v>1621</v>
      </c>
      <c r="C417" s="485"/>
      <c r="D417" s="485"/>
      <c r="E417" s="485"/>
      <c r="F417" s="485"/>
      <c r="G417" s="486"/>
      <c r="H417" s="487">
        <v>1</v>
      </c>
      <c r="I417" s="488"/>
      <c r="J417" s="489" t="s">
        <v>1300</v>
      </c>
      <c r="K417" s="490"/>
      <c r="L417" s="439">
        <v>340</v>
      </c>
      <c r="M417" s="440"/>
      <c r="N417" s="414">
        <f t="shared" si="90"/>
        <v>391</v>
      </c>
    </row>
    <row r="418" spans="1:14" s="351" customFormat="1" ht="32.25" customHeight="1" x14ac:dyDescent="0.25">
      <c r="A418" s="483">
        <f t="shared" ref="A418:A422" si="91">A417+0.01</f>
        <v>2.0299999999999994</v>
      </c>
      <c r="B418" s="484" t="s">
        <v>1622</v>
      </c>
      <c r="C418" s="485"/>
      <c r="D418" s="485"/>
      <c r="E418" s="485"/>
      <c r="F418" s="485"/>
      <c r="G418" s="486"/>
      <c r="H418" s="487">
        <v>1</v>
      </c>
      <c r="I418" s="488"/>
      <c r="J418" s="489" t="s">
        <v>1300</v>
      </c>
      <c r="K418" s="490"/>
      <c r="L418" s="439">
        <v>375</v>
      </c>
      <c r="M418" s="440"/>
      <c r="N418" s="414">
        <f t="shared" si="90"/>
        <v>431.25</v>
      </c>
    </row>
    <row r="419" spans="1:14" s="351" customFormat="1" ht="32.25" customHeight="1" x14ac:dyDescent="0.25">
      <c r="A419" s="483">
        <f t="shared" si="91"/>
        <v>2.0399999999999991</v>
      </c>
      <c r="B419" s="484" t="s">
        <v>1623</v>
      </c>
      <c r="C419" s="485"/>
      <c r="D419" s="485"/>
      <c r="E419" s="485"/>
      <c r="F419" s="485"/>
      <c r="G419" s="486"/>
      <c r="H419" s="487">
        <v>1</v>
      </c>
      <c r="I419" s="488"/>
      <c r="J419" s="489" t="s">
        <v>1300</v>
      </c>
      <c r="K419" s="490"/>
      <c r="L419" s="439">
        <v>525</v>
      </c>
      <c r="M419" s="440"/>
      <c r="N419" s="414">
        <f t="shared" si="90"/>
        <v>603.75</v>
      </c>
    </row>
    <row r="420" spans="1:14" s="351" customFormat="1" ht="32.25" customHeight="1" x14ac:dyDescent="0.25">
      <c r="A420" s="483">
        <f t="shared" si="91"/>
        <v>2.0499999999999989</v>
      </c>
      <c r="B420" s="484" t="s">
        <v>1624</v>
      </c>
      <c r="C420" s="485"/>
      <c r="D420" s="485"/>
      <c r="E420" s="485"/>
      <c r="F420" s="485"/>
      <c r="G420" s="486"/>
      <c r="H420" s="487">
        <v>1</v>
      </c>
      <c r="I420" s="488"/>
      <c r="J420" s="489" t="s">
        <v>1300</v>
      </c>
      <c r="K420" s="490"/>
      <c r="L420" s="439">
        <v>525</v>
      </c>
      <c r="M420" s="440"/>
      <c r="N420" s="414">
        <f t="shared" si="90"/>
        <v>603.75</v>
      </c>
    </row>
    <row r="421" spans="1:14" s="351" customFormat="1" ht="32.25" customHeight="1" x14ac:dyDescent="0.25">
      <c r="A421" s="483">
        <f t="shared" si="91"/>
        <v>2.0599999999999987</v>
      </c>
      <c r="B421" s="484" t="s">
        <v>1625</v>
      </c>
      <c r="C421" s="485"/>
      <c r="D421" s="485"/>
      <c r="E421" s="485"/>
      <c r="F421" s="485"/>
      <c r="G421" s="486"/>
      <c r="H421" s="487">
        <v>1</v>
      </c>
      <c r="I421" s="488"/>
      <c r="J421" s="489" t="s">
        <v>1300</v>
      </c>
      <c r="K421" s="490"/>
      <c r="L421" s="439">
        <v>230</v>
      </c>
      <c r="M421" s="440"/>
      <c r="N421" s="414">
        <f t="shared" si="90"/>
        <v>264.5</v>
      </c>
    </row>
    <row r="422" spans="1:14" s="351" customFormat="1" ht="32.25" customHeight="1" x14ac:dyDescent="0.25">
      <c r="A422" s="483">
        <f t="shared" si="91"/>
        <v>2.0699999999999985</v>
      </c>
      <c r="B422" s="484" t="s">
        <v>1626</v>
      </c>
      <c r="C422" s="485"/>
      <c r="D422" s="485"/>
      <c r="E422" s="485"/>
      <c r="F422" s="485"/>
      <c r="G422" s="486"/>
      <c r="H422" s="487">
        <v>1</v>
      </c>
      <c r="I422" s="488"/>
      <c r="J422" s="489" t="s">
        <v>1300</v>
      </c>
      <c r="K422" s="490"/>
      <c r="L422" s="439">
        <v>275</v>
      </c>
      <c r="M422" s="440"/>
      <c r="N422" s="414">
        <f t="shared" si="90"/>
        <v>316.25</v>
      </c>
    </row>
    <row r="423" spans="1:14" s="351" customFormat="1" ht="32.25" customHeight="1" x14ac:dyDescent="0.25">
      <c r="A423" s="491" t="s">
        <v>1627</v>
      </c>
      <c r="B423" s="492"/>
      <c r="C423" s="492"/>
      <c r="D423" s="492"/>
      <c r="E423" s="492"/>
      <c r="F423" s="492"/>
      <c r="G423" s="492"/>
      <c r="H423" s="492"/>
      <c r="I423" s="492"/>
      <c r="J423" s="492"/>
      <c r="K423" s="492"/>
      <c r="L423" s="492"/>
      <c r="M423" s="493"/>
      <c r="N423" s="418"/>
    </row>
    <row r="424" spans="1:14" s="351" customFormat="1" ht="32.25" customHeight="1" x14ac:dyDescent="0.25">
      <c r="A424" s="483">
        <f>+A422+0.01</f>
        <v>2.0799999999999983</v>
      </c>
      <c r="B424" s="484" t="s">
        <v>1628</v>
      </c>
      <c r="C424" s="485"/>
      <c r="D424" s="485"/>
      <c r="E424" s="485"/>
      <c r="F424" s="485"/>
      <c r="G424" s="486"/>
      <c r="H424" s="487">
        <v>1</v>
      </c>
      <c r="I424" s="488"/>
      <c r="J424" s="489" t="s">
        <v>1300</v>
      </c>
      <c r="K424" s="490"/>
      <c r="L424" s="412">
        <v>135</v>
      </c>
      <c r="M424" s="413"/>
      <c r="N424" s="414">
        <f t="shared" ref="N424:N427" si="92">+(L424)*$N$373+L424</f>
        <v>155.25</v>
      </c>
    </row>
    <row r="425" spans="1:14" s="351" customFormat="1" ht="32.25" customHeight="1" x14ac:dyDescent="0.25">
      <c r="A425" s="483">
        <f>A424+0.01</f>
        <v>2.0899999999999981</v>
      </c>
      <c r="B425" s="484" t="s">
        <v>1629</v>
      </c>
      <c r="C425" s="485"/>
      <c r="D425" s="485"/>
      <c r="E425" s="485"/>
      <c r="F425" s="485"/>
      <c r="G425" s="486"/>
      <c r="H425" s="487">
        <v>1</v>
      </c>
      <c r="I425" s="488"/>
      <c r="J425" s="489" t="s">
        <v>1300</v>
      </c>
      <c r="K425" s="490"/>
      <c r="L425" s="412">
        <v>270</v>
      </c>
      <c r="M425" s="413"/>
      <c r="N425" s="414">
        <f t="shared" si="92"/>
        <v>310.5</v>
      </c>
    </row>
    <row r="426" spans="1:14" s="351" customFormat="1" ht="32.25" customHeight="1" x14ac:dyDescent="0.25">
      <c r="A426" s="494">
        <f t="shared" ref="A426:A427" si="93">A425+0.01</f>
        <v>2.0999999999999979</v>
      </c>
      <c r="B426" s="495" t="s">
        <v>1630</v>
      </c>
      <c r="C426" s="496"/>
      <c r="D426" s="496"/>
      <c r="E426" s="496"/>
      <c r="F426" s="496"/>
      <c r="G426" s="497"/>
      <c r="H426" s="487">
        <v>1</v>
      </c>
      <c r="I426" s="488"/>
      <c r="J426" s="489" t="s">
        <v>1300</v>
      </c>
      <c r="K426" s="490"/>
      <c r="L426" s="412">
        <v>90</v>
      </c>
      <c r="M426" s="413"/>
      <c r="N426" s="414">
        <f t="shared" si="92"/>
        <v>103.5</v>
      </c>
    </row>
    <row r="427" spans="1:14" s="351" customFormat="1" ht="32.25" customHeight="1" x14ac:dyDescent="0.25">
      <c r="A427" s="483">
        <f t="shared" si="93"/>
        <v>2.1099999999999977</v>
      </c>
      <c r="B427" s="495" t="s">
        <v>1631</v>
      </c>
      <c r="C427" s="496"/>
      <c r="D427" s="496"/>
      <c r="E427" s="496"/>
      <c r="F427" s="496"/>
      <c r="G427" s="497"/>
      <c r="H427" s="487">
        <v>1</v>
      </c>
      <c r="I427" s="488"/>
      <c r="J427" s="489" t="s">
        <v>1300</v>
      </c>
      <c r="K427" s="490"/>
      <c r="L427" s="412">
        <v>135</v>
      </c>
      <c r="M427" s="413"/>
      <c r="N427" s="414">
        <f t="shared" si="92"/>
        <v>155.25</v>
      </c>
    </row>
    <row r="428" spans="1:14" s="351" customFormat="1" ht="32.25" customHeight="1" x14ac:dyDescent="0.25">
      <c r="A428" s="491" t="s">
        <v>1632</v>
      </c>
      <c r="B428" s="492"/>
      <c r="C428" s="492"/>
      <c r="D428" s="492"/>
      <c r="E428" s="492"/>
      <c r="F428" s="492"/>
      <c r="G428" s="492"/>
      <c r="H428" s="492"/>
      <c r="I428" s="492"/>
      <c r="J428" s="492"/>
      <c r="K428" s="492"/>
      <c r="L428" s="492"/>
      <c r="M428" s="493"/>
      <c r="N428" s="418"/>
    </row>
    <row r="429" spans="1:14" s="351" customFormat="1" ht="32.25" customHeight="1" x14ac:dyDescent="0.25">
      <c r="A429" s="483">
        <f>+A427+0.01</f>
        <v>2.1199999999999974</v>
      </c>
      <c r="B429" s="484" t="s">
        <v>1633</v>
      </c>
      <c r="C429" s="485"/>
      <c r="D429" s="485"/>
      <c r="E429" s="485"/>
      <c r="F429" s="485"/>
      <c r="G429" s="486"/>
      <c r="H429" s="487">
        <v>1</v>
      </c>
      <c r="I429" s="488"/>
      <c r="J429" s="489" t="s">
        <v>1544</v>
      </c>
      <c r="K429" s="490"/>
      <c r="L429" s="439">
        <v>65</v>
      </c>
      <c r="M429" s="440"/>
      <c r="N429" s="414">
        <f t="shared" ref="N429:N431" si="94">+(L429*1.15)*$N$408+L429*1.15</f>
        <v>85.962500000000006</v>
      </c>
    </row>
    <row r="430" spans="1:14" s="351" customFormat="1" ht="32.25" customHeight="1" x14ac:dyDescent="0.25">
      <c r="A430" s="483">
        <f>A429+0.01</f>
        <v>2.1299999999999972</v>
      </c>
      <c r="B430" s="484" t="s">
        <v>1634</v>
      </c>
      <c r="C430" s="485"/>
      <c r="D430" s="485"/>
      <c r="E430" s="485"/>
      <c r="F430" s="485"/>
      <c r="G430" s="486"/>
      <c r="H430" s="487">
        <v>1</v>
      </c>
      <c r="I430" s="488"/>
      <c r="J430" s="489" t="s">
        <v>1544</v>
      </c>
      <c r="K430" s="490"/>
      <c r="L430" s="439">
        <v>75</v>
      </c>
      <c r="M430" s="440"/>
      <c r="N430" s="414">
        <f t="shared" si="94"/>
        <v>99.1875</v>
      </c>
    </row>
    <row r="431" spans="1:14" s="351" customFormat="1" ht="32.25" customHeight="1" x14ac:dyDescent="0.25">
      <c r="A431" s="483">
        <f>A430+0.01</f>
        <v>2.139999999999997</v>
      </c>
      <c r="B431" s="484" t="s">
        <v>1635</v>
      </c>
      <c r="C431" s="485"/>
      <c r="D431" s="485"/>
      <c r="E431" s="485"/>
      <c r="F431" s="485"/>
      <c r="G431" s="486"/>
      <c r="H431" s="487">
        <v>1</v>
      </c>
      <c r="I431" s="488"/>
      <c r="J431" s="489" t="s">
        <v>1544</v>
      </c>
      <c r="K431" s="490"/>
      <c r="L431" s="439">
        <v>65</v>
      </c>
      <c r="M431" s="440"/>
      <c r="N431" s="414">
        <f t="shared" si="94"/>
        <v>85.962500000000006</v>
      </c>
    </row>
    <row r="432" spans="1:14" s="351" customFormat="1" ht="32.25" customHeight="1" x14ac:dyDescent="0.25">
      <c r="A432" s="491" t="s">
        <v>1636</v>
      </c>
      <c r="B432" s="492"/>
      <c r="C432" s="492"/>
      <c r="D432" s="492"/>
      <c r="E432" s="492"/>
      <c r="F432" s="492"/>
      <c r="G432" s="492"/>
      <c r="H432" s="492"/>
      <c r="I432" s="492"/>
      <c r="J432" s="492"/>
      <c r="K432" s="492"/>
      <c r="L432" s="492"/>
      <c r="M432" s="493"/>
      <c r="N432" s="418"/>
    </row>
    <row r="433" spans="1:14" s="351" customFormat="1" ht="32.25" customHeight="1" x14ac:dyDescent="0.25">
      <c r="A433" s="483">
        <f>+A431+0.01</f>
        <v>2.1499999999999968</v>
      </c>
      <c r="B433" s="484" t="s">
        <v>1637</v>
      </c>
      <c r="C433" s="485"/>
      <c r="D433" s="485"/>
      <c r="E433" s="485"/>
      <c r="F433" s="485"/>
      <c r="G433" s="486"/>
      <c r="H433" s="487">
        <v>1</v>
      </c>
      <c r="I433" s="488"/>
      <c r="J433" s="489" t="s">
        <v>1300</v>
      </c>
      <c r="K433" s="490"/>
      <c r="L433" s="439">
        <v>270</v>
      </c>
      <c r="M433" s="440"/>
      <c r="N433" s="414">
        <f t="shared" ref="N433:N437" si="95">+(L433)*$N$373+L433</f>
        <v>310.5</v>
      </c>
    </row>
    <row r="434" spans="1:14" s="351" customFormat="1" ht="32.25" customHeight="1" x14ac:dyDescent="0.25">
      <c r="A434" s="483">
        <f>A433+0.01</f>
        <v>2.1599999999999966</v>
      </c>
      <c r="B434" s="484" t="s">
        <v>1638</v>
      </c>
      <c r="C434" s="485"/>
      <c r="D434" s="485"/>
      <c r="E434" s="485"/>
      <c r="F434" s="485"/>
      <c r="G434" s="486"/>
      <c r="H434" s="487">
        <v>1</v>
      </c>
      <c r="I434" s="488"/>
      <c r="J434" s="489" t="s">
        <v>1300</v>
      </c>
      <c r="K434" s="490"/>
      <c r="L434" s="439">
        <v>375</v>
      </c>
      <c r="M434" s="440"/>
      <c r="N434" s="414">
        <f t="shared" si="95"/>
        <v>431.25</v>
      </c>
    </row>
    <row r="435" spans="1:14" s="351" customFormat="1" ht="32.25" customHeight="1" x14ac:dyDescent="0.25">
      <c r="A435" s="483">
        <f t="shared" ref="A435:A437" si="96">A434+0.01</f>
        <v>2.1699999999999964</v>
      </c>
      <c r="B435" s="484" t="s">
        <v>1639</v>
      </c>
      <c r="C435" s="485"/>
      <c r="D435" s="485"/>
      <c r="E435" s="485"/>
      <c r="F435" s="485"/>
      <c r="G435" s="486"/>
      <c r="H435" s="487">
        <v>1</v>
      </c>
      <c r="I435" s="488"/>
      <c r="J435" s="489" t="s">
        <v>79</v>
      </c>
      <c r="K435" s="490"/>
      <c r="L435" s="487">
        <v>1500</v>
      </c>
      <c r="M435" s="498"/>
      <c r="N435" s="414">
        <f t="shared" si="95"/>
        <v>1725</v>
      </c>
    </row>
    <row r="436" spans="1:14" s="351" customFormat="1" ht="32.25" customHeight="1" x14ac:dyDescent="0.25">
      <c r="A436" s="483">
        <f t="shared" si="96"/>
        <v>2.1799999999999962</v>
      </c>
      <c r="B436" s="484" t="s">
        <v>1640</v>
      </c>
      <c r="C436" s="485"/>
      <c r="D436" s="485"/>
      <c r="E436" s="485"/>
      <c r="F436" s="485"/>
      <c r="G436" s="486"/>
      <c r="H436" s="487">
        <v>1</v>
      </c>
      <c r="I436" s="488"/>
      <c r="J436" s="489" t="s">
        <v>79</v>
      </c>
      <c r="K436" s="490"/>
      <c r="L436" s="487">
        <v>4000</v>
      </c>
      <c r="M436" s="498"/>
      <c r="N436" s="414">
        <f t="shared" si="95"/>
        <v>4600</v>
      </c>
    </row>
    <row r="437" spans="1:14" s="351" customFormat="1" ht="32.25" customHeight="1" x14ac:dyDescent="0.25">
      <c r="A437" s="483">
        <f t="shared" si="96"/>
        <v>2.1899999999999959</v>
      </c>
      <c r="B437" s="484" t="s">
        <v>1641</v>
      </c>
      <c r="C437" s="485"/>
      <c r="D437" s="485"/>
      <c r="E437" s="485"/>
      <c r="F437" s="485"/>
      <c r="G437" s="486"/>
      <c r="H437" s="487">
        <v>1</v>
      </c>
      <c r="I437" s="488"/>
      <c r="J437" s="489" t="s">
        <v>79</v>
      </c>
      <c r="K437" s="490"/>
      <c r="L437" s="439">
        <v>6500</v>
      </c>
      <c r="M437" s="440"/>
      <c r="N437" s="414">
        <f t="shared" si="95"/>
        <v>7475</v>
      </c>
    </row>
    <row r="438" spans="1:14" s="351" customFormat="1" ht="32.25" customHeight="1" x14ac:dyDescent="0.25">
      <c r="A438" s="491"/>
      <c r="B438" s="492"/>
      <c r="C438" s="492"/>
      <c r="D438" s="492"/>
      <c r="E438" s="492"/>
      <c r="F438" s="492"/>
      <c r="G438" s="492"/>
      <c r="H438" s="492"/>
      <c r="I438" s="492"/>
      <c r="J438" s="492"/>
      <c r="K438" s="492"/>
      <c r="L438" s="492"/>
      <c r="M438" s="493"/>
      <c r="N438" s="418"/>
    </row>
    <row r="439" spans="1:14" s="351" customFormat="1" ht="32.25" customHeight="1" x14ac:dyDescent="0.25">
      <c r="A439" s="491" t="s">
        <v>1642</v>
      </c>
      <c r="B439" s="492"/>
      <c r="C439" s="492"/>
      <c r="D439" s="492"/>
      <c r="E439" s="492"/>
      <c r="F439" s="492"/>
      <c r="G439" s="492"/>
      <c r="H439" s="492"/>
      <c r="I439" s="492"/>
      <c r="J439" s="492"/>
      <c r="K439" s="492"/>
      <c r="L439" s="492"/>
      <c r="M439" s="493"/>
      <c r="N439" s="418"/>
    </row>
    <row r="440" spans="1:14" s="351" customFormat="1" ht="32.25" customHeight="1" x14ac:dyDescent="0.25">
      <c r="A440" s="483">
        <v>3.01</v>
      </c>
      <c r="B440" s="484" t="s">
        <v>1643</v>
      </c>
      <c r="C440" s="485"/>
      <c r="D440" s="485"/>
      <c r="E440" s="485"/>
      <c r="F440" s="485"/>
      <c r="G440" s="486"/>
      <c r="H440" s="487">
        <v>1</v>
      </c>
      <c r="I440" s="488"/>
      <c r="J440" s="489" t="s">
        <v>79</v>
      </c>
      <c r="K440" s="490"/>
      <c r="L440" s="439">
        <v>5300</v>
      </c>
      <c r="M440" s="440"/>
      <c r="N440" s="414">
        <f t="shared" ref="N440:N443" si="97">+(L440)*$N$373+L440</f>
        <v>6095</v>
      </c>
    </row>
    <row r="441" spans="1:14" s="351" customFormat="1" ht="32.25" customHeight="1" x14ac:dyDescent="0.25">
      <c r="A441" s="483">
        <f>A440+0.01</f>
        <v>3.0199999999999996</v>
      </c>
      <c r="B441" s="484" t="s">
        <v>1644</v>
      </c>
      <c r="C441" s="485"/>
      <c r="D441" s="485"/>
      <c r="E441" s="485"/>
      <c r="F441" s="485"/>
      <c r="G441" s="486"/>
      <c r="H441" s="487">
        <v>1</v>
      </c>
      <c r="I441" s="488"/>
      <c r="J441" s="489" t="s">
        <v>79</v>
      </c>
      <c r="K441" s="490"/>
      <c r="L441" s="439">
        <v>2700</v>
      </c>
      <c r="M441" s="440"/>
      <c r="N441" s="414">
        <f t="shared" si="97"/>
        <v>3105</v>
      </c>
    </row>
    <row r="442" spans="1:14" s="351" customFormat="1" ht="32.25" customHeight="1" x14ac:dyDescent="0.25">
      <c r="A442" s="483">
        <f>A441+0.01</f>
        <v>3.0299999999999994</v>
      </c>
      <c r="B442" s="484" t="s">
        <v>1645</v>
      </c>
      <c r="C442" s="485"/>
      <c r="D442" s="485"/>
      <c r="E442" s="485"/>
      <c r="F442" s="485"/>
      <c r="G442" s="486"/>
      <c r="H442" s="487">
        <v>1</v>
      </c>
      <c r="I442" s="488"/>
      <c r="J442" s="489" t="s">
        <v>79</v>
      </c>
      <c r="K442" s="490"/>
      <c r="L442" s="439">
        <v>1200</v>
      </c>
      <c r="M442" s="440"/>
      <c r="N442" s="414">
        <f t="shared" si="97"/>
        <v>1380</v>
      </c>
    </row>
    <row r="443" spans="1:14" s="351" customFormat="1" ht="32.25" customHeight="1" x14ac:dyDescent="0.25">
      <c r="A443" s="483">
        <f>A442+0.01</f>
        <v>3.0399999999999991</v>
      </c>
      <c r="B443" s="484" t="s">
        <v>1646</v>
      </c>
      <c r="C443" s="485"/>
      <c r="D443" s="485"/>
      <c r="E443" s="485"/>
      <c r="F443" s="485"/>
      <c r="G443" s="486"/>
      <c r="H443" s="487">
        <v>1</v>
      </c>
      <c r="I443" s="488"/>
      <c r="J443" s="489" t="s">
        <v>79</v>
      </c>
      <c r="K443" s="490"/>
      <c r="L443" s="487">
        <v>1800</v>
      </c>
      <c r="M443" s="498"/>
      <c r="N443" s="414">
        <f t="shared" si="97"/>
        <v>2070</v>
      </c>
    </row>
    <row r="444" spans="1:14" s="351" customFormat="1" ht="32.25" customHeight="1" thickBot="1" x14ac:dyDescent="0.3">
      <c r="A444" s="491"/>
      <c r="B444" s="492"/>
      <c r="C444" s="492"/>
      <c r="D444" s="492"/>
      <c r="E444" s="492"/>
      <c r="F444" s="492"/>
      <c r="G444" s="492"/>
      <c r="H444" s="492"/>
      <c r="I444" s="492"/>
      <c r="J444" s="492"/>
      <c r="K444" s="492"/>
      <c r="L444" s="492"/>
      <c r="M444" s="493"/>
      <c r="N444" s="474"/>
    </row>
    <row r="445" spans="1:14" s="351" customFormat="1" ht="32.25" customHeight="1" thickBot="1" x14ac:dyDescent="0.3">
      <c r="A445" s="353"/>
      <c r="N445" s="435"/>
    </row>
    <row r="446" spans="1:14" s="351" customFormat="1" ht="32.25" customHeight="1" thickBot="1" x14ac:dyDescent="0.3">
      <c r="A446" s="395" t="s">
        <v>1111</v>
      </c>
      <c r="B446" s="396"/>
      <c r="C446" s="396"/>
      <c r="D446" s="396"/>
      <c r="E446" s="396"/>
      <c r="F446" s="396"/>
      <c r="G446" s="396"/>
      <c r="H446" s="396"/>
      <c r="I446" s="396"/>
      <c r="J446" s="396"/>
      <c r="K446" s="396"/>
      <c r="L446" s="396"/>
      <c r="M446" s="397"/>
      <c r="N446" s="398">
        <v>0.1</v>
      </c>
    </row>
    <row r="447" spans="1:14" s="351" customFormat="1" ht="32.25" customHeight="1" thickBot="1" x14ac:dyDescent="0.3">
      <c r="A447" s="353"/>
      <c r="B447" s="385"/>
      <c r="C447" s="385"/>
      <c r="D447" s="385"/>
      <c r="E447" s="385"/>
      <c r="F447" s="385"/>
      <c r="G447" s="385"/>
      <c r="H447" s="385"/>
      <c r="I447" s="385"/>
      <c r="J447" s="385"/>
      <c r="K447" s="385"/>
      <c r="N447" s="435">
        <f>875*N446+875</f>
        <v>962.5</v>
      </c>
    </row>
    <row r="448" spans="1:14" s="351" customFormat="1" ht="32.25" customHeight="1" x14ac:dyDescent="0.25">
      <c r="A448" s="419" t="s">
        <v>1647</v>
      </c>
      <c r="B448" s="420"/>
      <c r="C448" s="420"/>
      <c r="D448" s="420"/>
      <c r="E448" s="420"/>
      <c r="F448" s="420"/>
      <c r="G448" s="420"/>
      <c r="H448" s="420"/>
      <c r="I448" s="420"/>
      <c r="J448" s="420"/>
      <c r="K448" s="420"/>
      <c r="L448" s="420"/>
      <c r="M448" s="421"/>
      <c r="N448" s="404"/>
    </row>
    <row r="449" spans="1:14" s="351" customFormat="1" ht="32.25" customHeight="1" x14ac:dyDescent="0.25">
      <c r="A449" s="419" t="s">
        <v>1648</v>
      </c>
      <c r="B449" s="420"/>
      <c r="C449" s="420"/>
      <c r="D449" s="420"/>
      <c r="E449" s="420"/>
      <c r="F449" s="420"/>
      <c r="G449" s="420"/>
      <c r="H449" s="420"/>
      <c r="I449" s="420"/>
      <c r="J449" s="420"/>
      <c r="K449" s="420"/>
      <c r="L449" s="420"/>
      <c r="M449" s="421"/>
      <c r="N449" s="418"/>
    </row>
    <row r="450" spans="1:14" s="351" customFormat="1" ht="32.25" customHeight="1" x14ac:dyDescent="0.25">
      <c r="A450" s="405">
        <v>1.01</v>
      </c>
      <c r="B450" s="406" t="s">
        <v>1649</v>
      </c>
      <c r="C450" s="407"/>
      <c r="D450" s="407"/>
      <c r="E450" s="407"/>
      <c r="F450" s="407"/>
      <c r="G450" s="408"/>
      <c r="H450" s="409">
        <v>1</v>
      </c>
      <c r="I450" s="410"/>
      <c r="J450" s="376" t="s">
        <v>150</v>
      </c>
      <c r="K450" s="411"/>
      <c r="L450" s="439">
        <v>355</v>
      </c>
      <c r="M450" s="440"/>
      <c r="N450" s="414">
        <f t="shared" ref="N450:N457" si="98">+(L450)*$N$373+L450</f>
        <v>408.25</v>
      </c>
    </row>
    <row r="451" spans="1:14" s="351" customFormat="1" ht="32.25" customHeight="1" x14ac:dyDescent="0.25">
      <c r="A451" s="405">
        <f>A450+0.01</f>
        <v>1.02</v>
      </c>
      <c r="B451" s="406" t="s">
        <v>1650</v>
      </c>
      <c r="C451" s="407"/>
      <c r="D451" s="407"/>
      <c r="E451" s="407"/>
      <c r="F451" s="407"/>
      <c r="G451" s="408"/>
      <c r="H451" s="409">
        <v>1</v>
      </c>
      <c r="I451" s="410"/>
      <c r="J451" s="376" t="s">
        <v>150</v>
      </c>
      <c r="K451" s="411"/>
      <c r="L451" s="439">
        <v>365</v>
      </c>
      <c r="M451" s="440"/>
      <c r="N451" s="414">
        <f t="shared" si="98"/>
        <v>419.75</v>
      </c>
    </row>
    <row r="452" spans="1:14" s="351" customFormat="1" ht="32.25" customHeight="1" x14ac:dyDescent="0.25">
      <c r="A452" s="405">
        <f t="shared" ref="A452:A457" si="99">A451+0.01</f>
        <v>1.03</v>
      </c>
      <c r="B452" s="406" t="s">
        <v>1651</v>
      </c>
      <c r="C452" s="407"/>
      <c r="D452" s="407"/>
      <c r="E452" s="407"/>
      <c r="F452" s="407"/>
      <c r="G452" s="408"/>
      <c r="H452" s="409">
        <v>1</v>
      </c>
      <c r="I452" s="410"/>
      <c r="J452" s="376" t="s">
        <v>150</v>
      </c>
      <c r="K452" s="411"/>
      <c r="L452" s="439">
        <v>375</v>
      </c>
      <c r="M452" s="440"/>
      <c r="N452" s="414">
        <f t="shared" si="98"/>
        <v>431.25</v>
      </c>
    </row>
    <row r="453" spans="1:14" s="351" customFormat="1" ht="32.25" customHeight="1" x14ac:dyDescent="0.25">
      <c r="A453" s="405">
        <f t="shared" si="99"/>
        <v>1.04</v>
      </c>
      <c r="B453" s="406" t="s">
        <v>1652</v>
      </c>
      <c r="C453" s="407"/>
      <c r="D453" s="407"/>
      <c r="E453" s="407"/>
      <c r="F453" s="407"/>
      <c r="G453" s="408"/>
      <c r="H453" s="409">
        <v>1</v>
      </c>
      <c r="I453" s="410"/>
      <c r="J453" s="376" t="s">
        <v>150</v>
      </c>
      <c r="K453" s="411"/>
      <c r="L453" s="439">
        <v>385</v>
      </c>
      <c r="M453" s="440"/>
      <c r="N453" s="414">
        <f t="shared" si="98"/>
        <v>442.75</v>
      </c>
    </row>
    <row r="454" spans="1:14" s="351" customFormat="1" ht="32.25" customHeight="1" x14ac:dyDescent="0.25">
      <c r="A454" s="405">
        <f t="shared" si="99"/>
        <v>1.05</v>
      </c>
      <c r="B454" s="406" t="s">
        <v>1653</v>
      </c>
      <c r="C454" s="407"/>
      <c r="D454" s="407"/>
      <c r="E454" s="407"/>
      <c r="F454" s="407"/>
      <c r="G454" s="408"/>
      <c r="H454" s="409">
        <v>1</v>
      </c>
      <c r="I454" s="410"/>
      <c r="J454" s="376" t="s">
        <v>150</v>
      </c>
      <c r="K454" s="411"/>
      <c r="L454" s="439">
        <v>400</v>
      </c>
      <c r="M454" s="440"/>
      <c r="N454" s="414">
        <f t="shared" si="98"/>
        <v>460</v>
      </c>
    </row>
    <row r="455" spans="1:14" s="351" customFormat="1" ht="32.25" customHeight="1" x14ac:dyDescent="0.25">
      <c r="A455" s="405">
        <f t="shared" si="99"/>
        <v>1.06</v>
      </c>
      <c r="B455" s="406" t="s">
        <v>1654</v>
      </c>
      <c r="C455" s="407"/>
      <c r="D455" s="407"/>
      <c r="E455" s="407"/>
      <c r="F455" s="407"/>
      <c r="G455" s="408"/>
      <c r="H455" s="409">
        <v>1</v>
      </c>
      <c r="I455" s="410"/>
      <c r="J455" s="376" t="s">
        <v>150</v>
      </c>
      <c r="K455" s="411"/>
      <c r="L455" s="439">
        <v>430</v>
      </c>
      <c r="M455" s="440"/>
      <c r="N455" s="414">
        <f t="shared" si="98"/>
        <v>494.5</v>
      </c>
    </row>
    <row r="456" spans="1:14" s="351" customFormat="1" ht="32.25" customHeight="1" x14ac:dyDescent="0.25">
      <c r="A456" s="405">
        <f t="shared" si="99"/>
        <v>1.07</v>
      </c>
      <c r="B456" s="406" t="s">
        <v>1655</v>
      </c>
      <c r="C456" s="407"/>
      <c r="D456" s="407"/>
      <c r="E456" s="407"/>
      <c r="F456" s="407"/>
      <c r="G456" s="408"/>
      <c r="H456" s="409">
        <v>1</v>
      </c>
      <c r="I456" s="410"/>
      <c r="J456" s="376" t="s">
        <v>150</v>
      </c>
      <c r="K456" s="411"/>
      <c r="L456" s="439">
        <v>460</v>
      </c>
      <c r="M456" s="440"/>
      <c r="N456" s="414">
        <f t="shared" si="98"/>
        <v>529</v>
      </c>
    </row>
    <row r="457" spans="1:14" s="351" customFormat="1" ht="32.25" customHeight="1" x14ac:dyDescent="0.25">
      <c r="A457" s="405">
        <f t="shared" si="99"/>
        <v>1.08</v>
      </c>
      <c r="B457" s="406" t="s">
        <v>1656</v>
      </c>
      <c r="C457" s="407"/>
      <c r="D457" s="407"/>
      <c r="E457" s="407"/>
      <c r="F457" s="407"/>
      <c r="G457" s="408"/>
      <c r="H457" s="409">
        <v>1</v>
      </c>
      <c r="I457" s="410"/>
      <c r="J457" s="376" t="s">
        <v>150</v>
      </c>
      <c r="K457" s="411"/>
      <c r="L457" s="439">
        <v>530</v>
      </c>
      <c r="M457" s="440"/>
      <c r="N457" s="414">
        <f t="shared" si="98"/>
        <v>609.5</v>
      </c>
    </row>
    <row r="458" spans="1:14" s="351" customFormat="1" ht="32.25" customHeight="1" x14ac:dyDescent="0.25">
      <c r="A458" s="419" t="s">
        <v>1657</v>
      </c>
      <c r="B458" s="420"/>
      <c r="C458" s="420"/>
      <c r="D458" s="420"/>
      <c r="E458" s="420"/>
      <c r="F458" s="420"/>
      <c r="G458" s="420"/>
      <c r="H458" s="420"/>
      <c r="I458" s="420"/>
      <c r="J458" s="420"/>
      <c r="K458" s="420"/>
      <c r="L458" s="420"/>
      <c r="M458" s="421"/>
      <c r="N458" s="418"/>
    </row>
    <row r="459" spans="1:14" s="351" customFormat="1" ht="32.25" customHeight="1" x14ac:dyDescent="0.25">
      <c r="A459" s="405">
        <f>+A457+0.01</f>
        <v>1.0900000000000001</v>
      </c>
      <c r="B459" s="406" t="s">
        <v>1650</v>
      </c>
      <c r="C459" s="407"/>
      <c r="D459" s="407"/>
      <c r="E459" s="407"/>
      <c r="F459" s="407"/>
      <c r="G459" s="408"/>
      <c r="H459" s="409">
        <v>1</v>
      </c>
      <c r="I459" s="410"/>
      <c r="J459" s="376" t="s">
        <v>150</v>
      </c>
      <c r="K459" s="411"/>
      <c r="L459" s="439">
        <v>485</v>
      </c>
      <c r="M459" s="440"/>
      <c r="N459" s="414">
        <f t="shared" ref="N459:N465" si="100">+(L459)*$N$373+L459</f>
        <v>557.75</v>
      </c>
    </row>
    <row r="460" spans="1:14" s="351" customFormat="1" ht="32.25" customHeight="1" x14ac:dyDescent="0.25">
      <c r="A460" s="441">
        <f>A459+0.01</f>
        <v>1.1000000000000001</v>
      </c>
      <c r="B460" s="406" t="s">
        <v>1651</v>
      </c>
      <c r="C460" s="407"/>
      <c r="D460" s="407"/>
      <c r="E460" s="407"/>
      <c r="F460" s="407"/>
      <c r="G460" s="408"/>
      <c r="H460" s="409">
        <v>1</v>
      </c>
      <c r="I460" s="410"/>
      <c r="J460" s="376" t="s">
        <v>150</v>
      </c>
      <c r="K460" s="411"/>
      <c r="L460" s="439">
        <v>500</v>
      </c>
      <c r="M460" s="440"/>
      <c r="N460" s="414">
        <f t="shared" si="100"/>
        <v>575</v>
      </c>
    </row>
    <row r="461" spans="1:14" s="351" customFormat="1" ht="32.25" customHeight="1" x14ac:dyDescent="0.25">
      <c r="A461" s="441">
        <f t="shared" ref="A461:A465" si="101">A460+0.01</f>
        <v>1.1100000000000001</v>
      </c>
      <c r="B461" s="406" t="s">
        <v>1652</v>
      </c>
      <c r="C461" s="407"/>
      <c r="D461" s="407"/>
      <c r="E461" s="407"/>
      <c r="F461" s="407"/>
      <c r="G461" s="408"/>
      <c r="H461" s="409">
        <v>1</v>
      </c>
      <c r="I461" s="410"/>
      <c r="J461" s="376" t="s">
        <v>150</v>
      </c>
      <c r="K461" s="411"/>
      <c r="L461" s="439">
        <v>525</v>
      </c>
      <c r="M461" s="440"/>
      <c r="N461" s="414">
        <f t="shared" si="100"/>
        <v>603.75</v>
      </c>
    </row>
    <row r="462" spans="1:14" s="351" customFormat="1" ht="32.25" customHeight="1" x14ac:dyDescent="0.25">
      <c r="A462" s="441">
        <f t="shared" si="101"/>
        <v>1.1200000000000001</v>
      </c>
      <c r="B462" s="406" t="s">
        <v>1653</v>
      </c>
      <c r="C462" s="407"/>
      <c r="D462" s="407"/>
      <c r="E462" s="407"/>
      <c r="F462" s="407"/>
      <c r="G462" s="408"/>
      <c r="H462" s="409">
        <v>1</v>
      </c>
      <c r="I462" s="410"/>
      <c r="J462" s="376" t="s">
        <v>150</v>
      </c>
      <c r="K462" s="411"/>
      <c r="L462" s="439">
        <v>550</v>
      </c>
      <c r="M462" s="440"/>
      <c r="N462" s="414">
        <f t="shared" si="100"/>
        <v>632.5</v>
      </c>
    </row>
    <row r="463" spans="1:14" s="351" customFormat="1" ht="32.25" customHeight="1" x14ac:dyDescent="0.25">
      <c r="A463" s="441">
        <f t="shared" si="101"/>
        <v>1.1300000000000001</v>
      </c>
      <c r="B463" s="406" t="s">
        <v>1654</v>
      </c>
      <c r="C463" s="407"/>
      <c r="D463" s="407"/>
      <c r="E463" s="407"/>
      <c r="F463" s="407"/>
      <c r="G463" s="408"/>
      <c r="H463" s="409">
        <v>1</v>
      </c>
      <c r="I463" s="410"/>
      <c r="J463" s="376" t="s">
        <v>150</v>
      </c>
      <c r="K463" s="411"/>
      <c r="L463" s="439">
        <v>580</v>
      </c>
      <c r="M463" s="440"/>
      <c r="N463" s="414">
        <f t="shared" si="100"/>
        <v>667</v>
      </c>
    </row>
    <row r="464" spans="1:14" s="351" customFormat="1" ht="32.25" customHeight="1" x14ac:dyDescent="0.25">
      <c r="A464" s="441">
        <f t="shared" si="101"/>
        <v>1.1400000000000001</v>
      </c>
      <c r="B464" s="406" t="s">
        <v>1655</v>
      </c>
      <c r="C464" s="407"/>
      <c r="D464" s="407"/>
      <c r="E464" s="407"/>
      <c r="F464" s="407"/>
      <c r="G464" s="408"/>
      <c r="H464" s="409">
        <v>1</v>
      </c>
      <c r="I464" s="410"/>
      <c r="J464" s="376" t="s">
        <v>150</v>
      </c>
      <c r="K464" s="411"/>
      <c r="L464" s="439">
        <v>595</v>
      </c>
      <c r="M464" s="440"/>
      <c r="N464" s="414">
        <f t="shared" si="100"/>
        <v>684.25</v>
      </c>
    </row>
    <row r="465" spans="1:14" s="351" customFormat="1" ht="32.25" customHeight="1" x14ac:dyDescent="0.25">
      <c r="A465" s="441">
        <f t="shared" si="101"/>
        <v>1.1500000000000001</v>
      </c>
      <c r="B465" s="406" t="s">
        <v>1658</v>
      </c>
      <c r="C465" s="407"/>
      <c r="D465" s="407"/>
      <c r="E465" s="407"/>
      <c r="F465" s="407"/>
      <c r="G465" s="408"/>
      <c r="H465" s="409">
        <v>1</v>
      </c>
      <c r="I465" s="410"/>
      <c r="J465" s="376" t="s">
        <v>1300</v>
      </c>
      <c r="K465" s="411"/>
      <c r="L465" s="439">
        <v>895</v>
      </c>
      <c r="M465" s="440"/>
      <c r="N465" s="414">
        <f t="shared" si="100"/>
        <v>1029.25</v>
      </c>
    </row>
    <row r="466" spans="1:14" s="351" customFormat="1" ht="32.25" customHeight="1" x14ac:dyDescent="0.25">
      <c r="A466" s="419" t="s">
        <v>1659</v>
      </c>
      <c r="B466" s="420"/>
      <c r="C466" s="420"/>
      <c r="D466" s="420"/>
      <c r="E466" s="420"/>
      <c r="F466" s="420"/>
      <c r="G466" s="420"/>
      <c r="H466" s="420"/>
      <c r="I466" s="420"/>
      <c r="J466" s="420"/>
      <c r="K466" s="420"/>
      <c r="L466" s="420"/>
      <c r="M466" s="421"/>
      <c r="N466" s="418"/>
    </row>
    <row r="467" spans="1:14" s="351" customFormat="1" ht="32.25" customHeight="1" x14ac:dyDescent="0.25">
      <c r="A467" s="441">
        <f>+A465+0.01</f>
        <v>1.1600000000000001</v>
      </c>
      <c r="B467" s="406" t="s">
        <v>1650</v>
      </c>
      <c r="C467" s="407"/>
      <c r="D467" s="407"/>
      <c r="E467" s="407"/>
      <c r="F467" s="407"/>
      <c r="G467" s="408"/>
      <c r="H467" s="409">
        <v>1</v>
      </c>
      <c r="I467" s="410"/>
      <c r="J467" s="376" t="s">
        <v>150</v>
      </c>
      <c r="K467" s="411"/>
      <c r="L467" s="439">
        <v>555</v>
      </c>
      <c r="M467" s="440"/>
      <c r="N467" s="414">
        <f t="shared" ref="N467:N470" si="102">+(L467)*$N$373+L467</f>
        <v>638.25</v>
      </c>
    </row>
    <row r="468" spans="1:14" s="351" customFormat="1" ht="32.25" customHeight="1" x14ac:dyDescent="0.25">
      <c r="A468" s="441">
        <f>A467+0.01</f>
        <v>1.1700000000000002</v>
      </c>
      <c r="B468" s="406" t="s">
        <v>1651</v>
      </c>
      <c r="C468" s="407"/>
      <c r="D468" s="407"/>
      <c r="E468" s="407"/>
      <c r="F468" s="407"/>
      <c r="G468" s="408"/>
      <c r="H468" s="409">
        <v>1</v>
      </c>
      <c r="I468" s="410"/>
      <c r="J468" s="376" t="s">
        <v>150</v>
      </c>
      <c r="K468" s="411"/>
      <c r="L468" s="439">
        <v>565</v>
      </c>
      <c r="M468" s="440"/>
      <c r="N468" s="414">
        <f t="shared" si="102"/>
        <v>649.75</v>
      </c>
    </row>
    <row r="469" spans="1:14" s="351" customFormat="1" ht="32.25" customHeight="1" x14ac:dyDescent="0.25">
      <c r="A469" s="441">
        <f t="shared" ref="A469:A470" si="103">A468+0.01</f>
        <v>1.1800000000000002</v>
      </c>
      <c r="B469" s="406" t="s">
        <v>1652</v>
      </c>
      <c r="C469" s="407"/>
      <c r="D469" s="407"/>
      <c r="E469" s="407"/>
      <c r="F469" s="407"/>
      <c r="G469" s="408"/>
      <c r="H469" s="409">
        <v>1</v>
      </c>
      <c r="I469" s="410"/>
      <c r="J469" s="376" t="s">
        <v>150</v>
      </c>
      <c r="K469" s="411"/>
      <c r="L469" s="439">
        <v>575</v>
      </c>
      <c r="M469" s="440"/>
      <c r="N469" s="414">
        <f t="shared" si="102"/>
        <v>661.25</v>
      </c>
    </row>
    <row r="470" spans="1:14" s="351" customFormat="1" ht="32.25" customHeight="1" x14ac:dyDescent="0.25">
      <c r="A470" s="441">
        <f t="shared" si="103"/>
        <v>1.1900000000000002</v>
      </c>
      <c r="B470" s="406" t="s">
        <v>1660</v>
      </c>
      <c r="C470" s="407"/>
      <c r="D470" s="407"/>
      <c r="E470" s="407"/>
      <c r="F470" s="407"/>
      <c r="G470" s="408"/>
      <c r="H470" s="409">
        <v>1</v>
      </c>
      <c r="I470" s="410"/>
      <c r="J470" s="376" t="s">
        <v>1300</v>
      </c>
      <c r="K470" s="411"/>
      <c r="L470" s="439">
        <v>895</v>
      </c>
      <c r="M470" s="440"/>
      <c r="N470" s="414">
        <f t="shared" si="102"/>
        <v>1029.25</v>
      </c>
    </row>
    <row r="471" spans="1:14" s="351" customFormat="1" ht="32.25" customHeight="1" x14ac:dyDescent="0.25">
      <c r="A471" s="419" t="s">
        <v>1661</v>
      </c>
      <c r="B471" s="420"/>
      <c r="C471" s="420"/>
      <c r="D471" s="420"/>
      <c r="E471" s="420"/>
      <c r="F471" s="420"/>
      <c r="G471" s="420"/>
      <c r="H471" s="420"/>
      <c r="I471" s="420"/>
      <c r="J471" s="420"/>
      <c r="K471" s="420"/>
      <c r="L471" s="420"/>
      <c r="M471" s="421"/>
      <c r="N471" s="418"/>
    </row>
    <row r="472" spans="1:14" s="351" customFormat="1" ht="32.25" customHeight="1" x14ac:dyDescent="0.25">
      <c r="A472" s="441">
        <f>+A470+0.01</f>
        <v>1.2000000000000002</v>
      </c>
      <c r="B472" s="406" t="s">
        <v>1662</v>
      </c>
      <c r="C472" s="407"/>
      <c r="D472" s="407"/>
      <c r="E472" s="407"/>
      <c r="F472" s="407"/>
      <c r="G472" s="408"/>
      <c r="H472" s="409">
        <v>1</v>
      </c>
      <c r="I472" s="410"/>
      <c r="J472" s="376" t="s">
        <v>150</v>
      </c>
      <c r="K472" s="411"/>
      <c r="L472" s="439">
        <v>1600</v>
      </c>
      <c r="M472" s="440"/>
      <c r="N472" s="414">
        <f t="shared" ref="N472:N473" si="104">+(L472)*$N$373+L472</f>
        <v>1840</v>
      </c>
    </row>
    <row r="473" spans="1:14" s="351" customFormat="1" ht="32.25" customHeight="1" x14ac:dyDescent="0.25">
      <c r="A473" s="441">
        <f>A472+0.01</f>
        <v>1.2100000000000002</v>
      </c>
      <c r="B473" s="406" t="s">
        <v>1663</v>
      </c>
      <c r="C473" s="407"/>
      <c r="D473" s="407"/>
      <c r="E473" s="407"/>
      <c r="F473" s="407"/>
      <c r="G473" s="408"/>
      <c r="H473" s="409">
        <v>1</v>
      </c>
      <c r="I473" s="410"/>
      <c r="J473" s="376" t="s">
        <v>150</v>
      </c>
      <c r="K473" s="411"/>
      <c r="L473" s="439">
        <v>1800</v>
      </c>
      <c r="M473" s="440"/>
      <c r="N473" s="414">
        <f t="shared" si="104"/>
        <v>2070</v>
      </c>
    </row>
    <row r="474" spans="1:14" s="351" customFormat="1" ht="32.25" customHeight="1" x14ac:dyDescent="0.25">
      <c r="A474" s="415"/>
      <c r="B474" s="416"/>
      <c r="C474" s="416"/>
      <c r="D474" s="416"/>
      <c r="E474" s="416"/>
      <c r="F474" s="416"/>
      <c r="G474" s="416"/>
      <c r="H474" s="416"/>
      <c r="I474" s="416"/>
      <c r="J474" s="416"/>
      <c r="K474" s="416"/>
      <c r="L474" s="416"/>
      <c r="M474" s="417"/>
      <c r="N474" s="418"/>
    </row>
    <row r="475" spans="1:14" s="351" customFormat="1" ht="32.25" customHeight="1" x14ac:dyDescent="0.25">
      <c r="A475" s="419" t="s">
        <v>1664</v>
      </c>
      <c r="B475" s="420"/>
      <c r="C475" s="420"/>
      <c r="D475" s="420"/>
      <c r="E475" s="420"/>
      <c r="F475" s="420"/>
      <c r="G475" s="420"/>
      <c r="H475" s="420"/>
      <c r="I475" s="420"/>
      <c r="J475" s="420"/>
      <c r="K475" s="420"/>
      <c r="L475" s="420"/>
      <c r="M475" s="421"/>
      <c r="N475" s="418"/>
    </row>
    <row r="476" spans="1:14" s="351" customFormat="1" ht="32.25" customHeight="1" x14ac:dyDescent="0.25">
      <c r="A476" s="405">
        <v>2.1</v>
      </c>
      <c r="B476" s="406" t="s">
        <v>1665</v>
      </c>
      <c r="C476" s="407"/>
      <c r="D476" s="407"/>
      <c r="E476" s="407"/>
      <c r="F476" s="407"/>
      <c r="G476" s="408"/>
      <c r="H476" s="409">
        <v>1</v>
      </c>
      <c r="I476" s="410"/>
      <c r="J476" s="376" t="s">
        <v>1300</v>
      </c>
      <c r="K476" s="411"/>
      <c r="L476" s="439">
        <v>895</v>
      </c>
      <c r="M476" s="440"/>
      <c r="N476" s="414">
        <f t="shared" ref="N476:N477" si="105">+(L476)*$N$373+L476</f>
        <v>1029.25</v>
      </c>
    </row>
    <row r="477" spans="1:14" s="351" customFormat="1" ht="32.25" customHeight="1" x14ac:dyDescent="0.25">
      <c r="A477" s="405">
        <f>A476+0.1</f>
        <v>2.2000000000000002</v>
      </c>
      <c r="B477" s="406" t="s">
        <v>1666</v>
      </c>
      <c r="C477" s="407"/>
      <c r="D477" s="407"/>
      <c r="E477" s="407"/>
      <c r="F477" s="407"/>
      <c r="G477" s="408"/>
      <c r="H477" s="409">
        <v>1</v>
      </c>
      <c r="I477" s="410"/>
      <c r="J477" s="376" t="s">
        <v>1300</v>
      </c>
      <c r="K477" s="411"/>
      <c r="L477" s="439">
        <v>1230</v>
      </c>
      <c r="M477" s="440"/>
      <c r="N477" s="414">
        <f t="shared" si="105"/>
        <v>1414.5</v>
      </c>
    </row>
    <row r="478" spans="1:14" s="351" customFormat="1" ht="32.25" customHeight="1" x14ac:dyDescent="0.25">
      <c r="A478" s="415"/>
      <c r="B478" s="416"/>
      <c r="C478" s="416"/>
      <c r="D478" s="416"/>
      <c r="E478" s="416"/>
      <c r="F478" s="416"/>
      <c r="G478" s="416"/>
      <c r="H478" s="416"/>
      <c r="I478" s="416"/>
      <c r="J478" s="416"/>
      <c r="K478" s="416"/>
      <c r="L478" s="416"/>
      <c r="M478" s="417"/>
      <c r="N478" s="418"/>
    </row>
    <row r="479" spans="1:14" s="351" customFormat="1" ht="32.25" customHeight="1" x14ac:dyDescent="0.25">
      <c r="A479" s="419" t="s">
        <v>1332</v>
      </c>
      <c r="B479" s="420"/>
      <c r="C479" s="420"/>
      <c r="D479" s="420"/>
      <c r="E479" s="420"/>
      <c r="F479" s="420"/>
      <c r="G479" s="420"/>
      <c r="H479" s="420"/>
      <c r="I479" s="420"/>
      <c r="J479" s="420"/>
      <c r="K479" s="420"/>
      <c r="L479" s="420"/>
      <c r="M479" s="421"/>
      <c r="N479" s="418"/>
    </row>
    <row r="480" spans="1:14" s="351" customFormat="1" ht="32.25" customHeight="1" x14ac:dyDescent="0.25">
      <c r="A480" s="419" t="s">
        <v>1667</v>
      </c>
      <c r="B480" s="420"/>
      <c r="C480" s="420"/>
      <c r="D480" s="420"/>
      <c r="E480" s="420"/>
      <c r="F480" s="420"/>
      <c r="G480" s="420"/>
      <c r="H480" s="420"/>
      <c r="I480" s="420"/>
      <c r="J480" s="420"/>
      <c r="K480" s="420"/>
      <c r="L480" s="420"/>
      <c r="M480" s="421"/>
      <c r="N480" s="418"/>
    </row>
    <row r="481" spans="1:14" s="351" customFormat="1" ht="32.25" customHeight="1" x14ac:dyDescent="0.25">
      <c r="A481" s="405">
        <v>3.01</v>
      </c>
      <c r="B481" s="406" t="s">
        <v>1650</v>
      </c>
      <c r="C481" s="407"/>
      <c r="D481" s="407"/>
      <c r="E481" s="407"/>
      <c r="F481" s="407"/>
      <c r="G481" s="408"/>
      <c r="H481" s="409">
        <v>1</v>
      </c>
      <c r="I481" s="410"/>
      <c r="J481" s="376" t="s">
        <v>150</v>
      </c>
      <c r="K481" s="411"/>
      <c r="L481" s="439">
        <v>355</v>
      </c>
      <c r="M481" s="440"/>
      <c r="N481" s="414">
        <f t="shared" ref="N481:N487" si="106">+(L481)*$N$373+L481</f>
        <v>408.25</v>
      </c>
    </row>
    <row r="482" spans="1:14" s="351" customFormat="1" ht="32.25" customHeight="1" x14ac:dyDescent="0.25">
      <c r="A482" s="405">
        <f>A481+0.01</f>
        <v>3.0199999999999996</v>
      </c>
      <c r="B482" s="406" t="s">
        <v>1668</v>
      </c>
      <c r="C482" s="407"/>
      <c r="D482" s="407"/>
      <c r="E482" s="407"/>
      <c r="F482" s="407"/>
      <c r="G482" s="408"/>
      <c r="H482" s="409">
        <v>1</v>
      </c>
      <c r="I482" s="410"/>
      <c r="J482" s="376" t="s">
        <v>150</v>
      </c>
      <c r="K482" s="411"/>
      <c r="L482" s="439">
        <v>360</v>
      </c>
      <c r="M482" s="440"/>
      <c r="N482" s="414">
        <f t="shared" si="106"/>
        <v>414</v>
      </c>
    </row>
    <row r="483" spans="1:14" s="351" customFormat="1" ht="32.25" customHeight="1" x14ac:dyDescent="0.25">
      <c r="A483" s="405">
        <f t="shared" ref="A483:A487" si="107">A482+0.01</f>
        <v>3.0299999999999994</v>
      </c>
      <c r="B483" s="406" t="s">
        <v>1651</v>
      </c>
      <c r="C483" s="407"/>
      <c r="D483" s="407"/>
      <c r="E483" s="407"/>
      <c r="F483" s="407"/>
      <c r="G483" s="408"/>
      <c r="H483" s="409">
        <v>1</v>
      </c>
      <c r="I483" s="410"/>
      <c r="J483" s="376" t="s">
        <v>150</v>
      </c>
      <c r="K483" s="411"/>
      <c r="L483" s="439">
        <v>390</v>
      </c>
      <c r="M483" s="440"/>
      <c r="N483" s="414">
        <f t="shared" si="106"/>
        <v>448.5</v>
      </c>
    </row>
    <row r="484" spans="1:14" s="351" customFormat="1" ht="32.25" customHeight="1" x14ac:dyDescent="0.25">
      <c r="A484" s="405">
        <f t="shared" si="107"/>
        <v>3.0399999999999991</v>
      </c>
      <c r="B484" s="406" t="s">
        <v>1669</v>
      </c>
      <c r="C484" s="407"/>
      <c r="D484" s="407"/>
      <c r="E484" s="407"/>
      <c r="F484" s="407"/>
      <c r="G484" s="408"/>
      <c r="H484" s="409">
        <v>1</v>
      </c>
      <c r="I484" s="410"/>
      <c r="J484" s="376" t="s">
        <v>150</v>
      </c>
      <c r="K484" s="411"/>
      <c r="L484" s="439">
        <v>465</v>
      </c>
      <c r="M484" s="440"/>
      <c r="N484" s="414">
        <f t="shared" si="106"/>
        <v>534.75</v>
      </c>
    </row>
    <row r="485" spans="1:14" s="351" customFormat="1" ht="32.25" customHeight="1" x14ac:dyDescent="0.25">
      <c r="A485" s="405">
        <f t="shared" si="107"/>
        <v>3.0499999999999989</v>
      </c>
      <c r="B485" s="406" t="s">
        <v>1652</v>
      </c>
      <c r="C485" s="407"/>
      <c r="D485" s="407"/>
      <c r="E485" s="407"/>
      <c r="F485" s="407"/>
      <c r="G485" s="408"/>
      <c r="H485" s="409">
        <v>1</v>
      </c>
      <c r="I485" s="410"/>
      <c r="J485" s="376" t="s">
        <v>150</v>
      </c>
      <c r="K485" s="411"/>
      <c r="L485" s="439">
        <v>520</v>
      </c>
      <c r="M485" s="440"/>
      <c r="N485" s="414">
        <f t="shared" si="106"/>
        <v>598</v>
      </c>
    </row>
    <row r="486" spans="1:14" s="351" customFormat="1" ht="32.25" customHeight="1" x14ac:dyDescent="0.25">
      <c r="A486" s="405">
        <f t="shared" si="107"/>
        <v>3.0599999999999987</v>
      </c>
      <c r="B486" s="406" t="s">
        <v>1653</v>
      </c>
      <c r="C486" s="407"/>
      <c r="D486" s="407"/>
      <c r="E486" s="407"/>
      <c r="F486" s="407"/>
      <c r="G486" s="408"/>
      <c r="H486" s="409">
        <v>1</v>
      </c>
      <c r="I486" s="410"/>
      <c r="J486" s="376" t="s">
        <v>150</v>
      </c>
      <c r="K486" s="411"/>
      <c r="L486" s="439">
        <v>580</v>
      </c>
      <c r="M486" s="440"/>
      <c r="N486" s="414">
        <f t="shared" si="106"/>
        <v>667</v>
      </c>
    </row>
    <row r="487" spans="1:14" s="351" customFormat="1" ht="32.25" customHeight="1" x14ac:dyDescent="0.25">
      <c r="A487" s="405">
        <f t="shared" si="107"/>
        <v>3.0699999999999985</v>
      </c>
      <c r="B487" s="406" t="s">
        <v>1654</v>
      </c>
      <c r="C487" s="407"/>
      <c r="D487" s="407"/>
      <c r="E487" s="407"/>
      <c r="F487" s="407"/>
      <c r="G487" s="408"/>
      <c r="H487" s="409">
        <v>1</v>
      </c>
      <c r="I487" s="410"/>
      <c r="J487" s="376" t="s">
        <v>150</v>
      </c>
      <c r="K487" s="411"/>
      <c r="L487" s="439">
        <v>665</v>
      </c>
      <c r="M487" s="440"/>
      <c r="N487" s="414">
        <f t="shared" si="106"/>
        <v>764.75</v>
      </c>
    </row>
    <row r="488" spans="1:14" s="351" customFormat="1" ht="32.25" customHeight="1" x14ac:dyDescent="0.25">
      <c r="A488" s="419" t="s">
        <v>1670</v>
      </c>
      <c r="B488" s="420"/>
      <c r="C488" s="420"/>
      <c r="D488" s="420"/>
      <c r="E488" s="420"/>
      <c r="F488" s="420"/>
      <c r="G488" s="420"/>
      <c r="H488" s="420"/>
      <c r="I488" s="420"/>
      <c r="J488" s="420"/>
      <c r="K488" s="420"/>
      <c r="L488" s="420"/>
      <c r="M488" s="421"/>
      <c r="N488" s="418"/>
    </row>
    <row r="489" spans="1:14" s="351" customFormat="1" ht="32.25" customHeight="1" x14ac:dyDescent="0.25">
      <c r="A489" s="405">
        <f>+A487+0.01</f>
        <v>3.0799999999999983</v>
      </c>
      <c r="B489" s="406" t="s">
        <v>1650</v>
      </c>
      <c r="C489" s="407"/>
      <c r="D489" s="407"/>
      <c r="E489" s="407"/>
      <c r="F489" s="407"/>
      <c r="G489" s="408"/>
      <c r="H489" s="409">
        <v>1</v>
      </c>
      <c r="I489" s="410"/>
      <c r="J489" s="376" t="s">
        <v>150</v>
      </c>
      <c r="K489" s="411"/>
      <c r="L489" s="439">
        <v>385</v>
      </c>
      <c r="M489" s="440"/>
      <c r="N489" s="414">
        <f t="shared" ref="N489:N495" si="108">+(L489)*$N$373+L489</f>
        <v>442.75</v>
      </c>
    </row>
    <row r="490" spans="1:14" s="351" customFormat="1" ht="32.25" customHeight="1" x14ac:dyDescent="0.25">
      <c r="A490" s="405">
        <f>A489+0.01</f>
        <v>3.0899999999999981</v>
      </c>
      <c r="B490" s="406" t="s">
        <v>1668</v>
      </c>
      <c r="C490" s="407"/>
      <c r="D490" s="407"/>
      <c r="E490" s="407"/>
      <c r="F490" s="407"/>
      <c r="G490" s="408"/>
      <c r="H490" s="409">
        <v>1</v>
      </c>
      <c r="I490" s="410"/>
      <c r="J490" s="376" t="s">
        <v>150</v>
      </c>
      <c r="K490" s="411"/>
      <c r="L490" s="439">
        <v>390</v>
      </c>
      <c r="M490" s="440"/>
      <c r="N490" s="414">
        <f t="shared" si="108"/>
        <v>448.5</v>
      </c>
    </row>
    <row r="491" spans="1:14" s="351" customFormat="1" ht="32.25" customHeight="1" x14ac:dyDescent="0.25">
      <c r="A491" s="405">
        <f t="shared" ref="A491:A495" si="109">A490+0.01</f>
        <v>3.0999999999999979</v>
      </c>
      <c r="B491" s="406" t="s">
        <v>1651</v>
      </c>
      <c r="C491" s="407"/>
      <c r="D491" s="407"/>
      <c r="E491" s="407"/>
      <c r="F491" s="407"/>
      <c r="G491" s="408"/>
      <c r="H491" s="409">
        <v>1</v>
      </c>
      <c r="I491" s="410"/>
      <c r="J491" s="376" t="s">
        <v>150</v>
      </c>
      <c r="K491" s="411"/>
      <c r="L491" s="439">
        <v>400</v>
      </c>
      <c r="M491" s="440"/>
      <c r="N491" s="414">
        <f t="shared" si="108"/>
        <v>460</v>
      </c>
    </row>
    <row r="492" spans="1:14" s="351" customFormat="1" ht="32.25" customHeight="1" x14ac:dyDescent="0.25">
      <c r="A492" s="405">
        <f t="shared" si="109"/>
        <v>3.1099999999999977</v>
      </c>
      <c r="B492" s="499" t="s">
        <v>1669</v>
      </c>
      <c r="C492" s="450"/>
      <c r="D492" s="450"/>
      <c r="E492" s="450"/>
      <c r="F492" s="450"/>
      <c r="G492" s="500"/>
      <c r="H492" s="409">
        <v>1</v>
      </c>
      <c r="I492" s="410"/>
      <c r="J492" s="376" t="s">
        <v>150</v>
      </c>
      <c r="K492" s="411"/>
      <c r="L492" s="439">
        <v>425</v>
      </c>
      <c r="M492" s="440"/>
      <c r="N492" s="414">
        <f t="shared" si="108"/>
        <v>488.75</v>
      </c>
    </row>
    <row r="493" spans="1:14" s="351" customFormat="1" ht="32.25" customHeight="1" x14ac:dyDescent="0.25">
      <c r="A493" s="405">
        <f t="shared" si="109"/>
        <v>3.1199999999999974</v>
      </c>
      <c r="B493" s="499" t="s">
        <v>1652</v>
      </c>
      <c r="C493" s="450"/>
      <c r="D493" s="450"/>
      <c r="E493" s="450"/>
      <c r="F493" s="450"/>
      <c r="G493" s="500"/>
      <c r="H493" s="409">
        <v>1</v>
      </c>
      <c r="I493" s="410"/>
      <c r="J493" s="376" t="s">
        <v>150</v>
      </c>
      <c r="K493" s="411"/>
      <c r="L493" s="439">
        <v>430</v>
      </c>
      <c r="M493" s="440"/>
      <c r="N493" s="414">
        <f t="shared" si="108"/>
        <v>494.5</v>
      </c>
    </row>
    <row r="494" spans="1:14" s="351" customFormat="1" ht="32.25" customHeight="1" x14ac:dyDescent="0.25">
      <c r="A494" s="405">
        <f t="shared" si="109"/>
        <v>3.1299999999999972</v>
      </c>
      <c r="B494" s="499" t="s">
        <v>1671</v>
      </c>
      <c r="C494" s="450"/>
      <c r="D494" s="450"/>
      <c r="E494" s="450"/>
      <c r="F494" s="450"/>
      <c r="G494" s="500"/>
      <c r="H494" s="409">
        <v>1</v>
      </c>
      <c r="I494" s="410"/>
      <c r="J494" s="376" t="s">
        <v>150</v>
      </c>
      <c r="K494" s="411"/>
      <c r="L494" s="439">
        <v>495</v>
      </c>
      <c r="M494" s="440"/>
      <c r="N494" s="414">
        <f t="shared" si="108"/>
        <v>569.25</v>
      </c>
    </row>
    <row r="495" spans="1:14" s="351" customFormat="1" ht="32.25" customHeight="1" x14ac:dyDescent="0.25">
      <c r="A495" s="405">
        <f t="shared" si="109"/>
        <v>3.139999999999997</v>
      </c>
      <c r="B495" s="499" t="s">
        <v>1672</v>
      </c>
      <c r="C495" s="450"/>
      <c r="D495" s="450"/>
      <c r="E495" s="450"/>
      <c r="F495" s="450"/>
      <c r="G495" s="500"/>
      <c r="H495" s="409">
        <v>1</v>
      </c>
      <c r="I495" s="410"/>
      <c r="J495" s="376" t="s">
        <v>150</v>
      </c>
      <c r="K495" s="411"/>
      <c r="L495" s="439">
        <v>895</v>
      </c>
      <c r="M495" s="440"/>
      <c r="N495" s="414">
        <f t="shared" si="108"/>
        <v>1029.25</v>
      </c>
    </row>
    <row r="496" spans="1:14" s="351" customFormat="1" ht="32.25" customHeight="1" x14ac:dyDescent="0.25">
      <c r="A496" s="419" t="s">
        <v>1673</v>
      </c>
      <c r="B496" s="420"/>
      <c r="C496" s="420"/>
      <c r="D496" s="420"/>
      <c r="E496" s="420"/>
      <c r="F496" s="420"/>
      <c r="G496" s="420"/>
      <c r="H496" s="420"/>
      <c r="I496" s="420"/>
      <c r="J496" s="420"/>
      <c r="K496" s="420"/>
      <c r="L496" s="420"/>
      <c r="M496" s="421"/>
      <c r="N496" s="418"/>
    </row>
    <row r="497" spans="1:14" s="351" customFormat="1" ht="32.25" customHeight="1" x14ac:dyDescent="0.25">
      <c r="A497" s="405">
        <v>3.15</v>
      </c>
      <c r="B497" s="406" t="s">
        <v>1674</v>
      </c>
      <c r="C497" s="407"/>
      <c r="D497" s="407"/>
      <c r="E497" s="407"/>
      <c r="F497" s="407"/>
      <c r="G497" s="408"/>
      <c r="H497" s="409">
        <v>1</v>
      </c>
      <c r="I497" s="410"/>
      <c r="J497" s="376" t="s">
        <v>150</v>
      </c>
      <c r="K497" s="411"/>
      <c r="L497" s="431">
        <v>740</v>
      </c>
      <c r="M497" s="432"/>
      <c r="N497" s="414">
        <f t="shared" ref="N497" si="110">+(L497)*$N$373+L497</f>
        <v>851</v>
      </c>
    </row>
    <row r="498" spans="1:14" s="351" customFormat="1" ht="32.25" customHeight="1" x14ac:dyDescent="0.25">
      <c r="A498" s="419" t="s">
        <v>1675</v>
      </c>
      <c r="B498" s="420"/>
      <c r="C498" s="420"/>
      <c r="D498" s="420"/>
      <c r="E498" s="420"/>
      <c r="F498" s="420"/>
      <c r="G498" s="420"/>
      <c r="H498" s="420"/>
      <c r="I498" s="420"/>
      <c r="J498" s="420"/>
      <c r="K498" s="420"/>
      <c r="L498" s="420"/>
      <c r="M498" s="421"/>
      <c r="N498" s="418"/>
    </row>
    <row r="499" spans="1:14" s="351" customFormat="1" ht="32.25" customHeight="1" x14ac:dyDescent="0.25">
      <c r="A499" s="405">
        <v>3.15</v>
      </c>
      <c r="B499" s="406" t="s">
        <v>1676</v>
      </c>
      <c r="C499" s="407"/>
      <c r="D499" s="407"/>
      <c r="E499" s="407"/>
      <c r="F499" s="407"/>
      <c r="G499" s="408"/>
      <c r="H499" s="409">
        <v>1</v>
      </c>
      <c r="I499" s="410"/>
      <c r="J499" s="376" t="s">
        <v>150</v>
      </c>
      <c r="K499" s="411"/>
      <c r="L499" s="439">
        <v>820</v>
      </c>
      <c r="M499" s="440"/>
      <c r="N499" s="414">
        <f t="shared" ref="N499" si="111">+(L499)*$N$373+L499</f>
        <v>943</v>
      </c>
    </row>
    <row r="500" spans="1:14" s="351" customFormat="1" ht="32.25" customHeight="1" x14ac:dyDescent="0.25">
      <c r="A500" s="415"/>
      <c r="B500" s="416"/>
      <c r="C500" s="416"/>
      <c r="D500" s="416"/>
      <c r="E500" s="416"/>
      <c r="F500" s="416"/>
      <c r="G500" s="416"/>
      <c r="H500" s="416"/>
      <c r="I500" s="416"/>
      <c r="J500" s="416"/>
      <c r="K500" s="416"/>
      <c r="L500" s="416"/>
      <c r="M500" s="417"/>
      <c r="N500" s="418"/>
    </row>
    <row r="501" spans="1:14" s="351" customFormat="1" ht="32.25" customHeight="1" x14ac:dyDescent="0.25">
      <c r="A501" s="419" t="s">
        <v>1677</v>
      </c>
      <c r="B501" s="420"/>
      <c r="C501" s="420"/>
      <c r="D501" s="420"/>
      <c r="E501" s="420"/>
      <c r="F501" s="420"/>
      <c r="G501" s="420"/>
      <c r="H501" s="420"/>
      <c r="I501" s="420"/>
      <c r="J501" s="420"/>
      <c r="K501" s="420"/>
      <c r="L501" s="420"/>
      <c r="M501" s="421"/>
      <c r="N501" s="418"/>
    </row>
    <row r="502" spans="1:14" s="351" customFormat="1" ht="32.25" customHeight="1" x14ac:dyDescent="0.25">
      <c r="A502" s="419" t="s">
        <v>1678</v>
      </c>
      <c r="B502" s="420"/>
      <c r="C502" s="420"/>
      <c r="D502" s="420"/>
      <c r="E502" s="420"/>
      <c r="F502" s="420"/>
      <c r="G502" s="420"/>
      <c r="H502" s="420"/>
      <c r="I502" s="420"/>
      <c r="J502" s="420"/>
      <c r="K502" s="420"/>
      <c r="L502" s="420"/>
      <c r="M502" s="421"/>
      <c r="N502" s="418"/>
    </row>
    <row r="503" spans="1:14" s="351" customFormat="1" ht="32.25" customHeight="1" x14ac:dyDescent="0.25">
      <c r="A503" s="405">
        <v>4.01</v>
      </c>
      <c r="B503" s="406" t="s">
        <v>1679</v>
      </c>
      <c r="C503" s="407"/>
      <c r="D503" s="407"/>
      <c r="E503" s="407"/>
      <c r="F503" s="407"/>
      <c r="G503" s="408"/>
      <c r="H503" s="409">
        <v>1</v>
      </c>
      <c r="I503" s="410"/>
      <c r="J503" s="376" t="s">
        <v>1300</v>
      </c>
      <c r="K503" s="411"/>
      <c r="L503" s="439">
        <v>700</v>
      </c>
      <c r="M503" s="440"/>
      <c r="N503" s="414">
        <f t="shared" ref="N503:N506" si="112">+(L503)*$N$373+L503</f>
        <v>805</v>
      </c>
    </row>
    <row r="504" spans="1:14" s="351" customFormat="1" ht="32.25" customHeight="1" x14ac:dyDescent="0.25">
      <c r="A504" s="405">
        <f>A503+0.01</f>
        <v>4.0199999999999996</v>
      </c>
      <c r="B504" s="406" t="s">
        <v>1680</v>
      </c>
      <c r="C504" s="407"/>
      <c r="D504" s="407"/>
      <c r="E504" s="407"/>
      <c r="F504" s="407"/>
      <c r="G504" s="408"/>
      <c r="H504" s="409">
        <v>1</v>
      </c>
      <c r="I504" s="410"/>
      <c r="J504" s="376" t="s">
        <v>1300</v>
      </c>
      <c r="K504" s="411"/>
      <c r="L504" s="439">
        <v>750</v>
      </c>
      <c r="M504" s="440"/>
      <c r="N504" s="414">
        <f t="shared" si="112"/>
        <v>862.5</v>
      </c>
    </row>
    <row r="505" spans="1:14" s="351" customFormat="1" ht="32.25" customHeight="1" x14ac:dyDescent="0.25">
      <c r="A505" s="405">
        <f t="shared" ref="A505:A506" si="113">A504+0.01</f>
        <v>4.0299999999999994</v>
      </c>
      <c r="B505" s="406" t="s">
        <v>1681</v>
      </c>
      <c r="C505" s="407"/>
      <c r="D505" s="407"/>
      <c r="E505" s="407"/>
      <c r="F505" s="407"/>
      <c r="G505" s="408"/>
      <c r="H505" s="409">
        <v>1</v>
      </c>
      <c r="I505" s="410"/>
      <c r="J505" s="376" t="s">
        <v>1300</v>
      </c>
      <c r="K505" s="411"/>
      <c r="L505" s="439">
        <v>800</v>
      </c>
      <c r="M505" s="440"/>
      <c r="N505" s="414">
        <f t="shared" si="112"/>
        <v>920</v>
      </c>
    </row>
    <row r="506" spans="1:14" s="351" customFormat="1" ht="32.25" customHeight="1" x14ac:dyDescent="0.25">
      <c r="A506" s="405">
        <f t="shared" si="113"/>
        <v>4.0399999999999991</v>
      </c>
      <c r="B506" s="406" t="s">
        <v>1682</v>
      </c>
      <c r="C506" s="407"/>
      <c r="D506" s="407"/>
      <c r="E506" s="407"/>
      <c r="F506" s="407"/>
      <c r="G506" s="408"/>
      <c r="H506" s="409">
        <v>1</v>
      </c>
      <c r="I506" s="410"/>
      <c r="J506" s="376" t="s">
        <v>1300</v>
      </c>
      <c r="K506" s="411"/>
      <c r="L506" s="439">
        <v>850</v>
      </c>
      <c r="M506" s="440"/>
      <c r="N506" s="414">
        <f t="shared" si="112"/>
        <v>977.5</v>
      </c>
    </row>
    <row r="507" spans="1:14" s="351" customFormat="1" ht="32.25" customHeight="1" x14ac:dyDescent="0.25">
      <c r="A507" s="419" t="s">
        <v>1683</v>
      </c>
      <c r="B507" s="420"/>
      <c r="C507" s="420"/>
      <c r="D507" s="420"/>
      <c r="E507" s="420"/>
      <c r="F507" s="420"/>
      <c r="G507" s="420"/>
      <c r="H507" s="420"/>
      <c r="I507" s="420"/>
      <c r="J507" s="420"/>
      <c r="K507" s="420"/>
      <c r="L507" s="420"/>
      <c r="M507" s="421"/>
      <c r="N507" s="418"/>
    </row>
    <row r="508" spans="1:14" s="351" customFormat="1" ht="32.25" customHeight="1" x14ac:dyDescent="0.25">
      <c r="A508" s="405">
        <f>+A506+0.01</f>
        <v>4.0499999999999989</v>
      </c>
      <c r="B508" s="406" t="s">
        <v>1684</v>
      </c>
      <c r="C508" s="407"/>
      <c r="D508" s="407"/>
      <c r="E508" s="407"/>
      <c r="F508" s="407"/>
      <c r="G508" s="408"/>
      <c r="H508" s="409">
        <v>1</v>
      </c>
      <c r="I508" s="410"/>
      <c r="J508" s="376" t="s">
        <v>1300</v>
      </c>
      <c r="K508" s="411"/>
      <c r="L508" s="439">
        <v>1150</v>
      </c>
      <c r="M508" s="440"/>
      <c r="N508" s="414">
        <f t="shared" ref="N508:N509" si="114">+(L508)*$N$373+L508</f>
        <v>1322.5</v>
      </c>
    </row>
    <row r="509" spans="1:14" s="351" customFormat="1" ht="32.25" customHeight="1" x14ac:dyDescent="0.25">
      <c r="A509" s="405">
        <f>A508+0.01</f>
        <v>4.0599999999999987</v>
      </c>
      <c r="B509" s="406" t="s">
        <v>1685</v>
      </c>
      <c r="C509" s="407"/>
      <c r="D509" s="407"/>
      <c r="E509" s="407"/>
      <c r="F509" s="407"/>
      <c r="G509" s="408"/>
      <c r="H509" s="409">
        <v>1</v>
      </c>
      <c r="I509" s="410"/>
      <c r="J509" s="376" t="s">
        <v>1300</v>
      </c>
      <c r="K509" s="411"/>
      <c r="L509" s="439">
        <v>1250</v>
      </c>
      <c r="M509" s="440"/>
      <c r="N509" s="414">
        <f t="shared" si="114"/>
        <v>1437.5</v>
      </c>
    </row>
    <row r="510" spans="1:14" s="351" customFormat="1" ht="32.25" customHeight="1" x14ac:dyDescent="0.25">
      <c r="A510" s="415"/>
      <c r="B510" s="416"/>
      <c r="C510" s="416"/>
      <c r="D510" s="416"/>
      <c r="E510" s="416"/>
      <c r="F510" s="416"/>
      <c r="G510" s="416"/>
      <c r="H510" s="416"/>
      <c r="I510" s="416"/>
      <c r="J510" s="416"/>
      <c r="K510" s="416"/>
      <c r="L510" s="416"/>
      <c r="M510" s="417"/>
      <c r="N510" s="418"/>
    </row>
    <row r="511" spans="1:14" s="351" customFormat="1" ht="32.25" customHeight="1" x14ac:dyDescent="0.25">
      <c r="A511" s="419" t="s">
        <v>1686</v>
      </c>
      <c r="B511" s="420"/>
      <c r="C511" s="420"/>
      <c r="D511" s="420"/>
      <c r="E511" s="420"/>
      <c r="F511" s="420"/>
      <c r="G511" s="420"/>
      <c r="H511" s="420"/>
      <c r="I511" s="420"/>
      <c r="J511" s="420"/>
      <c r="K511" s="420"/>
      <c r="L511" s="420"/>
      <c r="M511" s="421"/>
      <c r="N511" s="418"/>
    </row>
    <row r="512" spans="1:14" s="351" customFormat="1" ht="32.25" customHeight="1" x14ac:dyDescent="0.25">
      <c r="A512" s="405">
        <v>5.01</v>
      </c>
      <c r="B512" s="406" t="s">
        <v>1687</v>
      </c>
      <c r="C512" s="407"/>
      <c r="D512" s="407"/>
      <c r="E512" s="407"/>
      <c r="F512" s="407"/>
      <c r="G512" s="408"/>
      <c r="H512" s="409">
        <v>1</v>
      </c>
      <c r="I512" s="410"/>
      <c r="J512" s="376" t="s">
        <v>1300</v>
      </c>
      <c r="K512" s="411"/>
      <c r="L512" s="439">
        <v>135</v>
      </c>
      <c r="M512" s="440"/>
      <c r="N512" s="414">
        <f t="shared" ref="N512:N519" si="115">+(L512)*$N$373+L512</f>
        <v>155.25</v>
      </c>
    </row>
    <row r="513" spans="1:14" s="351" customFormat="1" ht="32.25" customHeight="1" x14ac:dyDescent="0.25">
      <c r="A513" s="405">
        <f>A512+0.01</f>
        <v>5.0199999999999996</v>
      </c>
      <c r="B513" s="406" t="s">
        <v>1688</v>
      </c>
      <c r="C513" s="407"/>
      <c r="D513" s="407"/>
      <c r="E513" s="407"/>
      <c r="F513" s="407"/>
      <c r="G513" s="408"/>
      <c r="H513" s="409">
        <v>1</v>
      </c>
      <c r="I513" s="410"/>
      <c r="J513" s="376" t="s">
        <v>79</v>
      </c>
      <c r="K513" s="411"/>
      <c r="L513" s="439">
        <v>2150</v>
      </c>
      <c r="M513" s="440"/>
      <c r="N513" s="414">
        <f t="shared" si="115"/>
        <v>2472.5</v>
      </c>
    </row>
    <row r="514" spans="1:14" s="351" customFormat="1" ht="32.25" customHeight="1" x14ac:dyDescent="0.25">
      <c r="A514" s="405">
        <f t="shared" ref="A514:A519" si="116">A513+0.01</f>
        <v>5.0299999999999994</v>
      </c>
      <c r="B514" s="406" t="s">
        <v>1689</v>
      </c>
      <c r="C514" s="407"/>
      <c r="D514" s="407"/>
      <c r="E514" s="407"/>
      <c r="F514" s="407"/>
      <c r="G514" s="408"/>
      <c r="H514" s="409">
        <v>1</v>
      </c>
      <c r="I514" s="410"/>
      <c r="J514" s="376" t="s">
        <v>79</v>
      </c>
      <c r="K514" s="411"/>
      <c r="L514" s="439">
        <v>3800</v>
      </c>
      <c r="M514" s="440"/>
      <c r="N514" s="414">
        <f t="shared" si="115"/>
        <v>4370</v>
      </c>
    </row>
    <row r="515" spans="1:14" s="351" customFormat="1" ht="32.25" customHeight="1" x14ac:dyDescent="0.25">
      <c r="A515" s="405">
        <f t="shared" si="116"/>
        <v>5.0399999999999991</v>
      </c>
      <c r="B515" s="406" t="s">
        <v>1690</v>
      </c>
      <c r="C515" s="407"/>
      <c r="D515" s="407"/>
      <c r="E515" s="407"/>
      <c r="F515" s="407"/>
      <c r="G515" s="408"/>
      <c r="H515" s="409">
        <v>1</v>
      </c>
      <c r="I515" s="410"/>
      <c r="J515" s="376" t="s">
        <v>79</v>
      </c>
      <c r="K515" s="411"/>
      <c r="L515" s="439">
        <v>2200</v>
      </c>
      <c r="M515" s="440"/>
      <c r="N515" s="414">
        <f t="shared" si="115"/>
        <v>2530</v>
      </c>
    </row>
    <row r="516" spans="1:14" s="351" customFormat="1" ht="32.25" customHeight="1" x14ac:dyDescent="0.25">
      <c r="A516" s="405">
        <f t="shared" si="116"/>
        <v>5.0499999999999989</v>
      </c>
      <c r="B516" s="406" t="s">
        <v>1691</v>
      </c>
      <c r="C516" s="407"/>
      <c r="D516" s="407"/>
      <c r="E516" s="407"/>
      <c r="F516" s="407"/>
      <c r="G516" s="408"/>
      <c r="H516" s="409">
        <v>1</v>
      </c>
      <c r="I516" s="410"/>
      <c r="J516" s="376" t="s">
        <v>79</v>
      </c>
      <c r="K516" s="411"/>
      <c r="L516" s="439">
        <v>4000</v>
      </c>
      <c r="M516" s="440"/>
      <c r="N516" s="414">
        <f t="shared" si="115"/>
        <v>4600</v>
      </c>
    </row>
    <row r="517" spans="1:14" s="351" customFormat="1" ht="32.25" customHeight="1" x14ac:dyDescent="0.25">
      <c r="A517" s="405">
        <f t="shared" si="116"/>
        <v>5.0599999999999987</v>
      </c>
      <c r="B517" s="406" t="s">
        <v>1692</v>
      </c>
      <c r="C517" s="407"/>
      <c r="D517" s="407"/>
      <c r="E517" s="407"/>
      <c r="F517" s="407"/>
      <c r="G517" s="408"/>
      <c r="H517" s="409">
        <v>1</v>
      </c>
      <c r="I517" s="410"/>
      <c r="J517" s="376" t="s">
        <v>79</v>
      </c>
      <c r="K517" s="411"/>
      <c r="L517" s="439">
        <v>6200</v>
      </c>
      <c r="M517" s="440"/>
      <c r="N517" s="414">
        <f t="shared" si="115"/>
        <v>7130</v>
      </c>
    </row>
    <row r="518" spans="1:14" s="351" customFormat="1" ht="32.25" customHeight="1" x14ac:dyDescent="0.25">
      <c r="A518" s="405">
        <f t="shared" si="116"/>
        <v>5.0699999999999985</v>
      </c>
      <c r="B518" s="406" t="s">
        <v>1693</v>
      </c>
      <c r="C518" s="407"/>
      <c r="D518" s="407"/>
      <c r="E518" s="407"/>
      <c r="F518" s="407"/>
      <c r="G518" s="408"/>
      <c r="H518" s="409">
        <v>1</v>
      </c>
      <c r="I518" s="410"/>
      <c r="J518" s="376" t="s">
        <v>1300</v>
      </c>
      <c r="K518" s="411"/>
      <c r="L518" s="439">
        <v>210</v>
      </c>
      <c r="M518" s="440"/>
      <c r="N518" s="414">
        <f t="shared" si="115"/>
        <v>241.5</v>
      </c>
    </row>
    <row r="519" spans="1:14" s="351" customFormat="1" ht="32.25" customHeight="1" x14ac:dyDescent="0.25">
      <c r="A519" s="405">
        <f t="shared" si="116"/>
        <v>5.0799999999999983</v>
      </c>
      <c r="B519" s="406" t="s">
        <v>1694</v>
      </c>
      <c r="C519" s="407"/>
      <c r="D519" s="407"/>
      <c r="E519" s="407"/>
      <c r="F519" s="407"/>
      <c r="G519" s="408"/>
      <c r="H519" s="409">
        <v>1</v>
      </c>
      <c r="I519" s="410"/>
      <c r="J519" s="376" t="s">
        <v>1300</v>
      </c>
      <c r="K519" s="411"/>
      <c r="L519" s="439">
        <v>220</v>
      </c>
      <c r="M519" s="440"/>
      <c r="N519" s="414">
        <f t="shared" si="115"/>
        <v>253</v>
      </c>
    </row>
    <row r="520" spans="1:14" s="351" customFormat="1" ht="32.25" customHeight="1" x14ac:dyDescent="0.25">
      <c r="A520" s="449"/>
      <c r="B520" s="450"/>
      <c r="C520" s="450"/>
      <c r="D520" s="450"/>
      <c r="E520" s="450"/>
      <c r="F520" s="450"/>
      <c r="G520" s="450"/>
      <c r="H520" s="451"/>
      <c r="I520" s="451"/>
      <c r="J520" s="384"/>
      <c r="K520" s="384"/>
      <c r="L520" s="451"/>
      <c r="M520" s="452"/>
      <c r="N520" s="418"/>
    </row>
    <row r="521" spans="1:14" s="351" customFormat="1" ht="32.25" customHeight="1" x14ac:dyDescent="0.25">
      <c r="A521" s="419" t="s">
        <v>1695</v>
      </c>
      <c r="B521" s="420"/>
      <c r="C521" s="420"/>
      <c r="D521" s="420"/>
      <c r="E521" s="420"/>
      <c r="F521" s="420"/>
      <c r="G521" s="420"/>
      <c r="H521" s="420"/>
      <c r="I521" s="420"/>
      <c r="J521" s="420"/>
      <c r="K521" s="420"/>
      <c r="L521" s="420"/>
      <c r="M521" s="421"/>
      <c r="N521" s="418"/>
    </row>
    <row r="522" spans="1:14" s="351" customFormat="1" ht="32.25" customHeight="1" x14ac:dyDescent="0.25">
      <c r="A522" s="405">
        <v>6.01</v>
      </c>
      <c r="B522" s="406" t="s">
        <v>1696</v>
      </c>
      <c r="C522" s="407"/>
      <c r="D522" s="407"/>
      <c r="E522" s="407"/>
      <c r="F522" s="407"/>
      <c r="G522" s="408"/>
      <c r="H522" s="409">
        <v>1</v>
      </c>
      <c r="I522" s="410"/>
      <c r="J522" s="376" t="s">
        <v>150</v>
      </c>
      <c r="K522" s="411"/>
      <c r="L522" s="439">
        <v>220</v>
      </c>
      <c r="M522" s="440"/>
      <c r="N522" s="414">
        <f t="shared" ref="N522:N525" si="117">+(L522)*$N$373+L522</f>
        <v>253</v>
      </c>
    </row>
    <row r="523" spans="1:14" s="351" customFormat="1" ht="32.25" customHeight="1" x14ac:dyDescent="0.25">
      <c r="A523" s="405">
        <f>A522+0.01</f>
        <v>6.02</v>
      </c>
      <c r="B523" s="406" t="s">
        <v>1697</v>
      </c>
      <c r="C523" s="407"/>
      <c r="D523" s="407"/>
      <c r="E523" s="407"/>
      <c r="F523" s="407"/>
      <c r="G523" s="408"/>
      <c r="H523" s="409">
        <v>1</v>
      </c>
      <c r="I523" s="410"/>
      <c r="J523" s="376" t="s">
        <v>150</v>
      </c>
      <c r="K523" s="411"/>
      <c r="L523" s="439">
        <v>240</v>
      </c>
      <c r="M523" s="440"/>
      <c r="N523" s="414">
        <f t="shared" si="117"/>
        <v>276</v>
      </c>
    </row>
    <row r="524" spans="1:14" s="351" customFormat="1" ht="32.25" customHeight="1" x14ac:dyDescent="0.25">
      <c r="A524" s="405">
        <f t="shared" ref="A524:A525" si="118">A523+0.01</f>
        <v>6.0299999999999994</v>
      </c>
      <c r="B524" s="406" t="s">
        <v>1698</v>
      </c>
      <c r="C524" s="407"/>
      <c r="D524" s="407"/>
      <c r="E524" s="407"/>
      <c r="F524" s="407"/>
      <c r="G524" s="408"/>
      <c r="H524" s="409">
        <v>1</v>
      </c>
      <c r="I524" s="410"/>
      <c r="J524" s="376" t="s">
        <v>150</v>
      </c>
      <c r="K524" s="411"/>
      <c r="L524" s="439">
        <v>185</v>
      </c>
      <c r="M524" s="440"/>
      <c r="N524" s="414">
        <f t="shared" si="117"/>
        <v>212.75</v>
      </c>
    </row>
    <row r="525" spans="1:14" s="351" customFormat="1" ht="32.25" customHeight="1" x14ac:dyDescent="0.25">
      <c r="A525" s="405">
        <f t="shared" si="118"/>
        <v>6.0399999999999991</v>
      </c>
      <c r="B525" s="406" t="s">
        <v>1699</v>
      </c>
      <c r="C525" s="407"/>
      <c r="D525" s="407"/>
      <c r="E525" s="407"/>
      <c r="F525" s="407"/>
      <c r="G525" s="408"/>
      <c r="H525" s="409">
        <v>1</v>
      </c>
      <c r="I525" s="410"/>
      <c r="J525" s="376" t="s">
        <v>150</v>
      </c>
      <c r="K525" s="411"/>
      <c r="L525" s="439">
        <v>195</v>
      </c>
      <c r="M525" s="440"/>
      <c r="N525" s="414">
        <f t="shared" si="117"/>
        <v>224.25</v>
      </c>
    </row>
    <row r="526" spans="1:14" s="351" customFormat="1" ht="32.25" customHeight="1" x14ac:dyDescent="0.25">
      <c r="A526" s="449"/>
      <c r="B526" s="450"/>
      <c r="C526" s="450"/>
      <c r="D526" s="450"/>
      <c r="E526" s="450"/>
      <c r="F526" s="450"/>
      <c r="G526" s="450"/>
      <c r="H526" s="451"/>
      <c r="I526" s="451"/>
      <c r="J526" s="384"/>
      <c r="K526" s="384"/>
      <c r="L526" s="451"/>
      <c r="M526" s="452"/>
      <c r="N526" s="418"/>
    </row>
    <row r="527" spans="1:14" s="351" customFormat="1" ht="32.25" customHeight="1" x14ac:dyDescent="0.25">
      <c r="A527" s="419" t="s">
        <v>1700</v>
      </c>
      <c r="B527" s="420"/>
      <c r="C527" s="420"/>
      <c r="D527" s="420"/>
      <c r="E527" s="420"/>
      <c r="F527" s="420"/>
      <c r="G527" s="420"/>
      <c r="H527" s="420"/>
      <c r="I527" s="420"/>
      <c r="J527" s="420"/>
      <c r="K527" s="420"/>
      <c r="L527" s="420"/>
      <c r="M527" s="421"/>
      <c r="N527" s="418"/>
    </row>
    <row r="528" spans="1:14" s="351" customFormat="1" ht="32.25" customHeight="1" x14ac:dyDescent="0.25">
      <c r="A528" s="405">
        <v>7.01</v>
      </c>
      <c r="B528" s="406" t="s">
        <v>1701</v>
      </c>
      <c r="C528" s="407"/>
      <c r="D528" s="407"/>
      <c r="E528" s="407"/>
      <c r="F528" s="407"/>
      <c r="G528" s="408"/>
      <c r="H528" s="409">
        <v>1</v>
      </c>
      <c r="I528" s="410"/>
      <c r="J528" s="376" t="s">
        <v>150</v>
      </c>
      <c r="K528" s="411"/>
      <c r="L528" s="439">
        <v>270</v>
      </c>
      <c r="M528" s="440"/>
      <c r="N528" s="414">
        <f t="shared" ref="N528:N534" si="119">+(L528)*$N$373+L528</f>
        <v>310.5</v>
      </c>
    </row>
    <row r="529" spans="1:14" s="351" customFormat="1" ht="32.25" customHeight="1" x14ac:dyDescent="0.25">
      <c r="A529" s="405">
        <f>A528+0.01</f>
        <v>7.02</v>
      </c>
      <c r="B529" s="406" t="s">
        <v>1702</v>
      </c>
      <c r="C529" s="407"/>
      <c r="D529" s="407"/>
      <c r="E529" s="407"/>
      <c r="F529" s="407"/>
      <c r="G529" s="408"/>
      <c r="H529" s="409">
        <v>1</v>
      </c>
      <c r="I529" s="410"/>
      <c r="J529" s="376" t="s">
        <v>79</v>
      </c>
      <c r="K529" s="411"/>
      <c r="L529" s="439">
        <v>3500</v>
      </c>
      <c r="M529" s="440"/>
      <c r="N529" s="414">
        <f t="shared" si="119"/>
        <v>4025</v>
      </c>
    </row>
    <row r="530" spans="1:14" s="351" customFormat="1" ht="32.25" customHeight="1" x14ac:dyDescent="0.25">
      <c r="A530" s="405">
        <f t="shared" ref="A530:A534" si="120">A529+0.01</f>
        <v>7.0299999999999994</v>
      </c>
      <c r="B530" s="406" t="s">
        <v>1703</v>
      </c>
      <c r="C530" s="407"/>
      <c r="D530" s="407"/>
      <c r="E530" s="407"/>
      <c r="F530" s="407"/>
      <c r="G530" s="408"/>
      <c r="H530" s="409">
        <v>1</v>
      </c>
      <c r="I530" s="410"/>
      <c r="J530" s="376" t="s">
        <v>150</v>
      </c>
      <c r="K530" s="411"/>
      <c r="L530" s="439">
        <v>180</v>
      </c>
      <c r="M530" s="440"/>
      <c r="N530" s="414">
        <f t="shared" si="119"/>
        <v>207</v>
      </c>
    </row>
    <row r="531" spans="1:14" s="351" customFormat="1" ht="32.25" customHeight="1" x14ac:dyDescent="0.25">
      <c r="A531" s="405">
        <f t="shared" si="120"/>
        <v>7.0399999999999991</v>
      </c>
      <c r="B531" s="406" t="s">
        <v>1704</v>
      </c>
      <c r="C531" s="407"/>
      <c r="D531" s="407"/>
      <c r="E531" s="407"/>
      <c r="F531" s="407"/>
      <c r="G531" s="408"/>
      <c r="H531" s="409">
        <v>1</v>
      </c>
      <c r="I531" s="410"/>
      <c r="J531" s="376" t="s">
        <v>54</v>
      </c>
      <c r="K531" s="411"/>
      <c r="L531" s="439">
        <v>80</v>
      </c>
      <c r="M531" s="440"/>
      <c r="N531" s="414">
        <f t="shared" si="119"/>
        <v>92</v>
      </c>
    </row>
    <row r="532" spans="1:14" s="351" customFormat="1" ht="32.25" customHeight="1" x14ac:dyDescent="0.25">
      <c r="A532" s="405">
        <f t="shared" si="120"/>
        <v>7.0499999999999989</v>
      </c>
      <c r="B532" s="406" t="s">
        <v>1705</v>
      </c>
      <c r="C532" s="407"/>
      <c r="D532" s="407"/>
      <c r="E532" s="407"/>
      <c r="F532" s="407"/>
      <c r="G532" s="408"/>
      <c r="H532" s="409">
        <v>1</v>
      </c>
      <c r="I532" s="410"/>
      <c r="J532" s="376" t="s">
        <v>79</v>
      </c>
      <c r="K532" s="411"/>
      <c r="L532" s="439">
        <v>200</v>
      </c>
      <c r="M532" s="440"/>
      <c r="N532" s="414">
        <f t="shared" si="119"/>
        <v>230</v>
      </c>
    </row>
    <row r="533" spans="1:14" s="351" customFormat="1" ht="32.25" customHeight="1" x14ac:dyDescent="0.25">
      <c r="A533" s="405">
        <f t="shared" si="120"/>
        <v>7.0599999999999987</v>
      </c>
      <c r="B533" s="406" t="s">
        <v>1706</v>
      </c>
      <c r="C533" s="407"/>
      <c r="D533" s="407"/>
      <c r="E533" s="407"/>
      <c r="F533" s="407"/>
      <c r="G533" s="408"/>
      <c r="H533" s="409">
        <v>1</v>
      </c>
      <c r="I533" s="410"/>
      <c r="J533" s="376" t="s">
        <v>79</v>
      </c>
      <c r="K533" s="411"/>
      <c r="L533" s="439">
        <v>10000</v>
      </c>
      <c r="M533" s="440"/>
      <c r="N533" s="414">
        <f t="shared" si="119"/>
        <v>11500</v>
      </c>
    </row>
    <row r="534" spans="1:14" s="351" customFormat="1" ht="32.25" customHeight="1" x14ac:dyDescent="0.25">
      <c r="A534" s="405">
        <f t="shared" si="120"/>
        <v>7.0699999999999985</v>
      </c>
      <c r="B534" s="406" t="s">
        <v>1707</v>
      </c>
      <c r="C534" s="407"/>
      <c r="D534" s="407"/>
      <c r="E534" s="407"/>
      <c r="F534" s="407"/>
      <c r="G534" s="408"/>
      <c r="H534" s="409">
        <v>1</v>
      </c>
      <c r="I534" s="410"/>
      <c r="J534" s="376" t="s">
        <v>79</v>
      </c>
      <c r="K534" s="411"/>
      <c r="L534" s="439">
        <v>13000</v>
      </c>
      <c r="M534" s="440"/>
      <c r="N534" s="414">
        <f t="shared" si="119"/>
        <v>14950</v>
      </c>
    </row>
    <row r="535" spans="1:14" s="351" customFormat="1" ht="32.25" customHeight="1" thickBot="1" x14ac:dyDescent="0.3">
      <c r="A535" s="353"/>
      <c r="L535" s="439">
        <v>25000</v>
      </c>
      <c r="M535" s="440"/>
      <c r="N535" s="435"/>
    </row>
    <row r="536" spans="1:14" s="351" customFormat="1" ht="32.25" customHeight="1" thickBot="1" x14ac:dyDescent="0.3">
      <c r="A536" s="395" t="s">
        <v>727</v>
      </c>
      <c r="B536" s="396"/>
      <c r="C536" s="396"/>
      <c r="D536" s="396"/>
      <c r="E536" s="396"/>
      <c r="F536" s="396"/>
      <c r="G536" s="396"/>
      <c r="H536" s="396"/>
      <c r="I536" s="396"/>
      <c r="J536" s="396"/>
      <c r="K536" s="396"/>
      <c r="L536" s="396"/>
      <c r="M536" s="397"/>
      <c r="N536" s="398">
        <v>0.15</v>
      </c>
    </row>
    <row r="537" spans="1:14" s="351" customFormat="1" ht="32.25" customHeight="1" thickBot="1" x14ac:dyDescent="0.3">
      <c r="A537" s="353"/>
      <c r="N537" s="435"/>
    </row>
    <row r="538" spans="1:14" s="351" customFormat="1" ht="32.25" customHeight="1" x14ac:dyDescent="0.25">
      <c r="A538" s="419" t="s">
        <v>1708</v>
      </c>
      <c r="B538" s="420"/>
      <c r="C538" s="420"/>
      <c r="D538" s="420"/>
      <c r="E538" s="420"/>
      <c r="F538" s="420"/>
      <c r="G538" s="420"/>
      <c r="H538" s="420"/>
      <c r="I538" s="420"/>
      <c r="J538" s="420"/>
      <c r="K538" s="420"/>
      <c r="L538" s="420"/>
      <c r="M538" s="421"/>
      <c r="N538" s="404"/>
    </row>
    <row r="539" spans="1:14" s="351" customFormat="1" ht="32.25" customHeight="1" x14ac:dyDescent="0.25">
      <c r="A539" s="419" t="s">
        <v>1709</v>
      </c>
      <c r="B539" s="420"/>
      <c r="C539" s="420"/>
      <c r="D539" s="420"/>
      <c r="E539" s="420"/>
      <c r="F539" s="420"/>
      <c r="G539" s="420"/>
      <c r="H539" s="420"/>
      <c r="I539" s="420"/>
      <c r="J539" s="420"/>
      <c r="K539" s="420"/>
      <c r="L539" s="420"/>
      <c r="M539" s="421"/>
      <c r="N539" s="418"/>
    </row>
    <row r="540" spans="1:14" s="351" customFormat="1" ht="32.25" customHeight="1" x14ac:dyDescent="0.25">
      <c r="A540" s="405">
        <v>1.1000000000000001</v>
      </c>
      <c r="B540" s="406" t="s">
        <v>1710</v>
      </c>
      <c r="C540" s="407"/>
      <c r="D540" s="407"/>
      <c r="E540" s="407"/>
      <c r="F540" s="407"/>
      <c r="G540" s="408"/>
      <c r="H540" s="409">
        <v>1</v>
      </c>
      <c r="I540" s="410"/>
      <c r="J540" s="376" t="s">
        <v>1300</v>
      </c>
      <c r="K540" s="411"/>
      <c r="L540" s="439">
        <v>2600</v>
      </c>
      <c r="M540" s="440"/>
      <c r="N540" s="414">
        <f t="shared" ref="N540:N546" si="121">+(L540)*$N$373+L540</f>
        <v>2990</v>
      </c>
    </row>
    <row r="541" spans="1:14" s="351" customFormat="1" ht="32.25" customHeight="1" x14ac:dyDescent="0.25">
      <c r="A541" s="405">
        <f>A540+0.1</f>
        <v>1.2000000000000002</v>
      </c>
      <c r="B541" s="406" t="s">
        <v>1711</v>
      </c>
      <c r="C541" s="407"/>
      <c r="D541" s="407"/>
      <c r="E541" s="407"/>
      <c r="F541" s="407"/>
      <c r="G541" s="408"/>
      <c r="H541" s="409">
        <v>1</v>
      </c>
      <c r="I541" s="410"/>
      <c r="J541" s="376" t="s">
        <v>1300</v>
      </c>
      <c r="K541" s="411"/>
      <c r="L541" s="439">
        <v>2800</v>
      </c>
      <c r="M541" s="440"/>
      <c r="N541" s="414">
        <f t="shared" si="121"/>
        <v>3220</v>
      </c>
    </row>
    <row r="542" spans="1:14" s="351" customFormat="1" ht="32.25" customHeight="1" x14ac:dyDescent="0.25">
      <c r="A542" s="405">
        <f t="shared" ref="A542" si="122">A541+0.1</f>
        <v>1.3000000000000003</v>
      </c>
      <c r="B542" s="406" t="s">
        <v>1712</v>
      </c>
      <c r="C542" s="407"/>
      <c r="D542" s="407"/>
      <c r="E542" s="407"/>
      <c r="F542" s="407"/>
      <c r="G542" s="408"/>
      <c r="H542" s="409">
        <v>1</v>
      </c>
      <c r="I542" s="410"/>
      <c r="J542" s="376" t="s">
        <v>1300</v>
      </c>
      <c r="K542" s="411"/>
      <c r="L542" s="439">
        <v>3100</v>
      </c>
      <c r="M542" s="440"/>
      <c r="N542" s="414">
        <f t="shared" si="121"/>
        <v>3565</v>
      </c>
    </row>
    <row r="543" spans="1:14" s="351" customFormat="1" ht="32.25" customHeight="1" x14ac:dyDescent="0.25">
      <c r="A543" s="405">
        <f>A542+0.1</f>
        <v>1.4000000000000004</v>
      </c>
      <c r="B543" s="406" t="s">
        <v>1713</v>
      </c>
      <c r="C543" s="407"/>
      <c r="D543" s="407"/>
      <c r="E543" s="407"/>
      <c r="F543" s="407"/>
      <c r="G543" s="408"/>
      <c r="H543" s="409">
        <v>1</v>
      </c>
      <c r="I543" s="410"/>
      <c r="J543" s="376" t="s">
        <v>150</v>
      </c>
      <c r="K543" s="411"/>
      <c r="L543" s="439">
        <v>1400</v>
      </c>
      <c r="M543" s="440"/>
      <c r="N543" s="414">
        <f t="shared" si="121"/>
        <v>1610</v>
      </c>
    </row>
    <row r="544" spans="1:14" s="351" customFormat="1" ht="32.25" customHeight="1" x14ac:dyDescent="0.25">
      <c r="A544" s="405">
        <f>A543+0.1</f>
        <v>1.5000000000000004</v>
      </c>
      <c r="B544" s="406" t="s">
        <v>1714</v>
      </c>
      <c r="C544" s="407"/>
      <c r="D544" s="407"/>
      <c r="E544" s="407"/>
      <c r="F544" s="407"/>
      <c r="G544" s="408"/>
      <c r="H544" s="409">
        <v>1</v>
      </c>
      <c r="I544" s="410"/>
      <c r="J544" s="376" t="s">
        <v>150</v>
      </c>
      <c r="K544" s="411"/>
      <c r="L544" s="439">
        <v>1200</v>
      </c>
      <c r="M544" s="440"/>
      <c r="N544" s="414">
        <f t="shared" si="121"/>
        <v>1380</v>
      </c>
    </row>
    <row r="545" spans="1:14" s="351" customFormat="1" ht="32.25" customHeight="1" x14ac:dyDescent="0.25">
      <c r="A545" s="405">
        <f t="shared" ref="A545:A546" si="123">A544+0.1</f>
        <v>1.6000000000000005</v>
      </c>
      <c r="B545" s="406" t="s">
        <v>734</v>
      </c>
      <c r="C545" s="407"/>
      <c r="D545" s="407"/>
      <c r="E545" s="407"/>
      <c r="F545" s="407"/>
      <c r="G545" s="408"/>
      <c r="H545" s="409">
        <v>1</v>
      </c>
      <c r="I545" s="410"/>
      <c r="J545" s="376" t="s">
        <v>150</v>
      </c>
      <c r="K545" s="411"/>
      <c r="L545" s="439">
        <v>250</v>
      </c>
      <c r="M545" s="440"/>
      <c r="N545" s="414">
        <f t="shared" si="121"/>
        <v>287.5</v>
      </c>
    </row>
    <row r="546" spans="1:14" s="351" customFormat="1" ht="32.25" customHeight="1" x14ac:dyDescent="0.25">
      <c r="A546" s="405">
        <f t="shared" si="123"/>
        <v>1.7000000000000006</v>
      </c>
      <c r="B546" s="406" t="s">
        <v>1715</v>
      </c>
      <c r="C546" s="407"/>
      <c r="D546" s="407"/>
      <c r="E546" s="407"/>
      <c r="F546" s="407"/>
      <c r="G546" s="408"/>
      <c r="H546" s="409">
        <v>1</v>
      </c>
      <c r="I546" s="410"/>
      <c r="J546" s="376" t="s">
        <v>150</v>
      </c>
      <c r="K546" s="411"/>
      <c r="L546" s="439">
        <v>1200</v>
      </c>
      <c r="M546" s="440"/>
      <c r="N546" s="414">
        <f t="shared" si="121"/>
        <v>1380</v>
      </c>
    </row>
    <row r="547" spans="1:14" s="351" customFormat="1" ht="32.25" customHeight="1" x14ac:dyDescent="0.25">
      <c r="A547" s="419" t="s">
        <v>1021</v>
      </c>
      <c r="B547" s="420"/>
      <c r="C547" s="420"/>
      <c r="D547" s="420"/>
      <c r="E547" s="420"/>
      <c r="F547" s="420"/>
      <c r="G547" s="420"/>
      <c r="H547" s="420"/>
      <c r="I547" s="420"/>
      <c r="J547" s="420"/>
      <c r="K547" s="420"/>
      <c r="L547" s="420"/>
      <c r="M547" s="421"/>
      <c r="N547" s="418"/>
    </row>
    <row r="548" spans="1:14" s="351" customFormat="1" ht="32.25" customHeight="1" x14ac:dyDescent="0.25">
      <c r="A548" s="419" t="s">
        <v>1716</v>
      </c>
      <c r="B548" s="420"/>
      <c r="C548" s="420"/>
      <c r="D548" s="420"/>
      <c r="E548" s="420"/>
      <c r="F548" s="420"/>
      <c r="G548" s="420"/>
      <c r="H548" s="420"/>
      <c r="I548" s="420"/>
      <c r="J548" s="420"/>
      <c r="K548" s="420"/>
      <c r="L548" s="420"/>
      <c r="M548" s="421"/>
      <c r="N548" s="418"/>
    </row>
    <row r="549" spans="1:14" s="351" customFormat="1" ht="32.25" customHeight="1" x14ac:dyDescent="0.25">
      <c r="A549" s="405">
        <v>1.1000000000000001</v>
      </c>
      <c r="B549" s="406" t="s">
        <v>1717</v>
      </c>
      <c r="C549" s="407"/>
      <c r="D549" s="407"/>
      <c r="E549" s="407"/>
      <c r="F549" s="407"/>
      <c r="G549" s="408"/>
      <c r="H549" s="409">
        <v>1</v>
      </c>
      <c r="I549" s="410"/>
      <c r="J549" s="376" t="s">
        <v>1300</v>
      </c>
      <c r="K549" s="411"/>
      <c r="L549" s="439">
        <v>1100</v>
      </c>
      <c r="M549" s="440"/>
      <c r="N549" s="414">
        <f t="shared" ref="N549:N551" si="124">+(L549)*$N$373+L549</f>
        <v>1265</v>
      </c>
    </row>
    <row r="550" spans="1:14" s="351" customFormat="1" ht="32.25" customHeight="1" x14ac:dyDescent="0.25">
      <c r="A550" s="405">
        <f>A549+0.1</f>
        <v>1.2000000000000002</v>
      </c>
      <c r="B550" s="406" t="s">
        <v>1718</v>
      </c>
      <c r="C550" s="407"/>
      <c r="D550" s="407"/>
      <c r="E550" s="407"/>
      <c r="F550" s="407"/>
      <c r="G550" s="408"/>
      <c r="H550" s="409">
        <v>1</v>
      </c>
      <c r="I550" s="410"/>
      <c r="J550" s="376" t="s">
        <v>150</v>
      </c>
      <c r="K550" s="411"/>
      <c r="L550" s="439">
        <v>320</v>
      </c>
      <c r="M550" s="440"/>
      <c r="N550" s="414">
        <f t="shared" si="124"/>
        <v>368</v>
      </c>
    </row>
    <row r="551" spans="1:14" s="351" customFormat="1" ht="32.25" customHeight="1" x14ac:dyDescent="0.25">
      <c r="A551" s="405">
        <f t="shared" ref="A551" si="125">A550+0.1</f>
        <v>1.3000000000000003</v>
      </c>
      <c r="B551" s="406" t="s">
        <v>1719</v>
      </c>
      <c r="C551" s="407"/>
      <c r="D551" s="407"/>
      <c r="E551" s="407"/>
      <c r="F551" s="407"/>
      <c r="G551" s="408"/>
      <c r="H551" s="409">
        <v>1</v>
      </c>
      <c r="I551" s="410"/>
      <c r="J551" s="376" t="s">
        <v>150</v>
      </c>
      <c r="K551" s="411"/>
      <c r="L551" s="439">
        <v>160</v>
      </c>
      <c r="M551" s="440"/>
      <c r="N551" s="414">
        <f t="shared" si="124"/>
        <v>184</v>
      </c>
    </row>
    <row r="552" spans="1:14" s="351" customFormat="1" ht="32.25" customHeight="1" x14ac:dyDescent="0.25">
      <c r="A552" s="419" t="s">
        <v>1021</v>
      </c>
      <c r="B552" s="420"/>
      <c r="C552" s="420"/>
      <c r="D552" s="420"/>
      <c r="E552" s="420"/>
      <c r="F552" s="420"/>
      <c r="G552" s="420"/>
      <c r="H552" s="420"/>
      <c r="I552" s="420"/>
      <c r="J552" s="420"/>
      <c r="K552" s="420"/>
      <c r="L552" s="420"/>
      <c r="M552" s="421"/>
      <c r="N552" s="418"/>
    </row>
    <row r="553" spans="1:14" s="351" customFormat="1" ht="32.25" customHeight="1" x14ac:dyDescent="0.25">
      <c r="A553" s="419" t="s">
        <v>1720</v>
      </c>
      <c r="B553" s="420"/>
      <c r="C553" s="420"/>
      <c r="D553" s="420"/>
      <c r="E553" s="420"/>
      <c r="F553" s="420"/>
      <c r="G553" s="420"/>
      <c r="H553" s="420"/>
      <c r="I553" s="420"/>
      <c r="J553" s="420"/>
      <c r="K553" s="420"/>
      <c r="L553" s="420"/>
      <c r="M553" s="421"/>
      <c r="N553" s="418"/>
    </row>
    <row r="554" spans="1:14" s="351" customFormat="1" ht="32.25" customHeight="1" x14ac:dyDescent="0.25">
      <c r="A554" s="405">
        <v>1.1000000000000001</v>
      </c>
      <c r="B554" s="406" t="s">
        <v>1717</v>
      </c>
      <c r="C554" s="407"/>
      <c r="D554" s="407"/>
      <c r="E554" s="407"/>
      <c r="F554" s="407"/>
      <c r="G554" s="408"/>
      <c r="H554" s="409">
        <v>1</v>
      </c>
      <c r="I554" s="410"/>
      <c r="J554" s="376" t="s">
        <v>1300</v>
      </c>
      <c r="K554" s="411"/>
      <c r="L554" s="439">
        <v>685</v>
      </c>
      <c r="M554" s="440"/>
      <c r="N554" s="414">
        <f t="shared" ref="N554:N556" si="126">+(L554)*$N$373+L554</f>
        <v>787.75</v>
      </c>
    </row>
    <row r="555" spans="1:14" s="351" customFormat="1" ht="32.25" customHeight="1" x14ac:dyDescent="0.25">
      <c r="A555" s="405">
        <f>A554+0.1</f>
        <v>1.2000000000000002</v>
      </c>
      <c r="B555" s="406" t="s">
        <v>1718</v>
      </c>
      <c r="C555" s="407"/>
      <c r="D555" s="407"/>
      <c r="E555" s="407"/>
      <c r="F555" s="407"/>
      <c r="G555" s="408"/>
      <c r="H555" s="409">
        <v>1</v>
      </c>
      <c r="I555" s="410"/>
      <c r="J555" s="376" t="s">
        <v>150</v>
      </c>
      <c r="K555" s="411"/>
      <c r="L555" s="439">
        <v>215</v>
      </c>
      <c r="M555" s="440"/>
      <c r="N555" s="414">
        <f t="shared" si="126"/>
        <v>247.25</v>
      </c>
    </row>
    <row r="556" spans="1:14" s="351" customFormat="1" ht="32.25" customHeight="1" x14ac:dyDescent="0.25">
      <c r="A556" s="405">
        <f t="shared" ref="A556" si="127">A555+0.1</f>
        <v>1.3000000000000003</v>
      </c>
      <c r="B556" s="406" t="s">
        <v>1719</v>
      </c>
      <c r="C556" s="407"/>
      <c r="D556" s="407"/>
      <c r="E556" s="407"/>
      <c r="F556" s="407"/>
      <c r="G556" s="408"/>
      <c r="H556" s="409">
        <v>1</v>
      </c>
      <c r="I556" s="410"/>
      <c r="J556" s="376" t="s">
        <v>150</v>
      </c>
      <c r="K556" s="411"/>
      <c r="L556" s="439">
        <v>110</v>
      </c>
      <c r="M556" s="440"/>
      <c r="N556" s="414">
        <f t="shared" si="126"/>
        <v>126.5</v>
      </c>
    </row>
    <row r="557" spans="1:14" s="351" customFormat="1" ht="32.25" customHeight="1" thickBot="1" x14ac:dyDescent="0.3">
      <c r="A557" s="353"/>
      <c r="N557" s="435"/>
    </row>
    <row r="558" spans="1:14" s="351" customFormat="1" ht="32.25" customHeight="1" thickBot="1" x14ac:dyDescent="0.3">
      <c r="A558" s="395" t="s">
        <v>1721</v>
      </c>
      <c r="B558" s="396"/>
      <c r="C558" s="396"/>
      <c r="D558" s="396"/>
      <c r="E558" s="396"/>
      <c r="F558" s="396"/>
      <c r="G558" s="396"/>
      <c r="H558" s="396"/>
      <c r="I558" s="396"/>
      <c r="J558" s="396"/>
      <c r="K558" s="396"/>
      <c r="L558" s="396"/>
      <c r="M558" s="397"/>
      <c r="N558" s="398">
        <v>0.15</v>
      </c>
    </row>
    <row r="559" spans="1:14" s="351" customFormat="1" ht="32.25" customHeight="1" thickBot="1" x14ac:dyDescent="0.3">
      <c r="A559" s="353"/>
      <c r="N559" s="435"/>
    </row>
    <row r="560" spans="1:14" s="351" customFormat="1" ht="32.25" customHeight="1" x14ac:dyDescent="0.25">
      <c r="A560" s="419" t="s">
        <v>1722</v>
      </c>
      <c r="B560" s="420"/>
      <c r="C560" s="420"/>
      <c r="D560" s="420"/>
      <c r="E560" s="420"/>
      <c r="F560" s="420"/>
      <c r="G560" s="420"/>
      <c r="H560" s="420"/>
      <c r="I560" s="420"/>
      <c r="J560" s="420"/>
      <c r="K560" s="420"/>
      <c r="L560" s="420"/>
      <c r="M560" s="421"/>
      <c r="N560" s="404"/>
    </row>
    <row r="561" spans="1:14" s="351" customFormat="1" ht="32.25" customHeight="1" x14ac:dyDescent="0.25">
      <c r="A561" s="405">
        <v>1.01</v>
      </c>
      <c r="B561" s="406" t="s">
        <v>1723</v>
      </c>
      <c r="C561" s="407"/>
      <c r="D561" s="407"/>
      <c r="E561" s="407"/>
      <c r="F561" s="407"/>
      <c r="G561" s="408"/>
      <c r="H561" s="409">
        <v>1</v>
      </c>
      <c r="I561" s="410"/>
      <c r="J561" s="376" t="s">
        <v>1300</v>
      </c>
      <c r="K561" s="411"/>
      <c r="L561" s="439">
        <v>600</v>
      </c>
      <c r="M561" s="440"/>
      <c r="N561" s="414">
        <f t="shared" ref="N561:N568" si="128">+(L561)*$N$373+L561</f>
        <v>690</v>
      </c>
    </row>
    <row r="562" spans="1:14" s="351" customFormat="1" ht="32.25" customHeight="1" x14ac:dyDescent="0.25">
      <c r="A562" s="405">
        <f>A561+0.01</f>
        <v>1.02</v>
      </c>
      <c r="B562" s="406" t="s">
        <v>1724</v>
      </c>
      <c r="C562" s="407"/>
      <c r="D562" s="407"/>
      <c r="E562" s="407"/>
      <c r="F562" s="407"/>
      <c r="G562" s="408"/>
      <c r="H562" s="409">
        <v>1</v>
      </c>
      <c r="I562" s="410"/>
      <c r="J562" s="376" t="s">
        <v>1300</v>
      </c>
      <c r="K562" s="411"/>
      <c r="L562" s="439">
        <v>650</v>
      </c>
      <c r="M562" s="440"/>
      <c r="N562" s="414">
        <f t="shared" si="128"/>
        <v>747.5</v>
      </c>
    </row>
    <row r="563" spans="1:14" s="351" customFormat="1" ht="32.25" customHeight="1" x14ac:dyDescent="0.25">
      <c r="A563" s="405">
        <f t="shared" ref="A563:A568" si="129">A562+0.01</f>
        <v>1.03</v>
      </c>
      <c r="B563" s="406" t="s">
        <v>1725</v>
      </c>
      <c r="C563" s="407"/>
      <c r="D563" s="407"/>
      <c r="E563" s="407"/>
      <c r="F563" s="407"/>
      <c r="G563" s="408"/>
      <c r="H563" s="409">
        <v>1</v>
      </c>
      <c r="I563" s="410"/>
      <c r="J563" s="376" t="s">
        <v>150</v>
      </c>
      <c r="K563" s="411"/>
      <c r="L563" s="439">
        <v>385</v>
      </c>
      <c r="M563" s="440"/>
      <c r="N563" s="414">
        <f t="shared" si="128"/>
        <v>442.75</v>
      </c>
    </row>
    <row r="564" spans="1:14" s="351" customFormat="1" ht="32.25" customHeight="1" x14ac:dyDescent="0.25">
      <c r="A564" s="405">
        <f t="shared" si="129"/>
        <v>1.04</v>
      </c>
      <c r="B564" s="406" t="s">
        <v>1726</v>
      </c>
      <c r="C564" s="407"/>
      <c r="D564" s="407"/>
      <c r="E564" s="407"/>
      <c r="F564" s="407"/>
      <c r="G564" s="408"/>
      <c r="H564" s="409">
        <v>1</v>
      </c>
      <c r="I564" s="410"/>
      <c r="J564" s="376" t="s">
        <v>1300</v>
      </c>
      <c r="K564" s="411"/>
      <c r="L564" s="439">
        <v>500</v>
      </c>
      <c r="M564" s="440"/>
      <c r="N564" s="414">
        <f t="shared" si="128"/>
        <v>575</v>
      </c>
    </row>
    <row r="565" spans="1:14" s="351" customFormat="1" ht="32.25" customHeight="1" x14ac:dyDescent="0.25">
      <c r="A565" s="405">
        <f t="shared" si="129"/>
        <v>1.05</v>
      </c>
      <c r="B565" s="406" t="s">
        <v>1727</v>
      </c>
      <c r="C565" s="407"/>
      <c r="D565" s="407"/>
      <c r="E565" s="407"/>
      <c r="F565" s="407"/>
      <c r="G565" s="408"/>
      <c r="H565" s="409">
        <v>1</v>
      </c>
      <c r="I565" s="410"/>
      <c r="J565" s="376" t="s">
        <v>1300</v>
      </c>
      <c r="K565" s="411"/>
      <c r="L565" s="439">
        <v>700</v>
      </c>
      <c r="M565" s="440"/>
      <c r="N565" s="414">
        <f t="shared" si="128"/>
        <v>805</v>
      </c>
    </row>
    <row r="566" spans="1:14" s="351" customFormat="1" ht="32.25" customHeight="1" x14ac:dyDescent="0.25">
      <c r="A566" s="405">
        <f t="shared" si="129"/>
        <v>1.06</v>
      </c>
      <c r="B566" s="406" t="s">
        <v>1728</v>
      </c>
      <c r="C566" s="407"/>
      <c r="D566" s="407"/>
      <c r="E566" s="407"/>
      <c r="F566" s="407"/>
      <c r="G566" s="408"/>
      <c r="H566" s="409">
        <v>1</v>
      </c>
      <c r="I566" s="410"/>
      <c r="J566" s="376" t="s">
        <v>150</v>
      </c>
      <c r="K566" s="411"/>
      <c r="L566" s="439">
        <v>385</v>
      </c>
      <c r="M566" s="440"/>
      <c r="N566" s="414">
        <f t="shared" si="128"/>
        <v>442.75</v>
      </c>
    </row>
    <row r="567" spans="1:14" s="351" customFormat="1" ht="32.25" customHeight="1" x14ac:dyDescent="0.25">
      <c r="A567" s="405">
        <f t="shared" si="129"/>
        <v>1.07</v>
      </c>
      <c r="B567" s="406" t="s">
        <v>1729</v>
      </c>
      <c r="C567" s="407"/>
      <c r="D567" s="407"/>
      <c r="E567" s="407"/>
      <c r="F567" s="407"/>
      <c r="G567" s="408"/>
      <c r="H567" s="409">
        <v>1</v>
      </c>
      <c r="I567" s="410"/>
      <c r="J567" s="376" t="s">
        <v>150</v>
      </c>
      <c r="K567" s="411"/>
      <c r="L567" s="439">
        <v>490</v>
      </c>
      <c r="M567" s="440"/>
      <c r="N567" s="414">
        <f t="shared" si="128"/>
        <v>563.5</v>
      </c>
    </row>
    <row r="568" spans="1:14" s="351" customFormat="1" ht="32.25" customHeight="1" x14ac:dyDescent="0.25">
      <c r="A568" s="405">
        <f t="shared" si="129"/>
        <v>1.08</v>
      </c>
      <c r="B568" s="406" t="s">
        <v>1730</v>
      </c>
      <c r="C568" s="407"/>
      <c r="D568" s="407"/>
      <c r="E568" s="407"/>
      <c r="F568" s="407"/>
      <c r="G568" s="408"/>
      <c r="H568" s="409">
        <v>1</v>
      </c>
      <c r="I568" s="410"/>
      <c r="J568" s="376" t="s">
        <v>1300</v>
      </c>
      <c r="K568" s="411"/>
      <c r="L568" s="439">
        <v>900</v>
      </c>
      <c r="M568" s="440"/>
      <c r="N568" s="414">
        <f t="shared" si="128"/>
        <v>1035</v>
      </c>
    </row>
    <row r="569" spans="1:14" s="351" customFormat="1" ht="32.25" customHeight="1" x14ac:dyDescent="0.25">
      <c r="A569" s="449" t="s">
        <v>1731</v>
      </c>
      <c r="B569" s="407" t="s">
        <v>1732</v>
      </c>
      <c r="C569" s="407"/>
      <c r="D569" s="407"/>
      <c r="E569" s="407"/>
      <c r="F569" s="407"/>
      <c r="G569" s="407"/>
      <c r="H569" s="407"/>
      <c r="I569" s="407"/>
      <c r="J569" s="407"/>
      <c r="K569" s="407"/>
      <c r="L569" s="407"/>
      <c r="M569" s="501"/>
      <c r="N569" s="418"/>
    </row>
    <row r="570" spans="1:14" s="351" customFormat="1" ht="32.25" customHeight="1" x14ac:dyDescent="0.25">
      <c r="A570" s="415"/>
      <c r="B570" s="416"/>
      <c r="C570" s="416"/>
      <c r="D570" s="416"/>
      <c r="E570" s="416"/>
      <c r="F570" s="416"/>
      <c r="G570" s="416"/>
      <c r="H570" s="416"/>
      <c r="I570" s="416"/>
      <c r="J570" s="416"/>
      <c r="K570" s="416"/>
      <c r="L570" s="416"/>
      <c r="M570" s="417"/>
      <c r="N570" s="418"/>
    </row>
    <row r="571" spans="1:14" s="351" customFormat="1" ht="32.25" customHeight="1" x14ac:dyDescent="0.25">
      <c r="A571" s="419" t="s">
        <v>1733</v>
      </c>
      <c r="B571" s="420"/>
      <c r="C571" s="420"/>
      <c r="D571" s="420"/>
      <c r="E571" s="420"/>
      <c r="F571" s="420"/>
      <c r="G571" s="420"/>
      <c r="H571" s="420"/>
      <c r="I571" s="420"/>
      <c r="J571" s="420"/>
      <c r="K571" s="420"/>
      <c r="L571" s="420"/>
      <c r="M571" s="421"/>
      <c r="N571" s="418"/>
    </row>
    <row r="572" spans="1:14" s="351" customFormat="1" ht="32.25" customHeight="1" x14ac:dyDescent="0.25">
      <c r="A572" s="405">
        <v>2.0099999999999998</v>
      </c>
      <c r="B572" s="406" t="s">
        <v>1734</v>
      </c>
      <c r="C572" s="407"/>
      <c r="D572" s="407"/>
      <c r="E572" s="407"/>
      <c r="F572" s="407"/>
      <c r="G572" s="408"/>
      <c r="H572" s="409">
        <v>1</v>
      </c>
      <c r="I572" s="410"/>
      <c r="J572" s="376" t="s">
        <v>1300</v>
      </c>
      <c r="K572" s="411"/>
      <c r="L572" s="439">
        <v>550</v>
      </c>
      <c r="M572" s="440"/>
      <c r="N572" s="414">
        <f t="shared" ref="N572:N577" si="130">+(L572)*$N$373+L572</f>
        <v>632.5</v>
      </c>
    </row>
    <row r="573" spans="1:14" s="351" customFormat="1" ht="32.25" customHeight="1" x14ac:dyDescent="0.25">
      <c r="A573" s="405">
        <f>A572+0.01</f>
        <v>2.0199999999999996</v>
      </c>
      <c r="B573" s="406" t="s">
        <v>1735</v>
      </c>
      <c r="C573" s="407"/>
      <c r="D573" s="407"/>
      <c r="E573" s="407"/>
      <c r="F573" s="407"/>
      <c r="G573" s="408"/>
      <c r="H573" s="409">
        <v>1</v>
      </c>
      <c r="I573" s="410"/>
      <c r="J573" s="376" t="s">
        <v>150</v>
      </c>
      <c r="K573" s="411"/>
      <c r="L573" s="439">
        <v>315</v>
      </c>
      <c r="M573" s="440"/>
      <c r="N573" s="414">
        <f t="shared" si="130"/>
        <v>362.25</v>
      </c>
    </row>
    <row r="574" spans="1:14" s="351" customFormat="1" ht="32.25" customHeight="1" x14ac:dyDescent="0.25">
      <c r="A574" s="405">
        <f t="shared" ref="A574:A575" si="131">A573+0.01</f>
        <v>2.0299999999999994</v>
      </c>
      <c r="B574" s="406" t="s">
        <v>1736</v>
      </c>
      <c r="C574" s="407"/>
      <c r="D574" s="407"/>
      <c r="E574" s="407"/>
      <c r="F574" s="407"/>
      <c r="G574" s="408"/>
      <c r="H574" s="409">
        <v>1</v>
      </c>
      <c r="I574" s="410"/>
      <c r="J574" s="376" t="s">
        <v>1300</v>
      </c>
      <c r="K574" s="411"/>
      <c r="L574" s="439">
        <v>600</v>
      </c>
      <c r="M574" s="440"/>
      <c r="N574" s="414">
        <f t="shared" si="130"/>
        <v>690</v>
      </c>
    </row>
    <row r="575" spans="1:14" s="351" customFormat="1" ht="32.25" customHeight="1" x14ac:dyDescent="0.25">
      <c r="A575" s="405">
        <f t="shared" si="131"/>
        <v>2.0399999999999991</v>
      </c>
      <c r="B575" s="406" t="s">
        <v>1737</v>
      </c>
      <c r="C575" s="407"/>
      <c r="D575" s="407"/>
      <c r="E575" s="407"/>
      <c r="F575" s="407"/>
      <c r="G575" s="408"/>
      <c r="H575" s="409">
        <v>1</v>
      </c>
      <c r="I575" s="410"/>
      <c r="J575" s="376" t="s">
        <v>1300</v>
      </c>
      <c r="K575" s="411"/>
      <c r="L575" s="439">
        <v>440</v>
      </c>
      <c r="M575" s="440"/>
      <c r="N575" s="414">
        <f t="shared" si="130"/>
        <v>506</v>
      </c>
    </row>
    <row r="576" spans="1:14" s="351" customFormat="1" ht="32.25" customHeight="1" x14ac:dyDescent="0.25">
      <c r="A576" s="405">
        <f>A575+0.01</f>
        <v>2.0499999999999989</v>
      </c>
      <c r="B576" s="406" t="s">
        <v>1738</v>
      </c>
      <c r="C576" s="407"/>
      <c r="D576" s="407"/>
      <c r="E576" s="407"/>
      <c r="F576" s="407"/>
      <c r="G576" s="408"/>
      <c r="H576" s="409">
        <v>1</v>
      </c>
      <c r="I576" s="410"/>
      <c r="J576" s="376" t="s">
        <v>1300</v>
      </c>
      <c r="K576" s="411"/>
      <c r="L576" s="439">
        <v>500</v>
      </c>
      <c r="M576" s="440"/>
      <c r="N576" s="414">
        <f t="shared" si="130"/>
        <v>575</v>
      </c>
    </row>
    <row r="577" spans="1:14" s="351" customFormat="1" ht="32.25" customHeight="1" x14ac:dyDescent="0.25">
      <c r="A577" s="405">
        <f>A576+0.01</f>
        <v>2.0599999999999987</v>
      </c>
      <c r="B577" s="406" t="s">
        <v>1739</v>
      </c>
      <c r="C577" s="407"/>
      <c r="D577" s="407"/>
      <c r="E577" s="407"/>
      <c r="F577" s="407"/>
      <c r="G577" s="408"/>
      <c r="H577" s="409">
        <v>1</v>
      </c>
      <c r="I577" s="410"/>
      <c r="J577" s="376" t="s">
        <v>1300</v>
      </c>
      <c r="K577" s="411"/>
      <c r="L577" s="439">
        <v>650</v>
      </c>
      <c r="M577" s="440"/>
      <c r="N577" s="414">
        <f t="shared" si="130"/>
        <v>747.5</v>
      </c>
    </row>
    <row r="578" spans="1:14" s="351" customFormat="1" ht="32.25" customHeight="1" x14ac:dyDescent="0.25">
      <c r="A578" s="449" t="s">
        <v>1731</v>
      </c>
      <c r="B578" s="407" t="s">
        <v>1732</v>
      </c>
      <c r="C578" s="407"/>
      <c r="D578" s="407"/>
      <c r="E578" s="407"/>
      <c r="F578" s="407"/>
      <c r="G578" s="407"/>
      <c r="H578" s="407"/>
      <c r="I578" s="407"/>
      <c r="J578" s="407"/>
      <c r="K578" s="407"/>
      <c r="L578" s="407"/>
      <c r="M578" s="501"/>
      <c r="N578" s="418"/>
    </row>
    <row r="579" spans="1:14" s="351" customFormat="1" ht="32.25" customHeight="1" x14ac:dyDescent="0.25">
      <c r="A579" s="415"/>
      <c r="B579" s="416"/>
      <c r="C579" s="416"/>
      <c r="D579" s="416"/>
      <c r="E579" s="416"/>
      <c r="F579" s="416"/>
      <c r="G579" s="416"/>
      <c r="H579" s="416"/>
      <c r="I579" s="416"/>
      <c r="J579" s="416"/>
      <c r="K579" s="416"/>
      <c r="L579" s="416"/>
      <c r="M579" s="417"/>
      <c r="N579" s="418"/>
    </row>
    <row r="580" spans="1:14" s="351" customFormat="1" ht="32.25" customHeight="1" x14ac:dyDescent="0.25">
      <c r="A580" s="419" t="s">
        <v>1740</v>
      </c>
      <c r="B580" s="420"/>
      <c r="C580" s="420"/>
      <c r="D580" s="420"/>
      <c r="E580" s="420"/>
      <c r="F580" s="420"/>
      <c r="G580" s="420"/>
      <c r="H580" s="420"/>
      <c r="I580" s="420"/>
      <c r="J580" s="420"/>
      <c r="K580" s="420"/>
      <c r="L580" s="420"/>
      <c r="M580" s="421"/>
      <c r="N580" s="418"/>
    </row>
    <row r="581" spans="1:14" s="351" customFormat="1" ht="32.25" customHeight="1" x14ac:dyDescent="0.25">
      <c r="A581" s="405">
        <v>3.01</v>
      </c>
      <c r="B581" s="406" t="s">
        <v>1741</v>
      </c>
      <c r="C581" s="407"/>
      <c r="D581" s="407"/>
      <c r="E581" s="407"/>
      <c r="F581" s="407"/>
      <c r="G581" s="408"/>
      <c r="H581" s="409">
        <v>1</v>
      </c>
      <c r="I581" s="410"/>
      <c r="J581" s="376" t="s">
        <v>150</v>
      </c>
      <c r="K581" s="411"/>
      <c r="L581" s="439">
        <v>225</v>
      </c>
      <c r="M581" s="440"/>
      <c r="N581" s="414">
        <f t="shared" ref="N581:N583" si="132">+(L581)*$N$373+L581</f>
        <v>258.75</v>
      </c>
    </row>
    <row r="582" spans="1:14" s="351" customFormat="1" ht="32.25" customHeight="1" x14ac:dyDescent="0.25">
      <c r="A582" s="405">
        <f>A581+0.01</f>
        <v>3.0199999999999996</v>
      </c>
      <c r="B582" s="406" t="s">
        <v>1742</v>
      </c>
      <c r="C582" s="407"/>
      <c r="D582" s="407"/>
      <c r="E582" s="407"/>
      <c r="F582" s="407"/>
      <c r="G582" s="408"/>
      <c r="H582" s="409">
        <v>1</v>
      </c>
      <c r="I582" s="410"/>
      <c r="J582" s="376" t="s">
        <v>150</v>
      </c>
      <c r="K582" s="411"/>
      <c r="L582" s="439">
        <v>200</v>
      </c>
      <c r="M582" s="440"/>
      <c r="N582" s="414">
        <f t="shared" si="132"/>
        <v>230</v>
      </c>
    </row>
    <row r="583" spans="1:14" s="351" customFormat="1" ht="32.25" customHeight="1" x14ac:dyDescent="0.25">
      <c r="A583" s="405">
        <f>A582+0.01</f>
        <v>3.0299999999999994</v>
      </c>
      <c r="B583" s="406" t="s">
        <v>1743</v>
      </c>
      <c r="C583" s="407"/>
      <c r="D583" s="407"/>
      <c r="E583" s="407"/>
      <c r="F583" s="407"/>
      <c r="G583" s="408"/>
      <c r="H583" s="409">
        <v>1</v>
      </c>
      <c r="I583" s="410"/>
      <c r="J583" s="376" t="s">
        <v>150</v>
      </c>
      <c r="K583" s="411"/>
      <c r="L583" s="439">
        <v>200</v>
      </c>
      <c r="M583" s="440"/>
      <c r="N583" s="414">
        <f t="shared" si="132"/>
        <v>230</v>
      </c>
    </row>
    <row r="584" spans="1:14" s="351" customFormat="1" ht="32.25" customHeight="1" x14ac:dyDescent="0.25">
      <c r="A584" s="449" t="s">
        <v>1731</v>
      </c>
      <c r="B584" s="407" t="s">
        <v>1732</v>
      </c>
      <c r="C584" s="407"/>
      <c r="D584" s="407"/>
      <c r="E584" s="407"/>
      <c r="F584" s="407"/>
      <c r="G584" s="407"/>
      <c r="H584" s="407"/>
      <c r="I584" s="407"/>
      <c r="J584" s="407"/>
      <c r="K584" s="407"/>
      <c r="L584" s="407"/>
      <c r="M584" s="501"/>
      <c r="N584" s="418"/>
    </row>
    <row r="585" spans="1:14" s="351" customFormat="1" ht="32.25" customHeight="1" x14ac:dyDescent="0.25">
      <c r="A585" s="415"/>
      <c r="B585" s="416"/>
      <c r="C585" s="416"/>
      <c r="D585" s="416"/>
      <c r="E585" s="416"/>
      <c r="F585" s="416"/>
      <c r="G585" s="416"/>
      <c r="H585" s="416"/>
      <c r="I585" s="416"/>
      <c r="J585" s="416"/>
      <c r="K585" s="416"/>
      <c r="L585" s="416"/>
      <c r="M585" s="417"/>
      <c r="N585" s="418"/>
    </row>
    <row r="586" spans="1:14" s="351" customFormat="1" ht="32.25" customHeight="1" x14ac:dyDescent="0.25">
      <c r="A586" s="419" t="s">
        <v>1744</v>
      </c>
      <c r="B586" s="420"/>
      <c r="C586" s="420"/>
      <c r="D586" s="420"/>
      <c r="E586" s="420"/>
      <c r="F586" s="420"/>
      <c r="G586" s="420"/>
      <c r="H586" s="420"/>
      <c r="I586" s="420"/>
      <c r="J586" s="420"/>
      <c r="K586" s="420"/>
      <c r="L586" s="420"/>
      <c r="M586" s="421"/>
      <c r="N586" s="418"/>
    </row>
    <row r="587" spans="1:14" s="351" customFormat="1" ht="32.25" customHeight="1" x14ac:dyDescent="0.25">
      <c r="A587" s="405">
        <v>4.01</v>
      </c>
      <c r="B587" s="406" t="s">
        <v>1745</v>
      </c>
      <c r="C587" s="407"/>
      <c r="D587" s="407"/>
      <c r="E587" s="407"/>
      <c r="F587" s="407"/>
      <c r="G587" s="408"/>
      <c r="H587" s="409">
        <v>1</v>
      </c>
      <c r="I587" s="410"/>
      <c r="J587" s="376" t="s">
        <v>79</v>
      </c>
      <c r="K587" s="411"/>
      <c r="L587" s="409">
        <v>35</v>
      </c>
      <c r="M587" s="422"/>
      <c r="N587" s="414">
        <f t="shared" ref="N587:N590" si="133">+(L587)*$N$373+L587</f>
        <v>40.25</v>
      </c>
    </row>
    <row r="588" spans="1:14" s="351" customFormat="1" ht="32.25" customHeight="1" x14ac:dyDescent="0.25">
      <c r="A588" s="405">
        <f>A587+0.01</f>
        <v>4.0199999999999996</v>
      </c>
      <c r="B588" s="406" t="s">
        <v>1746</v>
      </c>
      <c r="C588" s="407"/>
      <c r="D588" s="407"/>
      <c r="E588" s="407"/>
      <c r="F588" s="407"/>
      <c r="G588" s="408"/>
      <c r="H588" s="409">
        <v>1</v>
      </c>
      <c r="I588" s="410"/>
      <c r="J588" s="376" t="s">
        <v>79</v>
      </c>
      <c r="K588" s="411"/>
      <c r="L588" s="409">
        <v>35</v>
      </c>
      <c r="M588" s="422"/>
      <c r="N588" s="414">
        <f t="shared" si="133"/>
        <v>40.25</v>
      </c>
    </row>
    <row r="589" spans="1:14" s="351" customFormat="1" ht="32.25" customHeight="1" x14ac:dyDescent="0.25">
      <c r="A589" s="405">
        <f>A588+0.01</f>
        <v>4.0299999999999994</v>
      </c>
      <c r="B589" s="406" t="s">
        <v>1747</v>
      </c>
      <c r="C589" s="407"/>
      <c r="D589" s="407"/>
      <c r="E589" s="407"/>
      <c r="F589" s="407"/>
      <c r="G589" s="408"/>
      <c r="H589" s="409">
        <v>1</v>
      </c>
      <c r="I589" s="410"/>
      <c r="J589" s="376" t="s">
        <v>79</v>
      </c>
      <c r="K589" s="411"/>
      <c r="L589" s="409">
        <v>70</v>
      </c>
      <c r="M589" s="422"/>
      <c r="N589" s="414">
        <f t="shared" si="133"/>
        <v>80.5</v>
      </c>
    </row>
    <row r="590" spans="1:14" s="351" customFormat="1" ht="32.25" customHeight="1" x14ac:dyDescent="0.25">
      <c r="A590" s="405">
        <f>A589+0.01</f>
        <v>4.0399999999999991</v>
      </c>
      <c r="B590" s="406" t="s">
        <v>1748</v>
      </c>
      <c r="C590" s="407"/>
      <c r="D590" s="407"/>
      <c r="E590" s="407"/>
      <c r="F590" s="407"/>
      <c r="G590" s="408"/>
      <c r="H590" s="409">
        <v>1</v>
      </c>
      <c r="I590" s="410"/>
      <c r="J590" s="376" t="s">
        <v>150</v>
      </c>
      <c r="K590" s="411"/>
      <c r="L590" s="409">
        <v>70</v>
      </c>
      <c r="M590" s="422"/>
      <c r="N590" s="414">
        <f t="shared" si="133"/>
        <v>80.5</v>
      </c>
    </row>
    <row r="591" spans="1:14" s="351" customFormat="1" ht="32.25" customHeight="1" x14ac:dyDescent="0.25">
      <c r="A591" s="449" t="s">
        <v>1731</v>
      </c>
      <c r="B591" s="407" t="s">
        <v>1732</v>
      </c>
      <c r="C591" s="407"/>
      <c r="D591" s="407"/>
      <c r="E591" s="407"/>
      <c r="F591" s="407"/>
      <c r="G591" s="407"/>
      <c r="H591" s="407"/>
      <c r="I591" s="407"/>
      <c r="J591" s="407"/>
      <c r="K591" s="407"/>
      <c r="L591" s="407"/>
      <c r="M591" s="501"/>
      <c r="N591" s="418"/>
    </row>
    <row r="592" spans="1:14" s="351" customFormat="1" ht="32.25" customHeight="1" x14ac:dyDescent="0.25">
      <c r="A592" s="415"/>
      <c r="B592" s="416"/>
      <c r="C592" s="416"/>
      <c r="D592" s="416"/>
      <c r="E592" s="416"/>
      <c r="F592" s="416"/>
      <c r="G592" s="416"/>
      <c r="H592" s="416"/>
      <c r="I592" s="416"/>
      <c r="J592" s="416"/>
      <c r="K592" s="416"/>
      <c r="L592" s="416"/>
      <c r="M592" s="417"/>
      <c r="N592" s="418"/>
    </row>
    <row r="593" spans="1:14" s="351" customFormat="1" ht="32.25" customHeight="1" x14ac:dyDescent="0.25">
      <c r="A593" s="419" t="s">
        <v>1749</v>
      </c>
      <c r="B593" s="420"/>
      <c r="C593" s="420"/>
      <c r="D593" s="420"/>
      <c r="E593" s="420"/>
      <c r="F593" s="420"/>
      <c r="G593" s="420"/>
      <c r="H593" s="420"/>
      <c r="I593" s="420"/>
      <c r="J593" s="420"/>
      <c r="K593" s="420"/>
      <c r="L593" s="420"/>
      <c r="M593" s="421"/>
      <c r="N593" s="418"/>
    </row>
    <row r="594" spans="1:14" s="351" customFormat="1" ht="32.25" customHeight="1" x14ac:dyDescent="0.25">
      <c r="A594" s="405">
        <v>5.01</v>
      </c>
      <c r="B594" s="406" t="s">
        <v>1750</v>
      </c>
      <c r="C594" s="407"/>
      <c r="D594" s="407"/>
      <c r="E594" s="407"/>
      <c r="F594" s="407"/>
      <c r="G594" s="408"/>
      <c r="H594" s="409">
        <v>1</v>
      </c>
      <c r="I594" s="410"/>
      <c r="J594" s="376" t="s">
        <v>150</v>
      </c>
      <c r="K594" s="411"/>
      <c r="L594" s="439">
        <v>800</v>
      </c>
      <c r="M594" s="440"/>
      <c r="N594" s="414">
        <f t="shared" ref="N594:N600" si="134">+(L594)*$N$373+L594</f>
        <v>920</v>
      </c>
    </row>
    <row r="595" spans="1:14" s="351" customFormat="1" ht="32.25" customHeight="1" x14ac:dyDescent="0.25">
      <c r="A595" s="405">
        <f>A594+0.01</f>
        <v>5.0199999999999996</v>
      </c>
      <c r="B595" s="406" t="s">
        <v>1751</v>
      </c>
      <c r="C595" s="407"/>
      <c r="D595" s="407"/>
      <c r="E595" s="407"/>
      <c r="F595" s="407"/>
      <c r="G595" s="408"/>
      <c r="H595" s="409">
        <v>1</v>
      </c>
      <c r="I595" s="410"/>
      <c r="J595" s="376" t="s">
        <v>8</v>
      </c>
      <c r="K595" s="411"/>
      <c r="L595" s="439">
        <v>1750</v>
      </c>
      <c r="M595" s="440"/>
      <c r="N595" s="414">
        <f t="shared" si="134"/>
        <v>2012.5</v>
      </c>
    </row>
    <row r="596" spans="1:14" s="351" customFormat="1" ht="32.25" customHeight="1" x14ac:dyDescent="0.25">
      <c r="A596" s="405">
        <f>A595+0.01</f>
        <v>5.0299999999999994</v>
      </c>
      <c r="B596" s="406" t="s">
        <v>1752</v>
      </c>
      <c r="C596" s="407"/>
      <c r="D596" s="407"/>
      <c r="E596" s="407"/>
      <c r="F596" s="407"/>
      <c r="G596" s="408"/>
      <c r="H596" s="409">
        <v>1</v>
      </c>
      <c r="I596" s="410"/>
      <c r="J596" s="376" t="s">
        <v>81</v>
      </c>
      <c r="K596" s="411"/>
      <c r="L596" s="439">
        <v>700</v>
      </c>
      <c r="M596" s="440"/>
      <c r="N596" s="414">
        <f t="shared" si="134"/>
        <v>805</v>
      </c>
    </row>
    <row r="597" spans="1:14" s="351" customFormat="1" ht="32.25" customHeight="1" x14ac:dyDescent="0.25">
      <c r="A597" s="405">
        <f>A596+0.01</f>
        <v>5.0399999999999991</v>
      </c>
      <c r="B597" s="406" t="s">
        <v>1753</v>
      </c>
      <c r="C597" s="407"/>
      <c r="D597" s="407"/>
      <c r="E597" s="407"/>
      <c r="F597" s="407"/>
      <c r="G597" s="408"/>
      <c r="H597" s="409">
        <v>1</v>
      </c>
      <c r="I597" s="410"/>
      <c r="J597" s="376" t="s">
        <v>81</v>
      </c>
      <c r="K597" s="411"/>
      <c r="L597" s="439">
        <v>850</v>
      </c>
      <c r="M597" s="440"/>
      <c r="N597" s="414">
        <f t="shared" si="134"/>
        <v>977.5</v>
      </c>
    </row>
    <row r="598" spans="1:14" s="351" customFormat="1" ht="32.25" customHeight="1" x14ac:dyDescent="0.25">
      <c r="A598" s="405">
        <f>A597+0.01</f>
        <v>5.0499999999999989</v>
      </c>
      <c r="B598" s="406" t="s">
        <v>1754</v>
      </c>
      <c r="C598" s="407"/>
      <c r="D598" s="407"/>
      <c r="E598" s="407"/>
      <c r="F598" s="407"/>
      <c r="G598" s="408"/>
      <c r="H598" s="409">
        <v>1</v>
      </c>
      <c r="I598" s="410"/>
      <c r="J598" s="376" t="s">
        <v>150</v>
      </c>
      <c r="K598" s="411"/>
      <c r="L598" s="439">
        <v>430</v>
      </c>
      <c r="M598" s="440"/>
      <c r="N598" s="414">
        <f t="shared" si="134"/>
        <v>494.5</v>
      </c>
    </row>
    <row r="599" spans="1:14" s="351" customFormat="1" ht="32.25" customHeight="1" x14ac:dyDescent="0.25">
      <c r="A599" s="405">
        <f>A598+0.01</f>
        <v>5.0599999999999987</v>
      </c>
      <c r="B599" s="406" t="s">
        <v>1755</v>
      </c>
      <c r="C599" s="407"/>
      <c r="D599" s="407"/>
      <c r="E599" s="407"/>
      <c r="F599" s="407"/>
      <c r="G599" s="408"/>
      <c r="H599" s="409">
        <v>1</v>
      </c>
      <c r="I599" s="410"/>
      <c r="J599" s="376" t="s">
        <v>81</v>
      </c>
      <c r="K599" s="411"/>
      <c r="L599" s="439">
        <v>15000</v>
      </c>
      <c r="M599" s="440"/>
      <c r="N599" s="414">
        <f t="shared" si="134"/>
        <v>17250</v>
      </c>
    </row>
    <row r="600" spans="1:14" s="351" customFormat="1" ht="32.25" customHeight="1" x14ac:dyDescent="0.25">
      <c r="A600" s="405">
        <f t="shared" ref="A600" si="135">A599+0.01</f>
        <v>5.0699999999999985</v>
      </c>
      <c r="B600" s="406" t="s">
        <v>1756</v>
      </c>
      <c r="C600" s="407"/>
      <c r="D600" s="407"/>
      <c r="E600" s="407"/>
      <c r="F600" s="407"/>
      <c r="G600" s="408"/>
      <c r="H600" s="409">
        <v>1</v>
      </c>
      <c r="I600" s="410"/>
      <c r="J600" s="376" t="s">
        <v>81</v>
      </c>
      <c r="K600" s="411"/>
      <c r="L600" s="439">
        <v>18000</v>
      </c>
      <c r="M600" s="440"/>
      <c r="N600" s="414">
        <f t="shared" si="134"/>
        <v>20700</v>
      </c>
    </row>
    <row r="601" spans="1:14" s="351" customFormat="1" ht="32.25" customHeight="1" x14ac:dyDescent="0.25">
      <c r="A601" s="449" t="s">
        <v>1731</v>
      </c>
      <c r="B601" s="407" t="s">
        <v>1732</v>
      </c>
      <c r="C601" s="407"/>
      <c r="D601" s="407"/>
      <c r="E601" s="407"/>
      <c r="F601" s="407"/>
      <c r="G601" s="407"/>
      <c r="H601" s="407"/>
      <c r="I601" s="407"/>
      <c r="J601" s="407"/>
      <c r="K601" s="407"/>
      <c r="L601" s="407"/>
      <c r="M601" s="501"/>
      <c r="N601" s="418"/>
    </row>
    <row r="602" spans="1:14" s="351" customFormat="1" ht="32.25" customHeight="1" x14ac:dyDescent="0.25">
      <c r="A602" s="449"/>
      <c r="B602" s="450"/>
      <c r="C602" s="450"/>
      <c r="D602" s="450"/>
      <c r="E602" s="450"/>
      <c r="F602" s="450"/>
      <c r="G602" s="450"/>
      <c r="H602" s="451"/>
      <c r="I602" s="451"/>
      <c r="J602" s="384"/>
      <c r="K602" s="384"/>
      <c r="L602" s="451"/>
      <c r="M602" s="452"/>
      <c r="N602" s="418"/>
    </row>
    <row r="603" spans="1:14" s="351" customFormat="1" ht="32.25" customHeight="1" x14ac:dyDescent="0.25">
      <c r="A603" s="419" t="s">
        <v>1757</v>
      </c>
      <c r="B603" s="420"/>
      <c r="C603" s="420"/>
      <c r="D603" s="420"/>
      <c r="E603" s="420"/>
      <c r="F603" s="420"/>
      <c r="G603" s="420"/>
      <c r="H603" s="420"/>
      <c r="I603" s="420"/>
      <c r="J603" s="420"/>
      <c r="K603" s="420"/>
      <c r="L603" s="420"/>
      <c r="M603" s="421"/>
      <c r="N603" s="418"/>
    </row>
    <row r="604" spans="1:14" s="351" customFormat="1" ht="32.25" customHeight="1" x14ac:dyDescent="0.25">
      <c r="A604" s="405">
        <v>6.01</v>
      </c>
      <c r="B604" s="406" t="s">
        <v>1758</v>
      </c>
      <c r="C604" s="407"/>
      <c r="D604" s="407"/>
      <c r="E604" s="407"/>
      <c r="F604" s="407"/>
      <c r="G604" s="408"/>
      <c r="H604" s="409">
        <v>1</v>
      </c>
      <c r="I604" s="410"/>
      <c r="J604" s="376" t="s">
        <v>150</v>
      </c>
      <c r="K604" s="411"/>
      <c r="L604" s="439">
        <v>900</v>
      </c>
      <c r="M604" s="440"/>
      <c r="N604" s="414">
        <f t="shared" ref="N604:N612" si="136">+(L604)*$N$373+L604</f>
        <v>1035</v>
      </c>
    </row>
    <row r="605" spans="1:14" s="351" customFormat="1" ht="32.25" customHeight="1" x14ac:dyDescent="0.25">
      <c r="A605" s="405">
        <f>A604+0.01</f>
        <v>6.02</v>
      </c>
      <c r="B605" s="406" t="s">
        <v>1759</v>
      </c>
      <c r="C605" s="407"/>
      <c r="D605" s="407"/>
      <c r="E605" s="407"/>
      <c r="F605" s="407"/>
      <c r="G605" s="408"/>
      <c r="H605" s="409">
        <v>1</v>
      </c>
      <c r="I605" s="410"/>
      <c r="J605" s="376" t="s">
        <v>150</v>
      </c>
      <c r="K605" s="411"/>
      <c r="L605" s="439">
        <v>600</v>
      </c>
      <c r="M605" s="440"/>
      <c r="N605" s="414">
        <f t="shared" si="136"/>
        <v>690</v>
      </c>
    </row>
    <row r="606" spans="1:14" s="351" customFormat="1" ht="32.25" customHeight="1" x14ac:dyDescent="0.25">
      <c r="A606" s="405">
        <f>A605+0.01</f>
        <v>6.0299999999999994</v>
      </c>
      <c r="B606" s="406" t="s">
        <v>1760</v>
      </c>
      <c r="C606" s="407"/>
      <c r="D606" s="407"/>
      <c r="E606" s="407"/>
      <c r="F606" s="407"/>
      <c r="G606" s="408"/>
      <c r="H606" s="409">
        <v>1</v>
      </c>
      <c r="I606" s="410"/>
      <c r="J606" s="376" t="s">
        <v>150</v>
      </c>
      <c r="K606" s="411"/>
      <c r="L606" s="439">
        <v>550</v>
      </c>
      <c r="M606" s="440"/>
      <c r="N606" s="414">
        <f t="shared" si="136"/>
        <v>632.5</v>
      </c>
    </row>
    <row r="607" spans="1:14" s="351" customFormat="1" ht="32.25" customHeight="1" x14ac:dyDescent="0.25">
      <c r="A607" s="405">
        <f t="shared" ref="A607:A612" si="137">A606+0.01</f>
        <v>6.0399999999999991</v>
      </c>
      <c r="B607" s="406" t="s">
        <v>1761</v>
      </c>
      <c r="C607" s="407"/>
      <c r="D607" s="407"/>
      <c r="E607" s="407"/>
      <c r="F607" s="407"/>
      <c r="G607" s="408"/>
      <c r="H607" s="409">
        <v>1</v>
      </c>
      <c r="I607" s="410"/>
      <c r="J607" s="376" t="s">
        <v>150</v>
      </c>
      <c r="K607" s="411"/>
      <c r="L607" s="439">
        <v>1000</v>
      </c>
      <c r="M607" s="440"/>
      <c r="N607" s="414">
        <f t="shared" si="136"/>
        <v>1150</v>
      </c>
    </row>
    <row r="608" spans="1:14" s="351" customFormat="1" ht="32.25" customHeight="1" x14ac:dyDescent="0.25">
      <c r="A608" s="405">
        <f t="shared" si="137"/>
        <v>6.0499999999999989</v>
      </c>
      <c r="B608" s="406" t="s">
        <v>1762</v>
      </c>
      <c r="C608" s="407"/>
      <c r="D608" s="407"/>
      <c r="E608" s="407"/>
      <c r="F608" s="407"/>
      <c r="G608" s="408"/>
      <c r="H608" s="409">
        <v>1</v>
      </c>
      <c r="I608" s="410"/>
      <c r="J608" s="376" t="s">
        <v>81</v>
      </c>
      <c r="K608" s="411"/>
      <c r="L608" s="439">
        <v>1600</v>
      </c>
      <c r="M608" s="440"/>
      <c r="N608" s="414">
        <f t="shared" si="136"/>
        <v>1840</v>
      </c>
    </row>
    <row r="609" spans="1:14" s="351" customFormat="1" ht="32.25" customHeight="1" x14ac:dyDescent="0.25">
      <c r="A609" s="405">
        <f t="shared" si="137"/>
        <v>6.0599999999999987</v>
      </c>
      <c r="B609" s="406" t="s">
        <v>1763</v>
      </c>
      <c r="C609" s="407"/>
      <c r="D609" s="407"/>
      <c r="E609" s="407"/>
      <c r="F609" s="407"/>
      <c r="G609" s="408"/>
      <c r="H609" s="409">
        <v>1</v>
      </c>
      <c r="I609" s="410"/>
      <c r="J609" s="376" t="s">
        <v>81</v>
      </c>
      <c r="K609" s="411"/>
      <c r="L609" s="439">
        <v>1800</v>
      </c>
      <c r="M609" s="440"/>
      <c r="N609" s="414">
        <f t="shared" si="136"/>
        <v>2070</v>
      </c>
    </row>
    <row r="610" spans="1:14" s="351" customFormat="1" ht="32.25" customHeight="1" x14ac:dyDescent="0.25">
      <c r="A610" s="405">
        <f t="shared" si="137"/>
        <v>6.0699999999999985</v>
      </c>
      <c r="B610" s="406" t="s">
        <v>1764</v>
      </c>
      <c r="C610" s="407"/>
      <c r="D610" s="407"/>
      <c r="E610" s="407"/>
      <c r="F610" s="407"/>
      <c r="G610" s="408"/>
      <c r="H610" s="409">
        <v>1</v>
      </c>
      <c r="I610" s="410"/>
      <c r="J610" s="376" t="s">
        <v>81</v>
      </c>
      <c r="K610" s="411"/>
      <c r="L610" s="439">
        <v>1400</v>
      </c>
      <c r="M610" s="440"/>
      <c r="N610" s="414">
        <f t="shared" si="136"/>
        <v>1610</v>
      </c>
    </row>
    <row r="611" spans="1:14" s="351" customFormat="1" ht="32.25" customHeight="1" x14ac:dyDescent="0.25">
      <c r="A611" s="405">
        <f t="shared" si="137"/>
        <v>6.0799999999999983</v>
      </c>
      <c r="B611" s="406" t="s">
        <v>1765</v>
      </c>
      <c r="C611" s="407"/>
      <c r="D611" s="407"/>
      <c r="E611" s="407"/>
      <c r="F611" s="407"/>
      <c r="G611" s="408"/>
      <c r="H611" s="409">
        <v>1</v>
      </c>
      <c r="I611" s="410"/>
      <c r="J611" s="376" t="s">
        <v>81</v>
      </c>
      <c r="K611" s="411"/>
      <c r="L611" s="439">
        <v>1600</v>
      </c>
      <c r="M611" s="440"/>
      <c r="N611" s="414">
        <f t="shared" si="136"/>
        <v>1840</v>
      </c>
    </row>
    <row r="612" spans="1:14" s="351" customFormat="1" ht="32.25" customHeight="1" x14ac:dyDescent="0.25">
      <c r="A612" s="405">
        <f t="shared" si="137"/>
        <v>6.0899999999999981</v>
      </c>
      <c r="B612" s="406" t="s">
        <v>1766</v>
      </c>
      <c r="C612" s="407"/>
      <c r="D612" s="407"/>
      <c r="E612" s="407"/>
      <c r="F612" s="407"/>
      <c r="G612" s="408"/>
      <c r="H612" s="409">
        <v>1</v>
      </c>
      <c r="I612" s="410"/>
      <c r="J612" s="376" t="s">
        <v>150</v>
      </c>
      <c r="K612" s="411"/>
      <c r="L612" s="439">
        <v>1400</v>
      </c>
      <c r="M612" s="440"/>
      <c r="N612" s="414">
        <f t="shared" si="136"/>
        <v>1610</v>
      </c>
    </row>
    <row r="613" spans="1:14" s="351" customFormat="1" ht="32.25" customHeight="1" x14ac:dyDescent="0.25">
      <c r="A613" s="449" t="s">
        <v>1731</v>
      </c>
      <c r="B613" s="407" t="s">
        <v>1732</v>
      </c>
      <c r="C613" s="407"/>
      <c r="D613" s="407"/>
      <c r="E613" s="407"/>
      <c r="F613" s="407"/>
      <c r="G613" s="407"/>
      <c r="H613" s="407"/>
      <c r="I613" s="407"/>
      <c r="J613" s="407"/>
      <c r="K613" s="407"/>
      <c r="L613" s="407"/>
      <c r="M613" s="501"/>
      <c r="N613" s="418"/>
    </row>
    <row r="614" spans="1:14" s="351" customFormat="1" ht="32.25" customHeight="1" x14ac:dyDescent="0.25">
      <c r="A614" s="449"/>
      <c r="B614" s="450"/>
      <c r="C614" s="450"/>
      <c r="D614" s="450"/>
      <c r="E614" s="450"/>
      <c r="F614" s="450"/>
      <c r="G614" s="450"/>
      <c r="H614" s="451"/>
      <c r="I614" s="451"/>
      <c r="J614" s="384"/>
      <c r="K614" s="384"/>
      <c r="L614" s="451"/>
      <c r="M614" s="452"/>
      <c r="N614" s="418"/>
    </row>
    <row r="615" spans="1:14" s="351" customFormat="1" ht="32.25" customHeight="1" x14ac:dyDescent="0.25">
      <c r="A615" s="419" t="s">
        <v>1767</v>
      </c>
      <c r="B615" s="420"/>
      <c r="C615" s="420"/>
      <c r="D615" s="420"/>
      <c r="E615" s="420"/>
      <c r="F615" s="420"/>
      <c r="G615" s="420"/>
      <c r="H615" s="420"/>
      <c r="I615" s="420"/>
      <c r="J615" s="420"/>
      <c r="K615" s="420"/>
      <c r="L615" s="420"/>
      <c r="M615" s="421"/>
      <c r="N615" s="418"/>
    </row>
    <row r="616" spans="1:14" s="351" customFormat="1" ht="32.25" customHeight="1" x14ac:dyDescent="0.25">
      <c r="A616" s="405">
        <v>7.01</v>
      </c>
      <c r="B616" s="406" t="s">
        <v>1768</v>
      </c>
      <c r="C616" s="407"/>
      <c r="D616" s="407"/>
      <c r="E616" s="407"/>
      <c r="F616" s="407"/>
      <c r="G616" s="408"/>
      <c r="H616" s="409">
        <v>1</v>
      </c>
      <c r="I616" s="410"/>
      <c r="J616" s="376" t="s">
        <v>79</v>
      </c>
      <c r="K616" s="411"/>
      <c r="L616" s="439">
        <v>4000</v>
      </c>
      <c r="M616" s="440"/>
      <c r="N616" s="414">
        <f t="shared" ref="N616:N622" si="138">+(L616)*$N$373+L616</f>
        <v>4600</v>
      </c>
    </row>
    <row r="617" spans="1:14" s="351" customFormat="1" ht="32.25" customHeight="1" x14ac:dyDescent="0.25">
      <c r="A617" s="405">
        <f>A616+0.01</f>
        <v>7.02</v>
      </c>
      <c r="B617" s="406" t="s">
        <v>1769</v>
      </c>
      <c r="C617" s="407"/>
      <c r="D617" s="407"/>
      <c r="E617" s="407"/>
      <c r="F617" s="407"/>
      <c r="G617" s="408"/>
      <c r="H617" s="409">
        <v>1</v>
      </c>
      <c r="I617" s="410"/>
      <c r="J617" s="376" t="s">
        <v>79</v>
      </c>
      <c r="K617" s="411"/>
      <c r="L617" s="439">
        <v>4500</v>
      </c>
      <c r="M617" s="440"/>
      <c r="N617" s="414">
        <f t="shared" si="138"/>
        <v>5175</v>
      </c>
    </row>
    <row r="618" spans="1:14" s="351" customFormat="1" ht="32.25" customHeight="1" x14ac:dyDescent="0.25">
      <c r="A618" s="405">
        <f>A617+0.01</f>
        <v>7.0299999999999994</v>
      </c>
      <c r="B618" s="406" t="s">
        <v>1770</v>
      </c>
      <c r="C618" s="407"/>
      <c r="D618" s="407"/>
      <c r="E618" s="407"/>
      <c r="F618" s="407"/>
      <c r="G618" s="408"/>
      <c r="H618" s="409">
        <v>1</v>
      </c>
      <c r="I618" s="410"/>
      <c r="J618" s="376" t="s">
        <v>79</v>
      </c>
      <c r="K618" s="411"/>
      <c r="L618" s="439">
        <v>4750</v>
      </c>
      <c r="M618" s="440"/>
      <c r="N618" s="414">
        <f t="shared" si="138"/>
        <v>5462.5</v>
      </c>
    </row>
    <row r="619" spans="1:14" s="351" customFormat="1" ht="32.25" customHeight="1" x14ac:dyDescent="0.25">
      <c r="A619" s="405">
        <f>A618+0.01</f>
        <v>7.0399999999999991</v>
      </c>
      <c r="B619" s="406" t="s">
        <v>1771</v>
      </c>
      <c r="C619" s="407"/>
      <c r="D619" s="407"/>
      <c r="E619" s="407"/>
      <c r="F619" s="407"/>
      <c r="G619" s="408"/>
      <c r="H619" s="409">
        <v>1</v>
      </c>
      <c r="I619" s="410"/>
      <c r="J619" s="376" t="s">
        <v>79</v>
      </c>
      <c r="K619" s="411"/>
      <c r="L619" s="439">
        <v>1550</v>
      </c>
      <c r="M619" s="440"/>
      <c r="N619" s="414">
        <f t="shared" si="138"/>
        <v>1782.5</v>
      </c>
    </row>
    <row r="620" spans="1:14" s="351" customFormat="1" ht="32.25" customHeight="1" x14ac:dyDescent="0.25">
      <c r="A620" s="405">
        <f t="shared" ref="A620:A622" si="139">A619+0.01</f>
        <v>7.0499999999999989</v>
      </c>
      <c r="B620" s="406" t="s">
        <v>1772</v>
      </c>
      <c r="C620" s="407"/>
      <c r="D620" s="407"/>
      <c r="E620" s="407"/>
      <c r="F620" s="407"/>
      <c r="G620" s="408"/>
      <c r="H620" s="409">
        <v>1</v>
      </c>
      <c r="I620" s="410"/>
      <c r="J620" s="376" t="s">
        <v>79</v>
      </c>
      <c r="K620" s="411"/>
      <c r="L620" s="439">
        <v>1150</v>
      </c>
      <c r="M620" s="440"/>
      <c r="N620" s="414">
        <f t="shared" si="138"/>
        <v>1322.5</v>
      </c>
    </row>
    <row r="621" spans="1:14" s="351" customFormat="1" ht="32.25" customHeight="1" x14ac:dyDescent="0.25">
      <c r="A621" s="405">
        <f t="shared" si="139"/>
        <v>7.0599999999999987</v>
      </c>
      <c r="B621" s="406" t="s">
        <v>1773</v>
      </c>
      <c r="C621" s="407"/>
      <c r="D621" s="407"/>
      <c r="E621" s="407"/>
      <c r="F621" s="407"/>
      <c r="G621" s="408"/>
      <c r="H621" s="409">
        <v>1</v>
      </c>
      <c r="I621" s="410"/>
      <c r="J621" s="376" t="s">
        <v>79</v>
      </c>
      <c r="K621" s="411"/>
      <c r="L621" s="439" t="s">
        <v>1774</v>
      </c>
      <c r="M621" s="440"/>
      <c r="N621" s="414">
        <f>+(2000)*$N$373+2000</f>
        <v>2300</v>
      </c>
    </row>
    <row r="622" spans="1:14" s="351" customFormat="1" ht="32.25" customHeight="1" x14ac:dyDescent="0.25">
      <c r="A622" s="405">
        <f t="shared" si="139"/>
        <v>7.0699999999999985</v>
      </c>
      <c r="B622" s="406" t="s">
        <v>1775</v>
      </c>
      <c r="C622" s="407"/>
      <c r="D622" s="407"/>
      <c r="E622" s="407"/>
      <c r="F622" s="407"/>
      <c r="G622" s="408"/>
      <c r="H622" s="409">
        <v>1</v>
      </c>
      <c r="I622" s="410"/>
      <c r="J622" s="376" t="s">
        <v>79</v>
      </c>
      <c r="K622" s="411"/>
      <c r="L622" s="439">
        <v>3300</v>
      </c>
      <c r="M622" s="440"/>
      <c r="N622" s="414">
        <f t="shared" si="138"/>
        <v>3795</v>
      </c>
    </row>
    <row r="623" spans="1:14" s="351" customFormat="1" ht="32.25" customHeight="1" x14ac:dyDescent="0.25">
      <c r="A623" s="449" t="s">
        <v>1731</v>
      </c>
      <c r="B623" s="407" t="s">
        <v>1732</v>
      </c>
      <c r="C623" s="407"/>
      <c r="D623" s="407"/>
      <c r="E623" s="407"/>
      <c r="F623" s="407"/>
      <c r="G623" s="407"/>
      <c r="H623" s="407"/>
      <c r="I623" s="407"/>
      <c r="J623" s="407"/>
      <c r="K623" s="407"/>
      <c r="L623" s="407"/>
      <c r="M623" s="501"/>
      <c r="N623" s="418"/>
    </row>
    <row r="624" spans="1:14" s="351" customFormat="1" ht="32.25" customHeight="1" x14ac:dyDescent="0.25">
      <c r="A624" s="449"/>
      <c r="B624" s="502"/>
      <c r="C624" s="502"/>
      <c r="D624" s="502"/>
      <c r="E624" s="502"/>
      <c r="F624" s="502"/>
      <c r="G624" s="502"/>
      <c r="H624" s="502"/>
      <c r="I624" s="502"/>
      <c r="J624" s="502"/>
      <c r="K624" s="502"/>
      <c r="L624" s="502"/>
      <c r="M624" s="503"/>
      <c r="N624" s="418"/>
    </row>
    <row r="625" spans="1:14" s="351" customFormat="1" ht="32.25" customHeight="1" x14ac:dyDescent="0.25">
      <c r="A625" s="419" t="s">
        <v>1776</v>
      </c>
      <c r="B625" s="420"/>
      <c r="C625" s="420"/>
      <c r="D625" s="420"/>
      <c r="E625" s="420"/>
      <c r="F625" s="420"/>
      <c r="G625" s="420"/>
      <c r="H625" s="420"/>
      <c r="I625" s="420"/>
      <c r="J625" s="420"/>
      <c r="K625" s="420"/>
      <c r="L625" s="420"/>
      <c r="M625" s="421"/>
      <c r="N625" s="418"/>
    </row>
    <row r="626" spans="1:14" s="351" customFormat="1" ht="32.25" customHeight="1" x14ac:dyDescent="0.25">
      <c r="A626" s="405">
        <f>8.01</f>
        <v>8.01</v>
      </c>
      <c r="B626" s="406" t="s">
        <v>1777</v>
      </c>
      <c r="C626" s="407"/>
      <c r="D626" s="407"/>
      <c r="E626" s="407"/>
      <c r="F626" s="407"/>
      <c r="G626" s="408"/>
      <c r="H626" s="409">
        <v>1</v>
      </c>
      <c r="I626" s="410"/>
      <c r="J626" s="376" t="s">
        <v>81</v>
      </c>
      <c r="K626" s="411"/>
      <c r="L626" s="439">
        <v>450</v>
      </c>
      <c r="M626" s="440"/>
      <c r="N626" s="414">
        <f t="shared" ref="N626:N632" si="140">+(L626)*$N$373+L626</f>
        <v>517.5</v>
      </c>
    </row>
    <row r="627" spans="1:14" s="351" customFormat="1" ht="32.25" customHeight="1" x14ac:dyDescent="0.25">
      <c r="A627" s="405">
        <f t="shared" ref="A627:A632" si="141">A626+0.01</f>
        <v>8.02</v>
      </c>
      <c r="B627" s="406" t="s">
        <v>1778</v>
      </c>
      <c r="C627" s="407"/>
      <c r="D627" s="407"/>
      <c r="E627" s="407"/>
      <c r="F627" s="407"/>
      <c r="G627" s="408"/>
      <c r="H627" s="409">
        <v>1</v>
      </c>
      <c r="I627" s="410"/>
      <c r="J627" s="376" t="s">
        <v>81</v>
      </c>
      <c r="K627" s="411"/>
      <c r="L627" s="439">
        <v>700</v>
      </c>
      <c r="M627" s="440"/>
      <c r="N627" s="414">
        <f t="shared" si="140"/>
        <v>805</v>
      </c>
    </row>
    <row r="628" spans="1:14" s="351" customFormat="1" ht="32.25" customHeight="1" x14ac:dyDescent="0.25">
      <c r="A628" s="405">
        <f t="shared" si="141"/>
        <v>8.0299999999999994</v>
      </c>
      <c r="B628" s="406" t="s">
        <v>1779</v>
      </c>
      <c r="C628" s="407"/>
      <c r="D628" s="407"/>
      <c r="E628" s="407"/>
      <c r="F628" s="407"/>
      <c r="G628" s="408"/>
      <c r="H628" s="409">
        <v>1</v>
      </c>
      <c r="I628" s="410"/>
      <c r="J628" s="376" t="s">
        <v>81</v>
      </c>
      <c r="K628" s="411"/>
      <c r="L628" s="439">
        <v>430</v>
      </c>
      <c r="M628" s="440"/>
      <c r="N628" s="414">
        <f t="shared" si="140"/>
        <v>494.5</v>
      </c>
    </row>
    <row r="629" spans="1:14" s="351" customFormat="1" ht="32.25" customHeight="1" x14ac:dyDescent="0.25">
      <c r="A629" s="405">
        <f t="shared" si="141"/>
        <v>8.0399999999999991</v>
      </c>
      <c r="B629" s="406" t="s">
        <v>1780</v>
      </c>
      <c r="C629" s="407"/>
      <c r="D629" s="407"/>
      <c r="E629" s="407"/>
      <c r="F629" s="407"/>
      <c r="G629" s="408"/>
      <c r="H629" s="409" t="s">
        <v>1781</v>
      </c>
      <c r="I629" s="410"/>
      <c r="J629" s="376" t="s">
        <v>150</v>
      </c>
      <c r="K629" s="411"/>
      <c r="L629" s="439">
        <v>650</v>
      </c>
      <c r="M629" s="440"/>
      <c r="N629" s="414">
        <f t="shared" si="140"/>
        <v>747.5</v>
      </c>
    </row>
    <row r="630" spans="1:14" s="351" customFormat="1" ht="32.25" customHeight="1" x14ac:dyDescent="0.25">
      <c r="A630" s="405">
        <f t="shared" si="141"/>
        <v>8.0499999999999989</v>
      </c>
      <c r="B630" s="406" t="s">
        <v>1782</v>
      </c>
      <c r="C630" s="407"/>
      <c r="D630" s="407"/>
      <c r="E630" s="407"/>
      <c r="F630" s="407"/>
      <c r="G630" s="408"/>
      <c r="H630" s="409">
        <v>1</v>
      </c>
      <c r="I630" s="410"/>
      <c r="J630" s="376" t="s">
        <v>79</v>
      </c>
      <c r="K630" s="411"/>
      <c r="L630" s="439" t="s">
        <v>1783</v>
      </c>
      <c r="M630" s="440"/>
      <c r="N630" s="414">
        <f>+(5000)*$N$373+5000</f>
        <v>5750</v>
      </c>
    </row>
    <row r="631" spans="1:14" s="351" customFormat="1" ht="32.25" customHeight="1" x14ac:dyDescent="0.25">
      <c r="A631" s="405">
        <f t="shared" si="141"/>
        <v>8.0599999999999987</v>
      </c>
      <c r="B631" s="406" t="s">
        <v>1784</v>
      </c>
      <c r="C631" s="407"/>
      <c r="D631" s="407"/>
      <c r="E631" s="407"/>
      <c r="F631" s="407"/>
      <c r="G631" s="408"/>
      <c r="H631" s="409" t="s">
        <v>1781</v>
      </c>
      <c r="I631" s="410"/>
      <c r="J631" s="376" t="s">
        <v>150</v>
      </c>
      <c r="K631" s="411"/>
      <c r="L631" s="439">
        <v>1100</v>
      </c>
      <c r="M631" s="440"/>
      <c r="N631" s="414">
        <f t="shared" si="140"/>
        <v>1265</v>
      </c>
    </row>
    <row r="632" spans="1:14" s="351" customFormat="1" ht="32.25" customHeight="1" x14ac:dyDescent="0.25">
      <c r="A632" s="405">
        <f t="shared" si="141"/>
        <v>8.0699999999999985</v>
      </c>
      <c r="B632" s="406" t="s">
        <v>1785</v>
      </c>
      <c r="C632" s="407"/>
      <c r="D632" s="407"/>
      <c r="E632" s="407"/>
      <c r="F632" s="407"/>
      <c r="G632" s="408"/>
      <c r="H632" s="409" t="s">
        <v>1781</v>
      </c>
      <c r="I632" s="410"/>
      <c r="J632" s="376" t="s">
        <v>150</v>
      </c>
      <c r="K632" s="411"/>
      <c r="L632" s="439">
        <v>450</v>
      </c>
      <c r="M632" s="440"/>
      <c r="N632" s="414">
        <f t="shared" si="140"/>
        <v>517.5</v>
      </c>
    </row>
    <row r="633" spans="1:14" s="351" customFormat="1" ht="32.25" customHeight="1" thickBot="1" x14ac:dyDescent="0.3">
      <c r="A633" s="504" t="s">
        <v>1731</v>
      </c>
      <c r="B633" s="426" t="s">
        <v>1732</v>
      </c>
      <c r="C633" s="426"/>
      <c r="D633" s="426"/>
      <c r="E633" s="426"/>
      <c r="F633" s="426"/>
      <c r="G633" s="426"/>
      <c r="H633" s="426"/>
      <c r="I633" s="426"/>
      <c r="J633" s="426"/>
      <c r="K633" s="426"/>
      <c r="L633" s="426"/>
      <c r="M633" s="505"/>
      <c r="N633" s="474"/>
    </row>
  </sheetData>
  <mergeCells count="1892">
    <mergeCell ref="B632:G632"/>
    <mergeCell ref="H632:I632"/>
    <mergeCell ref="J632:K632"/>
    <mergeCell ref="L632:M632"/>
    <mergeCell ref="B633:M633"/>
    <mergeCell ref="B630:G630"/>
    <mergeCell ref="H630:I630"/>
    <mergeCell ref="J630:K630"/>
    <mergeCell ref="L630:M630"/>
    <mergeCell ref="B631:G631"/>
    <mergeCell ref="H631:I631"/>
    <mergeCell ref="J631:K631"/>
    <mergeCell ref="L631:M631"/>
    <mergeCell ref="B628:G628"/>
    <mergeCell ref="H628:I628"/>
    <mergeCell ref="J628:K628"/>
    <mergeCell ref="L628:M628"/>
    <mergeCell ref="B629:G629"/>
    <mergeCell ref="H629:I629"/>
    <mergeCell ref="J629:K629"/>
    <mergeCell ref="L629:M629"/>
    <mergeCell ref="B626:G626"/>
    <mergeCell ref="H626:I626"/>
    <mergeCell ref="J626:K626"/>
    <mergeCell ref="L626:M626"/>
    <mergeCell ref="B627:G627"/>
    <mergeCell ref="H627:I627"/>
    <mergeCell ref="J627:K627"/>
    <mergeCell ref="L627:M627"/>
    <mergeCell ref="B622:G622"/>
    <mergeCell ref="H622:I622"/>
    <mergeCell ref="J622:K622"/>
    <mergeCell ref="L622:M622"/>
    <mergeCell ref="B623:M623"/>
    <mergeCell ref="A625:M625"/>
    <mergeCell ref="B620:G620"/>
    <mergeCell ref="H620:I620"/>
    <mergeCell ref="J620:K620"/>
    <mergeCell ref="L620:M620"/>
    <mergeCell ref="B621:G621"/>
    <mergeCell ref="H621:I621"/>
    <mergeCell ref="J621:K621"/>
    <mergeCell ref="L621:M621"/>
    <mergeCell ref="B618:G618"/>
    <mergeCell ref="H618:I618"/>
    <mergeCell ref="J618:K618"/>
    <mergeCell ref="L618:M618"/>
    <mergeCell ref="B619:G619"/>
    <mergeCell ref="H619:I619"/>
    <mergeCell ref="J619:K619"/>
    <mergeCell ref="L619:M619"/>
    <mergeCell ref="B616:G616"/>
    <mergeCell ref="H616:I616"/>
    <mergeCell ref="J616:K616"/>
    <mergeCell ref="L616:M616"/>
    <mergeCell ref="B617:G617"/>
    <mergeCell ref="H617:I617"/>
    <mergeCell ref="J617:K617"/>
    <mergeCell ref="L617:M617"/>
    <mergeCell ref="B612:G612"/>
    <mergeCell ref="H612:I612"/>
    <mergeCell ref="J612:K612"/>
    <mergeCell ref="L612:M612"/>
    <mergeCell ref="B613:M613"/>
    <mergeCell ref="A615:M615"/>
    <mergeCell ref="B610:G610"/>
    <mergeCell ref="H610:I610"/>
    <mergeCell ref="J610:K610"/>
    <mergeCell ref="L610:M610"/>
    <mergeCell ref="B611:G611"/>
    <mergeCell ref="H611:I611"/>
    <mergeCell ref="J611:K611"/>
    <mergeCell ref="L611:M611"/>
    <mergeCell ref="B608:G608"/>
    <mergeCell ref="H608:I608"/>
    <mergeCell ref="J608:K608"/>
    <mergeCell ref="L608:M608"/>
    <mergeCell ref="B609:G609"/>
    <mergeCell ref="H609:I609"/>
    <mergeCell ref="J609:K609"/>
    <mergeCell ref="L609:M609"/>
    <mergeCell ref="B606:G606"/>
    <mergeCell ref="H606:I606"/>
    <mergeCell ref="J606:K606"/>
    <mergeCell ref="L606:M606"/>
    <mergeCell ref="B607:G607"/>
    <mergeCell ref="H607:I607"/>
    <mergeCell ref="J607:K607"/>
    <mergeCell ref="L607:M607"/>
    <mergeCell ref="B604:G604"/>
    <mergeCell ref="H604:I604"/>
    <mergeCell ref="J604:K604"/>
    <mergeCell ref="L604:M604"/>
    <mergeCell ref="B605:G605"/>
    <mergeCell ref="H605:I605"/>
    <mergeCell ref="J605:K605"/>
    <mergeCell ref="L605:M605"/>
    <mergeCell ref="B600:G600"/>
    <mergeCell ref="H600:I600"/>
    <mergeCell ref="J600:K600"/>
    <mergeCell ref="L600:M600"/>
    <mergeCell ref="B601:M601"/>
    <mergeCell ref="A603:M603"/>
    <mergeCell ref="B598:G598"/>
    <mergeCell ref="H598:I598"/>
    <mergeCell ref="J598:K598"/>
    <mergeCell ref="L598:M598"/>
    <mergeCell ref="B599:G599"/>
    <mergeCell ref="H599:I599"/>
    <mergeCell ref="J599:K599"/>
    <mergeCell ref="L599:M599"/>
    <mergeCell ref="B596:G596"/>
    <mergeCell ref="H596:I596"/>
    <mergeCell ref="J596:K596"/>
    <mergeCell ref="L596:M596"/>
    <mergeCell ref="B597:G597"/>
    <mergeCell ref="H597:I597"/>
    <mergeCell ref="J597:K597"/>
    <mergeCell ref="L597:M597"/>
    <mergeCell ref="A593:M593"/>
    <mergeCell ref="B594:G594"/>
    <mergeCell ref="H594:I594"/>
    <mergeCell ref="J594:K594"/>
    <mergeCell ref="L594:M594"/>
    <mergeCell ref="B595:G595"/>
    <mergeCell ref="H595:I595"/>
    <mergeCell ref="J595:K595"/>
    <mergeCell ref="L595:M595"/>
    <mergeCell ref="B590:G590"/>
    <mergeCell ref="H590:I590"/>
    <mergeCell ref="J590:K590"/>
    <mergeCell ref="L590:M590"/>
    <mergeCell ref="B591:M591"/>
    <mergeCell ref="A592:M592"/>
    <mergeCell ref="B588:G588"/>
    <mergeCell ref="H588:I588"/>
    <mergeCell ref="J588:K588"/>
    <mergeCell ref="L588:M588"/>
    <mergeCell ref="B589:G589"/>
    <mergeCell ref="H589:I589"/>
    <mergeCell ref="J589:K589"/>
    <mergeCell ref="L589:M589"/>
    <mergeCell ref="B584:M584"/>
    <mergeCell ref="A585:M585"/>
    <mergeCell ref="A586:M586"/>
    <mergeCell ref="B587:G587"/>
    <mergeCell ref="H587:I587"/>
    <mergeCell ref="J587:K587"/>
    <mergeCell ref="L587:M587"/>
    <mergeCell ref="B582:G582"/>
    <mergeCell ref="H582:I582"/>
    <mergeCell ref="J582:K582"/>
    <mergeCell ref="L582:M582"/>
    <mergeCell ref="B583:G583"/>
    <mergeCell ref="H583:I583"/>
    <mergeCell ref="J583:K583"/>
    <mergeCell ref="L583:M583"/>
    <mergeCell ref="B578:M578"/>
    <mergeCell ref="A579:M579"/>
    <mergeCell ref="A580:M580"/>
    <mergeCell ref="B581:G581"/>
    <mergeCell ref="H581:I581"/>
    <mergeCell ref="J581:K581"/>
    <mergeCell ref="L581:M581"/>
    <mergeCell ref="B576:G576"/>
    <mergeCell ref="H576:I576"/>
    <mergeCell ref="J576:K576"/>
    <mergeCell ref="L576:M576"/>
    <mergeCell ref="B577:G577"/>
    <mergeCell ref="H577:I577"/>
    <mergeCell ref="J577:K577"/>
    <mergeCell ref="L577:M577"/>
    <mergeCell ref="B574:G574"/>
    <mergeCell ref="H574:I574"/>
    <mergeCell ref="J574:K574"/>
    <mergeCell ref="L574:M574"/>
    <mergeCell ref="B575:G575"/>
    <mergeCell ref="H575:I575"/>
    <mergeCell ref="J575:K575"/>
    <mergeCell ref="L575:M575"/>
    <mergeCell ref="A571:M571"/>
    <mergeCell ref="B572:G572"/>
    <mergeCell ref="H572:I572"/>
    <mergeCell ref="J572:K572"/>
    <mergeCell ref="L572:M572"/>
    <mergeCell ref="B573:G573"/>
    <mergeCell ref="H573:I573"/>
    <mergeCell ref="J573:K573"/>
    <mergeCell ref="L573:M573"/>
    <mergeCell ref="B568:G568"/>
    <mergeCell ref="H568:I568"/>
    <mergeCell ref="J568:K568"/>
    <mergeCell ref="L568:M568"/>
    <mergeCell ref="B569:M569"/>
    <mergeCell ref="A570:M570"/>
    <mergeCell ref="B566:G566"/>
    <mergeCell ref="H566:I566"/>
    <mergeCell ref="J566:K566"/>
    <mergeCell ref="L566:M566"/>
    <mergeCell ref="B567:G567"/>
    <mergeCell ref="H567:I567"/>
    <mergeCell ref="J567:K567"/>
    <mergeCell ref="L567:M567"/>
    <mergeCell ref="B564:G564"/>
    <mergeCell ref="H564:I564"/>
    <mergeCell ref="J564:K564"/>
    <mergeCell ref="L564:M564"/>
    <mergeCell ref="B565:G565"/>
    <mergeCell ref="H565:I565"/>
    <mergeCell ref="J565:K565"/>
    <mergeCell ref="L565:M565"/>
    <mergeCell ref="B562:G562"/>
    <mergeCell ref="H562:I562"/>
    <mergeCell ref="J562:K562"/>
    <mergeCell ref="L562:M562"/>
    <mergeCell ref="B563:G563"/>
    <mergeCell ref="H563:I563"/>
    <mergeCell ref="J563:K563"/>
    <mergeCell ref="L563:M563"/>
    <mergeCell ref="A558:M558"/>
    <mergeCell ref="A560:M560"/>
    <mergeCell ref="B561:G561"/>
    <mergeCell ref="H561:I561"/>
    <mergeCell ref="J561:K561"/>
    <mergeCell ref="L561:M561"/>
    <mergeCell ref="B555:G555"/>
    <mergeCell ref="H555:I555"/>
    <mergeCell ref="J555:K555"/>
    <mergeCell ref="L555:M555"/>
    <mergeCell ref="B556:G556"/>
    <mergeCell ref="H556:I556"/>
    <mergeCell ref="J556:K556"/>
    <mergeCell ref="L556:M556"/>
    <mergeCell ref="A552:M552"/>
    <mergeCell ref="A553:M553"/>
    <mergeCell ref="B554:G554"/>
    <mergeCell ref="H554:I554"/>
    <mergeCell ref="J554:K554"/>
    <mergeCell ref="L554:M554"/>
    <mergeCell ref="B550:G550"/>
    <mergeCell ref="H550:I550"/>
    <mergeCell ref="J550:K550"/>
    <mergeCell ref="L550:M550"/>
    <mergeCell ref="B551:G551"/>
    <mergeCell ref="H551:I551"/>
    <mergeCell ref="J551:K551"/>
    <mergeCell ref="L551:M551"/>
    <mergeCell ref="A547:M547"/>
    <mergeCell ref="A548:M548"/>
    <mergeCell ref="B549:G549"/>
    <mergeCell ref="H549:I549"/>
    <mergeCell ref="J549:K549"/>
    <mergeCell ref="L549:M549"/>
    <mergeCell ref="B545:G545"/>
    <mergeCell ref="H545:I545"/>
    <mergeCell ref="J545:K545"/>
    <mergeCell ref="L545:M545"/>
    <mergeCell ref="B546:G546"/>
    <mergeCell ref="H546:I546"/>
    <mergeCell ref="J546:K546"/>
    <mergeCell ref="L546:M546"/>
    <mergeCell ref="B543:G543"/>
    <mergeCell ref="H543:I543"/>
    <mergeCell ref="J543:K543"/>
    <mergeCell ref="L543:M543"/>
    <mergeCell ref="B544:G544"/>
    <mergeCell ref="H544:I544"/>
    <mergeCell ref="J544:K544"/>
    <mergeCell ref="L544:M544"/>
    <mergeCell ref="B541:G541"/>
    <mergeCell ref="H541:I541"/>
    <mergeCell ref="J541:K541"/>
    <mergeCell ref="L541:M541"/>
    <mergeCell ref="B542:G542"/>
    <mergeCell ref="H542:I542"/>
    <mergeCell ref="J542:K542"/>
    <mergeCell ref="L542:M542"/>
    <mergeCell ref="L535:M535"/>
    <mergeCell ref="A536:M536"/>
    <mergeCell ref="A538:M538"/>
    <mergeCell ref="A539:M539"/>
    <mergeCell ref="B540:G540"/>
    <mergeCell ref="H540:I540"/>
    <mergeCell ref="J540:K540"/>
    <mergeCell ref="L540:M540"/>
    <mergeCell ref="B533:G533"/>
    <mergeCell ref="H533:I533"/>
    <mergeCell ref="J533:K533"/>
    <mergeCell ref="L533:M533"/>
    <mergeCell ref="B534:G534"/>
    <mergeCell ref="H534:I534"/>
    <mergeCell ref="J534:K534"/>
    <mergeCell ref="L534:M534"/>
    <mergeCell ref="B531:G531"/>
    <mergeCell ref="H531:I531"/>
    <mergeCell ref="J531:K531"/>
    <mergeCell ref="L531:M531"/>
    <mergeCell ref="B532:G532"/>
    <mergeCell ref="H532:I532"/>
    <mergeCell ref="J532:K532"/>
    <mergeCell ref="L532:M532"/>
    <mergeCell ref="B529:G529"/>
    <mergeCell ref="H529:I529"/>
    <mergeCell ref="J529:K529"/>
    <mergeCell ref="L529:M529"/>
    <mergeCell ref="B530:G530"/>
    <mergeCell ref="H530:I530"/>
    <mergeCell ref="J530:K530"/>
    <mergeCell ref="L530:M530"/>
    <mergeCell ref="B525:G525"/>
    <mergeCell ref="H525:I525"/>
    <mergeCell ref="J525:K525"/>
    <mergeCell ref="L525:M525"/>
    <mergeCell ref="A527:M527"/>
    <mergeCell ref="B528:G528"/>
    <mergeCell ref="H528:I528"/>
    <mergeCell ref="J528:K528"/>
    <mergeCell ref="L528:M528"/>
    <mergeCell ref="B523:G523"/>
    <mergeCell ref="H523:I523"/>
    <mergeCell ref="J523:K523"/>
    <mergeCell ref="L523:M523"/>
    <mergeCell ref="B524:G524"/>
    <mergeCell ref="H524:I524"/>
    <mergeCell ref="J524:K524"/>
    <mergeCell ref="L524:M524"/>
    <mergeCell ref="B519:G519"/>
    <mergeCell ref="H519:I519"/>
    <mergeCell ref="J519:K519"/>
    <mergeCell ref="L519:M519"/>
    <mergeCell ref="A521:M521"/>
    <mergeCell ref="B522:G522"/>
    <mergeCell ref="H522:I522"/>
    <mergeCell ref="J522:K522"/>
    <mergeCell ref="L522:M522"/>
    <mergeCell ref="B517:G517"/>
    <mergeCell ref="H517:I517"/>
    <mergeCell ref="J517:K517"/>
    <mergeCell ref="L517:M517"/>
    <mergeCell ref="B518:G518"/>
    <mergeCell ref="H518:I518"/>
    <mergeCell ref="J518:K518"/>
    <mergeCell ref="L518:M518"/>
    <mergeCell ref="B515:G515"/>
    <mergeCell ref="H515:I515"/>
    <mergeCell ref="J515:K515"/>
    <mergeCell ref="L515:M515"/>
    <mergeCell ref="B516:G516"/>
    <mergeCell ref="H516:I516"/>
    <mergeCell ref="J516:K516"/>
    <mergeCell ref="L516:M516"/>
    <mergeCell ref="B513:G513"/>
    <mergeCell ref="H513:I513"/>
    <mergeCell ref="J513:K513"/>
    <mergeCell ref="L513:M513"/>
    <mergeCell ref="B514:G514"/>
    <mergeCell ref="H514:I514"/>
    <mergeCell ref="J514:K514"/>
    <mergeCell ref="L514:M514"/>
    <mergeCell ref="A510:M510"/>
    <mergeCell ref="A511:M511"/>
    <mergeCell ref="B512:G512"/>
    <mergeCell ref="H512:I512"/>
    <mergeCell ref="J512:K512"/>
    <mergeCell ref="L512:M512"/>
    <mergeCell ref="A507:M507"/>
    <mergeCell ref="B508:G508"/>
    <mergeCell ref="H508:I508"/>
    <mergeCell ref="J508:K508"/>
    <mergeCell ref="L508:M508"/>
    <mergeCell ref="B509:G509"/>
    <mergeCell ref="H509:I509"/>
    <mergeCell ref="J509:K509"/>
    <mergeCell ref="L509:M509"/>
    <mergeCell ref="B505:G505"/>
    <mergeCell ref="H505:I505"/>
    <mergeCell ref="J505:K505"/>
    <mergeCell ref="L505:M505"/>
    <mergeCell ref="B506:G506"/>
    <mergeCell ref="H506:I506"/>
    <mergeCell ref="J506:K506"/>
    <mergeCell ref="L506:M506"/>
    <mergeCell ref="A502:M502"/>
    <mergeCell ref="B503:G503"/>
    <mergeCell ref="H503:I503"/>
    <mergeCell ref="J503:K503"/>
    <mergeCell ref="L503:M503"/>
    <mergeCell ref="B504:G504"/>
    <mergeCell ref="H504:I504"/>
    <mergeCell ref="J504:K504"/>
    <mergeCell ref="L504:M504"/>
    <mergeCell ref="B499:G499"/>
    <mergeCell ref="H499:I499"/>
    <mergeCell ref="J499:K499"/>
    <mergeCell ref="L499:M499"/>
    <mergeCell ref="A500:M500"/>
    <mergeCell ref="A501:M501"/>
    <mergeCell ref="A496:M496"/>
    <mergeCell ref="B497:G497"/>
    <mergeCell ref="H497:I497"/>
    <mergeCell ref="J497:K497"/>
    <mergeCell ref="L497:M497"/>
    <mergeCell ref="A498:M498"/>
    <mergeCell ref="H494:I494"/>
    <mergeCell ref="J494:K494"/>
    <mergeCell ref="L494:M494"/>
    <mergeCell ref="H495:I495"/>
    <mergeCell ref="J495:K495"/>
    <mergeCell ref="L495:M495"/>
    <mergeCell ref="H492:I492"/>
    <mergeCell ref="J492:K492"/>
    <mergeCell ref="L492:M492"/>
    <mergeCell ref="H493:I493"/>
    <mergeCell ref="J493:K493"/>
    <mergeCell ref="L493:M493"/>
    <mergeCell ref="B490:G490"/>
    <mergeCell ref="H490:I490"/>
    <mergeCell ref="J490:K490"/>
    <mergeCell ref="L490:M490"/>
    <mergeCell ref="B491:G491"/>
    <mergeCell ref="H491:I491"/>
    <mergeCell ref="J491:K491"/>
    <mergeCell ref="L491:M491"/>
    <mergeCell ref="B487:G487"/>
    <mergeCell ref="H487:I487"/>
    <mergeCell ref="J487:K487"/>
    <mergeCell ref="L487:M487"/>
    <mergeCell ref="A488:M488"/>
    <mergeCell ref="B489:G489"/>
    <mergeCell ref="H489:I489"/>
    <mergeCell ref="J489:K489"/>
    <mergeCell ref="L489:M489"/>
    <mergeCell ref="B485:G485"/>
    <mergeCell ref="H485:I485"/>
    <mergeCell ref="J485:K485"/>
    <mergeCell ref="L485:M485"/>
    <mergeCell ref="B486:G486"/>
    <mergeCell ref="H486:I486"/>
    <mergeCell ref="J486:K486"/>
    <mergeCell ref="L486:M486"/>
    <mergeCell ref="B483:G483"/>
    <mergeCell ref="H483:I483"/>
    <mergeCell ref="J483:K483"/>
    <mergeCell ref="L483:M483"/>
    <mergeCell ref="B484:G484"/>
    <mergeCell ref="H484:I484"/>
    <mergeCell ref="J484:K484"/>
    <mergeCell ref="L484:M484"/>
    <mergeCell ref="A480:M480"/>
    <mergeCell ref="B481:G481"/>
    <mergeCell ref="H481:I481"/>
    <mergeCell ref="J481:K481"/>
    <mergeCell ref="L481:M481"/>
    <mergeCell ref="B482:G482"/>
    <mergeCell ref="H482:I482"/>
    <mergeCell ref="J482:K482"/>
    <mergeCell ref="L482:M482"/>
    <mergeCell ref="B477:G477"/>
    <mergeCell ref="H477:I477"/>
    <mergeCell ref="J477:K477"/>
    <mergeCell ref="L477:M477"/>
    <mergeCell ref="A478:M478"/>
    <mergeCell ref="A479:M479"/>
    <mergeCell ref="A474:M474"/>
    <mergeCell ref="A475:M475"/>
    <mergeCell ref="B476:G476"/>
    <mergeCell ref="H476:I476"/>
    <mergeCell ref="J476:K476"/>
    <mergeCell ref="L476:M476"/>
    <mergeCell ref="A471:M471"/>
    <mergeCell ref="B472:G472"/>
    <mergeCell ref="H472:I472"/>
    <mergeCell ref="J472:K472"/>
    <mergeCell ref="L472:M472"/>
    <mergeCell ref="B473:G473"/>
    <mergeCell ref="H473:I473"/>
    <mergeCell ref="J473:K473"/>
    <mergeCell ref="L473:M473"/>
    <mergeCell ref="B469:G469"/>
    <mergeCell ref="H469:I469"/>
    <mergeCell ref="J469:K469"/>
    <mergeCell ref="L469:M469"/>
    <mergeCell ref="B470:G470"/>
    <mergeCell ref="H470:I470"/>
    <mergeCell ref="J470:K470"/>
    <mergeCell ref="L470:M470"/>
    <mergeCell ref="A466:M466"/>
    <mergeCell ref="B467:G467"/>
    <mergeCell ref="H467:I467"/>
    <mergeCell ref="J467:K467"/>
    <mergeCell ref="L467:M467"/>
    <mergeCell ref="B468:G468"/>
    <mergeCell ref="H468:I468"/>
    <mergeCell ref="J468:K468"/>
    <mergeCell ref="L468:M468"/>
    <mergeCell ref="B464:G464"/>
    <mergeCell ref="H464:I464"/>
    <mergeCell ref="J464:K464"/>
    <mergeCell ref="L464:M464"/>
    <mergeCell ref="B465:G465"/>
    <mergeCell ref="H465:I465"/>
    <mergeCell ref="J465:K465"/>
    <mergeCell ref="L465:M465"/>
    <mergeCell ref="B462:G462"/>
    <mergeCell ref="H462:I462"/>
    <mergeCell ref="J462:K462"/>
    <mergeCell ref="L462:M462"/>
    <mergeCell ref="B463:G463"/>
    <mergeCell ref="H463:I463"/>
    <mergeCell ref="J463:K463"/>
    <mergeCell ref="L463:M463"/>
    <mergeCell ref="B460:G460"/>
    <mergeCell ref="H460:I460"/>
    <mergeCell ref="J460:K460"/>
    <mergeCell ref="L460:M460"/>
    <mergeCell ref="B461:G461"/>
    <mergeCell ref="H461:I461"/>
    <mergeCell ref="J461:K461"/>
    <mergeCell ref="L461:M461"/>
    <mergeCell ref="B457:G457"/>
    <mergeCell ref="H457:I457"/>
    <mergeCell ref="J457:K457"/>
    <mergeCell ref="L457:M457"/>
    <mergeCell ref="A458:M458"/>
    <mergeCell ref="B459:G459"/>
    <mergeCell ref="H459:I459"/>
    <mergeCell ref="J459:K459"/>
    <mergeCell ref="L459:M459"/>
    <mergeCell ref="B455:G455"/>
    <mergeCell ref="H455:I455"/>
    <mergeCell ref="J455:K455"/>
    <mergeCell ref="L455:M455"/>
    <mergeCell ref="B456:G456"/>
    <mergeCell ref="H456:I456"/>
    <mergeCell ref="J456:K456"/>
    <mergeCell ref="L456:M456"/>
    <mergeCell ref="B453:G453"/>
    <mergeCell ref="H453:I453"/>
    <mergeCell ref="J453:K453"/>
    <mergeCell ref="L453:M453"/>
    <mergeCell ref="B454:G454"/>
    <mergeCell ref="H454:I454"/>
    <mergeCell ref="J454:K454"/>
    <mergeCell ref="L454:M454"/>
    <mergeCell ref="B451:G451"/>
    <mergeCell ref="H451:I451"/>
    <mergeCell ref="J451:K451"/>
    <mergeCell ref="L451:M451"/>
    <mergeCell ref="B452:G452"/>
    <mergeCell ref="H452:I452"/>
    <mergeCell ref="J452:K452"/>
    <mergeCell ref="L452:M452"/>
    <mergeCell ref="A448:M448"/>
    <mergeCell ref="A449:M449"/>
    <mergeCell ref="B450:G450"/>
    <mergeCell ref="H450:I450"/>
    <mergeCell ref="J450:K450"/>
    <mergeCell ref="L450:M450"/>
    <mergeCell ref="B443:G443"/>
    <mergeCell ref="H443:I443"/>
    <mergeCell ref="J443:K443"/>
    <mergeCell ref="L443:M443"/>
    <mergeCell ref="A444:M444"/>
    <mergeCell ref="A446:M446"/>
    <mergeCell ref="B441:G441"/>
    <mergeCell ref="H441:I441"/>
    <mergeCell ref="J441:K441"/>
    <mergeCell ref="L441:M441"/>
    <mergeCell ref="B442:G442"/>
    <mergeCell ref="H442:I442"/>
    <mergeCell ref="J442:K442"/>
    <mergeCell ref="L442:M442"/>
    <mergeCell ref="A438:M438"/>
    <mergeCell ref="A439:M439"/>
    <mergeCell ref="B440:G440"/>
    <mergeCell ref="H440:I440"/>
    <mergeCell ref="J440:K440"/>
    <mergeCell ref="L440:M440"/>
    <mergeCell ref="B436:G436"/>
    <mergeCell ref="H436:I436"/>
    <mergeCell ref="J436:K436"/>
    <mergeCell ref="L436:M436"/>
    <mergeCell ref="B437:G437"/>
    <mergeCell ref="H437:I437"/>
    <mergeCell ref="J437:K437"/>
    <mergeCell ref="L437:M437"/>
    <mergeCell ref="B434:G434"/>
    <mergeCell ref="H434:I434"/>
    <mergeCell ref="J434:K434"/>
    <mergeCell ref="L434:M434"/>
    <mergeCell ref="B435:G435"/>
    <mergeCell ref="H435:I435"/>
    <mergeCell ref="J435:K435"/>
    <mergeCell ref="L435:M435"/>
    <mergeCell ref="B431:G431"/>
    <mergeCell ref="H431:I431"/>
    <mergeCell ref="J431:K431"/>
    <mergeCell ref="L431:M431"/>
    <mergeCell ref="A432:M432"/>
    <mergeCell ref="B433:G433"/>
    <mergeCell ref="H433:I433"/>
    <mergeCell ref="J433:K433"/>
    <mergeCell ref="L433:M433"/>
    <mergeCell ref="A428:M428"/>
    <mergeCell ref="B429:G429"/>
    <mergeCell ref="H429:I429"/>
    <mergeCell ref="J429:K429"/>
    <mergeCell ref="L429:M429"/>
    <mergeCell ref="B430:G430"/>
    <mergeCell ref="H430:I430"/>
    <mergeCell ref="J430:K430"/>
    <mergeCell ref="L430:M430"/>
    <mergeCell ref="B426:G426"/>
    <mergeCell ref="H426:I426"/>
    <mergeCell ref="J426:K426"/>
    <mergeCell ref="L426:M426"/>
    <mergeCell ref="B427:G427"/>
    <mergeCell ref="H427:I427"/>
    <mergeCell ref="J427:K427"/>
    <mergeCell ref="L427:M427"/>
    <mergeCell ref="A423:M423"/>
    <mergeCell ref="B424:G424"/>
    <mergeCell ref="H424:I424"/>
    <mergeCell ref="J424:K424"/>
    <mergeCell ref="L424:M424"/>
    <mergeCell ref="B425:G425"/>
    <mergeCell ref="H425:I425"/>
    <mergeCell ref="J425:K425"/>
    <mergeCell ref="L425:M425"/>
    <mergeCell ref="B421:G421"/>
    <mergeCell ref="H421:I421"/>
    <mergeCell ref="J421:K421"/>
    <mergeCell ref="L421:M421"/>
    <mergeCell ref="B422:G422"/>
    <mergeCell ref="H422:I422"/>
    <mergeCell ref="J422:K422"/>
    <mergeCell ref="L422:M422"/>
    <mergeCell ref="B419:G419"/>
    <mergeCell ref="H419:I419"/>
    <mergeCell ref="J419:K419"/>
    <mergeCell ref="L419:M419"/>
    <mergeCell ref="B420:G420"/>
    <mergeCell ref="H420:I420"/>
    <mergeCell ref="J420:K420"/>
    <mergeCell ref="L420:M420"/>
    <mergeCell ref="B417:G417"/>
    <mergeCell ref="H417:I417"/>
    <mergeCell ref="J417:K417"/>
    <mergeCell ref="L417:M417"/>
    <mergeCell ref="B418:G418"/>
    <mergeCell ref="H418:I418"/>
    <mergeCell ref="J418:K418"/>
    <mergeCell ref="L418:M418"/>
    <mergeCell ref="A413:M413"/>
    <mergeCell ref="A414:M414"/>
    <mergeCell ref="A415:M415"/>
    <mergeCell ref="B416:G416"/>
    <mergeCell ref="H416:I416"/>
    <mergeCell ref="J416:K416"/>
    <mergeCell ref="L416:M416"/>
    <mergeCell ref="A410:M410"/>
    <mergeCell ref="B411:G411"/>
    <mergeCell ref="H411:I411"/>
    <mergeCell ref="J411:K411"/>
    <mergeCell ref="L411:M411"/>
    <mergeCell ref="B412:G412"/>
    <mergeCell ref="H412:I412"/>
    <mergeCell ref="J412:K412"/>
    <mergeCell ref="L412:M412"/>
    <mergeCell ref="B405:G405"/>
    <mergeCell ref="H405:I405"/>
    <mergeCell ref="J405:K405"/>
    <mergeCell ref="L405:M405"/>
    <mergeCell ref="A406:M406"/>
    <mergeCell ref="A408:M408"/>
    <mergeCell ref="B403:G403"/>
    <mergeCell ref="H403:I403"/>
    <mergeCell ref="J403:K403"/>
    <mergeCell ref="L403:M403"/>
    <mergeCell ref="B404:G404"/>
    <mergeCell ref="H404:I404"/>
    <mergeCell ref="J404:K404"/>
    <mergeCell ref="L404:M404"/>
    <mergeCell ref="B401:G401"/>
    <mergeCell ref="H401:I401"/>
    <mergeCell ref="J401:K401"/>
    <mergeCell ref="L401:M401"/>
    <mergeCell ref="B402:G402"/>
    <mergeCell ref="H402:I402"/>
    <mergeCell ref="J402:K402"/>
    <mergeCell ref="L402:M402"/>
    <mergeCell ref="A398:M398"/>
    <mergeCell ref="A399:M399"/>
    <mergeCell ref="B400:G400"/>
    <mergeCell ref="H400:I400"/>
    <mergeCell ref="J400:K400"/>
    <mergeCell ref="L400:M400"/>
    <mergeCell ref="B396:G396"/>
    <mergeCell ref="H396:I396"/>
    <mergeCell ref="J396:K396"/>
    <mergeCell ref="L396:M396"/>
    <mergeCell ref="B397:G397"/>
    <mergeCell ref="H397:I397"/>
    <mergeCell ref="J397:K397"/>
    <mergeCell ref="L397:M397"/>
    <mergeCell ref="B393:G393"/>
    <mergeCell ref="H393:I393"/>
    <mergeCell ref="J393:K393"/>
    <mergeCell ref="L393:M393"/>
    <mergeCell ref="A394:M394"/>
    <mergeCell ref="B395:G395"/>
    <mergeCell ref="H395:I395"/>
    <mergeCell ref="J395:K395"/>
    <mergeCell ref="L395:M395"/>
    <mergeCell ref="A390:M390"/>
    <mergeCell ref="B391:G391"/>
    <mergeCell ref="H391:I391"/>
    <mergeCell ref="J391:K391"/>
    <mergeCell ref="L391:M391"/>
    <mergeCell ref="B392:G392"/>
    <mergeCell ref="H392:I392"/>
    <mergeCell ref="J392:K392"/>
    <mergeCell ref="L392:M392"/>
    <mergeCell ref="A387:M387"/>
    <mergeCell ref="B388:G388"/>
    <mergeCell ref="H388:I388"/>
    <mergeCell ref="J388:K388"/>
    <mergeCell ref="L388:M388"/>
    <mergeCell ref="B389:G389"/>
    <mergeCell ref="H389:I389"/>
    <mergeCell ref="J389:K389"/>
    <mergeCell ref="L389:M389"/>
    <mergeCell ref="A384:M384"/>
    <mergeCell ref="B385:G385"/>
    <mergeCell ref="H385:I385"/>
    <mergeCell ref="J385:K385"/>
    <mergeCell ref="L385:M385"/>
    <mergeCell ref="B386:G386"/>
    <mergeCell ref="H386:I386"/>
    <mergeCell ref="J386:K386"/>
    <mergeCell ref="L386:M386"/>
    <mergeCell ref="A381:M381"/>
    <mergeCell ref="B382:G382"/>
    <mergeCell ref="H382:I382"/>
    <mergeCell ref="J382:K382"/>
    <mergeCell ref="L382:M382"/>
    <mergeCell ref="B383:G383"/>
    <mergeCell ref="H383:I383"/>
    <mergeCell ref="J383:K383"/>
    <mergeCell ref="L383:M383"/>
    <mergeCell ref="B379:G379"/>
    <mergeCell ref="H379:I379"/>
    <mergeCell ref="J379:K379"/>
    <mergeCell ref="L379:M379"/>
    <mergeCell ref="B380:G380"/>
    <mergeCell ref="H380:I380"/>
    <mergeCell ref="J380:K380"/>
    <mergeCell ref="L380:M380"/>
    <mergeCell ref="A376:M376"/>
    <mergeCell ref="B377:G377"/>
    <mergeCell ref="H377:I377"/>
    <mergeCell ref="J377:K377"/>
    <mergeCell ref="L377:M377"/>
    <mergeCell ref="B378:G378"/>
    <mergeCell ref="H378:I378"/>
    <mergeCell ref="J378:K378"/>
    <mergeCell ref="L378:M378"/>
    <mergeCell ref="B371:G371"/>
    <mergeCell ref="H371:I371"/>
    <mergeCell ref="J371:K371"/>
    <mergeCell ref="L371:M371"/>
    <mergeCell ref="A373:M373"/>
    <mergeCell ref="A375:M375"/>
    <mergeCell ref="B369:G369"/>
    <mergeCell ref="H369:I369"/>
    <mergeCell ref="J369:K369"/>
    <mergeCell ref="L369:M369"/>
    <mergeCell ref="B370:G370"/>
    <mergeCell ref="H370:I370"/>
    <mergeCell ref="J370:K370"/>
    <mergeCell ref="L370:M370"/>
    <mergeCell ref="B367:G367"/>
    <mergeCell ref="H367:I367"/>
    <mergeCell ref="J367:K367"/>
    <mergeCell ref="L367:M367"/>
    <mergeCell ref="B368:G368"/>
    <mergeCell ref="H368:I368"/>
    <mergeCell ref="J368:K368"/>
    <mergeCell ref="L368:M368"/>
    <mergeCell ref="A361:M361"/>
    <mergeCell ref="A363:M363"/>
    <mergeCell ref="A365:M365"/>
    <mergeCell ref="B366:G366"/>
    <mergeCell ref="H366:I366"/>
    <mergeCell ref="J366:K366"/>
    <mergeCell ref="L366:M366"/>
    <mergeCell ref="B359:G359"/>
    <mergeCell ref="H359:I359"/>
    <mergeCell ref="J359:K359"/>
    <mergeCell ref="L359:M359"/>
    <mergeCell ref="B360:G360"/>
    <mergeCell ref="H360:I360"/>
    <mergeCell ref="J360:K360"/>
    <mergeCell ref="L360:M360"/>
    <mergeCell ref="B357:G357"/>
    <mergeCell ref="H357:I357"/>
    <mergeCell ref="J357:K357"/>
    <mergeCell ref="L357:M357"/>
    <mergeCell ref="B358:G358"/>
    <mergeCell ref="H358:I358"/>
    <mergeCell ref="J358:K358"/>
    <mergeCell ref="L358:M358"/>
    <mergeCell ref="B355:G355"/>
    <mergeCell ref="H355:I355"/>
    <mergeCell ref="J355:K355"/>
    <mergeCell ref="L355:M355"/>
    <mergeCell ref="B356:G356"/>
    <mergeCell ref="H356:I356"/>
    <mergeCell ref="J356:K356"/>
    <mergeCell ref="L356:M356"/>
    <mergeCell ref="B353:G353"/>
    <mergeCell ref="H353:I353"/>
    <mergeCell ref="J353:K353"/>
    <mergeCell ref="L353:M353"/>
    <mergeCell ref="B354:G354"/>
    <mergeCell ref="H354:I354"/>
    <mergeCell ref="J354:K354"/>
    <mergeCell ref="L354:M354"/>
    <mergeCell ref="B350:G350"/>
    <mergeCell ref="H350:I350"/>
    <mergeCell ref="J350:K350"/>
    <mergeCell ref="L350:M350"/>
    <mergeCell ref="A351:M351"/>
    <mergeCell ref="A352:M352"/>
    <mergeCell ref="B348:G348"/>
    <mergeCell ref="H348:I348"/>
    <mergeCell ref="J348:K348"/>
    <mergeCell ref="L348:M348"/>
    <mergeCell ref="B349:G349"/>
    <mergeCell ref="H349:I349"/>
    <mergeCell ref="J349:K349"/>
    <mergeCell ref="L349:M349"/>
    <mergeCell ref="A345:M345"/>
    <mergeCell ref="A346:M346"/>
    <mergeCell ref="B347:G347"/>
    <mergeCell ref="H347:I347"/>
    <mergeCell ref="J347:K347"/>
    <mergeCell ref="L347:M347"/>
    <mergeCell ref="B343:G343"/>
    <mergeCell ref="H343:I343"/>
    <mergeCell ref="J343:K343"/>
    <mergeCell ref="L343:M343"/>
    <mergeCell ref="B344:G344"/>
    <mergeCell ref="H344:I344"/>
    <mergeCell ref="J344:K344"/>
    <mergeCell ref="L344:M344"/>
    <mergeCell ref="A340:M340"/>
    <mergeCell ref="A341:M341"/>
    <mergeCell ref="B342:G342"/>
    <mergeCell ref="H342:I342"/>
    <mergeCell ref="J342:K342"/>
    <mergeCell ref="L342:M342"/>
    <mergeCell ref="B338:G338"/>
    <mergeCell ref="H338:I338"/>
    <mergeCell ref="J338:K338"/>
    <mergeCell ref="L338:M338"/>
    <mergeCell ref="B339:G339"/>
    <mergeCell ref="H339:I339"/>
    <mergeCell ref="J339:K339"/>
    <mergeCell ref="L339:M339"/>
    <mergeCell ref="B336:G336"/>
    <mergeCell ref="H336:I336"/>
    <mergeCell ref="J336:K336"/>
    <mergeCell ref="L336:M336"/>
    <mergeCell ref="B337:G337"/>
    <mergeCell ref="H337:I337"/>
    <mergeCell ref="J337:K337"/>
    <mergeCell ref="L337:M337"/>
    <mergeCell ref="A331:M331"/>
    <mergeCell ref="A333:M333"/>
    <mergeCell ref="A334:M334"/>
    <mergeCell ref="B335:G335"/>
    <mergeCell ref="H335:I335"/>
    <mergeCell ref="J335:K335"/>
    <mergeCell ref="L335:M335"/>
    <mergeCell ref="B328:G328"/>
    <mergeCell ref="H328:I328"/>
    <mergeCell ref="J328:K328"/>
    <mergeCell ref="L328:M328"/>
    <mergeCell ref="B329:G329"/>
    <mergeCell ref="H329:I329"/>
    <mergeCell ref="J329:K329"/>
    <mergeCell ref="L329:M329"/>
    <mergeCell ref="B324:G324"/>
    <mergeCell ref="H324:I324"/>
    <mergeCell ref="J324:K324"/>
    <mergeCell ref="L324:M324"/>
    <mergeCell ref="A326:M326"/>
    <mergeCell ref="B327:G327"/>
    <mergeCell ref="H327:I327"/>
    <mergeCell ref="J327:K327"/>
    <mergeCell ref="L327:M327"/>
    <mergeCell ref="B321:G321"/>
    <mergeCell ref="H321:I321"/>
    <mergeCell ref="J321:K321"/>
    <mergeCell ref="L321:M321"/>
    <mergeCell ref="A322:M322"/>
    <mergeCell ref="B323:G323"/>
    <mergeCell ref="H323:I323"/>
    <mergeCell ref="J323:K323"/>
    <mergeCell ref="L323:M323"/>
    <mergeCell ref="A318:M318"/>
    <mergeCell ref="A319:M319"/>
    <mergeCell ref="B320:G320"/>
    <mergeCell ref="H320:I320"/>
    <mergeCell ref="J320:K320"/>
    <mergeCell ref="L320:M320"/>
    <mergeCell ref="B315:G315"/>
    <mergeCell ref="H315:I315"/>
    <mergeCell ref="J315:K315"/>
    <mergeCell ref="L315:M315"/>
    <mergeCell ref="B316:G316"/>
    <mergeCell ref="H316:I316"/>
    <mergeCell ref="J316:K316"/>
    <mergeCell ref="L316:M316"/>
    <mergeCell ref="B312:G312"/>
    <mergeCell ref="H312:I312"/>
    <mergeCell ref="J312:K312"/>
    <mergeCell ref="L312:M312"/>
    <mergeCell ref="A313:M313"/>
    <mergeCell ref="A314:M314"/>
    <mergeCell ref="B310:G310"/>
    <mergeCell ref="H310:I310"/>
    <mergeCell ref="J310:K310"/>
    <mergeCell ref="L310:M310"/>
    <mergeCell ref="B311:G311"/>
    <mergeCell ref="H311:I311"/>
    <mergeCell ref="J311:K311"/>
    <mergeCell ref="L311:M311"/>
    <mergeCell ref="B308:G308"/>
    <mergeCell ref="H308:I308"/>
    <mergeCell ref="J308:K308"/>
    <mergeCell ref="L308:M308"/>
    <mergeCell ref="B309:G309"/>
    <mergeCell ref="H309:I309"/>
    <mergeCell ref="J309:K309"/>
    <mergeCell ref="L309:M309"/>
    <mergeCell ref="B306:G306"/>
    <mergeCell ref="H306:I306"/>
    <mergeCell ref="J306:K306"/>
    <mergeCell ref="L306:M306"/>
    <mergeCell ref="B307:G307"/>
    <mergeCell ref="H307:I307"/>
    <mergeCell ref="J307:K307"/>
    <mergeCell ref="L307:M307"/>
    <mergeCell ref="B303:G303"/>
    <mergeCell ref="H303:I303"/>
    <mergeCell ref="J303:K303"/>
    <mergeCell ref="L303:M303"/>
    <mergeCell ref="A304:M304"/>
    <mergeCell ref="A305:M305"/>
    <mergeCell ref="B301:G301"/>
    <mergeCell ref="H301:I301"/>
    <mergeCell ref="J301:K301"/>
    <mergeCell ref="L301:M301"/>
    <mergeCell ref="B302:G302"/>
    <mergeCell ref="H302:I302"/>
    <mergeCell ref="J302:K302"/>
    <mergeCell ref="L302:M302"/>
    <mergeCell ref="B299:G299"/>
    <mergeCell ref="H299:I299"/>
    <mergeCell ref="J299:K299"/>
    <mergeCell ref="L299:M299"/>
    <mergeCell ref="B300:G300"/>
    <mergeCell ref="H300:I300"/>
    <mergeCell ref="J300:K300"/>
    <mergeCell ref="L300:M300"/>
    <mergeCell ref="B297:G297"/>
    <mergeCell ref="H297:I297"/>
    <mergeCell ref="J297:K297"/>
    <mergeCell ref="L297:M297"/>
    <mergeCell ref="B298:G298"/>
    <mergeCell ref="H298:I298"/>
    <mergeCell ref="J298:K298"/>
    <mergeCell ref="L298:M298"/>
    <mergeCell ref="A292:M292"/>
    <mergeCell ref="A294:M294"/>
    <mergeCell ref="A295:M295"/>
    <mergeCell ref="B296:G296"/>
    <mergeCell ref="H296:I296"/>
    <mergeCell ref="J296:K296"/>
    <mergeCell ref="L296:M296"/>
    <mergeCell ref="B288:G288"/>
    <mergeCell ref="H288:I288"/>
    <mergeCell ref="J288:K288"/>
    <mergeCell ref="L288:M288"/>
    <mergeCell ref="A289:M289"/>
    <mergeCell ref="B290:G290"/>
    <mergeCell ref="H290:I290"/>
    <mergeCell ref="J290:K290"/>
    <mergeCell ref="L290:M290"/>
    <mergeCell ref="B286:G286"/>
    <mergeCell ref="H286:I286"/>
    <mergeCell ref="J286:K286"/>
    <mergeCell ref="L286:M286"/>
    <mergeCell ref="B287:G287"/>
    <mergeCell ref="H287:I287"/>
    <mergeCell ref="J287:K287"/>
    <mergeCell ref="L287:M287"/>
    <mergeCell ref="A283:M283"/>
    <mergeCell ref="B284:G284"/>
    <mergeCell ref="H284:I284"/>
    <mergeCell ref="J284:K284"/>
    <mergeCell ref="L284:M284"/>
    <mergeCell ref="B285:G285"/>
    <mergeCell ref="H285:I285"/>
    <mergeCell ref="J285:K285"/>
    <mergeCell ref="L285:M285"/>
    <mergeCell ref="B280:G280"/>
    <mergeCell ref="H280:I280"/>
    <mergeCell ref="J280:K280"/>
    <mergeCell ref="L280:M280"/>
    <mergeCell ref="A281:M281"/>
    <mergeCell ref="A282:M282"/>
    <mergeCell ref="B278:G278"/>
    <mergeCell ref="H278:I278"/>
    <mergeCell ref="J278:K278"/>
    <mergeCell ref="L278:M278"/>
    <mergeCell ref="B279:G279"/>
    <mergeCell ref="H279:I279"/>
    <mergeCell ref="J279:K279"/>
    <mergeCell ref="L279:M279"/>
    <mergeCell ref="A275:M275"/>
    <mergeCell ref="B276:G276"/>
    <mergeCell ref="H276:I276"/>
    <mergeCell ref="J276:K276"/>
    <mergeCell ref="L276:M276"/>
    <mergeCell ref="B277:G277"/>
    <mergeCell ref="H277:I277"/>
    <mergeCell ref="J277:K277"/>
    <mergeCell ref="L277:M277"/>
    <mergeCell ref="B273:G273"/>
    <mergeCell ref="H273:I273"/>
    <mergeCell ref="J273:K273"/>
    <mergeCell ref="L273:M273"/>
    <mergeCell ref="B274:G274"/>
    <mergeCell ref="H274:I274"/>
    <mergeCell ref="J274:K274"/>
    <mergeCell ref="L274:M274"/>
    <mergeCell ref="B270:G270"/>
    <mergeCell ref="H270:I270"/>
    <mergeCell ref="J270:K270"/>
    <mergeCell ref="L270:M270"/>
    <mergeCell ref="A271:M271"/>
    <mergeCell ref="B272:G272"/>
    <mergeCell ref="H272:I272"/>
    <mergeCell ref="J272:K272"/>
    <mergeCell ref="L272:M272"/>
    <mergeCell ref="A267:M267"/>
    <mergeCell ref="B268:G268"/>
    <mergeCell ref="H268:I268"/>
    <mergeCell ref="J268:K268"/>
    <mergeCell ref="L268:M268"/>
    <mergeCell ref="B269:G269"/>
    <mergeCell ref="H269:I269"/>
    <mergeCell ref="J269:K269"/>
    <mergeCell ref="L269:M269"/>
    <mergeCell ref="B265:G265"/>
    <mergeCell ref="H265:I265"/>
    <mergeCell ref="J265:K265"/>
    <mergeCell ref="L265:M265"/>
    <mergeCell ref="B266:G266"/>
    <mergeCell ref="H266:I266"/>
    <mergeCell ref="J266:K266"/>
    <mergeCell ref="L266:M266"/>
    <mergeCell ref="B263:G263"/>
    <mergeCell ref="H263:I263"/>
    <mergeCell ref="J263:K263"/>
    <mergeCell ref="L263:M263"/>
    <mergeCell ref="B264:G264"/>
    <mergeCell ref="H264:I264"/>
    <mergeCell ref="J264:K264"/>
    <mergeCell ref="L264:M264"/>
    <mergeCell ref="A259:M259"/>
    <mergeCell ref="A260:M260"/>
    <mergeCell ref="A261:M261"/>
    <mergeCell ref="B262:G262"/>
    <mergeCell ref="H262:I262"/>
    <mergeCell ref="J262:K262"/>
    <mergeCell ref="L262:M262"/>
    <mergeCell ref="B257:G257"/>
    <mergeCell ref="H257:I257"/>
    <mergeCell ref="J257:K257"/>
    <mergeCell ref="L257:M257"/>
    <mergeCell ref="B258:G258"/>
    <mergeCell ref="H258:I258"/>
    <mergeCell ref="J258:K258"/>
    <mergeCell ref="L258:M258"/>
    <mergeCell ref="A254:M254"/>
    <mergeCell ref="B255:G255"/>
    <mergeCell ref="H255:I255"/>
    <mergeCell ref="J255:K255"/>
    <mergeCell ref="L255:M255"/>
    <mergeCell ref="A256:M256"/>
    <mergeCell ref="A251:M251"/>
    <mergeCell ref="B252:G252"/>
    <mergeCell ref="H252:I252"/>
    <mergeCell ref="J252:K252"/>
    <mergeCell ref="L252:M252"/>
    <mergeCell ref="B253:G253"/>
    <mergeCell ref="H253:I253"/>
    <mergeCell ref="J253:K253"/>
    <mergeCell ref="L253:M253"/>
    <mergeCell ref="A248:M248"/>
    <mergeCell ref="B249:G249"/>
    <mergeCell ref="H249:I249"/>
    <mergeCell ref="J249:K249"/>
    <mergeCell ref="L249:M249"/>
    <mergeCell ref="B250:G250"/>
    <mergeCell ref="H250:I250"/>
    <mergeCell ref="J250:K250"/>
    <mergeCell ref="L250:M250"/>
    <mergeCell ref="A245:M245"/>
    <mergeCell ref="B246:G246"/>
    <mergeCell ref="H246:I246"/>
    <mergeCell ref="J246:K246"/>
    <mergeCell ref="L246:M246"/>
    <mergeCell ref="B247:G247"/>
    <mergeCell ref="H247:I247"/>
    <mergeCell ref="J247:K247"/>
    <mergeCell ref="L247:M247"/>
    <mergeCell ref="B243:G243"/>
    <mergeCell ref="H243:I243"/>
    <mergeCell ref="J243:K243"/>
    <mergeCell ref="L243:M243"/>
    <mergeCell ref="B244:G244"/>
    <mergeCell ref="H244:I244"/>
    <mergeCell ref="J244:K244"/>
    <mergeCell ref="L244:M244"/>
    <mergeCell ref="B240:G240"/>
    <mergeCell ref="H240:I240"/>
    <mergeCell ref="J240:K240"/>
    <mergeCell ref="L240:M240"/>
    <mergeCell ref="A241:M241"/>
    <mergeCell ref="B242:G242"/>
    <mergeCell ref="H242:I242"/>
    <mergeCell ref="J242:K242"/>
    <mergeCell ref="L242:M242"/>
    <mergeCell ref="A237:M237"/>
    <mergeCell ref="B238:G238"/>
    <mergeCell ref="H238:I238"/>
    <mergeCell ref="J238:K238"/>
    <mergeCell ref="L238:M238"/>
    <mergeCell ref="B239:G239"/>
    <mergeCell ref="H239:I239"/>
    <mergeCell ref="J239:K239"/>
    <mergeCell ref="L239:M239"/>
    <mergeCell ref="A234:M234"/>
    <mergeCell ref="A235:M235"/>
    <mergeCell ref="B236:G236"/>
    <mergeCell ref="H236:I236"/>
    <mergeCell ref="J236:K236"/>
    <mergeCell ref="L236:M236"/>
    <mergeCell ref="A231:M231"/>
    <mergeCell ref="B232:G232"/>
    <mergeCell ref="H232:I232"/>
    <mergeCell ref="J232:K232"/>
    <mergeCell ref="L232:M232"/>
    <mergeCell ref="B233:G233"/>
    <mergeCell ref="H233:I233"/>
    <mergeCell ref="J233:K233"/>
    <mergeCell ref="L233:M233"/>
    <mergeCell ref="A228:M228"/>
    <mergeCell ref="B229:G229"/>
    <mergeCell ref="H229:I229"/>
    <mergeCell ref="J229:K229"/>
    <mergeCell ref="L229:M229"/>
    <mergeCell ref="B230:G230"/>
    <mergeCell ref="H230:I230"/>
    <mergeCell ref="J230:K230"/>
    <mergeCell ref="L230:M230"/>
    <mergeCell ref="B223:G223"/>
    <mergeCell ref="H223:I223"/>
    <mergeCell ref="J223:K223"/>
    <mergeCell ref="L223:M223"/>
    <mergeCell ref="A225:M225"/>
    <mergeCell ref="A227:M227"/>
    <mergeCell ref="B221:G221"/>
    <mergeCell ref="H221:I221"/>
    <mergeCell ref="J221:K221"/>
    <mergeCell ref="L221:M221"/>
    <mergeCell ref="B222:G222"/>
    <mergeCell ref="H222:I222"/>
    <mergeCell ref="J222:K222"/>
    <mergeCell ref="L222:M222"/>
    <mergeCell ref="B219:G219"/>
    <mergeCell ref="H219:I219"/>
    <mergeCell ref="J219:K219"/>
    <mergeCell ref="L219:M219"/>
    <mergeCell ref="B220:G220"/>
    <mergeCell ref="H220:I220"/>
    <mergeCell ref="J220:K220"/>
    <mergeCell ref="L220:M220"/>
    <mergeCell ref="B217:G217"/>
    <mergeCell ref="H217:I217"/>
    <mergeCell ref="J217:K217"/>
    <mergeCell ref="L217:M217"/>
    <mergeCell ref="B218:G218"/>
    <mergeCell ref="H218:I218"/>
    <mergeCell ref="J218:K218"/>
    <mergeCell ref="L218:M218"/>
    <mergeCell ref="B215:G215"/>
    <mergeCell ref="H215:I215"/>
    <mergeCell ref="J215:K215"/>
    <mergeCell ref="L215:M215"/>
    <mergeCell ref="B216:G216"/>
    <mergeCell ref="H216:I216"/>
    <mergeCell ref="J216:K216"/>
    <mergeCell ref="L216:M216"/>
    <mergeCell ref="A212:M212"/>
    <mergeCell ref="A213:M213"/>
    <mergeCell ref="B214:G214"/>
    <mergeCell ref="H214:I214"/>
    <mergeCell ref="J214:K214"/>
    <mergeCell ref="L214:M214"/>
    <mergeCell ref="B210:G210"/>
    <mergeCell ref="H210:I210"/>
    <mergeCell ref="J210:K210"/>
    <mergeCell ref="L210:M210"/>
    <mergeCell ref="B211:G211"/>
    <mergeCell ref="H211:I211"/>
    <mergeCell ref="J211:K211"/>
    <mergeCell ref="L211:M211"/>
    <mergeCell ref="B208:G208"/>
    <mergeCell ref="H208:I208"/>
    <mergeCell ref="J208:K208"/>
    <mergeCell ref="L208:M208"/>
    <mergeCell ref="B209:G209"/>
    <mergeCell ref="H209:I209"/>
    <mergeCell ref="J209:K209"/>
    <mergeCell ref="L209:M209"/>
    <mergeCell ref="B206:G206"/>
    <mergeCell ref="H206:I206"/>
    <mergeCell ref="J206:K206"/>
    <mergeCell ref="L206:M206"/>
    <mergeCell ref="B207:G207"/>
    <mergeCell ref="H207:I207"/>
    <mergeCell ref="J207:K207"/>
    <mergeCell ref="L207:M207"/>
    <mergeCell ref="B204:G204"/>
    <mergeCell ref="H204:I204"/>
    <mergeCell ref="J204:K204"/>
    <mergeCell ref="L204:M204"/>
    <mergeCell ref="B205:G205"/>
    <mergeCell ref="H205:I205"/>
    <mergeCell ref="J205:K205"/>
    <mergeCell ref="L205:M205"/>
    <mergeCell ref="A201:M201"/>
    <mergeCell ref="A202:M202"/>
    <mergeCell ref="B203:G203"/>
    <mergeCell ref="H203:I203"/>
    <mergeCell ref="J203:K203"/>
    <mergeCell ref="L203:M203"/>
    <mergeCell ref="B199:G199"/>
    <mergeCell ref="H199:I199"/>
    <mergeCell ref="J199:K199"/>
    <mergeCell ref="L199:M199"/>
    <mergeCell ref="B200:G200"/>
    <mergeCell ref="H200:I200"/>
    <mergeCell ref="J200:K200"/>
    <mergeCell ref="L200:M200"/>
    <mergeCell ref="B197:G197"/>
    <mergeCell ref="H197:I197"/>
    <mergeCell ref="J197:K197"/>
    <mergeCell ref="L197:M197"/>
    <mergeCell ref="B198:G198"/>
    <mergeCell ref="H198:I198"/>
    <mergeCell ref="J198:K198"/>
    <mergeCell ref="L198:M198"/>
    <mergeCell ref="A194:M194"/>
    <mergeCell ref="A195:M195"/>
    <mergeCell ref="B196:G196"/>
    <mergeCell ref="H196:I196"/>
    <mergeCell ref="J196:K196"/>
    <mergeCell ref="L196:M196"/>
    <mergeCell ref="B191:G191"/>
    <mergeCell ref="H191:I191"/>
    <mergeCell ref="J191:K191"/>
    <mergeCell ref="L191:M191"/>
    <mergeCell ref="A192:M192"/>
    <mergeCell ref="B193:G193"/>
    <mergeCell ref="H193:I193"/>
    <mergeCell ref="J193:K193"/>
    <mergeCell ref="L193:M193"/>
    <mergeCell ref="B189:G189"/>
    <mergeCell ref="H189:I189"/>
    <mergeCell ref="J189:K189"/>
    <mergeCell ref="L189:M189"/>
    <mergeCell ref="B190:G190"/>
    <mergeCell ref="H190:I190"/>
    <mergeCell ref="J190:K190"/>
    <mergeCell ref="L190:M190"/>
    <mergeCell ref="B187:G187"/>
    <mergeCell ref="H187:I187"/>
    <mergeCell ref="J187:K187"/>
    <mergeCell ref="L187:M187"/>
    <mergeCell ref="B188:G188"/>
    <mergeCell ref="H188:I188"/>
    <mergeCell ref="J188:K188"/>
    <mergeCell ref="L188:M188"/>
    <mergeCell ref="A184:M184"/>
    <mergeCell ref="A185:M185"/>
    <mergeCell ref="B186:G186"/>
    <mergeCell ref="H186:I186"/>
    <mergeCell ref="J186:K186"/>
    <mergeCell ref="L186:M186"/>
    <mergeCell ref="B181:G181"/>
    <mergeCell ref="H181:I181"/>
    <mergeCell ref="J181:K181"/>
    <mergeCell ref="L181:M181"/>
    <mergeCell ref="B182:G182"/>
    <mergeCell ref="H182:I182"/>
    <mergeCell ref="J182:K182"/>
    <mergeCell ref="L182:M182"/>
    <mergeCell ref="B179:G179"/>
    <mergeCell ref="H179:I179"/>
    <mergeCell ref="J179:K179"/>
    <mergeCell ref="L179:M179"/>
    <mergeCell ref="B180:G180"/>
    <mergeCell ref="H180:I180"/>
    <mergeCell ref="J180:K180"/>
    <mergeCell ref="L180:M180"/>
    <mergeCell ref="B177:G177"/>
    <mergeCell ref="H177:I177"/>
    <mergeCell ref="J177:K177"/>
    <mergeCell ref="L177:M177"/>
    <mergeCell ref="B178:G178"/>
    <mergeCell ref="H178:I178"/>
    <mergeCell ref="J178:K178"/>
    <mergeCell ref="L178:M178"/>
    <mergeCell ref="B174:G174"/>
    <mergeCell ref="H174:I174"/>
    <mergeCell ref="J174:K174"/>
    <mergeCell ref="L174:M174"/>
    <mergeCell ref="A175:M175"/>
    <mergeCell ref="B176:G176"/>
    <mergeCell ref="H176:I176"/>
    <mergeCell ref="J176:K176"/>
    <mergeCell ref="L176:M176"/>
    <mergeCell ref="B172:G172"/>
    <mergeCell ref="H172:I172"/>
    <mergeCell ref="J172:K172"/>
    <mergeCell ref="L172:M172"/>
    <mergeCell ref="B173:G173"/>
    <mergeCell ref="H173:I173"/>
    <mergeCell ref="J173:K173"/>
    <mergeCell ref="L173:M173"/>
    <mergeCell ref="B169:G169"/>
    <mergeCell ref="H169:I169"/>
    <mergeCell ref="J169:K169"/>
    <mergeCell ref="L169:M169"/>
    <mergeCell ref="A170:M170"/>
    <mergeCell ref="B171:G171"/>
    <mergeCell ref="H171:I171"/>
    <mergeCell ref="J171:K171"/>
    <mergeCell ref="L171:M171"/>
    <mergeCell ref="A166:M166"/>
    <mergeCell ref="B167:G167"/>
    <mergeCell ref="H167:I167"/>
    <mergeCell ref="J167:K167"/>
    <mergeCell ref="L167:M167"/>
    <mergeCell ref="B168:G168"/>
    <mergeCell ref="H168:I168"/>
    <mergeCell ref="J168:K168"/>
    <mergeCell ref="L168:M168"/>
    <mergeCell ref="B164:G164"/>
    <mergeCell ref="H164:I164"/>
    <mergeCell ref="J164:K164"/>
    <mergeCell ref="L164:M164"/>
    <mergeCell ref="B165:G165"/>
    <mergeCell ref="H165:I165"/>
    <mergeCell ref="J165:K165"/>
    <mergeCell ref="L165:M165"/>
    <mergeCell ref="A161:M161"/>
    <mergeCell ref="B162:G162"/>
    <mergeCell ref="H162:I162"/>
    <mergeCell ref="J162:K162"/>
    <mergeCell ref="L162:M162"/>
    <mergeCell ref="B163:G163"/>
    <mergeCell ref="H163:I163"/>
    <mergeCell ref="J163:K163"/>
    <mergeCell ref="L163:M163"/>
    <mergeCell ref="B159:G159"/>
    <mergeCell ref="H159:I159"/>
    <mergeCell ref="J159:K159"/>
    <mergeCell ref="L159:M159"/>
    <mergeCell ref="B160:G160"/>
    <mergeCell ref="H160:I160"/>
    <mergeCell ref="J160:K160"/>
    <mergeCell ref="L160:M160"/>
    <mergeCell ref="B157:G157"/>
    <mergeCell ref="H157:I157"/>
    <mergeCell ref="J157:K157"/>
    <mergeCell ref="L157:M157"/>
    <mergeCell ref="B158:G158"/>
    <mergeCell ref="H158:I158"/>
    <mergeCell ref="J158:K158"/>
    <mergeCell ref="L158:M158"/>
    <mergeCell ref="B155:G155"/>
    <mergeCell ref="H155:I155"/>
    <mergeCell ref="J155:K155"/>
    <mergeCell ref="L155:M155"/>
    <mergeCell ref="B156:G156"/>
    <mergeCell ref="H156:I156"/>
    <mergeCell ref="J156:K156"/>
    <mergeCell ref="L156:M156"/>
    <mergeCell ref="B153:G153"/>
    <mergeCell ref="H153:I153"/>
    <mergeCell ref="J153:K153"/>
    <mergeCell ref="L153:M153"/>
    <mergeCell ref="B154:G154"/>
    <mergeCell ref="H154:I154"/>
    <mergeCell ref="J154:K154"/>
    <mergeCell ref="L154:M154"/>
    <mergeCell ref="B151:G151"/>
    <mergeCell ref="H151:I151"/>
    <mergeCell ref="J151:K151"/>
    <mergeCell ref="L151:M151"/>
    <mergeCell ref="B152:G152"/>
    <mergeCell ref="H152:I152"/>
    <mergeCell ref="J152:K152"/>
    <mergeCell ref="L152:M152"/>
    <mergeCell ref="B149:G149"/>
    <mergeCell ref="H149:I149"/>
    <mergeCell ref="J149:K149"/>
    <mergeCell ref="L149:M149"/>
    <mergeCell ref="B150:G150"/>
    <mergeCell ref="H150:I150"/>
    <mergeCell ref="J150:K150"/>
    <mergeCell ref="L150:M150"/>
    <mergeCell ref="A146:M146"/>
    <mergeCell ref="B147:G147"/>
    <mergeCell ref="H147:I147"/>
    <mergeCell ref="J147:K147"/>
    <mergeCell ref="L147:M147"/>
    <mergeCell ref="B148:G148"/>
    <mergeCell ref="H148:I148"/>
    <mergeCell ref="J148:K148"/>
    <mergeCell ref="L148:M148"/>
    <mergeCell ref="B144:G144"/>
    <mergeCell ref="H144:I144"/>
    <mergeCell ref="J144:K144"/>
    <mergeCell ref="L144:M144"/>
    <mergeCell ref="B145:G145"/>
    <mergeCell ref="H145:I145"/>
    <mergeCell ref="J145:K145"/>
    <mergeCell ref="L145:M145"/>
    <mergeCell ref="A140:M140"/>
    <mergeCell ref="A141:M141"/>
    <mergeCell ref="A142:M142"/>
    <mergeCell ref="B143:G143"/>
    <mergeCell ref="H143:I143"/>
    <mergeCell ref="J143:K143"/>
    <mergeCell ref="L143:M143"/>
    <mergeCell ref="B138:G138"/>
    <mergeCell ref="H138:I138"/>
    <mergeCell ref="J138:K138"/>
    <mergeCell ref="L138:M138"/>
    <mergeCell ref="B139:G139"/>
    <mergeCell ref="H139:I139"/>
    <mergeCell ref="J139:K139"/>
    <mergeCell ref="L139:M139"/>
    <mergeCell ref="B136:G136"/>
    <mergeCell ref="H136:I136"/>
    <mergeCell ref="J136:K136"/>
    <mergeCell ref="L136:M136"/>
    <mergeCell ref="B137:G137"/>
    <mergeCell ref="H137:I137"/>
    <mergeCell ref="J137:K137"/>
    <mergeCell ref="L137:M137"/>
    <mergeCell ref="B133:G133"/>
    <mergeCell ref="H133:I133"/>
    <mergeCell ref="J133:K133"/>
    <mergeCell ref="L133:M133"/>
    <mergeCell ref="A134:M134"/>
    <mergeCell ref="B135:G135"/>
    <mergeCell ref="H135:I135"/>
    <mergeCell ref="J135:K135"/>
    <mergeCell ref="L135:M135"/>
    <mergeCell ref="B131:G131"/>
    <mergeCell ref="H131:I131"/>
    <mergeCell ref="J131:K131"/>
    <mergeCell ref="L131:M131"/>
    <mergeCell ref="B132:G132"/>
    <mergeCell ref="H132:I132"/>
    <mergeCell ref="J132:K132"/>
    <mergeCell ref="L132:M132"/>
    <mergeCell ref="A128:M128"/>
    <mergeCell ref="B129:G129"/>
    <mergeCell ref="H129:I129"/>
    <mergeCell ref="J129:K129"/>
    <mergeCell ref="L129:M129"/>
    <mergeCell ref="B130:G130"/>
    <mergeCell ref="H130:I130"/>
    <mergeCell ref="J130:K130"/>
    <mergeCell ref="L130:M130"/>
    <mergeCell ref="B126:G126"/>
    <mergeCell ref="H126:I126"/>
    <mergeCell ref="J126:K126"/>
    <mergeCell ref="L126:M126"/>
    <mergeCell ref="B127:G127"/>
    <mergeCell ref="H127:I127"/>
    <mergeCell ref="J127:K127"/>
    <mergeCell ref="L127:M127"/>
    <mergeCell ref="B124:G124"/>
    <mergeCell ref="H124:I124"/>
    <mergeCell ref="J124:K124"/>
    <mergeCell ref="L124:M124"/>
    <mergeCell ref="B125:G125"/>
    <mergeCell ref="H125:I125"/>
    <mergeCell ref="J125:K125"/>
    <mergeCell ref="L125:M125"/>
    <mergeCell ref="A117:M117"/>
    <mergeCell ref="A119:M119"/>
    <mergeCell ref="A121:M121"/>
    <mergeCell ref="A122:M122"/>
    <mergeCell ref="B123:G123"/>
    <mergeCell ref="H123:I123"/>
    <mergeCell ref="J123:K123"/>
    <mergeCell ref="L123:M123"/>
    <mergeCell ref="A114:M114"/>
    <mergeCell ref="A115:M115"/>
    <mergeCell ref="B116:G116"/>
    <mergeCell ref="H116:I116"/>
    <mergeCell ref="J116:K116"/>
    <mergeCell ref="L116:M116"/>
    <mergeCell ref="B112:G112"/>
    <mergeCell ref="H112:I112"/>
    <mergeCell ref="J112:K112"/>
    <mergeCell ref="L112:M112"/>
    <mergeCell ref="B113:G113"/>
    <mergeCell ref="H113:I113"/>
    <mergeCell ref="J113:K113"/>
    <mergeCell ref="L113:M113"/>
    <mergeCell ref="B110:G110"/>
    <mergeCell ref="H110:I110"/>
    <mergeCell ref="J110:K110"/>
    <mergeCell ref="L110:M110"/>
    <mergeCell ref="B111:G111"/>
    <mergeCell ref="H111:I111"/>
    <mergeCell ref="J111:K111"/>
    <mergeCell ref="L111:M111"/>
    <mergeCell ref="B108:G108"/>
    <mergeCell ref="H108:I108"/>
    <mergeCell ref="J108:K108"/>
    <mergeCell ref="L108:M108"/>
    <mergeCell ref="B109:G109"/>
    <mergeCell ref="H109:I109"/>
    <mergeCell ref="J109:K109"/>
    <mergeCell ref="L109:M109"/>
    <mergeCell ref="B106:G106"/>
    <mergeCell ref="H106:I106"/>
    <mergeCell ref="J106:K106"/>
    <mergeCell ref="L106:M106"/>
    <mergeCell ref="B107:G107"/>
    <mergeCell ref="H107:I107"/>
    <mergeCell ref="J107:K107"/>
    <mergeCell ref="L107:M107"/>
    <mergeCell ref="A103:M103"/>
    <mergeCell ref="A104:M104"/>
    <mergeCell ref="B105:G105"/>
    <mergeCell ref="H105:I105"/>
    <mergeCell ref="J105:K105"/>
    <mergeCell ref="L105:M105"/>
    <mergeCell ref="B101:G101"/>
    <mergeCell ref="H101:I101"/>
    <mergeCell ref="J101:K101"/>
    <mergeCell ref="L101:M101"/>
    <mergeCell ref="B102:G102"/>
    <mergeCell ref="H102:I102"/>
    <mergeCell ref="J102:K102"/>
    <mergeCell ref="L102:M102"/>
    <mergeCell ref="B99:G99"/>
    <mergeCell ref="H99:I99"/>
    <mergeCell ref="J99:K99"/>
    <mergeCell ref="L99:M99"/>
    <mergeCell ref="B100:G100"/>
    <mergeCell ref="H100:I100"/>
    <mergeCell ref="J100:K100"/>
    <mergeCell ref="L100:M100"/>
    <mergeCell ref="B97:G97"/>
    <mergeCell ref="H97:I97"/>
    <mergeCell ref="J97:K97"/>
    <mergeCell ref="L97:M97"/>
    <mergeCell ref="B98:G98"/>
    <mergeCell ref="H98:I98"/>
    <mergeCell ref="J98:K98"/>
    <mergeCell ref="L98:M98"/>
    <mergeCell ref="B95:G95"/>
    <mergeCell ref="H95:I95"/>
    <mergeCell ref="J95:K95"/>
    <mergeCell ref="L95:M95"/>
    <mergeCell ref="B96:G96"/>
    <mergeCell ref="H96:I96"/>
    <mergeCell ref="J96:K96"/>
    <mergeCell ref="L96:M96"/>
    <mergeCell ref="A92:M92"/>
    <mergeCell ref="A93:M93"/>
    <mergeCell ref="B94:G94"/>
    <mergeCell ref="H94:I94"/>
    <mergeCell ref="J94:K94"/>
    <mergeCell ref="L94:M94"/>
    <mergeCell ref="B90:G90"/>
    <mergeCell ref="H90:I90"/>
    <mergeCell ref="J90:K90"/>
    <mergeCell ref="L90:M90"/>
    <mergeCell ref="B91:G91"/>
    <mergeCell ref="H91:I91"/>
    <mergeCell ref="J91:K91"/>
    <mergeCell ref="L91:M91"/>
    <mergeCell ref="B88:G88"/>
    <mergeCell ref="H88:I88"/>
    <mergeCell ref="J88:K88"/>
    <mergeCell ref="L88:M88"/>
    <mergeCell ref="B89:G89"/>
    <mergeCell ref="H89:I89"/>
    <mergeCell ref="J89:K89"/>
    <mergeCell ref="L89:M89"/>
    <mergeCell ref="B86:G86"/>
    <mergeCell ref="H86:I86"/>
    <mergeCell ref="J86:K86"/>
    <mergeCell ref="L86:M86"/>
    <mergeCell ref="B87:G87"/>
    <mergeCell ref="H87:I87"/>
    <mergeCell ref="J87:K87"/>
    <mergeCell ref="L87:M87"/>
    <mergeCell ref="B84:G84"/>
    <mergeCell ref="H84:I84"/>
    <mergeCell ref="J84:K84"/>
    <mergeCell ref="L84:M84"/>
    <mergeCell ref="B85:G85"/>
    <mergeCell ref="H85:I85"/>
    <mergeCell ref="J85:K85"/>
    <mergeCell ref="L85:M85"/>
    <mergeCell ref="A81:M81"/>
    <mergeCell ref="B82:G82"/>
    <mergeCell ref="H82:I82"/>
    <mergeCell ref="J82:K82"/>
    <mergeCell ref="L82:M82"/>
    <mergeCell ref="B83:G83"/>
    <mergeCell ref="H83:I83"/>
    <mergeCell ref="J83:K83"/>
    <mergeCell ref="L83:M83"/>
    <mergeCell ref="B79:G79"/>
    <mergeCell ref="H79:I79"/>
    <mergeCell ref="J79:K79"/>
    <mergeCell ref="L79:M79"/>
    <mergeCell ref="B80:G80"/>
    <mergeCell ref="H80:I80"/>
    <mergeCell ref="J80:K80"/>
    <mergeCell ref="L80:M80"/>
    <mergeCell ref="B77:G77"/>
    <mergeCell ref="H77:I77"/>
    <mergeCell ref="J77:K77"/>
    <mergeCell ref="L77:M77"/>
    <mergeCell ref="B78:G78"/>
    <mergeCell ref="H78:I78"/>
    <mergeCell ref="J78:K78"/>
    <mergeCell ref="L78:M78"/>
    <mergeCell ref="B75:G75"/>
    <mergeCell ref="H75:I75"/>
    <mergeCell ref="J75:K75"/>
    <mergeCell ref="L75:M75"/>
    <mergeCell ref="B76:G76"/>
    <mergeCell ref="H76:I76"/>
    <mergeCell ref="J76:K76"/>
    <mergeCell ref="L76:M76"/>
    <mergeCell ref="B73:G73"/>
    <mergeCell ref="H73:I73"/>
    <mergeCell ref="J73:K73"/>
    <mergeCell ref="L73:M73"/>
    <mergeCell ref="B74:G74"/>
    <mergeCell ref="H74:I74"/>
    <mergeCell ref="J74:K74"/>
    <mergeCell ref="L74:M74"/>
    <mergeCell ref="B71:G71"/>
    <mergeCell ref="H71:I71"/>
    <mergeCell ref="J71:K71"/>
    <mergeCell ref="L71:M71"/>
    <mergeCell ref="B72:G72"/>
    <mergeCell ref="H72:I72"/>
    <mergeCell ref="J72:K72"/>
    <mergeCell ref="L72:M72"/>
    <mergeCell ref="B69:G69"/>
    <mergeCell ref="H69:I69"/>
    <mergeCell ref="J69:K69"/>
    <mergeCell ref="L69:M69"/>
    <mergeCell ref="B70:G70"/>
    <mergeCell ref="H70:I70"/>
    <mergeCell ref="J70:K70"/>
    <mergeCell ref="L70:M70"/>
    <mergeCell ref="B67:G67"/>
    <mergeCell ref="H67:I67"/>
    <mergeCell ref="J67:K67"/>
    <mergeCell ref="L67:M67"/>
    <mergeCell ref="B68:G68"/>
    <mergeCell ref="H68:I68"/>
    <mergeCell ref="J68:K68"/>
    <mergeCell ref="L68:M68"/>
    <mergeCell ref="A64:M64"/>
    <mergeCell ref="B65:G65"/>
    <mergeCell ref="H65:I65"/>
    <mergeCell ref="J65:K65"/>
    <mergeCell ref="L65:M65"/>
    <mergeCell ref="B66:G66"/>
    <mergeCell ref="H66:I66"/>
    <mergeCell ref="J66:K66"/>
    <mergeCell ref="L66:M66"/>
    <mergeCell ref="B61:G61"/>
    <mergeCell ref="H61:I61"/>
    <mergeCell ref="J61:K61"/>
    <mergeCell ref="L61:M61"/>
    <mergeCell ref="A62:M62"/>
    <mergeCell ref="A63:M63"/>
    <mergeCell ref="B59:G59"/>
    <mergeCell ref="H59:I59"/>
    <mergeCell ref="J59:K59"/>
    <mergeCell ref="L59:M59"/>
    <mergeCell ref="B60:G60"/>
    <mergeCell ref="H60:I60"/>
    <mergeCell ref="J60:K60"/>
    <mergeCell ref="L60:M60"/>
    <mergeCell ref="A56:M56"/>
    <mergeCell ref="B57:G57"/>
    <mergeCell ref="H57:I57"/>
    <mergeCell ref="J57:K57"/>
    <mergeCell ref="L57:M57"/>
    <mergeCell ref="B58:G58"/>
    <mergeCell ref="H58:I58"/>
    <mergeCell ref="J58:K58"/>
    <mergeCell ref="L58:M58"/>
    <mergeCell ref="B54:G54"/>
    <mergeCell ref="H54:I54"/>
    <mergeCell ref="J54:K54"/>
    <mergeCell ref="L54:M54"/>
    <mergeCell ref="B55:G55"/>
    <mergeCell ref="H55:I55"/>
    <mergeCell ref="J55:K55"/>
    <mergeCell ref="L55:M55"/>
    <mergeCell ref="B52:G52"/>
    <mergeCell ref="H52:I52"/>
    <mergeCell ref="J52:K52"/>
    <mergeCell ref="L52:M52"/>
    <mergeCell ref="B53:G53"/>
    <mergeCell ref="H53:I53"/>
    <mergeCell ref="J53:K53"/>
    <mergeCell ref="L53:M53"/>
    <mergeCell ref="B50:G50"/>
    <mergeCell ref="H50:I50"/>
    <mergeCell ref="J50:K50"/>
    <mergeCell ref="L50:M50"/>
    <mergeCell ref="B51:G51"/>
    <mergeCell ref="H51:I51"/>
    <mergeCell ref="J51:K51"/>
    <mergeCell ref="L51:M51"/>
    <mergeCell ref="B48:G48"/>
    <mergeCell ref="H48:I48"/>
    <mergeCell ref="J48:K48"/>
    <mergeCell ref="L48:M48"/>
    <mergeCell ref="B49:G49"/>
    <mergeCell ref="H49:I49"/>
    <mergeCell ref="J49:K49"/>
    <mergeCell ref="L49:M49"/>
    <mergeCell ref="A44:M44"/>
    <mergeCell ref="A45:M45"/>
    <mergeCell ref="A46:M46"/>
    <mergeCell ref="B47:G47"/>
    <mergeCell ref="H47:I47"/>
    <mergeCell ref="J47:K47"/>
    <mergeCell ref="L47:M47"/>
    <mergeCell ref="B42:G42"/>
    <mergeCell ref="H42:I42"/>
    <mergeCell ref="J42:K42"/>
    <mergeCell ref="L42:M42"/>
    <mergeCell ref="B43:G43"/>
    <mergeCell ref="H43:I43"/>
    <mergeCell ref="J43:K43"/>
    <mergeCell ref="L43:M43"/>
    <mergeCell ref="B40:G40"/>
    <mergeCell ref="H40:I40"/>
    <mergeCell ref="J40:K40"/>
    <mergeCell ref="L40:M40"/>
    <mergeCell ref="B41:G41"/>
    <mergeCell ref="H41:I41"/>
    <mergeCell ref="J41:K41"/>
    <mergeCell ref="L41:M41"/>
    <mergeCell ref="B38:G38"/>
    <mergeCell ref="H38:I38"/>
    <mergeCell ref="J38:K38"/>
    <mergeCell ref="L38:M38"/>
    <mergeCell ref="B39:G39"/>
    <mergeCell ref="H39:I39"/>
    <mergeCell ref="J39:K39"/>
    <mergeCell ref="L39:M39"/>
    <mergeCell ref="B36:G36"/>
    <mergeCell ref="H36:I36"/>
    <mergeCell ref="J36:K36"/>
    <mergeCell ref="L36:M36"/>
    <mergeCell ref="B37:G37"/>
    <mergeCell ref="H37:I37"/>
    <mergeCell ref="J37:K37"/>
    <mergeCell ref="L37:M37"/>
    <mergeCell ref="A31:M31"/>
    <mergeCell ref="A32:M32"/>
    <mergeCell ref="A33:M33"/>
    <mergeCell ref="A34:M34"/>
    <mergeCell ref="B35:G35"/>
    <mergeCell ref="H35:I35"/>
    <mergeCell ref="J35:K35"/>
    <mergeCell ref="L35:M35"/>
    <mergeCell ref="H29:I29"/>
    <mergeCell ref="J29:K29"/>
    <mergeCell ref="L29:M29"/>
    <mergeCell ref="H30:I30"/>
    <mergeCell ref="J30:K30"/>
    <mergeCell ref="L30:M30"/>
    <mergeCell ref="B27:G27"/>
    <mergeCell ref="H27:I27"/>
    <mergeCell ref="J27:K27"/>
    <mergeCell ref="L27:M27"/>
    <mergeCell ref="H28:I28"/>
    <mergeCell ref="J28:K28"/>
    <mergeCell ref="L28:M28"/>
    <mergeCell ref="B24:G24"/>
    <mergeCell ref="H24:I24"/>
    <mergeCell ref="J24:K24"/>
    <mergeCell ref="L24:M24"/>
    <mergeCell ref="A25:M25"/>
    <mergeCell ref="A26:M26"/>
    <mergeCell ref="B22:G22"/>
    <mergeCell ref="H22:I22"/>
    <mergeCell ref="J22:K22"/>
    <mergeCell ref="L22:M22"/>
    <mergeCell ref="Q22:R22"/>
    <mergeCell ref="B23:G23"/>
    <mergeCell ref="H23:I23"/>
    <mergeCell ref="J23:K23"/>
    <mergeCell ref="L23:M23"/>
    <mergeCell ref="Q23:R23"/>
    <mergeCell ref="B20:G20"/>
    <mergeCell ref="H20:I20"/>
    <mergeCell ref="J20:K20"/>
    <mergeCell ref="L20:M20"/>
    <mergeCell ref="Q20:R20"/>
    <mergeCell ref="B21:G21"/>
    <mergeCell ref="H21:I21"/>
    <mergeCell ref="J21:K21"/>
    <mergeCell ref="L21:M21"/>
    <mergeCell ref="Q21:R21"/>
    <mergeCell ref="A17:M17"/>
    <mergeCell ref="A18:M18"/>
    <mergeCell ref="B19:G19"/>
    <mergeCell ref="H19:I19"/>
    <mergeCell ref="J19:K19"/>
    <mergeCell ref="L19:M19"/>
    <mergeCell ref="B15:G15"/>
    <mergeCell ref="H15:I15"/>
    <mergeCell ref="J15:K15"/>
    <mergeCell ref="L15:M15"/>
    <mergeCell ref="B16:G16"/>
    <mergeCell ref="H16:I16"/>
    <mergeCell ref="J16:K16"/>
    <mergeCell ref="L16:M16"/>
    <mergeCell ref="A10:M10"/>
    <mergeCell ref="A11:M11"/>
    <mergeCell ref="A13:M13"/>
    <mergeCell ref="B14:G14"/>
    <mergeCell ref="H14:I14"/>
    <mergeCell ref="J14:K14"/>
    <mergeCell ref="L14:M14"/>
    <mergeCell ref="A7:C7"/>
    <mergeCell ref="D7:M7"/>
    <mergeCell ref="A9:G9"/>
    <mergeCell ref="H9:I9"/>
    <mergeCell ref="J9:K9"/>
    <mergeCell ref="L9:M9"/>
    <mergeCell ref="D1:J2"/>
    <mergeCell ref="K1:M4"/>
    <mergeCell ref="D3:J4"/>
    <mergeCell ref="A5:M5"/>
    <mergeCell ref="A6:C6"/>
    <mergeCell ref="D6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analisis may25</vt:lpstr>
      <vt:lpstr>Lista de precios may25</vt:lpstr>
      <vt:lpstr>MO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[Est - IDS] Ciprian Cruceta, Christopher Miguel</dc:creator>
  <cp:lastModifiedBy>[Est - IDS] Ciprian Cruceta, Christopher Miguel</cp:lastModifiedBy>
  <dcterms:created xsi:type="dcterms:W3CDTF">2026-05-10T05:29:45Z</dcterms:created>
  <dcterms:modified xsi:type="dcterms:W3CDTF">2026-05-10T05:34:20Z</dcterms:modified>
</cp:coreProperties>
</file>